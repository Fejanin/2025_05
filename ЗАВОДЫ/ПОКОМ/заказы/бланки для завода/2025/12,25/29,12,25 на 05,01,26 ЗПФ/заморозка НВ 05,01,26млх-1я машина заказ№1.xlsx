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501F0E8-120A-455E-A5E2-578886C7AF5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BP252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P243" i="1"/>
  <c r="BO242" i="1"/>
  <c r="BM242" i="1"/>
  <c r="Z242" i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P209" i="1"/>
  <c r="X206" i="1"/>
  <c r="X205" i="1"/>
  <c r="BO204" i="1"/>
  <c r="BM204" i="1"/>
  <c r="Z204" i="1"/>
  <c r="Z205" i="1" s="1"/>
  <c r="Y204" i="1"/>
  <c r="Y206" i="1" s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0" i="1" s="1"/>
  <c r="Y196" i="1"/>
  <c r="P196" i="1"/>
  <c r="BO195" i="1"/>
  <c r="BM195" i="1"/>
  <c r="Z195" i="1"/>
  <c r="Y195" i="1"/>
  <c r="P195" i="1"/>
  <c r="X193" i="1"/>
  <c r="X192" i="1"/>
  <c r="BO191" i="1"/>
  <c r="BM191" i="1"/>
  <c r="Z191" i="1"/>
  <c r="Z192" i="1" s="1"/>
  <c r="Y191" i="1"/>
  <c r="Y193" i="1" s="1"/>
  <c r="P191" i="1"/>
  <c r="X187" i="1"/>
  <c r="X186" i="1"/>
  <c r="BO185" i="1"/>
  <c r="BM185" i="1"/>
  <c r="Z185" i="1"/>
  <c r="Z186" i="1" s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M151" i="1"/>
  <c r="Z151" i="1"/>
  <c r="Z152" i="1" s="1"/>
  <c r="Y151" i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BP139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Y129" i="1" s="1"/>
  <c r="P128" i="1"/>
  <c r="X126" i="1"/>
  <c r="X125" i="1"/>
  <c r="BO124" i="1"/>
  <c r="BM124" i="1"/>
  <c r="Z124" i="1"/>
  <c r="Z125" i="1" s="1"/>
  <c r="Y124" i="1"/>
  <c r="Y125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Y71" i="1" s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72" i="1" s="1"/>
  <c r="BM22" i="1"/>
  <c r="Z22" i="1"/>
  <c r="Z28" i="1" s="1"/>
  <c r="Y22" i="1"/>
  <c r="P22" i="1"/>
  <c r="H10" i="1"/>
  <c r="A9" i="1"/>
  <c r="F10" i="1" s="1"/>
  <c r="D7" i="1"/>
  <c r="Q6" i="1"/>
  <c r="P2" i="1"/>
  <c r="Z93" i="1" l="1"/>
  <c r="Z103" i="1"/>
  <c r="BN97" i="1"/>
  <c r="BN99" i="1"/>
  <c r="BN101" i="1"/>
  <c r="Z109" i="1"/>
  <c r="Z121" i="1"/>
  <c r="BN113" i="1"/>
  <c r="BN115" i="1"/>
  <c r="BN117" i="1"/>
  <c r="BN119" i="1"/>
  <c r="Z135" i="1"/>
  <c r="Z141" i="1"/>
  <c r="BN139" i="1"/>
  <c r="Z147" i="1"/>
  <c r="BN145" i="1"/>
  <c r="Y245" i="1"/>
  <c r="Y29" i="1"/>
  <c r="X271" i="1"/>
  <c r="X273" i="1" s="1"/>
  <c r="BN23" i="1"/>
  <c r="BN25" i="1"/>
  <c r="BN27" i="1"/>
  <c r="X270" i="1"/>
  <c r="Y34" i="1"/>
  <c r="Y42" i="1"/>
  <c r="BN40" i="1"/>
  <c r="Y49" i="1"/>
  <c r="Z56" i="1"/>
  <c r="BN52" i="1"/>
  <c r="BP52" i="1"/>
  <c r="BN54" i="1"/>
  <c r="Z70" i="1"/>
  <c r="Z76" i="1"/>
  <c r="BN73" i="1"/>
  <c r="BP73" i="1"/>
  <c r="BN75" i="1"/>
  <c r="Y82" i="1"/>
  <c r="Y94" i="1"/>
  <c r="BN92" i="1"/>
  <c r="Y103" i="1"/>
  <c r="Y110" i="1"/>
  <c r="BN108" i="1"/>
  <c r="Y121" i="1"/>
  <c r="Y136" i="1"/>
  <c r="BN134" i="1"/>
  <c r="Y147" i="1"/>
  <c r="Y148" i="1"/>
  <c r="BN173" i="1"/>
  <c r="Z215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N254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26" i="1"/>
  <c r="Y130" i="1"/>
  <c r="Y135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F9" i="1"/>
  <c r="J9" i="1"/>
  <c r="BN22" i="1"/>
  <c r="BP22" i="1"/>
  <c r="BN24" i="1"/>
  <c r="BN26" i="1"/>
  <c r="X274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BN128" i="1"/>
  <c r="BP128" i="1"/>
  <c r="BN133" i="1"/>
  <c r="BP133" i="1"/>
  <c r="Y142" i="1"/>
  <c r="BN140" i="1"/>
  <c r="Y141" i="1"/>
  <c r="BP146" i="1"/>
  <c r="BN146" i="1"/>
  <c r="Y153" i="1"/>
  <c r="Y157" i="1"/>
  <c r="BP156" i="1"/>
  <c r="BN156" i="1"/>
  <c r="Y163" i="1"/>
  <c r="Y167" i="1"/>
  <c r="BP166" i="1"/>
  <c r="BN166" i="1"/>
  <c r="Z174" i="1"/>
  <c r="Y183" i="1"/>
  <c r="Y187" i="1"/>
  <c r="Y192" i="1"/>
  <c r="BP191" i="1"/>
  <c r="BN191" i="1"/>
  <c r="Y201" i="1"/>
  <c r="Y205" i="1"/>
  <c r="BP204" i="1"/>
  <c r="BN204" i="1"/>
  <c r="Y211" i="1"/>
  <c r="Y216" i="1"/>
  <c r="BP213" i="1"/>
  <c r="BN213" i="1"/>
  <c r="Y215" i="1"/>
  <c r="BP243" i="1"/>
  <c r="BN243" i="1"/>
  <c r="Z249" i="1"/>
  <c r="Y256" i="1"/>
  <c r="Y268" i="1"/>
  <c r="Y269" i="1"/>
  <c r="Z275" i="1" l="1"/>
  <c r="Y270" i="1"/>
  <c r="Y271" i="1"/>
  <c r="Y272" i="1"/>
  <c r="Y274" i="1"/>
  <c r="Y273" i="1" l="1"/>
  <c r="C283" i="1" s="1"/>
  <c r="B283" i="1"/>
  <c r="A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<sst xmlns="http://schemas.openxmlformats.org/spreadsheetml/2006/main" count="1223" uniqueCount="395">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</sst>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Z5" sqref="Z5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46027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12</v>
      </c>
      <c r="Y26" s="269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12</v>
      </c>
      <c r="Y28" s="270">
        <f>IFERROR(SUM(Y22:Y27),"0")</f>
        <v>12</v>
      </c>
      <c r="Z28" s="270">
        <f>IFERROR(IF(Z22="",0,Z22),"0")+IFERROR(IF(Z23="",0,Z23),"0")+IFERROR(IF(Z24="",0,Z24),"0")+IFERROR(IF(Z25="",0,Z25),"0")+IFERROR(IF(Z26="",0,Z26),"0")+IFERROR(IF(Z27="",0,Z27),"0")</f>
        <v>0.186</v>
      </c>
      <c r="AA28" s="271"/>
      <c r="AB28" s="271"/>
      <c r="AC28" s="271"/>
    </row>
    <row r="29" spans="1:68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86.4</v>
      </c>
      <c r="Y29" s="270">
        <f>IFERROR(SUMPRODUCT(Y22:Y27*H22:H27),"0")</f>
        <v>86.4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56</v>
      </c>
      <c r="Y40" s="269">
        <f>IFERROR(IF(X40="","",X40),"")</f>
        <v>56</v>
      </c>
      <c r="Z40" s="36">
        <f>IFERROR(IF(X40="","",X40*0.00941),"")</f>
        <v>0.52695999999999998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107.6208</v>
      </c>
      <c r="BN40" s="67">
        <f>IFERROR(Y40*I40,"0")</f>
        <v>107.6208</v>
      </c>
      <c r="BO40" s="67">
        <f>IFERROR(X40/J40,"0")</f>
        <v>0.4</v>
      </c>
      <c r="BP40" s="67">
        <f>IFERROR(Y40/J40,"0")</f>
        <v>0.4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56</v>
      </c>
      <c r="Y41" s="270">
        <f>IFERROR(SUM(Y39:Y40),"0")</f>
        <v>56</v>
      </c>
      <c r="Z41" s="270">
        <f>IFERROR(IF(Z39="",0,Z39),"0")+IFERROR(IF(Z40="",0,Z40),"0")</f>
        <v>0.52695999999999998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84</v>
      </c>
      <c r="Y42" s="270">
        <f>IFERROR(SUMPRODUCT(Y39:Y40*H39:H40),"0")</f>
        <v>84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48</v>
      </c>
      <c r="Y47" s="269">
        <f>IFERROR(IF(X47="","",X47),"")</f>
        <v>48</v>
      </c>
      <c r="Z47" s="36">
        <f>IFERROR(IF(X47="","",X47*0.0155),"")</f>
        <v>0.74399999999999999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281.76</v>
      </c>
      <c r="BN47" s="67">
        <f>IFERROR(Y47*I47,"0")</f>
        <v>281.76</v>
      </c>
      <c r="BO47" s="67">
        <f>IFERROR(X47/J47,"0")</f>
        <v>0.5714285714285714</v>
      </c>
      <c r="BP47" s="67">
        <f>IFERROR(Y47/J47,"0")</f>
        <v>0.5714285714285714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48</v>
      </c>
      <c r="Y48" s="270">
        <f>IFERROR(SUM(Y45:Y47),"0")</f>
        <v>48</v>
      </c>
      <c r="Z48" s="270">
        <f>IFERROR(IF(Z45="",0,Z45),"0")+IFERROR(IF(Z46="",0,Z46),"0")+IFERROR(IF(Z47="",0,Z47),"0")</f>
        <v>0.74399999999999999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268.79999999999995</v>
      </c>
      <c r="Y49" s="270">
        <f>IFERROR(SUMPRODUCT(Y45:Y47*H45:H47),"0")</f>
        <v>268.79999999999995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36</v>
      </c>
      <c r="Y55" s="26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36</v>
      </c>
      <c r="Y56" s="270">
        <f>IFERROR(SUM(Y52:Y55),"0")</f>
        <v>36</v>
      </c>
      <c r="Z56" s="270">
        <f>IFERROR(IF(Z52="",0,Z52),"0")+IFERROR(IF(Z53="",0,Z53),"0")+IFERROR(IF(Z54="",0,Z54),"0")+IFERROR(IF(Z55="",0,Z55),"0")</f>
        <v>0.55800000000000005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252</v>
      </c>
      <c r="Y57" s="270">
        <f>IFERROR(SUMPRODUCT(Y52:Y55*H52:H55),"0")</f>
        <v>252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141</v>
      </c>
      <c r="B74" s="54" t="s">
        <v>142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144</v>
      </c>
      <c r="B75" s="54" t="s">
        <v>145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146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108</v>
      </c>
      <c r="Y81" s="269">
        <f>IFERROR(IF(X81="","",X81),"")</f>
        <v>108</v>
      </c>
      <c r="Z81" s="36">
        <f>IFERROR(IF(X81="","",X81*0.00866),"")</f>
        <v>0.93527999999999989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563.02559999999994</v>
      </c>
      <c r="BN81" s="67">
        <f>IFERROR(Y81*I81,"0")</f>
        <v>563.02559999999994</v>
      </c>
      <c r="BO81" s="67">
        <f>IFERROR(X81/J81,"0")</f>
        <v>0.75</v>
      </c>
      <c r="BP81" s="67">
        <f>IFERROR(Y81/J81,"0")</f>
        <v>0.75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108</v>
      </c>
      <c r="Y82" s="270">
        <f>IFERROR(SUM(Y80:Y81),"0")</f>
        <v>108</v>
      </c>
      <c r="Z82" s="270">
        <f>IFERROR(IF(Z80="",0,Z80),"0")+IFERROR(IF(Z81="",0,Z81),"0")</f>
        <v>0.93527999999999989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540</v>
      </c>
      <c r="Y83" s="270">
        <f>IFERROR(SUMPRODUCT(Y80:Y81*H80:H81),"0")</f>
        <v>540</v>
      </c>
      <c r="Z83" s="37"/>
      <c r="AA83" s="271"/>
      <c r="AB83" s="271"/>
      <c r="AC83" s="271"/>
    </row>
    <row r="84" spans="1:68" ht="16.5" hidden="1" customHeight="1" x14ac:dyDescent="0.25">
      <c r="A84" s="288" t="s">
        <v>153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28</v>
      </c>
      <c r="Y86" s="269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28</v>
      </c>
      <c r="Y87" s="270">
        <f>IFERROR(SUM(Y86:Y86),"0")</f>
        <v>28</v>
      </c>
      <c r="Z87" s="270">
        <f>IFERROR(IF(Z86="",0,Z86),"0")</f>
        <v>0.50063999999999997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100.8</v>
      </c>
      <c r="Y88" s="270">
        <f>IFERROR(SUMPRODUCT(Y86:Y86*H86:H86),"0")</f>
        <v>100.8</v>
      </c>
      <c r="Z88" s="37"/>
      <c r="AA88" s="271"/>
      <c r="AB88" s="271"/>
      <c r="AC88" s="271"/>
    </row>
    <row r="89" spans="1:68" ht="16.5" hidden="1" customHeight="1" x14ac:dyDescent="0.25">
      <c r="A89" s="288" t="s">
        <v>157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158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hidden="1" customHeight="1" x14ac:dyDescent="0.25">
      <c r="A91" s="54" t="s">
        <v>159</v>
      </c>
      <c r="B91" s="54" t="s">
        <v>160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162</v>
      </c>
      <c r="B92" s="54" t="s">
        <v>163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hidden="1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hidden="1" customHeight="1" x14ac:dyDescent="0.25">
      <c r="A95" s="288" t="s">
        <v>165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hidden="1" customHeight="1" x14ac:dyDescent="0.25">
      <c r="A97" s="54" t="s">
        <v>166</v>
      </c>
      <c r="B97" s="54" t="s">
        <v>167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14</v>
      </c>
      <c r="Y98" s="269">
        <f t="shared" si="6"/>
        <v>14</v>
      </c>
      <c r="Z98" s="36">
        <f t="shared" si="7"/>
        <v>0.25031999999999999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50.170400000000001</v>
      </c>
      <c r="BN98" s="67">
        <f t="shared" si="9"/>
        <v>50.170400000000001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42</v>
      </c>
      <c r="Y100" s="269">
        <f t="shared" si="6"/>
        <v>42</v>
      </c>
      <c r="Z100" s="36">
        <f t="shared" si="7"/>
        <v>0.75095999999999996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98</v>
      </c>
      <c r="Y103" s="270">
        <f>IFERROR(SUM(Y97:Y102),"0")</f>
        <v>98</v>
      </c>
      <c r="Z103" s="270">
        <f>IFERROR(IF(Z97="",0,Z97),"0")+IFERROR(IF(Z98="",0,Z98),"0")+IFERROR(IF(Z99="",0,Z99),"0")+IFERROR(IF(Z100="",0,Z100),"0")+IFERROR(IF(Z101="",0,Z101),"0")+IFERROR(IF(Z102="",0,Z102),"0")</f>
        <v>1.7522399999999996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314.15999999999997</v>
      </c>
      <c r="Y104" s="270">
        <f>IFERROR(SUMPRODUCT(Y97:Y102*H97:H102),"0")</f>
        <v>314.15999999999997</v>
      </c>
      <c r="Z104" s="37"/>
      <c r="AA104" s="271"/>
      <c r="AB104" s="271"/>
      <c r="AC104" s="271"/>
    </row>
    <row r="105" spans="1:68" ht="16.5" hidden="1" customHeight="1" x14ac:dyDescent="0.25">
      <c r="A105" s="288" t="s">
        <v>180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14</v>
      </c>
      <c r="Y108" s="269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14</v>
      </c>
      <c r="Y109" s="270">
        <f>IFERROR(SUM(Y107:Y108),"0")</f>
        <v>14</v>
      </c>
      <c r="Z109" s="270">
        <f>IFERROR(IF(Z107="",0,Z107),"0")+IFERROR(IF(Z108="",0,Z108),"0")</f>
        <v>0.25031999999999999</v>
      </c>
      <c r="AA109" s="271"/>
      <c r="AB109" s="271"/>
      <c r="AC109" s="271"/>
    </row>
    <row r="110" spans="1:68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50.4</v>
      </c>
      <c r="Y110" s="270">
        <f>IFERROR(SUMPRODUCT(Y107:Y108*H107:H108),"0")</f>
        <v>50.4</v>
      </c>
      <c r="Z110" s="37"/>
      <c r="AA110" s="271"/>
      <c r="AB110" s="271"/>
      <c r="AC110" s="271"/>
    </row>
    <row r="111" spans="1:68" ht="16.5" hidden="1" customHeight="1" x14ac:dyDescent="0.25">
      <c r="A111" s="288" t="s">
        <v>186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187</v>
      </c>
      <c r="B113" s="54" t="s">
        <v>188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194</v>
      </c>
      <c r="B115" s="54" t="s">
        <v>195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60</v>
      </c>
      <c r="Y116" s="269">
        <f t="shared" si="12"/>
        <v>60</v>
      </c>
      <c r="Z116" s="36">
        <f t="shared" si="13"/>
        <v>0.92999999999999994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438</v>
      </c>
      <c r="BN116" s="67">
        <f t="shared" si="15"/>
        <v>438</v>
      </c>
      <c r="BO116" s="67">
        <f t="shared" si="16"/>
        <v>0.7142857142857143</v>
      </c>
      <c r="BP116" s="67">
        <f t="shared" si="17"/>
        <v>0.7142857142857143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201</v>
      </c>
      <c r="B118" s="54" t="s">
        <v>202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84</v>
      </c>
      <c r="Y119" s="269">
        <f t="shared" si="12"/>
        <v>84</v>
      </c>
      <c r="Z119" s="36">
        <f t="shared" si="13"/>
        <v>1.302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613.19999999999993</v>
      </c>
      <c r="BN119" s="67">
        <f t="shared" si="15"/>
        <v>613.19999999999993</v>
      </c>
      <c r="BO119" s="67">
        <f t="shared" si="16"/>
        <v>1</v>
      </c>
      <c r="BP119" s="67">
        <f t="shared" si="17"/>
        <v>1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144</v>
      </c>
      <c r="Y121" s="270">
        <f>IFERROR(SUM(Y113:Y120),"0")</f>
        <v>144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2.2320000000000002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1008</v>
      </c>
      <c r="Y122" s="270">
        <f>IFERROR(SUMPRODUCT(Y113:Y120*H113:H120),"0")</f>
        <v>1008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28</v>
      </c>
      <c r="Y124" s="269">
        <f>IFERROR(IF(X124="","",X124),"")</f>
        <v>28</v>
      </c>
      <c r="Z124" s="36">
        <f>IFERROR(IF(X124="","",X124*0.01788),"")</f>
        <v>0.50063999999999997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93.620800000000003</v>
      </c>
      <c r="BN124" s="67">
        <f>IFERROR(Y124*I124,"0")</f>
        <v>93.620800000000003</v>
      </c>
      <c r="BO124" s="67">
        <f>IFERROR(X124/J124,"0")</f>
        <v>0.4</v>
      </c>
      <c r="BP124" s="67">
        <f>IFERROR(Y124/J124,"0")</f>
        <v>0.4</v>
      </c>
    </row>
    <row r="125" spans="1:68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28</v>
      </c>
      <c r="Y125" s="270">
        <f>IFERROR(SUM(Y124:Y124),"0")</f>
        <v>28</v>
      </c>
      <c r="Z125" s="270">
        <f>IFERROR(IF(Z124="",0,Z124),"0")</f>
        <v>0.50063999999999997</v>
      </c>
      <c r="AA125" s="271"/>
      <c r="AB125" s="271"/>
      <c r="AC125" s="271"/>
    </row>
    <row r="126" spans="1:68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73.92</v>
      </c>
      <c r="Y126" s="270">
        <f>IFERROR(SUMPRODUCT(Y124:Y124*H124:H124),"0")</f>
        <v>73.92</v>
      </c>
      <c r="Z126" s="37"/>
      <c r="AA126" s="271"/>
      <c r="AB126" s="271"/>
      <c r="AC126" s="271"/>
    </row>
    <row r="127" spans="1:68" ht="14.25" hidden="1" customHeight="1" x14ac:dyDescent="0.25">
      <c r="A127" s="276" t="s">
        <v>211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215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hidden="1" customHeight="1" x14ac:dyDescent="0.25">
      <c r="A133" s="54" t="s">
        <v>216</v>
      </c>
      <c r="B133" s="54" t="s">
        <v>217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219</v>
      </c>
      <c r="B134" s="54" t="s">
        <v>220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hidden="1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hidden="1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hidden="1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hidden="1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211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14</v>
      </c>
      <c r="Y166" s="269">
        <f>IFERROR(IF(X166="","",X166),"")</f>
        <v>14</v>
      </c>
      <c r="Z166" s="36">
        <f>IFERROR(IF(X166="","",X166*0.00941),"")</f>
        <v>0.13174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29.425199999999997</v>
      </c>
      <c r="BN166" s="67">
        <f>IFERROR(Y166*I166,"0")</f>
        <v>29.425199999999997</v>
      </c>
      <c r="BO166" s="67">
        <f>IFERROR(X166/J166,"0")</f>
        <v>0.1</v>
      </c>
      <c r="BP166" s="67">
        <f>IFERROR(Y166/J166,"0")</f>
        <v>0.1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14</v>
      </c>
      <c r="Y167" s="270">
        <f>IFERROR(SUM(Y166:Y166),"0")</f>
        <v>14</v>
      </c>
      <c r="Z167" s="270">
        <f>IFERROR(IF(Z166="",0,Z166),"0")</f>
        <v>0.13174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23.52</v>
      </c>
      <c r="Y168" s="270">
        <f>IFERROR(SUMPRODUCT(Y166:Y166*H166:H166),"0")</f>
        <v>23.52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60</v>
      </c>
      <c r="Y173" s="269">
        <f>IFERROR(IF(X173="","",X173),"")</f>
        <v>60</v>
      </c>
      <c r="Z173" s="36">
        <f>IFERROR(IF(X173="","",X173*0.00866),"")</f>
        <v>0.51959999999999995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312.79199999999997</v>
      </c>
      <c r="BN173" s="67">
        <f>IFERROR(Y173*I173,"0")</f>
        <v>312.79199999999997</v>
      </c>
      <c r="BO173" s="67">
        <f>IFERROR(X173/J173,"0")</f>
        <v>0.41666666666666669</v>
      </c>
      <c r="BP173" s="67">
        <f>IFERROR(Y173/J173,"0")</f>
        <v>0.41666666666666669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60</v>
      </c>
      <c r="Y174" s="270">
        <f>IFERROR(SUM(Y172:Y173),"0")</f>
        <v>60</v>
      </c>
      <c r="Z174" s="270">
        <f>IFERROR(IF(Z172="",0,Z172),"0")+IFERROR(IF(Z173="",0,Z173),"0")</f>
        <v>0.51959999999999995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300</v>
      </c>
      <c r="Y175" s="270">
        <f>IFERROR(SUMPRODUCT(Y172:Y173*H172:H173),"0")</f>
        <v>300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47.432000000000002</v>
      </c>
      <c r="BN179" s="67">
        <f>IFERROR(Y179*I179,"0")</f>
        <v>47.432000000000002</v>
      </c>
      <c r="BO179" s="67">
        <f>IFERROR(X179/J179,"0")</f>
        <v>0.2</v>
      </c>
      <c r="BP179" s="67">
        <f>IFERROR(Y179/J179,"0")</f>
        <v>0.2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14</v>
      </c>
      <c r="Y182" s="270">
        <f>IFERROR(SUM(Y179:Y181),"0")</f>
        <v>14</v>
      </c>
      <c r="Z182" s="270">
        <f>IFERROR(IF(Z179="",0,Z179),"0")+IFERROR(IF(Z180="",0,Z180),"0")+IFERROR(IF(Z181="",0,Z181),"0")</f>
        <v>0.25031999999999999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42</v>
      </c>
      <c r="Y183" s="270">
        <f>IFERROR(SUMPRODUCT(Y179:Y181*H179:H181),"0")</f>
        <v>42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28</v>
      </c>
      <c r="Y191" s="269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83.44</v>
      </c>
      <c r="BN191" s="67">
        <f>IFERROR(Y191*I191,"0")</f>
        <v>83.44</v>
      </c>
      <c r="BO191" s="67">
        <f>IFERROR(X191/J191,"0")</f>
        <v>0.4</v>
      </c>
      <c r="BP191" s="67">
        <f>IFERROR(Y191/J191,"0")</f>
        <v>0.4</v>
      </c>
    </row>
    <row r="192" spans="1:68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28</v>
      </c>
      <c r="Y192" s="270">
        <f>IFERROR(SUM(Y191:Y191),"0")</f>
        <v>28</v>
      </c>
      <c r="Z192" s="270">
        <f>IFERROR(IF(Z191="",0,Z191),"0")</f>
        <v>0.50063999999999997</v>
      </c>
      <c r="AA192" s="271"/>
      <c r="AB192" s="271"/>
      <c r="AC192" s="271"/>
    </row>
    <row r="193" spans="1:68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77.28</v>
      </c>
      <c r="Y193" s="270">
        <f>IFERROR(SUMPRODUCT(Y191:Y191*H191:H191),"0")</f>
        <v>77.28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120</v>
      </c>
      <c r="Y226" s="269">
        <f>IFERROR(IF(X226="","",X226),"")</f>
        <v>120</v>
      </c>
      <c r="Z226" s="36">
        <f>IFERROR(IF(X226="","",X226*0.0155),"")</f>
        <v>1.8599999999999999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631.43999999999994</v>
      </c>
      <c r="BN226" s="67">
        <f>IFERROR(Y226*I226,"0")</f>
        <v>631.43999999999994</v>
      </c>
      <c r="BO226" s="67">
        <f>IFERROR(X226/J226,"0")</f>
        <v>1.4285714285714286</v>
      </c>
      <c r="BP226" s="67">
        <f>IFERROR(Y226/J226,"0")</f>
        <v>1.4285714285714286</v>
      </c>
    </row>
    <row r="227" spans="1:68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120</v>
      </c>
      <c r="Y227" s="270">
        <f>IFERROR(SUM(Y226:Y226),"0")</f>
        <v>120</v>
      </c>
      <c r="Z227" s="270">
        <f>IFERROR(IF(Z226="",0,Z226),"0")</f>
        <v>1.8599999999999999</v>
      </c>
      <c r="AA227" s="271"/>
      <c r="AB227" s="271"/>
      <c r="AC227" s="271"/>
    </row>
    <row r="228" spans="1:68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600</v>
      </c>
      <c r="Y228" s="270">
        <f>IFERROR(SUMPRODUCT(Y226:Y226*H226:H226),"0")</f>
        <v>600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24</v>
      </c>
      <c r="Y243" s="269">
        <f>IFERROR(IF(X243="","",X243),"")</f>
        <v>24</v>
      </c>
      <c r="Z243" s="36">
        <f>IFERROR(IF(X243="","",X243*0.0155),"")</f>
        <v>0.372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174.72</v>
      </c>
      <c r="BN243" s="67">
        <f>IFERROR(Y243*I243,"0")</f>
        <v>174.72</v>
      </c>
      <c r="BO243" s="67">
        <f>IFERROR(X243/J243,"0")</f>
        <v>0.2857142857142857</v>
      </c>
      <c r="BP243" s="67">
        <f>IFERROR(Y243/J243,"0")</f>
        <v>0.2857142857142857</v>
      </c>
    </row>
    <row r="244" spans="1:68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24</v>
      </c>
      <c r="Y244" s="270">
        <f>IFERROR(SUM(Y242:Y243),"0")</f>
        <v>24</v>
      </c>
      <c r="Z244" s="270">
        <f>IFERROR(IF(Z242="",0,Z242),"0")+IFERROR(IF(Z243="",0,Z243),"0")</f>
        <v>0.372</v>
      </c>
      <c r="AA244" s="271"/>
      <c r="AB244" s="271"/>
      <c r="AC244" s="271"/>
    </row>
    <row r="245" spans="1:68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168</v>
      </c>
      <c r="Y245" s="270">
        <f>IFERROR(SUMPRODUCT(Y242:Y243*H242:H243),"0")</f>
        <v>168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96</v>
      </c>
      <c r="Y247" s="269">
        <f>IFERROR(IF(X247="","",X247),"")</f>
        <v>96</v>
      </c>
      <c r="Z247" s="36">
        <f>IFERROR(IF(X247="","",X247*0.0155),"")</f>
        <v>1.488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600.96</v>
      </c>
      <c r="BN247" s="67">
        <f>IFERROR(Y247*I247,"0")</f>
        <v>600.96</v>
      </c>
      <c r="BO247" s="67">
        <f>IFERROR(X247/J247,"0")</f>
        <v>1.1428571428571428</v>
      </c>
      <c r="BP247" s="67">
        <f>IFERROR(Y247/J247,"0")</f>
        <v>1.1428571428571428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96</v>
      </c>
      <c r="Y249" s="270">
        <f>IFERROR(SUM(Y247:Y248),"0")</f>
        <v>96</v>
      </c>
      <c r="Z249" s="270">
        <f>IFERROR(IF(Z247="",0,Z247),"0")+IFERROR(IF(Z248="",0,Z248),"0")</f>
        <v>1.488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576</v>
      </c>
      <c r="Y250" s="270">
        <f>IFERROR(SUMPRODUCT(Y247:Y248*H247:H248),"0")</f>
        <v>576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156</v>
      </c>
      <c r="Y253" s="269">
        <f>IFERROR(IF(X253="","",X253),"")</f>
        <v>156</v>
      </c>
      <c r="Z253" s="36">
        <f>IFERROR(IF(X253="","",X253*0.0155),"")</f>
        <v>2.4180000000000001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816.66000000000008</v>
      </c>
      <c r="BN253" s="67">
        <f>IFERROR(Y253*I253,"0")</f>
        <v>816.66000000000008</v>
      </c>
      <c r="BO253" s="67">
        <f>IFERROR(X253/J253,"0")</f>
        <v>1.8571428571428572</v>
      </c>
      <c r="BP253" s="67">
        <f>IFERROR(Y253/J253,"0")</f>
        <v>1.8571428571428572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156</v>
      </c>
      <c r="Y255" s="270">
        <f>IFERROR(SUM(Y252:Y254),"0")</f>
        <v>156</v>
      </c>
      <c r="Z255" s="270">
        <f>IFERROR(IF(Z252="",0,Z252),"0")+IFERROR(IF(Z253="",0,Z253),"0")+IFERROR(IF(Z254="",0,Z254),"0")</f>
        <v>2.4180000000000001</v>
      </c>
      <c r="AA255" s="271"/>
      <c r="AB255" s="271"/>
      <c r="AC255" s="271"/>
    </row>
    <row r="256" spans="1:68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780</v>
      </c>
      <c r="Y256" s="270">
        <f>IFERROR(SUMPRODUCT(Y252:Y254*H252:H254),"0")</f>
        <v>780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14</v>
      </c>
      <c r="Y259" s="269">
        <f t="shared" si="18"/>
        <v>14</v>
      </c>
      <c r="Z259" s="36">
        <f>IFERROR(IF(X259="","",X259*0.00936),"")</f>
        <v>0.13103999999999999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54.488</v>
      </c>
      <c r="BN259" s="67">
        <f t="shared" si="20"/>
        <v>54.488</v>
      </c>
      <c r="BO259" s="67">
        <f t="shared" si="21"/>
        <v>0.1111111111111111</v>
      </c>
      <c r="BP259" s="67">
        <f t="shared" si="22"/>
        <v>0.1111111111111111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28</v>
      </c>
      <c r="Y261" s="269">
        <f t="shared" si="18"/>
        <v>28</v>
      </c>
      <c r="Z261" s="36">
        <f t="shared" ref="Z261:Z266" si="23">IFERROR(IF(X261="","",X261*0.00936),"")</f>
        <v>0.26207999999999998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89.376000000000005</v>
      </c>
      <c r="BN261" s="67">
        <f t="shared" si="20"/>
        <v>89.376000000000005</v>
      </c>
      <c r="BO261" s="67">
        <f t="shared" si="21"/>
        <v>0.22222222222222221</v>
      </c>
      <c r="BP261" s="67">
        <f t="shared" si="22"/>
        <v>0.22222222222222221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42</v>
      </c>
      <c r="Y268" s="270">
        <f>IFERROR(SUM(Y258:Y267),"0")</f>
        <v>42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0.39311999999999997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135.80000000000001</v>
      </c>
      <c r="Y269" s="270">
        <f>IFERROR(SUMPRODUCT(Y258:Y267*H258:H267),"0")</f>
        <v>135.80000000000001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5481.0800000000008</v>
      </c>
      <c r="Y270" s="270">
        <f>IFERROR(Y29+Y35+Y42+Y49+Y57+Y62+Y66+Y71+Y77+Y83+Y88+Y94+Y104+Y110+Y122+Y126+Y130+Y136+Y142+Y148+Y153+Y158+Y163+Y168+Y175+Y183+Y187+Y193+Y201+Y206+Y211+Y216+Y222+Y228+Y234+Y238+Y245+Y250+Y256+Y269,"0")</f>
        <v>5481.0800000000008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5846.8612000000003</v>
      </c>
      <c r="Y271" s="270">
        <f>IFERROR(SUM(BN22:BN267),"0")</f>
        <v>5846.8612000000003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13</v>
      </c>
      <c r="Y272" s="38">
        <f>ROUNDUP(SUM(BP22:BP267),0)</f>
        <v>13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6171.8612000000003</v>
      </c>
      <c r="Y273" s="270">
        <f>GrossWeightTotalR+PalletQtyTotalR*25</f>
        <v>6171.8612000000003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1126</v>
      </c>
      <c r="Y274" s="270">
        <f>IFERROR(Y28+Y34+Y41+Y48+Y56+Y61+Y65+Y70+Y76+Y82+Y87+Y93+Y103+Y109+Y121+Y125+Y129+Y135+Y141+Y147+Y152+Y157+Y162+Y167+Y174+Y182+Y186+Y192+Y200+Y205+Y210+Y215+Y221+Y227+Y233+Y237+Y244+Y249+Y255+Y268,"0")</f>
        <v>1126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16.119500000000002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146</v>
      </c>
      <c r="I278" s="294" t="s">
        <v>153</v>
      </c>
      <c r="J278" s="294" t="s">
        <v>157</v>
      </c>
      <c r="K278" s="294" t="s">
        <v>165</v>
      </c>
      <c r="L278" s="294" t="s">
        <v>180</v>
      </c>
      <c r="M278" s="294" t="s">
        <v>186</v>
      </c>
      <c r="N278" s="266"/>
      <c r="O278" s="294" t="s">
        <v>215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86.4</v>
      </c>
      <c r="C280" s="46">
        <f>IFERROR(X32*H32,"0")+IFERROR(X33*H33,"0")</f>
        <v>0</v>
      </c>
      <c r="D280" s="46">
        <f>IFERROR(X39*H39,"0")+IFERROR(X40*H40,"0")</f>
        <v>84</v>
      </c>
      <c r="E280" s="46">
        <f>IFERROR(X45*H45,"0")+IFERROR(X46*H46,"0")+IFERROR(X47*H47,"0")</f>
        <v>268.79999999999995</v>
      </c>
      <c r="F280" s="46">
        <f>IFERROR(X52*H52,"0")+IFERROR(X53*H53,"0")+IFERROR(X54*H54,"0")+IFERROR(X55*H55,"0")</f>
        <v>252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540</v>
      </c>
      <c r="I280" s="46">
        <f>IFERROR(X86*H86,"0")</f>
        <v>100.8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314.15999999999997</v>
      </c>
      <c r="L280" s="46">
        <f>IFERROR(X107*H107,"0")+IFERROR(X108*H108,"0")</f>
        <v>50.4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1081.92</v>
      </c>
      <c r="N280" s="266"/>
      <c r="O280" s="46">
        <f>IFERROR(X133*H133,"0")+IFERROR(X134*H134,"0")</f>
        <v>0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23.52</v>
      </c>
      <c r="V280" s="46">
        <f>IFERROR(X172*H172,"0")+IFERROR(X173*H173,"0")</f>
        <v>300</v>
      </c>
      <c r="W280" s="46">
        <f>IFERROR(X179*H179,"0")+IFERROR(X180*H180,"0")+IFERROR(X181*H181,"0")+IFERROR(X185*H185,"0")</f>
        <v>42</v>
      </c>
      <c r="X280" s="46">
        <f>IFERROR(X191*H191,"0")+IFERROR(X195*H195,"0")+IFERROR(X196*H196,"0")+IFERROR(X197*H197,"0")+IFERROR(X198*H198,"0")+IFERROR(X199*H199,"0")</f>
        <v>77.28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600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1659.8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3223.2</v>
      </c>
      <c r="B283" s="60">
        <f>SUMPRODUCT(--(BB:BB="ПГП"),--(W:W="кор"),H:H,Y:Y)+SUMPRODUCT(--(BB:BB="ПГП"),--(W:W="кг"),Y:Y)</f>
        <v>2257.88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126,00"/>
        <filter val="100,80"/>
        <filter val="108,00"/>
        <filter val="12,00"/>
        <filter val="120,00"/>
        <filter val="13"/>
        <filter val="135,80"/>
        <filter val="14,00"/>
        <filter val="144,00"/>
        <filter val="156,00"/>
        <filter val="168,00"/>
        <filter val="23,52"/>
        <filter val="24,00"/>
        <filter val="252,00"/>
        <filter val="268,80"/>
        <filter val="28,00"/>
        <filter val="300,00"/>
        <filter val="314,16"/>
        <filter val="36,00"/>
        <filter val="42,00"/>
        <filter val="48,00"/>
        <filter val="5 481,08"/>
        <filter val="5 846,86"/>
        <filter val="50,40"/>
        <filter val="540,00"/>
        <filter val="56,00"/>
        <filter val="576,00"/>
        <filter val="6 171,86"/>
        <filter val="60,00"/>
        <filter val="600,00"/>
        <filter val="73,92"/>
        <filter val="77,28"/>
        <filter val="780,00"/>
        <filter val="84,00"/>
        <filter val="86,40"/>
        <filter val="96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2025-12-29T13:07:59Z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