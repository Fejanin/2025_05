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358F768-B7E6-46D6-9EC7-2AD721B8B4F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O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BP144" i="1" s="1"/>
  <c r="P144" i="1"/>
  <c r="X141" i="1"/>
  <c r="X140" i="1"/>
  <c r="BO139" i="1"/>
  <c r="BM139" i="1"/>
  <c r="Y139" i="1"/>
  <c r="BP139" i="1" s="1"/>
  <c r="P139" i="1"/>
  <c r="BO138" i="1"/>
  <c r="BM138" i="1"/>
  <c r="Y138" i="1"/>
  <c r="Y140" i="1" s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P133" i="1"/>
  <c r="X131" i="1"/>
  <c r="X130" i="1"/>
  <c r="BO129" i="1"/>
  <c r="BM129" i="1"/>
  <c r="Y129" i="1"/>
  <c r="BP129" i="1" s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81" i="1" l="1"/>
  <c r="BN81" i="1"/>
  <c r="Z81" i="1"/>
  <c r="BP118" i="1"/>
  <c r="BN118" i="1"/>
  <c r="Z118" i="1"/>
  <c r="BP165" i="1"/>
  <c r="BN165" i="1"/>
  <c r="Z165" i="1"/>
  <c r="BP201" i="1"/>
  <c r="BN201" i="1"/>
  <c r="Z201" i="1"/>
  <c r="BP225" i="1"/>
  <c r="BN225" i="1"/>
  <c r="Z225" i="1"/>
  <c r="BP254" i="1"/>
  <c r="BN254" i="1"/>
  <c r="Z254" i="1"/>
  <c r="BP284" i="1"/>
  <c r="BN284" i="1"/>
  <c r="Z284" i="1"/>
  <c r="BP288" i="1"/>
  <c r="BN288" i="1"/>
  <c r="Z288" i="1"/>
  <c r="Z290" i="1" s="1"/>
  <c r="BP315" i="1"/>
  <c r="BN315" i="1"/>
  <c r="Z315" i="1"/>
  <c r="BP351" i="1"/>
  <c r="BN351" i="1"/>
  <c r="Z351" i="1"/>
  <c r="BP394" i="1"/>
  <c r="BN394" i="1"/>
  <c r="Z394" i="1"/>
  <c r="BP431" i="1"/>
  <c r="BN431" i="1"/>
  <c r="Z431" i="1"/>
  <c r="BP463" i="1"/>
  <c r="BN463" i="1"/>
  <c r="Z463" i="1"/>
  <c r="X496" i="1"/>
  <c r="Z28" i="1"/>
  <c r="BN28" i="1"/>
  <c r="Z55" i="1"/>
  <c r="BN55" i="1"/>
  <c r="BP67" i="1"/>
  <c r="BN67" i="1"/>
  <c r="Z67" i="1"/>
  <c r="BP89" i="1"/>
  <c r="BN89" i="1"/>
  <c r="Z89" i="1"/>
  <c r="BP150" i="1"/>
  <c r="BN150" i="1"/>
  <c r="Z150" i="1"/>
  <c r="BP182" i="1"/>
  <c r="BN182" i="1"/>
  <c r="Z182" i="1"/>
  <c r="BP213" i="1"/>
  <c r="BN213" i="1"/>
  <c r="Z213" i="1"/>
  <c r="BP236" i="1"/>
  <c r="BN236" i="1"/>
  <c r="Z236" i="1"/>
  <c r="BP268" i="1"/>
  <c r="BN268" i="1"/>
  <c r="Z268" i="1"/>
  <c r="BP303" i="1"/>
  <c r="BN303" i="1"/>
  <c r="Z303" i="1"/>
  <c r="BP333" i="1"/>
  <c r="BN333" i="1"/>
  <c r="Z333" i="1"/>
  <c r="BP378" i="1"/>
  <c r="BN378" i="1"/>
  <c r="Z378" i="1"/>
  <c r="BP413" i="1"/>
  <c r="BN413" i="1"/>
  <c r="Z413" i="1"/>
  <c r="BP441" i="1"/>
  <c r="BN441" i="1"/>
  <c r="Z441" i="1"/>
  <c r="Y481" i="1"/>
  <c r="Y480" i="1"/>
  <c r="BP479" i="1"/>
  <c r="BN479" i="1"/>
  <c r="Z479" i="1"/>
  <c r="Z480" i="1" s="1"/>
  <c r="BP483" i="1"/>
  <c r="BN483" i="1"/>
  <c r="Z483" i="1"/>
  <c r="L502" i="1"/>
  <c r="J9" i="1"/>
  <c r="Y90" i="1"/>
  <c r="Y183" i="1"/>
  <c r="BP299" i="1"/>
  <c r="BN299" i="1"/>
  <c r="Z299" i="1"/>
  <c r="BP313" i="1"/>
  <c r="BN313" i="1"/>
  <c r="Z313" i="1"/>
  <c r="BP327" i="1"/>
  <c r="BN327" i="1"/>
  <c r="Z327" i="1"/>
  <c r="BP349" i="1"/>
  <c r="BN349" i="1"/>
  <c r="Z349" i="1"/>
  <c r="BP363" i="1"/>
  <c r="BN363" i="1"/>
  <c r="Z363" i="1"/>
  <c r="Y369" i="1"/>
  <c r="Y368" i="1"/>
  <c r="BP367" i="1"/>
  <c r="BN367" i="1"/>
  <c r="Z367" i="1"/>
  <c r="Z368" i="1" s="1"/>
  <c r="BP372" i="1"/>
  <c r="BN372" i="1"/>
  <c r="Z372" i="1"/>
  <c r="BP392" i="1"/>
  <c r="BN392" i="1"/>
  <c r="Z392" i="1"/>
  <c r="BP402" i="1"/>
  <c r="BN402" i="1"/>
  <c r="Z402" i="1"/>
  <c r="BP429" i="1"/>
  <c r="BN429" i="1"/>
  <c r="Z429" i="1"/>
  <c r="BP437" i="1"/>
  <c r="BN437" i="1"/>
  <c r="Z437" i="1"/>
  <c r="BP451" i="1"/>
  <c r="BN451" i="1"/>
  <c r="Z451" i="1"/>
  <c r="BP475" i="1"/>
  <c r="BN475" i="1"/>
  <c r="Z475" i="1"/>
  <c r="F9" i="1"/>
  <c r="F10" i="1"/>
  <c r="Z22" i="1"/>
  <c r="BN22" i="1"/>
  <c r="Y32" i="1"/>
  <c r="Z30" i="1"/>
  <c r="BN30" i="1"/>
  <c r="C502" i="1"/>
  <c r="Z53" i="1"/>
  <c r="BN53" i="1"/>
  <c r="Z57" i="1"/>
  <c r="BN57" i="1"/>
  <c r="Y65" i="1"/>
  <c r="Z63" i="1"/>
  <c r="BN63" i="1"/>
  <c r="Z69" i="1"/>
  <c r="BN69" i="1"/>
  <c r="Y77" i="1"/>
  <c r="Z75" i="1"/>
  <c r="BN75" i="1"/>
  <c r="Z86" i="1"/>
  <c r="Z90" i="1" s="1"/>
  <c r="BN86" i="1"/>
  <c r="Z87" i="1"/>
  <c r="BN87" i="1"/>
  <c r="Z95" i="1"/>
  <c r="BN95" i="1"/>
  <c r="Z103" i="1"/>
  <c r="BN103" i="1"/>
  <c r="Z109" i="1"/>
  <c r="Z113" i="1" s="1"/>
  <c r="BN109" i="1"/>
  <c r="Z110" i="1"/>
  <c r="BN110" i="1"/>
  <c r="Z116" i="1"/>
  <c r="BN116" i="1"/>
  <c r="BP116" i="1"/>
  <c r="Z129" i="1"/>
  <c r="BN129" i="1"/>
  <c r="Y135" i="1"/>
  <c r="Z139" i="1"/>
  <c r="BN139" i="1"/>
  <c r="Z144" i="1"/>
  <c r="BN144" i="1"/>
  <c r="Y178" i="1"/>
  <c r="Z167" i="1"/>
  <c r="BN167" i="1"/>
  <c r="Z171" i="1"/>
  <c r="BN171" i="1"/>
  <c r="Z174" i="1"/>
  <c r="BN174" i="1"/>
  <c r="Z180" i="1"/>
  <c r="BN180" i="1"/>
  <c r="BP180" i="1"/>
  <c r="Z197" i="1"/>
  <c r="BN197" i="1"/>
  <c r="Z203" i="1"/>
  <c r="BN203" i="1"/>
  <c r="Z207" i="1"/>
  <c r="BN207" i="1"/>
  <c r="Z215" i="1"/>
  <c r="BN215" i="1"/>
  <c r="Z219" i="1"/>
  <c r="BN219" i="1"/>
  <c r="Z230" i="1"/>
  <c r="BN230" i="1"/>
  <c r="Z234" i="1"/>
  <c r="BN234" i="1"/>
  <c r="Z238" i="1"/>
  <c r="BN238" i="1"/>
  <c r="Y256" i="1"/>
  <c r="Z252" i="1"/>
  <c r="BN252" i="1"/>
  <c r="Z259" i="1"/>
  <c r="BN259" i="1"/>
  <c r="BP259" i="1"/>
  <c r="Z263" i="1"/>
  <c r="BN263" i="1"/>
  <c r="Z270" i="1"/>
  <c r="BN270" i="1"/>
  <c r="BP277" i="1"/>
  <c r="BN277" i="1"/>
  <c r="BP295" i="1"/>
  <c r="BN295" i="1"/>
  <c r="Z295" i="1"/>
  <c r="BP305" i="1"/>
  <c r="BN305" i="1"/>
  <c r="Z305" i="1"/>
  <c r="Y323" i="1"/>
  <c r="BP319" i="1"/>
  <c r="BN319" i="1"/>
  <c r="Z319" i="1"/>
  <c r="BP340" i="1"/>
  <c r="BN340" i="1"/>
  <c r="Z340" i="1"/>
  <c r="BP353" i="1"/>
  <c r="BN353" i="1"/>
  <c r="Z353" i="1"/>
  <c r="Y386" i="1"/>
  <c r="BP382" i="1"/>
  <c r="BN382" i="1"/>
  <c r="Z382" i="1"/>
  <c r="BP396" i="1"/>
  <c r="BN396" i="1"/>
  <c r="Z396" i="1"/>
  <c r="BP415" i="1"/>
  <c r="BN415" i="1"/>
  <c r="Z415" i="1"/>
  <c r="BP433" i="1"/>
  <c r="BN433" i="1"/>
  <c r="Z433" i="1"/>
  <c r="BP443" i="1"/>
  <c r="BN443" i="1"/>
  <c r="Z443" i="1"/>
  <c r="BP447" i="1"/>
  <c r="BN447" i="1"/>
  <c r="Z447" i="1"/>
  <c r="BP465" i="1"/>
  <c r="BN465" i="1"/>
  <c r="Z465" i="1"/>
  <c r="Y309" i="1"/>
  <c r="Y359" i="1"/>
  <c r="Y445" i="1"/>
  <c r="Y444" i="1"/>
  <c r="Y485" i="1"/>
  <c r="W502" i="1"/>
  <c r="Y25" i="1"/>
  <c r="Y33" i="1"/>
  <c r="Y37" i="1"/>
  <c r="Y45" i="1"/>
  <c r="Y49" i="1"/>
  <c r="Y58" i="1"/>
  <c r="Y64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BP102" i="1"/>
  <c r="BN102" i="1"/>
  <c r="Z102" i="1"/>
  <c r="Y106" i="1"/>
  <c r="BP111" i="1"/>
  <c r="BN111" i="1"/>
  <c r="Z111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BP145" i="1"/>
  <c r="BN145" i="1"/>
  <c r="Z145" i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Z193" i="1" s="1"/>
  <c r="Y194" i="1"/>
  <c r="Y199" i="1"/>
  <c r="BP196" i="1"/>
  <c r="BN196" i="1"/>
  <c r="Z196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Z24" i="1" s="1"/>
  <c r="BN23" i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Y71" i="1"/>
  <c r="Z68" i="1"/>
  <c r="Z70" i="1" s="1"/>
  <c r="BN68" i="1"/>
  <c r="Y70" i="1"/>
  <c r="BP74" i="1"/>
  <c r="BN74" i="1"/>
  <c r="Z74" i="1"/>
  <c r="Y82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Y130" i="1"/>
  <c r="BP134" i="1"/>
  <c r="BN134" i="1"/>
  <c r="Z134" i="1"/>
  <c r="Z135" i="1" s="1"/>
  <c r="Y136" i="1"/>
  <c r="Y141" i="1"/>
  <c r="BP138" i="1"/>
  <c r="BN138" i="1"/>
  <c r="Z138" i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BP173" i="1"/>
  <c r="BN173" i="1"/>
  <c r="Z173" i="1"/>
  <c r="Y177" i="1"/>
  <c r="BP181" i="1"/>
  <c r="BN181" i="1"/>
  <c r="Z181" i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Y264" i="1"/>
  <c r="BP269" i="1"/>
  <c r="BN269" i="1"/>
  <c r="Z269" i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Z354" i="1"/>
  <c r="BP348" i="1"/>
  <c r="BN348" i="1"/>
  <c r="Z348" i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Z385" i="1"/>
  <c r="BP383" i="1"/>
  <c r="BN383" i="1"/>
  <c r="Z383" i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Z466" i="1" s="1"/>
  <c r="Y466" i="1"/>
  <c r="BP470" i="1"/>
  <c r="BN470" i="1"/>
  <c r="Z470" i="1"/>
  <c r="Z471" i="1" s="1"/>
  <c r="Y472" i="1"/>
  <c r="Y477" i="1"/>
  <c r="BP474" i="1"/>
  <c r="BN474" i="1"/>
  <c r="Z474" i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97" i="1" l="1"/>
  <c r="Z485" i="1"/>
  <c r="Z272" i="1"/>
  <c r="Z379" i="1"/>
  <c r="Z140" i="1"/>
  <c r="Z77" i="1"/>
  <c r="Z58" i="1"/>
  <c r="Z198" i="1"/>
  <c r="Z146" i="1"/>
  <c r="Z183" i="1"/>
  <c r="Z399" i="1"/>
  <c r="Y494" i="1"/>
  <c r="Y495" i="1" s="1"/>
  <c r="Y493" i="1"/>
  <c r="Z329" i="1"/>
  <c r="Z476" i="1"/>
  <c r="Z453" i="1"/>
  <c r="Z364" i="1"/>
  <c r="Z438" i="1"/>
  <c r="Z309" i="1"/>
  <c r="Z264" i="1"/>
  <c r="Z177" i="1"/>
  <c r="Z130" i="1"/>
  <c r="Z300" i="1"/>
  <c r="Z416" i="1"/>
  <c r="Z316" i="1"/>
  <c r="Z209" i="1"/>
  <c r="Z120" i="1"/>
  <c r="Z106" i="1"/>
  <c r="Z44" i="1"/>
  <c r="Z32" i="1"/>
  <c r="Y496" i="1"/>
  <c r="X495" i="1"/>
  <c r="Z342" i="1"/>
  <c r="Z279" i="1"/>
  <c r="Z221" i="1"/>
  <c r="Z152" i="1"/>
  <c r="Y492" i="1"/>
  <c r="Z497" i="1" l="1"/>
</calcChain>
</file>

<file path=xl/sharedStrings.xml><?xml version="1.0" encoding="utf-8"?>
<sst xmlns="http://schemas.openxmlformats.org/spreadsheetml/2006/main" count="2253" uniqueCount="779">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</sst>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9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8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68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0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0" customWidth="1"/>
    <col min="19" max="19" width="6.140625" style="54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0" customWidth="1"/>
    <col min="25" max="25" width="11" style="540" customWidth="1"/>
    <col min="26" max="26" width="10" style="540" customWidth="1"/>
    <col min="27" max="27" width="11.5703125" style="540" customWidth="1"/>
    <col min="28" max="28" width="10.42578125" style="540" customWidth="1"/>
    <col min="29" max="29" width="30" style="54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0" customWidth="1"/>
    <col min="34" max="34" width="9.140625" style="540" customWidth="1"/>
    <col min="35" max="16384" width="9.140625" style="540"/>
  </cols>
  <sheetData>
    <row r="1" spans="1:32" s="544" customFormat="1" ht="45" customHeight="1" x14ac:dyDescent="0.2">
      <c r="A1" s="41"/>
      <c r="B1" s="41"/>
      <c r="C1" s="41"/>
      <c r="D1" s="636" t="s">
        <v>0</v>
      </c>
      <c r="E1" s="571"/>
      <c r="F1" s="571"/>
      <c r="G1" s="12" t="s">
        <v>1</v>
      </c>
      <c r="H1" s="636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7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4" customFormat="1" ht="23.45" customHeight="1" x14ac:dyDescent="0.2">
      <c r="A5" s="716" t="s">
        <v>8</v>
      </c>
      <c r="B5" s="576"/>
      <c r="C5" s="577"/>
      <c r="D5" s="718"/>
      <c r="E5" s="719"/>
      <c r="F5" s="830" t="s">
        <v>9</v>
      </c>
      <c r="G5" s="577"/>
      <c r="H5" s="718" t="s">
        <v>778</v>
      </c>
      <c r="I5" s="772"/>
      <c r="J5" s="772"/>
      <c r="K5" s="772"/>
      <c r="L5" s="772"/>
      <c r="M5" s="719"/>
      <c r="N5" s="58"/>
      <c r="P5" s="24" t="s">
        <v>10</v>
      </c>
      <c r="Q5" s="857">
        <v>46005</v>
      </c>
      <c r="R5" s="675"/>
      <c r="T5" s="709" t="s">
        <v>11</v>
      </c>
      <c r="U5" s="710"/>
      <c r="V5" s="712" t="s">
        <v>12</v>
      </c>
      <c r="W5" s="675"/>
      <c r="AB5" s="51"/>
      <c r="AC5" s="51"/>
      <c r="AD5" s="51"/>
      <c r="AE5" s="51"/>
    </row>
    <row r="6" spans="1:32" s="544" customFormat="1" ht="24" customHeight="1" x14ac:dyDescent="0.2">
      <c r="A6" s="716" t="s">
        <v>13</v>
      </c>
      <c r="B6" s="576"/>
      <c r="C6" s="577"/>
      <c r="D6" s="775" t="s">
        <v>14</v>
      </c>
      <c r="E6" s="776"/>
      <c r="F6" s="776"/>
      <c r="G6" s="776"/>
      <c r="H6" s="776"/>
      <c r="I6" s="776"/>
      <c r="J6" s="776"/>
      <c r="K6" s="776"/>
      <c r="L6" s="776"/>
      <c r="M6" s="675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Воскресенье</v>
      </c>
      <c r="R6" s="558"/>
      <c r="T6" s="715" t="s">
        <v>16</v>
      </c>
      <c r="U6" s="710"/>
      <c r="V6" s="760" t="s">
        <v>17</v>
      </c>
      <c r="W6" s="598"/>
      <c r="AB6" s="51"/>
      <c r="AC6" s="51"/>
      <c r="AD6" s="51"/>
      <c r="AE6" s="51"/>
    </row>
    <row r="7" spans="1:32" s="544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60"/>
      <c r="U7" s="710"/>
      <c r="V7" s="761"/>
      <c r="W7" s="762"/>
      <c r="AB7" s="51"/>
      <c r="AC7" s="51"/>
      <c r="AD7" s="51"/>
      <c r="AE7" s="51"/>
    </row>
    <row r="8" spans="1:32" s="544" customFormat="1" ht="25.5" customHeight="1" x14ac:dyDescent="0.2">
      <c r="A8" s="865" t="s">
        <v>18</v>
      </c>
      <c r="B8" s="564"/>
      <c r="C8" s="565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86">
        <v>0.375</v>
      </c>
      <c r="R8" s="601"/>
      <c r="T8" s="560"/>
      <c r="U8" s="710"/>
      <c r="V8" s="761"/>
      <c r="W8" s="762"/>
      <c r="AB8" s="51"/>
      <c r="AC8" s="51"/>
      <c r="AD8" s="51"/>
      <c r="AE8" s="51"/>
    </row>
    <row r="9" spans="1:32" s="544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717"/>
      <c r="E9" s="562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45"/>
      <c r="P9" s="26" t="s">
        <v>21</v>
      </c>
      <c r="Q9" s="671"/>
      <c r="R9" s="672"/>
      <c r="T9" s="560"/>
      <c r="U9" s="710"/>
      <c r="V9" s="763"/>
      <c r="W9" s="764"/>
      <c r="X9" s="43"/>
      <c r="Y9" s="43"/>
      <c r="Z9" s="43"/>
      <c r="AA9" s="43"/>
      <c r="AB9" s="51"/>
      <c r="AC9" s="51"/>
      <c r="AD9" s="51"/>
      <c r="AE9" s="51"/>
    </row>
    <row r="10" spans="1:32" s="544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717"/>
      <c r="E10" s="562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726" t="str">
        <f>IFERROR(VLOOKUP($D$10,Proxy,2,FALSE),"")</f>
        <v/>
      </c>
      <c r="I10" s="560"/>
      <c r="J10" s="560"/>
      <c r="K10" s="560"/>
      <c r="L10" s="560"/>
      <c r="M10" s="560"/>
      <c r="N10" s="543"/>
      <c r="P10" s="26" t="s">
        <v>22</v>
      </c>
      <c r="Q10" s="720"/>
      <c r="R10" s="721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799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4" customFormat="1" ht="18.600000000000001" customHeight="1" x14ac:dyDescent="0.2">
      <c r="A12" s="575" t="s">
        <v>29</v>
      </c>
      <c r="B12" s="576"/>
      <c r="C12" s="576"/>
      <c r="D12" s="576"/>
      <c r="E12" s="576"/>
      <c r="F12" s="576"/>
      <c r="G12" s="576"/>
      <c r="H12" s="576"/>
      <c r="I12" s="576"/>
      <c r="J12" s="576"/>
      <c r="K12" s="576"/>
      <c r="L12" s="576"/>
      <c r="M12" s="577"/>
      <c r="N12" s="62"/>
      <c r="P12" s="24" t="s">
        <v>30</v>
      </c>
      <c r="Q12" s="686"/>
      <c r="R12" s="601"/>
      <c r="S12" s="23"/>
      <c r="U12" s="24"/>
      <c r="V12" s="571"/>
      <c r="W12" s="560"/>
      <c r="AB12" s="51"/>
      <c r="AC12" s="51"/>
      <c r="AD12" s="51"/>
      <c r="AE12" s="51"/>
    </row>
    <row r="13" spans="1:32" s="544" customFormat="1" ht="23.25" customHeight="1" x14ac:dyDescent="0.2">
      <c r="A13" s="575" t="s">
        <v>31</v>
      </c>
      <c r="B13" s="576"/>
      <c r="C13" s="576"/>
      <c r="D13" s="576"/>
      <c r="E13" s="576"/>
      <c r="F13" s="576"/>
      <c r="G13" s="576"/>
      <c r="H13" s="576"/>
      <c r="I13" s="576"/>
      <c r="J13" s="576"/>
      <c r="K13" s="576"/>
      <c r="L13" s="576"/>
      <c r="M13" s="577"/>
      <c r="N13" s="62"/>
      <c r="O13" s="26"/>
      <c r="P13" s="26" t="s">
        <v>32</v>
      </c>
      <c r="Q13" s="799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4" customFormat="1" ht="18.600000000000001" customHeight="1" x14ac:dyDescent="0.2">
      <c r="A14" s="575" t="s">
        <v>33</v>
      </c>
      <c r="B14" s="576"/>
      <c r="C14" s="576"/>
      <c r="D14" s="576"/>
      <c r="E14" s="576"/>
      <c r="F14" s="576"/>
      <c r="G14" s="576"/>
      <c r="H14" s="576"/>
      <c r="I14" s="576"/>
      <c r="J14" s="576"/>
      <c r="K14" s="576"/>
      <c r="L14" s="576"/>
      <c r="M14" s="5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4" customFormat="1" ht="22.5" customHeight="1" x14ac:dyDescent="0.2">
      <c r="A15" s="724" t="s">
        <v>34</v>
      </c>
      <c r="B15" s="576"/>
      <c r="C15" s="576"/>
      <c r="D15" s="576"/>
      <c r="E15" s="576"/>
      <c r="F15" s="576"/>
      <c r="G15" s="576"/>
      <c r="H15" s="576"/>
      <c r="I15" s="576"/>
      <c r="J15" s="576"/>
      <c r="K15" s="576"/>
      <c r="L15" s="576"/>
      <c r="M15" s="577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02" t="s">
        <v>36</v>
      </c>
      <c r="B17" s="602" t="s">
        <v>37</v>
      </c>
      <c r="C17" s="692" t="s">
        <v>38</v>
      </c>
      <c r="D17" s="602" t="s">
        <v>39</v>
      </c>
      <c r="E17" s="660"/>
      <c r="F17" s="602" t="s">
        <v>40</v>
      </c>
      <c r="G17" s="602" t="s">
        <v>41</v>
      </c>
      <c r="H17" s="602" t="s">
        <v>42</v>
      </c>
      <c r="I17" s="602" t="s">
        <v>43</v>
      </c>
      <c r="J17" s="602" t="s">
        <v>44</v>
      </c>
      <c r="K17" s="602" t="s">
        <v>45</v>
      </c>
      <c r="L17" s="602" t="s">
        <v>46</v>
      </c>
      <c r="M17" s="602" t="s">
        <v>47</v>
      </c>
      <c r="N17" s="602" t="s">
        <v>48</v>
      </c>
      <c r="O17" s="602" t="s">
        <v>49</v>
      </c>
      <c r="P17" s="602" t="s">
        <v>50</v>
      </c>
      <c r="Q17" s="659"/>
      <c r="R17" s="659"/>
      <c r="S17" s="659"/>
      <c r="T17" s="660"/>
      <c r="U17" s="853" t="s">
        <v>51</v>
      </c>
      <c r="V17" s="577"/>
      <c r="W17" s="602" t="s">
        <v>52</v>
      </c>
      <c r="X17" s="602" t="s">
        <v>53</v>
      </c>
      <c r="Y17" s="854" t="s">
        <v>54</v>
      </c>
      <c r="Z17" s="770" t="s">
        <v>55</v>
      </c>
      <c r="AA17" s="753" t="s">
        <v>56</v>
      </c>
      <c r="AB17" s="753" t="s">
        <v>57</v>
      </c>
      <c r="AC17" s="753" t="s">
        <v>58</v>
      </c>
      <c r="AD17" s="753" t="s">
        <v>59</v>
      </c>
      <c r="AE17" s="825"/>
      <c r="AF17" s="826"/>
      <c r="AG17" s="66"/>
      <c r="BD17" s="65" t="s">
        <v>60</v>
      </c>
    </row>
    <row r="18" spans="1:68" ht="14.25" customHeight="1" x14ac:dyDescent="0.2">
      <c r="A18" s="603"/>
      <c r="B18" s="603"/>
      <c r="C18" s="603"/>
      <c r="D18" s="661"/>
      <c r="E18" s="663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61"/>
      <c r="Q18" s="662"/>
      <c r="R18" s="662"/>
      <c r="S18" s="662"/>
      <c r="T18" s="663"/>
      <c r="U18" s="67" t="s">
        <v>61</v>
      </c>
      <c r="V18" s="67" t="s">
        <v>62</v>
      </c>
      <c r="W18" s="603"/>
      <c r="X18" s="603"/>
      <c r="Y18" s="855"/>
      <c r="Z18" s="771"/>
      <c r="AA18" s="754"/>
      <c r="AB18" s="754"/>
      <c r="AC18" s="754"/>
      <c r="AD18" s="827"/>
      <c r="AE18" s="828"/>
      <c r="AF18" s="829"/>
      <c r="AG18" s="66"/>
      <c r="BD18" s="65"/>
    </row>
    <row r="19" spans="1:68" ht="27.75" hidden="1" customHeight="1" x14ac:dyDescent="0.2">
      <c r="A19" s="646" t="s">
        <v>63</v>
      </c>
      <c r="B19" s="647"/>
      <c r="C19" s="647"/>
      <c r="D19" s="647"/>
      <c r="E19" s="647"/>
      <c r="F19" s="647"/>
      <c r="G19" s="647"/>
      <c r="H19" s="647"/>
      <c r="I19" s="647"/>
      <c r="J19" s="647"/>
      <c r="K19" s="647"/>
      <c r="L19" s="647"/>
      <c r="M19" s="647"/>
      <c r="N19" s="647"/>
      <c r="O19" s="647"/>
      <c r="P19" s="647"/>
      <c r="Q19" s="647"/>
      <c r="R19" s="647"/>
      <c r="S19" s="647"/>
      <c r="T19" s="647"/>
      <c r="U19" s="647"/>
      <c r="V19" s="647"/>
      <c r="W19" s="647"/>
      <c r="X19" s="647"/>
      <c r="Y19" s="647"/>
      <c r="Z19" s="647"/>
      <c r="AA19" s="48"/>
      <c r="AB19" s="48"/>
      <c r="AC19" s="48"/>
    </row>
    <row r="20" spans="1:68" ht="16.5" hidden="1" customHeight="1" x14ac:dyDescent="0.25">
      <c r="A20" s="578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1"/>
      <c r="AB20" s="541"/>
      <c r="AC20" s="541"/>
    </row>
    <row r="21" spans="1:68" ht="14.25" hidden="1" customHeight="1" x14ac:dyDescent="0.25">
      <c r="A21" s="559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2"/>
      <c r="AB21" s="542"/>
      <c r="AC21" s="542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7">
        <v>4680115887510</v>
      </c>
      <c r="E22" s="558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7">
        <v>4680115886643</v>
      </c>
      <c r="E23" s="558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7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7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9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2"/>
      <c r="AB26" s="542"/>
      <c r="AC26" s="542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7">
        <v>4680115885912</v>
      </c>
      <c r="E27" s="558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7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84</v>
      </c>
      <c r="B28" s="54" t="s">
        <v>85</v>
      </c>
      <c r="C28" s="31">
        <v>4301051776</v>
      </c>
      <c r="D28" s="557">
        <v>4607091388237</v>
      </c>
      <c r="E28" s="558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86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87</v>
      </c>
      <c r="B29" s="54" t="s">
        <v>88</v>
      </c>
      <c r="C29" s="31">
        <v>4301052063</v>
      </c>
      <c r="D29" s="557">
        <v>4680115887350</v>
      </c>
      <c r="E29" s="558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89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90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4301051863</v>
      </c>
      <c r="D30" s="557">
        <v>4680115885905</v>
      </c>
      <c r="E30" s="558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89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7">
        <v>4607091388244</v>
      </c>
      <c r="E31" s="558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89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7"/>
      <c r="P32" s="563" t="s">
        <v>75</v>
      </c>
      <c r="Q32" s="564"/>
      <c r="R32" s="564"/>
      <c r="S32" s="564"/>
      <c r="T32" s="564"/>
      <c r="U32" s="564"/>
      <c r="V32" s="56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7"/>
      <c r="P33" s="563" t="s">
        <v>75</v>
      </c>
      <c r="Q33" s="564"/>
      <c r="R33" s="564"/>
      <c r="S33" s="564"/>
      <c r="T33" s="564"/>
      <c r="U33" s="564"/>
      <c r="V33" s="56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9" t="s">
        <v>96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2"/>
      <c r="AB34" s="542"/>
      <c r="AC34" s="542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7">
        <v>4607091388503</v>
      </c>
      <c r="E35" s="558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7"/>
      <c r="P36" s="563" t="s">
        <v>75</v>
      </c>
      <c r="Q36" s="564"/>
      <c r="R36" s="564"/>
      <c r="S36" s="564"/>
      <c r="T36" s="564"/>
      <c r="U36" s="564"/>
      <c r="V36" s="56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7"/>
      <c r="P37" s="563" t="s">
        <v>75</v>
      </c>
      <c r="Q37" s="564"/>
      <c r="R37" s="564"/>
      <c r="S37" s="564"/>
      <c r="T37" s="564"/>
      <c r="U37" s="564"/>
      <c r="V37" s="56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46" t="s">
        <v>102</v>
      </c>
      <c r="B38" s="647"/>
      <c r="C38" s="647"/>
      <c r="D38" s="647"/>
      <c r="E38" s="647"/>
      <c r="F38" s="647"/>
      <c r="G38" s="647"/>
      <c r="H38" s="647"/>
      <c r="I38" s="647"/>
      <c r="J38" s="647"/>
      <c r="K38" s="647"/>
      <c r="L38" s="647"/>
      <c r="M38" s="647"/>
      <c r="N38" s="647"/>
      <c r="O38" s="647"/>
      <c r="P38" s="647"/>
      <c r="Q38" s="647"/>
      <c r="R38" s="647"/>
      <c r="S38" s="647"/>
      <c r="T38" s="647"/>
      <c r="U38" s="647"/>
      <c r="V38" s="647"/>
      <c r="W38" s="647"/>
      <c r="X38" s="647"/>
      <c r="Y38" s="647"/>
      <c r="Z38" s="647"/>
      <c r="AA38" s="48"/>
      <c r="AB38" s="48"/>
      <c r="AC38" s="48"/>
    </row>
    <row r="39" spans="1:68" ht="16.5" hidden="1" customHeight="1" x14ac:dyDescent="0.25">
      <c r="A39" s="578" t="s">
        <v>103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1"/>
      <c r="AB39" s="541"/>
      <c r="AC39" s="541"/>
    </row>
    <row r="40" spans="1:68" ht="14.25" hidden="1" customHeight="1" x14ac:dyDescent="0.25">
      <c r="A40" s="559" t="s">
        <v>104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2"/>
      <c r="AB40" s="542"/>
      <c r="AC40" s="542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7">
        <v>4607091385670</v>
      </c>
      <c r="E41" s="558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60</v>
      </c>
      <c r="Y41" s="548">
        <f>IFERROR(IF(X41="",0,CEILING((X41/$H41),1)*$H41),"")</f>
        <v>64.800000000000011</v>
      </c>
      <c r="Z41" s="36">
        <f>IFERROR(IF(Y41=0,"",ROUNDUP(Y41/H41,0)*0.01898),"")</f>
        <v>0.11388000000000001</v>
      </c>
      <c r="AA41" s="56"/>
      <c r="AB41" s="57"/>
      <c r="AC41" s="85" t="s">
        <v>110</v>
      </c>
      <c r="AG41" s="64"/>
      <c r="AJ41" s="68" t="s">
        <v>83</v>
      </c>
      <c r="AK41" s="68">
        <v>86.4</v>
      </c>
      <c r="BB41" s="86" t="s">
        <v>1</v>
      </c>
      <c r="BM41" s="64">
        <f>IFERROR(X41*I41/H41,"0")</f>
        <v>62.277777777777779</v>
      </c>
      <c r="BN41" s="64">
        <f>IFERROR(Y41*I41/H41,"0")</f>
        <v>67.260000000000005</v>
      </c>
      <c r="BO41" s="64">
        <f>IFERROR(1/J41*(X41/H41),"0")</f>
        <v>8.6805555555555552E-2</v>
      </c>
      <c r="BP41" s="64">
        <f>IFERROR(1/J41*(Y41/H41),"0")</f>
        <v>9.3750000000000014E-2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57">
        <v>4607091385687</v>
      </c>
      <c r="E42" s="558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 t="s">
        <v>83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115</v>
      </c>
      <c r="B43" s="54" t="s">
        <v>116</v>
      </c>
      <c r="C43" s="31">
        <v>4301011565</v>
      </c>
      <c r="D43" s="557">
        <v>4680115882539</v>
      </c>
      <c r="E43" s="558"/>
      <c r="F43" s="546">
        <v>0.37</v>
      </c>
      <c r="G43" s="32">
        <v>10</v>
      </c>
      <c r="H43" s="546">
        <v>3.7</v>
      </c>
      <c r="I43" s="546">
        <v>3.89</v>
      </c>
      <c r="J43" s="32">
        <v>132</v>
      </c>
      <c r="K43" s="32" t="s">
        <v>113</v>
      </c>
      <c r="L43" s="32"/>
      <c r="M43" s="33" t="s">
        <v>81</v>
      </c>
      <c r="N43" s="33"/>
      <c r="O43" s="32">
        <v>50</v>
      </c>
      <c r="P43" s="7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6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7"/>
      <c r="P44" s="563" t="s">
        <v>75</v>
      </c>
      <c r="Q44" s="564"/>
      <c r="R44" s="564"/>
      <c r="S44" s="564"/>
      <c r="T44" s="564"/>
      <c r="U44" s="564"/>
      <c r="V44" s="565"/>
      <c r="W44" s="37" t="s">
        <v>76</v>
      </c>
      <c r="X44" s="549">
        <f>IFERROR(X41/H41,"0")+IFERROR(X42/H42,"0")+IFERROR(X43/H43,"0")</f>
        <v>5.5555555555555554</v>
      </c>
      <c r="Y44" s="549">
        <f>IFERROR(Y41/H41,"0")+IFERROR(Y42/H42,"0")+IFERROR(Y43/H43,"0")</f>
        <v>6.0000000000000009</v>
      </c>
      <c r="Z44" s="549">
        <f>IFERROR(IF(Z41="",0,Z41),"0")+IFERROR(IF(Z42="",0,Z42),"0")+IFERROR(IF(Z43="",0,Z43),"0")</f>
        <v>0.11388000000000001</v>
      </c>
      <c r="AA44" s="550"/>
      <c r="AB44" s="550"/>
      <c r="AC44" s="550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7"/>
      <c r="P45" s="563" t="s">
        <v>75</v>
      </c>
      <c r="Q45" s="564"/>
      <c r="R45" s="564"/>
      <c r="S45" s="564"/>
      <c r="T45" s="564"/>
      <c r="U45" s="564"/>
      <c r="V45" s="565"/>
      <c r="W45" s="37" t="s">
        <v>69</v>
      </c>
      <c r="X45" s="549">
        <f>IFERROR(SUM(X41:X43),"0")</f>
        <v>60</v>
      </c>
      <c r="Y45" s="549">
        <f>IFERROR(SUM(Y41:Y43),"0")</f>
        <v>64.800000000000011</v>
      </c>
      <c r="Z45" s="37"/>
      <c r="AA45" s="550"/>
      <c r="AB45" s="550"/>
      <c r="AC45" s="550"/>
    </row>
    <row r="46" spans="1:68" ht="14.25" hidden="1" customHeight="1" x14ac:dyDescent="0.25">
      <c r="A46" s="559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2"/>
      <c r="AB46" s="542"/>
      <c r="AC46" s="542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7">
        <v>4680115884915</v>
      </c>
      <c r="E47" s="558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5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7"/>
      <c r="P48" s="563" t="s">
        <v>75</v>
      </c>
      <c r="Q48" s="564"/>
      <c r="R48" s="564"/>
      <c r="S48" s="564"/>
      <c r="T48" s="564"/>
      <c r="U48" s="564"/>
      <c r="V48" s="56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7"/>
      <c r="P49" s="563" t="s">
        <v>75</v>
      </c>
      <c r="Q49" s="564"/>
      <c r="R49" s="564"/>
      <c r="S49" s="564"/>
      <c r="T49" s="564"/>
      <c r="U49" s="564"/>
      <c r="V49" s="56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78" t="s">
        <v>120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1"/>
      <c r="AB50" s="541"/>
      <c r="AC50" s="541"/>
    </row>
    <row r="51" spans="1:68" ht="14.25" hidden="1" customHeight="1" x14ac:dyDescent="0.25">
      <c r="A51" s="559" t="s">
        <v>104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2"/>
      <c r="AB51" s="542"/>
      <c r="AC51" s="542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7">
        <v>4680115885882</v>
      </c>
      <c r="E52" s="558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/>
      <c r="M52" s="33" t="s">
        <v>81</v>
      </c>
      <c r="N52" s="33"/>
      <c r="O52" s="32">
        <v>50</v>
      </c>
      <c r="P52" s="6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4301011816</v>
      </c>
      <c r="D53" s="557">
        <v>4680115881426</v>
      </c>
      <c r="E53" s="558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7">
        <v>4680115880283</v>
      </c>
      <c r="E54" s="558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7">
        <v>4680115881525</v>
      </c>
      <c r="E55" s="558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7">
        <v>4680115885899</v>
      </c>
      <c r="E56" s="558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89</v>
      </c>
      <c r="N56" s="33"/>
      <c r="O56" s="32">
        <v>50</v>
      </c>
      <c r="P56" s="6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57">
        <v>4680115881419</v>
      </c>
      <c r="E57" s="558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 t="s">
        <v>114</v>
      </c>
      <c r="M57" s="33" t="s">
        <v>109</v>
      </c>
      <c r="N57" s="33"/>
      <c r="O57" s="32">
        <v>50</v>
      </c>
      <c r="P57" s="8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 t="s">
        <v>83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6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7"/>
      <c r="P58" s="563" t="s">
        <v>75</v>
      </c>
      <c r="Q58" s="564"/>
      <c r="R58" s="564"/>
      <c r="S58" s="564"/>
      <c r="T58" s="564"/>
      <c r="U58" s="564"/>
      <c r="V58" s="565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hidden="1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7"/>
      <c r="P59" s="563" t="s">
        <v>75</v>
      </c>
      <c r="Q59" s="564"/>
      <c r="R59" s="564"/>
      <c r="S59" s="564"/>
      <c r="T59" s="564"/>
      <c r="U59" s="564"/>
      <c r="V59" s="565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hidden="1" customHeight="1" x14ac:dyDescent="0.25">
      <c r="A60" s="559" t="s">
        <v>139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2"/>
      <c r="AB60" s="542"/>
      <c r="AC60" s="542"/>
    </row>
    <row r="61" spans="1:68" ht="16.5" hidden="1" customHeight="1" x14ac:dyDescent="0.25">
      <c r="A61" s="54" t="s">
        <v>140</v>
      </c>
      <c r="B61" s="54" t="s">
        <v>141</v>
      </c>
      <c r="C61" s="31">
        <v>4301020298</v>
      </c>
      <c r="D61" s="557">
        <v>4680115881440</v>
      </c>
      <c r="E61" s="558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/>
      <c r="M61" s="33" t="s">
        <v>109</v>
      </c>
      <c r="N61" s="33"/>
      <c r="O61" s="32">
        <v>50</v>
      </c>
      <c r="P61" s="78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142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7">
        <v>4680115885950</v>
      </c>
      <c r="E62" s="558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1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57">
        <v>4680115881433</v>
      </c>
      <c r="E63" s="558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 t="s">
        <v>80</v>
      </c>
      <c r="M63" s="33" t="s">
        <v>109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 t="s">
        <v>83</v>
      </c>
      <c r="AK63" s="68">
        <v>37.799999999999997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6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7"/>
      <c r="P64" s="563" t="s">
        <v>75</v>
      </c>
      <c r="Q64" s="564"/>
      <c r="R64" s="564"/>
      <c r="S64" s="564"/>
      <c r="T64" s="564"/>
      <c r="U64" s="564"/>
      <c r="V64" s="565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hidden="1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7"/>
      <c r="P65" s="563" t="s">
        <v>75</v>
      </c>
      <c r="Q65" s="564"/>
      <c r="R65" s="564"/>
      <c r="S65" s="564"/>
      <c r="T65" s="564"/>
      <c r="U65" s="564"/>
      <c r="V65" s="565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hidden="1" customHeight="1" x14ac:dyDescent="0.25">
      <c r="A66" s="559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2"/>
      <c r="AB66" s="542"/>
      <c r="AC66" s="542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7">
        <v>4680115885073</v>
      </c>
      <c r="E67" s="558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7">
        <v>4680115885059</v>
      </c>
      <c r="E68" s="558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7">
        <v>4680115885097</v>
      </c>
      <c r="E69" s="558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6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7"/>
      <c r="P70" s="563" t="s">
        <v>75</v>
      </c>
      <c r="Q70" s="564"/>
      <c r="R70" s="564"/>
      <c r="S70" s="564"/>
      <c r="T70" s="564"/>
      <c r="U70" s="564"/>
      <c r="V70" s="56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60"/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7"/>
      <c r="P71" s="563" t="s">
        <v>75</v>
      </c>
      <c r="Q71" s="564"/>
      <c r="R71" s="564"/>
      <c r="S71" s="564"/>
      <c r="T71" s="564"/>
      <c r="U71" s="564"/>
      <c r="V71" s="56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9" t="s">
        <v>77</v>
      </c>
      <c r="B72" s="560"/>
      <c r="C72" s="560"/>
      <c r="D72" s="560"/>
      <c r="E72" s="560"/>
      <c r="F72" s="560"/>
      <c r="G72" s="560"/>
      <c r="H72" s="560"/>
      <c r="I72" s="560"/>
      <c r="J72" s="560"/>
      <c r="K72" s="560"/>
      <c r="L72" s="560"/>
      <c r="M72" s="560"/>
      <c r="N72" s="560"/>
      <c r="O72" s="560"/>
      <c r="P72" s="560"/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42"/>
      <c r="AB72" s="542"/>
      <c r="AC72" s="542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7">
        <v>4680115885769</v>
      </c>
      <c r="E73" s="558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81</v>
      </c>
      <c r="N73" s="33"/>
      <c r="O73" s="32">
        <v>45</v>
      </c>
      <c r="P73" s="6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7">
        <v>4680115884311</v>
      </c>
      <c r="E74" s="558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7">
        <v>4680115885929</v>
      </c>
      <c r="E75" s="558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3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7">
        <v>4680115884403</v>
      </c>
      <c r="E76" s="558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6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7"/>
      <c r="P77" s="563" t="s">
        <v>75</v>
      </c>
      <c r="Q77" s="564"/>
      <c r="R77" s="564"/>
      <c r="S77" s="564"/>
      <c r="T77" s="564"/>
      <c r="U77" s="564"/>
      <c r="V77" s="565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60"/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7"/>
      <c r="P78" s="563" t="s">
        <v>75</v>
      </c>
      <c r="Q78" s="564"/>
      <c r="R78" s="564"/>
      <c r="S78" s="564"/>
      <c r="T78" s="564"/>
      <c r="U78" s="564"/>
      <c r="V78" s="565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59" t="s">
        <v>167</v>
      </c>
      <c r="B79" s="560"/>
      <c r="C79" s="560"/>
      <c r="D79" s="560"/>
      <c r="E79" s="560"/>
      <c r="F79" s="560"/>
      <c r="G79" s="560"/>
      <c r="H79" s="560"/>
      <c r="I79" s="560"/>
      <c r="J79" s="560"/>
      <c r="K79" s="560"/>
      <c r="L79" s="560"/>
      <c r="M79" s="560"/>
      <c r="N79" s="560"/>
      <c r="O79" s="560"/>
      <c r="P79" s="560"/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42"/>
      <c r="AB79" s="542"/>
      <c r="AC79" s="542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57">
        <v>4680115881532</v>
      </c>
      <c r="E80" s="558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/>
      <c r="M80" s="33" t="s">
        <v>89</v>
      </c>
      <c r="N80" s="33"/>
      <c r="O80" s="32">
        <v>30</v>
      </c>
      <c r="P80" s="7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7">
        <v>4680115881464</v>
      </c>
      <c r="E81" s="558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60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6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7"/>
      <c r="P82" s="563" t="s">
        <v>75</v>
      </c>
      <c r="Q82" s="564"/>
      <c r="R82" s="564"/>
      <c r="S82" s="564"/>
      <c r="T82" s="564"/>
      <c r="U82" s="564"/>
      <c r="V82" s="565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hidden="1" x14ac:dyDescent="0.2">
      <c r="A83" s="560"/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7"/>
      <c r="P83" s="563" t="s">
        <v>75</v>
      </c>
      <c r="Q83" s="564"/>
      <c r="R83" s="564"/>
      <c r="S83" s="564"/>
      <c r="T83" s="564"/>
      <c r="U83" s="564"/>
      <c r="V83" s="565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hidden="1" customHeight="1" x14ac:dyDescent="0.25">
      <c r="A84" s="578" t="s">
        <v>174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1"/>
      <c r="AB84" s="541"/>
      <c r="AC84" s="541"/>
    </row>
    <row r="85" spans="1:68" ht="14.25" hidden="1" customHeight="1" x14ac:dyDescent="0.25">
      <c r="A85" s="559" t="s">
        <v>104</v>
      </c>
      <c r="B85" s="560"/>
      <c r="C85" s="560"/>
      <c r="D85" s="560"/>
      <c r="E85" s="560"/>
      <c r="F85" s="560"/>
      <c r="G85" s="560"/>
      <c r="H85" s="560"/>
      <c r="I85" s="560"/>
      <c r="J85" s="560"/>
      <c r="K85" s="560"/>
      <c r="L85" s="560"/>
      <c r="M85" s="560"/>
      <c r="N85" s="560"/>
      <c r="O85" s="560"/>
      <c r="P85" s="560"/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42"/>
      <c r="AB85" s="542"/>
      <c r="AC85" s="542"/>
    </row>
    <row r="86" spans="1:68" ht="27" hidden="1" customHeight="1" x14ac:dyDescent="0.25">
      <c r="A86" s="54" t="s">
        <v>175</v>
      </c>
      <c r="B86" s="54" t="s">
        <v>176</v>
      </c>
      <c r="C86" s="31">
        <v>4301011468</v>
      </c>
      <c r="D86" s="557">
        <v>4680115881327</v>
      </c>
      <c r="E86" s="558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89</v>
      </c>
      <c r="N86" s="33"/>
      <c r="O86" s="32">
        <v>50</v>
      </c>
      <c r="P86" s="5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83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7">
        <v>4680115887732</v>
      </c>
      <c r="E87" s="558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9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7">
        <v>4680115881518</v>
      </c>
      <c r="E88" s="558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81</v>
      </c>
      <c r="N88" s="33"/>
      <c r="O88" s="32">
        <v>50</v>
      </c>
      <c r="P88" s="73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7">
        <v>4680115881303</v>
      </c>
      <c r="E89" s="558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114</v>
      </c>
      <c r="M89" s="33" t="s">
        <v>89</v>
      </c>
      <c r="N89" s="33"/>
      <c r="O89" s="32">
        <v>50</v>
      </c>
      <c r="P89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22.5</v>
      </c>
      <c r="Y89" s="548">
        <f>IFERROR(IF(X89="",0,CEILING((X89/$H89),1)*$H89),"")</f>
        <v>22.5</v>
      </c>
      <c r="Z89" s="36">
        <f>IFERROR(IF(Y89=0,"",ROUNDUP(Y89/H89,0)*0.00902),"")</f>
        <v>4.5100000000000001E-2</v>
      </c>
      <c r="AA89" s="56"/>
      <c r="AB89" s="57"/>
      <c r="AC89" s="135" t="s">
        <v>177</v>
      </c>
      <c r="AG89" s="64"/>
      <c r="AJ89" s="68" t="s">
        <v>83</v>
      </c>
      <c r="AK89" s="68">
        <v>54</v>
      </c>
      <c r="BB89" s="136" t="s">
        <v>1</v>
      </c>
      <c r="BM89" s="64">
        <f>IFERROR(X89*I89/H89,"0")</f>
        <v>23.450000000000003</v>
      </c>
      <c r="BN89" s="64">
        <f>IFERROR(Y89*I89/H89,"0")</f>
        <v>23.450000000000003</v>
      </c>
      <c r="BO89" s="64">
        <f>IFERROR(1/J89*(X89/H89),"0")</f>
        <v>3.787878787878788E-2</v>
      </c>
      <c r="BP89" s="64">
        <f>IFERROR(1/J89*(Y89/H89),"0")</f>
        <v>3.787878787878788E-2</v>
      </c>
    </row>
    <row r="90" spans="1:68" x14ac:dyDescent="0.2">
      <c r="A90" s="566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7"/>
      <c r="P90" s="563" t="s">
        <v>75</v>
      </c>
      <c r="Q90" s="564"/>
      <c r="R90" s="564"/>
      <c r="S90" s="564"/>
      <c r="T90" s="564"/>
      <c r="U90" s="564"/>
      <c r="V90" s="565"/>
      <c r="W90" s="37" t="s">
        <v>76</v>
      </c>
      <c r="X90" s="549">
        <f>IFERROR(X86/H86,"0")+IFERROR(X87/H87,"0")+IFERROR(X88/H88,"0")+IFERROR(X89/H89,"0")</f>
        <v>5</v>
      </c>
      <c r="Y90" s="549">
        <f>IFERROR(Y86/H86,"0")+IFERROR(Y87/H87,"0")+IFERROR(Y88/H88,"0")+IFERROR(Y89/H89,"0")</f>
        <v>5</v>
      </c>
      <c r="Z90" s="549">
        <f>IFERROR(IF(Z86="",0,Z86),"0")+IFERROR(IF(Z87="",0,Z87),"0")+IFERROR(IF(Z88="",0,Z88),"0")+IFERROR(IF(Z89="",0,Z89),"0")</f>
        <v>4.5100000000000001E-2</v>
      </c>
      <c r="AA90" s="550"/>
      <c r="AB90" s="550"/>
      <c r="AC90" s="550"/>
    </row>
    <row r="91" spans="1:68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7"/>
      <c r="P91" s="563" t="s">
        <v>75</v>
      </c>
      <c r="Q91" s="564"/>
      <c r="R91" s="564"/>
      <c r="S91" s="564"/>
      <c r="T91" s="564"/>
      <c r="U91" s="564"/>
      <c r="V91" s="565"/>
      <c r="W91" s="37" t="s">
        <v>69</v>
      </c>
      <c r="X91" s="549">
        <f>IFERROR(SUM(X86:X89),"0")</f>
        <v>22.5</v>
      </c>
      <c r="Y91" s="549">
        <f>IFERROR(SUM(Y86:Y89),"0")</f>
        <v>22.5</v>
      </c>
      <c r="Z91" s="37"/>
      <c r="AA91" s="550"/>
      <c r="AB91" s="550"/>
      <c r="AC91" s="550"/>
    </row>
    <row r="92" spans="1:68" ht="14.25" hidden="1" customHeight="1" x14ac:dyDescent="0.25">
      <c r="A92" s="559" t="s">
        <v>77</v>
      </c>
      <c r="B92" s="560"/>
      <c r="C92" s="560"/>
      <c r="D92" s="560"/>
      <c r="E92" s="560"/>
      <c r="F92" s="560"/>
      <c r="G92" s="560"/>
      <c r="H92" s="560"/>
      <c r="I92" s="560"/>
      <c r="J92" s="560"/>
      <c r="K92" s="560"/>
      <c r="L92" s="560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42"/>
      <c r="AB92" s="542"/>
      <c r="AC92" s="542"/>
    </row>
    <row r="93" spans="1:68" ht="27" hidden="1" customHeight="1" x14ac:dyDescent="0.25">
      <c r="A93" s="54" t="s">
        <v>187</v>
      </c>
      <c r="B93" s="54" t="s">
        <v>188</v>
      </c>
      <c r="C93" s="31">
        <v>4301051712</v>
      </c>
      <c r="D93" s="557">
        <v>4607091386967</v>
      </c>
      <c r="E93" s="558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/>
      <c r="M93" s="33" t="s">
        <v>89</v>
      </c>
      <c r="N93" s="33"/>
      <c r="O93" s="32">
        <v>45</v>
      </c>
      <c r="P93" s="78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7">
        <v>4680115884953</v>
      </c>
      <c r="E94" s="558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81</v>
      </c>
      <c r="N94" s="33"/>
      <c r="O94" s="32">
        <v>45</v>
      </c>
      <c r="P94" s="6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193</v>
      </c>
      <c r="B95" s="54" t="s">
        <v>194</v>
      </c>
      <c r="C95" s="31">
        <v>4301051718</v>
      </c>
      <c r="D95" s="557">
        <v>4607091385731</v>
      </c>
      <c r="E95" s="558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89</v>
      </c>
      <c r="N95" s="33"/>
      <c r="O95" s="32">
        <v>45</v>
      </c>
      <c r="P95" s="6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7">
        <v>4680115880894</v>
      </c>
      <c r="E96" s="558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/>
      <c r="M96" s="33" t="s">
        <v>81</v>
      </c>
      <c r="N96" s="33"/>
      <c r="O96" s="32">
        <v>45</v>
      </c>
      <c r="P96" s="79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66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7"/>
      <c r="P97" s="563" t="s">
        <v>75</v>
      </c>
      <c r="Q97" s="564"/>
      <c r="R97" s="564"/>
      <c r="S97" s="564"/>
      <c r="T97" s="564"/>
      <c r="U97" s="564"/>
      <c r="V97" s="565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hidden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7"/>
      <c r="P98" s="563" t="s">
        <v>75</v>
      </c>
      <c r="Q98" s="564"/>
      <c r="R98" s="564"/>
      <c r="S98" s="564"/>
      <c r="T98" s="564"/>
      <c r="U98" s="564"/>
      <c r="V98" s="565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hidden="1" customHeight="1" x14ac:dyDescent="0.25">
      <c r="A99" s="578" t="s">
        <v>198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1"/>
      <c r="AB99" s="541"/>
      <c r="AC99" s="541"/>
    </row>
    <row r="100" spans="1:68" ht="14.25" hidden="1" customHeight="1" x14ac:dyDescent="0.25">
      <c r="A100" s="559" t="s">
        <v>104</v>
      </c>
      <c r="B100" s="560"/>
      <c r="C100" s="560"/>
      <c r="D100" s="560"/>
      <c r="E100" s="560"/>
      <c r="F100" s="560"/>
      <c r="G100" s="560"/>
      <c r="H100" s="560"/>
      <c r="I100" s="560"/>
      <c r="J100" s="560"/>
      <c r="K100" s="560"/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42"/>
      <c r="AB100" s="542"/>
      <c r="AC100" s="542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7">
        <v>4680115882133</v>
      </c>
      <c r="E101" s="558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75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83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7">
        <v>4680115887718</v>
      </c>
      <c r="E102" s="558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7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7">
        <v>4680115880269</v>
      </c>
      <c r="E103" s="558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7">
        <v>4680115880429</v>
      </c>
      <c r="E104" s="558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114</v>
      </c>
      <c r="M104" s="33" t="s">
        <v>81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83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7">
        <v>4680115881457</v>
      </c>
      <c r="E105" s="558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81</v>
      </c>
      <c r="N105" s="33"/>
      <c r="O105" s="32">
        <v>50</v>
      </c>
      <c r="P105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66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7"/>
      <c r="P106" s="563" t="s">
        <v>75</v>
      </c>
      <c r="Q106" s="564"/>
      <c r="R106" s="564"/>
      <c r="S106" s="564"/>
      <c r="T106" s="564"/>
      <c r="U106" s="564"/>
      <c r="V106" s="565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hidden="1" x14ac:dyDescent="0.2">
      <c r="A107" s="560"/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7"/>
      <c r="P107" s="563" t="s">
        <v>75</v>
      </c>
      <c r="Q107" s="564"/>
      <c r="R107" s="564"/>
      <c r="S107" s="564"/>
      <c r="T107" s="564"/>
      <c r="U107" s="564"/>
      <c r="V107" s="565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hidden="1" customHeight="1" x14ac:dyDescent="0.25">
      <c r="A108" s="559" t="s">
        <v>139</v>
      </c>
      <c r="B108" s="560"/>
      <c r="C108" s="560"/>
      <c r="D108" s="560"/>
      <c r="E108" s="560"/>
      <c r="F108" s="560"/>
      <c r="G108" s="560"/>
      <c r="H108" s="560"/>
      <c r="I108" s="560"/>
      <c r="J108" s="560"/>
      <c r="K108" s="560"/>
      <c r="L108" s="560"/>
      <c r="M108" s="560"/>
      <c r="N108" s="560"/>
      <c r="O108" s="560"/>
      <c r="P108" s="560"/>
      <c r="Q108" s="560"/>
      <c r="R108" s="560"/>
      <c r="S108" s="560"/>
      <c r="T108" s="560"/>
      <c r="U108" s="560"/>
      <c r="V108" s="560"/>
      <c r="W108" s="560"/>
      <c r="X108" s="560"/>
      <c r="Y108" s="560"/>
      <c r="Z108" s="560"/>
      <c r="AA108" s="542"/>
      <c r="AB108" s="542"/>
      <c r="AC108" s="542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7">
        <v>4680115881488</v>
      </c>
      <c r="E109" s="558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7">
        <v>4680115887664</v>
      </c>
      <c r="E110" s="558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5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7">
        <v>4680115882775</v>
      </c>
      <c r="E111" s="558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7">
        <v>4680115880658</v>
      </c>
      <c r="E112" s="558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6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7"/>
      <c r="P113" s="563" t="s">
        <v>75</v>
      </c>
      <c r="Q113" s="564"/>
      <c r="R113" s="564"/>
      <c r="S113" s="564"/>
      <c r="T113" s="564"/>
      <c r="U113" s="564"/>
      <c r="V113" s="565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60"/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7"/>
      <c r="P114" s="563" t="s">
        <v>75</v>
      </c>
      <c r="Q114" s="564"/>
      <c r="R114" s="564"/>
      <c r="S114" s="564"/>
      <c r="T114" s="564"/>
      <c r="U114" s="564"/>
      <c r="V114" s="565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59" t="s">
        <v>77</v>
      </c>
      <c r="B115" s="560"/>
      <c r="C115" s="560"/>
      <c r="D115" s="560"/>
      <c r="E115" s="560"/>
      <c r="F115" s="560"/>
      <c r="G115" s="560"/>
      <c r="H115" s="560"/>
      <c r="I115" s="560"/>
      <c r="J115" s="560"/>
      <c r="K115" s="560"/>
      <c r="L115" s="560"/>
      <c r="M115" s="560"/>
      <c r="N115" s="560"/>
      <c r="O115" s="560"/>
      <c r="P115" s="560"/>
      <c r="Q115" s="560"/>
      <c r="R115" s="560"/>
      <c r="S115" s="560"/>
      <c r="T115" s="560"/>
      <c r="U115" s="560"/>
      <c r="V115" s="560"/>
      <c r="W115" s="560"/>
      <c r="X115" s="560"/>
      <c r="Y115" s="560"/>
      <c r="Z115" s="560"/>
      <c r="AA115" s="542"/>
      <c r="AB115" s="542"/>
      <c r="AC115" s="542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7">
        <v>4607091385168</v>
      </c>
      <c r="E116" s="558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/>
      <c r="M116" s="33" t="s">
        <v>89</v>
      </c>
      <c r="N116" s="33"/>
      <c r="O116" s="32">
        <v>45</v>
      </c>
      <c r="P116" s="6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7">
        <v>4607091383256</v>
      </c>
      <c r="E117" s="558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/>
      <c r="M117" s="33" t="s">
        <v>89</v>
      </c>
      <c r="N117" s="33"/>
      <c r="O117" s="32">
        <v>45</v>
      </c>
      <c r="P117" s="6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7">
        <v>4607091385748</v>
      </c>
      <c r="E118" s="558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/>
      <c r="M118" s="33" t="s">
        <v>89</v>
      </c>
      <c r="N118" s="33"/>
      <c r="O118" s="32">
        <v>45</v>
      </c>
      <c r="P118" s="6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7">
        <v>4680115884533</v>
      </c>
      <c r="E119" s="558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80</v>
      </c>
      <c r="M119" s="33" t="s">
        <v>81</v>
      </c>
      <c r="N119" s="33"/>
      <c r="O119" s="32">
        <v>45</v>
      </c>
      <c r="P119" s="6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83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6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7"/>
      <c r="P120" s="563" t="s">
        <v>75</v>
      </c>
      <c r="Q120" s="564"/>
      <c r="R120" s="564"/>
      <c r="S120" s="564"/>
      <c r="T120" s="564"/>
      <c r="U120" s="564"/>
      <c r="V120" s="565"/>
      <c r="W120" s="37" t="s">
        <v>76</v>
      </c>
      <c r="X120" s="549">
        <f>IFERROR(X116/H116,"0")+IFERROR(X117/H117,"0")+IFERROR(X118/H118,"0")+IFERROR(X119/H119,"0")</f>
        <v>0</v>
      </c>
      <c r="Y120" s="549">
        <f>IFERROR(Y116/H116,"0")+IFERROR(Y117/H117,"0")+IFERROR(Y118/H118,"0")+IFERROR(Y119/H119,"0")</f>
        <v>0</v>
      </c>
      <c r="Z120" s="549">
        <f>IFERROR(IF(Z116="",0,Z116),"0")+IFERROR(IF(Z117="",0,Z117),"0")+IFERROR(IF(Z118="",0,Z118),"0")+IFERROR(IF(Z119="",0,Z119),"0")</f>
        <v>0</v>
      </c>
      <c r="AA120" s="550"/>
      <c r="AB120" s="550"/>
      <c r="AC120" s="550"/>
    </row>
    <row r="121" spans="1:68" hidden="1" x14ac:dyDescent="0.2">
      <c r="A121" s="560"/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7"/>
      <c r="P121" s="563" t="s">
        <v>75</v>
      </c>
      <c r="Q121" s="564"/>
      <c r="R121" s="564"/>
      <c r="S121" s="564"/>
      <c r="T121" s="564"/>
      <c r="U121" s="564"/>
      <c r="V121" s="565"/>
      <c r="W121" s="37" t="s">
        <v>69</v>
      </c>
      <c r="X121" s="549">
        <f>IFERROR(SUM(X116:X119),"0")</f>
        <v>0</v>
      </c>
      <c r="Y121" s="549">
        <f>IFERROR(SUM(Y116:Y119),"0")</f>
        <v>0</v>
      </c>
      <c r="Z121" s="37"/>
      <c r="AA121" s="550"/>
      <c r="AB121" s="550"/>
      <c r="AC121" s="550"/>
    </row>
    <row r="122" spans="1:68" ht="14.25" hidden="1" customHeight="1" x14ac:dyDescent="0.25">
      <c r="A122" s="559" t="s">
        <v>167</v>
      </c>
      <c r="B122" s="560"/>
      <c r="C122" s="560"/>
      <c r="D122" s="560"/>
      <c r="E122" s="560"/>
      <c r="F122" s="560"/>
      <c r="G122" s="560"/>
      <c r="H122" s="560"/>
      <c r="I122" s="560"/>
      <c r="J122" s="560"/>
      <c r="K122" s="560"/>
      <c r="L122" s="560"/>
      <c r="M122" s="560"/>
      <c r="N122" s="560"/>
      <c r="O122" s="560"/>
      <c r="P122" s="560"/>
      <c r="Q122" s="560"/>
      <c r="R122" s="560"/>
      <c r="S122" s="560"/>
      <c r="T122" s="560"/>
      <c r="U122" s="560"/>
      <c r="V122" s="560"/>
      <c r="W122" s="560"/>
      <c r="X122" s="560"/>
      <c r="Y122" s="560"/>
      <c r="Z122" s="560"/>
      <c r="AA122" s="542"/>
      <c r="AB122" s="542"/>
      <c r="AC122" s="542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7">
        <v>4680115880238</v>
      </c>
      <c r="E123" s="558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80</v>
      </c>
      <c r="M123" s="33" t="s">
        <v>81</v>
      </c>
      <c r="N123" s="33"/>
      <c r="O123" s="32">
        <v>40</v>
      </c>
      <c r="P123" s="84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83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6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7"/>
      <c r="P124" s="563" t="s">
        <v>75</v>
      </c>
      <c r="Q124" s="564"/>
      <c r="R124" s="564"/>
      <c r="S124" s="564"/>
      <c r="T124" s="564"/>
      <c r="U124" s="564"/>
      <c r="V124" s="565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60"/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7"/>
      <c r="P125" s="563" t="s">
        <v>75</v>
      </c>
      <c r="Q125" s="564"/>
      <c r="R125" s="564"/>
      <c r="S125" s="564"/>
      <c r="T125" s="564"/>
      <c r="U125" s="564"/>
      <c r="V125" s="565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78" t="s">
        <v>237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1"/>
      <c r="AB126" s="541"/>
      <c r="AC126" s="541"/>
    </row>
    <row r="127" spans="1:68" ht="14.25" hidden="1" customHeight="1" x14ac:dyDescent="0.25">
      <c r="A127" s="559" t="s">
        <v>104</v>
      </c>
      <c r="B127" s="560"/>
      <c r="C127" s="560"/>
      <c r="D127" s="560"/>
      <c r="E127" s="560"/>
      <c r="F127" s="560"/>
      <c r="G127" s="560"/>
      <c r="H127" s="560"/>
      <c r="I127" s="560"/>
      <c r="J127" s="560"/>
      <c r="K127" s="560"/>
      <c r="L127" s="560"/>
      <c r="M127" s="560"/>
      <c r="N127" s="560"/>
      <c r="O127" s="560"/>
      <c r="P127" s="560"/>
      <c r="Q127" s="560"/>
      <c r="R127" s="560"/>
      <c r="S127" s="560"/>
      <c r="T127" s="560"/>
      <c r="U127" s="560"/>
      <c r="V127" s="560"/>
      <c r="W127" s="560"/>
      <c r="X127" s="560"/>
      <c r="Y127" s="560"/>
      <c r="Z127" s="560"/>
      <c r="AA127" s="542"/>
      <c r="AB127" s="542"/>
      <c r="AC127" s="542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7">
        <v>4680115882577</v>
      </c>
      <c r="E128" s="558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99</v>
      </c>
      <c r="N128" s="33"/>
      <c r="O128" s="32">
        <v>90</v>
      </c>
      <c r="P128" s="80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7">
        <v>4680115882577</v>
      </c>
      <c r="E129" s="558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/>
      <c r="M129" s="33" t="s">
        <v>99</v>
      </c>
      <c r="N129" s="33"/>
      <c r="O129" s="32">
        <v>90</v>
      </c>
      <c r="P129" s="66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6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7"/>
      <c r="P130" s="563" t="s">
        <v>75</v>
      </c>
      <c r="Q130" s="564"/>
      <c r="R130" s="564"/>
      <c r="S130" s="564"/>
      <c r="T130" s="564"/>
      <c r="U130" s="564"/>
      <c r="V130" s="565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60"/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7"/>
      <c r="P131" s="563" t="s">
        <v>75</v>
      </c>
      <c r="Q131" s="564"/>
      <c r="R131" s="564"/>
      <c r="S131" s="564"/>
      <c r="T131" s="564"/>
      <c r="U131" s="564"/>
      <c r="V131" s="565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59" t="s">
        <v>64</v>
      </c>
      <c r="B132" s="560"/>
      <c r="C132" s="560"/>
      <c r="D132" s="560"/>
      <c r="E132" s="560"/>
      <c r="F132" s="560"/>
      <c r="G132" s="560"/>
      <c r="H132" s="560"/>
      <c r="I132" s="560"/>
      <c r="J132" s="560"/>
      <c r="K132" s="560"/>
      <c r="L132" s="560"/>
      <c r="M132" s="560"/>
      <c r="N132" s="560"/>
      <c r="O132" s="560"/>
      <c r="P132" s="560"/>
      <c r="Q132" s="560"/>
      <c r="R132" s="560"/>
      <c r="S132" s="560"/>
      <c r="T132" s="560"/>
      <c r="U132" s="560"/>
      <c r="V132" s="560"/>
      <c r="W132" s="560"/>
      <c r="X132" s="560"/>
      <c r="Y132" s="560"/>
      <c r="Z132" s="560"/>
      <c r="AA132" s="542"/>
      <c r="AB132" s="542"/>
      <c r="AC132" s="542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7">
        <v>4680115883444</v>
      </c>
      <c r="E133" s="558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99</v>
      </c>
      <c r="N133" s="33"/>
      <c r="O133" s="32">
        <v>90</v>
      </c>
      <c r="P133" s="81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7">
        <v>4680115883444</v>
      </c>
      <c r="E134" s="558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/>
      <c r="M134" s="33" t="s">
        <v>99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6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7"/>
      <c r="P135" s="563" t="s">
        <v>75</v>
      </c>
      <c r="Q135" s="564"/>
      <c r="R135" s="564"/>
      <c r="S135" s="564"/>
      <c r="T135" s="564"/>
      <c r="U135" s="564"/>
      <c r="V135" s="565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60"/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7"/>
      <c r="P136" s="563" t="s">
        <v>75</v>
      </c>
      <c r="Q136" s="564"/>
      <c r="R136" s="564"/>
      <c r="S136" s="564"/>
      <c r="T136" s="564"/>
      <c r="U136" s="564"/>
      <c r="V136" s="565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59" t="s">
        <v>77</v>
      </c>
      <c r="B137" s="560"/>
      <c r="C137" s="560"/>
      <c r="D137" s="560"/>
      <c r="E137" s="560"/>
      <c r="F137" s="560"/>
      <c r="G137" s="560"/>
      <c r="H137" s="560"/>
      <c r="I137" s="560"/>
      <c r="J137" s="560"/>
      <c r="K137" s="560"/>
      <c r="L137" s="560"/>
      <c r="M137" s="560"/>
      <c r="N137" s="560"/>
      <c r="O137" s="560"/>
      <c r="P137" s="560"/>
      <c r="Q137" s="560"/>
      <c r="R137" s="560"/>
      <c r="S137" s="560"/>
      <c r="T137" s="560"/>
      <c r="U137" s="560"/>
      <c r="V137" s="560"/>
      <c r="W137" s="560"/>
      <c r="X137" s="560"/>
      <c r="Y137" s="560"/>
      <c r="Z137" s="560"/>
      <c r="AA137" s="542"/>
      <c r="AB137" s="542"/>
      <c r="AC137" s="542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7">
        <v>4680115882584</v>
      </c>
      <c r="E138" s="558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7">
        <v>4680115882584</v>
      </c>
      <c r="E139" s="558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/>
      <c r="M139" s="33" t="s">
        <v>99</v>
      </c>
      <c r="N139" s="33"/>
      <c r="O139" s="32">
        <v>60</v>
      </c>
      <c r="P139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6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7"/>
      <c r="P140" s="563" t="s">
        <v>75</v>
      </c>
      <c r="Q140" s="564"/>
      <c r="R140" s="564"/>
      <c r="S140" s="564"/>
      <c r="T140" s="564"/>
      <c r="U140" s="564"/>
      <c r="V140" s="565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60"/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7"/>
      <c r="P141" s="563" t="s">
        <v>75</v>
      </c>
      <c r="Q141" s="564"/>
      <c r="R141" s="564"/>
      <c r="S141" s="564"/>
      <c r="T141" s="564"/>
      <c r="U141" s="564"/>
      <c r="V141" s="565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78" t="s">
        <v>102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1"/>
      <c r="AB142" s="541"/>
      <c r="AC142" s="541"/>
    </row>
    <row r="143" spans="1:68" ht="14.25" hidden="1" customHeight="1" x14ac:dyDescent="0.25">
      <c r="A143" s="559" t="s">
        <v>104</v>
      </c>
      <c r="B143" s="560"/>
      <c r="C143" s="560"/>
      <c r="D143" s="560"/>
      <c r="E143" s="560"/>
      <c r="F143" s="560"/>
      <c r="G143" s="560"/>
      <c r="H143" s="560"/>
      <c r="I143" s="560"/>
      <c r="J143" s="560"/>
      <c r="K143" s="560"/>
      <c r="L143" s="560"/>
      <c r="M143" s="560"/>
      <c r="N143" s="560"/>
      <c r="O143" s="560"/>
      <c r="P143" s="560"/>
      <c r="Q143" s="560"/>
      <c r="R143" s="560"/>
      <c r="S143" s="560"/>
      <c r="T143" s="560"/>
      <c r="U143" s="560"/>
      <c r="V143" s="560"/>
      <c r="W143" s="560"/>
      <c r="X143" s="560"/>
      <c r="Y143" s="560"/>
      <c r="Z143" s="560"/>
      <c r="AA143" s="542"/>
      <c r="AB143" s="542"/>
      <c r="AC143" s="542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7">
        <v>4680115887374</v>
      </c>
      <c r="E144" s="558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7">
        <v>4607091384604</v>
      </c>
      <c r="E145" s="558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/>
      <c r="M145" s="33" t="s">
        <v>109</v>
      </c>
      <c r="N145" s="33"/>
      <c r="O145" s="32">
        <v>50</v>
      </c>
      <c r="P145" s="6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6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7"/>
      <c r="P146" s="563" t="s">
        <v>75</v>
      </c>
      <c r="Q146" s="564"/>
      <c r="R146" s="564"/>
      <c r="S146" s="564"/>
      <c r="T146" s="564"/>
      <c r="U146" s="564"/>
      <c r="V146" s="565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60"/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7"/>
      <c r="P147" s="563" t="s">
        <v>75</v>
      </c>
      <c r="Q147" s="564"/>
      <c r="R147" s="564"/>
      <c r="S147" s="564"/>
      <c r="T147" s="564"/>
      <c r="U147" s="564"/>
      <c r="V147" s="565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59" t="s">
        <v>64</v>
      </c>
      <c r="B148" s="560"/>
      <c r="C148" s="560"/>
      <c r="D148" s="560"/>
      <c r="E148" s="560"/>
      <c r="F148" s="560"/>
      <c r="G148" s="560"/>
      <c r="H148" s="560"/>
      <c r="I148" s="560"/>
      <c r="J148" s="560"/>
      <c r="K148" s="560"/>
      <c r="L148" s="560"/>
      <c r="M148" s="560"/>
      <c r="N148" s="560"/>
      <c r="O148" s="560"/>
      <c r="P148" s="560"/>
      <c r="Q148" s="560"/>
      <c r="R148" s="560"/>
      <c r="S148" s="560"/>
      <c r="T148" s="560"/>
      <c r="U148" s="560"/>
      <c r="V148" s="560"/>
      <c r="W148" s="560"/>
      <c r="X148" s="560"/>
      <c r="Y148" s="560"/>
      <c r="Z148" s="560"/>
      <c r="AA148" s="542"/>
      <c r="AB148" s="542"/>
      <c r="AC148" s="542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7">
        <v>4607091387667</v>
      </c>
      <c r="E149" s="558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/>
      <c r="M149" s="33" t="s">
        <v>109</v>
      </c>
      <c r="N149" s="33"/>
      <c r="O149" s="32">
        <v>40</v>
      </c>
      <c r="P149" s="85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7">
        <v>4607091387636</v>
      </c>
      <c r="E150" s="558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9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7">
        <v>4607091382426</v>
      </c>
      <c r="E151" s="558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/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6"/>
      <c r="B152" s="560"/>
      <c r="C152" s="560"/>
      <c r="D152" s="560"/>
      <c r="E152" s="560"/>
      <c r="F152" s="560"/>
      <c r="G152" s="560"/>
      <c r="H152" s="560"/>
      <c r="I152" s="560"/>
      <c r="J152" s="560"/>
      <c r="K152" s="560"/>
      <c r="L152" s="560"/>
      <c r="M152" s="560"/>
      <c r="N152" s="560"/>
      <c r="O152" s="567"/>
      <c r="P152" s="563" t="s">
        <v>75</v>
      </c>
      <c r="Q152" s="564"/>
      <c r="R152" s="564"/>
      <c r="S152" s="564"/>
      <c r="T152" s="564"/>
      <c r="U152" s="564"/>
      <c r="V152" s="565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60"/>
      <c r="B153" s="560"/>
      <c r="C153" s="560"/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7"/>
      <c r="P153" s="563" t="s">
        <v>75</v>
      </c>
      <c r="Q153" s="564"/>
      <c r="R153" s="564"/>
      <c r="S153" s="564"/>
      <c r="T153" s="564"/>
      <c r="U153" s="564"/>
      <c r="V153" s="565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59" t="s">
        <v>77</v>
      </c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0"/>
      <c r="P154" s="560"/>
      <c r="Q154" s="560"/>
      <c r="R154" s="560"/>
      <c r="S154" s="560"/>
      <c r="T154" s="560"/>
      <c r="U154" s="560"/>
      <c r="V154" s="560"/>
      <c r="W154" s="560"/>
      <c r="X154" s="560"/>
      <c r="Y154" s="560"/>
      <c r="Z154" s="560"/>
      <c r="AA154" s="542"/>
      <c r="AB154" s="542"/>
      <c r="AC154" s="542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7">
        <v>4680115887459</v>
      </c>
      <c r="E155" s="558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81</v>
      </c>
      <c r="N155" s="33"/>
      <c r="O155" s="32">
        <v>45</v>
      </c>
      <c r="P155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6"/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7"/>
      <c r="P156" s="563" t="s">
        <v>75</v>
      </c>
      <c r="Q156" s="564"/>
      <c r="R156" s="564"/>
      <c r="S156" s="564"/>
      <c r="T156" s="564"/>
      <c r="U156" s="564"/>
      <c r="V156" s="56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0"/>
      <c r="B157" s="560"/>
      <c r="C157" s="560"/>
      <c r="D157" s="560"/>
      <c r="E157" s="560"/>
      <c r="F157" s="560"/>
      <c r="G157" s="560"/>
      <c r="H157" s="560"/>
      <c r="I157" s="560"/>
      <c r="J157" s="560"/>
      <c r="K157" s="560"/>
      <c r="L157" s="560"/>
      <c r="M157" s="560"/>
      <c r="N157" s="560"/>
      <c r="O157" s="567"/>
      <c r="P157" s="563" t="s">
        <v>75</v>
      </c>
      <c r="Q157" s="564"/>
      <c r="R157" s="564"/>
      <c r="S157" s="564"/>
      <c r="T157" s="564"/>
      <c r="U157" s="564"/>
      <c r="V157" s="56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646" t="s">
        <v>267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48"/>
      <c r="AB158" s="48"/>
      <c r="AC158" s="48"/>
    </row>
    <row r="159" spans="1:68" ht="16.5" hidden="1" customHeight="1" x14ac:dyDescent="0.25">
      <c r="A159" s="578" t="s">
        <v>268</v>
      </c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0"/>
      <c r="P159" s="560"/>
      <c r="Q159" s="560"/>
      <c r="R159" s="560"/>
      <c r="S159" s="560"/>
      <c r="T159" s="560"/>
      <c r="U159" s="560"/>
      <c r="V159" s="560"/>
      <c r="W159" s="560"/>
      <c r="X159" s="560"/>
      <c r="Y159" s="560"/>
      <c r="Z159" s="560"/>
      <c r="AA159" s="541"/>
      <c r="AB159" s="541"/>
      <c r="AC159" s="541"/>
    </row>
    <row r="160" spans="1:68" ht="14.25" hidden="1" customHeight="1" x14ac:dyDescent="0.25">
      <c r="A160" s="559" t="s">
        <v>139</v>
      </c>
      <c r="B160" s="560"/>
      <c r="C160" s="560"/>
      <c r="D160" s="560"/>
      <c r="E160" s="560"/>
      <c r="F160" s="560"/>
      <c r="G160" s="560"/>
      <c r="H160" s="560"/>
      <c r="I160" s="560"/>
      <c r="J160" s="560"/>
      <c r="K160" s="560"/>
      <c r="L160" s="560"/>
      <c r="M160" s="560"/>
      <c r="N160" s="560"/>
      <c r="O160" s="560"/>
      <c r="P160" s="560"/>
      <c r="Q160" s="560"/>
      <c r="R160" s="560"/>
      <c r="S160" s="560"/>
      <c r="T160" s="560"/>
      <c r="U160" s="560"/>
      <c r="V160" s="560"/>
      <c r="W160" s="560"/>
      <c r="X160" s="560"/>
      <c r="Y160" s="560"/>
      <c r="Z160" s="560"/>
      <c r="AA160" s="542"/>
      <c r="AB160" s="542"/>
      <c r="AC160" s="542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7">
        <v>4680115886223</v>
      </c>
      <c r="E161" s="558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1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6"/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7"/>
      <c r="P162" s="563" t="s">
        <v>75</v>
      </c>
      <c r="Q162" s="564"/>
      <c r="R162" s="564"/>
      <c r="S162" s="564"/>
      <c r="T162" s="564"/>
      <c r="U162" s="564"/>
      <c r="V162" s="56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0"/>
      <c r="B163" s="560"/>
      <c r="C163" s="560"/>
      <c r="D163" s="560"/>
      <c r="E163" s="560"/>
      <c r="F163" s="560"/>
      <c r="G163" s="560"/>
      <c r="H163" s="560"/>
      <c r="I163" s="560"/>
      <c r="J163" s="560"/>
      <c r="K163" s="560"/>
      <c r="L163" s="560"/>
      <c r="M163" s="560"/>
      <c r="N163" s="560"/>
      <c r="O163" s="567"/>
      <c r="P163" s="563" t="s">
        <v>75</v>
      </c>
      <c r="Q163" s="564"/>
      <c r="R163" s="564"/>
      <c r="S163" s="564"/>
      <c r="T163" s="564"/>
      <c r="U163" s="564"/>
      <c r="V163" s="56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9" t="s">
        <v>64</v>
      </c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0"/>
      <c r="P164" s="560"/>
      <c r="Q164" s="560"/>
      <c r="R164" s="560"/>
      <c r="S164" s="560"/>
      <c r="T164" s="560"/>
      <c r="U164" s="560"/>
      <c r="V164" s="560"/>
      <c r="W164" s="560"/>
      <c r="X164" s="560"/>
      <c r="Y164" s="560"/>
      <c r="Z164" s="560"/>
      <c r="AA164" s="542"/>
      <c r="AB164" s="542"/>
      <c r="AC164" s="542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7">
        <v>4680115887565</v>
      </c>
      <c r="E165" s="558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9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7">
        <v>4680115880993</v>
      </c>
      <c r="E166" s="558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114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83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7">
        <v>4680115881761</v>
      </c>
      <c r="E167" s="558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7">
        <v>4680115881563</v>
      </c>
      <c r="E168" s="558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114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83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7">
        <v>4680115880986</v>
      </c>
      <c r="E169" s="558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40</v>
      </c>
      <c r="P169" s="6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4301031443</v>
      </c>
      <c r="D170" s="557">
        <v>4680115887213</v>
      </c>
      <c r="E170" s="558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1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291</v>
      </c>
      <c r="B171" s="54" t="s">
        <v>292</v>
      </c>
      <c r="C171" s="31">
        <v>4301031205</v>
      </c>
      <c r="D171" s="557">
        <v>4680115881785</v>
      </c>
      <c r="E171" s="558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293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83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7">
        <v>4680115886537</v>
      </c>
      <c r="E172" s="558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7">
        <v>4680115887596</v>
      </c>
      <c r="E173" s="558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7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7">
        <v>4680115881679</v>
      </c>
      <c r="E174" s="558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293</v>
      </c>
      <c r="M174" s="33" t="s">
        <v>68</v>
      </c>
      <c r="N174" s="33"/>
      <c r="O174" s="32">
        <v>40</v>
      </c>
      <c r="P174" s="8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83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7">
        <v>4680115880191</v>
      </c>
      <c r="E175" s="558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7">
        <v>4680115883963</v>
      </c>
      <c r="E176" s="558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6"/>
      <c r="B177" s="560"/>
      <c r="C177" s="560"/>
      <c r="D177" s="560"/>
      <c r="E177" s="560"/>
      <c r="F177" s="560"/>
      <c r="G177" s="560"/>
      <c r="H177" s="560"/>
      <c r="I177" s="560"/>
      <c r="J177" s="560"/>
      <c r="K177" s="560"/>
      <c r="L177" s="560"/>
      <c r="M177" s="560"/>
      <c r="N177" s="560"/>
      <c r="O177" s="567"/>
      <c r="P177" s="563" t="s">
        <v>75</v>
      </c>
      <c r="Q177" s="564"/>
      <c r="R177" s="564"/>
      <c r="S177" s="564"/>
      <c r="T177" s="564"/>
      <c r="U177" s="564"/>
      <c r="V177" s="56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hidden="1" x14ac:dyDescent="0.2">
      <c r="A178" s="560"/>
      <c r="B178" s="560"/>
      <c r="C178" s="560"/>
      <c r="D178" s="560"/>
      <c r="E178" s="560"/>
      <c r="F178" s="560"/>
      <c r="G178" s="560"/>
      <c r="H178" s="560"/>
      <c r="I178" s="560"/>
      <c r="J178" s="560"/>
      <c r="K178" s="560"/>
      <c r="L178" s="560"/>
      <c r="M178" s="560"/>
      <c r="N178" s="560"/>
      <c r="O178" s="567"/>
      <c r="P178" s="563" t="s">
        <v>75</v>
      </c>
      <c r="Q178" s="564"/>
      <c r="R178" s="564"/>
      <c r="S178" s="564"/>
      <c r="T178" s="564"/>
      <c r="U178" s="564"/>
      <c r="V178" s="565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hidden="1" customHeight="1" x14ac:dyDescent="0.25">
      <c r="A179" s="559" t="s">
        <v>96</v>
      </c>
      <c r="B179" s="560"/>
      <c r="C179" s="560"/>
      <c r="D179" s="560"/>
      <c r="E179" s="560"/>
      <c r="F179" s="560"/>
      <c r="G179" s="560"/>
      <c r="H179" s="560"/>
      <c r="I179" s="560"/>
      <c r="J179" s="560"/>
      <c r="K179" s="560"/>
      <c r="L179" s="560"/>
      <c r="M179" s="560"/>
      <c r="N179" s="560"/>
      <c r="O179" s="560"/>
      <c r="P179" s="560"/>
      <c r="Q179" s="560"/>
      <c r="R179" s="560"/>
      <c r="S179" s="560"/>
      <c r="T179" s="560"/>
      <c r="U179" s="560"/>
      <c r="V179" s="560"/>
      <c r="W179" s="560"/>
      <c r="X179" s="560"/>
      <c r="Y179" s="560"/>
      <c r="Z179" s="560"/>
      <c r="AA179" s="542"/>
      <c r="AB179" s="542"/>
      <c r="AC179" s="542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7">
        <v>4680115886780</v>
      </c>
      <c r="E180" s="558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9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7">
        <v>4680115886742</v>
      </c>
      <c r="E181" s="558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7">
        <v>4680115886766</v>
      </c>
      <c r="E182" s="558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8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6"/>
      <c r="B183" s="560"/>
      <c r="C183" s="560"/>
      <c r="D183" s="560"/>
      <c r="E183" s="560"/>
      <c r="F183" s="560"/>
      <c r="G183" s="560"/>
      <c r="H183" s="560"/>
      <c r="I183" s="560"/>
      <c r="J183" s="560"/>
      <c r="K183" s="560"/>
      <c r="L183" s="560"/>
      <c r="M183" s="560"/>
      <c r="N183" s="560"/>
      <c r="O183" s="567"/>
      <c r="P183" s="563" t="s">
        <v>75</v>
      </c>
      <c r="Q183" s="564"/>
      <c r="R183" s="564"/>
      <c r="S183" s="564"/>
      <c r="T183" s="564"/>
      <c r="U183" s="564"/>
      <c r="V183" s="565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60"/>
      <c r="B184" s="560"/>
      <c r="C184" s="560"/>
      <c r="D184" s="560"/>
      <c r="E184" s="560"/>
      <c r="F184" s="560"/>
      <c r="G184" s="560"/>
      <c r="H184" s="560"/>
      <c r="I184" s="560"/>
      <c r="J184" s="560"/>
      <c r="K184" s="560"/>
      <c r="L184" s="560"/>
      <c r="M184" s="560"/>
      <c r="N184" s="560"/>
      <c r="O184" s="567"/>
      <c r="P184" s="563" t="s">
        <v>75</v>
      </c>
      <c r="Q184" s="564"/>
      <c r="R184" s="564"/>
      <c r="S184" s="564"/>
      <c r="T184" s="564"/>
      <c r="U184" s="564"/>
      <c r="V184" s="565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59" t="s">
        <v>318</v>
      </c>
      <c r="B185" s="560"/>
      <c r="C185" s="560"/>
      <c r="D185" s="560"/>
      <c r="E185" s="560"/>
      <c r="F185" s="560"/>
      <c r="G185" s="560"/>
      <c r="H185" s="560"/>
      <c r="I185" s="560"/>
      <c r="J185" s="560"/>
      <c r="K185" s="560"/>
      <c r="L185" s="560"/>
      <c r="M185" s="560"/>
      <c r="N185" s="560"/>
      <c r="O185" s="560"/>
      <c r="P185" s="560"/>
      <c r="Q185" s="560"/>
      <c r="R185" s="560"/>
      <c r="S185" s="560"/>
      <c r="T185" s="560"/>
      <c r="U185" s="560"/>
      <c r="V185" s="560"/>
      <c r="W185" s="560"/>
      <c r="X185" s="560"/>
      <c r="Y185" s="560"/>
      <c r="Z185" s="560"/>
      <c r="AA185" s="542"/>
      <c r="AB185" s="542"/>
      <c r="AC185" s="542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7">
        <v>4680115886797</v>
      </c>
      <c r="E186" s="558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6"/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7"/>
      <c r="P187" s="563" t="s">
        <v>75</v>
      </c>
      <c r="Q187" s="564"/>
      <c r="R187" s="564"/>
      <c r="S187" s="564"/>
      <c r="T187" s="564"/>
      <c r="U187" s="564"/>
      <c r="V187" s="565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60"/>
      <c r="B188" s="560"/>
      <c r="C188" s="560"/>
      <c r="D188" s="560"/>
      <c r="E188" s="560"/>
      <c r="F188" s="560"/>
      <c r="G188" s="560"/>
      <c r="H188" s="560"/>
      <c r="I188" s="560"/>
      <c r="J188" s="560"/>
      <c r="K188" s="560"/>
      <c r="L188" s="560"/>
      <c r="M188" s="560"/>
      <c r="N188" s="560"/>
      <c r="O188" s="567"/>
      <c r="P188" s="563" t="s">
        <v>75</v>
      </c>
      <c r="Q188" s="564"/>
      <c r="R188" s="564"/>
      <c r="S188" s="564"/>
      <c r="T188" s="564"/>
      <c r="U188" s="564"/>
      <c r="V188" s="565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78" t="s">
        <v>321</v>
      </c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41"/>
      <c r="AB189" s="541"/>
      <c r="AC189" s="541"/>
    </row>
    <row r="190" spans="1:68" ht="14.25" hidden="1" customHeight="1" x14ac:dyDescent="0.25">
      <c r="A190" s="559" t="s">
        <v>104</v>
      </c>
      <c r="B190" s="560"/>
      <c r="C190" s="560"/>
      <c r="D190" s="560"/>
      <c r="E190" s="560"/>
      <c r="F190" s="560"/>
      <c r="G190" s="560"/>
      <c r="H190" s="560"/>
      <c r="I190" s="560"/>
      <c r="J190" s="560"/>
      <c r="K190" s="560"/>
      <c r="L190" s="560"/>
      <c r="M190" s="560"/>
      <c r="N190" s="560"/>
      <c r="O190" s="560"/>
      <c r="P190" s="560"/>
      <c r="Q190" s="560"/>
      <c r="R190" s="560"/>
      <c r="S190" s="560"/>
      <c r="T190" s="560"/>
      <c r="U190" s="560"/>
      <c r="V190" s="560"/>
      <c r="W190" s="560"/>
      <c r="X190" s="560"/>
      <c r="Y190" s="560"/>
      <c r="Z190" s="560"/>
      <c r="AA190" s="542"/>
      <c r="AB190" s="542"/>
      <c r="AC190" s="542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7">
        <v>4680115881402</v>
      </c>
      <c r="E191" s="558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7">
        <v>4680115881396</v>
      </c>
      <c r="E192" s="558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/>
      <c r="M192" s="33" t="s">
        <v>109</v>
      </c>
      <c r="N192" s="33"/>
      <c r="O192" s="32">
        <v>55</v>
      </c>
      <c r="P192" s="65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6"/>
      <c r="B193" s="560"/>
      <c r="C193" s="560"/>
      <c r="D193" s="560"/>
      <c r="E193" s="560"/>
      <c r="F193" s="560"/>
      <c r="G193" s="560"/>
      <c r="H193" s="560"/>
      <c r="I193" s="560"/>
      <c r="J193" s="560"/>
      <c r="K193" s="560"/>
      <c r="L193" s="560"/>
      <c r="M193" s="560"/>
      <c r="N193" s="560"/>
      <c r="O193" s="567"/>
      <c r="P193" s="563" t="s">
        <v>75</v>
      </c>
      <c r="Q193" s="564"/>
      <c r="R193" s="564"/>
      <c r="S193" s="564"/>
      <c r="T193" s="564"/>
      <c r="U193" s="564"/>
      <c r="V193" s="56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60"/>
      <c r="B194" s="560"/>
      <c r="C194" s="560"/>
      <c r="D194" s="560"/>
      <c r="E194" s="560"/>
      <c r="F194" s="560"/>
      <c r="G194" s="560"/>
      <c r="H194" s="560"/>
      <c r="I194" s="560"/>
      <c r="J194" s="560"/>
      <c r="K194" s="560"/>
      <c r="L194" s="560"/>
      <c r="M194" s="560"/>
      <c r="N194" s="560"/>
      <c r="O194" s="567"/>
      <c r="P194" s="563" t="s">
        <v>75</v>
      </c>
      <c r="Q194" s="564"/>
      <c r="R194" s="564"/>
      <c r="S194" s="564"/>
      <c r="T194" s="564"/>
      <c r="U194" s="564"/>
      <c r="V194" s="56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9" t="s">
        <v>139</v>
      </c>
      <c r="B195" s="560"/>
      <c r="C195" s="560"/>
      <c r="D195" s="560"/>
      <c r="E195" s="560"/>
      <c r="F195" s="560"/>
      <c r="G195" s="560"/>
      <c r="H195" s="560"/>
      <c r="I195" s="560"/>
      <c r="J195" s="560"/>
      <c r="K195" s="560"/>
      <c r="L195" s="560"/>
      <c r="M195" s="560"/>
      <c r="N195" s="560"/>
      <c r="O195" s="560"/>
      <c r="P195" s="560"/>
      <c r="Q195" s="560"/>
      <c r="R195" s="560"/>
      <c r="S195" s="560"/>
      <c r="T195" s="560"/>
      <c r="U195" s="560"/>
      <c r="V195" s="560"/>
      <c r="W195" s="560"/>
      <c r="X195" s="560"/>
      <c r="Y195" s="560"/>
      <c r="Z195" s="560"/>
      <c r="AA195" s="542"/>
      <c r="AB195" s="542"/>
      <c r="AC195" s="542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7">
        <v>4680115882935</v>
      </c>
      <c r="E196" s="558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7">
        <v>4680115880764</v>
      </c>
      <c r="E197" s="558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6"/>
      <c r="B198" s="560"/>
      <c r="C198" s="560"/>
      <c r="D198" s="560"/>
      <c r="E198" s="560"/>
      <c r="F198" s="560"/>
      <c r="G198" s="560"/>
      <c r="H198" s="560"/>
      <c r="I198" s="560"/>
      <c r="J198" s="560"/>
      <c r="K198" s="560"/>
      <c r="L198" s="560"/>
      <c r="M198" s="560"/>
      <c r="N198" s="560"/>
      <c r="O198" s="567"/>
      <c r="P198" s="563" t="s">
        <v>75</v>
      </c>
      <c r="Q198" s="564"/>
      <c r="R198" s="564"/>
      <c r="S198" s="564"/>
      <c r="T198" s="564"/>
      <c r="U198" s="564"/>
      <c r="V198" s="56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60"/>
      <c r="B199" s="560"/>
      <c r="C199" s="560"/>
      <c r="D199" s="560"/>
      <c r="E199" s="560"/>
      <c r="F199" s="560"/>
      <c r="G199" s="560"/>
      <c r="H199" s="560"/>
      <c r="I199" s="560"/>
      <c r="J199" s="560"/>
      <c r="K199" s="560"/>
      <c r="L199" s="560"/>
      <c r="M199" s="560"/>
      <c r="N199" s="560"/>
      <c r="O199" s="567"/>
      <c r="P199" s="563" t="s">
        <v>75</v>
      </c>
      <c r="Q199" s="564"/>
      <c r="R199" s="564"/>
      <c r="S199" s="564"/>
      <c r="T199" s="564"/>
      <c r="U199" s="564"/>
      <c r="V199" s="56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9" t="s">
        <v>64</v>
      </c>
      <c r="B200" s="560"/>
      <c r="C200" s="560"/>
      <c r="D200" s="560"/>
      <c r="E200" s="560"/>
      <c r="F200" s="560"/>
      <c r="G200" s="560"/>
      <c r="H200" s="560"/>
      <c r="I200" s="560"/>
      <c r="J200" s="560"/>
      <c r="K200" s="560"/>
      <c r="L200" s="560"/>
      <c r="M200" s="560"/>
      <c r="N200" s="560"/>
      <c r="O200" s="560"/>
      <c r="P200" s="560"/>
      <c r="Q200" s="560"/>
      <c r="R200" s="560"/>
      <c r="S200" s="560"/>
      <c r="T200" s="560"/>
      <c r="U200" s="560"/>
      <c r="V200" s="560"/>
      <c r="W200" s="560"/>
      <c r="X200" s="560"/>
      <c r="Y200" s="560"/>
      <c r="Z200" s="560"/>
      <c r="AA200" s="542"/>
      <c r="AB200" s="542"/>
      <c r="AC200" s="542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7">
        <v>4680115882683</v>
      </c>
      <c r="E201" s="558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114</v>
      </c>
      <c r="M201" s="33" t="s">
        <v>68</v>
      </c>
      <c r="N201" s="33"/>
      <c r="O201" s="32">
        <v>40</v>
      </c>
      <c r="P201" s="80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83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7">
        <v>4680115882690</v>
      </c>
      <c r="E202" s="558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114</v>
      </c>
      <c r="M202" s="33" t="s">
        <v>68</v>
      </c>
      <c r="N202" s="33"/>
      <c r="O202" s="32">
        <v>40</v>
      </c>
      <c r="P202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80</v>
      </c>
      <c r="Y202" s="548">
        <f t="shared" si="10"/>
        <v>81</v>
      </c>
      <c r="Z202" s="36">
        <f>IFERROR(IF(Y202=0,"",ROUNDUP(Y202/H202,0)*0.00902),"")</f>
        <v>0.1353</v>
      </c>
      <c r="AA202" s="56"/>
      <c r="AB202" s="57"/>
      <c r="AC202" s="241" t="s">
        <v>337</v>
      </c>
      <c r="AG202" s="64"/>
      <c r="AJ202" s="68" t="s">
        <v>83</v>
      </c>
      <c r="AK202" s="68">
        <v>64.8</v>
      </c>
      <c r="BB202" s="242" t="s">
        <v>1</v>
      </c>
      <c r="BM202" s="64">
        <f t="shared" si="11"/>
        <v>82.81481481481481</v>
      </c>
      <c r="BN202" s="64">
        <f t="shared" si="12"/>
        <v>83.85</v>
      </c>
      <c r="BO202" s="64">
        <f t="shared" si="13"/>
        <v>0.11223344556677889</v>
      </c>
      <c r="BP202" s="64">
        <f t="shared" si="14"/>
        <v>0.11363636363636363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7">
        <v>4680115882669</v>
      </c>
      <c r="E203" s="558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114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83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7">
        <v>4680115882676</v>
      </c>
      <c r="E204" s="558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114</v>
      </c>
      <c r="M204" s="33" t="s">
        <v>68</v>
      </c>
      <c r="N204" s="33"/>
      <c r="O204" s="32">
        <v>40</v>
      </c>
      <c r="P20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83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7">
        <v>4680115884014</v>
      </c>
      <c r="E205" s="558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/>
      <c r="M205" s="33" t="s">
        <v>68</v>
      </c>
      <c r="N205" s="33"/>
      <c r="O205" s="32">
        <v>40</v>
      </c>
      <c r="P205" s="6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7">
        <v>4680115884007</v>
      </c>
      <c r="E206" s="558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293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83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7">
        <v>4680115884038</v>
      </c>
      <c r="E207" s="558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 t="s">
        <v>293</v>
      </c>
      <c r="M207" s="33" t="s">
        <v>68</v>
      </c>
      <c r="N207" s="33"/>
      <c r="O207" s="32">
        <v>40</v>
      </c>
      <c r="P207" s="7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 t="s">
        <v>83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7">
        <v>4680115884021</v>
      </c>
      <c r="E208" s="558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293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83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6"/>
      <c r="B209" s="560"/>
      <c r="C209" s="560"/>
      <c r="D209" s="560"/>
      <c r="E209" s="560"/>
      <c r="F209" s="560"/>
      <c r="G209" s="560"/>
      <c r="H209" s="560"/>
      <c r="I209" s="560"/>
      <c r="J209" s="560"/>
      <c r="K209" s="560"/>
      <c r="L209" s="560"/>
      <c r="M209" s="560"/>
      <c r="N209" s="560"/>
      <c r="O209" s="567"/>
      <c r="P209" s="563" t="s">
        <v>75</v>
      </c>
      <c r="Q209" s="564"/>
      <c r="R209" s="564"/>
      <c r="S209" s="564"/>
      <c r="T209" s="564"/>
      <c r="U209" s="564"/>
      <c r="V209" s="56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14.814814814814813</v>
      </c>
      <c r="Y209" s="549">
        <f>IFERROR(Y201/H201,"0")+IFERROR(Y202/H202,"0")+IFERROR(Y203/H203,"0")+IFERROR(Y204/H204,"0")+IFERROR(Y205/H205,"0")+IFERROR(Y206/H206,"0")+IFERROR(Y207/H207,"0")+IFERROR(Y208/H208,"0")</f>
        <v>14.999999999999998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0.1353</v>
      </c>
      <c r="AA209" s="550"/>
      <c r="AB209" s="550"/>
      <c r="AC209" s="550"/>
    </row>
    <row r="210" spans="1:68" x14ac:dyDescent="0.2">
      <c r="A210" s="560"/>
      <c r="B210" s="560"/>
      <c r="C210" s="560"/>
      <c r="D210" s="560"/>
      <c r="E210" s="560"/>
      <c r="F210" s="560"/>
      <c r="G210" s="560"/>
      <c r="H210" s="560"/>
      <c r="I210" s="560"/>
      <c r="J210" s="560"/>
      <c r="K210" s="560"/>
      <c r="L210" s="560"/>
      <c r="M210" s="560"/>
      <c r="N210" s="560"/>
      <c r="O210" s="567"/>
      <c r="P210" s="563" t="s">
        <v>75</v>
      </c>
      <c r="Q210" s="564"/>
      <c r="R210" s="564"/>
      <c r="S210" s="564"/>
      <c r="T210" s="564"/>
      <c r="U210" s="564"/>
      <c r="V210" s="565"/>
      <c r="W210" s="37" t="s">
        <v>69</v>
      </c>
      <c r="X210" s="549">
        <f>IFERROR(SUM(X201:X208),"0")</f>
        <v>80</v>
      </c>
      <c r="Y210" s="549">
        <f>IFERROR(SUM(Y201:Y208),"0")</f>
        <v>81</v>
      </c>
      <c r="Z210" s="37"/>
      <c r="AA210" s="550"/>
      <c r="AB210" s="550"/>
      <c r="AC210" s="550"/>
    </row>
    <row r="211" spans="1:68" ht="14.25" hidden="1" customHeight="1" x14ac:dyDescent="0.25">
      <c r="A211" s="559" t="s">
        <v>77</v>
      </c>
      <c r="B211" s="560"/>
      <c r="C211" s="560"/>
      <c r="D211" s="560"/>
      <c r="E211" s="560"/>
      <c r="F211" s="560"/>
      <c r="G211" s="560"/>
      <c r="H211" s="560"/>
      <c r="I211" s="560"/>
      <c r="J211" s="560"/>
      <c r="K211" s="560"/>
      <c r="L211" s="560"/>
      <c r="M211" s="560"/>
      <c r="N211" s="560"/>
      <c r="O211" s="560"/>
      <c r="P211" s="560"/>
      <c r="Q211" s="560"/>
      <c r="R211" s="560"/>
      <c r="S211" s="560"/>
      <c r="T211" s="560"/>
      <c r="U211" s="560"/>
      <c r="V211" s="560"/>
      <c r="W211" s="560"/>
      <c r="X211" s="560"/>
      <c r="Y211" s="560"/>
      <c r="Z211" s="560"/>
      <c r="AA211" s="542"/>
      <c r="AB211" s="542"/>
      <c r="AC211" s="542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7">
        <v>4680115881594</v>
      </c>
      <c r="E212" s="558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81</v>
      </c>
      <c r="N212" s="33"/>
      <c r="O212" s="32">
        <v>40</v>
      </c>
      <c r="P212" s="7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7">
        <v>4680115881617</v>
      </c>
      <c r="E213" s="558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81</v>
      </c>
      <c r="N213" s="33"/>
      <c r="O213" s="32">
        <v>40</v>
      </c>
      <c r="P213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25</v>
      </c>
      <c r="Y213" s="548">
        <f t="shared" si="15"/>
        <v>32.4</v>
      </c>
      <c r="Z213" s="36">
        <f>IFERROR(IF(Y213=0,"",ROUNDUP(Y213/H213,0)*0.01898),"")</f>
        <v>7.5920000000000001E-2</v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26.469135802469136</v>
      </c>
      <c r="BN213" s="64">
        <f t="shared" si="17"/>
        <v>34.304000000000002</v>
      </c>
      <c r="BO213" s="64">
        <f t="shared" si="18"/>
        <v>4.8225308641975308E-2</v>
      </c>
      <c r="BP213" s="64">
        <f t="shared" si="19"/>
        <v>6.25E-2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7">
        <v>4680115880573</v>
      </c>
      <c r="E214" s="558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81</v>
      </c>
      <c r="N214" s="33"/>
      <c r="O214" s="32">
        <v>45</v>
      </c>
      <c r="P214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83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7">
        <v>4680115882195</v>
      </c>
      <c r="E215" s="558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80</v>
      </c>
      <c r="M215" s="33" t="s">
        <v>81</v>
      </c>
      <c r="N215" s="33"/>
      <c r="O215" s="32">
        <v>40</v>
      </c>
      <c r="P215" s="5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83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7">
        <v>4680115882607</v>
      </c>
      <c r="E216" s="558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/>
      <c r="M216" s="33" t="s">
        <v>89</v>
      </c>
      <c r="N216" s="33"/>
      <c r="O216" s="32">
        <v>45</v>
      </c>
      <c r="P216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7">
        <v>4680115880092</v>
      </c>
      <c r="E217" s="558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80</v>
      </c>
      <c r="M217" s="33" t="s">
        <v>81</v>
      </c>
      <c r="N217" s="33"/>
      <c r="O217" s="32">
        <v>45</v>
      </c>
      <c r="P217" s="81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83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7">
        <v>4680115880221</v>
      </c>
      <c r="E218" s="558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/>
      <c r="M218" s="33" t="s">
        <v>81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7">
        <v>4680115880504</v>
      </c>
      <c r="E219" s="558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80</v>
      </c>
      <c r="M219" s="33" t="s">
        <v>89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83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7">
        <v>4680115882164</v>
      </c>
      <c r="E220" s="558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80</v>
      </c>
      <c r="M220" s="33" t="s">
        <v>81</v>
      </c>
      <c r="N220" s="33"/>
      <c r="O220" s="32">
        <v>40</v>
      </c>
      <c r="P220" s="5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83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6"/>
      <c r="B221" s="560"/>
      <c r="C221" s="560"/>
      <c r="D221" s="560"/>
      <c r="E221" s="560"/>
      <c r="F221" s="560"/>
      <c r="G221" s="560"/>
      <c r="H221" s="560"/>
      <c r="I221" s="560"/>
      <c r="J221" s="560"/>
      <c r="K221" s="560"/>
      <c r="L221" s="560"/>
      <c r="M221" s="560"/>
      <c r="N221" s="560"/>
      <c r="O221" s="567"/>
      <c r="P221" s="563" t="s">
        <v>75</v>
      </c>
      <c r="Q221" s="564"/>
      <c r="R221" s="564"/>
      <c r="S221" s="564"/>
      <c r="T221" s="564"/>
      <c r="U221" s="564"/>
      <c r="V221" s="56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3.0864197530864197</v>
      </c>
      <c r="Y221" s="549">
        <f>IFERROR(Y212/H212,"0")+IFERROR(Y213/H213,"0")+IFERROR(Y214/H214,"0")+IFERROR(Y215/H215,"0")+IFERROR(Y216/H216,"0")+IFERROR(Y217/H217,"0")+IFERROR(Y218/H218,"0")+IFERROR(Y219/H219,"0")+IFERROR(Y220/H220,"0")</f>
        <v>4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7.5920000000000001E-2</v>
      </c>
      <c r="AA221" s="550"/>
      <c r="AB221" s="550"/>
      <c r="AC221" s="550"/>
    </row>
    <row r="222" spans="1:68" x14ac:dyDescent="0.2">
      <c r="A222" s="560"/>
      <c r="B222" s="560"/>
      <c r="C222" s="560"/>
      <c r="D222" s="560"/>
      <c r="E222" s="560"/>
      <c r="F222" s="560"/>
      <c r="G222" s="560"/>
      <c r="H222" s="560"/>
      <c r="I222" s="560"/>
      <c r="J222" s="560"/>
      <c r="K222" s="560"/>
      <c r="L222" s="560"/>
      <c r="M222" s="560"/>
      <c r="N222" s="560"/>
      <c r="O222" s="567"/>
      <c r="P222" s="563" t="s">
        <v>75</v>
      </c>
      <c r="Q222" s="564"/>
      <c r="R222" s="564"/>
      <c r="S222" s="564"/>
      <c r="T222" s="564"/>
      <c r="U222" s="564"/>
      <c r="V222" s="565"/>
      <c r="W222" s="37" t="s">
        <v>69</v>
      </c>
      <c r="X222" s="549">
        <f>IFERROR(SUM(X212:X220),"0")</f>
        <v>25</v>
      </c>
      <c r="Y222" s="549">
        <f>IFERROR(SUM(Y212:Y220),"0")</f>
        <v>32.4</v>
      </c>
      <c r="Z222" s="37"/>
      <c r="AA222" s="550"/>
      <c r="AB222" s="550"/>
      <c r="AC222" s="550"/>
    </row>
    <row r="223" spans="1:68" ht="14.25" hidden="1" customHeight="1" x14ac:dyDescent="0.25">
      <c r="A223" s="559" t="s">
        <v>167</v>
      </c>
      <c r="B223" s="560"/>
      <c r="C223" s="560"/>
      <c r="D223" s="560"/>
      <c r="E223" s="560"/>
      <c r="F223" s="560"/>
      <c r="G223" s="560"/>
      <c r="H223" s="560"/>
      <c r="I223" s="560"/>
      <c r="J223" s="560"/>
      <c r="K223" s="560"/>
      <c r="L223" s="560"/>
      <c r="M223" s="560"/>
      <c r="N223" s="560"/>
      <c r="O223" s="560"/>
      <c r="P223" s="560"/>
      <c r="Q223" s="560"/>
      <c r="R223" s="560"/>
      <c r="S223" s="560"/>
      <c r="T223" s="560"/>
      <c r="U223" s="560"/>
      <c r="V223" s="560"/>
      <c r="W223" s="560"/>
      <c r="X223" s="560"/>
      <c r="Y223" s="560"/>
      <c r="Z223" s="560"/>
      <c r="AA223" s="542"/>
      <c r="AB223" s="542"/>
      <c r="AC223" s="542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7">
        <v>4680115880818</v>
      </c>
      <c r="E224" s="558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80</v>
      </c>
      <c r="M224" s="33" t="s">
        <v>89</v>
      </c>
      <c r="N224" s="33"/>
      <c r="O224" s="32">
        <v>40</v>
      </c>
      <c r="P224" s="73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83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7">
        <v>4680115880801</v>
      </c>
      <c r="E225" s="558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 t="s">
        <v>80</v>
      </c>
      <c r="M225" s="33" t="s">
        <v>81</v>
      </c>
      <c r="N225" s="33"/>
      <c r="O225" s="32">
        <v>40</v>
      </c>
      <c r="P225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83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6"/>
      <c r="B226" s="560"/>
      <c r="C226" s="560"/>
      <c r="D226" s="560"/>
      <c r="E226" s="560"/>
      <c r="F226" s="560"/>
      <c r="G226" s="560"/>
      <c r="H226" s="560"/>
      <c r="I226" s="560"/>
      <c r="J226" s="560"/>
      <c r="K226" s="560"/>
      <c r="L226" s="560"/>
      <c r="M226" s="560"/>
      <c r="N226" s="560"/>
      <c r="O226" s="567"/>
      <c r="P226" s="563" t="s">
        <v>75</v>
      </c>
      <c r="Q226" s="564"/>
      <c r="R226" s="564"/>
      <c r="S226" s="564"/>
      <c r="T226" s="564"/>
      <c r="U226" s="564"/>
      <c r="V226" s="565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60"/>
      <c r="B227" s="560"/>
      <c r="C227" s="560"/>
      <c r="D227" s="560"/>
      <c r="E227" s="560"/>
      <c r="F227" s="560"/>
      <c r="G227" s="560"/>
      <c r="H227" s="560"/>
      <c r="I227" s="560"/>
      <c r="J227" s="560"/>
      <c r="K227" s="560"/>
      <c r="L227" s="560"/>
      <c r="M227" s="560"/>
      <c r="N227" s="560"/>
      <c r="O227" s="567"/>
      <c r="P227" s="563" t="s">
        <v>75</v>
      </c>
      <c r="Q227" s="564"/>
      <c r="R227" s="564"/>
      <c r="S227" s="564"/>
      <c r="T227" s="564"/>
      <c r="U227" s="564"/>
      <c r="V227" s="565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78" t="s">
        <v>380</v>
      </c>
      <c r="B228" s="560"/>
      <c r="C228" s="560"/>
      <c r="D228" s="560"/>
      <c r="E228" s="560"/>
      <c r="F228" s="560"/>
      <c r="G228" s="560"/>
      <c r="H228" s="560"/>
      <c r="I228" s="560"/>
      <c r="J228" s="560"/>
      <c r="K228" s="560"/>
      <c r="L228" s="560"/>
      <c r="M228" s="560"/>
      <c r="N228" s="560"/>
      <c r="O228" s="560"/>
      <c r="P228" s="560"/>
      <c r="Q228" s="560"/>
      <c r="R228" s="560"/>
      <c r="S228" s="560"/>
      <c r="T228" s="560"/>
      <c r="U228" s="560"/>
      <c r="V228" s="560"/>
      <c r="W228" s="560"/>
      <c r="X228" s="560"/>
      <c r="Y228" s="560"/>
      <c r="Z228" s="560"/>
      <c r="AA228" s="541"/>
      <c r="AB228" s="541"/>
      <c r="AC228" s="541"/>
    </row>
    <row r="229" spans="1:68" ht="14.25" hidden="1" customHeight="1" x14ac:dyDescent="0.25">
      <c r="A229" s="559" t="s">
        <v>104</v>
      </c>
      <c r="B229" s="560"/>
      <c r="C229" s="560"/>
      <c r="D229" s="560"/>
      <c r="E229" s="560"/>
      <c r="F229" s="560"/>
      <c r="G229" s="560"/>
      <c r="H229" s="560"/>
      <c r="I229" s="560"/>
      <c r="J229" s="560"/>
      <c r="K229" s="560"/>
      <c r="L229" s="560"/>
      <c r="M229" s="560"/>
      <c r="N229" s="560"/>
      <c r="O229" s="560"/>
      <c r="P229" s="560"/>
      <c r="Q229" s="560"/>
      <c r="R229" s="560"/>
      <c r="S229" s="560"/>
      <c r="T229" s="560"/>
      <c r="U229" s="560"/>
      <c r="V229" s="560"/>
      <c r="W229" s="560"/>
      <c r="X229" s="560"/>
      <c r="Y229" s="560"/>
      <c r="Z229" s="560"/>
      <c r="AA229" s="542"/>
      <c r="AB229" s="542"/>
      <c r="AC229" s="542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7">
        <v>4680115884137</v>
      </c>
      <c r="E230" s="558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7">
        <v>4680115884236</v>
      </c>
      <c r="E231" s="558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7">
        <v>4680115884175</v>
      </c>
      <c r="E232" s="558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7">
        <v>4680115884144</v>
      </c>
      <c r="E233" s="558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/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7">
        <v>4680115884144</v>
      </c>
      <c r="E234" s="558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7">
        <v>4680115886551</v>
      </c>
      <c r="E235" s="558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7">
        <v>4680115887282</v>
      </c>
      <c r="E236" s="558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7">
        <v>4680115884205</v>
      </c>
      <c r="E237" s="558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114</v>
      </c>
      <c r="M237" s="33" t="s">
        <v>109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83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7">
        <v>4680115884205</v>
      </c>
      <c r="E238" s="558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6"/>
      <c r="B239" s="560"/>
      <c r="C239" s="560"/>
      <c r="D239" s="560"/>
      <c r="E239" s="560"/>
      <c r="F239" s="560"/>
      <c r="G239" s="560"/>
      <c r="H239" s="560"/>
      <c r="I239" s="560"/>
      <c r="J239" s="560"/>
      <c r="K239" s="560"/>
      <c r="L239" s="560"/>
      <c r="M239" s="560"/>
      <c r="N239" s="560"/>
      <c r="O239" s="567"/>
      <c r="P239" s="563" t="s">
        <v>75</v>
      </c>
      <c r="Q239" s="564"/>
      <c r="R239" s="564"/>
      <c r="S239" s="564"/>
      <c r="T239" s="564"/>
      <c r="U239" s="564"/>
      <c r="V239" s="56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60"/>
      <c r="B240" s="560"/>
      <c r="C240" s="560"/>
      <c r="D240" s="560"/>
      <c r="E240" s="560"/>
      <c r="F240" s="560"/>
      <c r="G240" s="560"/>
      <c r="H240" s="560"/>
      <c r="I240" s="560"/>
      <c r="J240" s="560"/>
      <c r="K240" s="560"/>
      <c r="L240" s="560"/>
      <c r="M240" s="560"/>
      <c r="N240" s="560"/>
      <c r="O240" s="567"/>
      <c r="P240" s="563" t="s">
        <v>75</v>
      </c>
      <c r="Q240" s="564"/>
      <c r="R240" s="564"/>
      <c r="S240" s="564"/>
      <c r="T240" s="564"/>
      <c r="U240" s="564"/>
      <c r="V240" s="565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59" t="s">
        <v>139</v>
      </c>
      <c r="B241" s="560"/>
      <c r="C241" s="560"/>
      <c r="D241" s="560"/>
      <c r="E241" s="560"/>
      <c r="F241" s="560"/>
      <c r="G241" s="560"/>
      <c r="H241" s="56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60"/>
      <c r="V241" s="560"/>
      <c r="W241" s="560"/>
      <c r="X241" s="560"/>
      <c r="Y241" s="560"/>
      <c r="Z241" s="560"/>
      <c r="AA241" s="542"/>
      <c r="AB241" s="542"/>
      <c r="AC241" s="542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7">
        <v>4680115885981</v>
      </c>
      <c r="E242" s="558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81</v>
      </c>
      <c r="N242" s="33"/>
      <c r="O242" s="32">
        <v>50</v>
      </c>
      <c r="P242" s="6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6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7"/>
      <c r="P243" s="563" t="s">
        <v>75</v>
      </c>
      <c r="Q243" s="564"/>
      <c r="R243" s="564"/>
      <c r="S243" s="564"/>
      <c r="T243" s="564"/>
      <c r="U243" s="564"/>
      <c r="V243" s="56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7"/>
      <c r="P244" s="563" t="s">
        <v>75</v>
      </c>
      <c r="Q244" s="564"/>
      <c r="R244" s="564"/>
      <c r="S244" s="564"/>
      <c r="T244" s="564"/>
      <c r="U244" s="564"/>
      <c r="V244" s="56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9" t="s">
        <v>404</v>
      </c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42"/>
      <c r="AB245" s="542"/>
      <c r="AC245" s="542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7">
        <v>4680115886803</v>
      </c>
      <c r="E246" s="558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6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7"/>
      <c r="P247" s="563" t="s">
        <v>75</v>
      </c>
      <c r="Q247" s="564"/>
      <c r="R247" s="564"/>
      <c r="S247" s="564"/>
      <c r="T247" s="564"/>
      <c r="U247" s="564"/>
      <c r="V247" s="565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7"/>
      <c r="P248" s="563" t="s">
        <v>75</v>
      </c>
      <c r="Q248" s="564"/>
      <c r="R248" s="564"/>
      <c r="S248" s="564"/>
      <c r="T248" s="564"/>
      <c r="U248" s="564"/>
      <c r="V248" s="565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59" t="s">
        <v>408</v>
      </c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42"/>
      <c r="AB249" s="542"/>
      <c r="AC249" s="542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7">
        <v>4680115886704</v>
      </c>
      <c r="E250" s="558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6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7">
        <v>4680115886681</v>
      </c>
      <c r="E251" s="558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7">
        <v>4680115886735</v>
      </c>
      <c r="E252" s="558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0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7">
        <v>4680115886728</v>
      </c>
      <c r="E253" s="558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7">
        <v>4680115886711</v>
      </c>
      <c r="E254" s="558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6"/>
      <c r="B255" s="560"/>
      <c r="C255" s="560"/>
      <c r="D255" s="560"/>
      <c r="E255" s="560"/>
      <c r="F255" s="560"/>
      <c r="G255" s="560"/>
      <c r="H255" s="560"/>
      <c r="I255" s="560"/>
      <c r="J255" s="560"/>
      <c r="K255" s="560"/>
      <c r="L255" s="560"/>
      <c r="M255" s="560"/>
      <c r="N255" s="560"/>
      <c r="O255" s="567"/>
      <c r="P255" s="563" t="s">
        <v>75</v>
      </c>
      <c r="Q255" s="564"/>
      <c r="R255" s="564"/>
      <c r="S255" s="564"/>
      <c r="T255" s="564"/>
      <c r="U255" s="564"/>
      <c r="V255" s="565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60"/>
      <c r="B256" s="560"/>
      <c r="C256" s="560"/>
      <c r="D256" s="560"/>
      <c r="E256" s="560"/>
      <c r="F256" s="560"/>
      <c r="G256" s="560"/>
      <c r="H256" s="560"/>
      <c r="I256" s="560"/>
      <c r="J256" s="560"/>
      <c r="K256" s="560"/>
      <c r="L256" s="560"/>
      <c r="M256" s="560"/>
      <c r="N256" s="560"/>
      <c r="O256" s="567"/>
      <c r="P256" s="563" t="s">
        <v>75</v>
      </c>
      <c r="Q256" s="564"/>
      <c r="R256" s="564"/>
      <c r="S256" s="564"/>
      <c r="T256" s="564"/>
      <c r="U256" s="564"/>
      <c r="V256" s="565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78" t="s">
        <v>420</v>
      </c>
      <c r="B257" s="560"/>
      <c r="C257" s="560"/>
      <c r="D257" s="560"/>
      <c r="E257" s="560"/>
      <c r="F257" s="560"/>
      <c r="G257" s="560"/>
      <c r="H257" s="560"/>
      <c r="I257" s="560"/>
      <c r="J257" s="560"/>
      <c r="K257" s="560"/>
      <c r="L257" s="560"/>
      <c r="M257" s="560"/>
      <c r="N257" s="560"/>
      <c r="O257" s="560"/>
      <c r="P257" s="560"/>
      <c r="Q257" s="560"/>
      <c r="R257" s="560"/>
      <c r="S257" s="560"/>
      <c r="T257" s="560"/>
      <c r="U257" s="560"/>
      <c r="V257" s="560"/>
      <c r="W257" s="560"/>
      <c r="X257" s="560"/>
      <c r="Y257" s="560"/>
      <c r="Z257" s="560"/>
      <c r="AA257" s="541"/>
      <c r="AB257" s="541"/>
      <c r="AC257" s="541"/>
    </row>
    <row r="258" spans="1:68" ht="14.25" hidden="1" customHeight="1" x14ac:dyDescent="0.25">
      <c r="A258" s="559" t="s">
        <v>104</v>
      </c>
      <c r="B258" s="560"/>
      <c r="C258" s="560"/>
      <c r="D258" s="560"/>
      <c r="E258" s="560"/>
      <c r="F258" s="560"/>
      <c r="G258" s="560"/>
      <c r="H258" s="560"/>
      <c r="I258" s="560"/>
      <c r="J258" s="560"/>
      <c r="K258" s="560"/>
      <c r="L258" s="560"/>
      <c r="M258" s="560"/>
      <c r="N258" s="560"/>
      <c r="O258" s="560"/>
      <c r="P258" s="560"/>
      <c r="Q258" s="560"/>
      <c r="R258" s="560"/>
      <c r="S258" s="560"/>
      <c r="T258" s="560"/>
      <c r="U258" s="560"/>
      <c r="V258" s="560"/>
      <c r="W258" s="560"/>
      <c r="X258" s="560"/>
      <c r="Y258" s="560"/>
      <c r="Z258" s="560"/>
      <c r="AA258" s="542"/>
      <c r="AB258" s="542"/>
      <c r="AC258" s="542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7">
        <v>4680115885837</v>
      </c>
      <c r="E259" s="558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/>
      <c r="M259" s="33" t="s">
        <v>109</v>
      </c>
      <c r="N259" s="33"/>
      <c r="O259" s="32">
        <v>55</v>
      </c>
      <c r="P259" s="63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7">
        <v>4680115885851</v>
      </c>
      <c r="E260" s="558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20</v>
      </c>
      <c r="Y260" s="548">
        <f>IFERROR(IF(X260="",0,CEILING((X260/$H260),1)*$H260),"")</f>
        <v>21.6</v>
      </c>
      <c r="Z260" s="36">
        <f>IFERROR(IF(Y260=0,"",ROUNDUP(Y260/H260,0)*0.01898),"")</f>
        <v>3.7960000000000001E-2</v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20.75925925925926</v>
      </c>
      <c r="BN260" s="64">
        <f>IFERROR(Y260*I260/H260,"0")</f>
        <v>22.42</v>
      </c>
      <c r="BO260" s="64">
        <f>IFERROR(1/J260*(X260/H260),"0")</f>
        <v>2.8935185185185182E-2</v>
      </c>
      <c r="BP260" s="64">
        <f>IFERROR(1/J260*(Y260/H260),"0")</f>
        <v>3.125E-2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7">
        <v>4680115885806</v>
      </c>
      <c r="E261" s="558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/>
      <c r="M261" s="33" t="s">
        <v>109</v>
      </c>
      <c r="N261" s="33"/>
      <c r="O261" s="32">
        <v>55</v>
      </c>
      <c r="P261" s="7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60</v>
      </c>
      <c r="Y261" s="548">
        <f>IFERROR(IF(X261="",0,CEILING((X261/$H261),1)*$H261),"")</f>
        <v>64.800000000000011</v>
      </c>
      <c r="Z261" s="36">
        <f>IFERROR(IF(Y261=0,"",ROUNDUP(Y261/H261,0)*0.01898),"")</f>
        <v>0.11388000000000001</v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62.277777777777779</v>
      </c>
      <c r="BN261" s="64">
        <f>IFERROR(Y261*I261/H261,"0")</f>
        <v>67.260000000000005</v>
      </c>
      <c r="BO261" s="64">
        <f>IFERROR(1/J261*(X261/H261),"0")</f>
        <v>8.6805555555555552E-2</v>
      </c>
      <c r="BP261" s="64">
        <f>IFERROR(1/J261*(Y261/H261),"0")</f>
        <v>9.3750000000000014E-2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7">
        <v>4680115885844</v>
      </c>
      <c r="E262" s="558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7">
        <v>4680115885820</v>
      </c>
      <c r="E263" s="558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/>
      <c r="M263" s="33" t="s">
        <v>109</v>
      </c>
      <c r="N263" s="33"/>
      <c r="O263" s="32">
        <v>55</v>
      </c>
      <c r="P263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6"/>
      <c r="B264" s="560"/>
      <c r="C264" s="560"/>
      <c r="D264" s="560"/>
      <c r="E264" s="560"/>
      <c r="F264" s="560"/>
      <c r="G264" s="560"/>
      <c r="H264" s="560"/>
      <c r="I264" s="560"/>
      <c r="J264" s="560"/>
      <c r="K264" s="560"/>
      <c r="L264" s="560"/>
      <c r="M264" s="560"/>
      <c r="N264" s="560"/>
      <c r="O264" s="567"/>
      <c r="P264" s="563" t="s">
        <v>75</v>
      </c>
      <c r="Q264" s="564"/>
      <c r="R264" s="564"/>
      <c r="S264" s="564"/>
      <c r="T264" s="564"/>
      <c r="U264" s="564"/>
      <c r="V264" s="565"/>
      <c r="W264" s="37" t="s">
        <v>76</v>
      </c>
      <c r="X264" s="549">
        <f>IFERROR(X259/H259,"0")+IFERROR(X260/H260,"0")+IFERROR(X261/H261,"0")+IFERROR(X262/H262,"0")+IFERROR(X263/H263,"0")</f>
        <v>7.4074074074074066</v>
      </c>
      <c r="Y264" s="549">
        <f>IFERROR(Y259/H259,"0")+IFERROR(Y260/H260,"0")+IFERROR(Y261/H261,"0")+IFERROR(Y262/H262,"0")+IFERROR(Y263/H263,"0")</f>
        <v>8</v>
      </c>
      <c r="Z264" s="549">
        <f>IFERROR(IF(Z259="",0,Z259),"0")+IFERROR(IF(Z260="",0,Z260),"0")+IFERROR(IF(Z261="",0,Z261),"0")+IFERROR(IF(Z262="",0,Z262),"0")+IFERROR(IF(Z263="",0,Z263),"0")</f>
        <v>0.15184</v>
      </c>
      <c r="AA264" s="550"/>
      <c r="AB264" s="550"/>
      <c r="AC264" s="550"/>
    </row>
    <row r="265" spans="1:68" x14ac:dyDescent="0.2">
      <c r="A265" s="560"/>
      <c r="B265" s="560"/>
      <c r="C265" s="560"/>
      <c r="D265" s="560"/>
      <c r="E265" s="560"/>
      <c r="F265" s="560"/>
      <c r="G265" s="560"/>
      <c r="H265" s="560"/>
      <c r="I265" s="560"/>
      <c r="J265" s="560"/>
      <c r="K265" s="560"/>
      <c r="L265" s="560"/>
      <c r="M265" s="560"/>
      <c r="N265" s="560"/>
      <c r="O265" s="567"/>
      <c r="P265" s="563" t="s">
        <v>75</v>
      </c>
      <c r="Q265" s="564"/>
      <c r="R265" s="564"/>
      <c r="S265" s="564"/>
      <c r="T265" s="564"/>
      <c r="U265" s="564"/>
      <c r="V265" s="565"/>
      <c r="W265" s="37" t="s">
        <v>69</v>
      </c>
      <c r="X265" s="549">
        <f>IFERROR(SUM(X259:X263),"0")</f>
        <v>80</v>
      </c>
      <c r="Y265" s="549">
        <f>IFERROR(SUM(Y259:Y263),"0")</f>
        <v>86.4</v>
      </c>
      <c r="Z265" s="37"/>
      <c r="AA265" s="550"/>
      <c r="AB265" s="550"/>
      <c r="AC265" s="550"/>
    </row>
    <row r="266" spans="1:68" ht="16.5" hidden="1" customHeight="1" x14ac:dyDescent="0.25">
      <c r="A266" s="578" t="s">
        <v>436</v>
      </c>
      <c r="B266" s="560"/>
      <c r="C266" s="560"/>
      <c r="D266" s="560"/>
      <c r="E266" s="560"/>
      <c r="F266" s="560"/>
      <c r="G266" s="560"/>
      <c r="H266" s="560"/>
      <c r="I266" s="560"/>
      <c r="J266" s="560"/>
      <c r="K266" s="560"/>
      <c r="L266" s="560"/>
      <c r="M266" s="560"/>
      <c r="N266" s="560"/>
      <c r="O266" s="560"/>
      <c r="P266" s="560"/>
      <c r="Q266" s="560"/>
      <c r="R266" s="560"/>
      <c r="S266" s="560"/>
      <c r="T266" s="560"/>
      <c r="U266" s="560"/>
      <c r="V266" s="560"/>
      <c r="W266" s="560"/>
      <c r="X266" s="560"/>
      <c r="Y266" s="560"/>
      <c r="Z266" s="560"/>
      <c r="AA266" s="541"/>
      <c r="AB266" s="541"/>
      <c r="AC266" s="541"/>
    </row>
    <row r="267" spans="1:68" ht="14.25" hidden="1" customHeight="1" x14ac:dyDescent="0.25">
      <c r="A267" s="559" t="s">
        <v>104</v>
      </c>
      <c r="B267" s="560"/>
      <c r="C267" s="560"/>
      <c r="D267" s="560"/>
      <c r="E267" s="560"/>
      <c r="F267" s="560"/>
      <c r="G267" s="560"/>
      <c r="H267" s="560"/>
      <c r="I267" s="560"/>
      <c r="J267" s="560"/>
      <c r="K267" s="560"/>
      <c r="L267" s="560"/>
      <c r="M267" s="560"/>
      <c r="N267" s="560"/>
      <c r="O267" s="560"/>
      <c r="P267" s="560"/>
      <c r="Q267" s="560"/>
      <c r="R267" s="560"/>
      <c r="S267" s="560"/>
      <c r="T267" s="560"/>
      <c r="U267" s="560"/>
      <c r="V267" s="560"/>
      <c r="W267" s="560"/>
      <c r="X267" s="560"/>
      <c r="Y267" s="560"/>
      <c r="Z267" s="560"/>
      <c r="AA267" s="542"/>
      <c r="AB267" s="542"/>
      <c r="AC267" s="542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7">
        <v>4607091383423</v>
      </c>
      <c r="E268" s="558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81</v>
      </c>
      <c r="N268" s="33"/>
      <c r="O268" s="32">
        <v>35</v>
      </c>
      <c r="P268" s="65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7">
        <v>4680115886957</v>
      </c>
      <c r="E269" s="558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81</v>
      </c>
      <c r="N269" s="33"/>
      <c r="O269" s="32">
        <v>30</v>
      </c>
      <c r="P269" s="7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7">
        <v>4680115885660</v>
      </c>
      <c r="E270" s="558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81</v>
      </c>
      <c r="N270" s="33"/>
      <c r="O270" s="32">
        <v>35</v>
      </c>
      <c r="P270" s="78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7">
        <v>4680115886773</v>
      </c>
      <c r="E271" s="558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6"/>
      <c r="B272" s="560"/>
      <c r="C272" s="560"/>
      <c r="D272" s="560"/>
      <c r="E272" s="560"/>
      <c r="F272" s="560"/>
      <c r="G272" s="560"/>
      <c r="H272" s="560"/>
      <c r="I272" s="560"/>
      <c r="J272" s="560"/>
      <c r="K272" s="560"/>
      <c r="L272" s="560"/>
      <c r="M272" s="560"/>
      <c r="N272" s="560"/>
      <c r="O272" s="567"/>
      <c r="P272" s="563" t="s">
        <v>75</v>
      </c>
      <c r="Q272" s="564"/>
      <c r="R272" s="564"/>
      <c r="S272" s="564"/>
      <c r="T272" s="564"/>
      <c r="U272" s="564"/>
      <c r="V272" s="56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60"/>
      <c r="B273" s="560"/>
      <c r="C273" s="560"/>
      <c r="D273" s="560"/>
      <c r="E273" s="560"/>
      <c r="F273" s="560"/>
      <c r="G273" s="560"/>
      <c r="H273" s="560"/>
      <c r="I273" s="560"/>
      <c r="J273" s="560"/>
      <c r="K273" s="560"/>
      <c r="L273" s="560"/>
      <c r="M273" s="560"/>
      <c r="N273" s="560"/>
      <c r="O273" s="567"/>
      <c r="P273" s="563" t="s">
        <v>75</v>
      </c>
      <c r="Q273" s="564"/>
      <c r="R273" s="564"/>
      <c r="S273" s="564"/>
      <c r="T273" s="564"/>
      <c r="U273" s="564"/>
      <c r="V273" s="56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8" t="s">
        <v>447</v>
      </c>
      <c r="B274" s="560"/>
      <c r="C274" s="560"/>
      <c r="D274" s="560"/>
      <c r="E274" s="560"/>
      <c r="F274" s="560"/>
      <c r="G274" s="560"/>
      <c r="H274" s="560"/>
      <c r="I274" s="560"/>
      <c r="J274" s="560"/>
      <c r="K274" s="560"/>
      <c r="L274" s="560"/>
      <c r="M274" s="560"/>
      <c r="N274" s="560"/>
      <c r="O274" s="560"/>
      <c r="P274" s="560"/>
      <c r="Q274" s="560"/>
      <c r="R274" s="560"/>
      <c r="S274" s="560"/>
      <c r="T274" s="560"/>
      <c r="U274" s="560"/>
      <c r="V274" s="560"/>
      <c r="W274" s="560"/>
      <c r="X274" s="560"/>
      <c r="Y274" s="560"/>
      <c r="Z274" s="560"/>
      <c r="AA274" s="541"/>
      <c r="AB274" s="541"/>
      <c r="AC274" s="541"/>
    </row>
    <row r="275" spans="1:68" ht="14.25" hidden="1" customHeight="1" x14ac:dyDescent="0.25">
      <c r="A275" s="559" t="s">
        <v>77</v>
      </c>
      <c r="B275" s="560"/>
      <c r="C275" s="560"/>
      <c r="D275" s="560"/>
      <c r="E275" s="560"/>
      <c r="F275" s="560"/>
      <c r="G275" s="560"/>
      <c r="H275" s="560"/>
      <c r="I275" s="560"/>
      <c r="J275" s="560"/>
      <c r="K275" s="560"/>
      <c r="L275" s="560"/>
      <c r="M275" s="560"/>
      <c r="N275" s="560"/>
      <c r="O275" s="560"/>
      <c r="P275" s="560"/>
      <c r="Q275" s="560"/>
      <c r="R275" s="560"/>
      <c r="S275" s="560"/>
      <c r="T275" s="560"/>
      <c r="U275" s="560"/>
      <c r="V275" s="560"/>
      <c r="W275" s="560"/>
      <c r="X275" s="560"/>
      <c r="Y275" s="560"/>
      <c r="Z275" s="560"/>
      <c r="AA275" s="542"/>
      <c r="AB275" s="542"/>
      <c r="AC275" s="542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7">
        <v>4680115886186</v>
      </c>
      <c r="E276" s="558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81</v>
      </c>
      <c r="N276" s="33"/>
      <c r="O276" s="32">
        <v>45</v>
      </c>
      <c r="P276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7">
        <v>4680115881228</v>
      </c>
      <c r="E277" s="558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 t="s">
        <v>80</v>
      </c>
      <c r="M277" s="33" t="s">
        <v>89</v>
      </c>
      <c r="N277" s="33"/>
      <c r="O277" s="32">
        <v>40</v>
      </c>
      <c r="P277" s="5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83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7">
        <v>4680115881211</v>
      </c>
      <c r="E278" s="558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/>
      <c r="M278" s="33" t="s">
        <v>81</v>
      </c>
      <c r="N278" s="33"/>
      <c r="O278" s="32">
        <v>45</v>
      </c>
      <c r="P278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6"/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7"/>
      <c r="P279" s="563" t="s">
        <v>75</v>
      </c>
      <c r="Q279" s="564"/>
      <c r="R279" s="564"/>
      <c r="S279" s="564"/>
      <c r="T279" s="564"/>
      <c r="U279" s="564"/>
      <c r="V279" s="565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hidden="1" x14ac:dyDescent="0.2">
      <c r="A280" s="560"/>
      <c r="B280" s="560"/>
      <c r="C280" s="560"/>
      <c r="D280" s="560"/>
      <c r="E280" s="560"/>
      <c r="F280" s="560"/>
      <c r="G280" s="560"/>
      <c r="H280" s="560"/>
      <c r="I280" s="560"/>
      <c r="J280" s="560"/>
      <c r="K280" s="560"/>
      <c r="L280" s="560"/>
      <c r="M280" s="560"/>
      <c r="N280" s="560"/>
      <c r="O280" s="567"/>
      <c r="P280" s="563" t="s">
        <v>75</v>
      </c>
      <c r="Q280" s="564"/>
      <c r="R280" s="564"/>
      <c r="S280" s="564"/>
      <c r="T280" s="564"/>
      <c r="U280" s="564"/>
      <c r="V280" s="565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hidden="1" customHeight="1" x14ac:dyDescent="0.25">
      <c r="A281" s="578" t="s">
        <v>456</v>
      </c>
      <c r="B281" s="560"/>
      <c r="C281" s="560"/>
      <c r="D281" s="560"/>
      <c r="E281" s="560"/>
      <c r="F281" s="560"/>
      <c r="G281" s="560"/>
      <c r="H281" s="560"/>
      <c r="I281" s="560"/>
      <c r="J281" s="560"/>
      <c r="K281" s="560"/>
      <c r="L281" s="560"/>
      <c r="M281" s="560"/>
      <c r="N281" s="560"/>
      <c r="O281" s="560"/>
      <c r="P281" s="560"/>
      <c r="Q281" s="560"/>
      <c r="R281" s="560"/>
      <c r="S281" s="560"/>
      <c r="T281" s="560"/>
      <c r="U281" s="560"/>
      <c r="V281" s="560"/>
      <c r="W281" s="560"/>
      <c r="X281" s="560"/>
      <c r="Y281" s="560"/>
      <c r="Z281" s="560"/>
      <c r="AA281" s="541"/>
      <c r="AB281" s="541"/>
      <c r="AC281" s="541"/>
    </row>
    <row r="282" spans="1:68" ht="14.25" hidden="1" customHeight="1" x14ac:dyDescent="0.25">
      <c r="A282" s="559" t="s">
        <v>64</v>
      </c>
      <c r="B282" s="560"/>
      <c r="C282" s="560"/>
      <c r="D282" s="560"/>
      <c r="E282" s="560"/>
      <c r="F282" s="560"/>
      <c r="G282" s="560"/>
      <c r="H282" s="560"/>
      <c r="I282" s="560"/>
      <c r="J282" s="560"/>
      <c r="K282" s="560"/>
      <c r="L282" s="560"/>
      <c r="M282" s="560"/>
      <c r="N282" s="560"/>
      <c r="O282" s="560"/>
      <c r="P282" s="560"/>
      <c r="Q282" s="560"/>
      <c r="R282" s="560"/>
      <c r="S282" s="560"/>
      <c r="T282" s="560"/>
      <c r="U282" s="560"/>
      <c r="V282" s="560"/>
      <c r="W282" s="560"/>
      <c r="X282" s="560"/>
      <c r="Y282" s="560"/>
      <c r="Z282" s="560"/>
      <c r="AA282" s="542"/>
      <c r="AB282" s="542"/>
      <c r="AC282" s="542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7">
        <v>4680115880344</v>
      </c>
      <c r="E283" s="558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2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7">
        <v>4680115886919</v>
      </c>
      <c r="E284" s="558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6"/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7"/>
      <c r="P285" s="563" t="s">
        <v>75</v>
      </c>
      <c r="Q285" s="564"/>
      <c r="R285" s="564"/>
      <c r="S285" s="564"/>
      <c r="T285" s="564"/>
      <c r="U285" s="564"/>
      <c r="V285" s="56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60"/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7"/>
      <c r="P286" s="563" t="s">
        <v>75</v>
      </c>
      <c r="Q286" s="564"/>
      <c r="R286" s="564"/>
      <c r="S286" s="564"/>
      <c r="T286" s="564"/>
      <c r="U286" s="564"/>
      <c r="V286" s="56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9" t="s">
        <v>77</v>
      </c>
      <c r="B287" s="560"/>
      <c r="C287" s="560"/>
      <c r="D287" s="560"/>
      <c r="E287" s="560"/>
      <c r="F287" s="560"/>
      <c r="G287" s="560"/>
      <c r="H287" s="560"/>
      <c r="I287" s="560"/>
      <c r="J287" s="560"/>
      <c r="K287" s="560"/>
      <c r="L287" s="560"/>
      <c r="M287" s="560"/>
      <c r="N287" s="560"/>
      <c r="O287" s="560"/>
      <c r="P287" s="560"/>
      <c r="Q287" s="560"/>
      <c r="R287" s="560"/>
      <c r="S287" s="560"/>
      <c r="T287" s="560"/>
      <c r="U287" s="560"/>
      <c r="V287" s="560"/>
      <c r="W287" s="560"/>
      <c r="X287" s="560"/>
      <c r="Y287" s="560"/>
      <c r="Z287" s="560"/>
      <c r="AA287" s="542"/>
      <c r="AB287" s="542"/>
      <c r="AC287" s="542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7">
        <v>4680115884618</v>
      </c>
      <c r="E288" s="558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/>
      <c r="M288" s="33" t="s">
        <v>81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7">
        <v>4680115887114</v>
      </c>
      <c r="E289" s="558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81</v>
      </c>
      <c r="N289" s="33"/>
      <c r="O289" s="32">
        <v>45</v>
      </c>
      <c r="P289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6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7"/>
      <c r="P290" s="563" t="s">
        <v>75</v>
      </c>
      <c r="Q290" s="564"/>
      <c r="R290" s="564"/>
      <c r="S290" s="564"/>
      <c r="T290" s="564"/>
      <c r="U290" s="564"/>
      <c r="V290" s="565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60"/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7"/>
      <c r="P291" s="563" t="s">
        <v>75</v>
      </c>
      <c r="Q291" s="564"/>
      <c r="R291" s="564"/>
      <c r="S291" s="564"/>
      <c r="T291" s="564"/>
      <c r="U291" s="564"/>
      <c r="V291" s="565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78" t="s">
        <v>469</v>
      </c>
      <c r="B292" s="560"/>
      <c r="C292" s="560"/>
      <c r="D292" s="560"/>
      <c r="E292" s="560"/>
      <c r="F292" s="560"/>
      <c r="G292" s="560"/>
      <c r="H292" s="560"/>
      <c r="I292" s="560"/>
      <c r="J292" s="560"/>
      <c r="K292" s="560"/>
      <c r="L292" s="560"/>
      <c r="M292" s="560"/>
      <c r="N292" s="560"/>
      <c r="O292" s="560"/>
      <c r="P292" s="560"/>
      <c r="Q292" s="560"/>
      <c r="R292" s="560"/>
      <c r="S292" s="560"/>
      <c r="T292" s="560"/>
      <c r="U292" s="560"/>
      <c r="V292" s="560"/>
      <c r="W292" s="560"/>
      <c r="X292" s="560"/>
      <c r="Y292" s="560"/>
      <c r="Z292" s="560"/>
      <c r="AA292" s="541"/>
      <c r="AB292" s="541"/>
      <c r="AC292" s="541"/>
    </row>
    <row r="293" spans="1:68" ht="14.25" hidden="1" customHeight="1" x14ac:dyDescent="0.25">
      <c r="A293" s="559" t="s">
        <v>104</v>
      </c>
      <c r="B293" s="560"/>
      <c r="C293" s="560"/>
      <c r="D293" s="560"/>
      <c r="E293" s="560"/>
      <c r="F293" s="560"/>
      <c r="G293" s="560"/>
      <c r="H293" s="560"/>
      <c r="I293" s="560"/>
      <c r="J293" s="560"/>
      <c r="K293" s="560"/>
      <c r="L293" s="560"/>
      <c r="M293" s="560"/>
      <c r="N293" s="560"/>
      <c r="O293" s="560"/>
      <c r="P293" s="560"/>
      <c r="Q293" s="560"/>
      <c r="R293" s="560"/>
      <c r="S293" s="560"/>
      <c r="T293" s="560"/>
      <c r="U293" s="560"/>
      <c r="V293" s="560"/>
      <c r="W293" s="560"/>
      <c r="X293" s="560"/>
      <c r="Y293" s="560"/>
      <c r="Z293" s="560"/>
      <c r="AA293" s="542"/>
      <c r="AB293" s="542"/>
      <c r="AC293" s="542"/>
    </row>
    <row r="294" spans="1:68" ht="27" hidden="1" customHeight="1" x14ac:dyDescent="0.25">
      <c r="A294" s="54" t="s">
        <v>470</v>
      </c>
      <c r="B294" s="54" t="s">
        <v>471</v>
      </c>
      <c r="C294" s="31">
        <v>4301012126</v>
      </c>
      <c r="D294" s="557">
        <v>4607091386004</v>
      </c>
      <c r="E294" s="558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4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hidden="1" customHeight="1" x14ac:dyDescent="0.25">
      <c r="A295" s="54" t="s">
        <v>473</v>
      </c>
      <c r="B295" s="54" t="s">
        <v>474</v>
      </c>
      <c r="C295" s="31">
        <v>4301012024</v>
      </c>
      <c r="D295" s="557">
        <v>4680115885615</v>
      </c>
      <c r="E295" s="558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/>
      <c r="M295" s="33" t="s">
        <v>81</v>
      </c>
      <c r="N295" s="33"/>
      <c r="O295" s="32">
        <v>55</v>
      </c>
      <c r="P295" s="79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hidden="1" customHeight="1" x14ac:dyDescent="0.25">
      <c r="A296" s="54" t="s">
        <v>476</v>
      </c>
      <c r="B296" s="54" t="s">
        <v>477</v>
      </c>
      <c r="C296" s="31">
        <v>4301011858</v>
      </c>
      <c r="D296" s="557">
        <v>4680115885646</v>
      </c>
      <c r="E296" s="558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/>
      <c r="M296" s="33" t="s">
        <v>109</v>
      </c>
      <c r="N296" s="33"/>
      <c r="O296" s="32">
        <v>55</v>
      </c>
      <c r="P296" s="7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4301012016</v>
      </c>
      <c r="D297" s="557">
        <v>4680115885554</v>
      </c>
      <c r="E297" s="558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81</v>
      </c>
      <c r="N297" s="33"/>
      <c r="O297" s="32">
        <v>55</v>
      </c>
      <c r="P297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7">
        <v>4680115885622</v>
      </c>
      <c r="E298" s="558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/>
      <c r="M298" s="33" t="s">
        <v>109</v>
      </c>
      <c r="N298" s="33"/>
      <c r="O298" s="32">
        <v>55</v>
      </c>
      <c r="P298" s="81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/>
      <c r="AK298" s="68">
        <v>0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484</v>
      </c>
      <c r="B299" s="54" t="s">
        <v>485</v>
      </c>
      <c r="C299" s="31">
        <v>4301011859</v>
      </c>
      <c r="D299" s="557">
        <v>4680115885608</v>
      </c>
      <c r="E299" s="558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/>
      <c r="M299" s="33" t="s">
        <v>109</v>
      </c>
      <c r="N299" s="33"/>
      <c r="O299" s="32">
        <v>55</v>
      </c>
      <c r="P299" s="7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idden="1" x14ac:dyDescent="0.2">
      <c r="A300" s="566"/>
      <c r="B300" s="560"/>
      <c r="C300" s="560"/>
      <c r="D300" s="560"/>
      <c r="E300" s="560"/>
      <c r="F300" s="560"/>
      <c r="G300" s="560"/>
      <c r="H300" s="560"/>
      <c r="I300" s="560"/>
      <c r="J300" s="560"/>
      <c r="K300" s="560"/>
      <c r="L300" s="560"/>
      <c r="M300" s="560"/>
      <c r="N300" s="560"/>
      <c r="O300" s="567"/>
      <c r="P300" s="563" t="s">
        <v>75</v>
      </c>
      <c r="Q300" s="564"/>
      <c r="R300" s="564"/>
      <c r="S300" s="564"/>
      <c r="T300" s="564"/>
      <c r="U300" s="564"/>
      <c r="V300" s="565"/>
      <c r="W300" s="37" t="s">
        <v>76</v>
      </c>
      <c r="X300" s="549">
        <f>IFERROR(X294/H294,"0")+IFERROR(X295/H295,"0")+IFERROR(X296/H296,"0")+IFERROR(X297/H297,"0")+IFERROR(X298/H298,"0")+IFERROR(X299/H299,"0")</f>
        <v>0</v>
      </c>
      <c r="Y300" s="549">
        <f>IFERROR(Y294/H294,"0")+IFERROR(Y295/H295,"0")+IFERROR(Y296/H296,"0")+IFERROR(Y297/H297,"0")+IFERROR(Y298/H298,"0")+IFERROR(Y299/H299,"0")</f>
        <v>0</v>
      </c>
      <c r="Z300" s="549">
        <f>IFERROR(IF(Z294="",0,Z294),"0")+IFERROR(IF(Z295="",0,Z295),"0")+IFERROR(IF(Z296="",0,Z296),"0")+IFERROR(IF(Z297="",0,Z297),"0")+IFERROR(IF(Z298="",0,Z298),"0")+IFERROR(IF(Z299="",0,Z299),"0")</f>
        <v>0</v>
      </c>
      <c r="AA300" s="550"/>
      <c r="AB300" s="550"/>
      <c r="AC300" s="550"/>
    </row>
    <row r="301" spans="1:68" hidden="1" x14ac:dyDescent="0.2">
      <c r="A301" s="560"/>
      <c r="B301" s="560"/>
      <c r="C301" s="560"/>
      <c r="D301" s="560"/>
      <c r="E301" s="560"/>
      <c r="F301" s="560"/>
      <c r="G301" s="560"/>
      <c r="H301" s="560"/>
      <c r="I301" s="560"/>
      <c r="J301" s="560"/>
      <c r="K301" s="560"/>
      <c r="L301" s="560"/>
      <c r="M301" s="560"/>
      <c r="N301" s="560"/>
      <c r="O301" s="567"/>
      <c r="P301" s="563" t="s">
        <v>75</v>
      </c>
      <c r="Q301" s="564"/>
      <c r="R301" s="564"/>
      <c r="S301" s="564"/>
      <c r="T301" s="564"/>
      <c r="U301" s="564"/>
      <c r="V301" s="565"/>
      <c r="W301" s="37" t="s">
        <v>69</v>
      </c>
      <c r="X301" s="549">
        <f>IFERROR(SUM(X294:X299),"0")</f>
        <v>0</v>
      </c>
      <c r="Y301" s="549">
        <f>IFERROR(SUM(Y294:Y299),"0")</f>
        <v>0</v>
      </c>
      <c r="Z301" s="37"/>
      <c r="AA301" s="550"/>
      <c r="AB301" s="550"/>
      <c r="AC301" s="550"/>
    </row>
    <row r="302" spans="1:68" ht="14.25" hidden="1" customHeight="1" x14ac:dyDescent="0.25">
      <c r="A302" s="559" t="s">
        <v>64</v>
      </c>
      <c r="B302" s="560"/>
      <c r="C302" s="560"/>
      <c r="D302" s="560"/>
      <c r="E302" s="560"/>
      <c r="F302" s="560"/>
      <c r="G302" s="560"/>
      <c r="H302" s="560"/>
      <c r="I302" s="560"/>
      <c r="J302" s="560"/>
      <c r="K302" s="560"/>
      <c r="L302" s="560"/>
      <c r="M302" s="560"/>
      <c r="N302" s="560"/>
      <c r="O302" s="560"/>
      <c r="P302" s="560"/>
      <c r="Q302" s="560"/>
      <c r="R302" s="560"/>
      <c r="S302" s="560"/>
      <c r="T302" s="560"/>
      <c r="U302" s="560"/>
      <c r="V302" s="560"/>
      <c r="W302" s="560"/>
      <c r="X302" s="560"/>
      <c r="Y302" s="560"/>
      <c r="Z302" s="560"/>
      <c r="AA302" s="542"/>
      <c r="AB302" s="542"/>
      <c r="AC302" s="542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7">
        <v>4607091387193</v>
      </c>
      <c r="E303" s="558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/>
      <c r="M303" s="33" t="s">
        <v>68</v>
      </c>
      <c r="N303" s="33"/>
      <c r="O303" s="32">
        <v>35</v>
      </c>
      <c r="P303" s="70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15</v>
      </c>
      <c r="Y303" s="548">
        <f t="shared" ref="Y303:Y308" si="31">IFERROR(IF(X303="",0,CEILING((X303/$H303),1)*$H303),"")</f>
        <v>16.8</v>
      </c>
      <c r="Z303" s="36">
        <f>IFERROR(IF(Y303=0,"",ROUNDUP(Y303/H303,0)*0.00902),"")</f>
        <v>3.6080000000000001E-2</v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ref="BM303:BM308" si="32">IFERROR(X303*I303/H303,"0")</f>
        <v>15.892857142857142</v>
      </c>
      <c r="BN303" s="64">
        <f t="shared" ref="BN303:BN308" si="33">IFERROR(Y303*I303/H303,"0")</f>
        <v>17.8</v>
      </c>
      <c r="BO303" s="64">
        <f t="shared" ref="BO303:BO308" si="34">IFERROR(1/J303*(X303/H303),"0")</f>
        <v>2.7056277056277056E-2</v>
      </c>
      <c r="BP303" s="64">
        <f t="shared" ref="BP303:BP308" si="35">IFERROR(1/J303*(Y303/H303),"0")</f>
        <v>3.0303030303030304E-2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4301031153</v>
      </c>
      <c r="D304" s="557">
        <v>4607091387230</v>
      </c>
      <c r="E304" s="558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/>
      <c r="M304" s="33" t="s">
        <v>68</v>
      </c>
      <c r="N304" s="33"/>
      <c r="O304" s="32">
        <v>40</v>
      </c>
      <c r="P304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7">
        <v>4607091387292</v>
      </c>
      <c r="E305" s="558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7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7">
        <v>4607091387285</v>
      </c>
      <c r="E306" s="558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7">
        <v>4607091389845</v>
      </c>
      <c r="E307" s="558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293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83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7">
        <v>4607091383836</v>
      </c>
      <c r="E308" s="558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80</v>
      </c>
      <c r="M308" s="33" t="s">
        <v>68</v>
      </c>
      <c r="N308" s="33"/>
      <c r="O308" s="32">
        <v>40</v>
      </c>
      <c r="P308" s="6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83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6"/>
      <c r="B309" s="560"/>
      <c r="C309" s="560"/>
      <c r="D309" s="560"/>
      <c r="E309" s="560"/>
      <c r="F309" s="560"/>
      <c r="G309" s="560"/>
      <c r="H309" s="560"/>
      <c r="I309" s="560"/>
      <c r="J309" s="560"/>
      <c r="K309" s="560"/>
      <c r="L309" s="560"/>
      <c r="M309" s="560"/>
      <c r="N309" s="560"/>
      <c r="O309" s="567"/>
      <c r="P309" s="563" t="s">
        <v>75</v>
      </c>
      <c r="Q309" s="564"/>
      <c r="R309" s="564"/>
      <c r="S309" s="564"/>
      <c r="T309" s="564"/>
      <c r="U309" s="564"/>
      <c r="V309" s="565"/>
      <c r="W309" s="37" t="s">
        <v>76</v>
      </c>
      <c r="X309" s="549">
        <f>IFERROR(X303/H303,"0")+IFERROR(X304/H304,"0")+IFERROR(X305/H305,"0")+IFERROR(X306/H306,"0")+IFERROR(X307/H307,"0")+IFERROR(X308/H308,"0")</f>
        <v>3.5714285714285712</v>
      </c>
      <c r="Y309" s="549">
        <f>IFERROR(Y303/H303,"0")+IFERROR(Y304/H304,"0")+IFERROR(Y305/H305,"0")+IFERROR(Y306/H306,"0")+IFERROR(Y307/H307,"0")+IFERROR(Y308/H308,"0")</f>
        <v>4</v>
      </c>
      <c r="Z309" s="549">
        <f>IFERROR(IF(Z303="",0,Z303),"0")+IFERROR(IF(Z304="",0,Z304),"0")+IFERROR(IF(Z305="",0,Z305),"0")+IFERROR(IF(Z306="",0,Z306),"0")+IFERROR(IF(Z307="",0,Z307),"0")+IFERROR(IF(Z308="",0,Z308),"0")</f>
        <v>3.6080000000000001E-2</v>
      </c>
      <c r="AA309" s="550"/>
      <c r="AB309" s="550"/>
      <c r="AC309" s="550"/>
    </row>
    <row r="310" spans="1:68" x14ac:dyDescent="0.2">
      <c r="A310" s="560"/>
      <c r="B310" s="560"/>
      <c r="C310" s="560"/>
      <c r="D310" s="560"/>
      <c r="E310" s="560"/>
      <c r="F310" s="560"/>
      <c r="G310" s="560"/>
      <c r="H310" s="560"/>
      <c r="I310" s="560"/>
      <c r="J310" s="560"/>
      <c r="K310" s="560"/>
      <c r="L310" s="560"/>
      <c r="M310" s="560"/>
      <c r="N310" s="560"/>
      <c r="O310" s="567"/>
      <c r="P310" s="563" t="s">
        <v>75</v>
      </c>
      <c r="Q310" s="564"/>
      <c r="R310" s="564"/>
      <c r="S310" s="564"/>
      <c r="T310" s="564"/>
      <c r="U310" s="564"/>
      <c r="V310" s="565"/>
      <c r="W310" s="37" t="s">
        <v>69</v>
      </c>
      <c r="X310" s="549">
        <f>IFERROR(SUM(X303:X308),"0")</f>
        <v>15</v>
      </c>
      <c r="Y310" s="549">
        <f>IFERROR(SUM(Y303:Y308),"0")</f>
        <v>16.8</v>
      </c>
      <c r="Z310" s="37"/>
      <c r="AA310" s="550"/>
      <c r="AB310" s="550"/>
      <c r="AC310" s="550"/>
    </row>
    <row r="311" spans="1:68" ht="14.25" hidden="1" customHeight="1" x14ac:dyDescent="0.25">
      <c r="A311" s="559" t="s">
        <v>77</v>
      </c>
      <c r="B311" s="560"/>
      <c r="C311" s="560"/>
      <c r="D311" s="560"/>
      <c r="E311" s="560"/>
      <c r="F311" s="560"/>
      <c r="G311" s="560"/>
      <c r="H311" s="560"/>
      <c r="I311" s="560"/>
      <c r="J311" s="560"/>
      <c r="K311" s="560"/>
      <c r="L311" s="560"/>
      <c r="M311" s="560"/>
      <c r="N311" s="560"/>
      <c r="O311" s="560"/>
      <c r="P311" s="560"/>
      <c r="Q311" s="560"/>
      <c r="R311" s="560"/>
      <c r="S311" s="560"/>
      <c r="T311" s="560"/>
      <c r="U311" s="560"/>
      <c r="V311" s="560"/>
      <c r="W311" s="560"/>
      <c r="X311" s="560"/>
      <c r="Y311" s="560"/>
      <c r="Z311" s="560"/>
      <c r="AA311" s="542"/>
      <c r="AB311" s="542"/>
      <c r="AC311" s="542"/>
    </row>
    <row r="312" spans="1:68" ht="27" hidden="1" customHeight="1" x14ac:dyDescent="0.25">
      <c r="A312" s="54" t="s">
        <v>504</v>
      </c>
      <c r="B312" s="54" t="s">
        <v>505</v>
      </c>
      <c r="C312" s="31">
        <v>4301051100</v>
      </c>
      <c r="D312" s="557">
        <v>4607091387766</v>
      </c>
      <c r="E312" s="558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/>
      <c r="M312" s="33" t="s">
        <v>81</v>
      </c>
      <c r="N312" s="33"/>
      <c r="O312" s="32">
        <v>40</v>
      </c>
      <c r="P312" s="6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7">
        <v>4607091387957</v>
      </c>
      <c r="E313" s="558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81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7">
        <v>4607091387964</v>
      </c>
      <c r="E314" s="558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81</v>
      </c>
      <c r="N314" s="33"/>
      <c r="O314" s="32">
        <v>40</v>
      </c>
      <c r="P314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513</v>
      </c>
      <c r="B315" s="54" t="s">
        <v>514</v>
      </c>
      <c r="C315" s="31">
        <v>4301051734</v>
      </c>
      <c r="D315" s="557">
        <v>4680115884588</v>
      </c>
      <c r="E315" s="558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/>
      <c r="M315" s="33" t="s">
        <v>81</v>
      </c>
      <c r="N315" s="33"/>
      <c r="O315" s="32">
        <v>40</v>
      </c>
      <c r="P315" s="5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566"/>
      <c r="B316" s="560"/>
      <c r="C316" s="560"/>
      <c r="D316" s="560"/>
      <c r="E316" s="560"/>
      <c r="F316" s="560"/>
      <c r="G316" s="560"/>
      <c r="H316" s="560"/>
      <c r="I316" s="560"/>
      <c r="J316" s="560"/>
      <c r="K316" s="560"/>
      <c r="L316" s="560"/>
      <c r="M316" s="560"/>
      <c r="N316" s="560"/>
      <c r="O316" s="567"/>
      <c r="P316" s="563" t="s">
        <v>75</v>
      </c>
      <c r="Q316" s="564"/>
      <c r="R316" s="564"/>
      <c r="S316" s="564"/>
      <c r="T316" s="564"/>
      <c r="U316" s="564"/>
      <c r="V316" s="565"/>
      <c r="W316" s="37" t="s">
        <v>76</v>
      </c>
      <c r="X316" s="549">
        <f>IFERROR(X312/H312,"0")+IFERROR(X313/H313,"0")+IFERROR(X314/H314,"0")+IFERROR(X315/H315,"0")</f>
        <v>0</v>
      </c>
      <c r="Y316" s="549">
        <f>IFERROR(Y312/H312,"0")+IFERROR(Y313/H313,"0")+IFERROR(Y314/H314,"0")+IFERROR(Y315/H315,"0")</f>
        <v>0</v>
      </c>
      <c r="Z316" s="549">
        <f>IFERROR(IF(Z312="",0,Z312),"0")+IFERROR(IF(Z313="",0,Z313),"0")+IFERROR(IF(Z314="",0,Z314),"0")+IFERROR(IF(Z315="",0,Z315),"0")</f>
        <v>0</v>
      </c>
      <c r="AA316" s="550"/>
      <c r="AB316" s="550"/>
      <c r="AC316" s="550"/>
    </row>
    <row r="317" spans="1:68" hidden="1" x14ac:dyDescent="0.2">
      <c r="A317" s="560"/>
      <c r="B317" s="560"/>
      <c r="C317" s="560"/>
      <c r="D317" s="560"/>
      <c r="E317" s="560"/>
      <c r="F317" s="560"/>
      <c r="G317" s="560"/>
      <c r="H317" s="560"/>
      <c r="I317" s="560"/>
      <c r="J317" s="560"/>
      <c r="K317" s="560"/>
      <c r="L317" s="560"/>
      <c r="M317" s="560"/>
      <c r="N317" s="560"/>
      <c r="O317" s="567"/>
      <c r="P317" s="563" t="s">
        <v>75</v>
      </c>
      <c r="Q317" s="564"/>
      <c r="R317" s="564"/>
      <c r="S317" s="564"/>
      <c r="T317" s="564"/>
      <c r="U317" s="564"/>
      <c r="V317" s="565"/>
      <c r="W317" s="37" t="s">
        <v>69</v>
      </c>
      <c r="X317" s="549">
        <f>IFERROR(SUM(X312:X315),"0")</f>
        <v>0</v>
      </c>
      <c r="Y317" s="549">
        <f>IFERROR(SUM(Y312:Y315),"0")</f>
        <v>0</v>
      </c>
      <c r="Z317" s="37"/>
      <c r="AA317" s="550"/>
      <c r="AB317" s="550"/>
      <c r="AC317" s="550"/>
    </row>
    <row r="318" spans="1:68" ht="14.25" hidden="1" customHeight="1" x14ac:dyDescent="0.25">
      <c r="A318" s="559" t="s">
        <v>167</v>
      </c>
      <c r="B318" s="560"/>
      <c r="C318" s="560"/>
      <c r="D318" s="560"/>
      <c r="E318" s="560"/>
      <c r="F318" s="560"/>
      <c r="G318" s="560"/>
      <c r="H318" s="560"/>
      <c r="I318" s="560"/>
      <c r="J318" s="560"/>
      <c r="K318" s="560"/>
      <c r="L318" s="560"/>
      <c r="M318" s="560"/>
      <c r="N318" s="560"/>
      <c r="O318" s="560"/>
      <c r="P318" s="560"/>
      <c r="Q318" s="560"/>
      <c r="R318" s="560"/>
      <c r="S318" s="560"/>
      <c r="T318" s="560"/>
      <c r="U318" s="560"/>
      <c r="V318" s="560"/>
      <c r="W318" s="560"/>
      <c r="X318" s="560"/>
      <c r="Y318" s="560"/>
      <c r="Z318" s="560"/>
      <c r="AA318" s="542"/>
      <c r="AB318" s="542"/>
      <c r="AC318" s="542"/>
    </row>
    <row r="319" spans="1:68" ht="27" hidden="1" customHeight="1" x14ac:dyDescent="0.25">
      <c r="A319" s="54" t="s">
        <v>516</v>
      </c>
      <c r="B319" s="54" t="s">
        <v>517</v>
      </c>
      <c r="C319" s="31">
        <v>4301060387</v>
      </c>
      <c r="D319" s="557">
        <v>4607091380880</v>
      </c>
      <c r="E319" s="558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81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83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7">
        <v>4607091384482</v>
      </c>
      <c r="E320" s="558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81</v>
      </c>
      <c r="N320" s="33"/>
      <c r="O320" s="32">
        <v>30</v>
      </c>
      <c r="P320" s="76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45</v>
      </c>
      <c r="Y320" s="548">
        <f>IFERROR(IF(X320="",0,CEILING((X320/$H320),1)*$H320),"")</f>
        <v>46.8</v>
      </c>
      <c r="Z320" s="36">
        <f>IFERROR(IF(Y320=0,"",ROUNDUP(Y320/H320,0)*0.01898),"")</f>
        <v>0.11388000000000001</v>
      </c>
      <c r="AA320" s="56"/>
      <c r="AB320" s="57"/>
      <c r="AC320" s="375" t="s">
        <v>521</v>
      </c>
      <c r="AG320" s="64"/>
      <c r="AJ320" s="68" t="s">
        <v>83</v>
      </c>
      <c r="AK320" s="68">
        <v>62.4</v>
      </c>
      <c r="BB320" s="376" t="s">
        <v>1</v>
      </c>
      <c r="BM320" s="64">
        <f>IFERROR(X320*I320/H320,"0")</f>
        <v>47.85</v>
      </c>
      <c r="BN320" s="64">
        <f>IFERROR(Y320*I320/H320,"0")</f>
        <v>49.764000000000003</v>
      </c>
      <c r="BO320" s="64">
        <f>IFERROR(1/J320*(X320/H320),"0")</f>
        <v>9.0144230769230768E-2</v>
      </c>
      <c r="BP320" s="64">
        <f>IFERROR(1/J320*(Y320/H320),"0")</f>
        <v>9.375E-2</v>
      </c>
    </row>
    <row r="321" spans="1:68" ht="16.5" hidden="1" customHeight="1" x14ac:dyDescent="0.25">
      <c r="A321" s="54" t="s">
        <v>522</v>
      </c>
      <c r="B321" s="54" t="s">
        <v>523</v>
      </c>
      <c r="C321" s="31">
        <v>4301060484</v>
      </c>
      <c r="D321" s="557">
        <v>4607091380897</v>
      </c>
      <c r="E321" s="558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/>
      <c r="M321" s="33" t="s">
        <v>89</v>
      </c>
      <c r="N321" s="33"/>
      <c r="O321" s="32">
        <v>30</v>
      </c>
      <c r="P321" s="79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566"/>
      <c r="B322" s="560"/>
      <c r="C322" s="560"/>
      <c r="D322" s="560"/>
      <c r="E322" s="560"/>
      <c r="F322" s="560"/>
      <c r="G322" s="560"/>
      <c r="H322" s="560"/>
      <c r="I322" s="560"/>
      <c r="J322" s="560"/>
      <c r="K322" s="560"/>
      <c r="L322" s="560"/>
      <c r="M322" s="560"/>
      <c r="N322" s="560"/>
      <c r="O322" s="567"/>
      <c r="P322" s="563" t="s">
        <v>75</v>
      </c>
      <c r="Q322" s="564"/>
      <c r="R322" s="564"/>
      <c r="S322" s="564"/>
      <c r="T322" s="564"/>
      <c r="U322" s="564"/>
      <c r="V322" s="565"/>
      <c r="W322" s="37" t="s">
        <v>76</v>
      </c>
      <c r="X322" s="549">
        <f>IFERROR(X319/H319,"0")+IFERROR(X320/H320,"0")+IFERROR(X321/H321,"0")</f>
        <v>5.7692307692307692</v>
      </c>
      <c r="Y322" s="549">
        <f>IFERROR(Y319/H319,"0")+IFERROR(Y320/H320,"0")+IFERROR(Y321/H321,"0")</f>
        <v>6</v>
      </c>
      <c r="Z322" s="549">
        <f>IFERROR(IF(Z319="",0,Z319),"0")+IFERROR(IF(Z320="",0,Z320),"0")+IFERROR(IF(Z321="",0,Z321),"0")</f>
        <v>0.11388000000000001</v>
      </c>
      <c r="AA322" s="550"/>
      <c r="AB322" s="550"/>
      <c r="AC322" s="550"/>
    </row>
    <row r="323" spans="1:68" x14ac:dyDescent="0.2">
      <c r="A323" s="560"/>
      <c r="B323" s="560"/>
      <c r="C323" s="560"/>
      <c r="D323" s="560"/>
      <c r="E323" s="560"/>
      <c r="F323" s="560"/>
      <c r="G323" s="560"/>
      <c r="H323" s="560"/>
      <c r="I323" s="560"/>
      <c r="J323" s="560"/>
      <c r="K323" s="560"/>
      <c r="L323" s="560"/>
      <c r="M323" s="560"/>
      <c r="N323" s="560"/>
      <c r="O323" s="567"/>
      <c r="P323" s="563" t="s">
        <v>75</v>
      </c>
      <c r="Q323" s="564"/>
      <c r="R323" s="564"/>
      <c r="S323" s="564"/>
      <c r="T323" s="564"/>
      <c r="U323" s="564"/>
      <c r="V323" s="565"/>
      <c r="W323" s="37" t="s">
        <v>69</v>
      </c>
      <c r="X323" s="549">
        <f>IFERROR(SUM(X319:X321),"0")</f>
        <v>45</v>
      </c>
      <c r="Y323" s="549">
        <f>IFERROR(SUM(Y319:Y321),"0")</f>
        <v>46.8</v>
      </c>
      <c r="Z323" s="37"/>
      <c r="AA323" s="550"/>
      <c r="AB323" s="550"/>
      <c r="AC323" s="550"/>
    </row>
    <row r="324" spans="1:68" ht="14.25" hidden="1" customHeight="1" x14ac:dyDescent="0.25">
      <c r="A324" s="559" t="s">
        <v>96</v>
      </c>
      <c r="B324" s="560"/>
      <c r="C324" s="560"/>
      <c r="D324" s="560"/>
      <c r="E324" s="560"/>
      <c r="F324" s="560"/>
      <c r="G324" s="560"/>
      <c r="H324" s="560"/>
      <c r="I324" s="560"/>
      <c r="J324" s="560"/>
      <c r="K324" s="560"/>
      <c r="L324" s="560"/>
      <c r="M324" s="560"/>
      <c r="N324" s="560"/>
      <c r="O324" s="560"/>
      <c r="P324" s="560"/>
      <c r="Q324" s="560"/>
      <c r="R324" s="560"/>
      <c r="S324" s="560"/>
      <c r="T324" s="560"/>
      <c r="U324" s="560"/>
      <c r="V324" s="560"/>
      <c r="W324" s="560"/>
      <c r="X324" s="560"/>
      <c r="Y324" s="560"/>
      <c r="Z324" s="560"/>
      <c r="AA324" s="542"/>
      <c r="AB324" s="542"/>
      <c r="AC324" s="542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7">
        <v>4607091388381</v>
      </c>
      <c r="E325" s="558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7">
        <v>4607091388374</v>
      </c>
      <c r="E326" s="558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7">
        <v>4607091383102</v>
      </c>
      <c r="E327" s="558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 t="s">
        <v>80</v>
      </c>
      <c r="M327" s="33" t="s">
        <v>99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 t="s">
        <v>83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4301030233</v>
      </c>
      <c r="D328" s="557">
        <v>4607091388404</v>
      </c>
      <c r="E328" s="558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/>
      <c r="M328" s="33" t="s">
        <v>99</v>
      </c>
      <c r="N328" s="33"/>
      <c r="O328" s="32">
        <v>180</v>
      </c>
      <c r="P328" s="5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566"/>
      <c r="B329" s="560"/>
      <c r="C329" s="560"/>
      <c r="D329" s="560"/>
      <c r="E329" s="560"/>
      <c r="F329" s="560"/>
      <c r="G329" s="560"/>
      <c r="H329" s="560"/>
      <c r="I329" s="560"/>
      <c r="J329" s="560"/>
      <c r="K329" s="560"/>
      <c r="L329" s="560"/>
      <c r="M329" s="560"/>
      <c r="N329" s="560"/>
      <c r="O329" s="567"/>
      <c r="P329" s="563" t="s">
        <v>75</v>
      </c>
      <c r="Q329" s="564"/>
      <c r="R329" s="564"/>
      <c r="S329" s="564"/>
      <c r="T329" s="564"/>
      <c r="U329" s="564"/>
      <c r="V329" s="565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hidden="1" x14ac:dyDescent="0.2">
      <c r="A330" s="560"/>
      <c r="B330" s="560"/>
      <c r="C330" s="560"/>
      <c r="D330" s="560"/>
      <c r="E330" s="560"/>
      <c r="F330" s="560"/>
      <c r="G330" s="560"/>
      <c r="H330" s="560"/>
      <c r="I330" s="560"/>
      <c r="J330" s="560"/>
      <c r="K330" s="560"/>
      <c r="L330" s="560"/>
      <c r="M330" s="560"/>
      <c r="N330" s="560"/>
      <c r="O330" s="567"/>
      <c r="P330" s="563" t="s">
        <v>75</v>
      </c>
      <c r="Q330" s="564"/>
      <c r="R330" s="564"/>
      <c r="S330" s="564"/>
      <c r="T330" s="564"/>
      <c r="U330" s="564"/>
      <c r="V330" s="565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hidden="1" customHeight="1" x14ac:dyDescent="0.25">
      <c r="A331" s="559" t="s">
        <v>535</v>
      </c>
      <c r="B331" s="560"/>
      <c r="C331" s="560"/>
      <c r="D331" s="560"/>
      <c r="E331" s="560"/>
      <c r="F331" s="560"/>
      <c r="G331" s="560"/>
      <c r="H331" s="560"/>
      <c r="I331" s="560"/>
      <c r="J331" s="560"/>
      <c r="K331" s="560"/>
      <c r="L331" s="560"/>
      <c r="M331" s="560"/>
      <c r="N331" s="560"/>
      <c r="O331" s="560"/>
      <c r="P331" s="560"/>
      <c r="Q331" s="560"/>
      <c r="R331" s="560"/>
      <c r="S331" s="560"/>
      <c r="T331" s="560"/>
      <c r="U331" s="560"/>
      <c r="V331" s="560"/>
      <c r="W331" s="560"/>
      <c r="X331" s="560"/>
      <c r="Y331" s="560"/>
      <c r="Z331" s="560"/>
      <c r="AA331" s="542"/>
      <c r="AB331" s="542"/>
      <c r="AC331" s="542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7">
        <v>4680115881808</v>
      </c>
      <c r="E332" s="558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81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7">
        <v>4680115881822</v>
      </c>
      <c r="E333" s="558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7">
        <v>4680115880016</v>
      </c>
      <c r="E334" s="558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66"/>
      <c r="B335" s="560"/>
      <c r="C335" s="560"/>
      <c r="D335" s="560"/>
      <c r="E335" s="560"/>
      <c r="F335" s="560"/>
      <c r="G335" s="560"/>
      <c r="H335" s="560"/>
      <c r="I335" s="560"/>
      <c r="J335" s="560"/>
      <c r="K335" s="560"/>
      <c r="L335" s="560"/>
      <c r="M335" s="560"/>
      <c r="N335" s="560"/>
      <c r="O335" s="567"/>
      <c r="P335" s="563" t="s">
        <v>75</v>
      </c>
      <c r="Q335" s="564"/>
      <c r="R335" s="564"/>
      <c r="S335" s="564"/>
      <c r="T335" s="564"/>
      <c r="U335" s="564"/>
      <c r="V335" s="565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60"/>
      <c r="B336" s="560"/>
      <c r="C336" s="560"/>
      <c r="D336" s="560"/>
      <c r="E336" s="560"/>
      <c r="F336" s="560"/>
      <c r="G336" s="560"/>
      <c r="H336" s="560"/>
      <c r="I336" s="560"/>
      <c r="J336" s="560"/>
      <c r="K336" s="560"/>
      <c r="L336" s="560"/>
      <c r="M336" s="560"/>
      <c r="N336" s="560"/>
      <c r="O336" s="567"/>
      <c r="P336" s="563" t="s">
        <v>75</v>
      </c>
      <c r="Q336" s="564"/>
      <c r="R336" s="564"/>
      <c r="S336" s="564"/>
      <c r="T336" s="564"/>
      <c r="U336" s="564"/>
      <c r="V336" s="565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78" t="s">
        <v>544</v>
      </c>
      <c r="B337" s="560"/>
      <c r="C337" s="560"/>
      <c r="D337" s="560"/>
      <c r="E337" s="560"/>
      <c r="F337" s="560"/>
      <c r="G337" s="560"/>
      <c r="H337" s="560"/>
      <c r="I337" s="560"/>
      <c r="J337" s="560"/>
      <c r="K337" s="560"/>
      <c r="L337" s="560"/>
      <c r="M337" s="560"/>
      <c r="N337" s="560"/>
      <c r="O337" s="560"/>
      <c r="P337" s="560"/>
      <c r="Q337" s="560"/>
      <c r="R337" s="560"/>
      <c r="S337" s="560"/>
      <c r="T337" s="560"/>
      <c r="U337" s="560"/>
      <c r="V337" s="560"/>
      <c r="W337" s="560"/>
      <c r="X337" s="560"/>
      <c r="Y337" s="560"/>
      <c r="Z337" s="560"/>
      <c r="AA337" s="541"/>
      <c r="AB337" s="541"/>
      <c r="AC337" s="541"/>
    </row>
    <row r="338" spans="1:68" ht="14.25" hidden="1" customHeight="1" x14ac:dyDescent="0.25">
      <c r="A338" s="559" t="s">
        <v>77</v>
      </c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0"/>
      <c r="P338" s="560"/>
      <c r="Q338" s="560"/>
      <c r="R338" s="560"/>
      <c r="S338" s="560"/>
      <c r="T338" s="560"/>
      <c r="U338" s="560"/>
      <c r="V338" s="560"/>
      <c r="W338" s="560"/>
      <c r="X338" s="560"/>
      <c r="Y338" s="560"/>
      <c r="Z338" s="560"/>
      <c r="AA338" s="542"/>
      <c r="AB338" s="542"/>
      <c r="AC338" s="542"/>
    </row>
    <row r="339" spans="1:68" ht="27" hidden="1" customHeight="1" x14ac:dyDescent="0.25">
      <c r="A339" s="54" t="s">
        <v>545</v>
      </c>
      <c r="B339" s="54" t="s">
        <v>546</v>
      </c>
      <c r="C339" s="31">
        <v>4301051489</v>
      </c>
      <c r="D339" s="557">
        <v>4607091387919</v>
      </c>
      <c r="E339" s="558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/>
      <c r="M339" s="33" t="s">
        <v>89</v>
      </c>
      <c r="N339" s="33"/>
      <c r="O339" s="32">
        <v>45</v>
      </c>
      <c r="P339" s="6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4301051461</v>
      </c>
      <c r="D340" s="557">
        <v>4680115883604</v>
      </c>
      <c r="E340" s="558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80</v>
      </c>
      <c r="M340" s="33" t="s">
        <v>81</v>
      </c>
      <c r="N340" s="33"/>
      <c r="O340" s="32">
        <v>45</v>
      </c>
      <c r="P340" s="7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83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551</v>
      </c>
      <c r="B341" s="54" t="s">
        <v>552</v>
      </c>
      <c r="C341" s="31">
        <v>4301051864</v>
      </c>
      <c r="D341" s="557">
        <v>4680115883567</v>
      </c>
      <c r="E341" s="558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80</v>
      </c>
      <c r="M341" s="33" t="s">
        <v>89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83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566"/>
      <c r="B342" s="560"/>
      <c r="C342" s="560"/>
      <c r="D342" s="560"/>
      <c r="E342" s="560"/>
      <c r="F342" s="560"/>
      <c r="G342" s="560"/>
      <c r="H342" s="560"/>
      <c r="I342" s="560"/>
      <c r="J342" s="560"/>
      <c r="K342" s="560"/>
      <c r="L342" s="560"/>
      <c r="M342" s="560"/>
      <c r="N342" s="560"/>
      <c r="O342" s="567"/>
      <c r="P342" s="563" t="s">
        <v>75</v>
      </c>
      <c r="Q342" s="564"/>
      <c r="R342" s="564"/>
      <c r="S342" s="564"/>
      <c r="T342" s="564"/>
      <c r="U342" s="564"/>
      <c r="V342" s="565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hidden="1" x14ac:dyDescent="0.2">
      <c r="A343" s="560"/>
      <c r="B343" s="560"/>
      <c r="C343" s="560"/>
      <c r="D343" s="560"/>
      <c r="E343" s="560"/>
      <c r="F343" s="560"/>
      <c r="G343" s="560"/>
      <c r="H343" s="560"/>
      <c r="I343" s="560"/>
      <c r="J343" s="560"/>
      <c r="K343" s="560"/>
      <c r="L343" s="560"/>
      <c r="M343" s="560"/>
      <c r="N343" s="560"/>
      <c r="O343" s="567"/>
      <c r="P343" s="563" t="s">
        <v>75</v>
      </c>
      <c r="Q343" s="564"/>
      <c r="R343" s="564"/>
      <c r="S343" s="564"/>
      <c r="T343" s="564"/>
      <c r="U343" s="564"/>
      <c r="V343" s="565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hidden="1" customHeight="1" x14ac:dyDescent="0.2">
      <c r="A344" s="646" t="s">
        <v>554</v>
      </c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7"/>
      <c r="P344" s="647"/>
      <c r="Q344" s="647"/>
      <c r="R344" s="647"/>
      <c r="S344" s="647"/>
      <c r="T344" s="647"/>
      <c r="U344" s="647"/>
      <c r="V344" s="647"/>
      <c r="W344" s="647"/>
      <c r="X344" s="647"/>
      <c r="Y344" s="647"/>
      <c r="Z344" s="647"/>
      <c r="AA344" s="48"/>
      <c r="AB344" s="48"/>
      <c r="AC344" s="48"/>
    </row>
    <row r="345" spans="1:68" ht="16.5" hidden="1" customHeight="1" x14ac:dyDescent="0.25">
      <c r="A345" s="578" t="s">
        <v>555</v>
      </c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0"/>
      <c r="P345" s="560"/>
      <c r="Q345" s="560"/>
      <c r="R345" s="560"/>
      <c r="S345" s="560"/>
      <c r="T345" s="560"/>
      <c r="U345" s="560"/>
      <c r="V345" s="560"/>
      <c r="W345" s="560"/>
      <c r="X345" s="560"/>
      <c r="Y345" s="560"/>
      <c r="Z345" s="560"/>
      <c r="AA345" s="541"/>
      <c r="AB345" s="541"/>
      <c r="AC345" s="541"/>
    </row>
    <row r="346" spans="1:68" ht="14.25" hidden="1" customHeight="1" x14ac:dyDescent="0.25">
      <c r="A346" s="559" t="s">
        <v>104</v>
      </c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0"/>
      <c r="P346" s="560"/>
      <c r="Q346" s="560"/>
      <c r="R346" s="560"/>
      <c r="S346" s="560"/>
      <c r="T346" s="560"/>
      <c r="U346" s="560"/>
      <c r="V346" s="560"/>
      <c r="W346" s="560"/>
      <c r="X346" s="560"/>
      <c r="Y346" s="560"/>
      <c r="Z346" s="560"/>
      <c r="AA346" s="542"/>
      <c r="AB346" s="542"/>
      <c r="AC346" s="542"/>
    </row>
    <row r="347" spans="1:68" ht="37.5" hidden="1" customHeight="1" x14ac:dyDescent="0.25">
      <c r="A347" s="54" t="s">
        <v>556</v>
      </c>
      <c r="B347" s="54" t="s">
        <v>557</v>
      </c>
      <c r="C347" s="31">
        <v>4301011869</v>
      </c>
      <c r="D347" s="557">
        <v>4680115884847</v>
      </c>
      <c r="E347" s="558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 t="s">
        <v>108</v>
      </c>
      <c r="M347" s="33" t="s">
        <v>68</v>
      </c>
      <c r="N347" s="33"/>
      <c r="O347" s="32">
        <v>60</v>
      </c>
      <c r="P347" s="8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83</v>
      </c>
      <c r="AK347" s="68">
        <v>120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hidden="1" customHeight="1" x14ac:dyDescent="0.25">
      <c r="A348" s="54" t="s">
        <v>559</v>
      </c>
      <c r="B348" s="54" t="s">
        <v>560</v>
      </c>
      <c r="C348" s="31">
        <v>4301011870</v>
      </c>
      <c r="D348" s="557">
        <v>4680115884854</v>
      </c>
      <c r="E348" s="558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 t="s">
        <v>108</v>
      </c>
      <c r="M348" s="33" t="s">
        <v>68</v>
      </c>
      <c r="N348" s="33"/>
      <c r="O348" s="32">
        <v>60</v>
      </c>
      <c r="P348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83</v>
      </c>
      <c r="AK348" s="68">
        <v>120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7">
        <v>4680115884830</v>
      </c>
      <c r="E349" s="558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 t="s">
        <v>108</v>
      </c>
      <c r="M349" s="33" t="s">
        <v>68</v>
      </c>
      <c r="N349" s="33"/>
      <c r="O349" s="32">
        <v>60</v>
      </c>
      <c r="P349" s="8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83</v>
      </c>
      <c r="AK349" s="68">
        <v>120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4301012215</v>
      </c>
      <c r="D350" s="557">
        <v>4680115887046</v>
      </c>
      <c r="E350" s="558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89</v>
      </c>
      <c r="N350" s="33"/>
      <c r="O350" s="32">
        <v>60</v>
      </c>
      <c r="P350" s="67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7">
        <v>4680115882638</v>
      </c>
      <c r="E351" s="558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7">
        <v>4680115884922</v>
      </c>
      <c r="E352" s="558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7">
        <v>4680115884861</v>
      </c>
      <c r="E353" s="558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idden="1" x14ac:dyDescent="0.2">
      <c r="A354" s="566"/>
      <c r="B354" s="560"/>
      <c r="C354" s="560"/>
      <c r="D354" s="560"/>
      <c r="E354" s="560"/>
      <c r="F354" s="560"/>
      <c r="G354" s="560"/>
      <c r="H354" s="560"/>
      <c r="I354" s="560"/>
      <c r="J354" s="560"/>
      <c r="K354" s="560"/>
      <c r="L354" s="560"/>
      <c r="M354" s="560"/>
      <c r="N354" s="560"/>
      <c r="O354" s="567"/>
      <c r="P354" s="563" t="s">
        <v>75</v>
      </c>
      <c r="Q354" s="564"/>
      <c r="R354" s="564"/>
      <c r="S354" s="564"/>
      <c r="T354" s="564"/>
      <c r="U354" s="564"/>
      <c r="V354" s="56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0</v>
      </c>
      <c r="Y354" s="549">
        <f>IFERROR(Y347/H347,"0")+IFERROR(Y348/H348,"0")+IFERROR(Y349/H349,"0")+IFERROR(Y350/H350,"0")+IFERROR(Y351/H351,"0")+IFERROR(Y352/H352,"0")+IFERROR(Y353/H353,"0")</f>
        <v>0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550"/>
      <c r="AB354" s="550"/>
      <c r="AC354" s="550"/>
    </row>
    <row r="355" spans="1:68" hidden="1" x14ac:dyDescent="0.2">
      <c r="A355" s="560"/>
      <c r="B355" s="560"/>
      <c r="C355" s="560"/>
      <c r="D355" s="560"/>
      <c r="E355" s="560"/>
      <c r="F355" s="560"/>
      <c r="G355" s="560"/>
      <c r="H355" s="560"/>
      <c r="I355" s="560"/>
      <c r="J355" s="560"/>
      <c r="K355" s="560"/>
      <c r="L355" s="560"/>
      <c r="M355" s="560"/>
      <c r="N355" s="560"/>
      <c r="O355" s="567"/>
      <c r="P355" s="563" t="s">
        <v>75</v>
      </c>
      <c r="Q355" s="564"/>
      <c r="R355" s="564"/>
      <c r="S355" s="564"/>
      <c r="T355" s="564"/>
      <c r="U355" s="564"/>
      <c r="V355" s="565"/>
      <c r="W355" s="37" t="s">
        <v>69</v>
      </c>
      <c r="X355" s="549">
        <f>IFERROR(SUM(X347:X353),"0")</f>
        <v>0</v>
      </c>
      <c r="Y355" s="549">
        <f>IFERROR(SUM(Y347:Y353),"0")</f>
        <v>0</v>
      </c>
      <c r="Z355" s="37"/>
      <c r="AA355" s="550"/>
      <c r="AB355" s="550"/>
      <c r="AC355" s="550"/>
    </row>
    <row r="356" spans="1:68" ht="14.25" hidden="1" customHeight="1" x14ac:dyDescent="0.25">
      <c r="A356" s="559" t="s">
        <v>139</v>
      </c>
      <c r="B356" s="560"/>
      <c r="C356" s="560"/>
      <c r="D356" s="560"/>
      <c r="E356" s="560"/>
      <c r="F356" s="560"/>
      <c r="G356" s="560"/>
      <c r="H356" s="560"/>
      <c r="I356" s="560"/>
      <c r="J356" s="560"/>
      <c r="K356" s="560"/>
      <c r="L356" s="560"/>
      <c r="M356" s="560"/>
      <c r="N356" s="560"/>
      <c r="O356" s="560"/>
      <c r="P356" s="560"/>
      <c r="Q356" s="560"/>
      <c r="R356" s="560"/>
      <c r="S356" s="560"/>
      <c r="T356" s="560"/>
      <c r="U356" s="560"/>
      <c r="V356" s="560"/>
      <c r="W356" s="560"/>
      <c r="X356" s="560"/>
      <c r="Y356" s="560"/>
      <c r="Z356" s="560"/>
      <c r="AA356" s="542"/>
      <c r="AB356" s="542"/>
      <c r="AC356" s="542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7">
        <v>4607091383980</v>
      </c>
      <c r="E357" s="558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 t="s">
        <v>108</v>
      </c>
      <c r="M357" s="33" t="s">
        <v>109</v>
      </c>
      <c r="N357" s="33"/>
      <c r="O357" s="32">
        <v>50</v>
      </c>
      <c r="P357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200</v>
      </c>
      <c r="Y357" s="548">
        <f>IFERROR(IF(X357="",0,CEILING((X357/$H357),1)*$H357),"")</f>
        <v>210</v>
      </c>
      <c r="Z357" s="36">
        <f>IFERROR(IF(Y357=0,"",ROUNDUP(Y357/H357,0)*0.02175),"")</f>
        <v>0.30449999999999999</v>
      </c>
      <c r="AA357" s="56"/>
      <c r="AB357" s="57"/>
      <c r="AC357" s="413" t="s">
        <v>577</v>
      </c>
      <c r="AG357" s="64"/>
      <c r="AJ357" s="68" t="s">
        <v>83</v>
      </c>
      <c r="AK357" s="68">
        <v>120</v>
      </c>
      <c r="BB357" s="414" t="s">
        <v>1</v>
      </c>
      <c r="BM357" s="64">
        <f>IFERROR(X357*I357/H357,"0")</f>
        <v>206.26666666666668</v>
      </c>
      <c r="BN357" s="64">
        <f>IFERROR(Y357*I357/H357,"0")</f>
        <v>216.58</v>
      </c>
      <c r="BO357" s="64">
        <f>IFERROR(1/J357*(X357/H357),"0")</f>
        <v>0.27777777777777779</v>
      </c>
      <c r="BP357" s="64">
        <f>IFERROR(1/J357*(Y357/H357),"0")</f>
        <v>0.29166666666666663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7">
        <v>4607091384178</v>
      </c>
      <c r="E358" s="558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7"/>
      <c r="P359" s="563" t="s">
        <v>75</v>
      </c>
      <c r="Q359" s="564"/>
      <c r="R359" s="564"/>
      <c r="S359" s="564"/>
      <c r="T359" s="564"/>
      <c r="U359" s="564"/>
      <c r="V359" s="565"/>
      <c r="W359" s="37" t="s">
        <v>76</v>
      </c>
      <c r="X359" s="549">
        <f>IFERROR(X357/H357,"0")+IFERROR(X358/H358,"0")</f>
        <v>13.333333333333334</v>
      </c>
      <c r="Y359" s="549">
        <f>IFERROR(Y357/H357,"0")+IFERROR(Y358/H358,"0")</f>
        <v>14</v>
      </c>
      <c r="Z359" s="549">
        <f>IFERROR(IF(Z357="",0,Z357),"0")+IFERROR(IF(Z358="",0,Z358),"0")</f>
        <v>0.30449999999999999</v>
      </c>
      <c r="AA359" s="550"/>
      <c r="AB359" s="550"/>
      <c r="AC359" s="550"/>
    </row>
    <row r="360" spans="1:68" x14ac:dyDescent="0.2">
      <c r="A360" s="560"/>
      <c r="B360" s="560"/>
      <c r="C360" s="560"/>
      <c r="D360" s="560"/>
      <c r="E360" s="560"/>
      <c r="F360" s="560"/>
      <c r="G360" s="560"/>
      <c r="H360" s="560"/>
      <c r="I360" s="560"/>
      <c r="J360" s="560"/>
      <c r="K360" s="560"/>
      <c r="L360" s="560"/>
      <c r="M360" s="560"/>
      <c r="N360" s="560"/>
      <c r="O360" s="567"/>
      <c r="P360" s="563" t="s">
        <v>75</v>
      </c>
      <c r="Q360" s="564"/>
      <c r="R360" s="564"/>
      <c r="S360" s="564"/>
      <c r="T360" s="564"/>
      <c r="U360" s="564"/>
      <c r="V360" s="565"/>
      <c r="W360" s="37" t="s">
        <v>69</v>
      </c>
      <c r="X360" s="549">
        <f>IFERROR(SUM(X357:X358),"0")</f>
        <v>200</v>
      </c>
      <c r="Y360" s="549">
        <f>IFERROR(SUM(Y357:Y358),"0")</f>
        <v>210</v>
      </c>
      <c r="Z360" s="37"/>
      <c r="AA360" s="550"/>
      <c r="AB360" s="550"/>
      <c r="AC360" s="550"/>
    </row>
    <row r="361" spans="1:68" ht="14.25" hidden="1" customHeight="1" x14ac:dyDescent="0.25">
      <c r="A361" s="559" t="s">
        <v>77</v>
      </c>
      <c r="B361" s="560"/>
      <c r="C361" s="560"/>
      <c r="D361" s="560"/>
      <c r="E361" s="560"/>
      <c r="F361" s="560"/>
      <c r="G361" s="560"/>
      <c r="H361" s="560"/>
      <c r="I361" s="560"/>
      <c r="J361" s="560"/>
      <c r="K361" s="560"/>
      <c r="L361" s="560"/>
      <c r="M361" s="560"/>
      <c r="N361" s="560"/>
      <c r="O361" s="560"/>
      <c r="P361" s="560"/>
      <c r="Q361" s="560"/>
      <c r="R361" s="560"/>
      <c r="S361" s="560"/>
      <c r="T361" s="560"/>
      <c r="U361" s="560"/>
      <c r="V361" s="560"/>
      <c r="W361" s="560"/>
      <c r="X361" s="560"/>
      <c r="Y361" s="560"/>
      <c r="Z361" s="560"/>
      <c r="AA361" s="542"/>
      <c r="AB361" s="542"/>
      <c r="AC361" s="542"/>
    </row>
    <row r="362" spans="1:68" ht="27" hidden="1" customHeight="1" x14ac:dyDescent="0.25">
      <c r="A362" s="54" t="s">
        <v>581</v>
      </c>
      <c r="B362" s="54" t="s">
        <v>582</v>
      </c>
      <c r="C362" s="31">
        <v>4301051903</v>
      </c>
      <c r="D362" s="557">
        <v>4607091383928</v>
      </c>
      <c r="E362" s="558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/>
      <c r="M362" s="33" t="s">
        <v>81</v>
      </c>
      <c r="N362" s="33"/>
      <c r="O362" s="32">
        <v>40</v>
      </c>
      <c r="P362" s="8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584</v>
      </c>
      <c r="B363" s="54" t="s">
        <v>585</v>
      </c>
      <c r="C363" s="31">
        <v>4301051897</v>
      </c>
      <c r="D363" s="557">
        <v>4607091384260</v>
      </c>
      <c r="E363" s="558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/>
      <c r="M363" s="33" t="s">
        <v>81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66"/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7"/>
      <c r="P364" s="563" t="s">
        <v>75</v>
      </c>
      <c r="Q364" s="564"/>
      <c r="R364" s="564"/>
      <c r="S364" s="564"/>
      <c r="T364" s="564"/>
      <c r="U364" s="564"/>
      <c r="V364" s="565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hidden="1" x14ac:dyDescent="0.2">
      <c r="A365" s="560"/>
      <c r="B365" s="560"/>
      <c r="C365" s="560"/>
      <c r="D365" s="560"/>
      <c r="E365" s="560"/>
      <c r="F365" s="560"/>
      <c r="G365" s="560"/>
      <c r="H365" s="560"/>
      <c r="I365" s="560"/>
      <c r="J365" s="560"/>
      <c r="K365" s="560"/>
      <c r="L365" s="560"/>
      <c r="M365" s="560"/>
      <c r="N365" s="560"/>
      <c r="O365" s="567"/>
      <c r="P365" s="563" t="s">
        <v>75</v>
      </c>
      <c r="Q365" s="564"/>
      <c r="R365" s="564"/>
      <c r="S365" s="564"/>
      <c r="T365" s="564"/>
      <c r="U365" s="564"/>
      <c r="V365" s="565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hidden="1" customHeight="1" x14ac:dyDescent="0.25">
      <c r="A366" s="559" t="s">
        <v>167</v>
      </c>
      <c r="B366" s="560"/>
      <c r="C366" s="560"/>
      <c r="D366" s="560"/>
      <c r="E366" s="560"/>
      <c r="F366" s="560"/>
      <c r="G366" s="560"/>
      <c r="H366" s="560"/>
      <c r="I366" s="560"/>
      <c r="J366" s="560"/>
      <c r="K366" s="560"/>
      <c r="L366" s="560"/>
      <c r="M366" s="560"/>
      <c r="N366" s="560"/>
      <c r="O366" s="560"/>
      <c r="P366" s="560"/>
      <c r="Q366" s="560"/>
      <c r="R366" s="560"/>
      <c r="S366" s="560"/>
      <c r="T366" s="560"/>
      <c r="U366" s="560"/>
      <c r="V366" s="560"/>
      <c r="W366" s="560"/>
      <c r="X366" s="560"/>
      <c r="Y366" s="560"/>
      <c r="Z366" s="560"/>
      <c r="AA366" s="542"/>
      <c r="AB366" s="542"/>
      <c r="AC366" s="542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7">
        <v>4607091384673</v>
      </c>
      <c r="E367" s="558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81</v>
      </c>
      <c r="N367" s="33"/>
      <c r="O367" s="32">
        <v>40</v>
      </c>
      <c r="P367" s="83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66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7"/>
      <c r="P368" s="563" t="s">
        <v>75</v>
      </c>
      <c r="Q368" s="564"/>
      <c r="R368" s="564"/>
      <c r="S368" s="564"/>
      <c r="T368" s="564"/>
      <c r="U368" s="564"/>
      <c r="V368" s="565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60"/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7"/>
      <c r="P369" s="563" t="s">
        <v>75</v>
      </c>
      <c r="Q369" s="564"/>
      <c r="R369" s="564"/>
      <c r="S369" s="564"/>
      <c r="T369" s="564"/>
      <c r="U369" s="564"/>
      <c r="V369" s="565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78" t="s">
        <v>590</v>
      </c>
      <c r="B370" s="560"/>
      <c r="C370" s="560"/>
      <c r="D370" s="560"/>
      <c r="E370" s="560"/>
      <c r="F370" s="560"/>
      <c r="G370" s="560"/>
      <c r="H370" s="560"/>
      <c r="I370" s="560"/>
      <c r="J370" s="560"/>
      <c r="K370" s="560"/>
      <c r="L370" s="560"/>
      <c r="M370" s="560"/>
      <c r="N370" s="560"/>
      <c r="O370" s="560"/>
      <c r="P370" s="560"/>
      <c r="Q370" s="560"/>
      <c r="R370" s="560"/>
      <c r="S370" s="560"/>
      <c r="T370" s="560"/>
      <c r="U370" s="560"/>
      <c r="V370" s="560"/>
      <c r="W370" s="560"/>
      <c r="X370" s="560"/>
      <c r="Y370" s="560"/>
      <c r="Z370" s="560"/>
      <c r="AA370" s="541"/>
      <c r="AB370" s="541"/>
      <c r="AC370" s="541"/>
    </row>
    <row r="371" spans="1:68" ht="14.25" hidden="1" customHeight="1" x14ac:dyDescent="0.25">
      <c r="A371" s="559" t="s">
        <v>104</v>
      </c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0"/>
      <c r="P371" s="560"/>
      <c r="Q371" s="560"/>
      <c r="R371" s="560"/>
      <c r="S371" s="560"/>
      <c r="T371" s="560"/>
      <c r="U371" s="560"/>
      <c r="V371" s="560"/>
      <c r="W371" s="560"/>
      <c r="X371" s="560"/>
      <c r="Y371" s="560"/>
      <c r="Z371" s="560"/>
      <c r="AA371" s="542"/>
      <c r="AB371" s="542"/>
      <c r="AC371" s="542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7">
        <v>4680115884885</v>
      </c>
      <c r="E372" s="558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/>
      <c r="M372" s="33" t="s">
        <v>68</v>
      </c>
      <c r="N372" s="33"/>
      <c r="O372" s="32">
        <v>60</v>
      </c>
      <c r="P372" s="73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20</v>
      </c>
      <c r="Y372" s="548">
        <f>IFERROR(IF(X372="",0,CEILING((X372/$H372),1)*$H372),"")</f>
        <v>24</v>
      </c>
      <c r="Z372" s="36">
        <f>IFERROR(IF(Y372=0,"",ROUNDUP(Y372/H372,0)*0.01898),"")</f>
        <v>3.7960000000000001E-2</v>
      </c>
      <c r="AA372" s="56"/>
      <c r="AB372" s="57"/>
      <c r="AC372" s="423" t="s">
        <v>593</v>
      </c>
      <c r="AG372" s="64"/>
      <c r="AJ372" s="68"/>
      <c r="AK372" s="68">
        <v>0</v>
      </c>
      <c r="BB372" s="424" t="s">
        <v>1</v>
      </c>
      <c r="BM372" s="64">
        <f>IFERROR(X372*I372/H372,"0")</f>
        <v>20.683333333333334</v>
      </c>
      <c r="BN372" s="64">
        <f>IFERROR(Y372*I372/H372,"0")</f>
        <v>24.820000000000004</v>
      </c>
      <c r="BO372" s="64">
        <f>IFERROR(1/J372*(X372/H372),"0")</f>
        <v>2.6041666666666668E-2</v>
      </c>
      <c r="BP372" s="64">
        <f>IFERROR(1/J372*(Y372/H372),"0")</f>
        <v>3.125E-2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7">
        <v>4680115884908</v>
      </c>
      <c r="E373" s="558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60</v>
      </c>
      <c r="P373" s="8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7"/>
      <c r="P374" s="563" t="s">
        <v>75</v>
      </c>
      <c r="Q374" s="564"/>
      <c r="R374" s="564"/>
      <c r="S374" s="564"/>
      <c r="T374" s="564"/>
      <c r="U374" s="564"/>
      <c r="V374" s="565"/>
      <c r="W374" s="37" t="s">
        <v>76</v>
      </c>
      <c r="X374" s="549">
        <f>IFERROR(X372/H372,"0")+IFERROR(X373/H373,"0")</f>
        <v>1.6666666666666667</v>
      </c>
      <c r="Y374" s="549">
        <f>IFERROR(Y372/H372,"0")+IFERROR(Y373/H373,"0")</f>
        <v>2</v>
      </c>
      <c r="Z374" s="549">
        <f>IFERROR(IF(Z372="",0,Z372),"0")+IFERROR(IF(Z373="",0,Z373),"0")</f>
        <v>3.7960000000000001E-2</v>
      </c>
      <c r="AA374" s="550"/>
      <c r="AB374" s="550"/>
      <c r="AC374" s="550"/>
    </row>
    <row r="375" spans="1:68" x14ac:dyDescent="0.2">
      <c r="A375" s="560"/>
      <c r="B375" s="560"/>
      <c r="C375" s="560"/>
      <c r="D375" s="560"/>
      <c r="E375" s="560"/>
      <c r="F375" s="560"/>
      <c r="G375" s="560"/>
      <c r="H375" s="560"/>
      <c r="I375" s="560"/>
      <c r="J375" s="560"/>
      <c r="K375" s="560"/>
      <c r="L375" s="560"/>
      <c r="M375" s="560"/>
      <c r="N375" s="560"/>
      <c r="O375" s="567"/>
      <c r="P375" s="563" t="s">
        <v>75</v>
      </c>
      <c r="Q375" s="564"/>
      <c r="R375" s="564"/>
      <c r="S375" s="564"/>
      <c r="T375" s="564"/>
      <c r="U375" s="564"/>
      <c r="V375" s="565"/>
      <c r="W375" s="37" t="s">
        <v>69</v>
      </c>
      <c r="X375" s="549">
        <f>IFERROR(SUM(X372:X373),"0")</f>
        <v>20</v>
      </c>
      <c r="Y375" s="549">
        <f>IFERROR(SUM(Y372:Y373),"0")</f>
        <v>24</v>
      </c>
      <c r="Z375" s="37"/>
      <c r="AA375" s="550"/>
      <c r="AB375" s="550"/>
      <c r="AC375" s="550"/>
    </row>
    <row r="376" spans="1:68" ht="14.25" hidden="1" customHeight="1" x14ac:dyDescent="0.25">
      <c r="A376" s="559" t="s">
        <v>64</v>
      </c>
      <c r="B376" s="560"/>
      <c r="C376" s="560"/>
      <c r="D376" s="560"/>
      <c r="E376" s="560"/>
      <c r="F376" s="560"/>
      <c r="G376" s="560"/>
      <c r="H376" s="560"/>
      <c r="I376" s="560"/>
      <c r="J376" s="560"/>
      <c r="K376" s="560"/>
      <c r="L376" s="560"/>
      <c r="M376" s="560"/>
      <c r="N376" s="560"/>
      <c r="O376" s="560"/>
      <c r="P376" s="560"/>
      <c r="Q376" s="560"/>
      <c r="R376" s="560"/>
      <c r="S376" s="560"/>
      <c r="T376" s="560"/>
      <c r="U376" s="560"/>
      <c r="V376" s="560"/>
      <c r="W376" s="560"/>
      <c r="X376" s="560"/>
      <c r="Y376" s="560"/>
      <c r="Z376" s="560"/>
      <c r="AA376" s="542"/>
      <c r="AB376" s="542"/>
      <c r="AC376" s="542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7">
        <v>4607091384802</v>
      </c>
      <c r="E377" s="558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/>
      <c r="M377" s="33" t="s">
        <v>68</v>
      </c>
      <c r="N377" s="33"/>
      <c r="O377" s="32">
        <v>35</v>
      </c>
      <c r="P377" s="7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7">
        <v>4607091384802</v>
      </c>
      <c r="E378" s="558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6"/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7"/>
      <c r="P379" s="563" t="s">
        <v>75</v>
      </c>
      <c r="Q379" s="564"/>
      <c r="R379" s="564"/>
      <c r="S379" s="564"/>
      <c r="T379" s="564"/>
      <c r="U379" s="564"/>
      <c r="V379" s="565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60"/>
      <c r="B380" s="560"/>
      <c r="C380" s="560"/>
      <c r="D380" s="560"/>
      <c r="E380" s="560"/>
      <c r="F380" s="560"/>
      <c r="G380" s="560"/>
      <c r="H380" s="560"/>
      <c r="I380" s="560"/>
      <c r="J380" s="560"/>
      <c r="K380" s="560"/>
      <c r="L380" s="560"/>
      <c r="M380" s="560"/>
      <c r="N380" s="560"/>
      <c r="O380" s="567"/>
      <c r="P380" s="563" t="s">
        <v>75</v>
      </c>
      <c r="Q380" s="564"/>
      <c r="R380" s="564"/>
      <c r="S380" s="564"/>
      <c r="T380" s="564"/>
      <c r="U380" s="564"/>
      <c r="V380" s="565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59" t="s">
        <v>77</v>
      </c>
      <c r="B381" s="560"/>
      <c r="C381" s="560"/>
      <c r="D381" s="560"/>
      <c r="E381" s="560"/>
      <c r="F381" s="560"/>
      <c r="G381" s="560"/>
      <c r="H381" s="560"/>
      <c r="I381" s="560"/>
      <c r="J381" s="560"/>
      <c r="K381" s="560"/>
      <c r="L381" s="560"/>
      <c r="M381" s="560"/>
      <c r="N381" s="560"/>
      <c r="O381" s="560"/>
      <c r="P381" s="560"/>
      <c r="Q381" s="560"/>
      <c r="R381" s="560"/>
      <c r="S381" s="560"/>
      <c r="T381" s="560"/>
      <c r="U381" s="560"/>
      <c r="V381" s="560"/>
      <c r="W381" s="560"/>
      <c r="X381" s="560"/>
      <c r="Y381" s="560"/>
      <c r="Z381" s="560"/>
      <c r="AA381" s="542"/>
      <c r="AB381" s="542"/>
      <c r="AC381" s="542"/>
    </row>
    <row r="382" spans="1:68" ht="27" hidden="1" customHeight="1" x14ac:dyDescent="0.25">
      <c r="A382" s="54" t="s">
        <v>601</v>
      </c>
      <c r="B382" s="54" t="s">
        <v>602</v>
      </c>
      <c r="C382" s="31">
        <v>4301051899</v>
      </c>
      <c r="D382" s="557">
        <v>4607091384246</v>
      </c>
      <c r="E382" s="558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/>
      <c r="M382" s="33" t="s">
        <v>81</v>
      </c>
      <c r="N382" s="33"/>
      <c r="O382" s="32">
        <v>40</v>
      </c>
      <c r="P382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7">
        <v>4607091384253</v>
      </c>
      <c r="E383" s="558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/>
      <c r="M383" s="33" t="s">
        <v>81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7">
        <v>4607091384253</v>
      </c>
      <c r="E384" s="558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81</v>
      </c>
      <c r="N384" s="33"/>
      <c r="O384" s="32">
        <v>40</v>
      </c>
      <c r="P384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566"/>
      <c r="B385" s="560"/>
      <c r="C385" s="560"/>
      <c r="D385" s="560"/>
      <c r="E385" s="560"/>
      <c r="F385" s="560"/>
      <c r="G385" s="560"/>
      <c r="H385" s="560"/>
      <c r="I385" s="560"/>
      <c r="J385" s="560"/>
      <c r="K385" s="560"/>
      <c r="L385" s="560"/>
      <c r="M385" s="560"/>
      <c r="N385" s="560"/>
      <c r="O385" s="567"/>
      <c r="P385" s="563" t="s">
        <v>75</v>
      </c>
      <c r="Q385" s="564"/>
      <c r="R385" s="564"/>
      <c r="S385" s="564"/>
      <c r="T385" s="564"/>
      <c r="U385" s="564"/>
      <c r="V385" s="565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hidden="1" x14ac:dyDescent="0.2">
      <c r="A386" s="560"/>
      <c r="B386" s="560"/>
      <c r="C386" s="560"/>
      <c r="D386" s="560"/>
      <c r="E386" s="560"/>
      <c r="F386" s="560"/>
      <c r="G386" s="560"/>
      <c r="H386" s="560"/>
      <c r="I386" s="560"/>
      <c r="J386" s="560"/>
      <c r="K386" s="560"/>
      <c r="L386" s="560"/>
      <c r="M386" s="560"/>
      <c r="N386" s="560"/>
      <c r="O386" s="567"/>
      <c r="P386" s="563" t="s">
        <v>75</v>
      </c>
      <c r="Q386" s="564"/>
      <c r="R386" s="564"/>
      <c r="S386" s="564"/>
      <c r="T386" s="564"/>
      <c r="U386" s="564"/>
      <c r="V386" s="565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hidden="1" customHeight="1" x14ac:dyDescent="0.2">
      <c r="A387" s="646" t="s">
        <v>608</v>
      </c>
      <c r="B387" s="647"/>
      <c r="C387" s="647"/>
      <c r="D387" s="647"/>
      <c r="E387" s="647"/>
      <c r="F387" s="647"/>
      <c r="G387" s="647"/>
      <c r="H387" s="647"/>
      <c r="I387" s="647"/>
      <c r="J387" s="647"/>
      <c r="K387" s="647"/>
      <c r="L387" s="647"/>
      <c r="M387" s="647"/>
      <c r="N387" s="647"/>
      <c r="O387" s="647"/>
      <c r="P387" s="647"/>
      <c r="Q387" s="647"/>
      <c r="R387" s="647"/>
      <c r="S387" s="647"/>
      <c r="T387" s="647"/>
      <c r="U387" s="647"/>
      <c r="V387" s="647"/>
      <c r="W387" s="647"/>
      <c r="X387" s="647"/>
      <c r="Y387" s="647"/>
      <c r="Z387" s="647"/>
      <c r="AA387" s="48"/>
      <c r="AB387" s="48"/>
      <c r="AC387" s="48"/>
    </row>
    <row r="388" spans="1:68" ht="16.5" hidden="1" customHeight="1" x14ac:dyDescent="0.25">
      <c r="A388" s="578" t="s">
        <v>609</v>
      </c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0"/>
      <c r="P388" s="560"/>
      <c r="Q388" s="560"/>
      <c r="R388" s="560"/>
      <c r="S388" s="560"/>
      <c r="T388" s="560"/>
      <c r="U388" s="560"/>
      <c r="V388" s="560"/>
      <c r="W388" s="560"/>
      <c r="X388" s="560"/>
      <c r="Y388" s="560"/>
      <c r="Z388" s="560"/>
      <c r="AA388" s="541"/>
      <c r="AB388" s="541"/>
      <c r="AC388" s="541"/>
    </row>
    <row r="389" spans="1:68" ht="14.25" hidden="1" customHeight="1" x14ac:dyDescent="0.25">
      <c r="A389" s="559" t="s">
        <v>64</v>
      </c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0"/>
      <c r="P389" s="560"/>
      <c r="Q389" s="560"/>
      <c r="R389" s="560"/>
      <c r="S389" s="560"/>
      <c r="T389" s="560"/>
      <c r="U389" s="560"/>
      <c r="V389" s="560"/>
      <c r="W389" s="560"/>
      <c r="X389" s="560"/>
      <c r="Y389" s="560"/>
      <c r="Z389" s="560"/>
      <c r="AA389" s="542"/>
      <c r="AB389" s="542"/>
      <c r="AC389" s="542"/>
    </row>
    <row r="390" spans="1:68" ht="27" hidden="1" customHeight="1" x14ac:dyDescent="0.25">
      <c r="A390" s="54" t="s">
        <v>610</v>
      </c>
      <c r="B390" s="54" t="s">
        <v>611</v>
      </c>
      <c r="C390" s="31">
        <v>4301031405</v>
      </c>
      <c r="D390" s="557">
        <v>4680115886100</v>
      </c>
      <c r="E390" s="558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/>
      <c r="M390" s="33" t="s">
        <v>68</v>
      </c>
      <c r="N390" s="33"/>
      <c r="O390" s="32">
        <v>50</v>
      </c>
      <c r="P390" s="7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7">
        <v>4680115886117</v>
      </c>
      <c r="E391" s="558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8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7">
        <v>4680115886124</v>
      </c>
      <c r="E392" s="558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/>
      <c r="M392" s="33" t="s">
        <v>68</v>
      </c>
      <c r="N392" s="33"/>
      <c r="O392" s="32">
        <v>50</v>
      </c>
      <c r="P392" s="5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7">
        <v>4680115883147</v>
      </c>
      <c r="E393" s="558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7">
        <v>4607091384338</v>
      </c>
      <c r="E394" s="558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 t="s">
        <v>293</v>
      </c>
      <c r="M394" s="33" t="s">
        <v>68</v>
      </c>
      <c r="N394" s="33"/>
      <c r="O394" s="32">
        <v>50</v>
      </c>
      <c r="P394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 t="s">
        <v>83</v>
      </c>
      <c r="AK394" s="68">
        <v>37.799999999999997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7">
        <v>4607091389524</v>
      </c>
      <c r="E395" s="558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7">
        <v>4680115883161</v>
      </c>
      <c r="E396" s="558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7">
        <v>4607091389531</v>
      </c>
      <c r="E397" s="558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7">
        <v>4607091384345</v>
      </c>
      <c r="E398" s="558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idden="1" x14ac:dyDescent="0.2">
      <c r="A399" s="566"/>
      <c r="B399" s="560"/>
      <c r="C399" s="560"/>
      <c r="D399" s="560"/>
      <c r="E399" s="560"/>
      <c r="F399" s="560"/>
      <c r="G399" s="560"/>
      <c r="H399" s="560"/>
      <c r="I399" s="560"/>
      <c r="J399" s="560"/>
      <c r="K399" s="560"/>
      <c r="L399" s="560"/>
      <c r="M399" s="560"/>
      <c r="N399" s="560"/>
      <c r="O399" s="567"/>
      <c r="P399" s="563" t="s">
        <v>75</v>
      </c>
      <c r="Q399" s="564"/>
      <c r="R399" s="564"/>
      <c r="S399" s="564"/>
      <c r="T399" s="564"/>
      <c r="U399" s="564"/>
      <c r="V399" s="56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hidden="1" x14ac:dyDescent="0.2">
      <c r="A400" s="560"/>
      <c r="B400" s="560"/>
      <c r="C400" s="560"/>
      <c r="D400" s="560"/>
      <c r="E400" s="560"/>
      <c r="F400" s="560"/>
      <c r="G400" s="560"/>
      <c r="H400" s="560"/>
      <c r="I400" s="560"/>
      <c r="J400" s="560"/>
      <c r="K400" s="560"/>
      <c r="L400" s="560"/>
      <c r="M400" s="560"/>
      <c r="N400" s="560"/>
      <c r="O400" s="567"/>
      <c r="P400" s="563" t="s">
        <v>75</v>
      </c>
      <c r="Q400" s="564"/>
      <c r="R400" s="564"/>
      <c r="S400" s="564"/>
      <c r="T400" s="564"/>
      <c r="U400" s="564"/>
      <c r="V400" s="565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hidden="1" customHeight="1" x14ac:dyDescent="0.25">
      <c r="A401" s="559" t="s">
        <v>77</v>
      </c>
      <c r="B401" s="560"/>
      <c r="C401" s="560"/>
      <c r="D401" s="560"/>
      <c r="E401" s="560"/>
      <c r="F401" s="560"/>
      <c r="G401" s="560"/>
      <c r="H401" s="560"/>
      <c r="I401" s="560"/>
      <c r="J401" s="560"/>
      <c r="K401" s="560"/>
      <c r="L401" s="560"/>
      <c r="M401" s="560"/>
      <c r="N401" s="560"/>
      <c r="O401" s="560"/>
      <c r="P401" s="560"/>
      <c r="Q401" s="560"/>
      <c r="R401" s="560"/>
      <c r="S401" s="560"/>
      <c r="T401" s="560"/>
      <c r="U401" s="560"/>
      <c r="V401" s="560"/>
      <c r="W401" s="560"/>
      <c r="X401" s="560"/>
      <c r="Y401" s="560"/>
      <c r="Z401" s="560"/>
      <c r="AA401" s="542"/>
      <c r="AB401" s="542"/>
      <c r="AC401" s="542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7">
        <v>4607091384352</v>
      </c>
      <c r="E402" s="558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/>
      <c r="M402" s="33" t="s">
        <v>81</v>
      </c>
      <c r="N402" s="33"/>
      <c r="O402" s="32">
        <v>45</v>
      </c>
      <c r="P402" s="64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7">
        <v>4607091389654</v>
      </c>
      <c r="E403" s="558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/>
      <c r="M403" s="33" t="s">
        <v>81</v>
      </c>
      <c r="N403" s="33"/>
      <c r="O403" s="32">
        <v>45</v>
      </c>
      <c r="P403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66"/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7"/>
      <c r="P404" s="563" t="s">
        <v>75</v>
      </c>
      <c r="Q404" s="564"/>
      <c r="R404" s="564"/>
      <c r="S404" s="564"/>
      <c r="T404" s="564"/>
      <c r="U404" s="564"/>
      <c r="V404" s="565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60"/>
      <c r="B405" s="560"/>
      <c r="C405" s="560"/>
      <c r="D405" s="560"/>
      <c r="E405" s="560"/>
      <c r="F405" s="560"/>
      <c r="G405" s="560"/>
      <c r="H405" s="560"/>
      <c r="I405" s="560"/>
      <c r="J405" s="560"/>
      <c r="K405" s="560"/>
      <c r="L405" s="560"/>
      <c r="M405" s="560"/>
      <c r="N405" s="560"/>
      <c r="O405" s="567"/>
      <c r="P405" s="563" t="s">
        <v>75</v>
      </c>
      <c r="Q405" s="564"/>
      <c r="R405" s="564"/>
      <c r="S405" s="564"/>
      <c r="T405" s="564"/>
      <c r="U405" s="564"/>
      <c r="V405" s="565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78" t="s">
        <v>640</v>
      </c>
      <c r="B406" s="560"/>
      <c r="C406" s="560"/>
      <c r="D406" s="560"/>
      <c r="E406" s="560"/>
      <c r="F406" s="560"/>
      <c r="G406" s="560"/>
      <c r="H406" s="560"/>
      <c r="I406" s="560"/>
      <c r="J406" s="560"/>
      <c r="K406" s="560"/>
      <c r="L406" s="560"/>
      <c r="M406" s="560"/>
      <c r="N406" s="560"/>
      <c r="O406" s="560"/>
      <c r="P406" s="560"/>
      <c r="Q406" s="560"/>
      <c r="R406" s="560"/>
      <c r="S406" s="560"/>
      <c r="T406" s="560"/>
      <c r="U406" s="560"/>
      <c r="V406" s="560"/>
      <c r="W406" s="560"/>
      <c r="X406" s="560"/>
      <c r="Y406" s="560"/>
      <c r="Z406" s="560"/>
      <c r="AA406" s="541"/>
      <c r="AB406" s="541"/>
      <c r="AC406" s="541"/>
    </row>
    <row r="407" spans="1:68" ht="14.25" hidden="1" customHeight="1" x14ac:dyDescent="0.25">
      <c r="A407" s="559" t="s">
        <v>139</v>
      </c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0"/>
      <c r="P407" s="560"/>
      <c r="Q407" s="560"/>
      <c r="R407" s="560"/>
      <c r="S407" s="560"/>
      <c r="T407" s="560"/>
      <c r="U407" s="560"/>
      <c r="V407" s="560"/>
      <c r="W407" s="560"/>
      <c r="X407" s="560"/>
      <c r="Y407" s="560"/>
      <c r="Z407" s="560"/>
      <c r="AA407" s="542"/>
      <c r="AB407" s="542"/>
      <c r="AC407" s="542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7">
        <v>4680115885240</v>
      </c>
      <c r="E408" s="558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66"/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7"/>
      <c r="P409" s="563" t="s">
        <v>75</v>
      </c>
      <c r="Q409" s="564"/>
      <c r="R409" s="564"/>
      <c r="S409" s="564"/>
      <c r="T409" s="564"/>
      <c r="U409" s="564"/>
      <c r="V409" s="56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60"/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7"/>
      <c r="P410" s="563" t="s">
        <v>75</v>
      </c>
      <c r="Q410" s="564"/>
      <c r="R410" s="564"/>
      <c r="S410" s="564"/>
      <c r="T410" s="564"/>
      <c r="U410" s="564"/>
      <c r="V410" s="56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9" t="s">
        <v>64</v>
      </c>
      <c r="B411" s="560"/>
      <c r="C411" s="560"/>
      <c r="D411" s="560"/>
      <c r="E411" s="560"/>
      <c r="F411" s="560"/>
      <c r="G411" s="560"/>
      <c r="H411" s="560"/>
      <c r="I411" s="560"/>
      <c r="J411" s="560"/>
      <c r="K411" s="560"/>
      <c r="L411" s="560"/>
      <c r="M411" s="560"/>
      <c r="N411" s="560"/>
      <c r="O411" s="560"/>
      <c r="P411" s="560"/>
      <c r="Q411" s="560"/>
      <c r="R411" s="560"/>
      <c r="S411" s="560"/>
      <c r="T411" s="560"/>
      <c r="U411" s="560"/>
      <c r="V411" s="560"/>
      <c r="W411" s="560"/>
      <c r="X411" s="560"/>
      <c r="Y411" s="560"/>
      <c r="Z411" s="560"/>
      <c r="AA411" s="542"/>
      <c r="AB411" s="542"/>
      <c r="AC411" s="542"/>
    </row>
    <row r="412" spans="1:68" ht="27" hidden="1" customHeight="1" x14ac:dyDescent="0.25">
      <c r="A412" s="54" t="s">
        <v>644</v>
      </c>
      <c r="B412" s="54" t="s">
        <v>645</v>
      </c>
      <c r="C412" s="31">
        <v>4301031403</v>
      </c>
      <c r="D412" s="557">
        <v>4680115886094</v>
      </c>
      <c r="E412" s="558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/>
      <c r="M412" s="33" t="s">
        <v>109</v>
      </c>
      <c r="N412" s="33"/>
      <c r="O412" s="32">
        <v>50</v>
      </c>
      <c r="P412" s="82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7">
        <v>4607091389425</v>
      </c>
      <c r="E413" s="558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3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7">
        <v>4680115880771</v>
      </c>
      <c r="E414" s="558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7">
        <v>4607091389500</v>
      </c>
      <c r="E415" s="558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66"/>
      <c r="B416" s="560"/>
      <c r="C416" s="560"/>
      <c r="D416" s="560"/>
      <c r="E416" s="560"/>
      <c r="F416" s="560"/>
      <c r="G416" s="560"/>
      <c r="H416" s="560"/>
      <c r="I416" s="560"/>
      <c r="J416" s="560"/>
      <c r="K416" s="560"/>
      <c r="L416" s="560"/>
      <c r="M416" s="560"/>
      <c r="N416" s="560"/>
      <c r="O416" s="567"/>
      <c r="P416" s="563" t="s">
        <v>75</v>
      </c>
      <c r="Q416" s="564"/>
      <c r="R416" s="564"/>
      <c r="S416" s="564"/>
      <c r="T416" s="564"/>
      <c r="U416" s="564"/>
      <c r="V416" s="565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hidden="1" x14ac:dyDescent="0.2">
      <c r="A417" s="560"/>
      <c r="B417" s="560"/>
      <c r="C417" s="560"/>
      <c r="D417" s="560"/>
      <c r="E417" s="560"/>
      <c r="F417" s="560"/>
      <c r="G417" s="560"/>
      <c r="H417" s="560"/>
      <c r="I417" s="560"/>
      <c r="J417" s="560"/>
      <c r="K417" s="560"/>
      <c r="L417" s="560"/>
      <c r="M417" s="560"/>
      <c r="N417" s="560"/>
      <c r="O417" s="567"/>
      <c r="P417" s="563" t="s">
        <v>75</v>
      </c>
      <c r="Q417" s="564"/>
      <c r="R417" s="564"/>
      <c r="S417" s="564"/>
      <c r="T417" s="564"/>
      <c r="U417" s="564"/>
      <c r="V417" s="565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hidden="1" customHeight="1" x14ac:dyDescent="0.25">
      <c r="A418" s="578" t="s">
        <v>655</v>
      </c>
      <c r="B418" s="560"/>
      <c r="C418" s="560"/>
      <c r="D418" s="560"/>
      <c r="E418" s="560"/>
      <c r="F418" s="560"/>
      <c r="G418" s="560"/>
      <c r="H418" s="560"/>
      <c r="I418" s="560"/>
      <c r="J418" s="560"/>
      <c r="K418" s="560"/>
      <c r="L418" s="560"/>
      <c r="M418" s="560"/>
      <c r="N418" s="560"/>
      <c r="O418" s="560"/>
      <c r="P418" s="560"/>
      <c r="Q418" s="560"/>
      <c r="R418" s="560"/>
      <c r="S418" s="560"/>
      <c r="T418" s="560"/>
      <c r="U418" s="560"/>
      <c r="V418" s="560"/>
      <c r="W418" s="560"/>
      <c r="X418" s="560"/>
      <c r="Y418" s="560"/>
      <c r="Z418" s="560"/>
      <c r="AA418" s="541"/>
      <c r="AB418" s="541"/>
      <c r="AC418" s="541"/>
    </row>
    <row r="419" spans="1:68" ht="14.25" hidden="1" customHeight="1" x14ac:dyDescent="0.25">
      <c r="A419" s="559" t="s">
        <v>64</v>
      </c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0"/>
      <c r="P419" s="560"/>
      <c r="Q419" s="560"/>
      <c r="R419" s="560"/>
      <c r="S419" s="560"/>
      <c r="T419" s="560"/>
      <c r="U419" s="560"/>
      <c r="V419" s="560"/>
      <c r="W419" s="560"/>
      <c r="X419" s="560"/>
      <c r="Y419" s="560"/>
      <c r="Z419" s="560"/>
      <c r="AA419" s="542"/>
      <c r="AB419" s="542"/>
      <c r="AC419" s="542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7">
        <v>4680115885110</v>
      </c>
      <c r="E420" s="558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66"/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7"/>
      <c r="P421" s="563" t="s">
        <v>75</v>
      </c>
      <c r="Q421" s="564"/>
      <c r="R421" s="564"/>
      <c r="S421" s="564"/>
      <c r="T421" s="564"/>
      <c r="U421" s="564"/>
      <c r="V421" s="56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60"/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7"/>
      <c r="P422" s="563" t="s">
        <v>75</v>
      </c>
      <c r="Q422" s="564"/>
      <c r="R422" s="564"/>
      <c r="S422" s="564"/>
      <c r="T422" s="564"/>
      <c r="U422" s="564"/>
      <c r="V422" s="56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646" t="s">
        <v>659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48"/>
      <c r="AB423" s="48"/>
      <c r="AC423" s="48"/>
    </row>
    <row r="424" spans="1:68" ht="16.5" hidden="1" customHeight="1" x14ac:dyDescent="0.25">
      <c r="A424" s="578" t="s">
        <v>659</v>
      </c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0"/>
      <c r="P424" s="560"/>
      <c r="Q424" s="560"/>
      <c r="R424" s="560"/>
      <c r="S424" s="560"/>
      <c r="T424" s="560"/>
      <c r="U424" s="560"/>
      <c r="V424" s="560"/>
      <c r="W424" s="560"/>
      <c r="X424" s="560"/>
      <c r="Y424" s="560"/>
      <c r="Z424" s="560"/>
      <c r="AA424" s="541"/>
      <c r="AB424" s="541"/>
      <c r="AC424" s="541"/>
    </row>
    <row r="425" spans="1:68" ht="14.25" hidden="1" customHeight="1" x14ac:dyDescent="0.25">
      <c r="A425" s="559" t="s">
        <v>104</v>
      </c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0"/>
      <c r="P425" s="560"/>
      <c r="Q425" s="560"/>
      <c r="R425" s="560"/>
      <c r="S425" s="560"/>
      <c r="T425" s="560"/>
      <c r="U425" s="560"/>
      <c r="V425" s="560"/>
      <c r="W425" s="560"/>
      <c r="X425" s="560"/>
      <c r="Y425" s="560"/>
      <c r="Z425" s="560"/>
      <c r="AA425" s="542"/>
      <c r="AB425" s="542"/>
      <c r="AC425" s="542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7">
        <v>4607091389067</v>
      </c>
      <c r="E426" s="558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45</v>
      </c>
      <c r="Y426" s="548">
        <f t="shared" ref="Y426:Y437" si="47">IFERROR(IF(X426="",0,CEILING((X426/$H426),1)*$H426),"")</f>
        <v>47.52</v>
      </c>
      <c r="Z426" s="36">
        <f t="shared" ref="Z426:Z432" si="48">IFERROR(IF(Y426=0,"",ROUNDUP(Y426/H426,0)*0.01196),"")</f>
        <v>0.10764</v>
      </c>
      <c r="AA426" s="56"/>
      <c r="AB426" s="57"/>
      <c r="AC426" s="471" t="s">
        <v>110</v>
      </c>
      <c r="AG426" s="64"/>
      <c r="AJ426" s="68" t="s">
        <v>83</v>
      </c>
      <c r="AK426" s="68">
        <v>42.24</v>
      </c>
      <c r="BB426" s="472" t="s">
        <v>1</v>
      </c>
      <c r="BM426" s="64">
        <f t="shared" ref="BM426:BM437" si="49">IFERROR(X426*I426/H426,"0")</f>
        <v>47.98295454545454</v>
      </c>
      <c r="BN426" s="64">
        <f t="shared" ref="BN426:BN437" si="50">IFERROR(Y426*I426/H426,"0")</f>
        <v>50.669999999999995</v>
      </c>
      <c r="BO426" s="64">
        <f t="shared" ref="BO426:BO437" si="51">IFERROR(1/J426*(X426/H426),"0")</f>
        <v>8.1949300699300689E-2</v>
      </c>
      <c r="BP426" s="64">
        <f t="shared" ref="BP426:BP437" si="52">IFERROR(1/J426*(Y426/H426),"0")</f>
        <v>8.6538461538461536E-2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7">
        <v>4607091383522</v>
      </c>
      <c r="E427" s="558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622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7">
        <v>4607091383522</v>
      </c>
      <c r="E428" s="558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5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7">
        <v>4680115885271</v>
      </c>
      <c r="E429" s="558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/>
      <c r="M429" s="33" t="s">
        <v>109</v>
      </c>
      <c r="N429" s="33"/>
      <c r="O429" s="32">
        <v>60</v>
      </c>
      <c r="P429" s="66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7">
        <v>4680115885226</v>
      </c>
      <c r="E430" s="558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81</v>
      </c>
      <c r="N430" s="33"/>
      <c r="O430" s="32">
        <v>60</v>
      </c>
      <c r="P430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80</v>
      </c>
      <c r="Y430" s="548">
        <f t="shared" si="47"/>
        <v>84.48</v>
      </c>
      <c r="Z430" s="36">
        <f t="shared" si="48"/>
        <v>0.19136</v>
      </c>
      <c r="AA430" s="56"/>
      <c r="AB430" s="57"/>
      <c r="AC430" s="479" t="s">
        <v>672</v>
      </c>
      <c r="AG430" s="64"/>
      <c r="AJ430" s="68" t="s">
        <v>83</v>
      </c>
      <c r="AK430" s="68">
        <v>42.24</v>
      </c>
      <c r="BB430" s="480" t="s">
        <v>1</v>
      </c>
      <c r="BM430" s="64">
        <f t="shared" si="49"/>
        <v>85.303030303030297</v>
      </c>
      <c r="BN430" s="64">
        <f t="shared" si="50"/>
        <v>90.08</v>
      </c>
      <c r="BO430" s="64">
        <f t="shared" si="51"/>
        <v>0.14568764568764569</v>
      </c>
      <c r="BP430" s="64">
        <f t="shared" si="52"/>
        <v>0.15384615384615385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7">
        <v>4680115884502</v>
      </c>
      <c r="E431" s="558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7">
        <v>4607091389104</v>
      </c>
      <c r="E432" s="558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60</v>
      </c>
      <c r="Y432" s="548">
        <f t="shared" si="47"/>
        <v>63.36</v>
      </c>
      <c r="Z432" s="36">
        <f t="shared" si="48"/>
        <v>0.14352000000000001</v>
      </c>
      <c r="AA432" s="56"/>
      <c r="AB432" s="57"/>
      <c r="AC432" s="483" t="s">
        <v>678</v>
      </c>
      <c r="AG432" s="64"/>
      <c r="AJ432" s="68" t="s">
        <v>83</v>
      </c>
      <c r="AK432" s="68">
        <v>42.24</v>
      </c>
      <c r="BB432" s="484" t="s">
        <v>1</v>
      </c>
      <c r="BM432" s="64">
        <f t="shared" si="49"/>
        <v>63.977272727272727</v>
      </c>
      <c r="BN432" s="64">
        <f t="shared" si="50"/>
        <v>67.559999999999988</v>
      </c>
      <c r="BO432" s="64">
        <f t="shared" si="51"/>
        <v>0.10926573426573427</v>
      </c>
      <c r="BP432" s="64">
        <f t="shared" si="52"/>
        <v>0.11538461538461539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7">
        <v>4680115886391</v>
      </c>
      <c r="E433" s="558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81</v>
      </c>
      <c r="N433" s="33"/>
      <c r="O433" s="32">
        <v>60</v>
      </c>
      <c r="P433" s="8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7">
        <v>4680115880603</v>
      </c>
      <c r="E434" s="558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7">
        <v>4680115882782</v>
      </c>
      <c r="E435" s="558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7">
        <v>4680115885479</v>
      </c>
      <c r="E436" s="558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7">
        <v>4607091389982</v>
      </c>
      <c r="E437" s="558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6"/>
      <c r="B438" s="560"/>
      <c r="C438" s="560"/>
      <c r="D438" s="560"/>
      <c r="E438" s="560"/>
      <c r="F438" s="560"/>
      <c r="G438" s="560"/>
      <c r="H438" s="560"/>
      <c r="I438" s="560"/>
      <c r="J438" s="560"/>
      <c r="K438" s="560"/>
      <c r="L438" s="560"/>
      <c r="M438" s="560"/>
      <c r="N438" s="560"/>
      <c r="O438" s="567"/>
      <c r="P438" s="563" t="s">
        <v>75</v>
      </c>
      <c r="Q438" s="564"/>
      <c r="R438" s="564"/>
      <c r="S438" s="564"/>
      <c r="T438" s="564"/>
      <c r="U438" s="564"/>
      <c r="V438" s="56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35.037878787878782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37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0.44252000000000002</v>
      </c>
      <c r="AA438" s="550"/>
      <c r="AB438" s="550"/>
      <c r="AC438" s="550"/>
    </row>
    <row r="439" spans="1:68" x14ac:dyDescent="0.2">
      <c r="A439" s="560"/>
      <c r="B439" s="560"/>
      <c r="C439" s="560"/>
      <c r="D439" s="560"/>
      <c r="E439" s="560"/>
      <c r="F439" s="560"/>
      <c r="G439" s="560"/>
      <c r="H439" s="560"/>
      <c r="I439" s="560"/>
      <c r="J439" s="560"/>
      <c r="K439" s="560"/>
      <c r="L439" s="560"/>
      <c r="M439" s="560"/>
      <c r="N439" s="560"/>
      <c r="O439" s="567"/>
      <c r="P439" s="563" t="s">
        <v>75</v>
      </c>
      <c r="Q439" s="564"/>
      <c r="R439" s="564"/>
      <c r="S439" s="564"/>
      <c r="T439" s="564"/>
      <c r="U439" s="564"/>
      <c r="V439" s="565"/>
      <c r="W439" s="37" t="s">
        <v>69</v>
      </c>
      <c r="X439" s="549">
        <f>IFERROR(SUM(X426:X437),"0")</f>
        <v>185</v>
      </c>
      <c r="Y439" s="549">
        <f>IFERROR(SUM(Y426:Y437),"0")</f>
        <v>195.36</v>
      </c>
      <c r="Z439" s="37"/>
      <c r="AA439" s="550"/>
      <c r="AB439" s="550"/>
      <c r="AC439" s="550"/>
    </row>
    <row r="440" spans="1:68" ht="14.25" hidden="1" customHeight="1" x14ac:dyDescent="0.25">
      <c r="A440" s="559" t="s">
        <v>139</v>
      </c>
      <c r="B440" s="560"/>
      <c r="C440" s="560"/>
      <c r="D440" s="560"/>
      <c r="E440" s="560"/>
      <c r="F440" s="560"/>
      <c r="G440" s="560"/>
      <c r="H440" s="560"/>
      <c r="I440" s="560"/>
      <c r="J440" s="560"/>
      <c r="K440" s="560"/>
      <c r="L440" s="560"/>
      <c r="M440" s="560"/>
      <c r="N440" s="560"/>
      <c r="O440" s="560"/>
      <c r="P440" s="560"/>
      <c r="Q440" s="560"/>
      <c r="R440" s="560"/>
      <c r="S440" s="560"/>
      <c r="T440" s="560"/>
      <c r="U440" s="560"/>
      <c r="V440" s="560"/>
      <c r="W440" s="560"/>
      <c r="X440" s="560"/>
      <c r="Y440" s="560"/>
      <c r="Z440" s="560"/>
      <c r="AA440" s="542"/>
      <c r="AB440" s="542"/>
      <c r="AC440" s="542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7">
        <v>4607091388930</v>
      </c>
      <c r="E441" s="558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/>
      <c r="M441" s="33" t="s">
        <v>81</v>
      </c>
      <c r="N441" s="33"/>
      <c r="O441" s="32">
        <v>70</v>
      </c>
      <c r="P441" s="7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135</v>
      </c>
      <c r="Y441" s="548">
        <f>IFERROR(IF(X441="",0,CEILING((X441/$H441),1)*$H441),"")</f>
        <v>137.28</v>
      </c>
      <c r="Z441" s="36">
        <f>IFERROR(IF(Y441=0,"",ROUNDUP(Y441/H441,0)*0.01196),"")</f>
        <v>0.31096000000000001</v>
      </c>
      <c r="AA441" s="56"/>
      <c r="AB441" s="57"/>
      <c r="AC441" s="495" t="s">
        <v>692</v>
      </c>
      <c r="AG441" s="64"/>
      <c r="AJ441" s="68"/>
      <c r="AK441" s="68">
        <v>0</v>
      </c>
      <c r="BB441" s="496" t="s">
        <v>1</v>
      </c>
      <c r="BM441" s="64">
        <f>IFERROR(X441*I441/H441,"0")</f>
        <v>143.94886363636363</v>
      </c>
      <c r="BN441" s="64">
        <f>IFERROR(Y441*I441/H441,"0")</f>
        <v>146.38</v>
      </c>
      <c r="BO441" s="64">
        <f>IFERROR(1/J441*(X441/H441),"0")</f>
        <v>0.24584790209790208</v>
      </c>
      <c r="BP441" s="64">
        <f>IFERROR(1/J441*(Y441/H441),"0")</f>
        <v>0.25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7">
        <v>4680115886407</v>
      </c>
      <c r="E442" s="558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81</v>
      </c>
      <c r="N442" s="33"/>
      <c r="O442" s="32">
        <v>70</v>
      </c>
      <c r="P442" s="6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7">
        <v>4680115880054</v>
      </c>
      <c r="E443" s="558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1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6"/>
      <c r="B444" s="560"/>
      <c r="C444" s="560"/>
      <c r="D444" s="560"/>
      <c r="E444" s="560"/>
      <c r="F444" s="560"/>
      <c r="G444" s="560"/>
      <c r="H444" s="560"/>
      <c r="I444" s="560"/>
      <c r="J444" s="560"/>
      <c r="K444" s="560"/>
      <c r="L444" s="560"/>
      <c r="M444" s="560"/>
      <c r="N444" s="560"/>
      <c r="O444" s="567"/>
      <c r="P444" s="563" t="s">
        <v>75</v>
      </c>
      <c r="Q444" s="564"/>
      <c r="R444" s="564"/>
      <c r="S444" s="564"/>
      <c r="T444" s="564"/>
      <c r="U444" s="564"/>
      <c r="V444" s="565"/>
      <c r="W444" s="37" t="s">
        <v>76</v>
      </c>
      <c r="X444" s="549">
        <f>IFERROR(X441/H441,"0")+IFERROR(X442/H442,"0")+IFERROR(X443/H443,"0")</f>
        <v>25.568181818181817</v>
      </c>
      <c r="Y444" s="549">
        <f>IFERROR(Y441/H441,"0")+IFERROR(Y442/H442,"0")+IFERROR(Y443/H443,"0")</f>
        <v>26</v>
      </c>
      <c r="Z444" s="549">
        <f>IFERROR(IF(Z441="",0,Z441),"0")+IFERROR(IF(Z442="",0,Z442),"0")+IFERROR(IF(Z443="",0,Z443),"0")</f>
        <v>0.31096000000000001</v>
      </c>
      <c r="AA444" s="550"/>
      <c r="AB444" s="550"/>
      <c r="AC444" s="550"/>
    </row>
    <row r="445" spans="1:68" x14ac:dyDescent="0.2">
      <c r="A445" s="560"/>
      <c r="B445" s="560"/>
      <c r="C445" s="560"/>
      <c r="D445" s="560"/>
      <c r="E445" s="560"/>
      <c r="F445" s="560"/>
      <c r="G445" s="560"/>
      <c r="H445" s="560"/>
      <c r="I445" s="560"/>
      <c r="J445" s="560"/>
      <c r="K445" s="560"/>
      <c r="L445" s="560"/>
      <c r="M445" s="560"/>
      <c r="N445" s="560"/>
      <c r="O445" s="567"/>
      <c r="P445" s="563" t="s">
        <v>75</v>
      </c>
      <c r="Q445" s="564"/>
      <c r="R445" s="564"/>
      <c r="S445" s="564"/>
      <c r="T445" s="564"/>
      <c r="U445" s="564"/>
      <c r="V445" s="565"/>
      <c r="W445" s="37" t="s">
        <v>69</v>
      </c>
      <c r="X445" s="549">
        <f>IFERROR(SUM(X441:X443),"0")</f>
        <v>135</v>
      </c>
      <c r="Y445" s="549">
        <f>IFERROR(SUM(Y441:Y443),"0")</f>
        <v>137.28</v>
      </c>
      <c r="Z445" s="37"/>
      <c r="AA445" s="550"/>
      <c r="AB445" s="550"/>
      <c r="AC445" s="550"/>
    </row>
    <row r="446" spans="1:68" ht="14.25" hidden="1" customHeight="1" x14ac:dyDescent="0.25">
      <c r="A446" s="559" t="s">
        <v>64</v>
      </c>
      <c r="B446" s="560"/>
      <c r="C446" s="560"/>
      <c r="D446" s="560"/>
      <c r="E446" s="560"/>
      <c r="F446" s="560"/>
      <c r="G446" s="560"/>
      <c r="H446" s="560"/>
      <c r="I446" s="560"/>
      <c r="J446" s="560"/>
      <c r="K446" s="560"/>
      <c r="L446" s="560"/>
      <c r="M446" s="560"/>
      <c r="N446" s="560"/>
      <c r="O446" s="560"/>
      <c r="P446" s="560"/>
      <c r="Q446" s="560"/>
      <c r="R446" s="560"/>
      <c r="S446" s="560"/>
      <c r="T446" s="560"/>
      <c r="U446" s="560"/>
      <c r="V446" s="560"/>
      <c r="W446" s="560"/>
      <c r="X446" s="560"/>
      <c r="Y446" s="560"/>
      <c r="Z446" s="560"/>
      <c r="AA446" s="542"/>
      <c r="AB446" s="542"/>
      <c r="AC446" s="542"/>
    </row>
    <row r="447" spans="1:68" ht="27" hidden="1" customHeight="1" x14ac:dyDescent="0.25">
      <c r="A447" s="54" t="s">
        <v>697</v>
      </c>
      <c r="B447" s="54" t="s">
        <v>698</v>
      </c>
      <c r="C447" s="31">
        <v>4301031349</v>
      </c>
      <c r="D447" s="557">
        <v>4680115883116</v>
      </c>
      <c r="E447" s="558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/>
      <c r="M447" s="33" t="s">
        <v>109</v>
      </c>
      <c r="N447" s="33"/>
      <c r="O447" s="32">
        <v>70</v>
      </c>
      <c r="P447" s="8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/>
      <c r="AK447" s="68">
        <v>0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7">
        <v>4680115883093</v>
      </c>
      <c r="E448" s="558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10</v>
      </c>
      <c r="Y448" s="548">
        <f t="shared" si="53"/>
        <v>10.56</v>
      </c>
      <c r="Z448" s="36">
        <f>IFERROR(IF(Y448=0,"",ROUNDUP(Y448/H448,0)*0.01196),"")</f>
        <v>2.392E-2</v>
      </c>
      <c r="AA448" s="56"/>
      <c r="AB448" s="57"/>
      <c r="AC448" s="503" t="s">
        <v>702</v>
      </c>
      <c r="AG448" s="64"/>
      <c r="AJ448" s="68" t="s">
        <v>83</v>
      </c>
      <c r="AK448" s="68">
        <v>42.24</v>
      </c>
      <c r="BB448" s="504" t="s">
        <v>1</v>
      </c>
      <c r="BM448" s="64">
        <f t="shared" si="54"/>
        <v>10.662878787878787</v>
      </c>
      <c r="BN448" s="64">
        <f t="shared" si="55"/>
        <v>11.26</v>
      </c>
      <c r="BO448" s="64">
        <f t="shared" si="56"/>
        <v>1.8210955710955712E-2</v>
      </c>
      <c r="BP448" s="64">
        <f t="shared" si="57"/>
        <v>1.9230769230769232E-2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4301031353</v>
      </c>
      <c r="D449" s="557">
        <v>4680115883109</v>
      </c>
      <c r="E449" s="558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83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7">
        <v>4680115882072</v>
      </c>
      <c r="E450" s="558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7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7">
        <v>4680115882102</v>
      </c>
      <c r="E451" s="558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7">
        <v>4680115882096</v>
      </c>
      <c r="E452" s="558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6"/>
      <c r="B453" s="560"/>
      <c r="C453" s="560"/>
      <c r="D453" s="560"/>
      <c r="E453" s="560"/>
      <c r="F453" s="560"/>
      <c r="G453" s="560"/>
      <c r="H453" s="560"/>
      <c r="I453" s="560"/>
      <c r="J453" s="560"/>
      <c r="K453" s="560"/>
      <c r="L453" s="560"/>
      <c r="M453" s="560"/>
      <c r="N453" s="560"/>
      <c r="O453" s="567"/>
      <c r="P453" s="563" t="s">
        <v>75</v>
      </c>
      <c r="Q453" s="564"/>
      <c r="R453" s="564"/>
      <c r="S453" s="564"/>
      <c r="T453" s="564"/>
      <c r="U453" s="564"/>
      <c r="V453" s="565"/>
      <c r="W453" s="37" t="s">
        <v>76</v>
      </c>
      <c r="X453" s="549">
        <f>IFERROR(X447/H447,"0")+IFERROR(X448/H448,"0")+IFERROR(X449/H449,"0")+IFERROR(X450/H450,"0")+IFERROR(X451/H451,"0")+IFERROR(X452/H452,"0")</f>
        <v>1.8939393939393938</v>
      </c>
      <c r="Y453" s="549">
        <f>IFERROR(Y447/H447,"0")+IFERROR(Y448/H448,"0")+IFERROR(Y449/H449,"0")+IFERROR(Y450/H450,"0")+IFERROR(Y451/H451,"0")+IFERROR(Y452/H452,"0")</f>
        <v>2</v>
      </c>
      <c r="Z453" s="549">
        <f>IFERROR(IF(Z447="",0,Z447),"0")+IFERROR(IF(Z448="",0,Z448),"0")+IFERROR(IF(Z449="",0,Z449),"0")+IFERROR(IF(Z450="",0,Z450),"0")+IFERROR(IF(Z451="",0,Z451),"0")+IFERROR(IF(Z452="",0,Z452),"0")</f>
        <v>2.392E-2</v>
      </c>
      <c r="AA453" s="550"/>
      <c r="AB453" s="550"/>
      <c r="AC453" s="550"/>
    </row>
    <row r="454" spans="1:68" x14ac:dyDescent="0.2">
      <c r="A454" s="560"/>
      <c r="B454" s="560"/>
      <c r="C454" s="560"/>
      <c r="D454" s="560"/>
      <c r="E454" s="560"/>
      <c r="F454" s="560"/>
      <c r="G454" s="560"/>
      <c r="H454" s="560"/>
      <c r="I454" s="560"/>
      <c r="J454" s="560"/>
      <c r="K454" s="560"/>
      <c r="L454" s="560"/>
      <c r="M454" s="560"/>
      <c r="N454" s="560"/>
      <c r="O454" s="567"/>
      <c r="P454" s="563" t="s">
        <v>75</v>
      </c>
      <c r="Q454" s="564"/>
      <c r="R454" s="564"/>
      <c r="S454" s="564"/>
      <c r="T454" s="564"/>
      <c r="U454" s="564"/>
      <c r="V454" s="565"/>
      <c r="W454" s="37" t="s">
        <v>69</v>
      </c>
      <c r="X454" s="549">
        <f>IFERROR(SUM(X447:X452),"0")</f>
        <v>10</v>
      </c>
      <c r="Y454" s="549">
        <f>IFERROR(SUM(Y447:Y452),"0")</f>
        <v>10.56</v>
      </c>
      <c r="Z454" s="37"/>
      <c r="AA454" s="550"/>
      <c r="AB454" s="550"/>
      <c r="AC454" s="550"/>
    </row>
    <row r="455" spans="1:68" ht="14.25" hidden="1" customHeight="1" x14ac:dyDescent="0.25">
      <c r="A455" s="559" t="s">
        <v>77</v>
      </c>
      <c r="B455" s="560"/>
      <c r="C455" s="560"/>
      <c r="D455" s="560"/>
      <c r="E455" s="560"/>
      <c r="F455" s="560"/>
      <c r="G455" s="560"/>
      <c r="H455" s="560"/>
      <c r="I455" s="560"/>
      <c r="J455" s="560"/>
      <c r="K455" s="560"/>
      <c r="L455" s="560"/>
      <c r="M455" s="560"/>
      <c r="N455" s="560"/>
      <c r="O455" s="560"/>
      <c r="P455" s="560"/>
      <c r="Q455" s="560"/>
      <c r="R455" s="560"/>
      <c r="S455" s="560"/>
      <c r="T455" s="560"/>
      <c r="U455" s="560"/>
      <c r="V455" s="560"/>
      <c r="W455" s="560"/>
      <c r="X455" s="560"/>
      <c r="Y455" s="560"/>
      <c r="Z455" s="560"/>
      <c r="AA455" s="542"/>
      <c r="AB455" s="542"/>
      <c r="AC455" s="542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7">
        <v>4680115883536</v>
      </c>
      <c r="E456" s="558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81</v>
      </c>
      <c r="N456" s="33"/>
      <c r="O456" s="32">
        <v>45</v>
      </c>
      <c r="P456" s="65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66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7"/>
      <c r="P457" s="563" t="s">
        <v>75</v>
      </c>
      <c r="Q457" s="564"/>
      <c r="R457" s="564"/>
      <c r="S457" s="564"/>
      <c r="T457" s="564"/>
      <c r="U457" s="564"/>
      <c r="V457" s="56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60"/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  <c r="L458" s="560"/>
      <c r="M458" s="560"/>
      <c r="N458" s="560"/>
      <c r="O458" s="567"/>
      <c r="P458" s="563" t="s">
        <v>75</v>
      </c>
      <c r="Q458" s="564"/>
      <c r="R458" s="564"/>
      <c r="S458" s="564"/>
      <c r="T458" s="564"/>
      <c r="U458" s="564"/>
      <c r="V458" s="56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646" t="s">
        <v>715</v>
      </c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47"/>
      <c r="P459" s="647"/>
      <c r="Q459" s="647"/>
      <c r="R459" s="647"/>
      <c r="S459" s="647"/>
      <c r="T459" s="647"/>
      <c r="U459" s="647"/>
      <c r="V459" s="647"/>
      <c r="W459" s="647"/>
      <c r="X459" s="647"/>
      <c r="Y459" s="647"/>
      <c r="Z459" s="647"/>
      <c r="AA459" s="48"/>
      <c r="AB459" s="48"/>
      <c r="AC459" s="48"/>
    </row>
    <row r="460" spans="1:68" ht="16.5" hidden="1" customHeight="1" x14ac:dyDescent="0.25">
      <c r="A460" s="578" t="s">
        <v>715</v>
      </c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0"/>
      <c r="P460" s="560"/>
      <c r="Q460" s="560"/>
      <c r="R460" s="560"/>
      <c r="S460" s="560"/>
      <c r="T460" s="560"/>
      <c r="U460" s="560"/>
      <c r="V460" s="560"/>
      <c r="W460" s="560"/>
      <c r="X460" s="560"/>
      <c r="Y460" s="560"/>
      <c r="Z460" s="560"/>
      <c r="AA460" s="541"/>
      <c r="AB460" s="541"/>
      <c r="AC460" s="541"/>
    </row>
    <row r="461" spans="1:68" ht="14.25" hidden="1" customHeight="1" x14ac:dyDescent="0.25">
      <c r="A461" s="559" t="s">
        <v>104</v>
      </c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0"/>
      <c r="P461" s="560"/>
      <c r="Q461" s="560"/>
      <c r="R461" s="560"/>
      <c r="S461" s="560"/>
      <c r="T461" s="560"/>
      <c r="U461" s="560"/>
      <c r="V461" s="560"/>
      <c r="W461" s="560"/>
      <c r="X461" s="560"/>
      <c r="Y461" s="560"/>
      <c r="Z461" s="560"/>
      <c r="AA461" s="542"/>
      <c r="AB461" s="542"/>
      <c r="AC461" s="542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7">
        <v>4640242181011</v>
      </c>
      <c r="E462" s="558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81</v>
      </c>
      <c r="N462" s="33"/>
      <c r="O462" s="32">
        <v>55</v>
      </c>
      <c r="P462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7">
        <v>4640242180441</v>
      </c>
      <c r="E463" s="558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4301011584</v>
      </c>
      <c r="D464" s="557">
        <v>4640242180564</v>
      </c>
      <c r="E464" s="558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/>
      <c r="M464" s="33" t="s">
        <v>109</v>
      </c>
      <c r="N464" s="33"/>
      <c r="O464" s="32">
        <v>50</v>
      </c>
      <c r="P464" s="63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7">
        <v>4640242181189</v>
      </c>
      <c r="E465" s="558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81</v>
      </c>
      <c r="N465" s="33"/>
      <c r="O465" s="32">
        <v>55</v>
      </c>
      <c r="P465" s="84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566"/>
      <c r="B466" s="560"/>
      <c r="C466" s="560"/>
      <c r="D466" s="560"/>
      <c r="E466" s="560"/>
      <c r="F466" s="560"/>
      <c r="G466" s="560"/>
      <c r="H466" s="560"/>
      <c r="I466" s="560"/>
      <c r="J466" s="560"/>
      <c r="K466" s="560"/>
      <c r="L466" s="560"/>
      <c r="M466" s="560"/>
      <c r="N466" s="560"/>
      <c r="O466" s="567"/>
      <c r="P466" s="563" t="s">
        <v>75</v>
      </c>
      <c r="Q466" s="564"/>
      <c r="R466" s="564"/>
      <c r="S466" s="564"/>
      <c r="T466" s="564"/>
      <c r="U466" s="564"/>
      <c r="V466" s="565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hidden="1" x14ac:dyDescent="0.2">
      <c r="A467" s="560"/>
      <c r="B467" s="560"/>
      <c r="C467" s="560"/>
      <c r="D467" s="560"/>
      <c r="E467" s="560"/>
      <c r="F467" s="560"/>
      <c r="G467" s="560"/>
      <c r="H467" s="560"/>
      <c r="I467" s="560"/>
      <c r="J467" s="560"/>
      <c r="K467" s="560"/>
      <c r="L467" s="560"/>
      <c r="M467" s="560"/>
      <c r="N467" s="560"/>
      <c r="O467" s="567"/>
      <c r="P467" s="563" t="s">
        <v>75</v>
      </c>
      <c r="Q467" s="564"/>
      <c r="R467" s="564"/>
      <c r="S467" s="564"/>
      <c r="T467" s="564"/>
      <c r="U467" s="564"/>
      <c r="V467" s="565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hidden="1" customHeight="1" x14ac:dyDescent="0.25">
      <c r="A468" s="559" t="s">
        <v>139</v>
      </c>
      <c r="B468" s="560"/>
      <c r="C468" s="560"/>
      <c r="D468" s="560"/>
      <c r="E468" s="560"/>
      <c r="F468" s="560"/>
      <c r="G468" s="560"/>
      <c r="H468" s="560"/>
      <c r="I468" s="560"/>
      <c r="J468" s="560"/>
      <c r="K468" s="560"/>
      <c r="L468" s="560"/>
      <c r="M468" s="560"/>
      <c r="N468" s="560"/>
      <c r="O468" s="560"/>
      <c r="P468" s="560"/>
      <c r="Q468" s="560"/>
      <c r="R468" s="560"/>
      <c r="S468" s="560"/>
      <c r="T468" s="560"/>
      <c r="U468" s="560"/>
      <c r="V468" s="560"/>
      <c r="W468" s="560"/>
      <c r="X468" s="560"/>
      <c r="Y468" s="560"/>
      <c r="Z468" s="560"/>
      <c r="AA468" s="542"/>
      <c r="AB468" s="542"/>
      <c r="AC468" s="542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7">
        <v>4640242180519</v>
      </c>
      <c r="E469" s="558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7">
        <v>4640242180526</v>
      </c>
      <c r="E470" s="558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79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66"/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7"/>
      <c r="P471" s="563" t="s">
        <v>75</v>
      </c>
      <c r="Q471" s="564"/>
      <c r="R471" s="564"/>
      <c r="S471" s="564"/>
      <c r="T471" s="564"/>
      <c r="U471" s="564"/>
      <c r="V471" s="56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60"/>
      <c r="B472" s="560"/>
      <c r="C472" s="560"/>
      <c r="D472" s="560"/>
      <c r="E472" s="560"/>
      <c r="F472" s="560"/>
      <c r="G472" s="560"/>
      <c r="H472" s="560"/>
      <c r="I472" s="560"/>
      <c r="J472" s="560"/>
      <c r="K472" s="560"/>
      <c r="L472" s="560"/>
      <c r="M472" s="560"/>
      <c r="N472" s="560"/>
      <c r="O472" s="567"/>
      <c r="P472" s="563" t="s">
        <v>75</v>
      </c>
      <c r="Q472" s="564"/>
      <c r="R472" s="564"/>
      <c r="S472" s="564"/>
      <c r="T472" s="564"/>
      <c r="U472" s="564"/>
      <c r="V472" s="56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9" t="s">
        <v>64</v>
      </c>
      <c r="B473" s="560"/>
      <c r="C473" s="560"/>
      <c r="D473" s="560"/>
      <c r="E473" s="560"/>
      <c r="F473" s="560"/>
      <c r="G473" s="560"/>
      <c r="H473" s="560"/>
      <c r="I473" s="560"/>
      <c r="J473" s="560"/>
      <c r="K473" s="560"/>
      <c r="L473" s="560"/>
      <c r="M473" s="560"/>
      <c r="N473" s="560"/>
      <c r="O473" s="560"/>
      <c r="P473" s="560"/>
      <c r="Q473" s="560"/>
      <c r="R473" s="560"/>
      <c r="S473" s="560"/>
      <c r="T473" s="560"/>
      <c r="U473" s="560"/>
      <c r="V473" s="560"/>
      <c r="W473" s="560"/>
      <c r="X473" s="560"/>
      <c r="Y473" s="560"/>
      <c r="Z473" s="560"/>
      <c r="AA473" s="542"/>
      <c r="AB473" s="542"/>
      <c r="AC473" s="542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7">
        <v>4640242180816</v>
      </c>
      <c r="E474" s="558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/>
      <c r="M474" s="33" t="s">
        <v>68</v>
      </c>
      <c r="N474" s="33"/>
      <c r="O474" s="32">
        <v>40</v>
      </c>
      <c r="P474" s="63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hidden="1" customHeight="1" x14ac:dyDescent="0.25">
      <c r="A475" s="54" t="s">
        <v>736</v>
      </c>
      <c r="B475" s="54" t="s">
        <v>737</v>
      </c>
      <c r="C475" s="31">
        <v>4301031244</v>
      </c>
      <c r="D475" s="557">
        <v>4640242180595</v>
      </c>
      <c r="E475" s="558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/>
      <c r="M475" s="33" t="s">
        <v>68</v>
      </c>
      <c r="N475" s="33"/>
      <c r="O475" s="32">
        <v>40</v>
      </c>
      <c r="P475" s="78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6"/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7"/>
      <c r="P476" s="563" t="s">
        <v>75</v>
      </c>
      <c r="Q476" s="564"/>
      <c r="R476" s="564"/>
      <c r="S476" s="564"/>
      <c r="T476" s="564"/>
      <c r="U476" s="564"/>
      <c r="V476" s="565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hidden="1" x14ac:dyDescent="0.2">
      <c r="A477" s="560"/>
      <c r="B477" s="560"/>
      <c r="C477" s="560"/>
      <c r="D477" s="560"/>
      <c r="E477" s="560"/>
      <c r="F477" s="560"/>
      <c r="G477" s="560"/>
      <c r="H477" s="560"/>
      <c r="I477" s="560"/>
      <c r="J477" s="560"/>
      <c r="K477" s="560"/>
      <c r="L477" s="560"/>
      <c r="M477" s="560"/>
      <c r="N477" s="560"/>
      <c r="O477" s="567"/>
      <c r="P477" s="563" t="s">
        <v>75</v>
      </c>
      <c r="Q477" s="564"/>
      <c r="R477" s="564"/>
      <c r="S477" s="564"/>
      <c r="T477" s="564"/>
      <c r="U477" s="564"/>
      <c r="V477" s="565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59" t="s">
        <v>77</v>
      </c>
      <c r="B478" s="560"/>
      <c r="C478" s="560"/>
      <c r="D478" s="560"/>
      <c r="E478" s="560"/>
      <c r="F478" s="560"/>
      <c r="G478" s="560"/>
      <c r="H478" s="560"/>
      <c r="I478" s="560"/>
      <c r="J478" s="560"/>
      <c r="K478" s="560"/>
      <c r="L478" s="560"/>
      <c r="M478" s="560"/>
      <c r="N478" s="560"/>
      <c r="O478" s="560"/>
      <c r="P478" s="560"/>
      <c r="Q478" s="560"/>
      <c r="R478" s="560"/>
      <c r="S478" s="560"/>
      <c r="T478" s="560"/>
      <c r="U478" s="560"/>
      <c r="V478" s="560"/>
      <c r="W478" s="560"/>
      <c r="X478" s="560"/>
      <c r="Y478" s="560"/>
      <c r="Z478" s="560"/>
      <c r="AA478" s="542"/>
      <c r="AB478" s="542"/>
      <c r="AC478" s="542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7">
        <v>4640242180533</v>
      </c>
      <c r="E479" s="558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/>
      <c r="M479" s="33" t="s">
        <v>89</v>
      </c>
      <c r="N479" s="33"/>
      <c r="O479" s="32">
        <v>45</v>
      </c>
      <c r="P479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100</v>
      </c>
      <c r="Y479" s="548">
        <f>IFERROR(IF(X479="",0,CEILING((X479/$H479),1)*$H479),"")</f>
        <v>108</v>
      </c>
      <c r="Z479" s="36">
        <f>IFERROR(IF(Y479=0,"",ROUNDUP(Y479/H479,0)*0.01898),"")</f>
        <v>0.22776000000000002</v>
      </c>
      <c r="AA479" s="56"/>
      <c r="AB479" s="57"/>
      <c r="AC479" s="531" t="s">
        <v>741</v>
      </c>
      <c r="AG479" s="64"/>
      <c r="AJ479" s="68"/>
      <c r="AK479" s="68">
        <v>0</v>
      </c>
      <c r="BB479" s="532" t="s">
        <v>1</v>
      </c>
      <c r="BM479" s="64">
        <f>IFERROR(X479*I479/H479,"0")</f>
        <v>105.48888888888888</v>
      </c>
      <c r="BN479" s="64">
        <f>IFERROR(Y479*I479/H479,"0")</f>
        <v>113.92799999999998</v>
      </c>
      <c r="BO479" s="64">
        <f>IFERROR(1/J479*(X479/H479),"0")</f>
        <v>0.1736111111111111</v>
      </c>
      <c r="BP479" s="64">
        <f>IFERROR(1/J479*(Y479/H479),"0")</f>
        <v>0.1875</v>
      </c>
    </row>
    <row r="480" spans="1:68" x14ac:dyDescent="0.2">
      <c r="A480" s="566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  <c r="L480" s="560"/>
      <c r="M480" s="560"/>
      <c r="N480" s="560"/>
      <c r="O480" s="567"/>
      <c r="P480" s="563" t="s">
        <v>75</v>
      </c>
      <c r="Q480" s="564"/>
      <c r="R480" s="564"/>
      <c r="S480" s="564"/>
      <c r="T480" s="564"/>
      <c r="U480" s="564"/>
      <c r="V480" s="565"/>
      <c r="W480" s="37" t="s">
        <v>76</v>
      </c>
      <c r="X480" s="549">
        <f>IFERROR(X479/H479,"0")</f>
        <v>11.111111111111111</v>
      </c>
      <c r="Y480" s="549">
        <f>IFERROR(Y479/H479,"0")</f>
        <v>12</v>
      </c>
      <c r="Z480" s="549">
        <f>IFERROR(IF(Z479="",0,Z479),"0")</f>
        <v>0.22776000000000002</v>
      </c>
      <c r="AA480" s="550"/>
      <c r="AB480" s="550"/>
      <c r="AC480" s="550"/>
    </row>
    <row r="481" spans="1:68" x14ac:dyDescent="0.2">
      <c r="A481" s="560"/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7"/>
      <c r="P481" s="563" t="s">
        <v>75</v>
      </c>
      <c r="Q481" s="564"/>
      <c r="R481" s="564"/>
      <c r="S481" s="564"/>
      <c r="T481" s="564"/>
      <c r="U481" s="564"/>
      <c r="V481" s="565"/>
      <c r="W481" s="37" t="s">
        <v>69</v>
      </c>
      <c r="X481" s="549">
        <f>IFERROR(SUM(X479:X479),"0")</f>
        <v>100</v>
      </c>
      <c r="Y481" s="549">
        <f>IFERROR(SUM(Y479:Y479),"0")</f>
        <v>108</v>
      </c>
      <c r="Z481" s="37"/>
      <c r="AA481" s="550"/>
      <c r="AB481" s="550"/>
      <c r="AC481" s="550"/>
    </row>
    <row r="482" spans="1:68" ht="14.25" hidden="1" customHeight="1" x14ac:dyDescent="0.25">
      <c r="A482" s="559" t="s">
        <v>167</v>
      </c>
      <c r="B482" s="560"/>
      <c r="C482" s="560"/>
      <c r="D482" s="560"/>
      <c r="E482" s="560"/>
      <c r="F482" s="560"/>
      <c r="G482" s="560"/>
      <c r="H482" s="560"/>
      <c r="I482" s="560"/>
      <c r="J482" s="560"/>
      <c r="K482" s="560"/>
      <c r="L482" s="560"/>
      <c r="M482" s="560"/>
      <c r="N482" s="560"/>
      <c r="O482" s="560"/>
      <c r="P482" s="560"/>
      <c r="Q482" s="560"/>
      <c r="R482" s="560"/>
      <c r="S482" s="560"/>
      <c r="T482" s="560"/>
      <c r="U482" s="560"/>
      <c r="V482" s="560"/>
      <c r="W482" s="560"/>
      <c r="X482" s="560"/>
      <c r="Y482" s="560"/>
      <c r="Z482" s="560"/>
      <c r="AA482" s="542"/>
      <c r="AB482" s="542"/>
      <c r="AC482" s="542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7">
        <v>4640242180120</v>
      </c>
      <c r="E483" s="558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81</v>
      </c>
      <c r="N483" s="33"/>
      <c r="O483" s="32">
        <v>40</v>
      </c>
      <c r="P483" s="79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7">
        <v>4640242180137</v>
      </c>
      <c r="E484" s="558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81</v>
      </c>
      <c r="N484" s="33"/>
      <c r="O484" s="32">
        <v>40</v>
      </c>
      <c r="P484" s="83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6"/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  <c r="L485" s="560"/>
      <c r="M485" s="560"/>
      <c r="N485" s="560"/>
      <c r="O485" s="567"/>
      <c r="P485" s="563" t="s">
        <v>75</v>
      </c>
      <c r="Q485" s="564"/>
      <c r="R485" s="564"/>
      <c r="S485" s="564"/>
      <c r="T485" s="564"/>
      <c r="U485" s="564"/>
      <c r="V485" s="56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60"/>
      <c r="B486" s="560"/>
      <c r="C486" s="560"/>
      <c r="D486" s="560"/>
      <c r="E486" s="560"/>
      <c r="F486" s="560"/>
      <c r="G486" s="560"/>
      <c r="H486" s="560"/>
      <c r="I486" s="560"/>
      <c r="J486" s="560"/>
      <c r="K486" s="560"/>
      <c r="L486" s="560"/>
      <c r="M486" s="560"/>
      <c r="N486" s="560"/>
      <c r="O486" s="567"/>
      <c r="P486" s="563" t="s">
        <v>75</v>
      </c>
      <c r="Q486" s="564"/>
      <c r="R486" s="564"/>
      <c r="S486" s="564"/>
      <c r="T486" s="564"/>
      <c r="U486" s="564"/>
      <c r="V486" s="56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8" t="s">
        <v>748</v>
      </c>
      <c r="B487" s="560"/>
      <c r="C487" s="560"/>
      <c r="D487" s="560"/>
      <c r="E487" s="560"/>
      <c r="F487" s="560"/>
      <c r="G487" s="560"/>
      <c r="H487" s="560"/>
      <c r="I487" s="560"/>
      <c r="J487" s="560"/>
      <c r="K487" s="560"/>
      <c r="L487" s="560"/>
      <c r="M487" s="560"/>
      <c r="N487" s="560"/>
      <c r="O487" s="560"/>
      <c r="P487" s="560"/>
      <c r="Q487" s="560"/>
      <c r="R487" s="560"/>
      <c r="S487" s="560"/>
      <c r="T487" s="560"/>
      <c r="U487" s="560"/>
      <c r="V487" s="560"/>
      <c r="W487" s="560"/>
      <c r="X487" s="560"/>
      <c r="Y487" s="560"/>
      <c r="Z487" s="560"/>
      <c r="AA487" s="541"/>
      <c r="AB487" s="541"/>
      <c r="AC487" s="541"/>
    </row>
    <row r="488" spans="1:68" ht="14.25" hidden="1" customHeight="1" x14ac:dyDescent="0.25">
      <c r="A488" s="559" t="s">
        <v>139</v>
      </c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42"/>
      <c r="AB488" s="542"/>
      <c r="AC488" s="542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7">
        <v>4640242180090</v>
      </c>
      <c r="E489" s="558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6"/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7"/>
      <c r="P490" s="563" t="s">
        <v>75</v>
      </c>
      <c r="Q490" s="564"/>
      <c r="R490" s="564"/>
      <c r="S490" s="564"/>
      <c r="T490" s="564"/>
      <c r="U490" s="564"/>
      <c r="V490" s="56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60"/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7"/>
      <c r="P491" s="563" t="s">
        <v>75</v>
      </c>
      <c r="Q491" s="564"/>
      <c r="R491" s="564"/>
      <c r="S491" s="564"/>
      <c r="T491" s="564"/>
      <c r="U491" s="564"/>
      <c r="V491" s="56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77"/>
      <c r="B492" s="560"/>
      <c r="C492" s="560"/>
      <c r="D492" s="560"/>
      <c r="E492" s="560"/>
      <c r="F492" s="560"/>
      <c r="G492" s="560"/>
      <c r="H492" s="560"/>
      <c r="I492" s="560"/>
      <c r="J492" s="560"/>
      <c r="K492" s="560"/>
      <c r="L492" s="560"/>
      <c r="M492" s="560"/>
      <c r="N492" s="560"/>
      <c r="O492" s="710"/>
      <c r="P492" s="705" t="s">
        <v>752</v>
      </c>
      <c r="Q492" s="576"/>
      <c r="R492" s="576"/>
      <c r="S492" s="576"/>
      <c r="T492" s="576"/>
      <c r="U492" s="576"/>
      <c r="V492" s="577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977.5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1035.9000000000001</v>
      </c>
      <c r="Z492" s="37"/>
      <c r="AA492" s="550"/>
      <c r="AB492" s="550"/>
      <c r="AC492" s="550"/>
    </row>
    <row r="493" spans="1:68" x14ac:dyDescent="0.2">
      <c r="A493" s="560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710"/>
      <c r="P493" s="705" t="s">
        <v>753</v>
      </c>
      <c r="Q493" s="576"/>
      <c r="R493" s="576"/>
      <c r="S493" s="576"/>
      <c r="T493" s="576"/>
      <c r="U493" s="576"/>
      <c r="V493" s="577"/>
      <c r="W493" s="37" t="s">
        <v>69</v>
      </c>
      <c r="X493" s="549">
        <f>IFERROR(SUM(BM22:BM489),"0")</f>
        <v>1026.1055114638448</v>
      </c>
      <c r="Y493" s="549">
        <f>IFERROR(SUM(BN22:BN489),"0")</f>
        <v>1087.386</v>
      </c>
      <c r="Z493" s="37"/>
      <c r="AA493" s="550"/>
      <c r="AB493" s="550"/>
      <c r="AC493" s="550"/>
    </row>
    <row r="494" spans="1:68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710"/>
      <c r="P494" s="705" t="s">
        <v>754</v>
      </c>
      <c r="Q494" s="576"/>
      <c r="R494" s="576"/>
      <c r="S494" s="576"/>
      <c r="T494" s="576"/>
      <c r="U494" s="576"/>
      <c r="V494" s="577"/>
      <c r="W494" s="37" t="s">
        <v>755</v>
      </c>
      <c r="X494" s="38">
        <f>ROUNDUP(SUM(BO22:BO489),0)</f>
        <v>2</v>
      </c>
      <c r="Y494" s="38">
        <f>ROUNDUP(SUM(BP22:BP489),0)</f>
        <v>2</v>
      </c>
      <c r="Z494" s="37"/>
      <c r="AA494" s="550"/>
      <c r="AB494" s="550"/>
      <c r="AC494" s="550"/>
    </row>
    <row r="495" spans="1:68" x14ac:dyDescent="0.2">
      <c r="A495" s="560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710"/>
      <c r="P495" s="705" t="s">
        <v>756</v>
      </c>
      <c r="Q495" s="576"/>
      <c r="R495" s="576"/>
      <c r="S495" s="576"/>
      <c r="T495" s="576"/>
      <c r="U495" s="576"/>
      <c r="V495" s="577"/>
      <c r="W495" s="37" t="s">
        <v>69</v>
      </c>
      <c r="X495" s="549">
        <f>GrossWeightTotal+PalletQtyTotal*25</f>
        <v>1076.1055114638448</v>
      </c>
      <c r="Y495" s="549">
        <f>GrossWeightTotalR+PalletQtyTotalR*25</f>
        <v>1137.386</v>
      </c>
      <c r="Z495" s="37"/>
      <c r="AA495" s="550"/>
      <c r="AB495" s="550"/>
      <c r="AC495" s="550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710"/>
      <c r="P496" s="705" t="s">
        <v>757</v>
      </c>
      <c r="Q496" s="576"/>
      <c r="R496" s="576"/>
      <c r="S496" s="576"/>
      <c r="T496" s="576"/>
      <c r="U496" s="576"/>
      <c r="V496" s="577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133.81596798263462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141</v>
      </c>
      <c r="Z496" s="37"/>
      <c r="AA496" s="550"/>
      <c r="AB496" s="550"/>
      <c r="AC496" s="550"/>
    </row>
    <row r="497" spans="1:32" ht="14.25" hidden="1" customHeight="1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710"/>
      <c r="P497" s="705" t="s">
        <v>758</v>
      </c>
      <c r="Q497" s="576"/>
      <c r="R497" s="576"/>
      <c r="S497" s="576"/>
      <c r="T497" s="576"/>
      <c r="U497" s="576"/>
      <c r="V497" s="577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2.0196199999999997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39" t="s">
        <v>63</v>
      </c>
      <c r="C499" s="608" t="s">
        <v>102</v>
      </c>
      <c r="D499" s="612"/>
      <c r="E499" s="612"/>
      <c r="F499" s="612"/>
      <c r="G499" s="612"/>
      <c r="H499" s="613"/>
      <c r="I499" s="608" t="s">
        <v>267</v>
      </c>
      <c r="J499" s="612"/>
      <c r="K499" s="612"/>
      <c r="L499" s="612"/>
      <c r="M499" s="612"/>
      <c r="N499" s="612"/>
      <c r="O499" s="612"/>
      <c r="P499" s="612"/>
      <c r="Q499" s="612"/>
      <c r="R499" s="613"/>
      <c r="S499" s="608" t="s">
        <v>554</v>
      </c>
      <c r="T499" s="613"/>
      <c r="U499" s="608" t="s">
        <v>608</v>
      </c>
      <c r="V499" s="612"/>
      <c r="W499" s="613"/>
      <c r="X499" s="539" t="s">
        <v>659</v>
      </c>
      <c r="Y499" s="608" t="s">
        <v>715</v>
      </c>
      <c r="Z499" s="613"/>
      <c r="AB499" s="52"/>
      <c r="AC499" s="52"/>
      <c r="AF499" s="540"/>
    </row>
    <row r="500" spans="1:32" ht="14.25" customHeight="1" thickTop="1" x14ac:dyDescent="0.2">
      <c r="A500" s="870" t="s">
        <v>761</v>
      </c>
      <c r="B500" s="608" t="s">
        <v>63</v>
      </c>
      <c r="C500" s="608" t="s">
        <v>103</v>
      </c>
      <c r="D500" s="608" t="s">
        <v>120</v>
      </c>
      <c r="E500" s="608" t="s">
        <v>174</v>
      </c>
      <c r="F500" s="608" t="s">
        <v>198</v>
      </c>
      <c r="G500" s="608" t="s">
        <v>237</v>
      </c>
      <c r="H500" s="608" t="s">
        <v>102</v>
      </c>
      <c r="I500" s="608" t="s">
        <v>268</v>
      </c>
      <c r="J500" s="608" t="s">
        <v>321</v>
      </c>
      <c r="K500" s="608" t="s">
        <v>380</v>
      </c>
      <c r="L500" s="608" t="s">
        <v>420</v>
      </c>
      <c r="M500" s="608" t="s">
        <v>436</v>
      </c>
      <c r="N500" s="540"/>
      <c r="O500" s="608" t="s">
        <v>447</v>
      </c>
      <c r="P500" s="608" t="s">
        <v>456</v>
      </c>
      <c r="Q500" s="608" t="s">
        <v>469</v>
      </c>
      <c r="R500" s="608" t="s">
        <v>544</v>
      </c>
      <c r="S500" s="608" t="s">
        <v>555</v>
      </c>
      <c r="T500" s="608" t="s">
        <v>590</v>
      </c>
      <c r="U500" s="608" t="s">
        <v>609</v>
      </c>
      <c r="V500" s="608" t="s">
        <v>640</v>
      </c>
      <c r="W500" s="608" t="s">
        <v>655</v>
      </c>
      <c r="X500" s="608" t="s">
        <v>659</v>
      </c>
      <c r="Y500" s="608" t="s">
        <v>715</v>
      </c>
      <c r="Z500" s="608" t="s">
        <v>748</v>
      </c>
      <c r="AB500" s="52"/>
      <c r="AC500" s="52"/>
      <c r="AF500" s="540"/>
    </row>
    <row r="501" spans="1:32" ht="13.5" customHeight="1" thickBot="1" x14ac:dyDescent="0.25">
      <c r="A501" s="871"/>
      <c r="B501" s="609"/>
      <c r="C501" s="609"/>
      <c r="D501" s="609"/>
      <c r="E501" s="609"/>
      <c r="F501" s="609"/>
      <c r="G501" s="609"/>
      <c r="H501" s="609"/>
      <c r="I501" s="609"/>
      <c r="J501" s="609"/>
      <c r="K501" s="609"/>
      <c r="L501" s="609"/>
      <c r="M501" s="609"/>
      <c r="N501" s="540"/>
      <c r="O501" s="609"/>
      <c r="P501" s="609"/>
      <c r="Q501" s="609"/>
      <c r="R501" s="609"/>
      <c r="S501" s="609"/>
      <c r="T501" s="609"/>
      <c r="U501" s="609"/>
      <c r="V501" s="609"/>
      <c r="W501" s="609"/>
      <c r="X501" s="609"/>
      <c r="Y501" s="609"/>
      <c r="Z501" s="609"/>
      <c r="AB501" s="52"/>
      <c r="AC501" s="52"/>
      <c r="AF501" s="540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64.800000000000011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2" s="46">
        <f>IFERROR(Y86*1,"0")+IFERROR(Y87*1,"0")+IFERROR(Y88*1,"0")+IFERROR(Y89*1,"0")+IFERROR(Y93*1,"0")+IFERROR(Y94*1,"0")+IFERROR(Y95*1,"0")+IFERROR(Y96*1,"0")</f>
        <v>22.5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113.4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86.4</v>
      </c>
      <c r="M502" s="46">
        <f>IFERROR(Y268*1,"0")+IFERROR(Y269*1,"0")+IFERROR(Y270*1,"0")+IFERROR(Y271*1,"0")</f>
        <v>0</v>
      </c>
      <c r="N502" s="540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63.599999999999994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210</v>
      </c>
      <c r="T502" s="46">
        <f>IFERROR(Y372*1,"0")+IFERROR(Y373*1,"0")+IFERROR(Y377*1,"0")+IFERROR(Y378*1,"0")+IFERROR(Y382*1,"0")+IFERROR(Y383*1,"0")+IFERROR(Y384*1,"0")</f>
        <v>24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343.2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108</v>
      </c>
      <c r="Z502" s="46">
        <f>IFERROR(Y489*1,"0")</f>
        <v>0</v>
      </c>
      <c r="AB502" s="52"/>
      <c r="AC502" s="52"/>
      <c r="AF502" s="540"/>
    </row>
  </sheetData>
  <sheetProtection algorithmName="SHA-512" hashValue="VN6uGJLB6I1macE1Ee5QvNlOtkYnUDNSG6GHHLgBpKDCGAx7QShVwmmlKxTxY5KOVbl17UdjfEkljf8ttI3igQ==" saltValue="k0drNyLufS7iaf4MtXBKl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6,11"/>
        <filter val="1 076,11"/>
        <filter val="1,67"/>
        <filter val="1,89"/>
        <filter val="10,00"/>
        <filter val="100,00"/>
        <filter val="11,11"/>
        <filter val="13,33"/>
        <filter val="133,82"/>
        <filter val="135,00"/>
        <filter val="14,81"/>
        <filter val="15,00"/>
        <filter val="185,00"/>
        <filter val="2"/>
        <filter val="20,00"/>
        <filter val="200,00"/>
        <filter val="22,50"/>
        <filter val="25,00"/>
        <filter val="25,57"/>
        <filter val="3,09"/>
        <filter val="3,57"/>
        <filter val="35,04"/>
        <filter val="45,00"/>
        <filter val="5,00"/>
        <filter val="5,56"/>
        <filter val="5,77"/>
        <filter val="60,00"/>
        <filter val="7,41"/>
        <filter val="80,00"/>
        <filter val="977,50"/>
      </filters>
    </filterColumn>
    <filterColumn colId="29" showButton="0"/>
    <filterColumn colId="30" showButton="0"/>
  </autoFilter>
  <mergeCells count="880">
    <mergeCell ref="P500:P501"/>
    <mergeCell ref="P140:V140"/>
    <mergeCell ref="A335:O336"/>
    <mergeCell ref="A21:Z21"/>
    <mergeCell ref="P438:V438"/>
    <mergeCell ref="D192:E192"/>
    <mergeCell ref="D42:E42"/>
    <mergeCell ref="A500:A501"/>
    <mergeCell ref="P363:T363"/>
    <mergeCell ref="C500:C501"/>
    <mergeCell ref="D173:E173"/>
    <mergeCell ref="P313:T313"/>
    <mergeCell ref="D123:E123"/>
    <mergeCell ref="P202:T202"/>
    <mergeCell ref="D250:E250"/>
    <mergeCell ref="P307:T307"/>
    <mergeCell ref="P373:T373"/>
    <mergeCell ref="D110:E110"/>
    <mergeCell ref="D408:E408"/>
    <mergeCell ref="U499:W499"/>
    <mergeCell ref="A337:Z337"/>
    <mergeCell ref="P383:T383"/>
    <mergeCell ref="A329:O330"/>
    <mergeCell ref="D95:E95"/>
    <mergeCell ref="P449:T449"/>
    <mergeCell ref="P374:V374"/>
    <mergeCell ref="P496:V496"/>
    <mergeCell ref="A10:C10"/>
    <mergeCell ref="P218:T218"/>
    <mergeCell ref="D17:E18"/>
    <mergeCell ref="D483:E483"/>
    <mergeCell ref="D271:E271"/>
    <mergeCell ref="V12:W12"/>
    <mergeCell ref="D191:E191"/>
    <mergeCell ref="P319:T319"/>
    <mergeCell ref="D262:E262"/>
    <mergeCell ref="D433:E433"/>
    <mergeCell ref="A245:Z245"/>
    <mergeCell ref="D237:E237"/>
    <mergeCell ref="A39:Z39"/>
    <mergeCell ref="P285:V285"/>
    <mergeCell ref="A44:O45"/>
    <mergeCell ref="P435:T435"/>
    <mergeCell ref="D278:E278"/>
    <mergeCell ref="D234:E234"/>
    <mergeCell ref="P288:T288"/>
    <mergeCell ref="A24:O25"/>
    <mergeCell ref="P263:T263"/>
    <mergeCell ref="P434:T434"/>
    <mergeCell ref="D171:E171"/>
    <mergeCell ref="Q6:R6"/>
    <mergeCell ref="A267:Z267"/>
    <mergeCell ref="P134:T134"/>
    <mergeCell ref="A385:O386"/>
    <mergeCell ref="A8:C8"/>
    <mergeCell ref="P310:V310"/>
    <mergeCell ref="P163:V163"/>
    <mergeCell ref="D268:E268"/>
    <mergeCell ref="P151:T151"/>
    <mergeCell ref="D395:E395"/>
    <mergeCell ref="P493:V493"/>
    <mergeCell ref="P123:T123"/>
    <mergeCell ref="P110:T110"/>
    <mergeCell ref="P408:T408"/>
    <mergeCell ref="D218:E218"/>
    <mergeCell ref="A127:Z127"/>
    <mergeCell ref="A249:Z249"/>
    <mergeCell ref="D133:E133"/>
    <mergeCell ref="P102:T102"/>
    <mergeCell ref="P131:V131"/>
    <mergeCell ref="P187:V187"/>
    <mergeCell ref="A453:O454"/>
    <mergeCell ref="P430:T430"/>
    <mergeCell ref="P349:T349"/>
    <mergeCell ref="P476:V476"/>
    <mergeCell ref="P463:T463"/>
    <mergeCell ref="D465:E465"/>
    <mergeCell ref="P149:T149"/>
    <mergeCell ref="P174:T174"/>
    <mergeCell ref="A279:O280"/>
    <mergeCell ref="P447:T447"/>
    <mergeCell ref="D242:E242"/>
    <mergeCell ref="P290:V290"/>
    <mergeCell ref="P297:T297"/>
    <mergeCell ref="P495:V495"/>
    <mergeCell ref="B500:B501"/>
    <mergeCell ref="P422:V422"/>
    <mergeCell ref="P239:V239"/>
    <mergeCell ref="A257:Z257"/>
    <mergeCell ref="P262:T262"/>
    <mergeCell ref="D276:E276"/>
    <mergeCell ref="P433:T433"/>
    <mergeCell ref="D170:E170"/>
    <mergeCell ref="D341:E341"/>
    <mergeCell ref="A478:Z478"/>
    <mergeCell ref="P484:T484"/>
    <mergeCell ref="W500:W501"/>
    <mergeCell ref="P436:T436"/>
    <mergeCell ref="A440:Z440"/>
    <mergeCell ref="P210:V210"/>
    <mergeCell ref="P494:V494"/>
    <mergeCell ref="P410:V410"/>
    <mergeCell ref="P481:V481"/>
    <mergeCell ref="A185:Z185"/>
    <mergeCell ref="P196:T196"/>
    <mergeCell ref="D462:E462"/>
    <mergeCell ref="P465:T465"/>
    <mergeCell ref="P492:V492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A223:Z223"/>
    <mergeCell ref="D392:E392"/>
    <mergeCell ref="P57:T57"/>
    <mergeCell ref="P367:T367"/>
    <mergeCell ref="D165:E165"/>
    <mergeCell ref="D475:E475"/>
    <mergeCell ref="P75:T75"/>
    <mergeCell ref="D394:E394"/>
    <mergeCell ref="A124:O125"/>
    <mergeCell ref="A425:Z425"/>
    <mergeCell ref="D102:E102"/>
    <mergeCell ref="P379:V379"/>
    <mergeCell ref="D196:E196"/>
    <mergeCell ref="P294:T294"/>
    <mergeCell ref="P272:V272"/>
    <mergeCell ref="P415:T415"/>
    <mergeCell ref="M17:M18"/>
    <mergeCell ref="O17:O18"/>
    <mergeCell ref="AD17:AF18"/>
    <mergeCell ref="D101:E101"/>
    <mergeCell ref="A132:Z132"/>
    <mergeCell ref="D76:E76"/>
    <mergeCell ref="F5:G5"/>
    <mergeCell ref="P365:V365"/>
    <mergeCell ref="V11:W11"/>
    <mergeCell ref="U17:V17"/>
    <mergeCell ref="Y17:Y18"/>
    <mergeCell ref="D57:E57"/>
    <mergeCell ref="Q5:R5"/>
    <mergeCell ref="F17:F18"/>
    <mergeCell ref="A338:Z338"/>
    <mergeCell ref="A419:Z419"/>
    <mergeCell ref="P204:T204"/>
    <mergeCell ref="P62:T62"/>
    <mergeCell ref="P2:W3"/>
    <mergeCell ref="P133:T133"/>
    <mergeCell ref="P298:T298"/>
    <mergeCell ref="D437:E437"/>
    <mergeCell ref="P54:T54"/>
    <mergeCell ref="P347:T347"/>
    <mergeCell ref="D35:E35"/>
    <mergeCell ref="D333:E333"/>
    <mergeCell ref="A342:O343"/>
    <mergeCell ref="P412:T412"/>
    <mergeCell ref="D10:E10"/>
    <mergeCell ref="F10:G10"/>
    <mergeCell ref="P191:T191"/>
    <mergeCell ref="P362:T362"/>
    <mergeCell ref="D305:E305"/>
    <mergeCell ref="D270:E270"/>
    <mergeCell ref="P194:V194"/>
    <mergeCell ref="A255:O256"/>
    <mergeCell ref="A364:O365"/>
    <mergeCell ref="P286:V286"/>
    <mergeCell ref="P41:T41"/>
    <mergeCell ref="D22:E22"/>
    <mergeCell ref="D155:E155"/>
    <mergeCell ref="P78:V78"/>
    <mergeCell ref="D397:E397"/>
    <mergeCell ref="P420:T420"/>
    <mergeCell ref="P128:T128"/>
    <mergeCell ref="D450:E450"/>
    <mergeCell ref="P181:T181"/>
    <mergeCell ref="P357:T357"/>
    <mergeCell ref="D29:E29"/>
    <mergeCell ref="D23:E23"/>
    <mergeCell ref="D216:E216"/>
    <mergeCell ref="P35:T35"/>
    <mergeCell ref="P341:T341"/>
    <mergeCell ref="D384:E384"/>
    <mergeCell ref="D449:E449"/>
    <mergeCell ref="P395:T395"/>
    <mergeCell ref="P161:T161"/>
    <mergeCell ref="D204:E204"/>
    <mergeCell ref="P217:T217"/>
    <mergeCell ref="P332:T332"/>
    <mergeCell ref="P300:V300"/>
    <mergeCell ref="D203:E203"/>
    <mergeCell ref="A455:Z455"/>
    <mergeCell ref="D447:E447"/>
    <mergeCell ref="P470:T470"/>
    <mergeCell ref="P255:V255"/>
    <mergeCell ref="P295:T295"/>
    <mergeCell ref="A9:C9"/>
    <mergeCell ref="P321:T321"/>
    <mergeCell ref="D202:E202"/>
    <mergeCell ref="D373:E373"/>
    <mergeCell ref="P112:T112"/>
    <mergeCell ref="A179:Z179"/>
    <mergeCell ref="A302:Z302"/>
    <mergeCell ref="D294:E294"/>
    <mergeCell ref="P348:T348"/>
    <mergeCell ref="P273:V273"/>
    <mergeCell ref="A113:O114"/>
    <mergeCell ref="D231:E231"/>
    <mergeCell ref="D358:E358"/>
    <mergeCell ref="P70:V70"/>
    <mergeCell ref="P32:V32"/>
    <mergeCell ref="Q13:R13"/>
    <mergeCell ref="P97:V97"/>
    <mergeCell ref="A293:Z293"/>
    <mergeCell ref="P201:T201"/>
    <mergeCell ref="D296:E296"/>
    <mergeCell ref="A275:Z275"/>
    <mergeCell ref="P96:T96"/>
    <mergeCell ref="H17:H18"/>
    <mergeCell ref="P261:T261"/>
    <mergeCell ref="V500:V501"/>
    <mergeCell ref="P471:V471"/>
    <mergeCell ref="D288:E288"/>
    <mergeCell ref="A461:Z461"/>
    <mergeCell ref="P421:V421"/>
    <mergeCell ref="P240:V240"/>
    <mergeCell ref="D434:E434"/>
    <mergeCell ref="P111:T111"/>
    <mergeCell ref="D225:E225"/>
    <mergeCell ref="A399:O400"/>
    <mergeCell ref="D436:E436"/>
    <mergeCell ref="A476:O477"/>
    <mergeCell ref="A243:O244"/>
    <mergeCell ref="U500:U501"/>
    <mergeCell ref="A389:Z389"/>
    <mergeCell ref="A460:Z460"/>
    <mergeCell ref="P483:T483"/>
    <mergeCell ref="D149:E149"/>
    <mergeCell ref="D320:E320"/>
    <mergeCell ref="P61:T61"/>
    <mergeCell ref="P105:T105"/>
    <mergeCell ref="P276:T276"/>
    <mergeCell ref="D86:E86"/>
    <mergeCell ref="P214:T214"/>
    <mergeCell ref="P270:T270"/>
    <mergeCell ref="D213:E213"/>
    <mergeCell ref="A64:O65"/>
    <mergeCell ref="D151:E151"/>
    <mergeCell ref="D150:E150"/>
    <mergeCell ref="D269:E269"/>
    <mergeCell ref="P139:T139"/>
    <mergeCell ref="P176:T176"/>
    <mergeCell ref="H5:M5"/>
    <mergeCell ref="P329:V329"/>
    <mergeCell ref="A154:Z154"/>
    <mergeCell ref="I499:R499"/>
    <mergeCell ref="D212:E212"/>
    <mergeCell ref="P225:T225"/>
    <mergeCell ref="P396:T396"/>
    <mergeCell ref="D6:M6"/>
    <mergeCell ref="D304:E304"/>
    <mergeCell ref="A492:O497"/>
    <mergeCell ref="P175:T175"/>
    <mergeCell ref="A85:Z85"/>
    <mergeCell ref="D319:E319"/>
    <mergeCell ref="P398:T398"/>
    <mergeCell ref="D441:E441"/>
    <mergeCell ref="Y499:Z499"/>
    <mergeCell ref="P475:T475"/>
    <mergeCell ref="P93:T93"/>
    <mergeCell ref="D207:E207"/>
    <mergeCell ref="P269:T269"/>
    <mergeCell ref="P120:V120"/>
    <mergeCell ref="D383:E383"/>
    <mergeCell ref="P462:T462"/>
    <mergeCell ref="D299:E299"/>
    <mergeCell ref="V6:W9"/>
    <mergeCell ref="D128:E128"/>
    <mergeCell ref="T500:T501"/>
    <mergeCell ref="A106:O107"/>
    <mergeCell ref="P109:T109"/>
    <mergeCell ref="A404:O405"/>
    <mergeCell ref="D186:E186"/>
    <mergeCell ref="D413:E413"/>
    <mergeCell ref="D217:E217"/>
    <mergeCell ref="A226:O227"/>
    <mergeCell ref="D435:E435"/>
    <mergeCell ref="D484:E484"/>
    <mergeCell ref="P22:T22"/>
    <mergeCell ref="P320:T320"/>
    <mergeCell ref="P314:T314"/>
    <mergeCell ref="D428:E428"/>
    <mergeCell ref="D415:E415"/>
    <mergeCell ref="E500:E501"/>
    <mergeCell ref="G500:G501"/>
    <mergeCell ref="A346:Z346"/>
    <mergeCell ref="P80:T80"/>
    <mergeCell ref="Z17:Z18"/>
    <mergeCell ref="P265:V265"/>
    <mergeCell ref="P458:V458"/>
    <mergeCell ref="AA17:AA18"/>
    <mergeCell ref="P212:T212"/>
    <mergeCell ref="AC17:AC18"/>
    <mergeCell ref="P107:V107"/>
    <mergeCell ref="A122:Z122"/>
    <mergeCell ref="A409:O410"/>
    <mergeCell ref="D89:E89"/>
    <mergeCell ref="D393:E393"/>
    <mergeCell ref="P209:V209"/>
    <mergeCell ref="A72:Z72"/>
    <mergeCell ref="P147:V147"/>
    <mergeCell ref="P254:T254"/>
    <mergeCell ref="P251:T251"/>
    <mergeCell ref="AB17:AB18"/>
    <mergeCell ref="A388:Z388"/>
    <mergeCell ref="P44:V44"/>
    <mergeCell ref="D367:E367"/>
    <mergeCell ref="P405:V405"/>
    <mergeCell ref="A401:Z401"/>
    <mergeCell ref="P278:T278"/>
    <mergeCell ref="D321:E321"/>
    <mergeCell ref="P101:T101"/>
    <mergeCell ref="D215:E215"/>
    <mergeCell ref="A20:Z20"/>
    <mergeCell ref="D489:E489"/>
    <mergeCell ref="D427:E427"/>
    <mergeCell ref="P27:T27"/>
    <mergeCell ref="D75:E75"/>
    <mergeCell ref="P325:T325"/>
    <mergeCell ref="D206:E206"/>
    <mergeCell ref="P247:V247"/>
    <mergeCell ref="P390:T390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445:V445"/>
    <mergeCell ref="D420:E420"/>
    <mergeCell ref="P457:V457"/>
    <mergeCell ref="P232:T232"/>
    <mergeCell ref="P152:V152"/>
    <mergeCell ref="N17:N18"/>
    <mergeCell ref="A58:O59"/>
    <mergeCell ref="D54:E54"/>
    <mergeCell ref="X17:X18"/>
    <mergeCell ref="P441:T441"/>
    <mergeCell ref="P235:T235"/>
    <mergeCell ref="P306:T306"/>
    <mergeCell ref="D349:E349"/>
    <mergeCell ref="P157:V157"/>
    <mergeCell ref="A38:Z38"/>
    <mergeCell ref="P207:T207"/>
    <mergeCell ref="A274:Z274"/>
    <mergeCell ref="P299:T299"/>
    <mergeCell ref="P221:V221"/>
    <mergeCell ref="D138:E138"/>
    <mergeCell ref="P386:V386"/>
    <mergeCell ref="A40:Z40"/>
    <mergeCell ref="A211:Z211"/>
    <mergeCell ref="P393:T393"/>
    <mergeCell ref="G17:G18"/>
    <mergeCell ref="P333:T333"/>
    <mergeCell ref="A152:O153"/>
    <mergeCell ref="P184:V184"/>
    <mergeCell ref="A143:Z143"/>
    <mergeCell ref="L500:L501"/>
    <mergeCell ref="D500:D501"/>
    <mergeCell ref="J9:M9"/>
    <mergeCell ref="D112:E112"/>
    <mergeCell ref="D283:E283"/>
    <mergeCell ref="A356:Z356"/>
    <mergeCell ref="A418:Z418"/>
    <mergeCell ref="A90:O91"/>
    <mergeCell ref="D348:E348"/>
    <mergeCell ref="F500:F501"/>
    <mergeCell ref="D62:E62"/>
    <mergeCell ref="P454:V454"/>
    <mergeCell ref="D56:E56"/>
    <mergeCell ref="P206:T206"/>
    <mergeCell ref="P377:T377"/>
    <mergeCell ref="P233:T233"/>
    <mergeCell ref="P448:T448"/>
    <mergeCell ref="D176:E176"/>
    <mergeCell ref="P304:T304"/>
    <mergeCell ref="D347:E347"/>
    <mergeCell ref="D412:E412"/>
    <mergeCell ref="D362:E362"/>
    <mergeCell ref="A406:Z406"/>
    <mergeCell ref="P124:V124"/>
    <mergeCell ref="P489:T489"/>
    <mergeCell ref="D74:E74"/>
    <mergeCell ref="P87:T87"/>
    <mergeCell ref="D68:E68"/>
    <mergeCell ref="D201:E201"/>
    <mergeCell ref="D372:E372"/>
    <mergeCell ref="P451:T451"/>
    <mergeCell ref="P224:T224"/>
    <mergeCell ref="A285:O286"/>
    <mergeCell ref="P89:T89"/>
    <mergeCell ref="P260:T260"/>
    <mergeCell ref="D295:E295"/>
    <mergeCell ref="P88:T88"/>
    <mergeCell ref="A156:O157"/>
    <mergeCell ref="D172:E172"/>
    <mergeCell ref="D463:E463"/>
    <mergeCell ref="A92:Z92"/>
    <mergeCell ref="P227:V227"/>
    <mergeCell ref="P71:V71"/>
    <mergeCell ref="P444:V444"/>
    <mergeCell ref="P244:V244"/>
    <mergeCell ref="P372:T372"/>
    <mergeCell ref="P340:T340"/>
    <mergeCell ref="D452:E452"/>
    <mergeCell ref="Q10:R10"/>
    <mergeCell ref="P368:V368"/>
    <mergeCell ref="D41:E41"/>
    <mergeCell ref="P296:T296"/>
    <mergeCell ref="P25:V25"/>
    <mergeCell ref="D277:E277"/>
    <mergeCell ref="P256:V256"/>
    <mergeCell ref="A137:Z137"/>
    <mergeCell ref="D43:E43"/>
    <mergeCell ref="P216:T216"/>
    <mergeCell ref="P58:V58"/>
    <mergeCell ref="A13:M13"/>
    <mergeCell ref="D61:E61"/>
    <mergeCell ref="D254:E254"/>
    <mergeCell ref="A15:M15"/>
    <mergeCell ref="P238:T238"/>
    <mergeCell ref="A359:O360"/>
    <mergeCell ref="H10:M10"/>
    <mergeCell ref="A19:Z19"/>
    <mergeCell ref="A190:Z190"/>
    <mergeCell ref="D182:E182"/>
    <mergeCell ref="A14:M14"/>
    <mergeCell ref="D109:E109"/>
    <mergeCell ref="P138:T138"/>
    <mergeCell ref="T5:U5"/>
    <mergeCell ref="P76:T76"/>
    <mergeCell ref="D119:E119"/>
    <mergeCell ref="V5:W5"/>
    <mergeCell ref="P203:T203"/>
    <mergeCell ref="D246:E246"/>
    <mergeCell ref="D111:E111"/>
    <mergeCell ref="D233:E233"/>
    <mergeCell ref="A142:Z142"/>
    <mergeCell ref="Q8:R8"/>
    <mergeCell ref="P69:T69"/>
    <mergeCell ref="D219:E219"/>
    <mergeCell ref="D104:E104"/>
    <mergeCell ref="P83:V83"/>
    <mergeCell ref="A79:Z79"/>
    <mergeCell ref="A82:O83"/>
    <mergeCell ref="T6:U9"/>
    <mergeCell ref="A5:C5"/>
    <mergeCell ref="P64:V64"/>
    <mergeCell ref="P135:V135"/>
    <mergeCell ref="D9:E9"/>
    <mergeCell ref="A6:C6"/>
    <mergeCell ref="D5:E5"/>
    <mergeCell ref="P98:V98"/>
    <mergeCell ref="P497:V497"/>
    <mergeCell ref="P291:V291"/>
    <mergeCell ref="P43:T43"/>
    <mergeCell ref="P65:V65"/>
    <mergeCell ref="D328:E328"/>
    <mergeCell ref="P136:V136"/>
    <mergeCell ref="A135:O136"/>
    <mergeCell ref="M500:M501"/>
    <mergeCell ref="A126:Z126"/>
    <mergeCell ref="O500:O501"/>
    <mergeCell ref="D251:E251"/>
    <mergeCell ref="A324:Z324"/>
    <mergeCell ref="P355:V355"/>
    <mergeCell ref="A424:Z424"/>
    <mergeCell ref="A411:Z411"/>
    <mergeCell ref="P397:T397"/>
    <mergeCell ref="A482:Z482"/>
    <mergeCell ref="P74:T74"/>
    <mergeCell ref="P243:V243"/>
    <mergeCell ref="A466:O467"/>
    <mergeCell ref="D469:E469"/>
    <mergeCell ref="D340:E340"/>
    <mergeCell ref="P385:V385"/>
    <mergeCell ref="A381:Z381"/>
    <mergeCell ref="R500:R501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146:V146"/>
    <mergeCell ref="P317:V317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164:Z164"/>
    <mergeCell ref="A473:Z473"/>
    <mergeCell ref="A423:Z423"/>
    <mergeCell ref="A108:Z108"/>
    <mergeCell ref="D166:E166"/>
    <mergeCell ref="D464:E464"/>
    <mergeCell ref="D402:E402"/>
    <mergeCell ref="A17:A18"/>
    <mergeCell ref="K17:K18"/>
    <mergeCell ref="A189:Z189"/>
    <mergeCell ref="C17:C18"/>
    <mergeCell ref="P364:V364"/>
    <mergeCell ref="P431:T431"/>
    <mergeCell ref="D103:E103"/>
    <mergeCell ref="D230:E230"/>
    <mergeCell ref="P358:T358"/>
    <mergeCell ref="D168:E168"/>
    <mergeCell ref="D339:E339"/>
    <mergeCell ref="P380:V380"/>
    <mergeCell ref="D180:E180"/>
    <mergeCell ref="A322:O323"/>
    <mergeCell ref="P180:T180"/>
    <mergeCell ref="P118:T118"/>
    <mergeCell ref="D88:E88"/>
    <mergeCell ref="P167:T167"/>
    <mergeCell ref="P403:T403"/>
    <mergeCell ref="P378:T378"/>
    <mergeCell ref="P117:T117"/>
    <mergeCell ref="P55:T55"/>
    <mergeCell ref="P182:T182"/>
    <mergeCell ref="Q12:R12"/>
    <mergeCell ref="P169:T169"/>
    <mergeCell ref="D261:E261"/>
    <mergeCell ref="A130:O131"/>
    <mergeCell ref="P119:T119"/>
    <mergeCell ref="P183:V183"/>
    <mergeCell ref="P246:T246"/>
    <mergeCell ref="P354:V354"/>
    <mergeCell ref="D390:E390"/>
    <mergeCell ref="P198:V198"/>
    <mergeCell ref="P369:V369"/>
    <mergeCell ref="D118:E118"/>
    <mergeCell ref="A311:Z311"/>
    <mergeCell ref="D303:E303"/>
    <mergeCell ref="P382:T382"/>
    <mergeCell ref="P42:T42"/>
    <mergeCell ref="A32:O33"/>
    <mergeCell ref="D94:E94"/>
    <mergeCell ref="P360:V360"/>
    <mergeCell ref="X500:X501"/>
    <mergeCell ref="D235:E235"/>
    <mergeCell ref="Z500:Z501"/>
    <mergeCell ref="Q9:R9"/>
    <mergeCell ref="P312:T312"/>
    <mergeCell ref="A331:Z331"/>
    <mergeCell ref="D451:E451"/>
    <mergeCell ref="P49:V49"/>
    <mergeCell ref="P36:V36"/>
    <mergeCell ref="A159:Z159"/>
    <mergeCell ref="Q11:R11"/>
    <mergeCell ref="P205:T205"/>
    <mergeCell ref="D260:E260"/>
    <mergeCell ref="A459:Z459"/>
    <mergeCell ref="P417:V417"/>
    <mergeCell ref="P442:T442"/>
    <mergeCell ref="D448:E448"/>
    <mergeCell ref="P469:T469"/>
    <mergeCell ref="P491:V491"/>
    <mergeCell ref="A487:Z487"/>
    <mergeCell ref="F9:G9"/>
    <mergeCell ref="P53:T53"/>
    <mergeCell ref="A183:O184"/>
    <mergeCell ref="D167:E167"/>
    <mergeCell ref="Y500:Y501"/>
    <mergeCell ref="A309:O310"/>
    <mergeCell ref="P428:T428"/>
    <mergeCell ref="P284:T284"/>
    <mergeCell ref="A344:Z344"/>
    <mergeCell ref="P17:T18"/>
    <mergeCell ref="A229:Z229"/>
    <mergeCell ref="P129:T129"/>
    <mergeCell ref="P63:T63"/>
    <mergeCell ref="A148:Z148"/>
    <mergeCell ref="P323:V32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114:V114"/>
    <mergeCell ref="D1:F1"/>
    <mergeCell ref="P268:T268"/>
    <mergeCell ref="P339:T339"/>
    <mergeCell ref="D382:E382"/>
    <mergeCell ref="A468:Z468"/>
    <mergeCell ref="P47:T47"/>
    <mergeCell ref="S499:T499"/>
    <mergeCell ref="P409:V409"/>
    <mergeCell ref="J17:J18"/>
    <mergeCell ref="L17:L18"/>
    <mergeCell ref="P359:V359"/>
    <mergeCell ref="P48:V48"/>
    <mergeCell ref="P426:T426"/>
    <mergeCell ref="A100:Z100"/>
    <mergeCell ref="A371:Z371"/>
    <mergeCell ref="P490:V490"/>
    <mergeCell ref="D334:E334"/>
    <mergeCell ref="A407:Z407"/>
    <mergeCell ref="P125:V125"/>
    <mergeCell ref="A115:Z115"/>
    <mergeCell ref="P192:T192"/>
    <mergeCell ref="D377:E377"/>
    <mergeCell ref="P456:T456"/>
    <mergeCell ref="P414:T414"/>
    <mergeCell ref="H500:H501"/>
    <mergeCell ref="J500:J501"/>
    <mergeCell ref="P106:V106"/>
    <mergeCell ref="P177:V177"/>
    <mergeCell ref="P33:V33"/>
    <mergeCell ref="P226:V226"/>
    <mergeCell ref="P264:V264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D87:E87"/>
    <mergeCell ref="P166:T166"/>
    <mergeCell ref="P188:V188"/>
    <mergeCell ref="A282:Z282"/>
    <mergeCell ref="A187:O188"/>
    <mergeCell ref="P402:T402"/>
    <mergeCell ref="D69:E69"/>
    <mergeCell ref="P162:V162"/>
    <mergeCell ref="P116:T116"/>
    <mergeCell ref="A376:Z376"/>
    <mergeCell ref="A162:O163"/>
    <mergeCell ref="D224:E224"/>
    <mergeCell ref="A26:Z26"/>
    <mergeCell ref="P103:T103"/>
    <mergeCell ref="P59:V59"/>
    <mergeCell ref="P230:T230"/>
    <mergeCell ref="P130:V130"/>
    <mergeCell ref="P168:T168"/>
    <mergeCell ref="P352:T352"/>
    <mergeCell ref="P301:V301"/>
    <mergeCell ref="P178:V178"/>
    <mergeCell ref="P73:T73"/>
    <mergeCell ref="P336:V336"/>
    <mergeCell ref="D252:E252"/>
    <mergeCell ref="A318:Z318"/>
    <mergeCell ref="A51:Z51"/>
    <mergeCell ref="D105:E105"/>
    <mergeCell ref="D314:E314"/>
    <mergeCell ref="D80:E80"/>
    <mergeCell ref="P121:V121"/>
    <mergeCell ref="H1:Q1"/>
    <mergeCell ref="P480:V480"/>
    <mergeCell ref="P280:V280"/>
    <mergeCell ref="A99:Z99"/>
    <mergeCell ref="A366:Z366"/>
    <mergeCell ref="A292:Z292"/>
    <mergeCell ref="D214:E214"/>
    <mergeCell ref="P222:V222"/>
    <mergeCell ref="P193:V193"/>
    <mergeCell ref="D284:E284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D55:E55"/>
    <mergeCell ref="D30:E30"/>
    <mergeCell ref="A239:O240"/>
    <mergeCell ref="P242:T242"/>
    <mergeCell ref="D353:E353"/>
    <mergeCell ref="A361:Z361"/>
    <mergeCell ref="D8:M8"/>
    <mergeCell ref="P485:V485"/>
    <mergeCell ref="P237:T237"/>
    <mergeCell ref="P279:V279"/>
    <mergeCell ref="P472:V472"/>
    <mergeCell ref="P31:T31"/>
    <mergeCell ref="D139:E139"/>
    <mergeCell ref="P416:V416"/>
    <mergeCell ref="P45:V45"/>
    <mergeCell ref="A241:Z241"/>
    <mergeCell ref="P343:V343"/>
    <mergeCell ref="A228:Z228"/>
    <mergeCell ref="P95:T95"/>
    <mergeCell ref="D470:E470"/>
    <mergeCell ref="P413:T413"/>
    <mergeCell ref="D67:E67"/>
    <mergeCell ref="P464:T464"/>
    <mergeCell ref="A485:O486"/>
    <mergeCell ref="P474:T474"/>
    <mergeCell ref="A177:O178"/>
    <mergeCell ref="P197:T197"/>
    <mergeCell ref="P351:T351"/>
    <mergeCell ref="D161:E161"/>
    <mergeCell ref="P289:T289"/>
    <mergeCell ref="D442:E442"/>
    <mergeCell ref="P173:T173"/>
    <mergeCell ref="D429:E429"/>
    <mergeCell ref="P29:T29"/>
    <mergeCell ref="A97:O98"/>
    <mergeCell ref="P271:T271"/>
    <mergeCell ref="A290:O291"/>
    <mergeCell ref="D81:E81"/>
    <mergeCell ref="P94:T94"/>
    <mergeCell ref="D208:E208"/>
    <mergeCell ref="D232:E232"/>
    <mergeCell ref="A354:O355"/>
    <mergeCell ref="A272:O273"/>
    <mergeCell ref="D403:E403"/>
    <mergeCell ref="D63:E63"/>
    <mergeCell ref="D52:E52"/>
    <mergeCell ref="D327:E327"/>
    <mergeCell ref="D398:E398"/>
    <mergeCell ref="P439:V439"/>
    <mergeCell ref="A438:O439"/>
    <mergeCell ref="P308:T308"/>
    <mergeCell ref="A146:O147"/>
    <mergeCell ref="P427:T427"/>
    <mergeCell ref="P283:T283"/>
    <mergeCell ref="Q500:Q501"/>
    <mergeCell ref="D431:E431"/>
    <mergeCell ref="I500:I501"/>
    <mergeCell ref="A300:O301"/>
    <mergeCell ref="P170:T170"/>
    <mergeCell ref="A471:O472"/>
    <mergeCell ref="K500:K501"/>
    <mergeCell ref="S500:S501"/>
    <mergeCell ref="D474:E474"/>
    <mergeCell ref="P443:T443"/>
    <mergeCell ref="D197:E197"/>
    <mergeCell ref="D253:E253"/>
    <mergeCell ref="D289:E289"/>
    <mergeCell ref="P330:V330"/>
    <mergeCell ref="D351:E351"/>
    <mergeCell ref="A193:O194"/>
    <mergeCell ref="A264:O265"/>
    <mergeCell ref="C499:H499"/>
    <mergeCell ref="P234:T234"/>
    <mergeCell ref="D378:E378"/>
    <mergeCell ref="P236:T236"/>
    <mergeCell ref="P334:T334"/>
    <mergeCell ref="A209:O210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81:T81"/>
    <mergeCell ref="P56:T56"/>
    <mergeCell ref="P252:T252"/>
    <mergeCell ref="P145:T145"/>
    <mergeCell ref="P113:V113"/>
    <mergeCell ref="D53:E53"/>
    <mergeCell ref="D47:E47"/>
    <mergeCell ref="A84:Z84"/>
    <mergeCell ref="W17:W18"/>
    <mergeCell ref="A50:Z50"/>
    <mergeCell ref="P90:V90"/>
    <mergeCell ref="A120:O121"/>
    <mergeCell ref="D129:E129"/>
    <mergeCell ref="P91:V91"/>
    <mergeCell ref="P156:V156"/>
    <mergeCell ref="D144:E144"/>
    <mergeCell ref="R1:T1"/>
    <mergeCell ref="P172:T172"/>
    <mergeCell ref="P28:T28"/>
    <mergeCell ref="P150:T150"/>
    <mergeCell ref="P392:T392"/>
    <mergeCell ref="P326:T326"/>
    <mergeCell ref="D332:E332"/>
    <mergeCell ref="P215:T215"/>
    <mergeCell ref="D307:E307"/>
    <mergeCell ref="A316:O317"/>
    <mergeCell ref="P165:T165"/>
    <mergeCell ref="P30:T30"/>
    <mergeCell ref="D73:E73"/>
    <mergeCell ref="P77:V77"/>
    <mergeCell ref="P375:V375"/>
    <mergeCell ref="A200:Z200"/>
    <mergeCell ref="A374:O375"/>
    <mergeCell ref="P141:V141"/>
    <mergeCell ref="A140:O141"/>
    <mergeCell ref="A258:Z258"/>
    <mergeCell ref="P37:V37"/>
    <mergeCell ref="P104:T104"/>
    <mergeCell ref="V10:W10"/>
    <mergeCell ref="D7:M7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220:T220"/>
    <mergeCell ref="D263:E263"/>
    <mergeCell ref="D312:E312"/>
    <mergeCell ref="P391:T391"/>
    <mergeCell ref="D238:E238"/>
    <mergeCell ref="D426:E426"/>
    <mergeCell ref="P328:T328"/>
    <mergeCell ref="P213:T213"/>
    <mergeCell ref="D205:E205"/>
    <mergeCell ref="P384:T384"/>
    <mergeCell ref="A379:O380"/>
    <mergeCell ref="D363:E363"/>
    <mergeCell ref="D357:E357"/>
    <mergeCell ref="P432:T432"/>
    <mergeCell ref="P400:V400"/>
    <mergeCell ref="P452:T452"/>
    <mergeCell ref="P437:T437"/>
    <mergeCell ref="P144:T144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P394:T394"/>
    <mergeCell ref="D27:E27"/>
    <mergeCell ref="P15:T16"/>
    <mergeCell ref="P23:T23"/>
    <mergeCell ref="D93:E93"/>
    <mergeCell ref="P277:T277"/>
    <mergeCell ref="D220:E220"/>
    <mergeCell ref="D391:E391"/>
    <mergeCell ref="P199:V199"/>
    <mergeCell ref="A195:Z195"/>
    <mergeCell ref="A198:O199"/>
    <mergeCell ref="A12:M12"/>
    <mergeCell ref="P259:T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1:X42 X57 X63 X86 X89 X101 X104 X119 X123 X166 X168 X171 X174 X201:X204 X206:X208 X214:X215 X217 X219:X220 X224:X225 X237 X277 X307:X308 X319:X320 X327 X340:X341 X347:X349 X357 X394 X426 X430 X432 X448:X449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1Y99z9K9hFnK7HTcekNWqcZvqFEXZy9US5jdrEd3ngNmtZNQcRtVZ1stpEU7h4Nh6H8haRNNrti+hl1W1IqU/w==" saltValue="KtuniFmBGqMjgEkHAsfm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2025-12-11T10:56:01Z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