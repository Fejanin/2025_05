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C74FF7D-D653-45AE-BB6C-9C2F1FEAF77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O426" i="1"/>
  <c r="BM426" i="1"/>
  <c r="Y426" i="1"/>
  <c r="P426" i="1"/>
  <c r="BO425" i="1"/>
  <c r="BM425" i="1"/>
  <c r="Y425" i="1"/>
  <c r="P425" i="1"/>
  <c r="X421" i="1"/>
  <c r="X420" i="1"/>
  <c r="BO419" i="1"/>
  <c r="BM419" i="1"/>
  <c r="Y419" i="1"/>
  <c r="P419" i="1"/>
  <c r="X416" i="1"/>
  <c r="X415" i="1"/>
  <c r="BO414" i="1"/>
  <c r="BM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X385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X341" i="1"/>
  <c r="BO340" i="1"/>
  <c r="BM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X265" i="1"/>
  <c r="X264" i="1"/>
  <c r="BO263" i="1"/>
  <c r="BM263" i="1"/>
  <c r="Y263" i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O250" i="1"/>
  <c r="BM250" i="1"/>
  <c r="Y250" i="1"/>
  <c r="BP250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Y184" i="1" s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X162" i="1"/>
  <c r="BO161" i="1"/>
  <c r="BM161" i="1"/>
  <c r="Y161" i="1"/>
  <c r="Y162" i="1" s="1"/>
  <c r="P161" i="1"/>
  <c r="X157" i="1"/>
  <c r="X156" i="1"/>
  <c r="BO155" i="1"/>
  <c r="BM155" i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BP149" i="1" s="1"/>
  <c r="P149" i="1"/>
  <c r="X147" i="1"/>
  <c r="X146" i="1"/>
  <c r="BO145" i="1"/>
  <c r="BM145" i="1"/>
  <c r="Y145" i="1"/>
  <c r="BP145" i="1" s="1"/>
  <c r="P145" i="1"/>
  <c r="BO144" i="1"/>
  <c r="BM144" i="1"/>
  <c r="Y144" i="1"/>
  <c r="Y146" i="1" s="1"/>
  <c r="P144" i="1"/>
  <c r="X141" i="1"/>
  <c r="X140" i="1"/>
  <c r="BO139" i="1"/>
  <c r="BM139" i="1"/>
  <c r="Y139" i="1"/>
  <c r="P139" i="1"/>
  <c r="BO138" i="1"/>
  <c r="BM138" i="1"/>
  <c r="Y138" i="1"/>
  <c r="P138" i="1"/>
  <c r="X136" i="1"/>
  <c r="X135" i="1"/>
  <c r="BO134" i="1"/>
  <c r="BM134" i="1"/>
  <c r="Y134" i="1"/>
  <c r="BP134" i="1" s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O119" i="1"/>
  <c r="BM119" i="1"/>
  <c r="Y119" i="1"/>
  <c r="BP119" i="1" s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O68" i="1"/>
  <c r="BM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5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42" i="1" l="1"/>
  <c r="BN42" i="1"/>
  <c r="BP68" i="1"/>
  <c r="BN68" i="1"/>
  <c r="Z68" i="1"/>
  <c r="BP102" i="1"/>
  <c r="BN102" i="1"/>
  <c r="Z102" i="1"/>
  <c r="BP138" i="1"/>
  <c r="BN138" i="1"/>
  <c r="Z138" i="1"/>
  <c r="BP175" i="1"/>
  <c r="BN175" i="1"/>
  <c r="Z175" i="1"/>
  <c r="BP217" i="1"/>
  <c r="BN217" i="1"/>
  <c r="Z217" i="1"/>
  <c r="BP252" i="1"/>
  <c r="BN252" i="1"/>
  <c r="Z252" i="1"/>
  <c r="BP277" i="1"/>
  <c r="BN277" i="1"/>
  <c r="Z277" i="1"/>
  <c r="BP311" i="1"/>
  <c r="BN311" i="1"/>
  <c r="Z311" i="1"/>
  <c r="BP340" i="1"/>
  <c r="BN340" i="1"/>
  <c r="Z340" i="1"/>
  <c r="BP377" i="1"/>
  <c r="BN377" i="1"/>
  <c r="Z377" i="1"/>
  <c r="BP397" i="1"/>
  <c r="BN397" i="1"/>
  <c r="Z397" i="1"/>
  <c r="BP428" i="1"/>
  <c r="BN428" i="1"/>
  <c r="Z428" i="1"/>
  <c r="BP450" i="1"/>
  <c r="BN450" i="1"/>
  <c r="Z450" i="1"/>
  <c r="Z42" i="1"/>
  <c r="BP101" i="1"/>
  <c r="BN101" i="1"/>
  <c r="Z101" i="1"/>
  <c r="BP117" i="1"/>
  <c r="BN117" i="1"/>
  <c r="Z117" i="1"/>
  <c r="BP170" i="1"/>
  <c r="BN170" i="1"/>
  <c r="Z170" i="1"/>
  <c r="BP205" i="1"/>
  <c r="BN205" i="1"/>
  <c r="Z205" i="1"/>
  <c r="BP234" i="1"/>
  <c r="BN234" i="1"/>
  <c r="Z234" i="1"/>
  <c r="BP263" i="1"/>
  <c r="BN263" i="1"/>
  <c r="Z263" i="1"/>
  <c r="BP297" i="1"/>
  <c r="BN297" i="1"/>
  <c r="Z297" i="1"/>
  <c r="BP327" i="1"/>
  <c r="BN327" i="1"/>
  <c r="Z327" i="1"/>
  <c r="BP350" i="1"/>
  <c r="BN350" i="1"/>
  <c r="Z350" i="1"/>
  <c r="BP389" i="1"/>
  <c r="BN389" i="1"/>
  <c r="Z389" i="1"/>
  <c r="Y421" i="1"/>
  <c r="Y420" i="1"/>
  <c r="BP419" i="1"/>
  <c r="BN419" i="1"/>
  <c r="Z419" i="1"/>
  <c r="Z420" i="1" s="1"/>
  <c r="BP425" i="1"/>
  <c r="BN425" i="1"/>
  <c r="Z425" i="1"/>
  <c r="BP436" i="1"/>
  <c r="BN436" i="1"/>
  <c r="Z436" i="1"/>
  <c r="BP474" i="1"/>
  <c r="BN474" i="1"/>
  <c r="Z474" i="1"/>
  <c r="Y58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Z22" i="1"/>
  <c r="BN22" i="1"/>
  <c r="Y25" i="1"/>
  <c r="Y33" i="1"/>
  <c r="Z30" i="1"/>
  <c r="BN30" i="1"/>
  <c r="C501" i="1"/>
  <c r="Z53" i="1"/>
  <c r="BN53" i="1"/>
  <c r="Z57" i="1"/>
  <c r="BN57" i="1"/>
  <c r="Z62" i="1"/>
  <c r="BN62" i="1"/>
  <c r="Y71" i="1"/>
  <c r="Z74" i="1"/>
  <c r="BN74" i="1"/>
  <c r="Z80" i="1"/>
  <c r="BN80" i="1"/>
  <c r="BP80" i="1"/>
  <c r="Z88" i="1"/>
  <c r="BN88" i="1"/>
  <c r="Z96" i="1"/>
  <c r="BN96" i="1"/>
  <c r="Z104" i="1"/>
  <c r="BN104" i="1"/>
  <c r="Z111" i="1"/>
  <c r="BN111" i="1"/>
  <c r="Z119" i="1"/>
  <c r="BN119" i="1"/>
  <c r="Z134" i="1"/>
  <c r="BN134" i="1"/>
  <c r="Y140" i="1"/>
  <c r="Z145" i="1"/>
  <c r="BN145" i="1"/>
  <c r="Z149" i="1"/>
  <c r="BN149" i="1"/>
  <c r="Y152" i="1"/>
  <c r="Z155" i="1"/>
  <c r="Z156" i="1" s="1"/>
  <c r="BN155" i="1"/>
  <c r="BP155" i="1"/>
  <c r="Y156" i="1"/>
  <c r="Z161" i="1"/>
  <c r="Z162" i="1" s="1"/>
  <c r="BN161" i="1"/>
  <c r="BP161" i="1"/>
  <c r="Z168" i="1"/>
  <c r="BN168" i="1"/>
  <c r="Z172" i="1"/>
  <c r="BN172" i="1"/>
  <c r="Z173" i="1"/>
  <c r="BN173" i="1"/>
  <c r="Z181" i="1"/>
  <c r="BN181" i="1"/>
  <c r="Z203" i="1"/>
  <c r="BN203" i="1"/>
  <c r="Z207" i="1"/>
  <c r="BN207" i="1"/>
  <c r="Z215" i="1"/>
  <c r="BN215" i="1"/>
  <c r="Z219" i="1"/>
  <c r="BN219" i="1"/>
  <c r="Z232" i="1"/>
  <c r="BN232" i="1"/>
  <c r="Z236" i="1"/>
  <c r="BN236" i="1"/>
  <c r="Z242" i="1"/>
  <c r="Z243" i="1" s="1"/>
  <c r="BN242" i="1"/>
  <c r="BP242" i="1"/>
  <c r="Y243" i="1"/>
  <c r="Z246" i="1"/>
  <c r="Z247" i="1" s="1"/>
  <c r="BN246" i="1"/>
  <c r="BP246" i="1"/>
  <c r="Y247" i="1"/>
  <c r="Z250" i="1"/>
  <c r="BN250" i="1"/>
  <c r="Z254" i="1"/>
  <c r="BN254" i="1"/>
  <c r="Z261" i="1"/>
  <c r="BN261" i="1"/>
  <c r="Z268" i="1"/>
  <c r="BN268" i="1"/>
  <c r="BP270" i="1"/>
  <c r="BN270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Y34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Y384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290" i="1"/>
  <c r="Y358" i="1"/>
  <c r="H9" i="1"/>
  <c r="A10" i="1"/>
  <c r="B501" i="1"/>
  <c r="X492" i="1"/>
  <c r="X493" i="1"/>
  <c r="Z23" i="1"/>
  <c r="Z24" i="1" s="1"/>
  <c r="BN23" i="1"/>
  <c r="BP23" i="1"/>
  <c r="Y24" i="1"/>
  <c r="X491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Y64" i="1"/>
  <c r="BP61" i="1"/>
  <c r="BN61" i="1"/>
  <c r="Z61" i="1"/>
  <c r="BP69" i="1"/>
  <c r="BN69" i="1"/>
  <c r="Z69" i="1"/>
  <c r="Y78" i="1"/>
  <c r="BP73" i="1"/>
  <c r="BN73" i="1"/>
  <c r="Z73" i="1"/>
  <c r="Y77" i="1"/>
  <c r="BP81" i="1"/>
  <c r="BN81" i="1"/>
  <c r="Z81" i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53" i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Z334" i="1" s="1"/>
  <c r="Y334" i="1"/>
  <c r="D501" i="1"/>
  <c r="F9" i="1"/>
  <c r="J9" i="1"/>
  <c r="Y45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Z130" i="1" s="1"/>
  <c r="Y131" i="1"/>
  <c r="Y136" i="1"/>
  <c r="BP133" i="1"/>
  <c r="BN133" i="1"/>
  <c r="Z133" i="1"/>
  <c r="Z135" i="1" s="1"/>
  <c r="BP150" i="1"/>
  <c r="BN150" i="1"/>
  <c r="Z150" i="1"/>
  <c r="Z152" i="1" s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Z353" i="1" s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Z239" i="1" s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443" i="1" l="1"/>
  <c r="Z363" i="1"/>
  <c r="Z378" i="1"/>
  <c r="Z321" i="1"/>
  <c r="Z315" i="1"/>
  <c r="Z255" i="1"/>
  <c r="Z475" i="1"/>
  <c r="Z82" i="1"/>
  <c r="Z452" i="1"/>
  <c r="Z398" i="1"/>
  <c r="Z272" i="1"/>
  <c r="Y492" i="1"/>
  <c r="Y494" i="1" s="1"/>
  <c r="Y491" i="1"/>
  <c r="Z437" i="1"/>
  <c r="Z279" i="1"/>
  <c r="Z209" i="1"/>
  <c r="Z403" i="1"/>
  <c r="Z264" i="1"/>
  <c r="Z120" i="1"/>
  <c r="Z113" i="1"/>
  <c r="Y493" i="1"/>
  <c r="Z415" i="1"/>
  <c r="Z328" i="1"/>
  <c r="Z64" i="1"/>
  <c r="X494" i="1"/>
  <c r="Z308" i="1"/>
  <c r="Z299" i="1"/>
  <c r="Z221" i="1"/>
  <c r="Z465" i="1"/>
  <c r="Z177" i="1"/>
  <c r="Z106" i="1"/>
  <c r="Z97" i="1"/>
  <c r="Z90" i="1"/>
  <c r="Z77" i="1"/>
  <c r="Z58" i="1"/>
  <c r="Z44" i="1"/>
  <c r="Z32" i="1"/>
  <c r="Y495" i="1"/>
  <c r="Z496" i="1" l="1"/>
</calcChain>
</file>

<file path=xl/sharedStrings.xml><?xml version="1.0" encoding="utf-8"?>
<sst xmlns="http://schemas.openxmlformats.org/spreadsheetml/2006/main" count="2166" uniqueCount="775">
  <si>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</si>
  <si>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</si>
  <si>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</si>
  <si>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</si>
  <si>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</si>
  <si>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</si>
  <si>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</si>
  <si>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</si>
  <si>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</si>
  <si>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</si>
  <si>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</si>
  <si>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</si>
  <si>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</si>
  <si>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</si>
  <si>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</si>
  <si>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</si>
  <si>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</si>
  <si>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</si>
  <si>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</si>
  <si>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</si>
  <si>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</si>
  <si>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</si>
  <si>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</si>
  <si>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</si>
  <si>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</si>
  <si>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</si>
  <si>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</si>
  <si>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</si>
  <si>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</si>
  <si>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</si>
  <si>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</si>
  <si>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</si>
  <si>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</si>
  <si>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</si>
  <si>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</si>
  <si>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</si>
  <si>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</si>
  <si>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</si>
  <si>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</si>
  <si>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</si>
  <si>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</si>
  <si>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</si>
  <si>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</si>
  <si>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</si>
  <si>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</si>
  <si>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</si>
  <si>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</si>
  <si>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</si>
  <si>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</si>
  <si>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</si>
  <si>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</si>
  <si>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</si>
  <si>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</si>
  <si>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</si>
  <si>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</si>
  <si>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</si>
  <si>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</si>
  <si>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</si>
  <si>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</si>
  <si>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</si>
  <si>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</si>
  <si>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</si>
  <si>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</si>
  <si>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</si>
  <si>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</si>
  <si>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</si>
  <si>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</si>
  <si>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</si>
  <si>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</si>
  <si>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</si>
  <si>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</si>
  <si>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</si>
  <si>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</si>
  <si>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</si>
  <si>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</si>
  <si>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</si>
  <si>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</si>
  <si>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</si>
  <si>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</si>
  <si>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</si>
  <si>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</si>
  <si>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</si>
  <si>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</si>
  <si>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</si>
  <si>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</si>
  <si>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</si>
  <si>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</si>
  <si>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</si>
  <si>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</si>
  <si>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</si>
  <si>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</si>
  <si>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</si>
  <si>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</si>
  <si>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</si>
  <si>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</si>
  <si>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</si>
  <si>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</si>
  <si>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</si>
  <si>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</si>
  <si>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</si>
  <si>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</si>
  <si>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</si>
  <si>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</si>
  <si>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</si>
  <si>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</si>
  <si>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</si>
  <si>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</si>
  <si>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</si>
  <si>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</si>
  <si>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</si>
  <si>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</si>
  <si>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</si>
  <si>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</si>
  <si>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</si>
  <si>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</si>
  <si>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</si>
  <si>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</si>
  <si>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</si>
  <si>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</si>
  <si>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</si>
  <si>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</si>
  <si>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</si>
  <si>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</si>
  <si>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</si>
  <si>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</si>
  <si>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</si>
  <si>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</si>
  <si>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</si>
  <si>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</si>
  <si>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</si>
  <si>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</si>
  <si>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</si>
  <si>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</si>
  <si>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</si>
  <si>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</si>
  <si>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</si>
  <si>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</si>
  <si>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</si>
  <si>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</si>
  <si>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</si>
  <si>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</si>
  <si>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</si>
  <si>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</si>
  <si>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</si>
  <si>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</si>
  <si>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</si>
  <si>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</si>
  <si>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</si>
  <si>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</si>
  <si>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</si>
  <si>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</si>
  <si>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</si>
  <si>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</si>
  <si>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</si>
  <si>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</si>
  <si>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</si>
  <si>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</si>
  <si>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</si>
  <si>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</si>
  <si>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</si>
  <si>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</si>
  <si>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</si>
  <si>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</si>
  <si>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</si>
  <si>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</si>
  <si>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</si>
  <si>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</si>
  <si>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</si>
  <si>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</si>
  <si>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</si>
  <si>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</si>
  <si>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</si>
  <si>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</si>
  <si>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</si>
  <si>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</si>
  <si>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</si>
  <si>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</si>
  <si>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</si>
  <si>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</si>
  <si>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</si>
  <si>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</si>
  <si>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</si>
  <si>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</si>
  <si>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</si>
  <si>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</si>
  <si>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</si>
  <si>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</si>
  <si>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</si>
  <si>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</si>
  <si>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</si>
  <si>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</si>
  <si>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</si>
  <si>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</si>
  <si>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</si>
  <si>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</si>
  <si>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</si>
  <si>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</si>
  <si>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</si>
  <si>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</si>
  <si>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</si>
  <si>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</si>
  <si>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</si>
  <si>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</si>
  <si>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</si>
  <si>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</si>
  <si>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</si>
  <si>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</si>
  <si>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</si>
  <si>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</si>
  <si>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</si>
  <si>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</si>
  <si>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</si>
  <si>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</si>
  <si>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</si>
  <si>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</si>
  <si>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</si>
  <si>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</si>
  <si>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</si>
  <si>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</si>
  <si>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</si>
  <si>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</si>
  <si>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</si>
  <si>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</si>
  <si>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</si>
  <si>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</si>
  <si>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</si>
  <si>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</si>
  <si>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</si>
  <si>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</si>
  <si>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</si>
  <si>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</si>
  <si>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</si>
  <si>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</si>
  <si>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</si>
  <si>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</si>
  <si>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</si>
  <si>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</si>
  <si>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</si>
  <si>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</si>
  <si>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</si>
  <si>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</si>
  <si>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</si>
  <si>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</si>
  <si>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</si>
  <si>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</si>
  <si>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</si>
  <si>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</si>
  <si>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</si>
  <si>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</si>
  <si>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</si>
  <si>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</si>
  <si>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</si>
  <si>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</si>
  <si>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</si>
  <si>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</si>
  <si>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</si>
  <si>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</si>
  <si>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</si>
  <si>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</si>
  <si>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</si>
  <si>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</si>
  <si>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</si>
  <si>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</si>
  <si>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</si>
  <si>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</si>
  <si>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</si>
  <si>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</si>
  <si>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</si>
  <si>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</si>
  <si>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</si>
  <si>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</si>
  <si>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</si>
  <si>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</si>
  <si>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</si>
  <si>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</si>
  <si>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</si>
  <si>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</si>
  <si>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</si>
  <si>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</si>
  <si>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</si>
  <si>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</si>
  <si>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</si>
  <si>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</si>
  <si>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</si>
  <si>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</si>
  <si>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</si>
  <si>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</si>
  <si>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</si>
  <si>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</si>
  <si>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</si>
  <si>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</si>
  <si>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</si>
  <si>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</si>
  <si>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</si>
  <si>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</si>
  <si>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</si>
  <si>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</si>
  <si>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</si>
  <si>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</si>
  <si>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</si>
  <si>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</si>
  <si>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</si>
  <si>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</si>
  <si>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</si>
  <si>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</si>
  <si>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</si>
  <si>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</si>
  <si>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</si>
  <si>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</si>
  <si>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</si>
  <si>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</si>
  <si>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</si>
  <si>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</si>
  <si>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</si>
  <si>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</si>
  <si>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</si>
  <si>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</si>
  <si>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</si>
  <si>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</si>
  <si>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</si>
  <si>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</si>
  <si>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</si>
  <si>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</si>
  <si>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</si>
  <si>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</si>
  <si>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</si>
  <si>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</si>
  <si>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</si>
  <si>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</si>
  <si>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</si>
  <si>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</si>
  <si>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</si>
  <si>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</si>
  <si>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</si>
  <si>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</si>
  <si>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</si>
  <si>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</si>
  <si>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</si>
  <si>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</si>
  <si>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</si>
  <si>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</si>
  <si>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</si>
  <si>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</si>
  <si>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</si>
  <si>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</si>
  <si>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</si>
  <si>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</si>
  <si>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</si>
  <si>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</si>
  <si>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</si>
  <si>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</si>
  <si>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</si>
  <si>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</si>
  <si>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</si>
  <si>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</si>
  <si>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</si>
  <si>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</si>
  <si>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</si>
  <si>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</si>
  <si>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</si>
  <si>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</si>
  <si>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</si>
  <si>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</si>
  <si>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</si>
  <si>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</si>
  <si>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</si>
  <si>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</si>
  <si>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</si>
  <si>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</si>
  <si>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</si>
  <si>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</si>
  <si>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</si>
  <si>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</si>
  <si>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</si>
  <si>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</si>
  <si>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</si>
  <si>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</si>
  <si>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</si>
  <si>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</si>
  <si>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</si>
  <si>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</si>
  <si>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</si>
  <si>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</si>
  <si>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</si>
  <si>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</si>
  <si>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</si>
  <si>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</si>
  <si>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</si>
  <si>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</si>
  <si>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</si>
  <si>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</si>
  <si>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</si>
  <si>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</si>
  <si>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</si>
  <si>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</si>
  <si>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</si>
  <si>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</si>
  <si>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</si>
  <si>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</si>
  <si>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</si>
  <si>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</si>
  <si>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</si>
  <si>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</si>
  <si>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</si>
  <si>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</si>
  <si>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</si>
  <si>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</si>
  <si>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</si>
  <si>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</si>
  <si>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</si>
  <si>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</si>
  <si>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</si>
  <si>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</si>
  <si>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</si>
  <si>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</si>
  <si>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</si>
  <si>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</si>
  <si>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</si>
  <si>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</si>
  <si>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</si>
  <si>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</si>
  <si>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</si>
  <si>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</si>
  <si>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</si>
  <si>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</si>
  <si>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</si>
  <si>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</si>
  <si>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</si>
  <si>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</si>
  <si>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</si>
  <si>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</si>
  <si>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</si>
  <si>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</si>
  <si>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</si>
  <si>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</si>
  <si>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</si>
  <si>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</si>
  <si>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</si>
  <si>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</si>
  <si>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</si>
  <si>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</si>
  <si>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</si>
  <si>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</si>
  <si>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</si>
  <si>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</si>
  <si>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</si>
  <si>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</si>
  <si>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</si>
  <si>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</si>
  <si>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</si>
  <si>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</si>
  <si>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</si>
  <si>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</si>
  <si>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</si>
  <si>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</si>
  <si>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</si>
  <si>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</si>
  <si>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</si>
  <si>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</si>
  <si>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</si>
  <si>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</si>
  <si>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</si>
  <si>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</si>
  <si>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</si>
  <si>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</si>
  <si>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</si>
  <si>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</si>
  <si>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</si>
  <si>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</si>
  <si>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</si>
  <si>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</si>
  <si>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</si>
  <si>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</si>
  <si>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</si>
  <si>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</si>
  <si>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</si>
  <si>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</si>
  <si>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</si>
  <si>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</si>
  <si>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</si>
  <si>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</si>
  <si>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</si>
  <si>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</si>
  <si>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</si>
  <si>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</si>
  <si>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</si>
  <si>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</si>
  <si>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</si>
  <si>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</si>
  <si>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</si>
  <si>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</si>
  <si>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</si>
  <si>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</si>
  <si>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</si>
  <si>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</si>
  <si>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</si>
  <si>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</si>
  <si>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</si>
  <si>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</si>
  <si>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</si>
  <si>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</si>
  <si>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</si>
  <si>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</si>
  <si>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</si>
  <si>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</si>
  <si>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</si>
  <si>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</si>
  <si>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</si>
  <si>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</si>
  <si>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</si>
  <si>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</si>
  <si>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</si>
  <si>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</si>
  <si>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</si>
  <si>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</si>
  <si>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</si>
  <si>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</si>
  <si>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</si>
  <si>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</si>
  <si>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</si>
  <si>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</si>
  <si>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</si>
  <si>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</si>
  <si>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</si>
  <si>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</si>
  <si>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</si>
  <si>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</si>
  <si>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</si>
  <si>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</si>
  <si>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</si>
  <si>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</si>
  <si>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</si>
  <si>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</si>
  <si>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</si>
  <si>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</si>
  <si>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</si>
  <si>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</si>
  <si>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</si>
  <si>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</si>
  <si>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</si>
  <si>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</si>
  <si>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</si>
  <si>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</si>
  <si>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</si>
  <si>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</si>
  <si>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</si>
  <si>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</si>
  <si>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</si>
  <si>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</si>
  <si>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</si>
  <si>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</si>
  <si>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</si>
  <si>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</si>
  <si>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</si>
  <si>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</si>
  <si>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</si>
  <si>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</si>
  <si>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</si>
  <si>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</si>
  <si>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</si>
  <si>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</si>
  <si>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</si>
  <si>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</si>
  <si>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</si>
  <si>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</si>
  <si>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</si>
  <si>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</si>
  <si>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</si>
  <si>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</si>
  <si>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</si>
  <si>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</si>
  <si>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</si>
  <si>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</si>
  <si>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</si>
  <si>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</si>
  <si>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</si>
  <si>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</si>
  <si>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</si>
  <si>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</si>
  <si>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</si>
  <si>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</si>
  <si>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</si>
  <si>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</si>
  <si>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</si>
  <si>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</si>
  <si>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</si>
  <si>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</si>
  <si>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</si>
  <si>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</si>
  <si>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</si>
  <si>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</si>
  <si>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</si>
  <si>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</si>
  <si>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</si>
  <si>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</si>
  <si>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</si>
  <si>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</si>
  <si>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</si>
  <si>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</si>
  <si>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</si>
  <si>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</si>
  <si>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</si>
  <si>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</si>
  <si>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</si>
  <si>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</si>
  <si>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</si>
  <si>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</si>
  <si>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</si>
  <si>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</si>
  <si>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</si>
  <si>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</si>
  <si>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</si>
  <si>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</si>
  <si>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</si>
  <si>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</si>
  <si>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</si>
  <si>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</si>
  <si>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</si>
  <si>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</si>
  <si>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</si>
  <si>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</si>
  <si>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</si>
  <si>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</si>
  <si>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</si>
  <si>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</si>
  <si>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</si>
  <si>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</si>
  <si>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</si>
  <si>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</si>
  <si>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</si>
  <si>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</si>
  <si>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</si>
  <si>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</si>
  <si>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</si>
  <si>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</si>
  <si>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</si>
  <si>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</si>
  <si>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</si>
  <si>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</si>
  <si>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</si>
  <si>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</si>
  <si>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</si>
  <si>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</si>
  <si>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</si>
  <si>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</si>
  <si>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</si>
  <si>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</si>
  <si>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</si>
  <si>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</si>
  <si>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</si>
  <si>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</si>
  <si>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</si>
  <si>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</si>
  <si>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</si>
  <si>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</si>
  <si>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</si>
  <si>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</si>
  <si>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</si>
  <si>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</si>
  <si>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</si>
  <si>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</si>
  <si>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</si>
  <si>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</si>
  <si>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</si>
  <si>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</si>
  <si>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</si>
  <si>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</si>
  <si>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</si>
  <si>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</si>
  <si>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</si>
  <si>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</si>
  <si>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</si>
  <si>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</si>
  <si>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</si>
  <si>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</si>
  <si>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</si>
  <si>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</si>
  <si>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</si>
  <si>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</si>
  <si>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</si>
  <si>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</si>
  <si>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</si>
  <si>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</si>
  <si>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</si>
  <si>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</si>
  <si>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</si>
  <si>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</si>
  <si>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</si>
  <si>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</si>
  <si>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</si>
  <si>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</si>
  <si>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</si>
  <si>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</si>
  <si>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</si>
  <si>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</si>
  <si>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</si>
  <si>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</si>
  <si>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</si>
  <si>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</si>
  <si>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</si>
  <si>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</si>
  <si>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</si>
  <si>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</si>
  <si>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</si>
  <si>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</si>
  <si>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</si>
  <si>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</si>
  <si>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</si>
  <si>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</si>
  <si>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</si>
  <si>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</si>
  <si>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</si>
  <si>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</si>
  <si>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</si>
  <si>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</si>
  <si>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</si>
  <si>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</si>
  <si>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</si>
  <si>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</si>
  <si>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</si>
  <si>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</si>
  <si>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</si>
  <si>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</si>
  <si>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</si>
  <si>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</si>
  <si>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</si>
  <si>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</si>
  <si>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</si>
  <si>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</si>
  <si>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</si>
  <si>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</si>
  <si>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</si>
  <si>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</si>
  <si>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</si>
  <si>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</si>
  <si>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</si>
  <si>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</si>
  <si>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</si>
  <si>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</si>
  <si>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</si>
  <si>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</si>
  <si>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</si>
  <si>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</si>
  <si>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</si>
  <si>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</si>
  <si>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</si>
  <si>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</si>
  <si>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</si>
  <si>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</si>
  <si>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</si>
  <si>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</si>
  <si>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</si>
  <si>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</si>
  <si>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</si>
  <si>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</si>
  <si>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</si>
  <si>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</si>
  <si>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</si>
  <si>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</si>
  <si>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</si>
  <si>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</si>
  <si>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</si>
  <si>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</si>
  <si>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</si>
  <si>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</si>
  <si>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</si>
  <si>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</si>
  <si>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</si>
  <si>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</si>
  <si>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</si>
  <si>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</si>
  <si>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</si>
  <si>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</si>
  <si>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</si>
  <si>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Пуд,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</si>
</sst>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0" fontId="35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5" fillId="0" borderId="0" xfId="0" applyFont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4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72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3" sqref="AA43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804" t="s">
        <v>0</v>
      </c>
      <c r="E1" s="570"/>
      <c r="F1" s="570"/>
      <c r="G1" s="12" t="s">
        <v>1</v>
      </c>
      <c r="H1" s="804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853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0"/>
      <c r="R2" s="550"/>
      <c r="S2" s="550"/>
      <c r="T2" s="550"/>
      <c r="U2" s="550"/>
      <c r="V2" s="550"/>
      <c r="W2" s="550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0"/>
      <c r="Q3" s="550"/>
      <c r="R3" s="550"/>
      <c r="S3" s="550"/>
      <c r="T3" s="550"/>
      <c r="U3" s="550"/>
      <c r="V3" s="550"/>
      <c r="W3" s="550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767" t="s">
        <v>8</v>
      </c>
      <c r="B5" s="647"/>
      <c r="C5" s="619"/>
      <c r="D5" s="653"/>
      <c r="E5" s="655"/>
      <c r="F5" s="618" t="s">
        <v>9</v>
      </c>
      <c r="G5" s="619"/>
      <c r="H5" s="653" t="s">
        <v>774</v>
      </c>
      <c r="I5" s="654"/>
      <c r="J5" s="654"/>
      <c r="K5" s="654"/>
      <c r="L5" s="654"/>
      <c r="M5" s="655"/>
      <c r="N5" s="58"/>
      <c r="P5" s="24" t="s">
        <v>10</v>
      </c>
      <c r="Q5" s="577">
        <v>46003</v>
      </c>
      <c r="R5" s="578"/>
      <c r="T5" s="741" t="s">
        <v>11</v>
      </c>
      <c r="U5" s="581"/>
      <c r="V5" s="743" t="s">
        <v>12</v>
      </c>
      <c r="W5" s="578"/>
      <c r="AB5" s="51"/>
      <c r="AC5" s="51"/>
      <c r="AD5" s="51"/>
      <c r="AE5" s="51"/>
    </row>
    <row r="6" spans="1:32" s="539" customFormat="1" ht="24" customHeight="1" x14ac:dyDescent="0.2">
      <c r="A6" s="767" t="s">
        <v>13</v>
      </c>
      <c r="B6" s="647"/>
      <c r="C6" s="619"/>
      <c r="D6" s="658" t="s">
        <v>14</v>
      </c>
      <c r="E6" s="659"/>
      <c r="F6" s="659"/>
      <c r="G6" s="659"/>
      <c r="H6" s="659"/>
      <c r="I6" s="659"/>
      <c r="J6" s="659"/>
      <c r="K6" s="659"/>
      <c r="L6" s="659"/>
      <c r="M6" s="578"/>
      <c r="N6" s="59"/>
      <c r="P6" s="24" t="s">
        <v>15</v>
      </c>
      <c r="Q6" s="588" t="str">
        <f>IF(Q5=0," ",CHOOSE(WEEKDAY(Q5,2),"Понедельник","Вторник","Среда","Четверг","Пятница","Суббота","Воскресенье"))</f>
        <v>Пятница</v>
      </c>
      <c r="R6" s="559"/>
      <c r="T6" s="732" t="s">
        <v>16</v>
      </c>
      <c r="U6" s="581"/>
      <c r="V6" s="706" t="s">
        <v>17</v>
      </c>
      <c r="W6" s="70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835" t="str">
        <f>IFERROR(VLOOKUP(DeliveryAddress,Table,3,0),1)</f>
        <v>1</v>
      </c>
      <c r="E7" s="836"/>
      <c r="F7" s="836"/>
      <c r="G7" s="836"/>
      <c r="H7" s="836"/>
      <c r="I7" s="836"/>
      <c r="J7" s="836"/>
      <c r="K7" s="836"/>
      <c r="L7" s="836"/>
      <c r="M7" s="748"/>
      <c r="N7" s="60"/>
      <c r="P7" s="24"/>
      <c r="Q7" s="42"/>
      <c r="R7" s="42"/>
      <c r="T7" s="550"/>
      <c r="U7" s="581"/>
      <c r="V7" s="708"/>
      <c r="W7" s="709"/>
      <c r="AB7" s="51"/>
      <c r="AC7" s="51"/>
      <c r="AD7" s="51"/>
      <c r="AE7" s="51"/>
    </row>
    <row r="8" spans="1:32" s="539" customFormat="1" ht="25.5" customHeight="1" x14ac:dyDescent="0.2">
      <c r="A8" s="738" t="s">
        <v>18</v>
      </c>
      <c r="B8" s="555"/>
      <c r="C8" s="556"/>
      <c r="D8" s="843" t="s">
        <v>19</v>
      </c>
      <c r="E8" s="844"/>
      <c r="F8" s="844"/>
      <c r="G8" s="844"/>
      <c r="H8" s="844"/>
      <c r="I8" s="844"/>
      <c r="J8" s="844"/>
      <c r="K8" s="844"/>
      <c r="L8" s="844"/>
      <c r="M8" s="845"/>
      <c r="N8" s="61"/>
      <c r="P8" s="24" t="s">
        <v>20</v>
      </c>
      <c r="Q8" s="747">
        <v>0.375</v>
      </c>
      <c r="R8" s="748"/>
      <c r="T8" s="550"/>
      <c r="U8" s="581"/>
      <c r="V8" s="708"/>
      <c r="W8" s="709"/>
      <c r="AB8" s="51"/>
      <c r="AC8" s="51"/>
      <c r="AD8" s="51"/>
      <c r="AE8" s="51"/>
    </row>
    <row r="9" spans="1:32" s="539" customFormat="1" ht="39.950000000000003" customHeight="1" x14ac:dyDescent="0.2">
      <c r="A9" s="5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0"/>
      <c r="C9" s="550"/>
      <c r="D9" s="613"/>
      <c r="E9" s="614"/>
      <c r="F9" s="5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0"/>
      <c r="H9" s="704" t="str">
        <f>IF(AND($A$9="Тип доверенности/получателя при получении в адресе перегруза:",$D$9="Разовая доверенность"),"Введите ФИО","")</f>
        <v/>
      </c>
      <c r="I9" s="614"/>
      <c r="J9" s="7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4"/>
      <c r="L9" s="614"/>
      <c r="M9" s="614"/>
      <c r="N9" s="537"/>
      <c r="P9" s="26" t="s">
        <v>21</v>
      </c>
      <c r="Q9" s="785"/>
      <c r="R9" s="621"/>
      <c r="T9" s="550"/>
      <c r="U9" s="581"/>
      <c r="V9" s="710"/>
      <c r="W9" s="711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5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0"/>
      <c r="C10" s="550"/>
      <c r="D10" s="613"/>
      <c r="E10" s="614"/>
      <c r="F10" s="5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0"/>
      <c r="H10" s="676" t="str">
        <f>IFERROR(VLOOKUP($D$10,Proxy,2,FALSE),"")</f>
        <v/>
      </c>
      <c r="I10" s="550"/>
      <c r="J10" s="550"/>
      <c r="K10" s="550"/>
      <c r="L10" s="550"/>
      <c r="M10" s="550"/>
      <c r="N10" s="538"/>
      <c r="P10" s="26" t="s">
        <v>22</v>
      </c>
      <c r="Q10" s="733"/>
      <c r="R10" s="734"/>
      <c r="U10" s="24" t="s">
        <v>23</v>
      </c>
      <c r="V10" s="863" t="s">
        <v>24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9"/>
      <c r="R11" s="578"/>
      <c r="U11" s="24" t="s">
        <v>27</v>
      </c>
      <c r="V11" s="620" t="s">
        <v>28</v>
      </c>
      <c r="W11" s="621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19"/>
      <c r="N12" s="62"/>
      <c r="P12" s="24" t="s">
        <v>30</v>
      </c>
      <c r="Q12" s="747"/>
      <c r="R12" s="748"/>
      <c r="S12" s="23"/>
      <c r="U12" s="24"/>
      <c r="V12" s="570"/>
      <c r="W12" s="550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19"/>
      <c r="N13" s="62"/>
      <c r="O13" s="26"/>
      <c r="P13" s="26" t="s">
        <v>32</v>
      </c>
      <c r="Q13" s="620"/>
      <c r="R13" s="62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1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65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19"/>
      <c r="N15" s="63"/>
      <c r="P15" s="756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7"/>
      <c r="Q16" s="757"/>
      <c r="R16" s="757"/>
      <c r="S16" s="757"/>
      <c r="T16" s="7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1" t="s">
        <v>36</v>
      </c>
      <c r="B17" s="561" t="s">
        <v>37</v>
      </c>
      <c r="C17" s="772" t="s">
        <v>38</v>
      </c>
      <c r="D17" s="561" t="s">
        <v>39</v>
      </c>
      <c r="E17" s="562"/>
      <c r="F17" s="561" t="s">
        <v>40</v>
      </c>
      <c r="G17" s="561" t="s">
        <v>41</v>
      </c>
      <c r="H17" s="561" t="s">
        <v>42</v>
      </c>
      <c r="I17" s="561" t="s">
        <v>43</v>
      </c>
      <c r="J17" s="561" t="s">
        <v>44</v>
      </c>
      <c r="K17" s="561" t="s">
        <v>45</v>
      </c>
      <c r="L17" s="561" t="s">
        <v>46</v>
      </c>
      <c r="M17" s="561" t="s">
        <v>47</v>
      </c>
      <c r="N17" s="561" t="s">
        <v>48</v>
      </c>
      <c r="O17" s="561" t="s">
        <v>49</v>
      </c>
      <c r="P17" s="561" t="s">
        <v>50</v>
      </c>
      <c r="Q17" s="809"/>
      <c r="R17" s="809"/>
      <c r="S17" s="809"/>
      <c r="T17" s="562"/>
      <c r="U17" s="717" t="s">
        <v>51</v>
      </c>
      <c r="V17" s="619"/>
      <c r="W17" s="561" t="s">
        <v>52</v>
      </c>
      <c r="X17" s="561" t="s">
        <v>53</v>
      </c>
      <c r="Y17" s="715" t="s">
        <v>54</v>
      </c>
      <c r="Z17" s="681" t="s">
        <v>55</v>
      </c>
      <c r="AA17" s="595" t="s">
        <v>56</v>
      </c>
      <c r="AB17" s="595" t="s">
        <v>57</v>
      </c>
      <c r="AC17" s="595" t="s">
        <v>58</v>
      </c>
      <c r="AD17" s="595" t="s">
        <v>59</v>
      </c>
      <c r="AE17" s="596"/>
      <c r="AF17" s="597"/>
      <c r="AG17" s="66"/>
      <c r="BD17" s="65" t="s">
        <v>60</v>
      </c>
    </row>
    <row r="18" spans="1:68" ht="14.25" customHeight="1" x14ac:dyDescent="0.2">
      <c r="A18" s="568"/>
      <c r="B18" s="568"/>
      <c r="C18" s="568"/>
      <c r="D18" s="563"/>
      <c r="E18" s="564"/>
      <c r="F18" s="568"/>
      <c r="G18" s="568"/>
      <c r="H18" s="568"/>
      <c r="I18" s="568"/>
      <c r="J18" s="568"/>
      <c r="K18" s="568"/>
      <c r="L18" s="568"/>
      <c r="M18" s="568"/>
      <c r="N18" s="568"/>
      <c r="O18" s="568"/>
      <c r="P18" s="563"/>
      <c r="Q18" s="810"/>
      <c r="R18" s="810"/>
      <c r="S18" s="810"/>
      <c r="T18" s="564"/>
      <c r="U18" s="67" t="s">
        <v>61</v>
      </c>
      <c r="V18" s="67" t="s">
        <v>62</v>
      </c>
      <c r="W18" s="568"/>
      <c r="X18" s="568"/>
      <c r="Y18" s="716"/>
      <c r="Z18" s="682"/>
      <c r="AA18" s="675"/>
      <c r="AB18" s="675"/>
      <c r="AC18" s="675"/>
      <c r="AD18" s="598"/>
      <c r="AE18" s="599"/>
      <c r="AF18" s="600"/>
      <c r="AG18" s="66"/>
      <c r="BD18" s="65"/>
    </row>
    <row r="19" spans="1:68" ht="27.75" hidden="1" customHeight="1" x14ac:dyDescent="0.2">
      <c r="A19" s="688" t="s">
        <v>63</v>
      </c>
      <c r="B19" s="689"/>
      <c r="C19" s="689"/>
      <c r="D19" s="689"/>
      <c r="E19" s="689"/>
      <c r="F19" s="689"/>
      <c r="G19" s="689"/>
      <c r="H19" s="689"/>
      <c r="I19" s="689"/>
      <c r="J19" s="689"/>
      <c r="K19" s="689"/>
      <c r="L19" s="689"/>
      <c r="M19" s="689"/>
      <c r="N19" s="689"/>
      <c r="O19" s="689"/>
      <c r="P19" s="689"/>
      <c r="Q19" s="689"/>
      <c r="R19" s="689"/>
      <c r="S19" s="689"/>
      <c r="T19" s="689"/>
      <c r="U19" s="689"/>
      <c r="V19" s="689"/>
      <c r="W19" s="689"/>
      <c r="X19" s="689"/>
      <c r="Y19" s="689"/>
      <c r="Z19" s="689"/>
      <c r="AA19" s="48"/>
      <c r="AB19" s="48"/>
      <c r="AC19" s="48"/>
    </row>
    <row r="20" spans="1:68" ht="16.5" hidden="1" customHeight="1" x14ac:dyDescent="0.25">
      <c r="A20" s="569" t="s">
        <v>63</v>
      </c>
      <c r="B20" s="550"/>
      <c r="C20" s="550"/>
      <c r="D20" s="550"/>
      <c r="E20" s="550"/>
      <c r="F20" s="550"/>
      <c r="G20" s="550"/>
      <c r="H20" s="550"/>
      <c r="I20" s="550"/>
      <c r="J20" s="550"/>
      <c r="K20" s="550"/>
      <c r="L20" s="550"/>
      <c r="M20" s="550"/>
      <c r="N20" s="550"/>
      <c r="O20" s="550"/>
      <c r="P20" s="550"/>
      <c r="Q20" s="550"/>
      <c r="R20" s="550"/>
      <c r="S20" s="550"/>
      <c r="T20" s="550"/>
      <c r="U20" s="550"/>
      <c r="V20" s="550"/>
      <c r="W20" s="550"/>
      <c r="X20" s="550"/>
      <c r="Y20" s="550"/>
      <c r="Z20" s="550"/>
      <c r="AA20" s="540"/>
      <c r="AB20" s="540"/>
      <c r="AC20" s="540"/>
    </row>
    <row r="21" spans="1:68" ht="14.25" hidden="1" customHeight="1" x14ac:dyDescent="0.25">
      <c r="A21" s="557" t="s">
        <v>64</v>
      </c>
      <c r="B21" s="550"/>
      <c r="C21" s="550"/>
      <c r="D21" s="550"/>
      <c r="E21" s="550"/>
      <c r="F21" s="550"/>
      <c r="G21" s="550"/>
      <c r="H21" s="550"/>
      <c r="I21" s="550"/>
      <c r="J21" s="550"/>
      <c r="K21" s="550"/>
      <c r="L21" s="550"/>
      <c r="M21" s="550"/>
      <c r="N21" s="550"/>
      <c r="O21" s="550"/>
      <c r="P21" s="550"/>
      <c r="Q21" s="550"/>
      <c r="R21" s="550"/>
      <c r="S21" s="550"/>
      <c r="T21" s="550"/>
      <c r="U21" s="550"/>
      <c r="V21" s="550"/>
      <c r="W21" s="550"/>
      <c r="X21" s="550"/>
      <c r="Y21" s="550"/>
      <c r="Z21" s="550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6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6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2"/>
      <c r="B24" s="550"/>
      <c r="C24" s="550"/>
      <c r="D24" s="550"/>
      <c r="E24" s="550"/>
      <c r="F24" s="550"/>
      <c r="G24" s="550"/>
      <c r="H24" s="550"/>
      <c r="I24" s="550"/>
      <c r="J24" s="550"/>
      <c r="K24" s="550"/>
      <c r="L24" s="550"/>
      <c r="M24" s="550"/>
      <c r="N24" s="550"/>
      <c r="O24" s="573"/>
      <c r="P24" s="554" t="s">
        <v>75</v>
      </c>
      <c r="Q24" s="555"/>
      <c r="R24" s="555"/>
      <c r="S24" s="555"/>
      <c r="T24" s="555"/>
      <c r="U24" s="555"/>
      <c r="V24" s="556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0"/>
      <c r="B25" s="550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550"/>
      <c r="N25" s="550"/>
      <c r="O25" s="573"/>
      <c r="P25" s="554" t="s">
        <v>75</v>
      </c>
      <c r="Q25" s="555"/>
      <c r="R25" s="555"/>
      <c r="S25" s="555"/>
      <c r="T25" s="555"/>
      <c r="U25" s="555"/>
      <c r="V25" s="556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7" t="s">
        <v>77</v>
      </c>
      <c r="B26" s="550"/>
      <c r="C26" s="550"/>
      <c r="D26" s="550"/>
      <c r="E26" s="550"/>
      <c r="F26" s="550"/>
      <c r="G26" s="550"/>
      <c r="H26" s="550"/>
      <c r="I26" s="550"/>
      <c r="J26" s="550"/>
      <c r="K26" s="550"/>
      <c r="L26" s="550"/>
      <c r="M26" s="550"/>
      <c r="N26" s="550"/>
      <c r="O26" s="550"/>
      <c r="P26" s="550"/>
      <c r="Q26" s="550"/>
      <c r="R26" s="550"/>
      <c r="S26" s="550"/>
      <c r="T26" s="550"/>
      <c r="U26" s="550"/>
      <c r="V26" s="550"/>
      <c r="W26" s="550"/>
      <c r="X26" s="550"/>
      <c r="Y26" s="550"/>
      <c r="Z26" s="550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68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8">
        <v>4680115887350</v>
      </c>
      <c r="E29" s="559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84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8">
        <v>4680115885905</v>
      </c>
      <c r="E30" s="559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86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8">
        <v>4607091388244</v>
      </c>
      <c r="E31" s="559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84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2"/>
      <c r="B32" s="550"/>
      <c r="C32" s="550"/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  <c r="O32" s="573"/>
      <c r="P32" s="554" t="s">
        <v>75</v>
      </c>
      <c r="Q32" s="555"/>
      <c r="R32" s="555"/>
      <c r="S32" s="555"/>
      <c r="T32" s="555"/>
      <c r="U32" s="555"/>
      <c r="V32" s="556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0"/>
      <c r="B33" s="550"/>
      <c r="C33" s="550"/>
      <c r="D33" s="550"/>
      <c r="E33" s="550"/>
      <c r="F33" s="550"/>
      <c r="G33" s="550"/>
      <c r="H33" s="550"/>
      <c r="I33" s="550"/>
      <c r="J33" s="550"/>
      <c r="K33" s="550"/>
      <c r="L33" s="550"/>
      <c r="M33" s="550"/>
      <c r="N33" s="550"/>
      <c r="O33" s="573"/>
      <c r="P33" s="554" t="s">
        <v>75</v>
      </c>
      <c r="Q33" s="555"/>
      <c r="R33" s="555"/>
      <c r="S33" s="555"/>
      <c r="T33" s="555"/>
      <c r="U33" s="555"/>
      <c r="V33" s="556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7" t="s">
        <v>94</v>
      </c>
      <c r="B34" s="550"/>
      <c r="C34" s="550"/>
      <c r="D34" s="550"/>
      <c r="E34" s="550"/>
      <c r="F34" s="550"/>
      <c r="G34" s="550"/>
      <c r="H34" s="550"/>
      <c r="I34" s="550"/>
      <c r="J34" s="550"/>
      <c r="K34" s="550"/>
      <c r="L34" s="550"/>
      <c r="M34" s="550"/>
      <c r="N34" s="550"/>
      <c r="O34" s="550"/>
      <c r="P34" s="550"/>
      <c r="Q34" s="550"/>
      <c r="R34" s="550"/>
      <c r="S34" s="550"/>
      <c r="T34" s="550"/>
      <c r="U34" s="550"/>
      <c r="V34" s="550"/>
      <c r="W34" s="550"/>
      <c r="X34" s="550"/>
      <c r="Y34" s="550"/>
      <c r="Z34" s="550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8">
        <v>4607091388503</v>
      </c>
      <c r="E35" s="559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67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2"/>
      <c r="B36" s="550"/>
      <c r="C36" s="550"/>
      <c r="D36" s="550"/>
      <c r="E36" s="550"/>
      <c r="F36" s="550"/>
      <c r="G36" s="550"/>
      <c r="H36" s="550"/>
      <c r="I36" s="550"/>
      <c r="J36" s="550"/>
      <c r="K36" s="550"/>
      <c r="L36" s="550"/>
      <c r="M36" s="550"/>
      <c r="N36" s="550"/>
      <c r="O36" s="573"/>
      <c r="P36" s="554" t="s">
        <v>75</v>
      </c>
      <c r="Q36" s="555"/>
      <c r="R36" s="555"/>
      <c r="S36" s="555"/>
      <c r="T36" s="555"/>
      <c r="U36" s="555"/>
      <c r="V36" s="556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0"/>
      <c r="B37" s="550"/>
      <c r="C37" s="550"/>
      <c r="D37" s="550"/>
      <c r="E37" s="550"/>
      <c r="F37" s="550"/>
      <c r="G37" s="550"/>
      <c r="H37" s="550"/>
      <c r="I37" s="550"/>
      <c r="J37" s="550"/>
      <c r="K37" s="550"/>
      <c r="L37" s="550"/>
      <c r="M37" s="550"/>
      <c r="N37" s="550"/>
      <c r="O37" s="573"/>
      <c r="P37" s="554" t="s">
        <v>75</v>
      </c>
      <c r="Q37" s="555"/>
      <c r="R37" s="555"/>
      <c r="S37" s="555"/>
      <c r="T37" s="555"/>
      <c r="U37" s="555"/>
      <c r="V37" s="556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688" t="s">
        <v>100</v>
      </c>
      <c r="B38" s="689"/>
      <c r="C38" s="689"/>
      <c r="D38" s="689"/>
      <c r="E38" s="689"/>
      <c r="F38" s="689"/>
      <c r="G38" s="689"/>
      <c r="H38" s="689"/>
      <c r="I38" s="689"/>
      <c r="J38" s="689"/>
      <c r="K38" s="689"/>
      <c r="L38" s="689"/>
      <c r="M38" s="689"/>
      <c r="N38" s="689"/>
      <c r="O38" s="689"/>
      <c r="P38" s="689"/>
      <c r="Q38" s="689"/>
      <c r="R38" s="689"/>
      <c r="S38" s="689"/>
      <c r="T38" s="689"/>
      <c r="U38" s="689"/>
      <c r="V38" s="689"/>
      <c r="W38" s="689"/>
      <c r="X38" s="689"/>
      <c r="Y38" s="689"/>
      <c r="Z38" s="689"/>
      <c r="AA38" s="48"/>
      <c r="AB38" s="48"/>
      <c r="AC38" s="48"/>
    </row>
    <row r="39" spans="1:68" ht="16.5" hidden="1" customHeight="1" x14ac:dyDescent="0.25">
      <c r="A39" s="569" t="s">
        <v>101</v>
      </c>
      <c r="B39" s="550"/>
      <c r="C39" s="550"/>
      <c r="D39" s="550"/>
      <c r="E39" s="550"/>
      <c r="F39" s="550"/>
      <c r="G39" s="550"/>
      <c r="H39" s="550"/>
      <c r="I39" s="550"/>
      <c r="J39" s="550"/>
      <c r="K39" s="550"/>
      <c r="L39" s="550"/>
      <c r="M39" s="550"/>
      <c r="N39" s="550"/>
      <c r="O39" s="550"/>
      <c r="P39" s="550"/>
      <c r="Q39" s="550"/>
      <c r="R39" s="550"/>
      <c r="S39" s="550"/>
      <c r="T39" s="550"/>
      <c r="U39" s="550"/>
      <c r="V39" s="550"/>
      <c r="W39" s="550"/>
      <c r="X39" s="550"/>
      <c r="Y39" s="550"/>
      <c r="Z39" s="550"/>
      <c r="AA39" s="540"/>
      <c r="AB39" s="540"/>
      <c r="AC39" s="540"/>
    </row>
    <row r="40" spans="1:68" ht="14.25" hidden="1" customHeight="1" x14ac:dyDescent="0.25">
      <c r="A40" s="557" t="s">
        <v>102</v>
      </c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41"/>
      <c r="AB40" s="541"/>
      <c r="AC40" s="541"/>
    </row>
    <row r="41" spans="1:68" ht="16.5" hidden="1" customHeight="1" x14ac:dyDescent="0.25">
      <c r="A41" s="54" t="s">
        <v>103</v>
      </c>
      <c r="B41" s="54" t="s">
        <v>104</v>
      </c>
      <c r="C41" s="31">
        <v>4301011380</v>
      </c>
      <c r="D41" s="558">
        <v>4607091385670</v>
      </c>
      <c r="E41" s="559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/>
      <c r="M41" s="33" t="s">
        <v>106</v>
      </c>
      <c r="N41" s="33"/>
      <c r="O41" s="32">
        <v>50</v>
      </c>
      <c r="P41" s="68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108</v>
      </c>
      <c r="B42" s="54" t="s">
        <v>109</v>
      </c>
      <c r="C42" s="31">
        <v>4301011565</v>
      </c>
      <c r="D42" s="558">
        <v>4680115882539</v>
      </c>
      <c r="E42" s="559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8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111</v>
      </c>
      <c r="B43" s="54" t="s">
        <v>112</v>
      </c>
      <c r="C43" s="31">
        <v>4301011382</v>
      </c>
      <c r="D43" s="558">
        <v>4607091385687</v>
      </c>
      <c r="E43" s="559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110</v>
      </c>
      <c r="L43" s="32"/>
      <c r="M43" s="33" t="s">
        <v>80</v>
      </c>
      <c r="N43" s="33"/>
      <c r="O43" s="32">
        <v>50</v>
      </c>
      <c r="P43" s="7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5">
        <v>400</v>
      </c>
      <c r="Y43" s="546">
        <f>IFERROR(IF(X43="",0,CEILING((X43/$H43),1)*$H43),"")</f>
        <v>400</v>
      </c>
      <c r="Z43" s="36">
        <f>IFERROR(IF(Y43=0,"",ROUNDUP(Y43/H43,0)*0.00902),"")</f>
        <v>0.90200000000000002</v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419.00000000000006</v>
      </c>
      <c r="BN43" s="64">
        <f>IFERROR(Y43*I43/H43,"0")</f>
        <v>419.00000000000006</v>
      </c>
      <c r="BO43" s="64">
        <f>IFERROR(1/J43*(X43/H43),"0")</f>
        <v>0.75757575757575757</v>
      </c>
      <c r="BP43" s="64">
        <f>IFERROR(1/J43*(Y43/H43),"0")</f>
        <v>0.75757575757575757</v>
      </c>
    </row>
    <row r="44" spans="1:68" x14ac:dyDescent="0.2">
      <c r="A44" s="572"/>
      <c r="B44" s="550"/>
      <c r="C44" s="550"/>
      <c r="D44" s="550"/>
      <c r="E44" s="550"/>
      <c r="F44" s="550"/>
      <c r="G44" s="550"/>
      <c r="H44" s="550"/>
      <c r="I44" s="550"/>
      <c r="J44" s="550"/>
      <c r="K44" s="550"/>
      <c r="L44" s="550"/>
      <c r="M44" s="550"/>
      <c r="N44" s="550"/>
      <c r="O44" s="573"/>
      <c r="P44" s="554" t="s">
        <v>75</v>
      </c>
      <c r="Q44" s="555"/>
      <c r="R44" s="555"/>
      <c r="S44" s="555"/>
      <c r="T44" s="555"/>
      <c r="U44" s="555"/>
      <c r="V44" s="556"/>
      <c r="W44" s="37" t="s">
        <v>76</v>
      </c>
      <c r="X44" s="547">
        <f>IFERROR(X41/H41,"0")+IFERROR(X42/H42,"0")+IFERROR(X43/H43,"0")</f>
        <v>100</v>
      </c>
      <c r="Y44" s="547">
        <f>IFERROR(Y41/H41,"0")+IFERROR(Y42/H42,"0")+IFERROR(Y43/H43,"0")</f>
        <v>100</v>
      </c>
      <c r="Z44" s="547">
        <f>IFERROR(IF(Z41="",0,Z41),"0")+IFERROR(IF(Z42="",0,Z42),"0")+IFERROR(IF(Z43="",0,Z43),"0")</f>
        <v>0.90200000000000002</v>
      </c>
      <c r="AA44" s="548"/>
      <c r="AB44" s="548"/>
      <c r="AC44" s="548"/>
    </row>
    <row r="45" spans="1:68" x14ac:dyDescent="0.2">
      <c r="A45" s="550"/>
      <c r="B45" s="550"/>
      <c r="C45" s="550"/>
      <c r="D45" s="550"/>
      <c r="E45" s="550"/>
      <c r="F45" s="550"/>
      <c r="G45" s="550"/>
      <c r="H45" s="550"/>
      <c r="I45" s="550"/>
      <c r="J45" s="550"/>
      <c r="K45" s="550"/>
      <c r="L45" s="550"/>
      <c r="M45" s="550"/>
      <c r="N45" s="550"/>
      <c r="O45" s="573"/>
      <c r="P45" s="554" t="s">
        <v>75</v>
      </c>
      <c r="Q45" s="555"/>
      <c r="R45" s="555"/>
      <c r="S45" s="555"/>
      <c r="T45" s="555"/>
      <c r="U45" s="555"/>
      <c r="V45" s="556"/>
      <c r="W45" s="37" t="s">
        <v>69</v>
      </c>
      <c r="X45" s="547">
        <f>IFERROR(SUM(X41:X43),"0")</f>
        <v>400</v>
      </c>
      <c r="Y45" s="547">
        <f>IFERROR(SUM(Y41:Y43),"0")</f>
        <v>400</v>
      </c>
      <c r="Z45" s="37"/>
      <c r="AA45" s="548"/>
      <c r="AB45" s="548"/>
      <c r="AC45" s="548"/>
    </row>
    <row r="46" spans="1:68" ht="14.25" hidden="1" customHeight="1" x14ac:dyDescent="0.25">
      <c r="A46" s="557" t="s">
        <v>77</v>
      </c>
      <c r="B46" s="550"/>
      <c r="C46" s="550"/>
      <c r="D46" s="550"/>
      <c r="E46" s="550"/>
      <c r="F46" s="550"/>
      <c r="G46" s="550"/>
      <c r="H46" s="550"/>
      <c r="I46" s="550"/>
      <c r="J46" s="550"/>
      <c r="K46" s="550"/>
      <c r="L46" s="550"/>
      <c r="M46" s="550"/>
      <c r="N46" s="550"/>
      <c r="O46" s="550"/>
      <c r="P46" s="550"/>
      <c r="Q46" s="550"/>
      <c r="R46" s="550"/>
      <c r="S46" s="550"/>
      <c r="T46" s="550"/>
      <c r="U46" s="550"/>
      <c r="V46" s="550"/>
      <c r="W46" s="550"/>
      <c r="X46" s="550"/>
      <c r="Y46" s="550"/>
      <c r="Z46" s="550"/>
      <c r="AA46" s="541"/>
      <c r="AB46" s="541"/>
      <c r="AC46" s="541"/>
    </row>
    <row r="47" spans="1:68" ht="16.5" hidden="1" customHeight="1" x14ac:dyDescent="0.25">
      <c r="A47" s="54" t="s">
        <v>113</v>
      </c>
      <c r="B47" s="54" t="s">
        <v>114</v>
      </c>
      <c r="C47" s="31">
        <v>4301051820</v>
      </c>
      <c r="D47" s="558">
        <v>4680115884915</v>
      </c>
      <c r="E47" s="559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115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2"/>
      <c r="B48" s="550"/>
      <c r="C48" s="550"/>
      <c r="D48" s="550"/>
      <c r="E48" s="550"/>
      <c r="F48" s="550"/>
      <c r="G48" s="550"/>
      <c r="H48" s="550"/>
      <c r="I48" s="550"/>
      <c r="J48" s="550"/>
      <c r="K48" s="550"/>
      <c r="L48" s="550"/>
      <c r="M48" s="550"/>
      <c r="N48" s="550"/>
      <c r="O48" s="573"/>
      <c r="P48" s="554" t="s">
        <v>75</v>
      </c>
      <c r="Q48" s="555"/>
      <c r="R48" s="555"/>
      <c r="S48" s="555"/>
      <c r="T48" s="555"/>
      <c r="U48" s="555"/>
      <c r="V48" s="556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0"/>
      <c r="B49" s="550"/>
      <c r="C49" s="550"/>
      <c r="D49" s="550"/>
      <c r="E49" s="550"/>
      <c r="F49" s="550"/>
      <c r="G49" s="550"/>
      <c r="H49" s="550"/>
      <c r="I49" s="550"/>
      <c r="J49" s="550"/>
      <c r="K49" s="550"/>
      <c r="L49" s="550"/>
      <c r="M49" s="550"/>
      <c r="N49" s="550"/>
      <c r="O49" s="573"/>
      <c r="P49" s="554" t="s">
        <v>75</v>
      </c>
      <c r="Q49" s="555"/>
      <c r="R49" s="555"/>
      <c r="S49" s="555"/>
      <c r="T49" s="555"/>
      <c r="U49" s="555"/>
      <c r="V49" s="556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69" t="s">
        <v>116</v>
      </c>
      <c r="B50" s="550"/>
      <c r="C50" s="550"/>
      <c r="D50" s="550"/>
      <c r="E50" s="550"/>
      <c r="F50" s="550"/>
      <c r="G50" s="550"/>
      <c r="H50" s="550"/>
      <c r="I50" s="550"/>
      <c r="J50" s="550"/>
      <c r="K50" s="550"/>
      <c r="L50" s="550"/>
      <c r="M50" s="550"/>
      <c r="N50" s="550"/>
      <c r="O50" s="550"/>
      <c r="P50" s="550"/>
      <c r="Q50" s="550"/>
      <c r="R50" s="550"/>
      <c r="S50" s="550"/>
      <c r="T50" s="550"/>
      <c r="U50" s="550"/>
      <c r="V50" s="550"/>
      <c r="W50" s="550"/>
      <c r="X50" s="550"/>
      <c r="Y50" s="550"/>
      <c r="Z50" s="550"/>
      <c r="AA50" s="540"/>
      <c r="AB50" s="540"/>
      <c r="AC50" s="540"/>
    </row>
    <row r="51" spans="1:68" ht="14.25" hidden="1" customHeight="1" x14ac:dyDescent="0.25">
      <c r="A51" s="557" t="s">
        <v>102</v>
      </c>
      <c r="B51" s="550"/>
      <c r="C51" s="550"/>
      <c r="D51" s="550"/>
      <c r="E51" s="550"/>
      <c r="F51" s="550"/>
      <c r="G51" s="550"/>
      <c r="H51" s="550"/>
      <c r="I51" s="550"/>
      <c r="J51" s="550"/>
      <c r="K51" s="550"/>
      <c r="L51" s="550"/>
      <c r="M51" s="550"/>
      <c r="N51" s="550"/>
      <c r="O51" s="550"/>
      <c r="P51" s="550"/>
      <c r="Q51" s="550"/>
      <c r="R51" s="550"/>
      <c r="S51" s="550"/>
      <c r="T51" s="550"/>
      <c r="U51" s="550"/>
      <c r="V51" s="550"/>
      <c r="W51" s="550"/>
      <c r="X51" s="550"/>
      <c r="Y51" s="550"/>
      <c r="Z51" s="550"/>
      <c r="AA51" s="541"/>
      <c r="AB51" s="541"/>
      <c r="AC51" s="541"/>
    </row>
    <row r="52" spans="1:68" ht="27" hidden="1" customHeight="1" x14ac:dyDescent="0.25">
      <c r="A52" s="54" t="s">
        <v>117</v>
      </c>
      <c r="B52" s="54" t="s">
        <v>118</v>
      </c>
      <c r="C52" s="31">
        <v>4301012030</v>
      </c>
      <c r="D52" s="558">
        <v>4680115885882</v>
      </c>
      <c r="E52" s="559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5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119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120</v>
      </c>
      <c r="B53" s="54" t="s">
        <v>121</v>
      </c>
      <c r="C53" s="31">
        <v>4301011816</v>
      </c>
      <c r="D53" s="558">
        <v>4680115881426</v>
      </c>
      <c r="E53" s="559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106</v>
      </c>
      <c r="N53" s="33"/>
      <c r="O53" s="32">
        <v>50</v>
      </c>
      <c r="P53" s="7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122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123</v>
      </c>
      <c r="B54" s="54" t="s">
        <v>124</v>
      </c>
      <c r="C54" s="31">
        <v>4301011386</v>
      </c>
      <c r="D54" s="558">
        <v>4680115880283</v>
      </c>
      <c r="E54" s="559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45</v>
      </c>
      <c r="P54" s="61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125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126</v>
      </c>
      <c r="B55" s="54" t="s">
        <v>127</v>
      </c>
      <c r="C55" s="31">
        <v>4301011806</v>
      </c>
      <c r="D55" s="558">
        <v>4680115881525</v>
      </c>
      <c r="E55" s="559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110</v>
      </c>
      <c r="L55" s="32"/>
      <c r="M55" s="33" t="s">
        <v>106</v>
      </c>
      <c r="N55" s="33"/>
      <c r="O55" s="32">
        <v>50</v>
      </c>
      <c r="P55" s="7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128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129</v>
      </c>
      <c r="B56" s="54" t="s">
        <v>130</v>
      </c>
      <c r="C56" s="31">
        <v>4301011589</v>
      </c>
      <c r="D56" s="558">
        <v>4680115885899</v>
      </c>
      <c r="E56" s="559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1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131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4301011801</v>
      </c>
      <c r="D57" s="558">
        <v>4680115881419</v>
      </c>
      <c r="E57" s="559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110</v>
      </c>
      <c r="L57" s="32"/>
      <c r="M57" s="33" t="s">
        <v>106</v>
      </c>
      <c r="N57" s="33"/>
      <c r="O57" s="32">
        <v>50</v>
      </c>
      <c r="P57" s="60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1350</v>
      </c>
      <c r="Y57" s="546">
        <f t="shared" si="0"/>
        <v>1350</v>
      </c>
      <c r="Z57" s="36">
        <f>IFERROR(IF(Y57=0,"",ROUNDUP(Y57/H57,0)*0.00902),"")</f>
        <v>2.706</v>
      </c>
      <c r="AA57" s="56"/>
      <c r="AB57" s="57"/>
      <c r="AC57" s="103" t="s">
        <v>134</v>
      </c>
      <c r="AG57" s="64"/>
      <c r="AJ57" s="68"/>
      <c r="AK57" s="68">
        <v>0</v>
      </c>
      <c r="BB57" s="104" t="s">
        <v>1</v>
      </c>
      <c r="BM57" s="64">
        <f t="shared" si="1"/>
        <v>1407.0000000000002</v>
      </c>
      <c r="BN57" s="64">
        <f t="shared" si="2"/>
        <v>1407.0000000000002</v>
      </c>
      <c r="BO57" s="64">
        <f t="shared" si="3"/>
        <v>2.2727272727272729</v>
      </c>
      <c r="BP57" s="64">
        <f t="shared" si="4"/>
        <v>2.2727272727272729</v>
      </c>
    </row>
    <row r="58" spans="1:68" x14ac:dyDescent="0.2">
      <c r="A58" s="572"/>
      <c r="B58" s="550"/>
      <c r="C58" s="550"/>
      <c r="D58" s="550"/>
      <c r="E58" s="550"/>
      <c r="F58" s="550"/>
      <c r="G58" s="550"/>
      <c r="H58" s="550"/>
      <c r="I58" s="550"/>
      <c r="J58" s="550"/>
      <c r="K58" s="550"/>
      <c r="L58" s="550"/>
      <c r="M58" s="550"/>
      <c r="N58" s="550"/>
      <c r="O58" s="573"/>
      <c r="P58" s="554" t="s">
        <v>75</v>
      </c>
      <c r="Q58" s="555"/>
      <c r="R58" s="555"/>
      <c r="S58" s="555"/>
      <c r="T58" s="555"/>
      <c r="U58" s="555"/>
      <c r="V58" s="556"/>
      <c r="W58" s="37" t="s">
        <v>76</v>
      </c>
      <c r="X58" s="547">
        <f>IFERROR(X52/H52,"0")+IFERROR(X53/H53,"0")+IFERROR(X54/H54,"0")+IFERROR(X55/H55,"0")+IFERROR(X56/H56,"0")+IFERROR(X57/H57,"0")</f>
        <v>300</v>
      </c>
      <c r="Y58" s="547">
        <f>IFERROR(Y52/H52,"0")+IFERROR(Y53/H53,"0")+IFERROR(Y54/H54,"0")+IFERROR(Y55/H55,"0")+IFERROR(Y56/H56,"0")+IFERROR(Y57/H57,"0")</f>
        <v>300</v>
      </c>
      <c r="Z58" s="547">
        <f>IFERROR(IF(Z52="",0,Z52),"0")+IFERROR(IF(Z53="",0,Z53),"0")+IFERROR(IF(Z54="",0,Z54),"0")+IFERROR(IF(Z55="",0,Z55),"0")+IFERROR(IF(Z56="",0,Z56),"0")+IFERROR(IF(Z57="",0,Z57),"0")</f>
        <v>2.706</v>
      </c>
      <c r="AA58" s="548"/>
      <c r="AB58" s="548"/>
      <c r="AC58" s="548"/>
    </row>
    <row r="59" spans="1:68" x14ac:dyDescent="0.2">
      <c r="A59" s="550"/>
      <c r="B59" s="550"/>
      <c r="C59" s="550"/>
      <c r="D59" s="550"/>
      <c r="E59" s="550"/>
      <c r="F59" s="550"/>
      <c r="G59" s="550"/>
      <c r="H59" s="550"/>
      <c r="I59" s="550"/>
      <c r="J59" s="550"/>
      <c r="K59" s="550"/>
      <c r="L59" s="550"/>
      <c r="M59" s="550"/>
      <c r="N59" s="550"/>
      <c r="O59" s="573"/>
      <c r="P59" s="554" t="s">
        <v>75</v>
      </c>
      <c r="Q59" s="555"/>
      <c r="R59" s="555"/>
      <c r="S59" s="555"/>
      <c r="T59" s="555"/>
      <c r="U59" s="555"/>
      <c r="V59" s="556"/>
      <c r="W59" s="37" t="s">
        <v>69</v>
      </c>
      <c r="X59" s="547">
        <f>IFERROR(SUM(X52:X57),"0")</f>
        <v>1350</v>
      </c>
      <c r="Y59" s="547">
        <f>IFERROR(SUM(Y52:Y57),"0")</f>
        <v>1350</v>
      </c>
      <c r="Z59" s="37"/>
      <c r="AA59" s="548"/>
      <c r="AB59" s="548"/>
      <c r="AC59" s="548"/>
    </row>
    <row r="60" spans="1:68" ht="14.25" hidden="1" customHeight="1" x14ac:dyDescent="0.25">
      <c r="A60" s="557" t="s">
        <v>135</v>
      </c>
      <c r="B60" s="550"/>
      <c r="C60" s="550"/>
      <c r="D60" s="550"/>
      <c r="E60" s="550"/>
      <c r="F60" s="550"/>
      <c r="G60" s="550"/>
      <c r="H60" s="550"/>
      <c r="I60" s="550"/>
      <c r="J60" s="550"/>
      <c r="K60" s="550"/>
      <c r="L60" s="550"/>
      <c r="M60" s="550"/>
      <c r="N60" s="550"/>
      <c r="O60" s="550"/>
      <c r="P60" s="550"/>
      <c r="Q60" s="550"/>
      <c r="R60" s="550"/>
      <c r="S60" s="550"/>
      <c r="T60" s="550"/>
      <c r="U60" s="550"/>
      <c r="V60" s="550"/>
      <c r="W60" s="550"/>
      <c r="X60" s="550"/>
      <c r="Y60" s="550"/>
      <c r="Z60" s="550"/>
      <c r="AA60" s="541"/>
      <c r="AB60" s="541"/>
      <c r="AC60" s="541"/>
    </row>
    <row r="61" spans="1:68" ht="16.5" hidden="1" customHeight="1" x14ac:dyDescent="0.25">
      <c r="A61" s="54" t="s">
        <v>136</v>
      </c>
      <c r="B61" s="54" t="s">
        <v>137</v>
      </c>
      <c r="C61" s="31">
        <v>4301020298</v>
      </c>
      <c r="D61" s="558">
        <v>4680115881440</v>
      </c>
      <c r="E61" s="559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/>
      <c r="M61" s="33" t="s">
        <v>106</v>
      </c>
      <c r="N61" s="33"/>
      <c r="O61" s="32">
        <v>50</v>
      </c>
      <c r="P61" s="68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139</v>
      </c>
      <c r="B62" s="54" t="s">
        <v>140</v>
      </c>
      <c r="C62" s="31">
        <v>4301020358</v>
      </c>
      <c r="D62" s="558">
        <v>4680115885950</v>
      </c>
      <c r="E62" s="559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2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141</v>
      </c>
      <c r="B63" s="54" t="s">
        <v>142</v>
      </c>
      <c r="C63" s="31">
        <v>4301020296</v>
      </c>
      <c r="D63" s="558">
        <v>4680115881433</v>
      </c>
      <c r="E63" s="559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7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138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72"/>
      <c r="B64" s="550"/>
      <c r="C64" s="550"/>
      <c r="D64" s="550"/>
      <c r="E64" s="550"/>
      <c r="F64" s="550"/>
      <c r="G64" s="550"/>
      <c r="H64" s="550"/>
      <c r="I64" s="550"/>
      <c r="J64" s="550"/>
      <c r="K64" s="550"/>
      <c r="L64" s="550"/>
      <c r="M64" s="550"/>
      <c r="N64" s="550"/>
      <c r="O64" s="573"/>
      <c r="P64" s="554" t="s">
        <v>75</v>
      </c>
      <c r="Q64" s="555"/>
      <c r="R64" s="555"/>
      <c r="S64" s="555"/>
      <c r="T64" s="555"/>
      <c r="U64" s="555"/>
      <c r="V64" s="556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0"/>
      <c r="B65" s="550"/>
      <c r="C65" s="550"/>
      <c r="D65" s="550"/>
      <c r="E65" s="550"/>
      <c r="F65" s="550"/>
      <c r="G65" s="550"/>
      <c r="H65" s="550"/>
      <c r="I65" s="550"/>
      <c r="J65" s="550"/>
      <c r="K65" s="550"/>
      <c r="L65" s="550"/>
      <c r="M65" s="550"/>
      <c r="N65" s="550"/>
      <c r="O65" s="573"/>
      <c r="P65" s="554" t="s">
        <v>75</v>
      </c>
      <c r="Q65" s="555"/>
      <c r="R65" s="555"/>
      <c r="S65" s="555"/>
      <c r="T65" s="555"/>
      <c r="U65" s="555"/>
      <c r="V65" s="556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7" t="s">
        <v>64</v>
      </c>
      <c r="B66" s="550"/>
      <c r="C66" s="550"/>
      <c r="D66" s="550"/>
      <c r="E66" s="550"/>
      <c r="F66" s="550"/>
      <c r="G66" s="550"/>
      <c r="H66" s="550"/>
      <c r="I66" s="550"/>
      <c r="J66" s="550"/>
      <c r="K66" s="550"/>
      <c r="L66" s="550"/>
      <c r="M66" s="550"/>
      <c r="N66" s="550"/>
      <c r="O66" s="550"/>
      <c r="P66" s="550"/>
      <c r="Q66" s="550"/>
      <c r="R66" s="550"/>
      <c r="S66" s="550"/>
      <c r="T66" s="550"/>
      <c r="U66" s="550"/>
      <c r="V66" s="550"/>
      <c r="W66" s="550"/>
      <c r="X66" s="550"/>
      <c r="Y66" s="550"/>
      <c r="Z66" s="550"/>
      <c r="AA66" s="541"/>
      <c r="AB66" s="541"/>
      <c r="AC66" s="541"/>
    </row>
    <row r="67" spans="1:68" ht="27" hidden="1" customHeight="1" x14ac:dyDescent="0.25">
      <c r="A67" s="54" t="s">
        <v>143</v>
      </c>
      <c r="B67" s="54" t="s">
        <v>144</v>
      </c>
      <c r="C67" s="31">
        <v>4301031243</v>
      </c>
      <c r="D67" s="558">
        <v>4680115885073</v>
      </c>
      <c r="E67" s="559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0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145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146</v>
      </c>
      <c r="B68" s="54" t="s">
        <v>147</v>
      </c>
      <c r="C68" s="31">
        <v>4301031241</v>
      </c>
      <c r="D68" s="558">
        <v>4680115885059</v>
      </c>
      <c r="E68" s="559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9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148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149</v>
      </c>
      <c r="B69" s="54" t="s">
        <v>150</v>
      </c>
      <c r="C69" s="31">
        <v>4301031316</v>
      </c>
      <c r="D69" s="558">
        <v>4680115885097</v>
      </c>
      <c r="E69" s="559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4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151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72"/>
      <c r="B70" s="550"/>
      <c r="C70" s="550"/>
      <c r="D70" s="550"/>
      <c r="E70" s="550"/>
      <c r="F70" s="550"/>
      <c r="G70" s="550"/>
      <c r="H70" s="550"/>
      <c r="I70" s="550"/>
      <c r="J70" s="550"/>
      <c r="K70" s="550"/>
      <c r="L70" s="550"/>
      <c r="M70" s="550"/>
      <c r="N70" s="550"/>
      <c r="O70" s="573"/>
      <c r="P70" s="554" t="s">
        <v>75</v>
      </c>
      <c r="Q70" s="555"/>
      <c r="R70" s="555"/>
      <c r="S70" s="555"/>
      <c r="T70" s="555"/>
      <c r="U70" s="555"/>
      <c r="V70" s="556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0"/>
      <c r="B71" s="550"/>
      <c r="C71" s="550"/>
      <c r="D71" s="550"/>
      <c r="E71" s="550"/>
      <c r="F71" s="550"/>
      <c r="G71" s="550"/>
      <c r="H71" s="550"/>
      <c r="I71" s="550"/>
      <c r="J71" s="550"/>
      <c r="K71" s="550"/>
      <c r="L71" s="550"/>
      <c r="M71" s="550"/>
      <c r="N71" s="550"/>
      <c r="O71" s="573"/>
      <c r="P71" s="554" t="s">
        <v>75</v>
      </c>
      <c r="Q71" s="555"/>
      <c r="R71" s="555"/>
      <c r="S71" s="555"/>
      <c r="T71" s="555"/>
      <c r="U71" s="555"/>
      <c r="V71" s="556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7" t="s">
        <v>77</v>
      </c>
      <c r="B72" s="550"/>
      <c r="C72" s="550"/>
      <c r="D72" s="550"/>
      <c r="E72" s="550"/>
      <c r="F72" s="550"/>
      <c r="G72" s="550"/>
      <c r="H72" s="550"/>
      <c r="I72" s="550"/>
      <c r="J72" s="550"/>
      <c r="K72" s="550"/>
      <c r="L72" s="550"/>
      <c r="M72" s="550"/>
      <c r="N72" s="550"/>
      <c r="O72" s="550"/>
      <c r="P72" s="550"/>
      <c r="Q72" s="550"/>
      <c r="R72" s="550"/>
      <c r="S72" s="550"/>
      <c r="T72" s="550"/>
      <c r="U72" s="550"/>
      <c r="V72" s="550"/>
      <c r="W72" s="550"/>
      <c r="X72" s="550"/>
      <c r="Y72" s="550"/>
      <c r="Z72" s="550"/>
      <c r="AA72" s="541"/>
      <c r="AB72" s="541"/>
      <c r="AC72" s="541"/>
    </row>
    <row r="73" spans="1:68" ht="27" hidden="1" customHeight="1" x14ac:dyDescent="0.25">
      <c r="A73" s="54" t="s">
        <v>152</v>
      </c>
      <c r="B73" s="54" t="s">
        <v>153</v>
      </c>
      <c r="C73" s="31">
        <v>4301051846</v>
      </c>
      <c r="D73" s="558">
        <v>4680115885769</v>
      </c>
      <c r="E73" s="559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154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155</v>
      </c>
      <c r="B74" s="54" t="s">
        <v>156</v>
      </c>
      <c r="C74" s="31">
        <v>4301051837</v>
      </c>
      <c r="D74" s="558">
        <v>4680115884311</v>
      </c>
      <c r="E74" s="559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4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157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158</v>
      </c>
      <c r="B75" s="54" t="s">
        <v>159</v>
      </c>
      <c r="C75" s="31">
        <v>4301051844</v>
      </c>
      <c r="D75" s="558">
        <v>4680115885929</v>
      </c>
      <c r="E75" s="559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60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154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160</v>
      </c>
      <c r="B76" s="54" t="s">
        <v>161</v>
      </c>
      <c r="C76" s="31">
        <v>4301051929</v>
      </c>
      <c r="D76" s="558">
        <v>4680115884403</v>
      </c>
      <c r="E76" s="559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162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72"/>
      <c r="B77" s="550"/>
      <c r="C77" s="550"/>
      <c r="D77" s="550"/>
      <c r="E77" s="550"/>
      <c r="F77" s="550"/>
      <c r="G77" s="550"/>
      <c r="H77" s="550"/>
      <c r="I77" s="550"/>
      <c r="J77" s="550"/>
      <c r="K77" s="550"/>
      <c r="L77" s="550"/>
      <c r="M77" s="550"/>
      <c r="N77" s="550"/>
      <c r="O77" s="573"/>
      <c r="P77" s="554" t="s">
        <v>75</v>
      </c>
      <c r="Q77" s="555"/>
      <c r="R77" s="555"/>
      <c r="S77" s="555"/>
      <c r="T77" s="555"/>
      <c r="U77" s="555"/>
      <c r="V77" s="556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0"/>
      <c r="B78" s="550"/>
      <c r="C78" s="550"/>
      <c r="D78" s="550"/>
      <c r="E78" s="550"/>
      <c r="F78" s="550"/>
      <c r="G78" s="550"/>
      <c r="H78" s="550"/>
      <c r="I78" s="550"/>
      <c r="J78" s="550"/>
      <c r="K78" s="550"/>
      <c r="L78" s="550"/>
      <c r="M78" s="550"/>
      <c r="N78" s="550"/>
      <c r="O78" s="573"/>
      <c r="P78" s="554" t="s">
        <v>75</v>
      </c>
      <c r="Q78" s="555"/>
      <c r="R78" s="555"/>
      <c r="S78" s="555"/>
      <c r="T78" s="555"/>
      <c r="U78" s="555"/>
      <c r="V78" s="556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7" t="s">
        <v>163</v>
      </c>
      <c r="B79" s="550"/>
      <c r="C79" s="550"/>
      <c r="D79" s="550"/>
      <c r="E79" s="550"/>
      <c r="F79" s="550"/>
      <c r="G79" s="550"/>
      <c r="H79" s="550"/>
      <c r="I79" s="550"/>
      <c r="J79" s="550"/>
      <c r="K79" s="550"/>
      <c r="L79" s="550"/>
      <c r="M79" s="550"/>
      <c r="N79" s="550"/>
      <c r="O79" s="550"/>
      <c r="P79" s="550"/>
      <c r="Q79" s="550"/>
      <c r="R79" s="550"/>
      <c r="S79" s="550"/>
      <c r="T79" s="550"/>
      <c r="U79" s="550"/>
      <c r="V79" s="550"/>
      <c r="W79" s="550"/>
      <c r="X79" s="550"/>
      <c r="Y79" s="550"/>
      <c r="Z79" s="550"/>
      <c r="AA79" s="541"/>
      <c r="AB79" s="541"/>
      <c r="AC79" s="541"/>
    </row>
    <row r="80" spans="1:68" ht="27" hidden="1" customHeight="1" x14ac:dyDescent="0.25">
      <c r="A80" s="54" t="s">
        <v>164</v>
      </c>
      <c r="B80" s="54" t="s">
        <v>165</v>
      </c>
      <c r="C80" s="31">
        <v>4301060455</v>
      </c>
      <c r="D80" s="558">
        <v>4680115881532</v>
      </c>
      <c r="E80" s="559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/>
      <c r="M80" s="33" t="s">
        <v>87</v>
      </c>
      <c r="N80" s="33"/>
      <c r="O80" s="32">
        <v>30</v>
      </c>
      <c r="P80" s="6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166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167</v>
      </c>
      <c r="B81" s="54" t="s">
        <v>168</v>
      </c>
      <c r="C81" s="31">
        <v>4301060351</v>
      </c>
      <c r="D81" s="558">
        <v>4680115881464</v>
      </c>
      <c r="E81" s="559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110</v>
      </c>
      <c r="L81" s="32"/>
      <c r="M81" s="33" t="s">
        <v>80</v>
      </c>
      <c r="N81" s="33"/>
      <c r="O81" s="32">
        <v>30</v>
      </c>
      <c r="P81" s="71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169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72"/>
      <c r="B82" s="550"/>
      <c r="C82" s="550"/>
      <c r="D82" s="550"/>
      <c r="E82" s="550"/>
      <c r="F82" s="550"/>
      <c r="G82" s="550"/>
      <c r="H82" s="550"/>
      <c r="I82" s="550"/>
      <c r="J82" s="550"/>
      <c r="K82" s="550"/>
      <c r="L82" s="550"/>
      <c r="M82" s="550"/>
      <c r="N82" s="550"/>
      <c r="O82" s="573"/>
      <c r="P82" s="554" t="s">
        <v>75</v>
      </c>
      <c r="Q82" s="555"/>
      <c r="R82" s="555"/>
      <c r="S82" s="555"/>
      <c r="T82" s="555"/>
      <c r="U82" s="555"/>
      <c r="V82" s="556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0"/>
      <c r="B83" s="550"/>
      <c r="C83" s="550"/>
      <c r="D83" s="550"/>
      <c r="E83" s="550"/>
      <c r="F83" s="550"/>
      <c r="G83" s="550"/>
      <c r="H83" s="550"/>
      <c r="I83" s="550"/>
      <c r="J83" s="550"/>
      <c r="K83" s="550"/>
      <c r="L83" s="550"/>
      <c r="M83" s="550"/>
      <c r="N83" s="550"/>
      <c r="O83" s="573"/>
      <c r="P83" s="554" t="s">
        <v>75</v>
      </c>
      <c r="Q83" s="555"/>
      <c r="R83" s="555"/>
      <c r="S83" s="555"/>
      <c r="T83" s="555"/>
      <c r="U83" s="555"/>
      <c r="V83" s="556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69" t="s">
        <v>170</v>
      </c>
      <c r="B84" s="550"/>
      <c r="C84" s="550"/>
      <c r="D84" s="550"/>
      <c r="E84" s="550"/>
      <c r="F84" s="550"/>
      <c r="G84" s="550"/>
      <c r="H84" s="550"/>
      <c r="I84" s="550"/>
      <c r="J84" s="550"/>
      <c r="K84" s="550"/>
      <c r="L84" s="550"/>
      <c r="M84" s="550"/>
      <c r="N84" s="550"/>
      <c r="O84" s="550"/>
      <c r="P84" s="550"/>
      <c r="Q84" s="550"/>
      <c r="R84" s="550"/>
      <c r="S84" s="550"/>
      <c r="T84" s="550"/>
      <c r="U84" s="550"/>
      <c r="V84" s="550"/>
      <c r="W84" s="550"/>
      <c r="X84" s="550"/>
      <c r="Y84" s="550"/>
      <c r="Z84" s="550"/>
      <c r="AA84" s="540"/>
      <c r="AB84" s="540"/>
      <c r="AC84" s="540"/>
    </row>
    <row r="85" spans="1:68" ht="14.25" hidden="1" customHeight="1" x14ac:dyDescent="0.25">
      <c r="A85" s="557" t="s">
        <v>102</v>
      </c>
      <c r="B85" s="550"/>
      <c r="C85" s="550"/>
      <c r="D85" s="550"/>
      <c r="E85" s="550"/>
      <c r="F85" s="550"/>
      <c r="G85" s="550"/>
      <c r="H85" s="550"/>
      <c r="I85" s="550"/>
      <c r="J85" s="550"/>
      <c r="K85" s="550"/>
      <c r="L85" s="550"/>
      <c r="M85" s="550"/>
      <c r="N85" s="550"/>
      <c r="O85" s="550"/>
      <c r="P85" s="550"/>
      <c r="Q85" s="550"/>
      <c r="R85" s="550"/>
      <c r="S85" s="550"/>
      <c r="T85" s="550"/>
      <c r="U85" s="550"/>
      <c r="V85" s="550"/>
      <c r="W85" s="550"/>
      <c r="X85" s="550"/>
      <c r="Y85" s="550"/>
      <c r="Z85" s="550"/>
      <c r="AA85" s="541"/>
      <c r="AB85" s="541"/>
      <c r="AC85" s="541"/>
    </row>
    <row r="86" spans="1:68" ht="27" hidden="1" customHeight="1" x14ac:dyDescent="0.25">
      <c r="A86" s="54" t="s">
        <v>171</v>
      </c>
      <c r="B86" s="54" t="s">
        <v>172</v>
      </c>
      <c r="C86" s="31">
        <v>4301011468</v>
      </c>
      <c r="D86" s="558">
        <v>4680115881327</v>
      </c>
      <c r="E86" s="559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/>
      <c r="M86" s="33" t="s">
        <v>87</v>
      </c>
      <c r="N86" s="33"/>
      <c r="O86" s="32">
        <v>50</v>
      </c>
      <c r="P86" s="72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174</v>
      </c>
      <c r="B87" s="54" t="s">
        <v>175</v>
      </c>
      <c r="C87" s="31">
        <v>4301011261</v>
      </c>
      <c r="D87" s="558">
        <v>4680115887732</v>
      </c>
      <c r="E87" s="559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176</v>
      </c>
      <c r="L87" s="32"/>
      <c r="M87" s="33" t="s">
        <v>68</v>
      </c>
      <c r="N87" s="33"/>
      <c r="O87" s="32">
        <v>30</v>
      </c>
      <c r="P87" s="725" t="s">
        <v>177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4301011476</v>
      </c>
      <c r="D88" s="558">
        <v>4680115881518</v>
      </c>
      <c r="E88" s="559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110</v>
      </c>
      <c r="L88" s="32"/>
      <c r="M88" s="33" t="s">
        <v>80</v>
      </c>
      <c r="N88" s="33"/>
      <c r="O88" s="32">
        <v>50</v>
      </c>
      <c r="P88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4301011443</v>
      </c>
      <c r="D89" s="558">
        <v>4680115881303</v>
      </c>
      <c r="E89" s="559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110</v>
      </c>
      <c r="L89" s="32"/>
      <c r="M89" s="33" t="s">
        <v>87</v>
      </c>
      <c r="N89" s="33"/>
      <c r="O89" s="32">
        <v>50</v>
      </c>
      <c r="P89" s="72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360</v>
      </c>
      <c r="Y89" s="546">
        <f>IFERROR(IF(X89="",0,CEILING((X89/$H89),1)*$H89),"")</f>
        <v>360</v>
      </c>
      <c r="Z89" s="36">
        <f>IFERROR(IF(Y89=0,"",ROUNDUP(Y89/H89,0)*0.00902),"")</f>
        <v>0.72160000000000002</v>
      </c>
      <c r="AA89" s="56"/>
      <c r="AB89" s="57"/>
      <c r="AC89" s="135" t="s">
        <v>173</v>
      </c>
      <c r="AG89" s="64"/>
      <c r="AJ89" s="68"/>
      <c r="AK89" s="68">
        <v>0</v>
      </c>
      <c r="BB89" s="136" t="s">
        <v>1</v>
      </c>
      <c r="BM89" s="64">
        <f>IFERROR(X89*I89/H89,"0")</f>
        <v>375.20000000000005</v>
      </c>
      <c r="BN89" s="64">
        <f>IFERROR(Y89*I89/H89,"0")</f>
        <v>375.20000000000005</v>
      </c>
      <c r="BO89" s="64">
        <f>IFERROR(1/J89*(X89/H89),"0")</f>
        <v>0.60606060606060608</v>
      </c>
      <c r="BP89" s="64">
        <f>IFERROR(1/J89*(Y89/H89),"0")</f>
        <v>0.60606060606060608</v>
      </c>
    </row>
    <row r="90" spans="1:68" x14ac:dyDescent="0.2">
      <c r="A90" s="572"/>
      <c r="B90" s="550"/>
      <c r="C90" s="550"/>
      <c r="D90" s="550"/>
      <c r="E90" s="550"/>
      <c r="F90" s="550"/>
      <c r="G90" s="550"/>
      <c r="H90" s="550"/>
      <c r="I90" s="550"/>
      <c r="J90" s="550"/>
      <c r="K90" s="550"/>
      <c r="L90" s="550"/>
      <c r="M90" s="550"/>
      <c r="N90" s="550"/>
      <c r="O90" s="573"/>
      <c r="P90" s="554" t="s">
        <v>75</v>
      </c>
      <c r="Q90" s="555"/>
      <c r="R90" s="555"/>
      <c r="S90" s="555"/>
      <c r="T90" s="555"/>
      <c r="U90" s="555"/>
      <c r="V90" s="556"/>
      <c r="W90" s="37" t="s">
        <v>76</v>
      </c>
      <c r="X90" s="547">
        <f>IFERROR(X86/H86,"0")+IFERROR(X87/H87,"0")+IFERROR(X88/H88,"0")+IFERROR(X89/H89,"0")</f>
        <v>80</v>
      </c>
      <c r="Y90" s="547">
        <f>IFERROR(Y86/H86,"0")+IFERROR(Y87/H87,"0")+IFERROR(Y88/H88,"0")+IFERROR(Y89/H89,"0")</f>
        <v>80</v>
      </c>
      <c r="Z90" s="547">
        <f>IFERROR(IF(Z86="",0,Z86),"0")+IFERROR(IF(Z87="",0,Z87),"0")+IFERROR(IF(Z88="",0,Z88),"0")+IFERROR(IF(Z89="",0,Z89),"0")</f>
        <v>0.72160000000000002</v>
      </c>
      <c r="AA90" s="548"/>
      <c r="AB90" s="548"/>
      <c r="AC90" s="548"/>
    </row>
    <row r="91" spans="1:68" x14ac:dyDescent="0.2">
      <c r="A91" s="550"/>
      <c r="B91" s="550"/>
      <c r="C91" s="550"/>
      <c r="D91" s="550"/>
      <c r="E91" s="550"/>
      <c r="F91" s="550"/>
      <c r="G91" s="550"/>
      <c r="H91" s="550"/>
      <c r="I91" s="550"/>
      <c r="J91" s="550"/>
      <c r="K91" s="550"/>
      <c r="L91" s="550"/>
      <c r="M91" s="550"/>
      <c r="N91" s="550"/>
      <c r="O91" s="573"/>
      <c r="P91" s="554" t="s">
        <v>75</v>
      </c>
      <c r="Q91" s="555"/>
      <c r="R91" s="555"/>
      <c r="S91" s="555"/>
      <c r="T91" s="555"/>
      <c r="U91" s="555"/>
      <c r="V91" s="556"/>
      <c r="W91" s="37" t="s">
        <v>69</v>
      </c>
      <c r="X91" s="547">
        <f>IFERROR(SUM(X86:X89),"0")</f>
        <v>360</v>
      </c>
      <c r="Y91" s="547">
        <f>IFERROR(SUM(Y86:Y89),"0")</f>
        <v>360</v>
      </c>
      <c r="Z91" s="37"/>
      <c r="AA91" s="548"/>
      <c r="AB91" s="548"/>
      <c r="AC91" s="548"/>
    </row>
    <row r="92" spans="1:68" ht="14.25" hidden="1" customHeight="1" x14ac:dyDescent="0.25">
      <c r="A92" s="557" t="s">
        <v>77</v>
      </c>
      <c r="B92" s="550"/>
      <c r="C92" s="550"/>
      <c r="D92" s="550"/>
      <c r="E92" s="550"/>
      <c r="F92" s="550"/>
      <c r="G92" s="550"/>
      <c r="H92" s="550"/>
      <c r="I92" s="550"/>
      <c r="J92" s="550"/>
      <c r="K92" s="550"/>
      <c r="L92" s="550"/>
      <c r="M92" s="550"/>
      <c r="N92" s="550"/>
      <c r="O92" s="550"/>
      <c r="P92" s="550"/>
      <c r="Q92" s="550"/>
      <c r="R92" s="550"/>
      <c r="S92" s="550"/>
      <c r="T92" s="550"/>
      <c r="U92" s="550"/>
      <c r="V92" s="550"/>
      <c r="W92" s="550"/>
      <c r="X92" s="550"/>
      <c r="Y92" s="550"/>
      <c r="Z92" s="550"/>
      <c r="AA92" s="541"/>
      <c r="AB92" s="541"/>
      <c r="AC92" s="541"/>
    </row>
    <row r="93" spans="1:68" ht="27" hidden="1" customHeight="1" x14ac:dyDescent="0.25">
      <c r="A93" s="54" t="s">
        <v>183</v>
      </c>
      <c r="B93" s="54" t="s">
        <v>184</v>
      </c>
      <c r="C93" s="31">
        <v>4301051712</v>
      </c>
      <c r="D93" s="558">
        <v>4607091386967</v>
      </c>
      <c r="E93" s="559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/>
      <c r="M93" s="33" t="s">
        <v>87</v>
      </c>
      <c r="N93" s="33"/>
      <c r="O93" s="32">
        <v>45</v>
      </c>
      <c r="P93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4301051788</v>
      </c>
      <c r="D94" s="558">
        <v>4680115884953</v>
      </c>
      <c r="E94" s="559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84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4301051718</v>
      </c>
      <c r="D95" s="558">
        <v>4607091385731</v>
      </c>
      <c r="E95" s="559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85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116.1</v>
      </c>
      <c r="Y95" s="546">
        <f>IFERROR(IF(X95="",0,CEILING((X95/$H95),1)*$H95),"")</f>
        <v>116.10000000000001</v>
      </c>
      <c r="Z95" s="36">
        <f>IFERROR(IF(Y95=0,"",ROUNDUP(Y95/H95,0)*0.00651),"")</f>
        <v>0.27993000000000001</v>
      </c>
      <c r="AA95" s="56"/>
      <c r="AB95" s="57"/>
      <c r="AC95" s="141" t="s">
        <v>185</v>
      </c>
      <c r="AG95" s="64"/>
      <c r="AJ95" s="68"/>
      <c r="AK95" s="68">
        <v>0</v>
      </c>
      <c r="BB95" s="142" t="s">
        <v>1</v>
      </c>
      <c r="BM95" s="64">
        <f>IFERROR(X95*I95/H95,"0")</f>
        <v>126.93599999999998</v>
      </c>
      <c r="BN95" s="64">
        <f>IFERROR(Y95*I95/H95,"0")</f>
        <v>126.93600000000001</v>
      </c>
      <c r="BO95" s="64">
        <f>IFERROR(1/J95*(X95/H95),"0")</f>
        <v>0.23626373626373623</v>
      </c>
      <c r="BP95" s="64">
        <f>IFERROR(1/J95*(Y95/H95),"0")</f>
        <v>0.23626373626373628</v>
      </c>
    </row>
    <row r="96" spans="1:68" ht="16.5" hidden="1" customHeight="1" x14ac:dyDescent="0.25">
      <c r="A96" s="54" t="s">
        <v>191</v>
      </c>
      <c r="B96" s="54" t="s">
        <v>192</v>
      </c>
      <c r="C96" s="31">
        <v>4301051438</v>
      </c>
      <c r="D96" s="558">
        <v>4680115880894</v>
      </c>
      <c r="E96" s="559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69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193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72"/>
      <c r="B97" s="550"/>
      <c r="C97" s="550"/>
      <c r="D97" s="550"/>
      <c r="E97" s="550"/>
      <c r="F97" s="550"/>
      <c r="G97" s="550"/>
      <c r="H97" s="550"/>
      <c r="I97" s="550"/>
      <c r="J97" s="550"/>
      <c r="K97" s="550"/>
      <c r="L97" s="550"/>
      <c r="M97" s="550"/>
      <c r="N97" s="550"/>
      <c r="O97" s="573"/>
      <c r="P97" s="554" t="s">
        <v>75</v>
      </c>
      <c r="Q97" s="555"/>
      <c r="R97" s="555"/>
      <c r="S97" s="555"/>
      <c r="T97" s="555"/>
      <c r="U97" s="555"/>
      <c r="V97" s="556"/>
      <c r="W97" s="37" t="s">
        <v>76</v>
      </c>
      <c r="X97" s="547">
        <f>IFERROR(X93/H93,"0")+IFERROR(X94/H94,"0")+IFERROR(X95/H95,"0")+IFERROR(X96/H96,"0")</f>
        <v>42.999999999999993</v>
      </c>
      <c r="Y97" s="547">
        <f>IFERROR(Y93/H93,"0")+IFERROR(Y94/H94,"0")+IFERROR(Y95/H95,"0")+IFERROR(Y96/H96,"0")</f>
        <v>43</v>
      </c>
      <c r="Z97" s="547">
        <f>IFERROR(IF(Z93="",0,Z93),"0")+IFERROR(IF(Z94="",0,Z94),"0")+IFERROR(IF(Z95="",0,Z95),"0")+IFERROR(IF(Z96="",0,Z96),"0")</f>
        <v>0.27993000000000001</v>
      </c>
      <c r="AA97" s="548"/>
      <c r="AB97" s="548"/>
      <c r="AC97" s="548"/>
    </row>
    <row r="98" spans="1:68" x14ac:dyDescent="0.2">
      <c r="A98" s="550"/>
      <c r="B98" s="550"/>
      <c r="C98" s="550"/>
      <c r="D98" s="550"/>
      <c r="E98" s="550"/>
      <c r="F98" s="550"/>
      <c r="G98" s="550"/>
      <c r="H98" s="550"/>
      <c r="I98" s="550"/>
      <c r="J98" s="550"/>
      <c r="K98" s="550"/>
      <c r="L98" s="550"/>
      <c r="M98" s="550"/>
      <c r="N98" s="550"/>
      <c r="O98" s="573"/>
      <c r="P98" s="554" t="s">
        <v>75</v>
      </c>
      <c r="Q98" s="555"/>
      <c r="R98" s="555"/>
      <c r="S98" s="555"/>
      <c r="T98" s="555"/>
      <c r="U98" s="555"/>
      <c r="V98" s="556"/>
      <c r="W98" s="37" t="s">
        <v>69</v>
      </c>
      <c r="X98" s="547">
        <f>IFERROR(SUM(X93:X96),"0")</f>
        <v>116.1</v>
      </c>
      <c r="Y98" s="547">
        <f>IFERROR(SUM(Y93:Y96),"0")</f>
        <v>116.10000000000001</v>
      </c>
      <c r="Z98" s="37"/>
      <c r="AA98" s="548"/>
      <c r="AB98" s="548"/>
      <c r="AC98" s="548"/>
    </row>
    <row r="99" spans="1:68" ht="16.5" hidden="1" customHeight="1" x14ac:dyDescent="0.25">
      <c r="A99" s="569" t="s">
        <v>194</v>
      </c>
      <c r="B99" s="550"/>
      <c r="C99" s="550"/>
      <c r="D99" s="550"/>
      <c r="E99" s="550"/>
      <c r="F99" s="550"/>
      <c r="G99" s="550"/>
      <c r="H99" s="550"/>
      <c r="I99" s="550"/>
      <c r="J99" s="550"/>
      <c r="K99" s="550"/>
      <c r="L99" s="550"/>
      <c r="M99" s="550"/>
      <c r="N99" s="550"/>
      <c r="O99" s="550"/>
      <c r="P99" s="550"/>
      <c r="Q99" s="550"/>
      <c r="R99" s="550"/>
      <c r="S99" s="550"/>
      <c r="T99" s="550"/>
      <c r="U99" s="550"/>
      <c r="V99" s="550"/>
      <c r="W99" s="550"/>
      <c r="X99" s="550"/>
      <c r="Y99" s="550"/>
      <c r="Z99" s="550"/>
      <c r="AA99" s="540"/>
      <c r="AB99" s="540"/>
      <c r="AC99" s="540"/>
    </row>
    <row r="100" spans="1:68" ht="14.25" hidden="1" customHeight="1" x14ac:dyDescent="0.25">
      <c r="A100" s="557" t="s">
        <v>102</v>
      </c>
      <c r="B100" s="550"/>
      <c r="C100" s="550"/>
      <c r="D100" s="550"/>
      <c r="E100" s="550"/>
      <c r="F100" s="550"/>
      <c r="G100" s="550"/>
      <c r="H100" s="550"/>
      <c r="I100" s="550"/>
      <c r="J100" s="550"/>
      <c r="K100" s="550"/>
      <c r="L100" s="550"/>
      <c r="M100" s="550"/>
      <c r="N100" s="550"/>
      <c r="O100" s="550"/>
      <c r="P100" s="550"/>
      <c r="Q100" s="550"/>
      <c r="R100" s="550"/>
      <c r="S100" s="550"/>
      <c r="T100" s="550"/>
      <c r="U100" s="550"/>
      <c r="V100" s="550"/>
      <c r="W100" s="550"/>
      <c r="X100" s="550"/>
      <c r="Y100" s="550"/>
      <c r="Z100" s="550"/>
      <c r="AA100" s="541"/>
      <c r="AB100" s="541"/>
      <c r="AC100" s="541"/>
    </row>
    <row r="101" spans="1:68" ht="37.5" hidden="1" customHeight="1" x14ac:dyDescent="0.25">
      <c r="A101" s="54" t="s">
        <v>195</v>
      </c>
      <c r="B101" s="54" t="s">
        <v>196</v>
      </c>
      <c r="C101" s="31">
        <v>4301011514</v>
      </c>
      <c r="D101" s="558">
        <v>4680115882133</v>
      </c>
      <c r="E101" s="559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/>
      <c r="M101" s="33" t="s">
        <v>106</v>
      </c>
      <c r="N101" s="33"/>
      <c r="O101" s="32">
        <v>50</v>
      </c>
      <c r="P101" s="71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hidden="1" customHeight="1" x14ac:dyDescent="0.25">
      <c r="A102" s="54" t="s">
        <v>198</v>
      </c>
      <c r="B102" s="54" t="s">
        <v>199</v>
      </c>
      <c r="C102" s="31">
        <v>4301012051</v>
      </c>
      <c r="D102" s="558">
        <v>4680115887718</v>
      </c>
      <c r="E102" s="559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176</v>
      </c>
      <c r="L102" s="32"/>
      <c r="M102" s="33" t="s">
        <v>68</v>
      </c>
      <c r="N102" s="33"/>
      <c r="O102" s="32">
        <v>30</v>
      </c>
      <c r="P102" s="624" t="s">
        <v>200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4301011417</v>
      </c>
      <c r="D103" s="558">
        <v>4680115880269</v>
      </c>
      <c r="E103" s="559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8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4301011415</v>
      </c>
      <c r="D104" s="558">
        <v>4680115880429</v>
      </c>
      <c r="E104" s="559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110</v>
      </c>
      <c r="L104" s="32" t="s">
        <v>206</v>
      </c>
      <c r="M104" s="33" t="s">
        <v>80</v>
      </c>
      <c r="N104" s="33"/>
      <c r="O104" s="32">
        <v>50</v>
      </c>
      <c r="P104" s="8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197</v>
      </c>
      <c r="AG104" s="64"/>
      <c r="AJ104" s="68" t="s">
        <v>207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208</v>
      </c>
      <c r="B105" s="54" t="s">
        <v>209</v>
      </c>
      <c r="C105" s="31">
        <v>4301011462</v>
      </c>
      <c r="D105" s="558">
        <v>4680115881457</v>
      </c>
      <c r="E105" s="559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110</v>
      </c>
      <c r="L105" s="32"/>
      <c r="M105" s="33" t="s">
        <v>80</v>
      </c>
      <c r="N105" s="33"/>
      <c r="O105" s="32">
        <v>50</v>
      </c>
      <c r="P105" s="6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197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idden="1" x14ac:dyDescent="0.2">
      <c r="A106" s="572"/>
      <c r="B106" s="550"/>
      <c r="C106" s="550"/>
      <c r="D106" s="550"/>
      <c r="E106" s="550"/>
      <c r="F106" s="550"/>
      <c r="G106" s="550"/>
      <c r="H106" s="550"/>
      <c r="I106" s="550"/>
      <c r="J106" s="550"/>
      <c r="K106" s="550"/>
      <c r="L106" s="550"/>
      <c r="M106" s="550"/>
      <c r="N106" s="550"/>
      <c r="O106" s="573"/>
      <c r="P106" s="554" t="s">
        <v>75</v>
      </c>
      <c r="Q106" s="555"/>
      <c r="R106" s="555"/>
      <c r="S106" s="555"/>
      <c r="T106" s="555"/>
      <c r="U106" s="555"/>
      <c r="V106" s="556"/>
      <c r="W106" s="37" t="s">
        <v>76</v>
      </c>
      <c r="X106" s="547">
        <f>IFERROR(X101/H101,"0")+IFERROR(X102/H102,"0")+IFERROR(X103/H103,"0")+IFERROR(X104/H104,"0")+IFERROR(X105/H105,"0")</f>
        <v>0</v>
      </c>
      <c r="Y106" s="547">
        <f>IFERROR(Y101/H101,"0")+IFERROR(Y102/H102,"0")+IFERROR(Y103/H103,"0")+IFERROR(Y104/H104,"0")+IFERROR(Y105/H105,"0")</f>
        <v>0</v>
      </c>
      <c r="Z106" s="547">
        <f>IFERROR(IF(Z101="",0,Z101),"0")+IFERROR(IF(Z102="",0,Z102),"0")+IFERROR(IF(Z103="",0,Z103),"0")+IFERROR(IF(Z104="",0,Z104),"0")+IFERROR(IF(Z105="",0,Z105),"0")</f>
        <v>0</v>
      </c>
      <c r="AA106" s="548"/>
      <c r="AB106" s="548"/>
      <c r="AC106" s="548"/>
    </row>
    <row r="107" spans="1:68" hidden="1" x14ac:dyDescent="0.2">
      <c r="A107" s="550"/>
      <c r="B107" s="550"/>
      <c r="C107" s="550"/>
      <c r="D107" s="550"/>
      <c r="E107" s="550"/>
      <c r="F107" s="550"/>
      <c r="G107" s="550"/>
      <c r="H107" s="550"/>
      <c r="I107" s="550"/>
      <c r="J107" s="550"/>
      <c r="K107" s="550"/>
      <c r="L107" s="550"/>
      <c r="M107" s="550"/>
      <c r="N107" s="550"/>
      <c r="O107" s="573"/>
      <c r="P107" s="554" t="s">
        <v>75</v>
      </c>
      <c r="Q107" s="555"/>
      <c r="R107" s="555"/>
      <c r="S107" s="555"/>
      <c r="T107" s="555"/>
      <c r="U107" s="555"/>
      <c r="V107" s="556"/>
      <c r="W107" s="37" t="s">
        <v>69</v>
      </c>
      <c r="X107" s="547">
        <f>IFERROR(SUM(X101:X105),"0")</f>
        <v>0</v>
      </c>
      <c r="Y107" s="547">
        <f>IFERROR(SUM(Y101:Y105),"0")</f>
        <v>0</v>
      </c>
      <c r="Z107" s="37"/>
      <c r="AA107" s="548"/>
      <c r="AB107" s="548"/>
      <c r="AC107" s="548"/>
    </row>
    <row r="108" spans="1:68" ht="14.25" hidden="1" customHeight="1" x14ac:dyDescent="0.25">
      <c r="A108" s="557" t="s">
        <v>135</v>
      </c>
      <c r="B108" s="550"/>
      <c r="C108" s="550"/>
      <c r="D108" s="550"/>
      <c r="E108" s="550"/>
      <c r="F108" s="550"/>
      <c r="G108" s="550"/>
      <c r="H108" s="550"/>
      <c r="I108" s="550"/>
      <c r="J108" s="550"/>
      <c r="K108" s="550"/>
      <c r="L108" s="550"/>
      <c r="M108" s="550"/>
      <c r="N108" s="550"/>
      <c r="O108" s="550"/>
      <c r="P108" s="550"/>
      <c r="Q108" s="550"/>
      <c r="R108" s="550"/>
      <c r="S108" s="550"/>
      <c r="T108" s="550"/>
      <c r="U108" s="550"/>
      <c r="V108" s="550"/>
      <c r="W108" s="550"/>
      <c r="X108" s="550"/>
      <c r="Y108" s="550"/>
      <c r="Z108" s="550"/>
      <c r="AA108" s="541"/>
      <c r="AB108" s="541"/>
      <c r="AC108" s="541"/>
    </row>
    <row r="109" spans="1:68" ht="16.5" hidden="1" customHeight="1" x14ac:dyDescent="0.25">
      <c r="A109" s="54" t="s">
        <v>210</v>
      </c>
      <c r="B109" s="54" t="s">
        <v>211</v>
      </c>
      <c r="C109" s="31">
        <v>4301020345</v>
      </c>
      <c r="D109" s="558">
        <v>4680115881488</v>
      </c>
      <c r="E109" s="559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/>
      <c r="M109" s="33" t="s">
        <v>106</v>
      </c>
      <c r="N109" s="33"/>
      <c r="O109" s="32">
        <v>55</v>
      </c>
      <c r="P109" s="6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213</v>
      </c>
      <c r="B110" s="54" t="s">
        <v>214</v>
      </c>
      <c r="C110" s="31">
        <v>4301020186</v>
      </c>
      <c r="D110" s="558">
        <v>4680115887664</v>
      </c>
      <c r="E110" s="559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215</v>
      </c>
      <c r="L110" s="32"/>
      <c r="M110" s="33" t="s">
        <v>68</v>
      </c>
      <c r="N110" s="33"/>
      <c r="O110" s="32">
        <v>30</v>
      </c>
      <c r="P110" s="628" t="s">
        <v>216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218</v>
      </c>
      <c r="B111" s="54" t="s">
        <v>219</v>
      </c>
      <c r="C111" s="31">
        <v>4301020346</v>
      </c>
      <c r="D111" s="558">
        <v>4680115882775</v>
      </c>
      <c r="E111" s="559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106</v>
      </c>
      <c r="N111" s="33"/>
      <c r="O111" s="32">
        <v>55</v>
      </c>
      <c r="P111" s="66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212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220</v>
      </c>
      <c r="B112" s="54" t="s">
        <v>221</v>
      </c>
      <c r="C112" s="31">
        <v>4301020344</v>
      </c>
      <c r="D112" s="558">
        <v>4680115880658</v>
      </c>
      <c r="E112" s="559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106</v>
      </c>
      <c r="N112" s="33"/>
      <c r="O112" s="32">
        <v>55</v>
      </c>
      <c r="P112" s="65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212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72"/>
      <c r="B113" s="550"/>
      <c r="C113" s="550"/>
      <c r="D113" s="550"/>
      <c r="E113" s="550"/>
      <c r="F113" s="550"/>
      <c r="G113" s="550"/>
      <c r="H113" s="550"/>
      <c r="I113" s="550"/>
      <c r="J113" s="550"/>
      <c r="K113" s="550"/>
      <c r="L113" s="550"/>
      <c r="M113" s="550"/>
      <c r="N113" s="550"/>
      <c r="O113" s="573"/>
      <c r="P113" s="554" t="s">
        <v>75</v>
      </c>
      <c r="Q113" s="555"/>
      <c r="R113" s="555"/>
      <c r="S113" s="555"/>
      <c r="T113" s="555"/>
      <c r="U113" s="555"/>
      <c r="V113" s="556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0"/>
      <c r="B114" s="550"/>
      <c r="C114" s="550"/>
      <c r="D114" s="550"/>
      <c r="E114" s="550"/>
      <c r="F114" s="550"/>
      <c r="G114" s="550"/>
      <c r="H114" s="550"/>
      <c r="I114" s="550"/>
      <c r="J114" s="550"/>
      <c r="K114" s="550"/>
      <c r="L114" s="550"/>
      <c r="M114" s="550"/>
      <c r="N114" s="550"/>
      <c r="O114" s="573"/>
      <c r="P114" s="554" t="s">
        <v>75</v>
      </c>
      <c r="Q114" s="555"/>
      <c r="R114" s="555"/>
      <c r="S114" s="555"/>
      <c r="T114" s="555"/>
      <c r="U114" s="555"/>
      <c r="V114" s="556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7" t="s">
        <v>77</v>
      </c>
      <c r="B115" s="550"/>
      <c r="C115" s="550"/>
      <c r="D115" s="550"/>
      <c r="E115" s="550"/>
      <c r="F115" s="550"/>
      <c r="G115" s="550"/>
      <c r="H115" s="550"/>
      <c r="I115" s="550"/>
      <c r="J115" s="550"/>
      <c r="K115" s="550"/>
      <c r="L115" s="550"/>
      <c r="M115" s="550"/>
      <c r="N115" s="550"/>
      <c r="O115" s="550"/>
      <c r="P115" s="550"/>
      <c r="Q115" s="550"/>
      <c r="R115" s="550"/>
      <c r="S115" s="550"/>
      <c r="T115" s="550"/>
      <c r="U115" s="550"/>
      <c r="V115" s="550"/>
      <c r="W115" s="550"/>
      <c r="X115" s="550"/>
      <c r="Y115" s="550"/>
      <c r="Z115" s="550"/>
      <c r="AA115" s="541"/>
      <c r="AB115" s="541"/>
      <c r="AC115" s="541"/>
    </row>
    <row r="116" spans="1:68" ht="27" hidden="1" customHeight="1" x14ac:dyDescent="0.25">
      <c r="A116" s="54" t="s">
        <v>222</v>
      </c>
      <c r="B116" s="54" t="s">
        <v>223</v>
      </c>
      <c r="C116" s="31">
        <v>4301051724</v>
      </c>
      <c r="D116" s="558">
        <v>4607091385168</v>
      </c>
      <c r="E116" s="559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/>
      <c r="M116" s="33" t="s">
        <v>87</v>
      </c>
      <c r="N116" s="33"/>
      <c r="O116" s="32">
        <v>45</v>
      </c>
      <c r="P116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224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4301051730</v>
      </c>
      <c r="D117" s="558">
        <v>4607091383256</v>
      </c>
      <c r="E117" s="559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77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224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227</v>
      </c>
      <c r="B118" s="54" t="s">
        <v>228</v>
      </c>
      <c r="C118" s="31">
        <v>4301051721</v>
      </c>
      <c r="D118" s="558">
        <v>4607091385748</v>
      </c>
      <c r="E118" s="559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229</v>
      </c>
      <c r="M118" s="33" t="s">
        <v>87</v>
      </c>
      <c r="N118" s="33"/>
      <c r="O118" s="32">
        <v>45</v>
      </c>
      <c r="P118" s="7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1350</v>
      </c>
      <c r="Y118" s="546">
        <f>IFERROR(IF(X118="",0,CEILING((X118/$H118),1)*$H118),"")</f>
        <v>1350</v>
      </c>
      <c r="Z118" s="36">
        <f>IFERROR(IF(Y118=0,"",ROUNDUP(Y118/H118,0)*0.00651),"")</f>
        <v>3.2549999999999999</v>
      </c>
      <c r="AA118" s="56"/>
      <c r="AB118" s="57"/>
      <c r="AC118" s="167" t="s">
        <v>224</v>
      </c>
      <c r="AG118" s="64"/>
      <c r="AJ118" s="68" t="s">
        <v>207</v>
      </c>
      <c r="AK118" s="68">
        <v>37.799999999999997</v>
      </c>
      <c r="BB118" s="168" t="s">
        <v>1</v>
      </c>
      <c r="BM118" s="64">
        <f>IFERROR(X118*I118/H118,"0")</f>
        <v>1475.9999999999998</v>
      </c>
      <c r="BN118" s="64">
        <f>IFERROR(Y118*I118/H118,"0")</f>
        <v>1475.9999999999998</v>
      </c>
      <c r="BO118" s="64">
        <f>IFERROR(1/J118*(X118/H118),"0")</f>
        <v>2.7472527472527473</v>
      </c>
      <c r="BP118" s="64">
        <f>IFERROR(1/J118*(Y118/H118),"0")</f>
        <v>2.7472527472527473</v>
      </c>
    </row>
    <row r="119" spans="1:68" ht="16.5" hidden="1" customHeight="1" x14ac:dyDescent="0.25">
      <c r="A119" s="54" t="s">
        <v>230</v>
      </c>
      <c r="B119" s="54" t="s">
        <v>231</v>
      </c>
      <c r="C119" s="31">
        <v>4301051740</v>
      </c>
      <c r="D119" s="558">
        <v>4680115884533</v>
      </c>
      <c r="E119" s="559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7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232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72"/>
      <c r="B120" s="550"/>
      <c r="C120" s="550"/>
      <c r="D120" s="550"/>
      <c r="E120" s="550"/>
      <c r="F120" s="550"/>
      <c r="G120" s="550"/>
      <c r="H120" s="550"/>
      <c r="I120" s="550"/>
      <c r="J120" s="550"/>
      <c r="K120" s="550"/>
      <c r="L120" s="550"/>
      <c r="M120" s="550"/>
      <c r="N120" s="550"/>
      <c r="O120" s="573"/>
      <c r="P120" s="554" t="s">
        <v>75</v>
      </c>
      <c r="Q120" s="555"/>
      <c r="R120" s="555"/>
      <c r="S120" s="555"/>
      <c r="T120" s="555"/>
      <c r="U120" s="555"/>
      <c r="V120" s="556"/>
      <c r="W120" s="37" t="s">
        <v>76</v>
      </c>
      <c r="X120" s="547">
        <f>IFERROR(X116/H116,"0")+IFERROR(X117/H117,"0")+IFERROR(X118/H118,"0")+IFERROR(X119/H119,"0")</f>
        <v>499.99999999999994</v>
      </c>
      <c r="Y120" s="547">
        <f>IFERROR(Y116/H116,"0")+IFERROR(Y117/H117,"0")+IFERROR(Y118/H118,"0")+IFERROR(Y119/H119,"0")</f>
        <v>499.99999999999994</v>
      </c>
      <c r="Z120" s="547">
        <f>IFERROR(IF(Z116="",0,Z116),"0")+IFERROR(IF(Z117="",0,Z117),"0")+IFERROR(IF(Z118="",0,Z118),"0")+IFERROR(IF(Z119="",0,Z119),"0")</f>
        <v>3.2549999999999999</v>
      </c>
      <c r="AA120" s="548"/>
      <c r="AB120" s="548"/>
      <c r="AC120" s="548"/>
    </row>
    <row r="121" spans="1:68" x14ac:dyDescent="0.2">
      <c r="A121" s="550"/>
      <c r="B121" s="550"/>
      <c r="C121" s="550"/>
      <c r="D121" s="550"/>
      <c r="E121" s="550"/>
      <c r="F121" s="550"/>
      <c r="G121" s="550"/>
      <c r="H121" s="550"/>
      <c r="I121" s="550"/>
      <c r="J121" s="550"/>
      <c r="K121" s="550"/>
      <c r="L121" s="550"/>
      <c r="M121" s="550"/>
      <c r="N121" s="550"/>
      <c r="O121" s="573"/>
      <c r="P121" s="554" t="s">
        <v>75</v>
      </c>
      <c r="Q121" s="555"/>
      <c r="R121" s="555"/>
      <c r="S121" s="555"/>
      <c r="T121" s="555"/>
      <c r="U121" s="555"/>
      <c r="V121" s="556"/>
      <c r="W121" s="37" t="s">
        <v>69</v>
      </c>
      <c r="X121" s="547">
        <f>IFERROR(SUM(X116:X119),"0")</f>
        <v>1350</v>
      </c>
      <c r="Y121" s="547">
        <f>IFERROR(SUM(Y116:Y119),"0")</f>
        <v>1350</v>
      </c>
      <c r="Z121" s="37"/>
      <c r="AA121" s="548"/>
      <c r="AB121" s="548"/>
      <c r="AC121" s="548"/>
    </row>
    <row r="122" spans="1:68" ht="14.25" hidden="1" customHeight="1" x14ac:dyDescent="0.25">
      <c r="A122" s="557" t="s">
        <v>163</v>
      </c>
      <c r="B122" s="550"/>
      <c r="C122" s="550"/>
      <c r="D122" s="550"/>
      <c r="E122" s="550"/>
      <c r="F122" s="550"/>
      <c r="G122" s="550"/>
      <c r="H122" s="550"/>
      <c r="I122" s="550"/>
      <c r="J122" s="550"/>
      <c r="K122" s="550"/>
      <c r="L122" s="550"/>
      <c r="M122" s="550"/>
      <c r="N122" s="550"/>
      <c r="O122" s="550"/>
      <c r="P122" s="550"/>
      <c r="Q122" s="550"/>
      <c r="R122" s="550"/>
      <c r="S122" s="550"/>
      <c r="T122" s="550"/>
      <c r="U122" s="550"/>
      <c r="V122" s="550"/>
      <c r="W122" s="550"/>
      <c r="X122" s="550"/>
      <c r="Y122" s="550"/>
      <c r="Z122" s="550"/>
      <c r="AA122" s="541"/>
      <c r="AB122" s="541"/>
      <c r="AC122" s="541"/>
    </row>
    <row r="123" spans="1:68" ht="16.5" hidden="1" customHeight="1" x14ac:dyDescent="0.25">
      <c r="A123" s="54" t="s">
        <v>233</v>
      </c>
      <c r="B123" s="54" t="s">
        <v>234</v>
      </c>
      <c r="C123" s="31">
        <v>4301060317</v>
      </c>
      <c r="D123" s="558">
        <v>4680115880238</v>
      </c>
      <c r="E123" s="559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62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235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72"/>
      <c r="B124" s="550"/>
      <c r="C124" s="550"/>
      <c r="D124" s="550"/>
      <c r="E124" s="550"/>
      <c r="F124" s="550"/>
      <c r="G124" s="550"/>
      <c r="H124" s="550"/>
      <c r="I124" s="550"/>
      <c r="J124" s="550"/>
      <c r="K124" s="550"/>
      <c r="L124" s="550"/>
      <c r="M124" s="550"/>
      <c r="N124" s="550"/>
      <c r="O124" s="573"/>
      <c r="P124" s="554" t="s">
        <v>75</v>
      </c>
      <c r="Q124" s="555"/>
      <c r="R124" s="555"/>
      <c r="S124" s="555"/>
      <c r="T124" s="555"/>
      <c r="U124" s="555"/>
      <c r="V124" s="556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0"/>
      <c r="B125" s="550"/>
      <c r="C125" s="550"/>
      <c r="D125" s="550"/>
      <c r="E125" s="550"/>
      <c r="F125" s="550"/>
      <c r="G125" s="550"/>
      <c r="H125" s="550"/>
      <c r="I125" s="550"/>
      <c r="J125" s="550"/>
      <c r="K125" s="550"/>
      <c r="L125" s="550"/>
      <c r="M125" s="550"/>
      <c r="N125" s="550"/>
      <c r="O125" s="573"/>
      <c r="P125" s="554" t="s">
        <v>75</v>
      </c>
      <c r="Q125" s="555"/>
      <c r="R125" s="555"/>
      <c r="S125" s="555"/>
      <c r="T125" s="555"/>
      <c r="U125" s="555"/>
      <c r="V125" s="556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69" t="s">
        <v>236</v>
      </c>
      <c r="B126" s="550"/>
      <c r="C126" s="550"/>
      <c r="D126" s="550"/>
      <c r="E126" s="550"/>
      <c r="F126" s="550"/>
      <c r="G126" s="550"/>
      <c r="H126" s="550"/>
      <c r="I126" s="550"/>
      <c r="J126" s="550"/>
      <c r="K126" s="550"/>
      <c r="L126" s="550"/>
      <c r="M126" s="550"/>
      <c r="N126" s="550"/>
      <c r="O126" s="550"/>
      <c r="P126" s="550"/>
      <c r="Q126" s="550"/>
      <c r="R126" s="550"/>
      <c r="S126" s="550"/>
      <c r="T126" s="550"/>
      <c r="U126" s="550"/>
      <c r="V126" s="550"/>
      <c r="W126" s="550"/>
      <c r="X126" s="550"/>
      <c r="Y126" s="550"/>
      <c r="Z126" s="550"/>
      <c r="AA126" s="540"/>
      <c r="AB126" s="540"/>
      <c r="AC126" s="540"/>
    </row>
    <row r="127" spans="1:68" ht="14.25" hidden="1" customHeight="1" x14ac:dyDescent="0.25">
      <c r="A127" s="557" t="s">
        <v>102</v>
      </c>
      <c r="B127" s="550"/>
      <c r="C127" s="550"/>
      <c r="D127" s="550"/>
      <c r="E127" s="550"/>
      <c r="F127" s="550"/>
      <c r="G127" s="550"/>
      <c r="H127" s="550"/>
      <c r="I127" s="550"/>
      <c r="J127" s="550"/>
      <c r="K127" s="550"/>
      <c r="L127" s="550"/>
      <c r="M127" s="550"/>
      <c r="N127" s="550"/>
      <c r="O127" s="550"/>
      <c r="P127" s="550"/>
      <c r="Q127" s="550"/>
      <c r="R127" s="550"/>
      <c r="S127" s="550"/>
      <c r="T127" s="550"/>
      <c r="U127" s="550"/>
      <c r="V127" s="550"/>
      <c r="W127" s="550"/>
      <c r="X127" s="550"/>
      <c r="Y127" s="550"/>
      <c r="Z127" s="550"/>
      <c r="AA127" s="541"/>
      <c r="AB127" s="541"/>
      <c r="AC127" s="541"/>
    </row>
    <row r="128" spans="1:68" ht="27" hidden="1" customHeight="1" x14ac:dyDescent="0.25">
      <c r="A128" s="54" t="s">
        <v>237</v>
      </c>
      <c r="B128" s="54" t="s">
        <v>238</v>
      </c>
      <c r="C128" s="31">
        <v>4301011562</v>
      </c>
      <c r="D128" s="558">
        <v>4680115882577</v>
      </c>
      <c r="E128" s="559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6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239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237</v>
      </c>
      <c r="B129" s="54" t="s">
        <v>240</v>
      </c>
      <c r="C129" s="31">
        <v>4301011564</v>
      </c>
      <c r="D129" s="558">
        <v>4680115882577</v>
      </c>
      <c r="E129" s="559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239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72"/>
      <c r="B130" s="550"/>
      <c r="C130" s="550"/>
      <c r="D130" s="550"/>
      <c r="E130" s="550"/>
      <c r="F130" s="550"/>
      <c r="G130" s="550"/>
      <c r="H130" s="550"/>
      <c r="I130" s="550"/>
      <c r="J130" s="550"/>
      <c r="K130" s="550"/>
      <c r="L130" s="550"/>
      <c r="M130" s="550"/>
      <c r="N130" s="550"/>
      <c r="O130" s="573"/>
      <c r="P130" s="554" t="s">
        <v>75</v>
      </c>
      <c r="Q130" s="555"/>
      <c r="R130" s="555"/>
      <c r="S130" s="555"/>
      <c r="T130" s="555"/>
      <c r="U130" s="555"/>
      <c r="V130" s="556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0"/>
      <c r="B131" s="550"/>
      <c r="C131" s="550"/>
      <c r="D131" s="550"/>
      <c r="E131" s="550"/>
      <c r="F131" s="550"/>
      <c r="G131" s="550"/>
      <c r="H131" s="550"/>
      <c r="I131" s="550"/>
      <c r="J131" s="550"/>
      <c r="K131" s="550"/>
      <c r="L131" s="550"/>
      <c r="M131" s="550"/>
      <c r="N131" s="550"/>
      <c r="O131" s="573"/>
      <c r="P131" s="554" t="s">
        <v>75</v>
      </c>
      <c r="Q131" s="555"/>
      <c r="R131" s="555"/>
      <c r="S131" s="555"/>
      <c r="T131" s="555"/>
      <c r="U131" s="555"/>
      <c r="V131" s="556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7" t="s">
        <v>64</v>
      </c>
      <c r="B132" s="550"/>
      <c r="C132" s="550"/>
      <c r="D132" s="550"/>
      <c r="E132" s="550"/>
      <c r="F132" s="550"/>
      <c r="G132" s="550"/>
      <c r="H132" s="550"/>
      <c r="I132" s="550"/>
      <c r="J132" s="550"/>
      <c r="K132" s="550"/>
      <c r="L132" s="550"/>
      <c r="M132" s="550"/>
      <c r="N132" s="550"/>
      <c r="O132" s="550"/>
      <c r="P132" s="550"/>
      <c r="Q132" s="550"/>
      <c r="R132" s="550"/>
      <c r="S132" s="550"/>
      <c r="T132" s="550"/>
      <c r="U132" s="550"/>
      <c r="V132" s="550"/>
      <c r="W132" s="550"/>
      <c r="X132" s="550"/>
      <c r="Y132" s="550"/>
      <c r="Z132" s="550"/>
      <c r="AA132" s="541"/>
      <c r="AB132" s="541"/>
      <c r="AC132" s="541"/>
    </row>
    <row r="133" spans="1:68" ht="27" hidden="1" customHeight="1" x14ac:dyDescent="0.25">
      <c r="A133" s="54" t="s">
        <v>241</v>
      </c>
      <c r="B133" s="54" t="s">
        <v>242</v>
      </c>
      <c r="C133" s="31">
        <v>4301031235</v>
      </c>
      <c r="D133" s="558">
        <v>4680115883444</v>
      </c>
      <c r="E133" s="559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60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243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241</v>
      </c>
      <c r="B134" s="54" t="s">
        <v>244</v>
      </c>
      <c r="C134" s="31">
        <v>4301031234</v>
      </c>
      <c r="D134" s="558">
        <v>4680115883444</v>
      </c>
      <c r="E134" s="559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5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243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72"/>
      <c r="B135" s="550"/>
      <c r="C135" s="550"/>
      <c r="D135" s="550"/>
      <c r="E135" s="550"/>
      <c r="F135" s="550"/>
      <c r="G135" s="550"/>
      <c r="H135" s="550"/>
      <c r="I135" s="550"/>
      <c r="J135" s="550"/>
      <c r="K135" s="550"/>
      <c r="L135" s="550"/>
      <c r="M135" s="550"/>
      <c r="N135" s="550"/>
      <c r="O135" s="573"/>
      <c r="P135" s="554" t="s">
        <v>75</v>
      </c>
      <c r="Q135" s="555"/>
      <c r="R135" s="555"/>
      <c r="S135" s="555"/>
      <c r="T135" s="555"/>
      <c r="U135" s="555"/>
      <c r="V135" s="556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0"/>
      <c r="B136" s="550"/>
      <c r="C136" s="550"/>
      <c r="D136" s="550"/>
      <c r="E136" s="550"/>
      <c r="F136" s="550"/>
      <c r="G136" s="550"/>
      <c r="H136" s="550"/>
      <c r="I136" s="550"/>
      <c r="J136" s="550"/>
      <c r="K136" s="550"/>
      <c r="L136" s="550"/>
      <c r="M136" s="550"/>
      <c r="N136" s="550"/>
      <c r="O136" s="573"/>
      <c r="P136" s="554" t="s">
        <v>75</v>
      </c>
      <c r="Q136" s="555"/>
      <c r="R136" s="555"/>
      <c r="S136" s="555"/>
      <c r="T136" s="555"/>
      <c r="U136" s="555"/>
      <c r="V136" s="556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7" t="s">
        <v>77</v>
      </c>
      <c r="B137" s="550"/>
      <c r="C137" s="550"/>
      <c r="D137" s="550"/>
      <c r="E137" s="550"/>
      <c r="F137" s="550"/>
      <c r="G137" s="550"/>
      <c r="H137" s="550"/>
      <c r="I137" s="550"/>
      <c r="J137" s="550"/>
      <c r="K137" s="550"/>
      <c r="L137" s="550"/>
      <c r="M137" s="550"/>
      <c r="N137" s="550"/>
      <c r="O137" s="550"/>
      <c r="P137" s="550"/>
      <c r="Q137" s="550"/>
      <c r="R137" s="550"/>
      <c r="S137" s="550"/>
      <c r="T137" s="550"/>
      <c r="U137" s="550"/>
      <c r="V137" s="550"/>
      <c r="W137" s="550"/>
      <c r="X137" s="550"/>
      <c r="Y137" s="550"/>
      <c r="Z137" s="550"/>
      <c r="AA137" s="541"/>
      <c r="AB137" s="541"/>
      <c r="AC137" s="541"/>
    </row>
    <row r="138" spans="1:68" ht="16.5" hidden="1" customHeight="1" x14ac:dyDescent="0.25">
      <c r="A138" s="54" t="s">
        <v>245</v>
      </c>
      <c r="B138" s="54" t="s">
        <v>246</v>
      </c>
      <c r="C138" s="31">
        <v>4301051477</v>
      </c>
      <c r="D138" s="558">
        <v>4680115882584</v>
      </c>
      <c r="E138" s="559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239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245</v>
      </c>
      <c r="B139" s="54" t="s">
        <v>247</v>
      </c>
      <c r="C139" s="31">
        <v>4301051476</v>
      </c>
      <c r="D139" s="558">
        <v>4680115882584</v>
      </c>
      <c r="E139" s="559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64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239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72"/>
      <c r="B140" s="550"/>
      <c r="C140" s="550"/>
      <c r="D140" s="550"/>
      <c r="E140" s="550"/>
      <c r="F140" s="550"/>
      <c r="G140" s="550"/>
      <c r="H140" s="550"/>
      <c r="I140" s="550"/>
      <c r="J140" s="550"/>
      <c r="K140" s="550"/>
      <c r="L140" s="550"/>
      <c r="M140" s="550"/>
      <c r="N140" s="550"/>
      <c r="O140" s="573"/>
      <c r="P140" s="554" t="s">
        <v>75</v>
      </c>
      <c r="Q140" s="555"/>
      <c r="R140" s="555"/>
      <c r="S140" s="555"/>
      <c r="T140" s="555"/>
      <c r="U140" s="555"/>
      <c r="V140" s="556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0"/>
      <c r="B141" s="550"/>
      <c r="C141" s="550"/>
      <c r="D141" s="550"/>
      <c r="E141" s="550"/>
      <c r="F141" s="550"/>
      <c r="G141" s="550"/>
      <c r="H141" s="550"/>
      <c r="I141" s="550"/>
      <c r="J141" s="550"/>
      <c r="K141" s="550"/>
      <c r="L141" s="550"/>
      <c r="M141" s="550"/>
      <c r="N141" s="550"/>
      <c r="O141" s="573"/>
      <c r="P141" s="554" t="s">
        <v>75</v>
      </c>
      <c r="Q141" s="555"/>
      <c r="R141" s="555"/>
      <c r="S141" s="555"/>
      <c r="T141" s="555"/>
      <c r="U141" s="555"/>
      <c r="V141" s="556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69" t="s">
        <v>100</v>
      </c>
      <c r="B142" s="550"/>
      <c r="C142" s="550"/>
      <c r="D142" s="550"/>
      <c r="E142" s="550"/>
      <c r="F142" s="550"/>
      <c r="G142" s="550"/>
      <c r="H142" s="550"/>
      <c r="I142" s="550"/>
      <c r="J142" s="550"/>
      <c r="K142" s="550"/>
      <c r="L142" s="550"/>
      <c r="M142" s="550"/>
      <c r="N142" s="550"/>
      <c r="O142" s="550"/>
      <c r="P142" s="550"/>
      <c r="Q142" s="550"/>
      <c r="R142" s="550"/>
      <c r="S142" s="550"/>
      <c r="T142" s="550"/>
      <c r="U142" s="550"/>
      <c r="V142" s="550"/>
      <c r="W142" s="550"/>
      <c r="X142" s="550"/>
      <c r="Y142" s="550"/>
      <c r="Z142" s="550"/>
      <c r="AA142" s="540"/>
      <c r="AB142" s="540"/>
      <c r="AC142" s="540"/>
    </row>
    <row r="143" spans="1:68" ht="14.25" hidden="1" customHeight="1" x14ac:dyDescent="0.25">
      <c r="A143" s="557" t="s">
        <v>102</v>
      </c>
      <c r="B143" s="550"/>
      <c r="C143" s="550"/>
      <c r="D143" s="550"/>
      <c r="E143" s="550"/>
      <c r="F143" s="550"/>
      <c r="G143" s="550"/>
      <c r="H143" s="550"/>
      <c r="I143" s="550"/>
      <c r="J143" s="550"/>
      <c r="K143" s="550"/>
      <c r="L143" s="550"/>
      <c r="M143" s="550"/>
      <c r="N143" s="550"/>
      <c r="O143" s="550"/>
      <c r="P143" s="550"/>
      <c r="Q143" s="550"/>
      <c r="R143" s="550"/>
      <c r="S143" s="550"/>
      <c r="T143" s="550"/>
      <c r="U143" s="550"/>
      <c r="V143" s="550"/>
      <c r="W143" s="550"/>
      <c r="X143" s="550"/>
      <c r="Y143" s="550"/>
      <c r="Z143" s="550"/>
      <c r="AA143" s="541"/>
      <c r="AB143" s="541"/>
      <c r="AC143" s="541"/>
    </row>
    <row r="144" spans="1:68" ht="27" hidden="1" customHeight="1" x14ac:dyDescent="0.25">
      <c r="A144" s="54" t="s">
        <v>248</v>
      </c>
      <c r="B144" s="54" t="s">
        <v>249</v>
      </c>
      <c r="C144" s="31">
        <v>4301012244</v>
      </c>
      <c r="D144" s="558">
        <v>4680115887374</v>
      </c>
      <c r="E144" s="559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106</v>
      </c>
      <c r="N144" s="33"/>
      <c r="O144" s="32">
        <v>55</v>
      </c>
      <c r="P144" s="86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250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251</v>
      </c>
      <c r="B145" s="54" t="s">
        <v>252</v>
      </c>
      <c r="C145" s="31">
        <v>4301011705</v>
      </c>
      <c r="D145" s="558">
        <v>4607091384604</v>
      </c>
      <c r="E145" s="559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110</v>
      </c>
      <c r="L145" s="32"/>
      <c r="M145" s="33" t="s">
        <v>106</v>
      </c>
      <c r="N145" s="33"/>
      <c r="O145" s="32">
        <v>50</v>
      </c>
      <c r="P145" s="81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253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72"/>
      <c r="B146" s="550"/>
      <c r="C146" s="550"/>
      <c r="D146" s="550"/>
      <c r="E146" s="550"/>
      <c r="F146" s="550"/>
      <c r="G146" s="550"/>
      <c r="H146" s="550"/>
      <c r="I146" s="550"/>
      <c r="J146" s="550"/>
      <c r="K146" s="550"/>
      <c r="L146" s="550"/>
      <c r="M146" s="550"/>
      <c r="N146" s="550"/>
      <c r="O146" s="573"/>
      <c r="P146" s="554" t="s">
        <v>75</v>
      </c>
      <c r="Q146" s="555"/>
      <c r="R146" s="555"/>
      <c r="S146" s="555"/>
      <c r="T146" s="555"/>
      <c r="U146" s="555"/>
      <c r="V146" s="556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0"/>
      <c r="B147" s="550"/>
      <c r="C147" s="550"/>
      <c r="D147" s="550"/>
      <c r="E147" s="550"/>
      <c r="F147" s="550"/>
      <c r="G147" s="550"/>
      <c r="H147" s="550"/>
      <c r="I147" s="550"/>
      <c r="J147" s="550"/>
      <c r="K147" s="550"/>
      <c r="L147" s="550"/>
      <c r="M147" s="550"/>
      <c r="N147" s="550"/>
      <c r="O147" s="573"/>
      <c r="P147" s="554" t="s">
        <v>75</v>
      </c>
      <c r="Q147" s="555"/>
      <c r="R147" s="555"/>
      <c r="S147" s="555"/>
      <c r="T147" s="555"/>
      <c r="U147" s="555"/>
      <c r="V147" s="556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7" t="s">
        <v>64</v>
      </c>
      <c r="B148" s="550"/>
      <c r="C148" s="550"/>
      <c r="D148" s="550"/>
      <c r="E148" s="550"/>
      <c r="F148" s="550"/>
      <c r="G148" s="550"/>
      <c r="H148" s="550"/>
      <c r="I148" s="550"/>
      <c r="J148" s="550"/>
      <c r="K148" s="550"/>
      <c r="L148" s="550"/>
      <c r="M148" s="550"/>
      <c r="N148" s="550"/>
      <c r="O148" s="550"/>
      <c r="P148" s="550"/>
      <c r="Q148" s="550"/>
      <c r="R148" s="550"/>
      <c r="S148" s="550"/>
      <c r="T148" s="550"/>
      <c r="U148" s="550"/>
      <c r="V148" s="550"/>
      <c r="W148" s="550"/>
      <c r="X148" s="550"/>
      <c r="Y148" s="550"/>
      <c r="Z148" s="550"/>
      <c r="AA148" s="541"/>
      <c r="AB148" s="541"/>
      <c r="AC148" s="541"/>
    </row>
    <row r="149" spans="1:68" ht="16.5" hidden="1" customHeight="1" x14ac:dyDescent="0.25">
      <c r="A149" s="54" t="s">
        <v>254</v>
      </c>
      <c r="B149" s="54" t="s">
        <v>255</v>
      </c>
      <c r="C149" s="31">
        <v>4301030895</v>
      </c>
      <c r="D149" s="558">
        <v>4607091387667</v>
      </c>
      <c r="E149" s="559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106</v>
      </c>
      <c r="N149" s="33"/>
      <c r="O149" s="32">
        <v>40</v>
      </c>
      <c r="P149" s="57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256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257</v>
      </c>
      <c r="B150" s="54" t="s">
        <v>258</v>
      </c>
      <c r="C150" s="31">
        <v>4301030961</v>
      </c>
      <c r="D150" s="558">
        <v>4607091387636</v>
      </c>
      <c r="E150" s="559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5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259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4301030963</v>
      </c>
      <c r="D151" s="558">
        <v>4607091382426</v>
      </c>
      <c r="E151" s="559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262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72"/>
      <c r="B152" s="550"/>
      <c r="C152" s="550"/>
      <c r="D152" s="550"/>
      <c r="E152" s="550"/>
      <c r="F152" s="550"/>
      <c r="G152" s="550"/>
      <c r="H152" s="550"/>
      <c r="I152" s="550"/>
      <c r="J152" s="550"/>
      <c r="K152" s="550"/>
      <c r="L152" s="550"/>
      <c r="M152" s="550"/>
      <c r="N152" s="550"/>
      <c r="O152" s="573"/>
      <c r="P152" s="554" t="s">
        <v>75</v>
      </c>
      <c r="Q152" s="555"/>
      <c r="R152" s="555"/>
      <c r="S152" s="555"/>
      <c r="T152" s="555"/>
      <c r="U152" s="555"/>
      <c r="V152" s="556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0"/>
      <c r="B153" s="550"/>
      <c r="C153" s="550"/>
      <c r="D153" s="550"/>
      <c r="E153" s="550"/>
      <c r="F153" s="550"/>
      <c r="G153" s="550"/>
      <c r="H153" s="550"/>
      <c r="I153" s="550"/>
      <c r="J153" s="550"/>
      <c r="K153" s="550"/>
      <c r="L153" s="550"/>
      <c r="M153" s="550"/>
      <c r="N153" s="550"/>
      <c r="O153" s="573"/>
      <c r="P153" s="554" t="s">
        <v>75</v>
      </c>
      <c r="Q153" s="555"/>
      <c r="R153" s="555"/>
      <c r="S153" s="555"/>
      <c r="T153" s="555"/>
      <c r="U153" s="555"/>
      <c r="V153" s="556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7" t="s">
        <v>77</v>
      </c>
      <c r="B154" s="550"/>
      <c r="C154" s="550"/>
      <c r="D154" s="550"/>
      <c r="E154" s="550"/>
      <c r="F154" s="550"/>
      <c r="G154" s="550"/>
      <c r="H154" s="550"/>
      <c r="I154" s="550"/>
      <c r="J154" s="550"/>
      <c r="K154" s="550"/>
      <c r="L154" s="550"/>
      <c r="M154" s="550"/>
      <c r="N154" s="550"/>
      <c r="O154" s="550"/>
      <c r="P154" s="550"/>
      <c r="Q154" s="550"/>
      <c r="R154" s="550"/>
      <c r="S154" s="550"/>
      <c r="T154" s="550"/>
      <c r="U154" s="550"/>
      <c r="V154" s="550"/>
      <c r="W154" s="550"/>
      <c r="X154" s="550"/>
      <c r="Y154" s="550"/>
      <c r="Z154" s="550"/>
      <c r="AA154" s="541"/>
      <c r="AB154" s="541"/>
      <c r="AC154" s="541"/>
    </row>
    <row r="155" spans="1:68" ht="27" hidden="1" customHeight="1" x14ac:dyDescent="0.25">
      <c r="A155" s="54" t="s">
        <v>263</v>
      </c>
      <c r="B155" s="54" t="s">
        <v>264</v>
      </c>
      <c r="C155" s="31">
        <v>4301052064</v>
      </c>
      <c r="D155" s="558">
        <v>4680115887459</v>
      </c>
      <c r="E155" s="559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265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72"/>
      <c r="B156" s="550"/>
      <c r="C156" s="550"/>
      <c r="D156" s="550"/>
      <c r="E156" s="550"/>
      <c r="F156" s="550"/>
      <c r="G156" s="550"/>
      <c r="H156" s="550"/>
      <c r="I156" s="550"/>
      <c r="J156" s="550"/>
      <c r="K156" s="550"/>
      <c r="L156" s="550"/>
      <c r="M156" s="550"/>
      <c r="N156" s="550"/>
      <c r="O156" s="573"/>
      <c r="P156" s="554" t="s">
        <v>75</v>
      </c>
      <c r="Q156" s="555"/>
      <c r="R156" s="555"/>
      <c r="S156" s="555"/>
      <c r="T156" s="555"/>
      <c r="U156" s="555"/>
      <c r="V156" s="556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0"/>
      <c r="B157" s="550"/>
      <c r="C157" s="550"/>
      <c r="D157" s="550"/>
      <c r="E157" s="550"/>
      <c r="F157" s="550"/>
      <c r="G157" s="550"/>
      <c r="H157" s="550"/>
      <c r="I157" s="550"/>
      <c r="J157" s="550"/>
      <c r="K157" s="550"/>
      <c r="L157" s="550"/>
      <c r="M157" s="550"/>
      <c r="N157" s="550"/>
      <c r="O157" s="573"/>
      <c r="P157" s="554" t="s">
        <v>75</v>
      </c>
      <c r="Q157" s="555"/>
      <c r="R157" s="555"/>
      <c r="S157" s="555"/>
      <c r="T157" s="555"/>
      <c r="U157" s="555"/>
      <c r="V157" s="556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88" t="s">
        <v>266</v>
      </c>
      <c r="B158" s="689"/>
      <c r="C158" s="689"/>
      <c r="D158" s="689"/>
      <c r="E158" s="689"/>
      <c r="F158" s="689"/>
      <c r="G158" s="689"/>
      <c r="H158" s="689"/>
      <c r="I158" s="689"/>
      <c r="J158" s="689"/>
      <c r="K158" s="689"/>
      <c r="L158" s="689"/>
      <c r="M158" s="689"/>
      <c r="N158" s="689"/>
      <c r="O158" s="689"/>
      <c r="P158" s="689"/>
      <c r="Q158" s="689"/>
      <c r="R158" s="689"/>
      <c r="S158" s="689"/>
      <c r="T158" s="689"/>
      <c r="U158" s="689"/>
      <c r="V158" s="689"/>
      <c r="W158" s="689"/>
      <c r="X158" s="689"/>
      <c r="Y158" s="689"/>
      <c r="Z158" s="689"/>
      <c r="AA158" s="48"/>
      <c r="AB158" s="48"/>
      <c r="AC158" s="48"/>
    </row>
    <row r="159" spans="1:68" ht="16.5" hidden="1" customHeight="1" x14ac:dyDescent="0.25">
      <c r="A159" s="569" t="s">
        <v>267</v>
      </c>
      <c r="B159" s="550"/>
      <c r="C159" s="550"/>
      <c r="D159" s="550"/>
      <c r="E159" s="550"/>
      <c r="F159" s="550"/>
      <c r="G159" s="550"/>
      <c r="H159" s="550"/>
      <c r="I159" s="550"/>
      <c r="J159" s="550"/>
      <c r="K159" s="550"/>
      <c r="L159" s="550"/>
      <c r="M159" s="550"/>
      <c r="N159" s="550"/>
      <c r="O159" s="550"/>
      <c r="P159" s="550"/>
      <c r="Q159" s="550"/>
      <c r="R159" s="550"/>
      <c r="S159" s="550"/>
      <c r="T159" s="550"/>
      <c r="U159" s="550"/>
      <c r="V159" s="550"/>
      <c r="W159" s="550"/>
      <c r="X159" s="550"/>
      <c r="Y159" s="550"/>
      <c r="Z159" s="550"/>
      <c r="AA159" s="540"/>
      <c r="AB159" s="540"/>
      <c r="AC159" s="540"/>
    </row>
    <row r="160" spans="1:68" ht="14.25" hidden="1" customHeight="1" x14ac:dyDescent="0.25">
      <c r="A160" s="557" t="s">
        <v>135</v>
      </c>
      <c r="B160" s="550"/>
      <c r="C160" s="550"/>
      <c r="D160" s="550"/>
      <c r="E160" s="550"/>
      <c r="F160" s="550"/>
      <c r="G160" s="550"/>
      <c r="H160" s="550"/>
      <c r="I160" s="550"/>
      <c r="J160" s="550"/>
      <c r="K160" s="550"/>
      <c r="L160" s="550"/>
      <c r="M160" s="550"/>
      <c r="N160" s="550"/>
      <c r="O160" s="550"/>
      <c r="P160" s="550"/>
      <c r="Q160" s="550"/>
      <c r="R160" s="550"/>
      <c r="S160" s="550"/>
      <c r="T160" s="550"/>
      <c r="U160" s="550"/>
      <c r="V160" s="550"/>
      <c r="W160" s="550"/>
      <c r="X160" s="550"/>
      <c r="Y160" s="550"/>
      <c r="Z160" s="550"/>
      <c r="AA160" s="541"/>
      <c r="AB160" s="541"/>
      <c r="AC160" s="541"/>
    </row>
    <row r="161" spans="1:68" ht="27" hidden="1" customHeight="1" x14ac:dyDescent="0.25">
      <c r="A161" s="54" t="s">
        <v>268</v>
      </c>
      <c r="B161" s="54" t="s">
        <v>269</v>
      </c>
      <c r="C161" s="31">
        <v>4301020323</v>
      </c>
      <c r="D161" s="558">
        <v>4680115886223</v>
      </c>
      <c r="E161" s="559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67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270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72"/>
      <c r="B162" s="550"/>
      <c r="C162" s="550"/>
      <c r="D162" s="550"/>
      <c r="E162" s="550"/>
      <c r="F162" s="550"/>
      <c r="G162" s="550"/>
      <c r="H162" s="550"/>
      <c r="I162" s="550"/>
      <c r="J162" s="550"/>
      <c r="K162" s="550"/>
      <c r="L162" s="550"/>
      <c r="M162" s="550"/>
      <c r="N162" s="550"/>
      <c r="O162" s="573"/>
      <c r="P162" s="554" t="s">
        <v>75</v>
      </c>
      <c r="Q162" s="555"/>
      <c r="R162" s="555"/>
      <c r="S162" s="555"/>
      <c r="T162" s="555"/>
      <c r="U162" s="555"/>
      <c r="V162" s="556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0"/>
      <c r="B163" s="550"/>
      <c r="C163" s="550"/>
      <c r="D163" s="550"/>
      <c r="E163" s="550"/>
      <c r="F163" s="550"/>
      <c r="G163" s="550"/>
      <c r="H163" s="550"/>
      <c r="I163" s="550"/>
      <c r="J163" s="550"/>
      <c r="K163" s="550"/>
      <c r="L163" s="550"/>
      <c r="M163" s="550"/>
      <c r="N163" s="550"/>
      <c r="O163" s="573"/>
      <c r="P163" s="554" t="s">
        <v>75</v>
      </c>
      <c r="Q163" s="555"/>
      <c r="R163" s="555"/>
      <c r="S163" s="555"/>
      <c r="T163" s="555"/>
      <c r="U163" s="555"/>
      <c r="V163" s="556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7" t="s">
        <v>64</v>
      </c>
      <c r="B164" s="550"/>
      <c r="C164" s="550"/>
      <c r="D164" s="550"/>
      <c r="E164" s="550"/>
      <c r="F164" s="550"/>
      <c r="G164" s="550"/>
      <c r="H164" s="550"/>
      <c r="I164" s="550"/>
      <c r="J164" s="550"/>
      <c r="K164" s="550"/>
      <c r="L164" s="550"/>
      <c r="M164" s="550"/>
      <c r="N164" s="550"/>
      <c r="O164" s="550"/>
      <c r="P164" s="550"/>
      <c r="Q164" s="550"/>
      <c r="R164" s="550"/>
      <c r="S164" s="550"/>
      <c r="T164" s="550"/>
      <c r="U164" s="550"/>
      <c r="V164" s="550"/>
      <c r="W164" s="550"/>
      <c r="X164" s="550"/>
      <c r="Y164" s="550"/>
      <c r="Z164" s="550"/>
      <c r="AA164" s="541"/>
      <c r="AB164" s="541"/>
      <c r="AC164" s="541"/>
    </row>
    <row r="165" spans="1:68" ht="37.5" hidden="1" customHeight="1" x14ac:dyDescent="0.25">
      <c r="A165" s="54" t="s">
        <v>271</v>
      </c>
      <c r="B165" s="54" t="s">
        <v>272</v>
      </c>
      <c r="C165" s="31">
        <v>4301031447</v>
      </c>
      <c r="D165" s="558">
        <v>4680115887565</v>
      </c>
      <c r="E165" s="559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859" t="s">
        <v>273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274</v>
      </c>
      <c r="AC165" s="199" t="s">
        <v>275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276</v>
      </c>
      <c r="B166" s="54" t="s">
        <v>277</v>
      </c>
      <c r="C166" s="31">
        <v>4301031191</v>
      </c>
      <c r="D166" s="558">
        <v>4680115880993</v>
      </c>
      <c r="E166" s="559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8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278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279</v>
      </c>
      <c r="B167" s="54" t="s">
        <v>280</v>
      </c>
      <c r="C167" s="31">
        <v>4301031204</v>
      </c>
      <c r="D167" s="558">
        <v>4680115881761</v>
      </c>
      <c r="E167" s="559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281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282</v>
      </c>
      <c r="B168" s="54" t="s">
        <v>283</v>
      </c>
      <c r="C168" s="31">
        <v>4301031201</v>
      </c>
      <c r="D168" s="558">
        <v>4680115881563</v>
      </c>
      <c r="E168" s="559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110</v>
      </c>
      <c r="L168" s="32"/>
      <c r="M168" s="33" t="s">
        <v>68</v>
      </c>
      <c r="N168" s="33"/>
      <c r="O168" s="32">
        <v>40</v>
      </c>
      <c r="P168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284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285</v>
      </c>
      <c r="B169" s="54" t="s">
        <v>286</v>
      </c>
      <c r="C169" s="31">
        <v>4301031199</v>
      </c>
      <c r="D169" s="558">
        <v>4680115880986</v>
      </c>
      <c r="E169" s="559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/>
      <c r="M169" s="33" t="s">
        <v>68</v>
      </c>
      <c r="N169" s="33"/>
      <c r="O169" s="32">
        <v>40</v>
      </c>
      <c r="P169" s="7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287</v>
      </c>
      <c r="B170" s="54" t="s">
        <v>288</v>
      </c>
      <c r="C170" s="31">
        <v>4301031443</v>
      </c>
      <c r="D170" s="558">
        <v>4680115887213</v>
      </c>
      <c r="E170" s="559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81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290</v>
      </c>
      <c r="B171" s="54" t="s">
        <v>291</v>
      </c>
      <c r="C171" s="31">
        <v>4301031205</v>
      </c>
      <c r="D171" s="558">
        <v>4680115881785</v>
      </c>
      <c r="E171" s="559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8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281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292</v>
      </c>
      <c r="B172" s="54" t="s">
        <v>293</v>
      </c>
      <c r="C172" s="31">
        <v>4301031399</v>
      </c>
      <c r="D172" s="558">
        <v>4680115886537</v>
      </c>
      <c r="E172" s="559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294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295</v>
      </c>
      <c r="B173" s="54" t="s">
        <v>296</v>
      </c>
      <c r="C173" s="31">
        <v>4301031279</v>
      </c>
      <c r="D173" s="558">
        <v>4680115887596</v>
      </c>
      <c r="E173" s="559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176</v>
      </c>
      <c r="L173" s="32"/>
      <c r="M173" s="33" t="s">
        <v>68</v>
      </c>
      <c r="N173" s="33"/>
      <c r="O173" s="32">
        <v>45</v>
      </c>
      <c r="P173" s="839" t="s">
        <v>297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298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299</v>
      </c>
      <c r="B174" s="54" t="s">
        <v>300</v>
      </c>
      <c r="C174" s="31">
        <v>4301031202</v>
      </c>
      <c r="D174" s="558">
        <v>4680115881679</v>
      </c>
      <c r="E174" s="559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57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284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4301031158</v>
      </c>
      <c r="D175" s="558">
        <v>4680115880191</v>
      </c>
      <c r="E175" s="559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6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284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303</v>
      </c>
      <c r="B176" s="54" t="s">
        <v>304</v>
      </c>
      <c r="C176" s="31">
        <v>4301031245</v>
      </c>
      <c r="D176" s="558">
        <v>4680115883963</v>
      </c>
      <c r="E176" s="559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305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idden="1" x14ac:dyDescent="0.2">
      <c r="A177" s="572"/>
      <c r="B177" s="550"/>
      <c r="C177" s="550"/>
      <c r="D177" s="550"/>
      <c r="E177" s="550"/>
      <c r="F177" s="550"/>
      <c r="G177" s="550"/>
      <c r="H177" s="550"/>
      <c r="I177" s="550"/>
      <c r="J177" s="550"/>
      <c r="K177" s="550"/>
      <c r="L177" s="550"/>
      <c r="M177" s="550"/>
      <c r="N177" s="550"/>
      <c r="O177" s="573"/>
      <c r="P177" s="554" t="s">
        <v>75</v>
      </c>
      <c r="Q177" s="555"/>
      <c r="R177" s="555"/>
      <c r="S177" s="555"/>
      <c r="T177" s="555"/>
      <c r="U177" s="555"/>
      <c r="V177" s="556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hidden="1" x14ac:dyDescent="0.2">
      <c r="A178" s="550"/>
      <c r="B178" s="550"/>
      <c r="C178" s="550"/>
      <c r="D178" s="550"/>
      <c r="E178" s="550"/>
      <c r="F178" s="550"/>
      <c r="G178" s="550"/>
      <c r="H178" s="550"/>
      <c r="I178" s="550"/>
      <c r="J178" s="550"/>
      <c r="K178" s="550"/>
      <c r="L178" s="550"/>
      <c r="M178" s="550"/>
      <c r="N178" s="550"/>
      <c r="O178" s="573"/>
      <c r="P178" s="554" t="s">
        <v>75</v>
      </c>
      <c r="Q178" s="555"/>
      <c r="R178" s="555"/>
      <c r="S178" s="555"/>
      <c r="T178" s="555"/>
      <c r="U178" s="555"/>
      <c r="V178" s="556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hidden="1" customHeight="1" x14ac:dyDescent="0.25">
      <c r="A179" s="557" t="s">
        <v>94</v>
      </c>
      <c r="B179" s="550"/>
      <c r="C179" s="550"/>
      <c r="D179" s="550"/>
      <c r="E179" s="550"/>
      <c r="F179" s="550"/>
      <c r="G179" s="550"/>
      <c r="H179" s="550"/>
      <c r="I179" s="550"/>
      <c r="J179" s="550"/>
      <c r="K179" s="550"/>
      <c r="L179" s="550"/>
      <c r="M179" s="550"/>
      <c r="N179" s="550"/>
      <c r="O179" s="550"/>
      <c r="P179" s="550"/>
      <c r="Q179" s="550"/>
      <c r="R179" s="550"/>
      <c r="S179" s="550"/>
      <c r="T179" s="550"/>
      <c r="U179" s="550"/>
      <c r="V179" s="550"/>
      <c r="W179" s="550"/>
      <c r="X179" s="550"/>
      <c r="Y179" s="550"/>
      <c r="Z179" s="550"/>
      <c r="AA179" s="541"/>
      <c r="AB179" s="541"/>
      <c r="AC179" s="541"/>
    </row>
    <row r="180" spans="1:68" ht="27" hidden="1" customHeight="1" x14ac:dyDescent="0.25">
      <c r="A180" s="54" t="s">
        <v>306</v>
      </c>
      <c r="B180" s="54" t="s">
        <v>307</v>
      </c>
      <c r="C180" s="31">
        <v>4301032053</v>
      </c>
      <c r="D180" s="558">
        <v>4680115886780</v>
      </c>
      <c r="E180" s="559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308</v>
      </c>
      <c r="L180" s="32"/>
      <c r="M180" s="33" t="s">
        <v>309</v>
      </c>
      <c r="N180" s="33"/>
      <c r="O180" s="32">
        <v>60</v>
      </c>
      <c r="P180" s="7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310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311</v>
      </c>
      <c r="B181" s="54" t="s">
        <v>312</v>
      </c>
      <c r="C181" s="31">
        <v>4301032051</v>
      </c>
      <c r="D181" s="558">
        <v>4680115886742</v>
      </c>
      <c r="E181" s="559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308</v>
      </c>
      <c r="L181" s="32"/>
      <c r="M181" s="33" t="s">
        <v>309</v>
      </c>
      <c r="N181" s="33"/>
      <c r="O181" s="32">
        <v>90</v>
      </c>
      <c r="P181" s="6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313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4301032052</v>
      </c>
      <c r="D182" s="558">
        <v>4680115886766</v>
      </c>
      <c r="E182" s="559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308</v>
      </c>
      <c r="L182" s="32"/>
      <c r="M182" s="33" t="s">
        <v>309</v>
      </c>
      <c r="N182" s="33"/>
      <c r="O182" s="32">
        <v>90</v>
      </c>
      <c r="P182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313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72"/>
      <c r="B183" s="550"/>
      <c r="C183" s="550"/>
      <c r="D183" s="550"/>
      <c r="E183" s="550"/>
      <c r="F183" s="550"/>
      <c r="G183" s="550"/>
      <c r="H183" s="550"/>
      <c r="I183" s="550"/>
      <c r="J183" s="550"/>
      <c r="K183" s="550"/>
      <c r="L183" s="550"/>
      <c r="M183" s="550"/>
      <c r="N183" s="550"/>
      <c r="O183" s="573"/>
      <c r="P183" s="554" t="s">
        <v>75</v>
      </c>
      <c r="Q183" s="555"/>
      <c r="R183" s="555"/>
      <c r="S183" s="555"/>
      <c r="T183" s="555"/>
      <c r="U183" s="555"/>
      <c r="V183" s="556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hidden="1" x14ac:dyDescent="0.2">
      <c r="A184" s="550"/>
      <c r="B184" s="550"/>
      <c r="C184" s="550"/>
      <c r="D184" s="550"/>
      <c r="E184" s="550"/>
      <c r="F184" s="550"/>
      <c r="G184" s="550"/>
      <c r="H184" s="550"/>
      <c r="I184" s="550"/>
      <c r="J184" s="550"/>
      <c r="K184" s="550"/>
      <c r="L184" s="550"/>
      <c r="M184" s="550"/>
      <c r="N184" s="550"/>
      <c r="O184" s="573"/>
      <c r="P184" s="554" t="s">
        <v>75</v>
      </c>
      <c r="Q184" s="555"/>
      <c r="R184" s="555"/>
      <c r="S184" s="555"/>
      <c r="T184" s="555"/>
      <c r="U184" s="555"/>
      <c r="V184" s="556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hidden="1" customHeight="1" x14ac:dyDescent="0.25">
      <c r="A185" s="557" t="s">
        <v>316</v>
      </c>
      <c r="B185" s="550"/>
      <c r="C185" s="550"/>
      <c r="D185" s="550"/>
      <c r="E185" s="550"/>
      <c r="F185" s="550"/>
      <c r="G185" s="550"/>
      <c r="H185" s="550"/>
      <c r="I185" s="550"/>
      <c r="J185" s="550"/>
      <c r="K185" s="550"/>
      <c r="L185" s="550"/>
      <c r="M185" s="550"/>
      <c r="N185" s="550"/>
      <c r="O185" s="550"/>
      <c r="P185" s="550"/>
      <c r="Q185" s="550"/>
      <c r="R185" s="550"/>
      <c r="S185" s="550"/>
      <c r="T185" s="550"/>
      <c r="U185" s="550"/>
      <c r="V185" s="550"/>
      <c r="W185" s="550"/>
      <c r="X185" s="550"/>
      <c r="Y185" s="550"/>
      <c r="Z185" s="550"/>
      <c r="AA185" s="541"/>
      <c r="AB185" s="541"/>
      <c r="AC185" s="541"/>
    </row>
    <row r="186" spans="1:68" ht="27" hidden="1" customHeight="1" x14ac:dyDescent="0.25">
      <c r="A186" s="54" t="s">
        <v>317</v>
      </c>
      <c r="B186" s="54" t="s">
        <v>318</v>
      </c>
      <c r="C186" s="31">
        <v>4301170013</v>
      </c>
      <c r="D186" s="558">
        <v>4680115886797</v>
      </c>
      <c r="E186" s="559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308</v>
      </c>
      <c r="L186" s="32"/>
      <c r="M186" s="33" t="s">
        <v>309</v>
      </c>
      <c r="N186" s="33"/>
      <c r="O186" s="32">
        <v>90</v>
      </c>
      <c r="P186" s="6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313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2"/>
      <c r="B187" s="550"/>
      <c r="C187" s="550"/>
      <c r="D187" s="550"/>
      <c r="E187" s="550"/>
      <c r="F187" s="550"/>
      <c r="G187" s="550"/>
      <c r="H187" s="550"/>
      <c r="I187" s="550"/>
      <c r="J187" s="550"/>
      <c r="K187" s="550"/>
      <c r="L187" s="550"/>
      <c r="M187" s="550"/>
      <c r="N187" s="550"/>
      <c r="O187" s="573"/>
      <c r="P187" s="554" t="s">
        <v>75</v>
      </c>
      <c r="Q187" s="555"/>
      <c r="R187" s="555"/>
      <c r="S187" s="555"/>
      <c r="T187" s="555"/>
      <c r="U187" s="555"/>
      <c r="V187" s="556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0"/>
      <c r="B188" s="550"/>
      <c r="C188" s="550"/>
      <c r="D188" s="550"/>
      <c r="E188" s="550"/>
      <c r="F188" s="550"/>
      <c r="G188" s="550"/>
      <c r="H188" s="550"/>
      <c r="I188" s="550"/>
      <c r="J188" s="550"/>
      <c r="K188" s="550"/>
      <c r="L188" s="550"/>
      <c r="M188" s="550"/>
      <c r="N188" s="550"/>
      <c r="O188" s="573"/>
      <c r="P188" s="554" t="s">
        <v>75</v>
      </c>
      <c r="Q188" s="555"/>
      <c r="R188" s="555"/>
      <c r="S188" s="555"/>
      <c r="T188" s="555"/>
      <c r="U188" s="555"/>
      <c r="V188" s="556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69" t="s">
        <v>319</v>
      </c>
      <c r="B189" s="550"/>
      <c r="C189" s="550"/>
      <c r="D189" s="550"/>
      <c r="E189" s="550"/>
      <c r="F189" s="550"/>
      <c r="G189" s="550"/>
      <c r="H189" s="550"/>
      <c r="I189" s="550"/>
      <c r="J189" s="550"/>
      <c r="K189" s="550"/>
      <c r="L189" s="550"/>
      <c r="M189" s="550"/>
      <c r="N189" s="550"/>
      <c r="O189" s="550"/>
      <c r="P189" s="550"/>
      <c r="Q189" s="550"/>
      <c r="R189" s="550"/>
      <c r="S189" s="550"/>
      <c r="T189" s="550"/>
      <c r="U189" s="550"/>
      <c r="V189" s="550"/>
      <c r="W189" s="550"/>
      <c r="X189" s="550"/>
      <c r="Y189" s="550"/>
      <c r="Z189" s="550"/>
      <c r="AA189" s="540"/>
      <c r="AB189" s="540"/>
      <c r="AC189" s="540"/>
    </row>
    <row r="190" spans="1:68" ht="14.25" hidden="1" customHeight="1" x14ac:dyDescent="0.25">
      <c r="A190" s="557" t="s">
        <v>102</v>
      </c>
      <c r="B190" s="550"/>
      <c r="C190" s="550"/>
      <c r="D190" s="550"/>
      <c r="E190" s="550"/>
      <c r="F190" s="550"/>
      <c r="G190" s="550"/>
      <c r="H190" s="550"/>
      <c r="I190" s="550"/>
      <c r="J190" s="550"/>
      <c r="K190" s="550"/>
      <c r="L190" s="550"/>
      <c r="M190" s="550"/>
      <c r="N190" s="550"/>
      <c r="O190" s="550"/>
      <c r="P190" s="550"/>
      <c r="Q190" s="550"/>
      <c r="R190" s="550"/>
      <c r="S190" s="550"/>
      <c r="T190" s="550"/>
      <c r="U190" s="550"/>
      <c r="V190" s="550"/>
      <c r="W190" s="550"/>
      <c r="X190" s="550"/>
      <c r="Y190" s="550"/>
      <c r="Z190" s="550"/>
      <c r="AA190" s="541"/>
      <c r="AB190" s="541"/>
      <c r="AC190" s="541"/>
    </row>
    <row r="191" spans="1:68" ht="27" hidden="1" customHeight="1" x14ac:dyDescent="0.25">
      <c r="A191" s="54" t="s">
        <v>320</v>
      </c>
      <c r="B191" s="54" t="s">
        <v>321</v>
      </c>
      <c r="C191" s="31">
        <v>4301011450</v>
      </c>
      <c r="D191" s="558">
        <v>4680115881402</v>
      </c>
      <c r="E191" s="559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106</v>
      </c>
      <c r="N191" s="33"/>
      <c r="O191" s="32">
        <v>55</v>
      </c>
      <c r="P191" s="6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322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558">
        <v>4680115881396</v>
      </c>
      <c r="E192" s="559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106</v>
      </c>
      <c r="N192" s="33"/>
      <c r="O192" s="32">
        <v>55</v>
      </c>
      <c r="P192" s="80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322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72"/>
      <c r="B193" s="550"/>
      <c r="C193" s="550"/>
      <c r="D193" s="550"/>
      <c r="E193" s="550"/>
      <c r="F193" s="550"/>
      <c r="G193" s="550"/>
      <c r="H193" s="550"/>
      <c r="I193" s="550"/>
      <c r="J193" s="550"/>
      <c r="K193" s="550"/>
      <c r="L193" s="550"/>
      <c r="M193" s="550"/>
      <c r="N193" s="550"/>
      <c r="O193" s="573"/>
      <c r="P193" s="554" t="s">
        <v>75</v>
      </c>
      <c r="Q193" s="555"/>
      <c r="R193" s="555"/>
      <c r="S193" s="555"/>
      <c r="T193" s="555"/>
      <c r="U193" s="555"/>
      <c r="V193" s="556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0"/>
      <c r="B194" s="550"/>
      <c r="C194" s="550"/>
      <c r="D194" s="550"/>
      <c r="E194" s="550"/>
      <c r="F194" s="550"/>
      <c r="G194" s="550"/>
      <c r="H194" s="550"/>
      <c r="I194" s="550"/>
      <c r="J194" s="550"/>
      <c r="K194" s="550"/>
      <c r="L194" s="550"/>
      <c r="M194" s="550"/>
      <c r="N194" s="550"/>
      <c r="O194" s="573"/>
      <c r="P194" s="554" t="s">
        <v>75</v>
      </c>
      <c r="Q194" s="555"/>
      <c r="R194" s="555"/>
      <c r="S194" s="555"/>
      <c r="T194" s="555"/>
      <c r="U194" s="555"/>
      <c r="V194" s="556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7" t="s">
        <v>135</v>
      </c>
      <c r="B195" s="550"/>
      <c r="C195" s="550"/>
      <c r="D195" s="550"/>
      <c r="E195" s="550"/>
      <c r="F195" s="550"/>
      <c r="G195" s="550"/>
      <c r="H195" s="550"/>
      <c r="I195" s="550"/>
      <c r="J195" s="550"/>
      <c r="K195" s="550"/>
      <c r="L195" s="550"/>
      <c r="M195" s="550"/>
      <c r="N195" s="550"/>
      <c r="O195" s="550"/>
      <c r="P195" s="550"/>
      <c r="Q195" s="550"/>
      <c r="R195" s="550"/>
      <c r="S195" s="550"/>
      <c r="T195" s="550"/>
      <c r="U195" s="550"/>
      <c r="V195" s="550"/>
      <c r="W195" s="550"/>
      <c r="X195" s="550"/>
      <c r="Y195" s="550"/>
      <c r="Z195" s="550"/>
      <c r="AA195" s="541"/>
      <c r="AB195" s="541"/>
      <c r="AC195" s="541"/>
    </row>
    <row r="196" spans="1:68" ht="16.5" hidden="1" customHeight="1" x14ac:dyDescent="0.25">
      <c r="A196" s="54" t="s">
        <v>325</v>
      </c>
      <c r="B196" s="54" t="s">
        <v>326</v>
      </c>
      <c r="C196" s="31">
        <v>4301020261</v>
      </c>
      <c r="D196" s="558">
        <v>4680115882935</v>
      </c>
      <c r="E196" s="559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106</v>
      </c>
      <c r="N196" s="33"/>
      <c r="O196" s="32">
        <v>50</v>
      </c>
      <c r="P196" s="6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327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558">
        <v>4680115880764</v>
      </c>
      <c r="E197" s="559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106</v>
      </c>
      <c r="N197" s="33"/>
      <c r="O197" s="32">
        <v>50</v>
      </c>
      <c r="P197" s="79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327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72"/>
      <c r="B198" s="550"/>
      <c r="C198" s="550"/>
      <c r="D198" s="550"/>
      <c r="E198" s="550"/>
      <c r="F198" s="550"/>
      <c r="G198" s="550"/>
      <c r="H198" s="550"/>
      <c r="I198" s="550"/>
      <c r="J198" s="550"/>
      <c r="K198" s="550"/>
      <c r="L198" s="550"/>
      <c r="M198" s="550"/>
      <c r="N198" s="550"/>
      <c r="O198" s="573"/>
      <c r="P198" s="554" t="s">
        <v>75</v>
      </c>
      <c r="Q198" s="555"/>
      <c r="R198" s="555"/>
      <c r="S198" s="555"/>
      <c r="T198" s="555"/>
      <c r="U198" s="555"/>
      <c r="V198" s="556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0"/>
      <c r="B199" s="550"/>
      <c r="C199" s="550"/>
      <c r="D199" s="550"/>
      <c r="E199" s="550"/>
      <c r="F199" s="550"/>
      <c r="G199" s="550"/>
      <c r="H199" s="550"/>
      <c r="I199" s="550"/>
      <c r="J199" s="550"/>
      <c r="K199" s="550"/>
      <c r="L199" s="550"/>
      <c r="M199" s="550"/>
      <c r="N199" s="550"/>
      <c r="O199" s="573"/>
      <c r="P199" s="554" t="s">
        <v>75</v>
      </c>
      <c r="Q199" s="555"/>
      <c r="R199" s="555"/>
      <c r="S199" s="555"/>
      <c r="T199" s="555"/>
      <c r="U199" s="555"/>
      <c r="V199" s="556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7" t="s">
        <v>64</v>
      </c>
      <c r="B200" s="550"/>
      <c r="C200" s="550"/>
      <c r="D200" s="550"/>
      <c r="E200" s="550"/>
      <c r="F200" s="550"/>
      <c r="G200" s="550"/>
      <c r="H200" s="550"/>
      <c r="I200" s="550"/>
      <c r="J200" s="550"/>
      <c r="K200" s="550"/>
      <c r="L200" s="550"/>
      <c r="M200" s="550"/>
      <c r="N200" s="550"/>
      <c r="O200" s="550"/>
      <c r="P200" s="550"/>
      <c r="Q200" s="550"/>
      <c r="R200" s="550"/>
      <c r="S200" s="550"/>
      <c r="T200" s="550"/>
      <c r="U200" s="550"/>
      <c r="V200" s="550"/>
      <c r="W200" s="550"/>
      <c r="X200" s="550"/>
      <c r="Y200" s="550"/>
      <c r="Z200" s="550"/>
      <c r="AA200" s="541"/>
      <c r="AB200" s="541"/>
      <c r="AC200" s="541"/>
    </row>
    <row r="201" spans="1:68" ht="27" hidden="1" customHeight="1" x14ac:dyDescent="0.25">
      <c r="A201" s="54" t="s">
        <v>330</v>
      </c>
      <c r="B201" s="54" t="s">
        <v>331</v>
      </c>
      <c r="C201" s="31">
        <v>4301031224</v>
      </c>
      <c r="D201" s="558">
        <v>4680115882683</v>
      </c>
      <c r="E201" s="559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110</v>
      </c>
      <c r="L201" s="32"/>
      <c r="M201" s="33" t="s">
        <v>68</v>
      </c>
      <c r="N201" s="33"/>
      <c r="O201" s="32">
        <v>40</v>
      </c>
      <c r="P201" s="65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332</v>
      </c>
      <c r="AG201" s="64"/>
      <c r="AJ201" s="68"/>
      <c r="AK201" s="68">
        <v>0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hidden="1" customHeight="1" x14ac:dyDescent="0.25">
      <c r="A202" s="54" t="s">
        <v>333</v>
      </c>
      <c r="B202" s="54" t="s">
        <v>334</v>
      </c>
      <c r="C202" s="31">
        <v>4301031230</v>
      </c>
      <c r="D202" s="558">
        <v>4680115882690</v>
      </c>
      <c r="E202" s="559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110</v>
      </c>
      <c r="L202" s="32"/>
      <c r="M202" s="33" t="s">
        <v>68</v>
      </c>
      <c r="N202" s="33"/>
      <c r="O202" s="32">
        <v>40</v>
      </c>
      <c r="P202" s="56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335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558">
        <v>4680115882669</v>
      </c>
      <c r="E203" s="559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110</v>
      </c>
      <c r="L203" s="32"/>
      <c r="M203" s="33" t="s">
        <v>68</v>
      </c>
      <c r="N203" s="33"/>
      <c r="O203" s="32">
        <v>40</v>
      </c>
      <c r="P203" s="74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338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339</v>
      </c>
      <c r="B204" s="54" t="s">
        <v>340</v>
      </c>
      <c r="C204" s="31">
        <v>4301031221</v>
      </c>
      <c r="D204" s="558">
        <v>4680115882676</v>
      </c>
      <c r="E204" s="559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110</v>
      </c>
      <c r="L204" s="32"/>
      <c r="M204" s="33" t="s">
        <v>68</v>
      </c>
      <c r="N204" s="33"/>
      <c r="O204" s="32">
        <v>40</v>
      </c>
      <c r="P204" s="81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341</v>
      </c>
      <c r="AG204" s="64"/>
      <c r="AJ204" s="68"/>
      <c r="AK204" s="68">
        <v>0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558">
        <v>4680115884014</v>
      </c>
      <c r="E205" s="559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344</v>
      </c>
      <c r="M205" s="33" t="s">
        <v>68</v>
      </c>
      <c r="N205" s="33"/>
      <c r="O205" s="32">
        <v>40</v>
      </c>
      <c r="P205" s="78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180</v>
      </c>
      <c r="Y205" s="546">
        <f t="shared" si="10"/>
        <v>180</v>
      </c>
      <c r="Z205" s="36">
        <f>IFERROR(IF(Y205=0,"",ROUNDUP(Y205/H205,0)*0.00502),"")</f>
        <v>0.502</v>
      </c>
      <c r="AA205" s="56"/>
      <c r="AB205" s="57"/>
      <c r="AC205" s="247" t="s">
        <v>332</v>
      </c>
      <c r="AG205" s="64"/>
      <c r="AJ205" s="68" t="s">
        <v>207</v>
      </c>
      <c r="AK205" s="68">
        <v>32.4</v>
      </c>
      <c r="BB205" s="248" t="s">
        <v>1</v>
      </c>
      <c r="BM205" s="64">
        <f t="shared" si="11"/>
        <v>192.99999999999997</v>
      </c>
      <c r="BN205" s="64">
        <f t="shared" si="12"/>
        <v>192.99999999999997</v>
      </c>
      <c r="BO205" s="64">
        <f t="shared" si="13"/>
        <v>0.42735042735042739</v>
      </c>
      <c r="BP205" s="64">
        <f t="shared" si="14"/>
        <v>0.42735042735042739</v>
      </c>
    </row>
    <row r="206" spans="1:68" ht="27" hidden="1" customHeight="1" x14ac:dyDescent="0.25">
      <c r="A206" s="54" t="s">
        <v>345</v>
      </c>
      <c r="B206" s="54" t="s">
        <v>346</v>
      </c>
      <c r="C206" s="31">
        <v>4301031222</v>
      </c>
      <c r="D206" s="558">
        <v>4680115884007</v>
      </c>
      <c r="E206" s="559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/>
      <c r="M206" s="33" t="s">
        <v>68</v>
      </c>
      <c r="N206" s="33"/>
      <c r="O206" s="32">
        <v>40</v>
      </c>
      <c r="P206" s="6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335</v>
      </c>
      <c r="AG206" s="64"/>
      <c r="AJ206" s="68"/>
      <c r="AK206" s="68">
        <v>0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4301031229</v>
      </c>
      <c r="D207" s="558">
        <v>4680115884038</v>
      </c>
      <c r="E207" s="559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27</v>
      </c>
      <c r="Y207" s="546">
        <f t="shared" si="10"/>
        <v>27</v>
      </c>
      <c r="Z207" s="36">
        <f>IFERROR(IF(Y207=0,"",ROUNDUP(Y207/H207,0)*0.00502),"")</f>
        <v>7.5300000000000006E-2</v>
      </c>
      <c r="AA207" s="56"/>
      <c r="AB207" s="57"/>
      <c r="AC207" s="251" t="s">
        <v>338</v>
      </c>
      <c r="AG207" s="64"/>
      <c r="AJ207" s="68"/>
      <c r="AK207" s="68">
        <v>0</v>
      </c>
      <c r="BB207" s="252" t="s">
        <v>1</v>
      </c>
      <c r="BM207" s="64">
        <f t="shared" si="11"/>
        <v>28.499999999999996</v>
      </c>
      <c r="BN207" s="64">
        <f t="shared" si="12"/>
        <v>28.499999999999996</v>
      </c>
      <c r="BO207" s="64">
        <f t="shared" si="13"/>
        <v>6.4102564102564111E-2</v>
      </c>
      <c r="BP207" s="64">
        <f t="shared" si="14"/>
        <v>6.4102564102564111E-2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4301031225</v>
      </c>
      <c r="D208" s="558">
        <v>4680115884021</v>
      </c>
      <c r="E208" s="559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5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341</v>
      </c>
      <c r="AG208" s="64"/>
      <c r="AJ208" s="68"/>
      <c r="AK208" s="68">
        <v>0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72"/>
      <c r="B209" s="550"/>
      <c r="C209" s="550"/>
      <c r="D209" s="550"/>
      <c r="E209" s="550"/>
      <c r="F209" s="550"/>
      <c r="G209" s="550"/>
      <c r="H209" s="550"/>
      <c r="I209" s="550"/>
      <c r="J209" s="550"/>
      <c r="K209" s="550"/>
      <c r="L209" s="550"/>
      <c r="M209" s="550"/>
      <c r="N209" s="550"/>
      <c r="O209" s="573"/>
      <c r="P209" s="554" t="s">
        <v>75</v>
      </c>
      <c r="Q209" s="555"/>
      <c r="R209" s="555"/>
      <c r="S209" s="555"/>
      <c r="T209" s="555"/>
      <c r="U209" s="555"/>
      <c r="V209" s="556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115</v>
      </c>
      <c r="Y209" s="547">
        <f>IFERROR(Y201/H201,"0")+IFERROR(Y202/H202,"0")+IFERROR(Y203/H203,"0")+IFERROR(Y204/H204,"0")+IFERROR(Y205/H205,"0")+IFERROR(Y206/H206,"0")+IFERROR(Y207/H207,"0")+IFERROR(Y208/H208,"0")</f>
        <v>115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0.57730000000000004</v>
      </c>
      <c r="AA209" s="548"/>
      <c r="AB209" s="548"/>
      <c r="AC209" s="548"/>
    </row>
    <row r="210" spans="1:68" x14ac:dyDescent="0.2">
      <c r="A210" s="550"/>
      <c r="B210" s="550"/>
      <c r="C210" s="550"/>
      <c r="D210" s="550"/>
      <c r="E210" s="550"/>
      <c r="F210" s="550"/>
      <c r="G210" s="550"/>
      <c r="H210" s="550"/>
      <c r="I210" s="550"/>
      <c r="J210" s="550"/>
      <c r="K210" s="550"/>
      <c r="L210" s="550"/>
      <c r="M210" s="550"/>
      <c r="N210" s="550"/>
      <c r="O210" s="573"/>
      <c r="P210" s="554" t="s">
        <v>75</v>
      </c>
      <c r="Q210" s="555"/>
      <c r="R210" s="555"/>
      <c r="S210" s="555"/>
      <c r="T210" s="555"/>
      <c r="U210" s="555"/>
      <c r="V210" s="556"/>
      <c r="W210" s="37" t="s">
        <v>69</v>
      </c>
      <c r="X210" s="547">
        <f>IFERROR(SUM(X201:X208),"0")</f>
        <v>207</v>
      </c>
      <c r="Y210" s="547">
        <f>IFERROR(SUM(Y201:Y208),"0")</f>
        <v>207</v>
      </c>
      <c r="Z210" s="37"/>
      <c r="AA210" s="548"/>
      <c r="AB210" s="548"/>
      <c r="AC210" s="548"/>
    </row>
    <row r="211" spans="1:68" ht="14.25" hidden="1" customHeight="1" x14ac:dyDescent="0.25">
      <c r="A211" s="557" t="s">
        <v>77</v>
      </c>
      <c r="B211" s="550"/>
      <c r="C211" s="550"/>
      <c r="D211" s="550"/>
      <c r="E211" s="550"/>
      <c r="F211" s="550"/>
      <c r="G211" s="550"/>
      <c r="H211" s="550"/>
      <c r="I211" s="550"/>
      <c r="J211" s="550"/>
      <c r="K211" s="550"/>
      <c r="L211" s="550"/>
      <c r="M211" s="550"/>
      <c r="N211" s="550"/>
      <c r="O211" s="550"/>
      <c r="P211" s="550"/>
      <c r="Q211" s="550"/>
      <c r="R211" s="550"/>
      <c r="S211" s="550"/>
      <c r="T211" s="550"/>
      <c r="U211" s="550"/>
      <c r="V211" s="550"/>
      <c r="W211" s="550"/>
      <c r="X211" s="550"/>
      <c r="Y211" s="550"/>
      <c r="Z211" s="550"/>
      <c r="AA211" s="541"/>
      <c r="AB211" s="541"/>
      <c r="AC211" s="541"/>
    </row>
    <row r="212" spans="1:68" ht="27" hidden="1" customHeight="1" x14ac:dyDescent="0.25">
      <c r="A212" s="54" t="s">
        <v>351</v>
      </c>
      <c r="B212" s="54" t="s">
        <v>352</v>
      </c>
      <c r="C212" s="31">
        <v>4301051408</v>
      </c>
      <c r="D212" s="558">
        <v>4680115881594</v>
      </c>
      <c r="E212" s="559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353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354</v>
      </c>
      <c r="B213" s="54" t="s">
        <v>355</v>
      </c>
      <c r="C213" s="31">
        <v>4301051411</v>
      </c>
      <c r="D213" s="558">
        <v>4680115881617</v>
      </c>
      <c r="E213" s="559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2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356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357</v>
      </c>
      <c r="B214" s="54" t="s">
        <v>358</v>
      </c>
      <c r="C214" s="31">
        <v>4301051656</v>
      </c>
      <c r="D214" s="558">
        <v>4680115880573</v>
      </c>
      <c r="E214" s="559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/>
      <c r="M214" s="33" t="s">
        <v>80</v>
      </c>
      <c r="N214" s="33"/>
      <c r="O214" s="32">
        <v>45</v>
      </c>
      <c r="P214" s="6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359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360</v>
      </c>
      <c r="B215" s="54" t="s">
        <v>361</v>
      </c>
      <c r="C215" s="31">
        <v>4301051407</v>
      </c>
      <c r="D215" s="558">
        <v>4680115882195</v>
      </c>
      <c r="E215" s="559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229</v>
      </c>
      <c r="M215" s="33" t="s">
        <v>80</v>
      </c>
      <c r="N215" s="33"/>
      <c r="O215" s="32">
        <v>40</v>
      </c>
      <c r="P215" s="85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240</v>
      </c>
      <c r="Y215" s="546">
        <f t="shared" si="15"/>
        <v>240</v>
      </c>
      <c r="Z215" s="36">
        <f t="shared" ref="Z215:Z220" si="20">IFERROR(IF(Y215=0,"",ROUNDUP(Y215/H215,0)*0.00651),"")</f>
        <v>0.65100000000000002</v>
      </c>
      <c r="AA215" s="56"/>
      <c r="AB215" s="57"/>
      <c r="AC215" s="261" t="s">
        <v>353</v>
      </c>
      <c r="AG215" s="64"/>
      <c r="AJ215" s="68" t="s">
        <v>207</v>
      </c>
      <c r="AK215" s="68">
        <v>33.6</v>
      </c>
      <c r="BB215" s="262" t="s">
        <v>1</v>
      </c>
      <c r="BM215" s="64">
        <f t="shared" si="16"/>
        <v>267</v>
      </c>
      <c r="BN215" s="64">
        <f t="shared" si="17"/>
        <v>267</v>
      </c>
      <c r="BO215" s="64">
        <f t="shared" si="18"/>
        <v>0.5494505494505495</v>
      </c>
      <c r="BP215" s="64">
        <f t="shared" si="19"/>
        <v>0.5494505494505495</v>
      </c>
    </row>
    <row r="216" spans="1:68" ht="27" hidden="1" customHeight="1" x14ac:dyDescent="0.25">
      <c r="A216" s="54" t="s">
        <v>362</v>
      </c>
      <c r="B216" s="54" t="s">
        <v>363</v>
      </c>
      <c r="C216" s="31">
        <v>4301051752</v>
      </c>
      <c r="D216" s="558">
        <v>4680115882607</v>
      </c>
      <c r="E216" s="559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3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359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558">
        <v>4680115880092</v>
      </c>
      <c r="E217" s="559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229</v>
      </c>
      <c r="M217" s="33" t="s">
        <v>80</v>
      </c>
      <c r="N217" s="33"/>
      <c r="O217" s="32">
        <v>45</v>
      </c>
      <c r="P217" s="6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300</v>
      </c>
      <c r="Y217" s="546">
        <f t="shared" si="15"/>
        <v>300</v>
      </c>
      <c r="Z217" s="36">
        <f t="shared" si="20"/>
        <v>0.81374999999999997</v>
      </c>
      <c r="AA217" s="56"/>
      <c r="AB217" s="57"/>
      <c r="AC217" s="265" t="s">
        <v>359</v>
      </c>
      <c r="AG217" s="64"/>
      <c r="AJ217" s="68" t="s">
        <v>207</v>
      </c>
      <c r="AK217" s="68">
        <v>33.6</v>
      </c>
      <c r="BB217" s="266" t="s">
        <v>1</v>
      </c>
      <c r="BM217" s="64">
        <f t="shared" si="16"/>
        <v>331.5</v>
      </c>
      <c r="BN217" s="64">
        <f t="shared" si="17"/>
        <v>331.5</v>
      </c>
      <c r="BO217" s="64">
        <f t="shared" si="18"/>
        <v>0.68681318681318682</v>
      </c>
      <c r="BP217" s="64">
        <f t="shared" si="19"/>
        <v>0.68681318681318682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4301051668</v>
      </c>
      <c r="D218" s="558">
        <v>4680115880221</v>
      </c>
      <c r="E218" s="559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55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359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4301051945</v>
      </c>
      <c r="D219" s="558">
        <v>4680115880504</v>
      </c>
      <c r="E219" s="559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/>
      <c r="M219" s="33" t="s">
        <v>87</v>
      </c>
      <c r="N219" s="33"/>
      <c r="O219" s="32">
        <v>40</v>
      </c>
      <c r="P219" s="75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370</v>
      </c>
      <c r="AG219" s="64"/>
      <c r="AJ219" s="68"/>
      <c r="AK219" s="68">
        <v>0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4301051410</v>
      </c>
      <c r="D220" s="558">
        <v>4680115882164</v>
      </c>
      <c r="E220" s="559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40</v>
      </c>
      <c r="P220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356</v>
      </c>
      <c r="AG220" s="64"/>
      <c r="AJ220" s="68"/>
      <c r="AK220" s="68">
        <v>0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72"/>
      <c r="B221" s="550"/>
      <c r="C221" s="550"/>
      <c r="D221" s="550"/>
      <c r="E221" s="550"/>
      <c r="F221" s="550"/>
      <c r="G221" s="550"/>
      <c r="H221" s="550"/>
      <c r="I221" s="550"/>
      <c r="J221" s="550"/>
      <c r="K221" s="550"/>
      <c r="L221" s="550"/>
      <c r="M221" s="550"/>
      <c r="N221" s="550"/>
      <c r="O221" s="573"/>
      <c r="P221" s="554" t="s">
        <v>75</v>
      </c>
      <c r="Q221" s="555"/>
      <c r="R221" s="555"/>
      <c r="S221" s="555"/>
      <c r="T221" s="555"/>
      <c r="U221" s="555"/>
      <c r="V221" s="556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225</v>
      </c>
      <c r="Y221" s="547">
        <f>IFERROR(Y212/H212,"0")+IFERROR(Y213/H213,"0")+IFERROR(Y214/H214,"0")+IFERROR(Y215/H215,"0")+IFERROR(Y216/H216,"0")+IFERROR(Y217/H217,"0")+IFERROR(Y218/H218,"0")+IFERROR(Y219/H219,"0")+IFERROR(Y220/H220,"0")</f>
        <v>225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1.46475</v>
      </c>
      <c r="AA221" s="548"/>
      <c r="AB221" s="548"/>
      <c r="AC221" s="548"/>
    </row>
    <row r="222" spans="1:68" x14ac:dyDescent="0.2">
      <c r="A222" s="550"/>
      <c r="B222" s="550"/>
      <c r="C222" s="550"/>
      <c r="D222" s="550"/>
      <c r="E222" s="550"/>
      <c r="F222" s="550"/>
      <c r="G222" s="550"/>
      <c r="H222" s="550"/>
      <c r="I222" s="550"/>
      <c r="J222" s="550"/>
      <c r="K222" s="550"/>
      <c r="L222" s="550"/>
      <c r="M222" s="550"/>
      <c r="N222" s="550"/>
      <c r="O222" s="573"/>
      <c r="P222" s="554" t="s">
        <v>75</v>
      </c>
      <c r="Q222" s="555"/>
      <c r="R222" s="555"/>
      <c r="S222" s="555"/>
      <c r="T222" s="555"/>
      <c r="U222" s="555"/>
      <c r="V222" s="556"/>
      <c r="W222" s="37" t="s">
        <v>69</v>
      </c>
      <c r="X222" s="547">
        <f>IFERROR(SUM(X212:X220),"0")</f>
        <v>540</v>
      </c>
      <c r="Y222" s="547">
        <f>IFERROR(SUM(Y212:Y220),"0")</f>
        <v>540</v>
      </c>
      <c r="Z222" s="37"/>
      <c r="AA222" s="548"/>
      <c r="AB222" s="548"/>
      <c r="AC222" s="548"/>
    </row>
    <row r="223" spans="1:68" ht="14.25" hidden="1" customHeight="1" x14ac:dyDescent="0.25">
      <c r="A223" s="557" t="s">
        <v>163</v>
      </c>
      <c r="B223" s="550"/>
      <c r="C223" s="550"/>
      <c r="D223" s="550"/>
      <c r="E223" s="550"/>
      <c r="F223" s="550"/>
      <c r="G223" s="550"/>
      <c r="H223" s="550"/>
      <c r="I223" s="550"/>
      <c r="J223" s="550"/>
      <c r="K223" s="550"/>
      <c r="L223" s="550"/>
      <c r="M223" s="550"/>
      <c r="N223" s="550"/>
      <c r="O223" s="550"/>
      <c r="P223" s="550"/>
      <c r="Q223" s="550"/>
      <c r="R223" s="550"/>
      <c r="S223" s="550"/>
      <c r="T223" s="550"/>
      <c r="U223" s="550"/>
      <c r="V223" s="550"/>
      <c r="W223" s="550"/>
      <c r="X223" s="550"/>
      <c r="Y223" s="550"/>
      <c r="Z223" s="550"/>
      <c r="AA223" s="541"/>
      <c r="AB223" s="541"/>
      <c r="AC223" s="541"/>
    </row>
    <row r="224" spans="1:68" ht="27" hidden="1" customHeight="1" x14ac:dyDescent="0.25">
      <c r="A224" s="54" t="s">
        <v>373</v>
      </c>
      <c r="B224" s="54" t="s">
        <v>374</v>
      </c>
      <c r="C224" s="31">
        <v>4301060463</v>
      </c>
      <c r="D224" s="558">
        <v>4680115880818</v>
      </c>
      <c r="E224" s="559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375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376</v>
      </c>
      <c r="B225" s="54" t="s">
        <v>377</v>
      </c>
      <c r="C225" s="31">
        <v>4301060389</v>
      </c>
      <c r="D225" s="558">
        <v>4680115880801</v>
      </c>
      <c r="E225" s="559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6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378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72"/>
      <c r="B226" s="550"/>
      <c r="C226" s="550"/>
      <c r="D226" s="550"/>
      <c r="E226" s="550"/>
      <c r="F226" s="550"/>
      <c r="G226" s="550"/>
      <c r="H226" s="550"/>
      <c r="I226" s="550"/>
      <c r="J226" s="550"/>
      <c r="K226" s="550"/>
      <c r="L226" s="550"/>
      <c r="M226" s="550"/>
      <c r="N226" s="550"/>
      <c r="O226" s="573"/>
      <c r="P226" s="554" t="s">
        <v>75</v>
      </c>
      <c r="Q226" s="555"/>
      <c r="R226" s="555"/>
      <c r="S226" s="555"/>
      <c r="T226" s="555"/>
      <c r="U226" s="555"/>
      <c r="V226" s="556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hidden="1" x14ac:dyDescent="0.2">
      <c r="A227" s="550"/>
      <c r="B227" s="550"/>
      <c r="C227" s="550"/>
      <c r="D227" s="550"/>
      <c r="E227" s="550"/>
      <c r="F227" s="550"/>
      <c r="G227" s="550"/>
      <c r="H227" s="550"/>
      <c r="I227" s="550"/>
      <c r="J227" s="550"/>
      <c r="K227" s="550"/>
      <c r="L227" s="550"/>
      <c r="M227" s="550"/>
      <c r="N227" s="550"/>
      <c r="O227" s="573"/>
      <c r="P227" s="554" t="s">
        <v>75</v>
      </c>
      <c r="Q227" s="555"/>
      <c r="R227" s="555"/>
      <c r="S227" s="555"/>
      <c r="T227" s="555"/>
      <c r="U227" s="555"/>
      <c r="V227" s="556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hidden="1" customHeight="1" x14ac:dyDescent="0.25">
      <c r="A228" s="569" t="s">
        <v>379</v>
      </c>
      <c r="B228" s="550"/>
      <c r="C228" s="550"/>
      <c r="D228" s="550"/>
      <c r="E228" s="550"/>
      <c r="F228" s="550"/>
      <c r="G228" s="550"/>
      <c r="H228" s="550"/>
      <c r="I228" s="550"/>
      <c r="J228" s="550"/>
      <c r="K228" s="550"/>
      <c r="L228" s="550"/>
      <c r="M228" s="550"/>
      <c r="N228" s="550"/>
      <c r="O228" s="550"/>
      <c r="P228" s="550"/>
      <c r="Q228" s="550"/>
      <c r="R228" s="550"/>
      <c r="S228" s="550"/>
      <c r="T228" s="550"/>
      <c r="U228" s="550"/>
      <c r="V228" s="550"/>
      <c r="W228" s="550"/>
      <c r="X228" s="550"/>
      <c r="Y228" s="550"/>
      <c r="Z228" s="550"/>
      <c r="AA228" s="540"/>
      <c r="AB228" s="540"/>
      <c r="AC228" s="540"/>
    </row>
    <row r="229" spans="1:68" ht="14.25" hidden="1" customHeight="1" x14ac:dyDescent="0.25">
      <c r="A229" s="557" t="s">
        <v>102</v>
      </c>
      <c r="B229" s="550"/>
      <c r="C229" s="550"/>
      <c r="D229" s="550"/>
      <c r="E229" s="550"/>
      <c r="F229" s="550"/>
      <c r="G229" s="550"/>
      <c r="H229" s="550"/>
      <c r="I229" s="550"/>
      <c r="J229" s="550"/>
      <c r="K229" s="550"/>
      <c r="L229" s="550"/>
      <c r="M229" s="550"/>
      <c r="N229" s="550"/>
      <c r="O229" s="550"/>
      <c r="P229" s="550"/>
      <c r="Q229" s="550"/>
      <c r="R229" s="550"/>
      <c r="S229" s="550"/>
      <c r="T229" s="550"/>
      <c r="U229" s="550"/>
      <c r="V229" s="550"/>
      <c r="W229" s="550"/>
      <c r="X229" s="550"/>
      <c r="Y229" s="550"/>
      <c r="Z229" s="550"/>
      <c r="AA229" s="541"/>
      <c r="AB229" s="541"/>
      <c r="AC229" s="541"/>
    </row>
    <row r="230" spans="1:68" ht="27" hidden="1" customHeight="1" x14ac:dyDescent="0.25">
      <c r="A230" s="54" t="s">
        <v>380</v>
      </c>
      <c r="B230" s="54" t="s">
        <v>381</v>
      </c>
      <c r="C230" s="31">
        <v>4301011826</v>
      </c>
      <c r="D230" s="558">
        <v>4680115884137</v>
      </c>
      <c r="E230" s="559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106</v>
      </c>
      <c r="N230" s="33"/>
      <c r="O230" s="32">
        <v>55</v>
      </c>
      <c r="P230" s="8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382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383</v>
      </c>
      <c r="B231" s="54" t="s">
        <v>384</v>
      </c>
      <c r="C231" s="31">
        <v>4301011724</v>
      </c>
      <c r="D231" s="558">
        <v>4680115884236</v>
      </c>
      <c r="E231" s="559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106</v>
      </c>
      <c r="N231" s="33"/>
      <c r="O231" s="32">
        <v>55</v>
      </c>
      <c r="P231" s="86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386</v>
      </c>
      <c r="B232" s="54" t="s">
        <v>387</v>
      </c>
      <c r="C232" s="31">
        <v>4301011721</v>
      </c>
      <c r="D232" s="558">
        <v>4680115884175</v>
      </c>
      <c r="E232" s="559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106</v>
      </c>
      <c r="N232" s="33"/>
      <c r="O232" s="32">
        <v>55</v>
      </c>
      <c r="P232" s="6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388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389</v>
      </c>
      <c r="B233" s="54" t="s">
        <v>390</v>
      </c>
      <c r="C233" s="31">
        <v>4301011824</v>
      </c>
      <c r="D233" s="558">
        <v>4680115884144</v>
      </c>
      <c r="E233" s="559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6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382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389</v>
      </c>
      <c r="B234" s="54" t="s">
        <v>391</v>
      </c>
      <c r="C234" s="31">
        <v>4301012196</v>
      </c>
      <c r="D234" s="558">
        <v>4680115884144</v>
      </c>
      <c r="E234" s="559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84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382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392</v>
      </c>
      <c r="B235" s="54" t="s">
        <v>393</v>
      </c>
      <c r="C235" s="31">
        <v>4301012149</v>
      </c>
      <c r="D235" s="558">
        <v>4680115886551</v>
      </c>
      <c r="E235" s="559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110</v>
      </c>
      <c r="L235" s="32"/>
      <c r="M235" s="33" t="s">
        <v>106</v>
      </c>
      <c r="N235" s="33"/>
      <c r="O235" s="32">
        <v>55</v>
      </c>
      <c r="P235" s="64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394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395</v>
      </c>
      <c r="B236" s="54" t="s">
        <v>396</v>
      </c>
      <c r="C236" s="31">
        <v>4301012228</v>
      </c>
      <c r="D236" s="558">
        <v>4680115887282</v>
      </c>
      <c r="E236" s="559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106</v>
      </c>
      <c r="N236" s="33"/>
      <c r="O236" s="32">
        <v>55</v>
      </c>
      <c r="P236" s="8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4301011722</v>
      </c>
      <c r="D237" s="558">
        <v>4680115884205</v>
      </c>
      <c r="E237" s="559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8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388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4301012195</v>
      </c>
      <c r="D238" s="558">
        <v>4680115884205</v>
      </c>
      <c r="E238" s="559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6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388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72"/>
      <c r="B239" s="550"/>
      <c r="C239" s="550"/>
      <c r="D239" s="550"/>
      <c r="E239" s="550"/>
      <c r="F239" s="550"/>
      <c r="G239" s="550"/>
      <c r="H239" s="550"/>
      <c r="I239" s="550"/>
      <c r="J239" s="550"/>
      <c r="K239" s="550"/>
      <c r="L239" s="550"/>
      <c r="M239" s="550"/>
      <c r="N239" s="550"/>
      <c r="O239" s="573"/>
      <c r="P239" s="554" t="s">
        <v>75</v>
      </c>
      <c r="Q239" s="555"/>
      <c r="R239" s="555"/>
      <c r="S239" s="555"/>
      <c r="T239" s="555"/>
      <c r="U239" s="555"/>
      <c r="V239" s="556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0"/>
      <c r="B240" s="550"/>
      <c r="C240" s="550"/>
      <c r="D240" s="550"/>
      <c r="E240" s="550"/>
      <c r="F240" s="550"/>
      <c r="G240" s="550"/>
      <c r="H240" s="550"/>
      <c r="I240" s="550"/>
      <c r="J240" s="550"/>
      <c r="K240" s="550"/>
      <c r="L240" s="550"/>
      <c r="M240" s="550"/>
      <c r="N240" s="550"/>
      <c r="O240" s="573"/>
      <c r="P240" s="554" t="s">
        <v>75</v>
      </c>
      <c r="Q240" s="555"/>
      <c r="R240" s="555"/>
      <c r="S240" s="555"/>
      <c r="T240" s="555"/>
      <c r="U240" s="555"/>
      <c r="V240" s="556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7" t="s">
        <v>135</v>
      </c>
      <c r="B241" s="550"/>
      <c r="C241" s="550"/>
      <c r="D241" s="550"/>
      <c r="E241" s="550"/>
      <c r="F241" s="550"/>
      <c r="G241" s="550"/>
      <c r="H241" s="550"/>
      <c r="I241" s="550"/>
      <c r="J241" s="550"/>
      <c r="K241" s="550"/>
      <c r="L241" s="550"/>
      <c r="M241" s="550"/>
      <c r="N241" s="550"/>
      <c r="O241" s="550"/>
      <c r="P241" s="550"/>
      <c r="Q241" s="550"/>
      <c r="R241" s="550"/>
      <c r="S241" s="550"/>
      <c r="T241" s="550"/>
      <c r="U241" s="550"/>
      <c r="V241" s="550"/>
      <c r="W241" s="550"/>
      <c r="X241" s="550"/>
      <c r="Y241" s="550"/>
      <c r="Z241" s="550"/>
      <c r="AA241" s="541"/>
      <c r="AB241" s="541"/>
      <c r="AC241" s="541"/>
    </row>
    <row r="242" spans="1:68" ht="27" customHeight="1" x14ac:dyDescent="0.25">
      <c r="A242" s="54" t="s">
        <v>400</v>
      </c>
      <c r="B242" s="54" t="s">
        <v>401</v>
      </c>
      <c r="C242" s="31">
        <v>4301020377</v>
      </c>
      <c r="D242" s="558">
        <v>4680115885981</v>
      </c>
      <c r="E242" s="559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8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49.5</v>
      </c>
      <c r="Y242" s="546">
        <f>IFERROR(IF(X242="",0,CEILING((X242/$H242),1)*$H242),"")</f>
        <v>49.5</v>
      </c>
      <c r="Z242" s="36">
        <f>IFERROR(IF(Y242=0,"",ROUNDUP(Y242/H242,0)*0.00502),"")</f>
        <v>0.1255</v>
      </c>
      <c r="AA242" s="56"/>
      <c r="AB242" s="57"/>
      <c r="AC242" s="295" t="s">
        <v>402</v>
      </c>
      <c r="AG242" s="64"/>
      <c r="AJ242" s="68"/>
      <c r="AK242" s="68">
        <v>0</v>
      </c>
      <c r="BB242" s="296" t="s">
        <v>1</v>
      </c>
      <c r="BM242" s="64">
        <f>IFERROR(X242*I242/H242,"0")</f>
        <v>52.000000000000007</v>
      </c>
      <c r="BN242" s="64">
        <f>IFERROR(Y242*I242/H242,"0")</f>
        <v>52.000000000000007</v>
      </c>
      <c r="BO242" s="64">
        <f>IFERROR(1/J242*(X242/H242),"0")</f>
        <v>0.10683760683760685</v>
      </c>
      <c r="BP242" s="64">
        <f>IFERROR(1/J242*(Y242/H242),"0")</f>
        <v>0.10683760683760685</v>
      </c>
    </row>
    <row r="243" spans="1:68" x14ac:dyDescent="0.2">
      <c r="A243" s="572"/>
      <c r="B243" s="550"/>
      <c r="C243" s="550"/>
      <c r="D243" s="550"/>
      <c r="E243" s="550"/>
      <c r="F243" s="550"/>
      <c r="G243" s="550"/>
      <c r="H243" s="550"/>
      <c r="I243" s="550"/>
      <c r="J243" s="550"/>
      <c r="K243" s="550"/>
      <c r="L243" s="550"/>
      <c r="M243" s="550"/>
      <c r="N243" s="550"/>
      <c r="O243" s="573"/>
      <c r="P243" s="554" t="s">
        <v>75</v>
      </c>
      <c r="Q243" s="555"/>
      <c r="R243" s="555"/>
      <c r="S243" s="555"/>
      <c r="T243" s="555"/>
      <c r="U243" s="555"/>
      <c r="V243" s="556"/>
      <c r="W243" s="37" t="s">
        <v>76</v>
      </c>
      <c r="X243" s="547">
        <f>IFERROR(X242/H242,"0")</f>
        <v>25</v>
      </c>
      <c r="Y243" s="547">
        <f>IFERROR(Y242/H242,"0")</f>
        <v>25</v>
      </c>
      <c r="Z243" s="547">
        <f>IFERROR(IF(Z242="",0,Z242),"0")</f>
        <v>0.1255</v>
      </c>
      <c r="AA243" s="548"/>
      <c r="AB243" s="548"/>
      <c r="AC243" s="548"/>
    </row>
    <row r="244" spans="1:68" x14ac:dyDescent="0.2">
      <c r="A244" s="550"/>
      <c r="B244" s="550"/>
      <c r="C244" s="550"/>
      <c r="D244" s="550"/>
      <c r="E244" s="550"/>
      <c r="F244" s="550"/>
      <c r="G244" s="550"/>
      <c r="H244" s="550"/>
      <c r="I244" s="550"/>
      <c r="J244" s="550"/>
      <c r="K244" s="550"/>
      <c r="L244" s="550"/>
      <c r="M244" s="550"/>
      <c r="N244" s="550"/>
      <c r="O244" s="573"/>
      <c r="P244" s="554" t="s">
        <v>75</v>
      </c>
      <c r="Q244" s="555"/>
      <c r="R244" s="555"/>
      <c r="S244" s="555"/>
      <c r="T244" s="555"/>
      <c r="U244" s="555"/>
      <c r="V244" s="556"/>
      <c r="W244" s="37" t="s">
        <v>69</v>
      </c>
      <c r="X244" s="547">
        <f>IFERROR(SUM(X242:X242),"0")</f>
        <v>49.5</v>
      </c>
      <c r="Y244" s="547">
        <f>IFERROR(SUM(Y242:Y242),"0")</f>
        <v>49.5</v>
      </c>
      <c r="Z244" s="37"/>
      <c r="AA244" s="548"/>
      <c r="AB244" s="548"/>
      <c r="AC244" s="548"/>
    </row>
    <row r="245" spans="1:68" ht="14.25" hidden="1" customHeight="1" x14ac:dyDescent="0.25">
      <c r="A245" s="557" t="s">
        <v>403</v>
      </c>
      <c r="B245" s="550"/>
      <c r="C245" s="550"/>
      <c r="D245" s="550"/>
      <c r="E245" s="550"/>
      <c r="F245" s="550"/>
      <c r="G245" s="550"/>
      <c r="H245" s="550"/>
      <c r="I245" s="550"/>
      <c r="J245" s="550"/>
      <c r="K245" s="550"/>
      <c r="L245" s="550"/>
      <c r="M245" s="550"/>
      <c r="N245" s="550"/>
      <c r="O245" s="550"/>
      <c r="P245" s="550"/>
      <c r="Q245" s="550"/>
      <c r="R245" s="550"/>
      <c r="S245" s="550"/>
      <c r="T245" s="550"/>
      <c r="U245" s="550"/>
      <c r="V245" s="550"/>
      <c r="W245" s="550"/>
      <c r="X245" s="550"/>
      <c r="Y245" s="550"/>
      <c r="Z245" s="550"/>
      <c r="AA245" s="541"/>
      <c r="AB245" s="541"/>
      <c r="AC245" s="541"/>
    </row>
    <row r="246" spans="1:68" ht="27" hidden="1" customHeight="1" x14ac:dyDescent="0.25">
      <c r="A246" s="54" t="s">
        <v>404</v>
      </c>
      <c r="B246" s="54" t="s">
        <v>405</v>
      </c>
      <c r="C246" s="31">
        <v>4301040362</v>
      </c>
      <c r="D246" s="558">
        <v>4680115886803</v>
      </c>
      <c r="E246" s="559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308</v>
      </c>
      <c r="L246" s="32"/>
      <c r="M246" s="33" t="s">
        <v>309</v>
      </c>
      <c r="N246" s="33"/>
      <c r="O246" s="32">
        <v>45</v>
      </c>
      <c r="P246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406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2"/>
      <c r="B247" s="550"/>
      <c r="C247" s="550"/>
      <c r="D247" s="550"/>
      <c r="E247" s="550"/>
      <c r="F247" s="550"/>
      <c r="G247" s="550"/>
      <c r="H247" s="550"/>
      <c r="I247" s="550"/>
      <c r="J247" s="550"/>
      <c r="K247" s="550"/>
      <c r="L247" s="550"/>
      <c r="M247" s="550"/>
      <c r="N247" s="550"/>
      <c r="O247" s="573"/>
      <c r="P247" s="554" t="s">
        <v>75</v>
      </c>
      <c r="Q247" s="555"/>
      <c r="R247" s="555"/>
      <c r="S247" s="555"/>
      <c r="T247" s="555"/>
      <c r="U247" s="555"/>
      <c r="V247" s="556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0"/>
      <c r="B248" s="550"/>
      <c r="C248" s="550"/>
      <c r="D248" s="550"/>
      <c r="E248" s="550"/>
      <c r="F248" s="550"/>
      <c r="G248" s="550"/>
      <c r="H248" s="550"/>
      <c r="I248" s="550"/>
      <c r="J248" s="550"/>
      <c r="K248" s="550"/>
      <c r="L248" s="550"/>
      <c r="M248" s="550"/>
      <c r="N248" s="550"/>
      <c r="O248" s="573"/>
      <c r="P248" s="554" t="s">
        <v>75</v>
      </c>
      <c r="Q248" s="555"/>
      <c r="R248" s="555"/>
      <c r="S248" s="555"/>
      <c r="T248" s="555"/>
      <c r="U248" s="555"/>
      <c r="V248" s="556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7" t="s">
        <v>407</v>
      </c>
      <c r="B249" s="550"/>
      <c r="C249" s="550"/>
      <c r="D249" s="550"/>
      <c r="E249" s="550"/>
      <c r="F249" s="550"/>
      <c r="G249" s="550"/>
      <c r="H249" s="550"/>
      <c r="I249" s="550"/>
      <c r="J249" s="550"/>
      <c r="K249" s="550"/>
      <c r="L249" s="550"/>
      <c r="M249" s="550"/>
      <c r="N249" s="550"/>
      <c r="O249" s="550"/>
      <c r="P249" s="550"/>
      <c r="Q249" s="550"/>
      <c r="R249" s="550"/>
      <c r="S249" s="550"/>
      <c r="T249" s="550"/>
      <c r="U249" s="550"/>
      <c r="V249" s="550"/>
      <c r="W249" s="550"/>
      <c r="X249" s="550"/>
      <c r="Y249" s="550"/>
      <c r="Z249" s="550"/>
      <c r="AA249" s="541"/>
      <c r="AB249" s="541"/>
      <c r="AC249" s="541"/>
    </row>
    <row r="250" spans="1:68" ht="27" hidden="1" customHeight="1" x14ac:dyDescent="0.25">
      <c r="A250" s="54" t="s">
        <v>408</v>
      </c>
      <c r="B250" s="54" t="s">
        <v>409</v>
      </c>
      <c r="C250" s="31">
        <v>4301041004</v>
      </c>
      <c r="D250" s="558">
        <v>4680115886704</v>
      </c>
      <c r="E250" s="559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308</v>
      </c>
      <c r="L250" s="32"/>
      <c r="M250" s="33" t="s">
        <v>309</v>
      </c>
      <c r="N250" s="33"/>
      <c r="O250" s="32">
        <v>90</v>
      </c>
      <c r="P250" s="76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410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411</v>
      </c>
      <c r="B251" s="54" t="s">
        <v>412</v>
      </c>
      <c r="C251" s="31">
        <v>4301041008</v>
      </c>
      <c r="D251" s="558">
        <v>4680115886681</v>
      </c>
      <c r="E251" s="559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308</v>
      </c>
      <c r="L251" s="32"/>
      <c r="M251" s="33" t="s">
        <v>309</v>
      </c>
      <c r="N251" s="33"/>
      <c r="O251" s="32">
        <v>90</v>
      </c>
      <c r="P251" s="6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410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413</v>
      </c>
      <c r="B252" s="54" t="s">
        <v>414</v>
      </c>
      <c r="C252" s="31">
        <v>4301041007</v>
      </c>
      <c r="D252" s="558">
        <v>4680115886735</v>
      </c>
      <c r="E252" s="559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308</v>
      </c>
      <c r="L252" s="32"/>
      <c r="M252" s="33" t="s">
        <v>309</v>
      </c>
      <c r="N252" s="33"/>
      <c r="O252" s="32">
        <v>90</v>
      </c>
      <c r="P252" s="8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410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4301041006</v>
      </c>
      <c r="D253" s="558">
        <v>4680115886728</v>
      </c>
      <c r="E253" s="559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308</v>
      </c>
      <c r="L253" s="32"/>
      <c r="M253" s="33" t="s">
        <v>309</v>
      </c>
      <c r="N253" s="33"/>
      <c r="O253" s="32">
        <v>90</v>
      </c>
      <c r="P253" s="60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410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417</v>
      </c>
      <c r="B254" s="54" t="s">
        <v>418</v>
      </c>
      <c r="C254" s="31">
        <v>4301041005</v>
      </c>
      <c r="D254" s="558">
        <v>4680115886711</v>
      </c>
      <c r="E254" s="559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308</v>
      </c>
      <c r="L254" s="32"/>
      <c r="M254" s="33" t="s">
        <v>309</v>
      </c>
      <c r="N254" s="33"/>
      <c r="O254" s="32">
        <v>90</v>
      </c>
      <c r="P254" s="6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410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72"/>
      <c r="B255" s="550"/>
      <c r="C255" s="550"/>
      <c r="D255" s="550"/>
      <c r="E255" s="550"/>
      <c r="F255" s="550"/>
      <c r="G255" s="550"/>
      <c r="H255" s="550"/>
      <c r="I255" s="550"/>
      <c r="J255" s="550"/>
      <c r="K255" s="550"/>
      <c r="L255" s="550"/>
      <c r="M255" s="550"/>
      <c r="N255" s="550"/>
      <c r="O255" s="573"/>
      <c r="P255" s="554" t="s">
        <v>75</v>
      </c>
      <c r="Q255" s="555"/>
      <c r="R255" s="555"/>
      <c r="S255" s="555"/>
      <c r="T255" s="555"/>
      <c r="U255" s="555"/>
      <c r="V255" s="556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hidden="1" x14ac:dyDescent="0.2">
      <c r="A256" s="550"/>
      <c r="B256" s="550"/>
      <c r="C256" s="550"/>
      <c r="D256" s="550"/>
      <c r="E256" s="550"/>
      <c r="F256" s="550"/>
      <c r="G256" s="550"/>
      <c r="H256" s="550"/>
      <c r="I256" s="550"/>
      <c r="J256" s="550"/>
      <c r="K256" s="550"/>
      <c r="L256" s="550"/>
      <c r="M256" s="550"/>
      <c r="N256" s="550"/>
      <c r="O256" s="573"/>
      <c r="P256" s="554" t="s">
        <v>75</v>
      </c>
      <c r="Q256" s="555"/>
      <c r="R256" s="555"/>
      <c r="S256" s="555"/>
      <c r="T256" s="555"/>
      <c r="U256" s="555"/>
      <c r="V256" s="556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hidden="1" customHeight="1" x14ac:dyDescent="0.25">
      <c r="A257" s="569" t="s">
        <v>419</v>
      </c>
      <c r="B257" s="550"/>
      <c r="C257" s="550"/>
      <c r="D257" s="550"/>
      <c r="E257" s="550"/>
      <c r="F257" s="550"/>
      <c r="G257" s="550"/>
      <c r="H257" s="550"/>
      <c r="I257" s="550"/>
      <c r="J257" s="550"/>
      <c r="K257" s="550"/>
      <c r="L257" s="550"/>
      <c r="M257" s="550"/>
      <c r="N257" s="550"/>
      <c r="O257" s="550"/>
      <c r="P257" s="550"/>
      <c r="Q257" s="550"/>
      <c r="R257" s="550"/>
      <c r="S257" s="550"/>
      <c r="T257" s="550"/>
      <c r="U257" s="550"/>
      <c r="V257" s="550"/>
      <c r="W257" s="550"/>
      <c r="X257" s="550"/>
      <c r="Y257" s="550"/>
      <c r="Z257" s="550"/>
      <c r="AA257" s="540"/>
      <c r="AB257" s="540"/>
      <c r="AC257" s="540"/>
    </row>
    <row r="258" spans="1:68" ht="14.25" hidden="1" customHeight="1" x14ac:dyDescent="0.25">
      <c r="A258" s="557" t="s">
        <v>102</v>
      </c>
      <c r="B258" s="550"/>
      <c r="C258" s="550"/>
      <c r="D258" s="550"/>
      <c r="E258" s="550"/>
      <c r="F258" s="550"/>
      <c r="G258" s="550"/>
      <c r="H258" s="550"/>
      <c r="I258" s="550"/>
      <c r="J258" s="550"/>
      <c r="K258" s="550"/>
      <c r="L258" s="550"/>
      <c r="M258" s="550"/>
      <c r="N258" s="550"/>
      <c r="O258" s="550"/>
      <c r="P258" s="550"/>
      <c r="Q258" s="550"/>
      <c r="R258" s="550"/>
      <c r="S258" s="550"/>
      <c r="T258" s="550"/>
      <c r="U258" s="550"/>
      <c r="V258" s="550"/>
      <c r="W258" s="550"/>
      <c r="X258" s="550"/>
      <c r="Y258" s="550"/>
      <c r="Z258" s="550"/>
      <c r="AA258" s="541"/>
      <c r="AB258" s="541"/>
      <c r="AC258" s="541"/>
    </row>
    <row r="259" spans="1:68" ht="27" hidden="1" customHeight="1" x14ac:dyDescent="0.25">
      <c r="A259" s="54" t="s">
        <v>420</v>
      </c>
      <c r="B259" s="54" t="s">
        <v>421</v>
      </c>
      <c r="C259" s="31">
        <v>4301011855</v>
      </c>
      <c r="D259" s="558">
        <v>4680115885837</v>
      </c>
      <c r="E259" s="559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106</v>
      </c>
      <c r="N259" s="33"/>
      <c r="O259" s="32">
        <v>55</v>
      </c>
      <c r="P259" s="83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422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423</v>
      </c>
      <c r="B260" s="54" t="s">
        <v>424</v>
      </c>
      <c r="C260" s="31">
        <v>4301011853</v>
      </c>
      <c r="D260" s="558">
        <v>4680115885851</v>
      </c>
      <c r="E260" s="559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106</v>
      </c>
      <c r="N260" s="33"/>
      <c r="O260" s="32">
        <v>55</v>
      </c>
      <c r="P260" s="72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425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426</v>
      </c>
      <c r="B261" s="54" t="s">
        <v>427</v>
      </c>
      <c r="C261" s="31">
        <v>4301011850</v>
      </c>
      <c r="D261" s="558">
        <v>4680115885806</v>
      </c>
      <c r="E261" s="559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106</v>
      </c>
      <c r="N261" s="33"/>
      <c r="O261" s="32">
        <v>55</v>
      </c>
      <c r="P261" s="59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428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429</v>
      </c>
      <c r="B262" s="54" t="s">
        <v>430</v>
      </c>
      <c r="C262" s="31">
        <v>4301011852</v>
      </c>
      <c r="D262" s="558">
        <v>4680115885844</v>
      </c>
      <c r="E262" s="559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110</v>
      </c>
      <c r="L262" s="32"/>
      <c r="M262" s="33" t="s">
        <v>106</v>
      </c>
      <c r="N262" s="33"/>
      <c r="O262" s="32">
        <v>55</v>
      </c>
      <c r="P262" s="63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431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432</v>
      </c>
      <c r="B263" s="54" t="s">
        <v>433</v>
      </c>
      <c r="C263" s="31">
        <v>4301011851</v>
      </c>
      <c r="D263" s="558">
        <v>4680115885820</v>
      </c>
      <c r="E263" s="559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110</v>
      </c>
      <c r="L263" s="32"/>
      <c r="M263" s="33" t="s">
        <v>106</v>
      </c>
      <c r="N263" s="33"/>
      <c r="O263" s="32">
        <v>55</v>
      </c>
      <c r="P263" s="5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434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72"/>
      <c r="B264" s="550"/>
      <c r="C264" s="550"/>
      <c r="D264" s="550"/>
      <c r="E264" s="550"/>
      <c r="F264" s="550"/>
      <c r="G264" s="550"/>
      <c r="H264" s="550"/>
      <c r="I264" s="550"/>
      <c r="J264" s="550"/>
      <c r="K264" s="550"/>
      <c r="L264" s="550"/>
      <c r="M264" s="550"/>
      <c r="N264" s="550"/>
      <c r="O264" s="573"/>
      <c r="P264" s="554" t="s">
        <v>75</v>
      </c>
      <c r="Q264" s="555"/>
      <c r="R264" s="555"/>
      <c r="S264" s="555"/>
      <c r="T264" s="555"/>
      <c r="U264" s="555"/>
      <c r="V264" s="556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0"/>
      <c r="B265" s="550"/>
      <c r="C265" s="550"/>
      <c r="D265" s="550"/>
      <c r="E265" s="550"/>
      <c r="F265" s="550"/>
      <c r="G265" s="550"/>
      <c r="H265" s="550"/>
      <c r="I265" s="550"/>
      <c r="J265" s="550"/>
      <c r="K265" s="550"/>
      <c r="L265" s="550"/>
      <c r="M265" s="550"/>
      <c r="N265" s="550"/>
      <c r="O265" s="573"/>
      <c r="P265" s="554" t="s">
        <v>75</v>
      </c>
      <c r="Q265" s="555"/>
      <c r="R265" s="555"/>
      <c r="S265" s="555"/>
      <c r="T265" s="555"/>
      <c r="U265" s="555"/>
      <c r="V265" s="556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69" t="s">
        <v>435</v>
      </c>
      <c r="B266" s="550"/>
      <c r="C266" s="550"/>
      <c r="D266" s="550"/>
      <c r="E266" s="550"/>
      <c r="F266" s="550"/>
      <c r="G266" s="550"/>
      <c r="H266" s="550"/>
      <c r="I266" s="550"/>
      <c r="J266" s="550"/>
      <c r="K266" s="550"/>
      <c r="L266" s="550"/>
      <c r="M266" s="550"/>
      <c r="N266" s="550"/>
      <c r="O266" s="550"/>
      <c r="P266" s="550"/>
      <c r="Q266" s="550"/>
      <c r="R266" s="550"/>
      <c r="S266" s="550"/>
      <c r="T266" s="550"/>
      <c r="U266" s="550"/>
      <c r="V266" s="550"/>
      <c r="W266" s="550"/>
      <c r="X266" s="550"/>
      <c r="Y266" s="550"/>
      <c r="Z266" s="550"/>
      <c r="AA266" s="540"/>
      <c r="AB266" s="540"/>
      <c r="AC266" s="540"/>
    </row>
    <row r="267" spans="1:68" ht="14.25" hidden="1" customHeight="1" x14ac:dyDescent="0.25">
      <c r="A267" s="557" t="s">
        <v>102</v>
      </c>
      <c r="B267" s="550"/>
      <c r="C267" s="550"/>
      <c r="D267" s="550"/>
      <c r="E267" s="550"/>
      <c r="F267" s="550"/>
      <c r="G267" s="550"/>
      <c r="H267" s="550"/>
      <c r="I267" s="550"/>
      <c r="J267" s="550"/>
      <c r="K267" s="550"/>
      <c r="L267" s="550"/>
      <c r="M267" s="550"/>
      <c r="N267" s="550"/>
      <c r="O267" s="550"/>
      <c r="P267" s="550"/>
      <c r="Q267" s="550"/>
      <c r="R267" s="550"/>
      <c r="S267" s="550"/>
      <c r="T267" s="550"/>
      <c r="U267" s="550"/>
      <c r="V267" s="550"/>
      <c r="W267" s="550"/>
      <c r="X267" s="550"/>
      <c r="Y267" s="550"/>
      <c r="Z267" s="550"/>
      <c r="AA267" s="541"/>
      <c r="AB267" s="541"/>
      <c r="AC267" s="541"/>
    </row>
    <row r="268" spans="1:68" ht="27" hidden="1" customHeight="1" x14ac:dyDescent="0.25">
      <c r="A268" s="54" t="s">
        <v>436</v>
      </c>
      <c r="B268" s="54" t="s">
        <v>437</v>
      </c>
      <c r="C268" s="31">
        <v>4301011223</v>
      </c>
      <c r="D268" s="558">
        <v>4607091383423</v>
      </c>
      <c r="E268" s="559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8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107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438</v>
      </c>
      <c r="B269" s="54" t="s">
        <v>439</v>
      </c>
      <c r="C269" s="31">
        <v>4301012199</v>
      </c>
      <c r="D269" s="558">
        <v>4680115886957</v>
      </c>
      <c r="E269" s="559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66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440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441</v>
      </c>
      <c r="B270" s="54" t="s">
        <v>442</v>
      </c>
      <c r="C270" s="31">
        <v>4301012098</v>
      </c>
      <c r="D270" s="558">
        <v>4680115885660</v>
      </c>
      <c r="E270" s="559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63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388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443</v>
      </c>
      <c r="B271" s="54" t="s">
        <v>444</v>
      </c>
      <c r="C271" s="31">
        <v>4301012176</v>
      </c>
      <c r="D271" s="558">
        <v>4680115886773</v>
      </c>
      <c r="E271" s="559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106</v>
      </c>
      <c r="N271" s="33"/>
      <c r="O271" s="32">
        <v>31</v>
      </c>
      <c r="P271" s="84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72"/>
      <c r="B272" s="550"/>
      <c r="C272" s="550"/>
      <c r="D272" s="550"/>
      <c r="E272" s="550"/>
      <c r="F272" s="550"/>
      <c r="G272" s="550"/>
      <c r="H272" s="550"/>
      <c r="I272" s="550"/>
      <c r="J272" s="550"/>
      <c r="K272" s="550"/>
      <c r="L272" s="550"/>
      <c r="M272" s="550"/>
      <c r="N272" s="550"/>
      <c r="O272" s="573"/>
      <c r="P272" s="554" t="s">
        <v>75</v>
      </c>
      <c r="Q272" s="555"/>
      <c r="R272" s="555"/>
      <c r="S272" s="555"/>
      <c r="T272" s="555"/>
      <c r="U272" s="555"/>
      <c r="V272" s="556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0"/>
      <c r="B273" s="550"/>
      <c r="C273" s="550"/>
      <c r="D273" s="550"/>
      <c r="E273" s="550"/>
      <c r="F273" s="550"/>
      <c r="G273" s="550"/>
      <c r="H273" s="550"/>
      <c r="I273" s="550"/>
      <c r="J273" s="550"/>
      <c r="K273" s="550"/>
      <c r="L273" s="550"/>
      <c r="M273" s="550"/>
      <c r="N273" s="550"/>
      <c r="O273" s="573"/>
      <c r="P273" s="554" t="s">
        <v>75</v>
      </c>
      <c r="Q273" s="555"/>
      <c r="R273" s="555"/>
      <c r="S273" s="555"/>
      <c r="T273" s="555"/>
      <c r="U273" s="555"/>
      <c r="V273" s="556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69" t="s">
        <v>446</v>
      </c>
      <c r="B274" s="550"/>
      <c r="C274" s="550"/>
      <c r="D274" s="550"/>
      <c r="E274" s="550"/>
      <c r="F274" s="550"/>
      <c r="G274" s="550"/>
      <c r="H274" s="550"/>
      <c r="I274" s="550"/>
      <c r="J274" s="550"/>
      <c r="K274" s="550"/>
      <c r="L274" s="550"/>
      <c r="M274" s="550"/>
      <c r="N274" s="550"/>
      <c r="O274" s="550"/>
      <c r="P274" s="550"/>
      <c r="Q274" s="550"/>
      <c r="R274" s="550"/>
      <c r="S274" s="550"/>
      <c r="T274" s="550"/>
      <c r="U274" s="550"/>
      <c r="V274" s="550"/>
      <c r="W274" s="550"/>
      <c r="X274" s="550"/>
      <c r="Y274" s="550"/>
      <c r="Z274" s="550"/>
      <c r="AA274" s="540"/>
      <c r="AB274" s="540"/>
      <c r="AC274" s="540"/>
    </row>
    <row r="275" spans="1:68" ht="14.25" hidden="1" customHeight="1" x14ac:dyDescent="0.25">
      <c r="A275" s="557" t="s">
        <v>77</v>
      </c>
      <c r="B275" s="550"/>
      <c r="C275" s="550"/>
      <c r="D275" s="550"/>
      <c r="E275" s="550"/>
      <c r="F275" s="550"/>
      <c r="G275" s="550"/>
      <c r="H275" s="550"/>
      <c r="I275" s="550"/>
      <c r="J275" s="550"/>
      <c r="K275" s="550"/>
      <c r="L275" s="550"/>
      <c r="M275" s="550"/>
      <c r="N275" s="550"/>
      <c r="O275" s="550"/>
      <c r="P275" s="550"/>
      <c r="Q275" s="550"/>
      <c r="R275" s="550"/>
      <c r="S275" s="550"/>
      <c r="T275" s="550"/>
      <c r="U275" s="550"/>
      <c r="V275" s="550"/>
      <c r="W275" s="550"/>
      <c r="X275" s="550"/>
      <c r="Y275" s="550"/>
      <c r="Z275" s="550"/>
      <c r="AA275" s="541"/>
      <c r="AB275" s="541"/>
      <c r="AC275" s="541"/>
    </row>
    <row r="276" spans="1:68" ht="27" hidden="1" customHeight="1" x14ac:dyDescent="0.25">
      <c r="A276" s="54" t="s">
        <v>447</v>
      </c>
      <c r="B276" s="54" t="s">
        <v>448</v>
      </c>
      <c r="C276" s="31">
        <v>4301051893</v>
      </c>
      <c r="D276" s="558">
        <v>4680115886186</v>
      </c>
      <c r="E276" s="559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64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449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450</v>
      </c>
      <c r="B277" s="54" t="s">
        <v>451</v>
      </c>
      <c r="C277" s="31">
        <v>4301051795</v>
      </c>
      <c r="D277" s="558">
        <v>4680115881228</v>
      </c>
      <c r="E277" s="559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76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452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453</v>
      </c>
      <c r="B278" s="54" t="s">
        <v>454</v>
      </c>
      <c r="C278" s="31">
        <v>4301051388</v>
      </c>
      <c r="D278" s="558">
        <v>4680115881211</v>
      </c>
      <c r="E278" s="559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63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449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72"/>
      <c r="B279" s="550"/>
      <c r="C279" s="550"/>
      <c r="D279" s="550"/>
      <c r="E279" s="550"/>
      <c r="F279" s="550"/>
      <c r="G279" s="550"/>
      <c r="H279" s="550"/>
      <c r="I279" s="550"/>
      <c r="J279" s="550"/>
      <c r="K279" s="550"/>
      <c r="L279" s="550"/>
      <c r="M279" s="550"/>
      <c r="N279" s="550"/>
      <c r="O279" s="573"/>
      <c r="P279" s="554" t="s">
        <v>75</v>
      </c>
      <c r="Q279" s="555"/>
      <c r="R279" s="555"/>
      <c r="S279" s="555"/>
      <c r="T279" s="555"/>
      <c r="U279" s="555"/>
      <c r="V279" s="556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hidden="1" x14ac:dyDescent="0.2">
      <c r="A280" s="550"/>
      <c r="B280" s="550"/>
      <c r="C280" s="550"/>
      <c r="D280" s="550"/>
      <c r="E280" s="550"/>
      <c r="F280" s="550"/>
      <c r="G280" s="550"/>
      <c r="H280" s="550"/>
      <c r="I280" s="550"/>
      <c r="J280" s="550"/>
      <c r="K280" s="550"/>
      <c r="L280" s="550"/>
      <c r="M280" s="550"/>
      <c r="N280" s="550"/>
      <c r="O280" s="573"/>
      <c r="P280" s="554" t="s">
        <v>75</v>
      </c>
      <c r="Q280" s="555"/>
      <c r="R280" s="555"/>
      <c r="S280" s="555"/>
      <c r="T280" s="555"/>
      <c r="U280" s="555"/>
      <c r="V280" s="556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hidden="1" customHeight="1" x14ac:dyDescent="0.25">
      <c r="A281" s="569" t="s">
        <v>455</v>
      </c>
      <c r="B281" s="550"/>
      <c r="C281" s="550"/>
      <c r="D281" s="550"/>
      <c r="E281" s="550"/>
      <c r="F281" s="550"/>
      <c r="G281" s="550"/>
      <c r="H281" s="550"/>
      <c r="I281" s="550"/>
      <c r="J281" s="550"/>
      <c r="K281" s="550"/>
      <c r="L281" s="550"/>
      <c r="M281" s="550"/>
      <c r="N281" s="550"/>
      <c r="O281" s="550"/>
      <c r="P281" s="550"/>
      <c r="Q281" s="550"/>
      <c r="R281" s="550"/>
      <c r="S281" s="550"/>
      <c r="T281" s="550"/>
      <c r="U281" s="550"/>
      <c r="V281" s="550"/>
      <c r="W281" s="550"/>
      <c r="X281" s="550"/>
      <c r="Y281" s="550"/>
      <c r="Z281" s="550"/>
      <c r="AA281" s="540"/>
      <c r="AB281" s="540"/>
      <c r="AC281" s="540"/>
    </row>
    <row r="282" spans="1:68" ht="14.25" hidden="1" customHeight="1" x14ac:dyDescent="0.25">
      <c r="A282" s="557" t="s">
        <v>64</v>
      </c>
      <c r="B282" s="550"/>
      <c r="C282" s="550"/>
      <c r="D282" s="550"/>
      <c r="E282" s="550"/>
      <c r="F282" s="550"/>
      <c r="G282" s="550"/>
      <c r="H282" s="550"/>
      <c r="I282" s="550"/>
      <c r="J282" s="550"/>
      <c r="K282" s="550"/>
      <c r="L282" s="550"/>
      <c r="M282" s="550"/>
      <c r="N282" s="550"/>
      <c r="O282" s="550"/>
      <c r="P282" s="550"/>
      <c r="Q282" s="550"/>
      <c r="R282" s="550"/>
      <c r="S282" s="550"/>
      <c r="T282" s="550"/>
      <c r="U282" s="550"/>
      <c r="V282" s="550"/>
      <c r="W282" s="550"/>
      <c r="X282" s="550"/>
      <c r="Y282" s="550"/>
      <c r="Z282" s="550"/>
      <c r="AA282" s="541"/>
      <c r="AB282" s="541"/>
      <c r="AC282" s="541"/>
    </row>
    <row r="283" spans="1:68" ht="27" hidden="1" customHeight="1" x14ac:dyDescent="0.25">
      <c r="A283" s="54" t="s">
        <v>456</v>
      </c>
      <c r="B283" s="54" t="s">
        <v>457</v>
      </c>
      <c r="C283" s="31">
        <v>4301031307</v>
      </c>
      <c r="D283" s="558">
        <v>4680115880344</v>
      </c>
      <c r="E283" s="559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458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459</v>
      </c>
      <c r="B284" s="54" t="s">
        <v>460</v>
      </c>
      <c r="C284" s="31">
        <v>4301031429</v>
      </c>
      <c r="D284" s="558">
        <v>4680115886919</v>
      </c>
      <c r="E284" s="559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80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461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72"/>
      <c r="B285" s="550"/>
      <c r="C285" s="550"/>
      <c r="D285" s="550"/>
      <c r="E285" s="550"/>
      <c r="F285" s="550"/>
      <c r="G285" s="550"/>
      <c r="H285" s="550"/>
      <c r="I285" s="550"/>
      <c r="J285" s="550"/>
      <c r="K285" s="550"/>
      <c r="L285" s="550"/>
      <c r="M285" s="550"/>
      <c r="N285" s="550"/>
      <c r="O285" s="573"/>
      <c r="P285" s="554" t="s">
        <v>75</v>
      </c>
      <c r="Q285" s="555"/>
      <c r="R285" s="555"/>
      <c r="S285" s="555"/>
      <c r="T285" s="555"/>
      <c r="U285" s="555"/>
      <c r="V285" s="556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0"/>
      <c r="B286" s="550"/>
      <c r="C286" s="550"/>
      <c r="D286" s="550"/>
      <c r="E286" s="550"/>
      <c r="F286" s="550"/>
      <c r="G286" s="550"/>
      <c r="H286" s="550"/>
      <c r="I286" s="550"/>
      <c r="J286" s="550"/>
      <c r="K286" s="550"/>
      <c r="L286" s="550"/>
      <c r="M286" s="550"/>
      <c r="N286" s="550"/>
      <c r="O286" s="573"/>
      <c r="P286" s="554" t="s">
        <v>75</v>
      </c>
      <c r="Q286" s="555"/>
      <c r="R286" s="555"/>
      <c r="S286" s="555"/>
      <c r="T286" s="555"/>
      <c r="U286" s="555"/>
      <c r="V286" s="556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7" t="s">
        <v>77</v>
      </c>
      <c r="B287" s="550"/>
      <c r="C287" s="550"/>
      <c r="D287" s="550"/>
      <c r="E287" s="550"/>
      <c r="F287" s="550"/>
      <c r="G287" s="550"/>
      <c r="H287" s="550"/>
      <c r="I287" s="550"/>
      <c r="J287" s="550"/>
      <c r="K287" s="550"/>
      <c r="L287" s="550"/>
      <c r="M287" s="550"/>
      <c r="N287" s="550"/>
      <c r="O287" s="550"/>
      <c r="P287" s="550"/>
      <c r="Q287" s="550"/>
      <c r="R287" s="550"/>
      <c r="S287" s="550"/>
      <c r="T287" s="550"/>
      <c r="U287" s="550"/>
      <c r="V287" s="550"/>
      <c r="W287" s="550"/>
      <c r="X287" s="550"/>
      <c r="Y287" s="550"/>
      <c r="Z287" s="550"/>
      <c r="AA287" s="541"/>
      <c r="AB287" s="541"/>
      <c r="AC287" s="541"/>
    </row>
    <row r="288" spans="1:68" ht="37.5" hidden="1" customHeight="1" x14ac:dyDescent="0.25">
      <c r="A288" s="54" t="s">
        <v>462</v>
      </c>
      <c r="B288" s="54" t="s">
        <v>463</v>
      </c>
      <c r="C288" s="31">
        <v>4301051782</v>
      </c>
      <c r="D288" s="558">
        <v>4680115884618</v>
      </c>
      <c r="E288" s="559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110</v>
      </c>
      <c r="L288" s="32"/>
      <c r="M288" s="33" t="s">
        <v>80</v>
      </c>
      <c r="N288" s="33"/>
      <c r="O288" s="32">
        <v>45</v>
      </c>
      <c r="P288" s="58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464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465</v>
      </c>
      <c r="B289" s="54" t="s">
        <v>466</v>
      </c>
      <c r="C289" s="31">
        <v>4301052057</v>
      </c>
      <c r="D289" s="558">
        <v>4680115887114</v>
      </c>
      <c r="E289" s="559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110</v>
      </c>
      <c r="L289" s="32"/>
      <c r="M289" s="33" t="s">
        <v>80</v>
      </c>
      <c r="N289" s="33"/>
      <c r="O289" s="32">
        <v>45</v>
      </c>
      <c r="P289" s="7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467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72"/>
      <c r="B290" s="550"/>
      <c r="C290" s="550"/>
      <c r="D290" s="550"/>
      <c r="E290" s="550"/>
      <c r="F290" s="550"/>
      <c r="G290" s="550"/>
      <c r="H290" s="550"/>
      <c r="I290" s="550"/>
      <c r="J290" s="550"/>
      <c r="K290" s="550"/>
      <c r="L290" s="550"/>
      <c r="M290" s="550"/>
      <c r="N290" s="550"/>
      <c r="O290" s="573"/>
      <c r="P290" s="554" t="s">
        <v>75</v>
      </c>
      <c r="Q290" s="555"/>
      <c r="R290" s="555"/>
      <c r="S290" s="555"/>
      <c r="T290" s="555"/>
      <c r="U290" s="555"/>
      <c r="V290" s="556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0"/>
      <c r="B291" s="550"/>
      <c r="C291" s="550"/>
      <c r="D291" s="550"/>
      <c r="E291" s="550"/>
      <c r="F291" s="550"/>
      <c r="G291" s="550"/>
      <c r="H291" s="550"/>
      <c r="I291" s="550"/>
      <c r="J291" s="550"/>
      <c r="K291" s="550"/>
      <c r="L291" s="550"/>
      <c r="M291" s="550"/>
      <c r="N291" s="550"/>
      <c r="O291" s="573"/>
      <c r="P291" s="554" t="s">
        <v>75</v>
      </c>
      <c r="Q291" s="555"/>
      <c r="R291" s="555"/>
      <c r="S291" s="555"/>
      <c r="T291" s="555"/>
      <c r="U291" s="555"/>
      <c r="V291" s="556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69" t="s">
        <v>468</v>
      </c>
      <c r="B292" s="550"/>
      <c r="C292" s="550"/>
      <c r="D292" s="550"/>
      <c r="E292" s="550"/>
      <c r="F292" s="550"/>
      <c r="G292" s="550"/>
      <c r="H292" s="550"/>
      <c r="I292" s="550"/>
      <c r="J292" s="550"/>
      <c r="K292" s="550"/>
      <c r="L292" s="550"/>
      <c r="M292" s="550"/>
      <c r="N292" s="550"/>
      <c r="O292" s="550"/>
      <c r="P292" s="550"/>
      <c r="Q292" s="550"/>
      <c r="R292" s="550"/>
      <c r="S292" s="550"/>
      <c r="T292" s="550"/>
      <c r="U292" s="550"/>
      <c r="V292" s="550"/>
      <c r="W292" s="550"/>
      <c r="X292" s="550"/>
      <c r="Y292" s="550"/>
      <c r="Z292" s="550"/>
      <c r="AA292" s="540"/>
      <c r="AB292" s="540"/>
      <c r="AC292" s="540"/>
    </row>
    <row r="293" spans="1:68" ht="14.25" hidden="1" customHeight="1" x14ac:dyDescent="0.25">
      <c r="A293" s="557" t="s">
        <v>102</v>
      </c>
      <c r="B293" s="550"/>
      <c r="C293" s="550"/>
      <c r="D293" s="550"/>
      <c r="E293" s="550"/>
      <c r="F293" s="550"/>
      <c r="G293" s="550"/>
      <c r="H293" s="550"/>
      <c r="I293" s="550"/>
      <c r="J293" s="550"/>
      <c r="K293" s="550"/>
      <c r="L293" s="550"/>
      <c r="M293" s="550"/>
      <c r="N293" s="550"/>
      <c r="O293" s="550"/>
      <c r="P293" s="550"/>
      <c r="Q293" s="550"/>
      <c r="R293" s="550"/>
      <c r="S293" s="550"/>
      <c r="T293" s="550"/>
      <c r="U293" s="550"/>
      <c r="V293" s="550"/>
      <c r="W293" s="550"/>
      <c r="X293" s="550"/>
      <c r="Y293" s="550"/>
      <c r="Z293" s="550"/>
      <c r="AA293" s="541"/>
      <c r="AB293" s="541"/>
      <c r="AC293" s="541"/>
    </row>
    <row r="294" spans="1:68" ht="27" hidden="1" customHeight="1" x14ac:dyDescent="0.25">
      <c r="A294" s="54" t="s">
        <v>469</v>
      </c>
      <c r="B294" s="54" t="s">
        <v>470</v>
      </c>
      <c r="C294" s="31">
        <v>4301012024</v>
      </c>
      <c r="D294" s="558">
        <v>4680115885615</v>
      </c>
      <c r="E294" s="559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63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471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472</v>
      </c>
      <c r="B295" s="54" t="s">
        <v>473</v>
      </c>
      <c r="C295" s="31">
        <v>4301011858</v>
      </c>
      <c r="D295" s="558">
        <v>4680115885646</v>
      </c>
      <c r="E295" s="559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106</v>
      </c>
      <c r="N295" s="33"/>
      <c r="O295" s="32">
        <v>55</v>
      </c>
      <c r="P295" s="64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474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475</v>
      </c>
      <c r="B296" s="54" t="s">
        <v>476</v>
      </c>
      <c r="C296" s="31">
        <v>4301012016</v>
      </c>
      <c r="D296" s="558">
        <v>4680115885554</v>
      </c>
      <c r="E296" s="559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477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478</v>
      </c>
      <c r="B297" s="54" t="s">
        <v>479</v>
      </c>
      <c r="C297" s="31">
        <v>4301011857</v>
      </c>
      <c r="D297" s="558">
        <v>4680115885622</v>
      </c>
      <c r="E297" s="559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110</v>
      </c>
      <c r="L297" s="32"/>
      <c r="M297" s="33" t="s">
        <v>106</v>
      </c>
      <c r="N297" s="33"/>
      <c r="O297" s="32">
        <v>55</v>
      </c>
      <c r="P297" s="57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471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480</v>
      </c>
      <c r="B298" s="54" t="s">
        <v>481</v>
      </c>
      <c r="C298" s="31">
        <v>4301011859</v>
      </c>
      <c r="D298" s="558">
        <v>4680115885608</v>
      </c>
      <c r="E298" s="559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110</v>
      </c>
      <c r="L298" s="32"/>
      <c r="M298" s="33" t="s">
        <v>106</v>
      </c>
      <c r="N298" s="33"/>
      <c r="O298" s="32">
        <v>55</v>
      </c>
      <c r="P298" s="6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482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72"/>
      <c r="B299" s="550"/>
      <c r="C299" s="550"/>
      <c r="D299" s="550"/>
      <c r="E299" s="550"/>
      <c r="F299" s="550"/>
      <c r="G299" s="550"/>
      <c r="H299" s="550"/>
      <c r="I299" s="550"/>
      <c r="J299" s="550"/>
      <c r="K299" s="550"/>
      <c r="L299" s="550"/>
      <c r="M299" s="550"/>
      <c r="N299" s="550"/>
      <c r="O299" s="573"/>
      <c r="P299" s="554" t="s">
        <v>75</v>
      </c>
      <c r="Q299" s="555"/>
      <c r="R299" s="555"/>
      <c r="S299" s="555"/>
      <c r="T299" s="555"/>
      <c r="U299" s="555"/>
      <c r="V299" s="556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0"/>
      <c r="B300" s="550"/>
      <c r="C300" s="550"/>
      <c r="D300" s="550"/>
      <c r="E300" s="550"/>
      <c r="F300" s="550"/>
      <c r="G300" s="550"/>
      <c r="H300" s="550"/>
      <c r="I300" s="550"/>
      <c r="J300" s="550"/>
      <c r="K300" s="550"/>
      <c r="L300" s="550"/>
      <c r="M300" s="550"/>
      <c r="N300" s="550"/>
      <c r="O300" s="573"/>
      <c r="P300" s="554" t="s">
        <v>75</v>
      </c>
      <c r="Q300" s="555"/>
      <c r="R300" s="555"/>
      <c r="S300" s="555"/>
      <c r="T300" s="555"/>
      <c r="U300" s="555"/>
      <c r="V300" s="556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7" t="s">
        <v>64</v>
      </c>
      <c r="B301" s="550"/>
      <c r="C301" s="550"/>
      <c r="D301" s="550"/>
      <c r="E301" s="550"/>
      <c r="F301" s="550"/>
      <c r="G301" s="550"/>
      <c r="H301" s="550"/>
      <c r="I301" s="550"/>
      <c r="J301" s="550"/>
      <c r="K301" s="550"/>
      <c r="L301" s="550"/>
      <c r="M301" s="550"/>
      <c r="N301" s="550"/>
      <c r="O301" s="550"/>
      <c r="P301" s="550"/>
      <c r="Q301" s="550"/>
      <c r="R301" s="550"/>
      <c r="S301" s="550"/>
      <c r="T301" s="550"/>
      <c r="U301" s="550"/>
      <c r="V301" s="550"/>
      <c r="W301" s="550"/>
      <c r="X301" s="550"/>
      <c r="Y301" s="550"/>
      <c r="Z301" s="550"/>
      <c r="AA301" s="541"/>
      <c r="AB301" s="541"/>
      <c r="AC301" s="541"/>
    </row>
    <row r="302" spans="1:68" ht="27" hidden="1" customHeight="1" x14ac:dyDescent="0.25">
      <c r="A302" s="54" t="s">
        <v>483</v>
      </c>
      <c r="B302" s="54" t="s">
        <v>484</v>
      </c>
      <c r="C302" s="31">
        <v>4301030878</v>
      </c>
      <c r="D302" s="558">
        <v>4607091387193</v>
      </c>
      <c r="E302" s="559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110</v>
      </c>
      <c r="L302" s="32"/>
      <c r="M302" s="33" t="s">
        <v>68</v>
      </c>
      <c r="N302" s="33"/>
      <c r="O302" s="32">
        <v>35</v>
      </c>
      <c r="P302" s="86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485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486</v>
      </c>
      <c r="B303" s="54" t="s">
        <v>487</v>
      </c>
      <c r="C303" s="31">
        <v>4301031153</v>
      </c>
      <c r="D303" s="558">
        <v>4607091387230</v>
      </c>
      <c r="E303" s="559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110</v>
      </c>
      <c r="L303" s="32"/>
      <c r="M303" s="33" t="s">
        <v>68</v>
      </c>
      <c r="N303" s="33"/>
      <c r="O303" s="32">
        <v>40</v>
      </c>
      <c r="P303" s="79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488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489</v>
      </c>
      <c r="B304" s="54" t="s">
        <v>490</v>
      </c>
      <c r="C304" s="31">
        <v>4301031154</v>
      </c>
      <c r="D304" s="558">
        <v>4607091387292</v>
      </c>
      <c r="E304" s="559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110</v>
      </c>
      <c r="L304" s="32"/>
      <c r="M304" s="33" t="s">
        <v>68</v>
      </c>
      <c r="N304" s="33"/>
      <c r="O304" s="32">
        <v>45</v>
      </c>
      <c r="P304" s="69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491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492</v>
      </c>
      <c r="B305" s="54" t="s">
        <v>493</v>
      </c>
      <c r="C305" s="31">
        <v>4301031152</v>
      </c>
      <c r="D305" s="558">
        <v>4607091387285</v>
      </c>
      <c r="E305" s="559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80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488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494</v>
      </c>
      <c r="B306" s="54" t="s">
        <v>495</v>
      </c>
      <c r="C306" s="31">
        <v>4301031305</v>
      </c>
      <c r="D306" s="558">
        <v>4607091389845</v>
      </c>
      <c r="E306" s="559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5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875.69999999999993</v>
      </c>
      <c r="Y306" s="546">
        <f t="shared" si="26"/>
        <v>875.7</v>
      </c>
      <c r="Z306" s="36">
        <f>IFERROR(IF(Y306=0,"",ROUNDUP(Y306/H306,0)*0.00502),"")</f>
        <v>2.09334</v>
      </c>
      <c r="AA306" s="56"/>
      <c r="AB306" s="57"/>
      <c r="AC306" s="359" t="s">
        <v>496</v>
      </c>
      <c r="AG306" s="64"/>
      <c r="AJ306" s="68"/>
      <c r="AK306" s="68">
        <v>0</v>
      </c>
      <c r="BB306" s="360" t="s">
        <v>1</v>
      </c>
      <c r="BM306" s="64">
        <f t="shared" si="27"/>
        <v>917.4</v>
      </c>
      <c r="BN306" s="64">
        <f t="shared" si="28"/>
        <v>917.40000000000009</v>
      </c>
      <c r="BO306" s="64">
        <f t="shared" si="29"/>
        <v>1.7820512820512819</v>
      </c>
      <c r="BP306" s="64">
        <f t="shared" si="30"/>
        <v>1.7820512820512822</v>
      </c>
    </row>
    <row r="307" spans="1:68" ht="27" hidden="1" customHeight="1" x14ac:dyDescent="0.25">
      <c r="A307" s="54" t="s">
        <v>497</v>
      </c>
      <c r="B307" s="54" t="s">
        <v>498</v>
      </c>
      <c r="C307" s="31">
        <v>4301031066</v>
      </c>
      <c r="D307" s="558">
        <v>4607091383836</v>
      </c>
      <c r="E307" s="559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56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499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72"/>
      <c r="B308" s="550"/>
      <c r="C308" s="550"/>
      <c r="D308" s="550"/>
      <c r="E308" s="550"/>
      <c r="F308" s="550"/>
      <c r="G308" s="550"/>
      <c r="H308" s="550"/>
      <c r="I308" s="550"/>
      <c r="J308" s="550"/>
      <c r="K308" s="550"/>
      <c r="L308" s="550"/>
      <c r="M308" s="550"/>
      <c r="N308" s="550"/>
      <c r="O308" s="573"/>
      <c r="P308" s="554" t="s">
        <v>75</v>
      </c>
      <c r="Q308" s="555"/>
      <c r="R308" s="555"/>
      <c r="S308" s="555"/>
      <c r="T308" s="555"/>
      <c r="U308" s="555"/>
      <c r="V308" s="556"/>
      <c r="W308" s="37" t="s">
        <v>76</v>
      </c>
      <c r="X308" s="547">
        <f>IFERROR(X302/H302,"0")+IFERROR(X303/H303,"0")+IFERROR(X304/H304,"0")+IFERROR(X305/H305,"0")+IFERROR(X306/H306,"0")+IFERROR(X307/H307,"0")</f>
        <v>416.99999999999994</v>
      </c>
      <c r="Y308" s="547">
        <f>IFERROR(Y302/H302,"0")+IFERROR(Y303/H303,"0")+IFERROR(Y304/H304,"0")+IFERROR(Y305/H305,"0")+IFERROR(Y306/H306,"0")+IFERROR(Y307/H307,"0")</f>
        <v>417</v>
      </c>
      <c r="Z308" s="547">
        <f>IFERROR(IF(Z302="",0,Z302),"0")+IFERROR(IF(Z303="",0,Z303),"0")+IFERROR(IF(Z304="",0,Z304),"0")+IFERROR(IF(Z305="",0,Z305),"0")+IFERROR(IF(Z306="",0,Z306),"0")+IFERROR(IF(Z307="",0,Z307),"0")</f>
        <v>2.09334</v>
      </c>
      <c r="AA308" s="548"/>
      <c r="AB308" s="548"/>
      <c r="AC308" s="548"/>
    </row>
    <row r="309" spans="1:68" x14ac:dyDescent="0.2">
      <c r="A309" s="550"/>
      <c r="B309" s="550"/>
      <c r="C309" s="550"/>
      <c r="D309" s="550"/>
      <c r="E309" s="550"/>
      <c r="F309" s="550"/>
      <c r="G309" s="550"/>
      <c r="H309" s="550"/>
      <c r="I309" s="550"/>
      <c r="J309" s="550"/>
      <c r="K309" s="550"/>
      <c r="L309" s="550"/>
      <c r="M309" s="550"/>
      <c r="N309" s="550"/>
      <c r="O309" s="573"/>
      <c r="P309" s="554" t="s">
        <v>75</v>
      </c>
      <c r="Q309" s="555"/>
      <c r="R309" s="555"/>
      <c r="S309" s="555"/>
      <c r="T309" s="555"/>
      <c r="U309" s="555"/>
      <c r="V309" s="556"/>
      <c r="W309" s="37" t="s">
        <v>69</v>
      </c>
      <c r="X309" s="547">
        <f>IFERROR(SUM(X302:X307),"0")</f>
        <v>875.69999999999993</v>
      </c>
      <c r="Y309" s="547">
        <f>IFERROR(SUM(Y302:Y307),"0")</f>
        <v>875.7</v>
      </c>
      <c r="Z309" s="37"/>
      <c r="AA309" s="548"/>
      <c r="AB309" s="548"/>
      <c r="AC309" s="548"/>
    </row>
    <row r="310" spans="1:68" ht="14.25" hidden="1" customHeight="1" x14ac:dyDescent="0.25">
      <c r="A310" s="557" t="s">
        <v>77</v>
      </c>
      <c r="B310" s="550"/>
      <c r="C310" s="550"/>
      <c r="D310" s="550"/>
      <c r="E310" s="550"/>
      <c r="F310" s="550"/>
      <c r="G310" s="550"/>
      <c r="H310" s="550"/>
      <c r="I310" s="550"/>
      <c r="J310" s="550"/>
      <c r="K310" s="550"/>
      <c r="L310" s="550"/>
      <c r="M310" s="550"/>
      <c r="N310" s="550"/>
      <c r="O310" s="550"/>
      <c r="P310" s="550"/>
      <c r="Q310" s="550"/>
      <c r="R310" s="550"/>
      <c r="S310" s="550"/>
      <c r="T310" s="550"/>
      <c r="U310" s="550"/>
      <c r="V310" s="550"/>
      <c r="W310" s="550"/>
      <c r="X310" s="550"/>
      <c r="Y310" s="550"/>
      <c r="Z310" s="550"/>
      <c r="AA310" s="541"/>
      <c r="AB310" s="541"/>
      <c r="AC310" s="541"/>
    </row>
    <row r="311" spans="1:68" ht="27" hidden="1" customHeight="1" x14ac:dyDescent="0.25">
      <c r="A311" s="54" t="s">
        <v>500</v>
      </c>
      <c r="B311" s="54" t="s">
        <v>501</v>
      </c>
      <c r="C311" s="31">
        <v>4301051100</v>
      </c>
      <c r="D311" s="558">
        <v>4607091387766</v>
      </c>
      <c r="E311" s="559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502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503</v>
      </c>
      <c r="B312" s="54" t="s">
        <v>504</v>
      </c>
      <c r="C312" s="31">
        <v>4301051818</v>
      </c>
      <c r="D312" s="558">
        <v>4607091387957</v>
      </c>
      <c r="E312" s="559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7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505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506</v>
      </c>
      <c r="B313" s="54" t="s">
        <v>507</v>
      </c>
      <c r="C313" s="31">
        <v>4301051819</v>
      </c>
      <c r="D313" s="558">
        <v>4607091387964</v>
      </c>
      <c r="E313" s="559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56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508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509</v>
      </c>
      <c r="B314" s="54" t="s">
        <v>510</v>
      </c>
      <c r="C314" s="31">
        <v>4301051734</v>
      </c>
      <c r="D314" s="558">
        <v>4680115884588</v>
      </c>
      <c r="E314" s="559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66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511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72"/>
      <c r="B315" s="550"/>
      <c r="C315" s="550"/>
      <c r="D315" s="550"/>
      <c r="E315" s="550"/>
      <c r="F315" s="550"/>
      <c r="G315" s="550"/>
      <c r="H315" s="550"/>
      <c r="I315" s="550"/>
      <c r="J315" s="550"/>
      <c r="K315" s="550"/>
      <c r="L315" s="550"/>
      <c r="M315" s="550"/>
      <c r="N315" s="550"/>
      <c r="O315" s="573"/>
      <c r="P315" s="554" t="s">
        <v>75</v>
      </c>
      <c r="Q315" s="555"/>
      <c r="R315" s="555"/>
      <c r="S315" s="555"/>
      <c r="T315" s="555"/>
      <c r="U315" s="555"/>
      <c r="V315" s="556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0"/>
      <c r="B316" s="550"/>
      <c r="C316" s="550"/>
      <c r="D316" s="550"/>
      <c r="E316" s="550"/>
      <c r="F316" s="550"/>
      <c r="G316" s="550"/>
      <c r="H316" s="550"/>
      <c r="I316" s="550"/>
      <c r="J316" s="550"/>
      <c r="K316" s="550"/>
      <c r="L316" s="550"/>
      <c r="M316" s="550"/>
      <c r="N316" s="550"/>
      <c r="O316" s="573"/>
      <c r="P316" s="554" t="s">
        <v>75</v>
      </c>
      <c r="Q316" s="555"/>
      <c r="R316" s="555"/>
      <c r="S316" s="555"/>
      <c r="T316" s="555"/>
      <c r="U316" s="555"/>
      <c r="V316" s="556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7" t="s">
        <v>163</v>
      </c>
      <c r="B317" s="550"/>
      <c r="C317" s="550"/>
      <c r="D317" s="550"/>
      <c r="E317" s="550"/>
      <c r="F317" s="550"/>
      <c r="G317" s="550"/>
      <c r="H317" s="550"/>
      <c r="I317" s="550"/>
      <c r="J317" s="550"/>
      <c r="K317" s="550"/>
      <c r="L317" s="550"/>
      <c r="M317" s="550"/>
      <c r="N317" s="550"/>
      <c r="O317" s="550"/>
      <c r="P317" s="550"/>
      <c r="Q317" s="550"/>
      <c r="R317" s="550"/>
      <c r="S317" s="550"/>
      <c r="T317" s="550"/>
      <c r="U317" s="550"/>
      <c r="V317" s="550"/>
      <c r="W317" s="550"/>
      <c r="X317" s="550"/>
      <c r="Y317" s="550"/>
      <c r="Z317" s="550"/>
      <c r="AA317" s="541"/>
      <c r="AB317" s="541"/>
      <c r="AC317" s="541"/>
    </row>
    <row r="318" spans="1:68" ht="27" hidden="1" customHeight="1" x14ac:dyDescent="0.25">
      <c r="A318" s="54" t="s">
        <v>512</v>
      </c>
      <c r="B318" s="54" t="s">
        <v>513</v>
      </c>
      <c r="C318" s="31">
        <v>4301060387</v>
      </c>
      <c r="D318" s="558">
        <v>4607091380880</v>
      </c>
      <c r="E318" s="559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6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514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515</v>
      </c>
      <c r="B319" s="54" t="s">
        <v>516</v>
      </c>
      <c r="C319" s="31">
        <v>4301060406</v>
      </c>
      <c r="D319" s="558">
        <v>4607091384482</v>
      </c>
      <c r="E319" s="559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/>
      <c r="M319" s="33" t="s">
        <v>80</v>
      </c>
      <c r="N319" s="33"/>
      <c r="O319" s="32">
        <v>30</v>
      </c>
      <c r="P319" s="5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0</v>
      </c>
      <c r="Y319" s="546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517</v>
      </c>
      <c r="AG319" s="64"/>
      <c r="AJ319" s="68"/>
      <c r="AK319" s="68">
        <v>0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16.5" hidden="1" customHeight="1" x14ac:dyDescent="0.25">
      <c r="A320" s="54" t="s">
        <v>518</v>
      </c>
      <c r="B320" s="54" t="s">
        <v>519</v>
      </c>
      <c r="C320" s="31">
        <v>4301060484</v>
      </c>
      <c r="D320" s="558">
        <v>4607091380897</v>
      </c>
      <c r="E320" s="559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520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572"/>
      <c r="B321" s="550"/>
      <c r="C321" s="550"/>
      <c r="D321" s="550"/>
      <c r="E321" s="550"/>
      <c r="F321" s="550"/>
      <c r="G321" s="550"/>
      <c r="H321" s="550"/>
      <c r="I321" s="550"/>
      <c r="J321" s="550"/>
      <c r="K321" s="550"/>
      <c r="L321" s="550"/>
      <c r="M321" s="550"/>
      <c r="N321" s="550"/>
      <c r="O321" s="573"/>
      <c r="P321" s="554" t="s">
        <v>75</v>
      </c>
      <c r="Q321" s="555"/>
      <c r="R321" s="555"/>
      <c r="S321" s="555"/>
      <c r="T321" s="555"/>
      <c r="U321" s="555"/>
      <c r="V321" s="556"/>
      <c r="W321" s="37" t="s">
        <v>76</v>
      </c>
      <c r="X321" s="547">
        <f>IFERROR(X318/H318,"0")+IFERROR(X319/H319,"0")+IFERROR(X320/H320,"0")</f>
        <v>0</v>
      </c>
      <c r="Y321" s="547">
        <f>IFERROR(Y318/H318,"0")+IFERROR(Y319/H319,"0")+IFERROR(Y320/H320,"0")</f>
        <v>0</v>
      </c>
      <c r="Z321" s="547">
        <f>IFERROR(IF(Z318="",0,Z318),"0")+IFERROR(IF(Z319="",0,Z319),"0")+IFERROR(IF(Z320="",0,Z320),"0")</f>
        <v>0</v>
      </c>
      <c r="AA321" s="548"/>
      <c r="AB321" s="548"/>
      <c r="AC321" s="548"/>
    </row>
    <row r="322" spans="1:68" hidden="1" x14ac:dyDescent="0.2">
      <c r="A322" s="550"/>
      <c r="B322" s="550"/>
      <c r="C322" s="550"/>
      <c r="D322" s="550"/>
      <c r="E322" s="550"/>
      <c r="F322" s="550"/>
      <c r="G322" s="550"/>
      <c r="H322" s="550"/>
      <c r="I322" s="550"/>
      <c r="J322" s="550"/>
      <c r="K322" s="550"/>
      <c r="L322" s="550"/>
      <c r="M322" s="550"/>
      <c r="N322" s="550"/>
      <c r="O322" s="573"/>
      <c r="P322" s="554" t="s">
        <v>75</v>
      </c>
      <c r="Q322" s="555"/>
      <c r="R322" s="555"/>
      <c r="S322" s="555"/>
      <c r="T322" s="555"/>
      <c r="U322" s="555"/>
      <c r="V322" s="556"/>
      <c r="W322" s="37" t="s">
        <v>69</v>
      </c>
      <c r="X322" s="547">
        <f>IFERROR(SUM(X318:X320),"0")</f>
        <v>0</v>
      </c>
      <c r="Y322" s="547">
        <f>IFERROR(SUM(Y318:Y320),"0")</f>
        <v>0</v>
      </c>
      <c r="Z322" s="37"/>
      <c r="AA322" s="548"/>
      <c r="AB322" s="548"/>
      <c r="AC322" s="548"/>
    </row>
    <row r="323" spans="1:68" ht="14.25" hidden="1" customHeight="1" x14ac:dyDescent="0.25">
      <c r="A323" s="557" t="s">
        <v>94</v>
      </c>
      <c r="B323" s="550"/>
      <c r="C323" s="550"/>
      <c r="D323" s="550"/>
      <c r="E323" s="550"/>
      <c r="F323" s="550"/>
      <c r="G323" s="550"/>
      <c r="H323" s="550"/>
      <c r="I323" s="550"/>
      <c r="J323" s="550"/>
      <c r="K323" s="550"/>
      <c r="L323" s="550"/>
      <c r="M323" s="550"/>
      <c r="N323" s="550"/>
      <c r="O323" s="550"/>
      <c r="P323" s="550"/>
      <c r="Q323" s="550"/>
      <c r="R323" s="550"/>
      <c r="S323" s="550"/>
      <c r="T323" s="550"/>
      <c r="U323" s="550"/>
      <c r="V323" s="550"/>
      <c r="W323" s="550"/>
      <c r="X323" s="550"/>
      <c r="Y323" s="550"/>
      <c r="Z323" s="550"/>
      <c r="AA323" s="541"/>
      <c r="AB323" s="541"/>
      <c r="AC323" s="541"/>
    </row>
    <row r="324" spans="1:68" ht="27" hidden="1" customHeight="1" x14ac:dyDescent="0.25">
      <c r="A324" s="54" t="s">
        <v>521</v>
      </c>
      <c r="B324" s="54" t="s">
        <v>522</v>
      </c>
      <c r="C324" s="31">
        <v>4301030235</v>
      </c>
      <c r="D324" s="558">
        <v>4607091388381</v>
      </c>
      <c r="E324" s="559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110</v>
      </c>
      <c r="L324" s="32"/>
      <c r="M324" s="33" t="s">
        <v>97</v>
      </c>
      <c r="N324" s="33"/>
      <c r="O324" s="32">
        <v>180</v>
      </c>
      <c r="P324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523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524</v>
      </c>
      <c r="B325" s="54" t="s">
        <v>525</v>
      </c>
      <c r="C325" s="31">
        <v>4301030232</v>
      </c>
      <c r="D325" s="558">
        <v>4607091388374</v>
      </c>
      <c r="E325" s="559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110</v>
      </c>
      <c r="L325" s="32"/>
      <c r="M325" s="33" t="s">
        <v>97</v>
      </c>
      <c r="N325" s="33"/>
      <c r="O325" s="32">
        <v>180</v>
      </c>
      <c r="P325" s="68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523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526</v>
      </c>
      <c r="B326" s="54" t="s">
        <v>527</v>
      </c>
      <c r="C326" s="31">
        <v>4301032015</v>
      </c>
      <c r="D326" s="558">
        <v>4607091383102</v>
      </c>
      <c r="E326" s="559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8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528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529</v>
      </c>
      <c r="B327" s="54" t="s">
        <v>530</v>
      </c>
      <c r="C327" s="31">
        <v>4301030233</v>
      </c>
      <c r="D327" s="558">
        <v>4607091388404</v>
      </c>
      <c r="E327" s="559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/>
      <c r="M327" s="33" t="s">
        <v>97</v>
      </c>
      <c r="N327" s="33"/>
      <c r="O327" s="32">
        <v>180</v>
      </c>
      <c r="P327" s="69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7.65</v>
      </c>
      <c r="Y327" s="546">
        <f>IFERROR(IF(X327="",0,CEILING((X327/$H327),1)*$H327),"")</f>
        <v>7.6499999999999995</v>
      </c>
      <c r="Z327" s="36">
        <f>IFERROR(IF(Y327=0,"",ROUNDUP(Y327/H327,0)*0.00651),"")</f>
        <v>1.9529999999999999E-2</v>
      </c>
      <c r="AA327" s="56"/>
      <c r="AB327" s="57"/>
      <c r="AC327" s="383" t="s">
        <v>523</v>
      </c>
      <c r="AG327" s="64"/>
      <c r="AJ327" s="68"/>
      <c r="AK327" s="68">
        <v>0</v>
      </c>
      <c r="BB327" s="384" t="s">
        <v>1</v>
      </c>
      <c r="BM327" s="64">
        <f>IFERROR(X327*I327/H327,"0")</f>
        <v>8.64</v>
      </c>
      <c r="BN327" s="64">
        <f>IFERROR(Y327*I327/H327,"0")</f>
        <v>8.6399999999999988</v>
      </c>
      <c r="BO327" s="64">
        <f>IFERROR(1/J327*(X327/H327),"0")</f>
        <v>1.6483516483516487E-2</v>
      </c>
      <c r="BP327" s="64">
        <f>IFERROR(1/J327*(Y327/H327),"0")</f>
        <v>1.6483516483516484E-2</v>
      </c>
    </row>
    <row r="328" spans="1:68" x14ac:dyDescent="0.2">
      <c r="A328" s="572"/>
      <c r="B328" s="550"/>
      <c r="C328" s="550"/>
      <c r="D328" s="550"/>
      <c r="E328" s="550"/>
      <c r="F328" s="550"/>
      <c r="G328" s="550"/>
      <c r="H328" s="550"/>
      <c r="I328" s="550"/>
      <c r="J328" s="550"/>
      <c r="K328" s="550"/>
      <c r="L328" s="550"/>
      <c r="M328" s="550"/>
      <c r="N328" s="550"/>
      <c r="O328" s="573"/>
      <c r="P328" s="554" t="s">
        <v>75</v>
      </c>
      <c r="Q328" s="555"/>
      <c r="R328" s="555"/>
      <c r="S328" s="555"/>
      <c r="T328" s="555"/>
      <c r="U328" s="555"/>
      <c r="V328" s="556"/>
      <c r="W328" s="37" t="s">
        <v>76</v>
      </c>
      <c r="X328" s="547">
        <f>IFERROR(X324/H324,"0")+IFERROR(X325/H325,"0")+IFERROR(X326/H326,"0")+IFERROR(X327/H327,"0")</f>
        <v>3.0000000000000004</v>
      </c>
      <c r="Y328" s="547">
        <f>IFERROR(Y324/H324,"0")+IFERROR(Y325/H325,"0")+IFERROR(Y326/H326,"0")+IFERROR(Y327/H327,"0")</f>
        <v>3</v>
      </c>
      <c r="Z328" s="547">
        <f>IFERROR(IF(Z324="",0,Z324),"0")+IFERROR(IF(Z325="",0,Z325),"0")+IFERROR(IF(Z326="",0,Z326),"0")+IFERROR(IF(Z327="",0,Z327),"0")</f>
        <v>1.9529999999999999E-2</v>
      </c>
      <c r="AA328" s="548"/>
      <c r="AB328" s="548"/>
      <c r="AC328" s="548"/>
    </row>
    <row r="329" spans="1:68" x14ac:dyDescent="0.2">
      <c r="A329" s="550"/>
      <c r="B329" s="550"/>
      <c r="C329" s="550"/>
      <c r="D329" s="550"/>
      <c r="E329" s="550"/>
      <c r="F329" s="550"/>
      <c r="G329" s="550"/>
      <c r="H329" s="550"/>
      <c r="I329" s="550"/>
      <c r="J329" s="550"/>
      <c r="K329" s="550"/>
      <c r="L329" s="550"/>
      <c r="M329" s="550"/>
      <c r="N329" s="550"/>
      <c r="O329" s="573"/>
      <c r="P329" s="554" t="s">
        <v>75</v>
      </c>
      <c r="Q329" s="555"/>
      <c r="R329" s="555"/>
      <c r="S329" s="555"/>
      <c r="T329" s="555"/>
      <c r="U329" s="555"/>
      <c r="V329" s="556"/>
      <c r="W329" s="37" t="s">
        <v>69</v>
      </c>
      <c r="X329" s="547">
        <f>IFERROR(SUM(X324:X327),"0")</f>
        <v>7.65</v>
      </c>
      <c r="Y329" s="547">
        <f>IFERROR(SUM(Y324:Y327),"0")</f>
        <v>7.6499999999999995</v>
      </c>
      <c r="Z329" s="37"/>
      <c r="AA329" s="548"/>
      <c r="AB329" s="548"/>
      <c r="AC329" s="548"/>
    </row>
    <row r="330" spans="1:68" ht="14.25" hidden="1" customHeight="1" x14ac:dyDescent="0.25">
      <c r="A330" s="557" t="s">
        <v>531</v>
      </c>
      <c r="B330" s="550"/>
      <c r="C330" s="550"/>
      <c r="D330" s="550"/>
      <c r="E330" s="550"/>
      <c r="F330" s="550"/>
      <c r="G330" s="550"/>
      <c r="H330" s="550"/>
      <c r="I330" s="550"/>
      <c r="J330" s="550"/>
      <c r="K330" s="550"/>
      <c r="L330" s="550"/>
      <c r="M330" s="550"/>
      <c r="N330" s="550"/>
      <c r="O330" s="550"/>
      <c r="P330" s="550"/>
      <c r="Q330" s="550"/>
      <c r="R330" s="550"/>
      <c r="S330" s="550"/>
      <c r="T330" s="550"/>
      <c r="U330" s="550"/>
      <c r="V330" s="550"/>
      <c r="W330" s="550"/>
      <c r="X330" s="550"/>
      <c r="Y330" s="550"/>
      <c r="Z330" s="550"/>
      <c r="AA330" s="541"/>
      <c r="AB330" s="541"/>
      <c r="AC330" s="541"/>
    </row>
    <row r="331" spans="1:68" ht="16.5" hidden="1" customHeight="1" x14ac:dyDescent="0.25">
      <c r="A331" s="54" t="s">
        <v>532</v>
      </c>
      <c r="B331" s="54" t="s">
        <v>533</v>
      </c>
      <c r="C331" s="31">
        <v>4301180007</v>
      </c>
      <c r="D331" s="558">
        <v>4680115881808</v>
      </c>
      <c r="E331" s="559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534</v>
      </c>
      <c r="N331" s="33"/>
      <c r="O331" s="32">
        <v>730</v>
      </c>
      <c r="P331" s="8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535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536</v>
      </c>
      <c r="B332" s="54" t="s">
        <v>537</v>
      </c>
      <c r="C332" s="31">
        <v>4301180006</v>
      </c>
      <c r="D332" s="558">
        <v>4680115881822</v>
      </c>
      <c r="E332" s="559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534</v>
      </c>
      <c r="N332" s="33"/>
      <c r="O332" s="32">
        <v>730</v>
      </c>
      <c r="P332" s="7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535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538</v>
      </c>
      <c r="B333" s="54" t="s">
        <v>539</v>
      </c>
      <c r="C333" s="31">
        <v>4301180001</v>
      </c>
      <c r="D333" s="558">
        <v>4680115880016</v>
      </c>
      <c r="E333" s="559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67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72"/>
      <c r="B334" s="550"/>
      <c r="C334" s="550"/>
      <c r="D334" s="550"/>
      <c r="E334" s="550"/>
      <c r="F334" s="550"/>
      <c r="G334" s="550"/>
      <c r="H334" s="550"/>
      <c r="I334" s="550"/>
      <c r="J334" s="550"/>
      <c r="K334" s="550"/>
      <c r="L334" s="550"/>
      <c r="M334" s="550"/>
      <c r="N334" s="550"/>
      <c r="O334" s="573"/>
      <c r="P334" s="554" t="s">
        <v>75</v>
      </c>
      <c r="Q334" s="555"/>
      <c r="R334" s="555"/>
      <c r="S334" s="555"/>
      <c r="T334" s="555"/>
      <c r="U334" s="555"/>
      <c r="V334" s="556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0"/>
      <c r="B335" s="550"/>
      <c r="C335" s="550"/>
      <c r="D335" s="550"/>
      <c r="E335" s="550"/>
      <c r="F335" s="550"/>
      <c r="G335" s="550"/>
      <c r="H335" s="550"/>
      <c r="I335" s="550"/>
      <c r="J335" s="550"/>
      <c r="K335" s="550"/>
      <c r="L335" s="550"/>
      <c r="M335" s="550"/>
      <c r="N335" s="550"/>
      <c r="O335" s="573"/>
      <c r="P335" s="554" t="s">
        <v>75</v>
      </c>
      <c r="Q335" s="555"/>
      <c r="R335" s="555"/>
      <c r="S335" s="555"/>
      <c r="T335" s="555"/>
      <c r="U335" s="555"/>
      <c r="V335" s="556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69" t="s">
        <v>540</v>
      </c>
      <c r="B336" s="550"/>
      <c r="C336" s="550"/>
      <c r="D336" s="550"/>
      <c r="E336" s="550"/>
      <c r="F336" s="550"/>
      <c r="G336" s="550"/>
      <c r="H336" s="550"/>
      <c r="I336" s="550"/>
      <c r="J336" s="550"/>
      <c r="K336" s="550"/>
      <c r="L336" s="550"/>
      <c r="M336" s="550"/>
      <c r="N336" s="550"/>
      <c r="O336" s="550"/>
      <c r="P336" s="550"/>
      <c r="Q336" s="550"/>
      <c r="R336" s="550"/>
      <c r="S336" s="550"/>
      <c r="T336" s="550"/>
      <c r="U336" s="550"/>
      <c r="V336" s="550"/>
      <c r="W336" s="550"/>
      <c r="X336" s="550"/>
      <c r="Y336" s="550"/>
      <c r="Z336" s="550"/>
      <c r="AA336" s="540"/>
      <c r="AB336" s="540"/>
      <c r="AC336" s="540"/>
    </row>
    <row r="337" spans="1:68" ht="14.25" hidden="1" customHeight="1" x14ac:dyDescent="0.25">
      <c r="A337" s="557" t="s">
        <v>77</v>
      </c>
      <c r="B337" s="550"/>
      <c r="C337" s="550"/>
      <c r="D337" s="550"/>
      <c r="E337" s="550"/>
      <c r="F337" s="550"/>
      <c r="G337" s="550"/>
      <c r="H337" s="550"/>
      <c r="I337" s="550"/>
      <c r="J337" s="550"/>
      <c r="K337" s="550"/>
      <c r="L337" s="550"/>
      <c r="M337" s="550"/>
      <c r="N337" s="550"/>
      <c r="O337" s="550"/>
      <c r="P337" s="550"/>
      <c r="Q337" s="550"/>
      <c r="R337" s="550"/>
      <c r="S337" s="550"/>
      <c r="T337" s="550"/>
      <c r="U337" s="550"/>
      <c r="V337" s="550"/>
      <c r="W337" s="550"/>
      <c r="X337" s="550"/>
      <c r="Y337" s="550"/>
      <c r="Z337" s="550"/>
      <c r="AA337" s="541"/>
      <c r="AB337" s="541"/>
      <c r="AC337" s="541"/>
    </row>
    <row r="338" spans="1:68" ht="27" hidden="1" customHeight="1" x14ac:dyDescent="0.25">
      <c r="A338" s="54" t="s">
        <v>541</v>
      </c>
      <c r="B338" s="54" t="s">
        <v>542</v>
      </c>
      <c r="C338" s="31">
        <v>4301051489</v>
      </c>
      <c r="D338" s="558">
        <v>4607091387919</v>
      </c>
      <c r="E338" s="559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56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543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544</v>
      </c>
      <c r="B339" s="54" t="s">
        <v>545</v>
      </c>
      <c r="C339" s="31">
        <v>4301051461</v>
      </c>
      <c r="D339" s="558">
        <v>4680115883604</v>
      </c>
      <c r="E339" s="559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229</v>
      </c>
      <c r="M339" s="33" t="s">
        <v>80</v>
      </c>
      <c r="N339" s="33"/>
      <c r="O339" s="32">
        <v>45</v>
      </c>
      <c r="P339" s="8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840</v>
      </c>
      <c r="Y339" s="546">
        <f>IFERROR(IF(X339="",0,CEILING((X339/$H339),1)*$H339),"")</f>
        <v>840</v>
      </c>
      <c r="Z339" s="36">
        <f>IFERROR(IF(Y339=0,"",ROUNDUP(Y339/H339,0)*0.00651),"")</f>
        <v>2.6040000000000001</v>
      </c>
      <c r="AA339" s="56"/>
      <c r="AB339" s="57"/>
      <c r="AC339" s="393" t="s">
        <v>546</v>
      </c>
      <c r="AG339" s="64"/>
      <c r="AJ339" s="68" t="s">
        <v>207</v>
      </c>
      <c r="AK339" s="68">
        <v>29.4</v>
      </c>
      <c r="BB339" s="394" t="s">
        <v>1</v>
      </c>
      <c r="BM339" s="64">
        <f>IFERROR(X339*I339/H339,"0")</f>
        <v>940.79999999999984</v>
      </c>
      <c r="BN339" s="64">
        <f>IFERROR(Y339*I339/H339,"0")</f>
        <v>940.79999999999984</v>
      </c>
      <c r="BO339" s="64">
        <f>IFERROR(1/J339*(X339/H339),"0")</f>
        <v>2.197802197802198</v>
      </c>
      <c r="BP339" s="64">
        <f>IFERROR(1/J339*(Y339/H339),"0")</f>
        <v>2.197802197802198</v>
      </c>
    </row>
    <row r="340" spans="1:68" ht="27" customHeight="1" x14ac:dyDescent="0.25">
      <c r="A340" s="54" t="s">
        <v>547</v>
      </c>
      <c r="B340" s="54" t="s">
        <v>548</v>
      </c>
      <c r="C340" s="31">
        <v>4301051864</v>
      </c>
      <c r="D340" s="558">
        <v>4680115883567</v>
      </c>
      <c r="E340" s="559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229</v>
      </c>
      <c r="M340" s="33" t="s">
        <v>87</v>
      </c>
      <c r="N340" s="33"/>
      <c r="O340" s="32">
        <v>40</v>
      </c>
      <c r="P340" s="7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420</v>
      </c>
      <c r="Y340" s="546">
        <f>IFERROR(IF(X340="",0,CEILING((X340/$H340),1)*$H340),"")</f>
        <v>420</v>
      </c>
      <c r="Z340" s="36">
        <f>IFERROR(IF(Y340=0,"",ROUNDUP(Y340/H340,0)*0.00651),"")</f>
        <v>1.302</v>
      </c>
      <c r="AA340" s="56"/>
      <c r="AB340" s="57"/>
      <c r="AC340" s="395" t="s">
        <v>549</v>
      </c>
      <c r="AG340" s="64"/>
      <c r="AJ340" s="68" t="s">
        <v>207</v>
      </c>
      <c r="AK340" s="68">
        <v>29.4</v>
      </c>
      <c r="BB340" s="396" t="s">
        <v>1</v>
      </c>
      <c r="BM340" s="64">
        <f>IFERROR(X340*I340/H340,"0")</f>
        <v>467.99999999999994</v>
      </c>
      <c r="BN340" s="64">
        <f>IFERROR(Y340*I340/H340,"0")</f>
        <v>467.99999999999994</v>
      </c>
      <c r="BO340" s="64">
        <f>IFERROR(1/J340*(X340/H340),"0")</f>
        <v>1.098901098901099</v>
      </c>
      <c r="BP340" s="64">
        <f>IFERROR(1/J340*(Y340/H340),"0")</f>
        <v>1.098901098901099</v>
      </c>
    </row>
    <row r="341" spans="1:68" x14ac:dyDescent="0.2">
      <c r="A341" s="572"/>
      <c r="B341" s="550"/>
      <c r="C341" s="550"/>
      <c r="D341" s="550"/>
      <c r="E341" s="550"/>
      <c r="F341" s="550"/>
      <c r="G341" s="550"/>
      <c r="H341" s="550"/>
      <c r="I341" s="550"/>
      <c r="J341" s="550"/>
      <c r="K341" s="550"/>
      <c r="L341" s="550"/>
      <c r="M341" s="550"/>
      <c r="N341" s="550"/>
      <c r="O341" s="573"/>
      <c r="P341" s="554" t="s">
        <v>75</v>
      </c>
      <c r="Q341" s="555"/>
      <c r="R341" s="555"/>
      <c r="S341" s="555"/>
      <c r="T341" s="555"/>
      <c r="U341" s="555"/>
      <c r="V341" s="556"/>
      <c r="W341" s="37" t="s">
        <v>76</v>
      </c>
      <c r="X341" s="547">
        <f>IFERROR(X338/H338,"0")+IFERROR(X339/H339,"0")+IFERROR(X340/H340,"0")</f>
        <v>600</v>
      </c>
      <c r="Y341" s="547">
        <f>IFERROR(Y338/H338,"0")+IFERROR(Y339/H339,"0")+IFERROR(Y340/H340,"0")</f>
        <v>600</v>
      </c>
      <c r="Z341" s="547">
        <f>IFERROR(IF(Z338="",0,Z338),"0")+IFERROR(IF(Z339="",0,Z339),"0")+IFERROR(IF(Z340="",0,Z340),"0")</f>
        <v>3.9060000000000001</v>
      </c>
      <c r="AA341" s="548"/>
      <c r="AB341" s="548"/>
      <c r="AC341" s="548"/>
    </row>
    <row r="342" spans="1:68" x14ac:dyDescent="0.2">
      <c r="A342" s="550"/>
      <c r="B342" s="550"/>
      <c r="C342" s="550"/>
      <c r="D342" s="550"/>
      <c r="E342" s="550"/>
      <c r="F342" s="550"/>
      <c r="G342" s="550"/>
      <c r="H342" s="550"/>
      <c r="I342" s="550"/>
      <c r="J342" s="550"/>
      <c r="K342" s="550"/>
      <c r="L342" s="550"/>
      <c r="M342" s="550"/>
      <c r="N342" s="550"/>
      <c r="O342" s="573"/>
      <c r="P342" s="554" t="s">
        <v>75</v>
      </c>
      <c r="Q342" s="555"/>
      <c r="R342" s="555"/>
      <c r="S342" s="555"/>
      <c r="T342" s="555"/>
      <c r="U342" s="555"/>
      <c r="V342" s="556"/>
      <c r="W342" s="37" t="s">
        <v>69</v>
      </c>
      <c r="X342" s="547">
        <f>IFERROR(SUM(X338:X340),"0")</f>
        <v>1260</v>
      </c>
      <c r="Y342" s="547">
        <f>IFERROR(SUM(Y338:Y340),"0")</f>
        <v>1260</v>
      </c>
      <c r="Z342" s="37"/>
      <c r="AA342" s="548"/>
      <c r="AB342" s="548"/>
      <c r="AC342" s="548"/>
    </row>
    <row r="343" spans="1:68" ht="27.75" hidden="1" customHeight="1" x14ac:dyDescent="0.2">
      <c r="A343" s="688" t="s">
        <v>550</v>
      </c>
      <c r="B343" s="689"/>
      <c r="C343" s="689"/>
      <c r="D343" s="689"/>
      <c r="E343" s="689"/>
      <c r="F343" s="689"/>
      <c r="G343" s="689"/>
      <c r="H343" s="689"/>
      <c r="I343" s="689"/>
      <c r="J343" s="689"/>
      <c r="K343" s="689"/>
      <c r="L343" s="689"/>
      <c r="M343" s="689"/>
      <c r="N343" s="689"/>
      <c r="O343" s="689"/>
      <c r="P343" s="689"/>
      <c r="Q343" s="689"/>
      <c r="R343" s="689"/>
      <c r="S343" s="689"/>
      <c r="T343" s="689"/>
      <c r="U343" s="689"/>
      <c r="V343" s="689"/>
      <c r="W343" s="689"/>
      <c r="X343" s="689"/>
      <c r="Y343" s="689"/>
      <c r="Z343" s="689"/>
      <c r="AA343" s="48"/>
      <c r="AB343" s="48"/>
      <c r="AC343" s="48"/>
    </row>
    <row r="344" spans="1:68" ht="16.5" hidden="1" customHeight="1" x14ac:dyDescent="0.25">
      <c r="A344" s="569" t="s">
        <v>551</v>
      </c>
      <c r="B344" s="550"/>
      <c r="C344" s="550"/>
      <c r="D344" s="550"/>
      <c r="E344" s="550"/>
      <c r="F344" s="550"/>
      <c r="G344" s="550"/>
      <c r="H344" s="550"/>
      <c r="I344" s="550"/>
      <c r="J344" s="550"/>
      <c r="K344" s="550"/>
      <c r="L344" s="550"/>
      <c r="M344" s="550"/>
      <c r="N344" s="550"/>
      <c r="O344" s="550"/>
      <c r="P344" s="550"/>
      <c r="Q344" s="550"/>
      <c r="R344" s="550"/>
      <c r="S344" s="550"/>
      <c r="T344" s="550"/>
      <c r="U344" s="550"/>
      <c r="V344" s="550"/>
      <c r="W344" s="550"/>
      <c r="X344" s="550"/>
      <c r="Y344" s="550"/>
      <c r="Z344" s="550"/>
      <c r="AA344" s="540"/>
      <c r="AB344" s="540"/>
      <c r="AC344" s="540"/>
    </row>
    <row r="345" spans="1:68" ht="14.25" hidden="1" customHeight="1" x14ac:dyDescent="0.25">
      <c r="A345" s="557" t="s">
        <v>102</v>
      </c>
      <c r="B345" s="550"/>
      <c r="C345" s="550"/>
      <c r="D345" s="550"/>
      <c r="E345" s="550"/>
      <c r="F345" s="550"/>
      <c r="G345" s="550"/>
      <c r="H345" s="550"/>
      <c r="I345" s="550"/>
      <c r="J345" s="550"/>
      <c r="K345" s="550"/>
      <c r="L345" s="550"/>
      <c r="M345" s="550"/>
      <c r="N345" s="550"/>
      <c r="O345" s="550"/>
      <c r="P345" s="550"/>
      <c r="Q345" s="550"/>
      <c r="R345" s="550"/>
      <c r="S345" s="550"/>
      <c r="T345" s="550"/>
      <c r="U345" s="550"/>
      <c r="V345" s="550"/>
      <c r="W345" s="550"/>
      <c r="X345" s="550"/>
      <c r="Y345" s="550"/>
      <c r="Z345" s="550"/>
      <c r="AA345" s="541"/>
      <c r="AB345" s="541"/>
      <c r="AC345" s="541"/>
    </row>
    <row r="346" spans="1:68" ht="37.5" customHeight="1" x14ac:dyDescent="0.25">
      <c r="A346" s="54" t="s">
        <v>552</v>
      </c>
      <c r="B346" s="54" t="s">
        <v>553</v>
      </c>
      <c r="C346" s="31">
        <v>4301011869</v>
      </c>
      <c r="D346" s="558">
        <v>4680115884847</v>
      </c>
      <c r="E346" s="559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66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75</v>
      </c>
      <c r="Y346" s="546">
        <f t="shared" ref="Y346:Y352" si="31">IFERROR(IF(X346="",0,CEILING((X346/$H346),1)*$H346),"")</f>
        <v>75</v>
      </c>
      <c r="Z346" s="36">
        <f>IFERROR(IF(Y346=0,"",ROUNDUP(Y346/H346,0)*0.02175),"")</f>
        <v>0.10874999999999999</v>
      </c>
      <c r="AA346" s="56"/>
      <c r="AB346" s="57"/>
      <c r="AC346" s="397" t="s">
        <v>554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77.349999999999994</v>
      </c>
      <c r="BN346" s="64">
        <f t="shared" ref="BN346:BN352" si="33">IFERROR(Y346*I346/H346,"0")</f>
        <v>77.349999999999994</v>
      </c>
      <c r="BO346" s="64">
        <f t="shared" ref="BO346:BO352" si="34">IFERROR(1/J346*(X346/H346),"0")</f>
        <v>0.10416666666666666</v>
      </c>
      <c r="BP346" s="64">
        <f t="shared" ref="BP346:BP352" si="35">IFERROR(1/J346*(Y346/H346),"0")</f>
        <v>0.10416666666666666</v>
      </c>
    </row>
    <row r="347" spans="1:68" ht="27" hidden="1" customHeight="1" x14ac:dyDescent="0.25">
      <c r="A347" s="54" t="s">
        <v>555</v>
      </c>
      <c r="B347" s="54" t="s">
        <v>556</v>
      </c>
      <c r="C347" s="31">
        <v>4301011870</v>
      </c>
      <c r="D347" s="558">
        <v>4680115884854</v>
      </c>
      <c r="E347" s="559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6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558</v>
      </c>
      <c r="B348" s="54" t="s">
        <v>559</v>
      </c>
      <c r="C348" s="31">
        <v>4301011867</v>
      </c>
      <c r="D348" s="558">
        <v>4680115884830</v>
      </c>
      <c r="E348" s="559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6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45</v>
      </c>
      <c r="Y348" s="546">
        <f t="shared" si="31"/>
        <v>45</v>
      </c>
      <c r="Z348" s="36">
        <f>IFERROR(IF(Y348=0,"",ROUNDUP(Y348/H348,0)*0.02175),"")</f>
        <v>6.5250000000000002E-2</v>
      </c>
      <c r="AA348" s="56"/>
      <c r="AB348" s="57"/>
      <c r="AC348" s="401" t="s">
        <v>560</v>
      </c>
      <c r="AG348" s="64"/>
      <c r="AJ348" s="68"/>
      <c r="AK348" s="68">
        <v>0</v>
      </c>
      <c r="BB348" s="402" t="s">
        <v>1</v>
      </c>
      <c r="BM348" s="64">
        <f t="shared" si="32"/>
        <v>46.41</v>
      </c>
      <c r="BN348" s="64">
        <f t="shared" si="33"/>
        <v>46.41</v>
      </c>
      <c r="BO348" s="64">
        <f t="shared" si="34"/>
        <v>6.25E-2</v>
      </c>
      <c r="BP348" s="64">
        <f t="shared" si="35"/>
        <v>6.25E-2</v>
      </c>
    </row>
    <row r="349" spans="1:68" ht="27" hidden="1" customHeight="1" x14ac:dyDescent="0.25">
      <c r="A349" s="54" t="s">
        <v>561</v>
      </c>
      <c r="B349" s="54" t="s">
        <v>562</v>
      </c>
      <c r="C349" s="31">
        <v>4301012215</v>
      </c>
      <c r="D349" s="558">
        <v>4680115887046</v>
      </c>
      <c r="E349" s="559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61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563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hidden="1" customHeight="1" x14ac:dyDescent="0.25">
      <c r="A350" s="54" t="s">
        <v>564</v>
      </c>
      <c r="B350" s="54" t="s">
        <v>565</v>
      </c>
      <c r="C350" s="31">
        <v>4301011433</v>
      </c>
      <c r="D350" s="558">
        <v>4680115882638</v>
      </c>
      <c r="E350" s="559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110</v>
      </c>
      <c r="L350" s="32"/>
      <c r="M350" s="33" t="s">
        <v>106</v>
      </c>
      <c r="N350" s="33"/>
      <c r="O350" s="32">
        <v>90</v>
      </c>
      <c r="P350" s="7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566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567</v>
      </c>
      <c r="B351" s="54" t="s">
        <v>568</v>
      </c>
      <c r="C351" s="31">
        <v>4301011952</v>
      </c>
      <c r="D351" s="558">
        <v>4680115884922</v>
      </c>
      <c r="E351" s="559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110</v>
      </c>
      <c r="L351" s="32"/>
      <c r="M351" s="33" t="s">
        <v>68</v>
      </c>
      <c r="N351" s="33"/>
      <c r="O351" s="32">
        <v>60</v>
      </c>
      <c r="P351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557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569</v>
      </c>
      <c r="B352" s="54" t="s">
        <v>570</v>
      </c>
      <c r="C352" s="31">
        <v>4301011868</v>
      </c>
      <c r="D352" s="558">
        <v>4680115884861</v>
      </c>
      <c r="E352" s="559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110</v>
      </c>
      <c r="L352" s="32"/>
      <c r="M352" s="33" t="s">
        <v>68</v>
      </c>
      <c r="N352" s="33"/>
      <c r="O352" s="32">
        <v>60</v>
      </c>
      <c r="P352" s="7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560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72"/>
      <c r="B353" s="550"/>
      <c r="C353" s="550"/>
      <c r="D353" s="550"/>
      <c r="E353" s="550"/>
      <c r="F353" s="550"/>
      <c r="G353" s="550"/>
      <c r="H353" s="550"/>
      <c r="I353" s="550"/>
      <c r="J353" s="550"/>
      <c r="K353" s="550"/>
      <c r="L353" s="550"/>
      <c r="M353" s="550"/>
      <c r="N353" s="550"/>
      <c r="O353" s="573"/>
      <c r="P353" s="554" t="s">
        <v>75</v>
      </c>
      <c r="Q353" s="555"/>
      <c r="R353" s="555"/>
      <c r="S353" s="555"/>
      <c r="T353" s="555"/>
      <c r="U353" s="555"/>
      <c r="V353" s="556"/>
      <c r="W353" s="37" t="s">
        <v>76</v>
      </c>
      <c r="X353" s="547">
        <f>IFERROR(X346/H346,"0")+IFERROR(X347/H347,"0")+IFERROR(X348/H348,"0")+IFERROR(X349/H349,"0")+IFERROR(X350/H350,"0")+IFERROR(X351/H351,"0")+IFERROR(X352/H352,"0")</f>
        <v>8</v>
      </c>
      <c r="Y353" s="547">
        <f>IFERROR(Y346/H346,"0")+IFERROR(Y347/H347,"0")+IFERROR(Y348/H348,"0")+IFERROR(Y349/H349,"0")+IFERROR(Y350/H350,"0")+IFERROR(Y351/H351,"0")+IFERROR(Y352/H352,"0")</f>
        <v>8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0.17399999999999999</v>
      </c>
      <c r="AA353" s="548"/>
      <c r="AB353" s="548"/>
      <c r="AC353" s="548"/>
    </row>
    <row r="354" spans="1:68" x14ac:dyDescent="0.2">
      <c r="A354" s="550"/>
      <c r="B354" s="550"/>
      <c r="C354" s="550"/>
      <c r="D354" s="550"/>
      <c r="E354" s="550"/>
      <c r="F354" s="550"/>
      <c r="G354" s="550"/>
      <c r="H354" s="550"/>
      <c r="I354" s="550"/>
      <c r="J354" s="550"/>
      <c r="K354" s="550"/>
      <c r="L354" s="550"/>
      <c r="M354" s="550"/>
      <c r="N354" s="550"/>
      <c r="O354" s="573"/>
      <c r="P354" s="554" t="s">
        <v>75</v>
      </c>
      <c r="Q354" s="555"/>
      <c r="R354" s="555"/>
      <c r="S354" s="555"/>
      <c r="T354" s="555"/>
      <c r="U354" s="555"/>
      <c r="V354" s="556"/>
      <c r="W354" s="37" t="s">
        <v>69</v>
      </c>
      <c r="X354" s="547">
        <f>IFERROR(SUM(X346:X352),"0")</f>
        <v>120</v>
      </c>
      <c r="Y354" s="547">
        <f>IFERROR(SUM(Y346:Y352),"0")</f>
        <v>120</v>
      </c>
      <c r="Z354" s="37"/>
      <c r="AA354" s="548"/>
      <c r="AB354" s="548"/>
      <c r="AC354" s="548"/>
    </row>
    <row r="355" spans="1:68" ht="14.25" hidden="1" customHeight="1" x14ac:dyDescent="0.25">
      <c r="A355" s="557" t="s">
        <v>135</v>
      </c>
      <c r="B355" s="550"/>
      <c r="C355" s="550"/>
      <c r="D355" s="550"/>
      <c r="E355" s="550"/>
      <c r="F355" s="550"/>
      <c r="G355" s="550"/>
      <c r="H355" s="550"/>
      <c r="I355" s="550"/>
      <c r="J355" s="550"/>
      <c r="K355" s="550"/>
      <c r="L355" s="550"/>
      <c r="M355" s="550"/>
      <c r="N355" s="550"/>
      <c r="O355" s="550"/>
      <c r="P355" s="550"/>
      <c r="Q355" s="550"/>
      <c r="R355" s="550"/>
      <c r="S355" s="550"/>
      <c r="T355" s="550"/>
      <c r="U355" s="550"/>
      <c r="V355" s="550"/>
      <c r="W355" s="550"/>
      <c r="X355" s="550"/>
      <c r="Y355" s="550"/>
      <c r="Z355" s="550"/>
      <c r="AA355" s="541"/>
      <c r="AB355" s="541"/>
      <c r="AC355" s="541"/>
    </row>
    <row r="356" spans="1:68" ht="27" hidden="1" customHeight="1" x14ac:dyDescent="0.25">
      <c r="A356" s="54" t="s">
        <v>571</v>
      </c>
      <c r="B356" s="54" t="s">
        <v>572</v>
      </c>
      <c r="C356" s="31">
        <v>4301020178</v>
      </c>
      <c r="D356" s="558">
        <v>4607091383980</v>
      </c>
      <c r="E356" s="559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106</v>
      </c>
      <c r="N356" s="33"/>
      <c r="O356" s="32">
        <v>50</v>
      </c>
      <c r="P356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0</v>
      </c>
      <c r="Y356" s="546">
        <f>IFERROR(IF(X356="",0,CEILING((X356/$H356),1)*$H356),"")</f>
        <v>0</v>
      </c>
      <c r="Z356" s="36" t="str">
        <f>IFERROR(IF(Y356=0,"",ROUNDUP(Y356/H356,0)*0.02175),"")</f>
        <v/>
      </c>
      <c r="AA356" s="56"/>
      <c r="AB356" s="57"/>
      <c r="AC356" s="411" t="s">
        <v>573</v>
      </c>
      <c r="AG356" s="64"/>
      <c r="AJ356" s="68"/>
      <c r="AK356" s="68">
        <v>0</v>
      </c>
      <c r="BB356" s="412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574</v>
      </c>
      <c r="B357" s="54" t="s">
        <v>575</v>
      </c>
      <c r="C357" s="31">
        <v>4301020179</v>
      </c>
      <c r="D357" s="558">
        <v>4607091384178</v>
      </c>
      <c r="E357" s="559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110</v>
      </c>
      <c r="L357" s="32"/>
      <c r="M357" s="33" t="s">
        <v>106</v>
      </c>
      <c r="N357" s="33"/>
      <c r="O357" s="32">
        <v>50</v>
      </c>
      <c r="P357" s="6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576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572"/>
      <c r="B358" s="550"/>
      <c r="C358" s="550"/>
      <c r="D358" s="550"/>
      <c r="E358" s="550"/>
      <c r="F358" s="550"/>
      <c r="G358" s="550"/>
      <c r="H358" s="550"/>
      <c r="I358" s="550"/>
      <c r="J358" s="550"/>
      <c r="K358" s="550"/>
      <c r="L358" s="550"/>
      <c r="M358" s="550"/>
      <c r="N358" s="550"/>
      <c r="O358" s="573"/>
      <c r="P358" s="554" t="s">
        <v>75</v>
      </c>
      <c r="Q358" s="555"/>
      <c r="R358" s="555"/>
      <c r="S358" s="555"/>
      <c r="T358" s="555"/>
      <c r="U358" s="555"/>
      <c r="V358" s="556"/>
      <c r="W358" s="37" t="s">
        <v>76</v>
      </c>
      <c r="X358" s="547">
        <f>IFERROR(X356/H356,"0")+IFERROR(X357/H357,"0")</f>
        <v>0</v>
      </c>
      <c r="Y358" s="547">
        <f>IFERROR(Y356/H356,"0")+IFERROR(Y357/H357,"0")</f>
        <v>0</v>
      </c>
      <c r="Z358" s="547">
        <f>IFERROR(IF(Z356="",0,Z356),"0")+IFERROR(IF(Z357="",0,Z357),"0")</f>
        <v>0</v>
      </c>
      <c r="AA358" s="548"/>
      <c r="AB358" s="548"/>
      <c r="AC358" s="548"/>
    </row>
    <row r="359" spans="1:68" hidden="1" x14ac:dyDescent="0.2">
      <c r="A359" s="550"/>
      <c r="B359" s="550"/>
      <c r="C359" s="550"/>
      <c r="D359" s="550"/>
      <c r="E359" s="550"/>
      <c r="F359" s="550"/>
      <c r="G359" s="550"/>
      <c r="H359" s="550"/>
      <c r="I359" s="550"/>
      <c r="J359" s="550"/>
      <c r="K359" s="550"/>
      <c r="L359" s="550"/>
      <c r="M359" s="550"/>
      <c r="N359" s="550"/>
      <c r="O359" s="573"/>
      <c r="P359" s="554" t="s">
        <v>75</v>
      </c>
      <c r="Q359" s="555"/>
      <c r="R359" s="555"/>
      <c r="S359" s="555"/>
      <c r="T359" s="555"/>
      <c r="U359" s="555"/>
      <c r="V359" s="556"/>
      <c r="W359" s="37" t="s">
        <v>69</v>
      </c>
      <c r="X359" s="547">
        <f>IFERROR(SUM(X356:X357),"0")</f>
        <v>0</v>
      </c>
      <c r="Y359" s="547">
        <f>IFERROR(SUM(Y356:Y357),"0")</f>
        <v>0</v>
      </c>
      <c r="Z359" s="37"/>
      <c r="AA359" s="548"/>
      <c r="AB359" s="548"/>
      <c r="AC359" s="548"/>
    </row>
    <row r="360" spans="1:68" ht="14.25" hidden="1" customHeight="1" x14ac:dyDescent="0.25">
      <c r="A360" s="557" t="s">
        <v>77</v>
      </c>
      <c r="B360" s="550"/>
      <c r="C360" s="550"/>
      <c r="D360" s="550"/>
      <c r="E360" s="550"/>
      <c r="F360" s="550"/>
      <c r="G360" s="550"/>
      <c r="H360" s="550"/>
      <c r="I360" s="550"/>
      <c r="J360" s="550"/>
      <c r="K360" s="550"/>
      <c r="L360" s="550"/>
      <c r="M360" s="550"/>
      <c r="N360" s="550"/>
      <c r="O360" s="550"/>
      <c r="P360" s="550"/>
      <c r="Q360" s="550"/>
      <c r="R360" s="550"/>
      <c r="S360" s="550"/>
      <c r="T360" s="550"/>
      <c r="U360" s="550"/>
      <c r="V360" s="550"/>
      <c r="W360" s="550"/>
      <c r="X360" s="550"/>
      <c r="Y360" s="550"/>
      <c r="Z360" s="550"/>
      <c r="AA360" s="541"/>
      <c r="AB360" s="541"/>
      <c r="AC360" s="541"/>
    </row>
    <row r="361" spans="1:68" ht="27" hidden="1" customHeight="1" x14ac:dyDescent="0.25">
      <c r="A361" s="54" t="s">
        <v>577</v>
      </c>
      <c r="B361" s="54" t="s">
        <v>578</v>
      </c>
      <c r="C361" s="31">
        <v>4301051903</v>
      </c>
      <c r="D361" s="558">
        <v>4607091383928</v>
      </c>
      <c r="E361" s="559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4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579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580</v>
      </c>
      <c r="B362" s="54" t="s">
        <v>581</v>
      </c>
      <c r="C362" s="31">
        <v>4301051897</v>
      </c>
      <c r="D362" s="558">
        <v>4607091384260</v>
      </c>
      <c r="E362" s="559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6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582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72"/>
      <c r="B363" s="550"/>
      <c r="C363" s="550"/>
      <c r="D363" s="550"/>
      <c r="E363" s="550"/>
      <c r="F363" s="550"/>
      <c r="G363" s="550"/>
      <c r="H363" s="550"/>
      <c r="I363" s="550"/>
      <c r="J363" s="550"/>
      <c r="K363" s="550"/>
      <c r="L363" s="550"/>
      <c r="M363" s="550"/>
      <c r="N363" s="550"/>
      <c r="O363" s="573"/>
      <c r="P363" s="554" t="s">
        <v>75</v>
      </c>
      <c r="Q363" s="555"/>
      <c r="R363" s="555"/>
      <c r="S363" s="555"/>
      <c r="T363" s="555"/>
      <c r="U363" s="555"/>
      <c r="V363" s="556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0"/>
      <c r="B364" s="550"/>
      <c r="C364" s="550"/>
      <c r="D364" s="550"/>
      <c r="E364" s="550"/>
      <c r="F364" s="550"/>
      <c r="G364" s="550"/>
      <c r="H364" s="550"/>
      <c r="I364" s="550"/>
      <c r="J364" s="550"/>
      <c r="K364" s="550"/>
      <c r="L364" s="550"/>
      <c r="M364" s="550"/>
      <c r="N364" s="550"/>
      <c r="O364" s="573"/>
      <c r="P364" s="554" t="s">
        <v>75</v>
      </c>
      <c r="Q364" s="555"/>
      <c r="R364" s="555"/>
      <c r="S364" s="555"/>
      <c r="T364" s="555"/>
      <c r="U364" s="555"/>
      <c r="V364" s="556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7" t="s">
        <v>163</v>
      </c>
      <c r="B365" s="550"/>
      <c r="C365" s="550"/>
      <c r="D365" s="550"/>
      <c r="E365" s="550"/>
      <c r="F365" s="550"/>
      <c r="G365" s="550"/>
      <c r="H365" s="550"/>
      <c r="I365" s="550"/>
      <c r="J365" s="550"/>
      <c r="K365" s="550"/>
      <c r="L365" s="550"/>
      <c r="M365" s="550"/>
      <c r="N365" s="550"/>
      <c r="O365" s="550"/>
      <c r="P365" s="550"/>
      <c r="Q365" s="550"/>
      <c r="R365" s="550"/>
      <c r="S365" s="550"/>
      <c r="T365" s="550"/>
      <c r="U365" s="550"/>
      <c r="V365" s="550"/>
      <c r="W365" s="550"/>
      <c r="X365" s="550"/>
      <c r="Y365" s="550"/>
      <c r="Z365" s="550"/>
      <c r="AA365" s="541"/>
      <c r="AB365" s="541"/>
      <c r="AC365" s="541"/>
    </row>
    <row r="366" spans="1:68" ht="16.5" hidden="1" customHeight="1" x14ac:dyDescent="0.25">
      <c r="A366" s="54" t="s">
        <v>583</v>
      </c>
      <c r="B366" s="54" t="s">
        <v>584</v>
      </c>
      <c r="C366" s="31">
        <v>4301060524</v>
      </c>
      <c r="D366" s="558">
        <v>4607091384673</v>
      </c>
      <c r="E366" s="559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585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72"/>
      <c r="B367" s="550"/>
      <c r="C367" s="550"/>
      <c r="D367" s="550"/>
      <c r="E367" s="550"/>
      <c r="F367" s="550"/>
      <c r="G367" s="550"/>
      <c r="H367" s="550"/>
      <c r="I367" s="550"/>
      <c r="J367" s="550"/>
      <c r="K367" s="550"/>
      <c r="L367" s="550"/>
      <c r="M367" s="550"/>
      <c r="N367" s="550"/>
      <c r="O367" s="573"/>
      <c r="P367" s="554" t="s">
        <v>75</v>
      </c>
      <c r="Q367" s="555"/>
      <c r="R367" s="555"/>
      <c r="S367" s="555"/>
      <c r="T367" s="555"/>
      <c r="U367" s="555"/>
      <c r="V367" s="556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hidden="1" x14ac:dyDescent="0.2">
      <c r="A368" s="550"/>
      <c r="B368" s="550"/>
      <c r="C368" s="550"/>
      <c r="D368" s="550"/>
      <c r="E368" s="550"/>
      <c r="F368" s="550"/>
      <c r="G368" s="550"/>
      <c r="H368" s="550"/>
      <c r="I368" s="550"/>
      <c r="J368" s="550"/>
      <c r="K368" s="550"/>
      <c r="L368" s="550"/>
      <c r="M368" s="550"/>
      <c r="N368" s="550"/>
      <c r="O368" s="573"/>
      <c r="P368" s="554" t="s">
        <v>75</v>
      </c>
      <c r="Q368" s="555"/>
      <c r="R368" s="555"/>
      <c r="S368" s="555"/>
      <c r="T368" s="555"/>
      <c r="U368" s="555"/>
      <c r="V368" s="556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hidden="1" customHeight="1" x14ac:dyDescent="0.25">
      <c r="A369" s="569" t="s">
        <v>586</v>
      </c>
      <c r="B369" s="550"/>
      <c r="C369" s="550"/>
      <c r="D369" s="550"/>
      <c r="E369" s="550"/>
      <c r="F369" s="550"/>
      <c r="G369" s="550"/>
      <c r="H369" s="550"/>
      <c r="I369" s="550"/>
      <c r="J369" s="550"/>
      <c r="K369" s="550"/>
      <c r="L369" s="550"/>
      <c r="M369" s="550"/>
      <c r="N369" s="550"/>
      <c r="O369" s="550"/>
      <c r="P369" s="550"/>
      <c r="Q369" s="550"/>
      <c r="R369" s="550"/>
      <c r="S369" s="550"/>
      <c r="T369" s="550"/>
      <c r="U369" s="550"/>
      <c r="V369" s="550"/>
      <c r="W369" s="550"/>
      <c r="X369" s="550"/>
      <c r="Y369" s="550"/>
      <c r="Z369" s="550"/>
      <c r="AA369" s="540"/>
      <c r="AB369" s="540"/>
      <c r="AC369" s="540"/>
    </row>
    <row r="370" spans="1:68" ht="14.25" hidden="1" customHeight="1" x14ac:dyDescent="0.25">
      <c r="A370" s="557" t="s">
        <v>102</v>
      </c>
      <c r="B370" s="550"/>
      <c r="C370" s="550"/>
      <c r="D370" s="550"/>
      <c r="E370" s="550"/>
      <c r="F370" s="550"/>
      <c r="G370" s="550"/>
      <c r="H370" s="550"/>
      <c r="I370" s="550"/>
      <c r="J370" s="550"/>
      <c r="K370" s="550"/>
      <c r="L370" s="550"/>
      <c r="M370" s="550"/>
      <c r="N370" s="550"/>
      <c r="O370" s="550"/>
      <c r="P370" s="550"/>
      <c r="Q370" s="550"/>
      <c r="R370" s="550"/>
      <c r="S370" s="550"/>
      <c r="T370" s="550"/>
      <c r="U370" s="550"/>
      <c r="V370" s="550"/>
      <c r="W370" s="550"/>
      <c r="X370" s="550"/>
      <c r="Y370" s="550"/>
      <c r="Z370" s="550"/>
      <c r="AA370" s="541"/>
      <c r="AB370" s="541"/>
      <c r="AC370" s="541"/>
    </row>
    <row r="371" spans="1:68" ht="37.5" hidden="1" customHeight="1" x14ac:dyDescent="0.25">
      <c r="A371" s="54" t="s">
        <v>587</v>
      </c>
      <c r="B371" s="54" t="s">
        <v>588</v>
      </c>
      <c r="C371" s="31">
        <v>4301011875</v>
      </c>
      <c r="D371" s="558">
        <v>4680115884885</v>
      </c>
      <c r="E371" s="559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7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589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590</v>
      </c>
      <c r="B372" s="54" t="s">
        <v>591</v>
      </c>
      <c r="C372" s="31">
        <v>4301011871</v>
      </c>
      <c r="D372" s="558">
        <v>4680115884908</v>
      </c>
      <c r="E372" s="559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110</v>
      </c>
      <c r="L372" s="32"/>
      <c r="M372" s="33" t="s">
        <v>68</v>
      </c>
      <c r="N372" s="33"/>
      <c r="O372" s="32">
        <v>60</v>
      </c>
      <c r="P372" s="69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589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72"/>
      <c r="B373" s="550"/>
      <c r="C373" s="550"/>
      <c r="D373" s="550"/>
      <c r="E373" s="550"/>
      <c r="F373" s="550"/>
      <c r="G373" s="550"/>
      <c r="H373" s="550"/>
      <c r="I373" s="550"/>
      <c r="J373" s="550"/>
      <c r="K373" s="550"/>
      <c r="L373" s="550"/>
      <c r="M373" s="550"/>
      <c r="N373" s="550"/>
      <c r="O373" s="573"/>
      <c r="P373" s="554" t="s">
        <v>75</v>
      </c>
      <c r="Q373" s="555"/>
      <c r="R373" s="555"/>
      <c r="S373" s="555"/>
      <c r="T373" s="555"/>
      <c r="U373" s="555"/>
      <c r="V373" s="556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0"/>
      <c r="B374" s="550"/>
      <c r="C374" s="550"/>
      <c r="D374" s="550"/>
      <c r="E374" s="550"/>
      <c r="F374" s="550"/>
      <c r="G374" s="550"/>
      <c r="H374" s="550"/>
      <c r="I374" s="550"/>
      <c r="J374" s="550"/>
      <c r="K374" s="550"/>
      <c r="L374" s="550"/>
      <c r="M374" s="550"/>
      <c r="N374" s="550"/>
      <c r="O374" s="573"/>
      <c r="P374" s="554" t="s">
        <v>75</v>
      </c>
      <c r="Q374" s="555"/>
      <c r="R374" s="555"/>
      <c r="S374" s="555"/>
      <c r="T374" s="555"/>
      <c r="U374" s="555"/>
      <c r="V374" s="556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7" t="s">
        <v>64</v>
      </c>
      <c r="B375" s="550"/>
      <c r="C375" s="550"/>
      <c r="D375" s="550"/>
      <c r="E375" s="550"/>
      <c r="F375" s="550"/>
      <c r="G375" s="550"/>
      <c r="H375" s="550"/>
      <c r="I375" s="550"/>
      <c r="J375" s="550"/>
      <c r="K375" s="550"/>
      <c r="L375" s="550"/>
      <c r="M375" s="550"/>
      <c r="N375" s="550"/>
      <c r="O375" s="550"/>
      <c r="P375" s="550"/>
      <c r="Q375" s="550"/>
      <c r="R375" s="550"/>
      <c r="S375" s="550"/>
      <c r="T375" s="550"/>
      <c r="U375" s="550"/>
      <c r="V375" s="550"/>
      <c r="W375" s="550"/>
      <c r="X375" s="550"/>
      <c r="Y375" s="550"/>
      <c r="Z375" s="550"/>
      <c r="AA375" s="541"/>
      <c r="AB375" s="541"/>
      <c r="AC375" s="541"/>
    </row>
    <row r="376" spans="1:68" ht="27" hidden="1" customHeight="1" x14ac:dyDescent="0.25">
      <c r="A376" s="54" t="s">
        <v>592</v>
      </c>
      <c r="B376" s="54" t="s">
        <v>593</v>
      </c>
      <c r="C376" s="31">
        <v>4301031303</v>
      </c>
      <c r="D376" s="558">
        <v>4607091384802</v>
      </c>
      <c r="E376" s="559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110</v>
      </c>
      <c r="L376" s="32"/>
      <c r="M376" s="33" t="s">
        <v>68</v>
      </c>
      <c r="N376" s="33"/>
      <c r="O376" s="32">
        <v>35</v>
      </c>
      <c r="P376" s="78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594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592</v>
      </c>
      <c r="B377" s="54" t="s">
        <v>595</v>
      </c>
      <c r="C377" s="31">
        <v>4301031457</v>
      </c>
      <c r="D377" s="558">
        <v>4607091384802</v>
      </c>
      <c r="E377" s="559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110</v>
      </c>
      <c r="L377" s="32"/>
      <c r="M377" s="33" t="s">
        <v>68</v>
      </c>
      <c r="N377" s="33"/>
      <c r="O377" s="32">
        <v>50</v>
      </c>
      <c r="P377" s="7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596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72"/>
      <c r="B378" s="550"/>
      <c r="C378" s="550"/>
      <c r="D378" s="550"/>
      <c r="E378" s="550"/>
      <c r="F378" s="550"/>
      <c r="G378" s="550"/>
      <c r="H378" s="550"/>
      <c r="I378" s="550"/>
      <c r="J378" s="550"/>
      <c r="K378" s="550"/>
      <c r="L378" s="550"/>
      <c r="M378" s="550"/>
      <c r="N378" s="550"/>
      <c r="O378" s="573"/>
      <c r="P378" s="554" t="s">
        <v>75</v>
      </c>
      <c r="Q378" s="555"/>
      <c r="R378" s="555"/>
      <c r="S378" s="555"/>
      <c r="T378" s="555"/>
      <c r="U378" s="555"/>
      <c r="V378" s="556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0"/>
      <c r="B379" s="550"/>
      <c r="C379" s="550"/>
      <c r="D379" s="550"/>
      <c r="E379" s="550"/>
      <c r="F379" s="550"/>
      <c r="G379" s="550"/>
      <c r="H379" s="550"/>
      <c r="I379" s="550"/>
      <c r="J379" s="550"/>
      <c r="K379" s="550"/>
      <c r="L379" s="550"/>
      <c r="M379" s="550"/>
      <c r="N379" s="550"/>
      <c r="O379" s="573"/>
      <c r="P379" s="554" t="s">
        <v>75</v>
      </c>
      <c r="Q379" s="555"/>
      <c r="R379" s="555"/>
      <c r="S379" s="555"/>
      <c r="T379" s="555"/>
      <c r="U379" s="555"/>
      <c r="V379" s="556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7" t="s">
        <v>77</v>
      </c>
      <c r="B380" s="550"/>
      <c r="C380" s="550"/>
      <c r="D380" s="550"/>
      <c r="E380" s="550"/>
      <c r="F380" s="550"/>
      <c r="G380" s="550"/>
      <c r="H380" s="550"/>
      <c r="I380" s="550"/>
      <c r="J380" s="550"/>
      <c r="K380" s="550"/>
      <c r="L380" s="550"/>
      <c r="M380" s="550"/>
      <c r="N380" s="550"/>
      <c r="O380" s="550"/>
      <c r="P380" s="550"/>
      <c r="Q380" s="550"/>
      <c r="R380" s="550"/>
      <c r="S380" s="550"/>
      <c r="T380" s="550"/>
      <c r="U380" s="550"/>
      <c r="V380" s="550"/>
      <c r="W380" s="550"/>
      <c r="X380" s="550"/>
      <c r="Y380" s="550"/>
      <c r="Z380" s="550"/>
      <c r="AA380" s="541"/>
      <c r="AB380" s="541"/>
      <c r="AC380" s="541"/>
    </row>
    <row r="381" spans="1:68" ht="27" hidden="1" customHeight="1" x14ac:dyDescent="0.25">
      <c r="A381" s="54" t="s">
        <v>597</v>
      </c>
      <c r="B381" s="54" t="s">
        <v>598</v>
      </c>
      <c r="C381" s="31">
        <v>4301051899</v>
      </c>
      <c r="D381" s="558">
        <v>4607091384246</v>
      </c>
      <c r="E381" s="559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/>
      <c r="M381" s="33" t="s">
        <v>80</v>
      </c>
      <c r="N381" s="33"/>
      <c r="O381" s="32">
        <v>40</v>
      </c>
      <c r="P381" s="7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599</v>
      </c>
      <c r="AG381" s="64"/>
      <c r="AJ381" s="68"/>
      <c r="AK381" s="68">
        <v>0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600</v>
      </c>
      <c r="B382" s="54" t="s">
        <v>601</v>
      </c>
      <c r="C382" s="31">
        <v>4301051660</v>
      </c>
      <c r="D382" s="558">
        <v>4607091384253</v>
      </c>
      <c r="E382" s="559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82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600</v>
      </c>
      <c r="B383" s="54" t="s">
        <v>602</v>
      </c>
      <c r="C383" s="31">
        <v>4301052069</v>
      </c>
      <c r="D383" s="558">
        <v>4607091384253</v>
      </c>
      <c r="E383" s="559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5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idden="1" x14ac:dyDescent="0.2">
      <c r="A384" s="572"/>
      <c r="B384" s="550"/>
      <c r="C384" s="550"/>
      <c r="D384" s="550"/>
      <c r="E384" s="550"/>
      <c r="F384" s="550"/>
      <c r="G384" s="550"/>
      <c r="H384" s="550"/>
      <c r="I384" s="550"/>
      <c r="J384" s="550"/>
      <c r="K384" s="550"/>
      <c r="L384" s="550"/>
      <c r="M384" s="550"/>
      <c r="N384" s="550"/>
      <c r="O384" s="573"/>
      <c r="P384" s="554" t="s">
        <v>75</v>
      </c>
      <c r="Q384" s="555"/>
      <c r="R384" s="555"/>
      <c r="S384" s="555"/>
      <c r="T384" s="555"/>
      <c r="U384" s="555"/>
      <c r="V384" s="556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hidden="1" x14ac:dyDescent="0.2">
      <c r="A385" s="550"/>
      <c r="B385" s="550"/>
      <c r="C385" s="550"/>
      <c r="D385" s="550"/>
      <c r="E385" s="550"/>
      <c r="F385" s="550"/>
      <c r="G385" s="550"/>
      <c r="H385" s="550"/>
      <c r="I385" s="550"/>
      <c r="J385" s="550"/>
      <c r="K385" s="550"/>
      <c r="L385" s="550"/>
      <c r="M385" s="550"/>
      <c r="N385" s="550"/>
      <c r="O385" s="573"/>
      <c r="P385" s="554" t="s">
        <v>75</v>
      </c>
      <c r="Q385" s="555"/>
      <c r="R385" s="555"/>
      <c r="S385" s="555"/>
      <c r="T385" s="555"/>
      <c r="U385" s="555"/>
      <c r="V385" s="556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hidden="1" customHeight="1" x14ac:dyDescent="0.2">
      <c r="A386" s="688" t="s">
        <v>604</v>
      </c>
      <c r="B386" s="689"/>
      <c r="C386" s="689"/>
      <c r="D386" s="689"/>
      <c r="E386" s="689"/>
      <c r="F386" s="689"/>
      <c r="G386" s="689"/>
      <c r="H386" s="689"/>
      <c r="I386" s="689"/>
      <c r="J386" s="689"/>
      <c r="K386" s="689"/>
      <c r="L386" s="689"/>
      <c r="M386" s="689"/>
      <c r="N386" s="689"/>
      <c r="O386" s="689"/>
      <c r="P386" s="689"/>
      <c r="Q386" s="689"/>
      <c r="R386" s="689"/>
      <c r="S386" s="689"/>
      <c r="T386" s="689"/>
      <c r="U386" s="689"/>
      <c r="V386" s="689"/>
      <c r="W386" s="689"/>
      <c r="X386" s="689"/>
      <c r="Y386" s="689"/>
      <c r="Z386" s="689"/>
      <c r="AA386" s="48"/>
      <c r="AB386" s="48"/>
      <c r="AC386" s="48"/>
    </row>
    <row r="387" spans="1:68" ht="16.5" hidden="1" customHeight="1" x14ac:dyDescent="0.25">
      <c r="A387" s="569" t="s">
        <v>605</v>
      </c>
      <c r="B387" s="550"/>
      <c r="C387" s="550"/>
      <c r="D387" s="550"/>
      <c r="E387" s="550"/>
      <c r="F387" s="550"/>
      <c r="G387" s="550"/>
      <c r="H387" s="550"/>
      <c r="I387" s="550"/>
      <c r="J387" s="550"/>
      <c r="K387" s="550"/>
      <c r="L387" s="550"/>
      <c r="M387" s="550"/>
      <c r="N387" s="550"/>
      <c r="O387" s="550"/>
      <c r="P387" s="550"/>
      <c r="Q387" s="550"/>
      <c r="R387" s="550"/>
      <c r="S387" s="550"/>
      <c r="T387" s="550"/>
      <c r="U387" s="550"/>
      <c r="V387" s="550"/>
      <c r="W387" s="550"/>
      <c r="X387" s="550"/>
      <c r="Y387" s="550"/>
      <c r="Z387" s="550"/>
      <c r="AA387" s="540"/>
      <c r="AB387" s="540"/>
      <c r="AC387" s="540"/>
    </row>
    <row r="388" spans="1:68" ht="14.25" hidden="1" customHeight="1" x14ac:dyDescent="0.25">
      <c r="A388" s="557" t="s">
        <v>64</v>
      </c>
      <c r="B388" s="550"/>
      <c r="C388" s="550"/>
      <c r="D388" s="550"/>
      <c r="E388" s="550"/>
      <c r="F388" s="550"/>
      <c r="G388" s="550"/>
      <c r="H388" s="550"/>
      <c r="I388" s="550"/>
      <c r="J388" s="550"/>
      <c r="K388" s="550"/>
      <c r="L388" s="550"/>
      <c r="M388" s="550"/>
      <c r="N388" s="550"/>
      <c r="O388" s="550"/>
      <c r="P388" s="550"/>
      <c r="Q388" s="550"/>
      <c r="R388" s="550"/>
      <c r="S388" s="550"/>
      <c r="T388" s="550"/>
      <c r="U388" s="550"/>
      <c r="V388" s="550"/>
      <c r="W388" s="550"/>
      <c r="X388" s="550"/>
      <c r="Y388" s="550"/>
      <c r="Z388" s="550"/>
      <c r="AA388" s="541"/>
      <c r="AB388" s="541"/>
      <c r="AC388" s="541"/>
    </row>
    <row r="389" spans="1:68" ht="27" hidden="1" customHeight="1" x14ac:dyDescent="0.25">
      <c r="A389" s="54" t="s">
        <v>606</v>
      </c>
      <c r="B389" s="54" t="s">
        <v>607</v>
      </c>
      <c r="C389" s="31">
        <v>4301031405</v>
      </c>
      <c r="D389" s="558">
        <v>4680115886100</v>
      </c>
      <c r="E389" s="559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110</v>
      </c>
      <c r="L389" s="32"/>
      <c r="M389" s="33" t="s">
        <v>68</v>
      </c>
      <c r="N389" s="33"/>
      <c r="O389" s="32">
        <v>50</v>
      </c>
      <c r="P389" s="8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608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609</v>
      </c>
      <c r="B390" s="54" t="s">
        <v>610</v>
      </c>
      <c r="C390" s="31">
        <v>4301031406</v>
      </c>
      <c r="D390" s="558">
        <v>4680115886117</v>
      </c>
      <c r="E390" s="559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110</v>
      </c>
      <c r="L390" s="32"/>
      <c r="M390" s="33" t="s">
        <v>68</v>
      </c>
      <c r="N390" s="33"/>
      <c r="O390" s="32">
        <v>50</v>
      </c>
      <c r="P390" s="68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611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612</v>
      </c>
      <c r="B391" s="54" t="s">
        <v>613</v>
      </c>
      <c r="C391" s="31">
        <v>4301031402</v>
      </c>
      <c r="D391" s="558">
        <v>4680115886124</v>
      </c>
      <c r="E391" s="559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110</v>
      </c>
      <c r="L391" s="32"/>
      <c r="M391" s="33" t="s">
        <v>68</v>
      </c>
      <c r="N391" s="33"/>
      <c r="O391" s="32">
        <v>50</v>
      </c>
      <c r="P391" s="8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614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615</v>
      </c>
      <c r="B392" s="54" t="s">
        <v>616</v>
      </c>
      <c r="C392" s="31">
        <v>4301031366</v>
      </c>
      <c r="D392" s="558">
        <v>4680115883147</v>
      </c>
      <c r="E392" s="559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85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617</v>
      </c>
      <c r="B393" s="54" t="s">
        <v>618</v>
      </c>
      <c r="C393" s="31">
        <v>4301031362</v>
      </c>
      <c r="D393" s="558">
        <v>4607091384338</v>
      </c>
      <c r="E393" s="559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619</v>
      </c>
      <c r="B394" s="54" t="s">
        <v>620</v>
      </c>
      <c r="C394" s="31">
        <v>4301031361</v>
      </c>
      <c r="D394" s="558">
        <v>4607091389524</v>
      </c>
      <c r="E394" s="559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83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621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622</v>
      </c>
      <c r="B395" s="54" t="s">
        <v>623</v>
      </c>
      <c r="C395" s="31">
        <v>4301031364</v>
      </c>
      <c r="D395" s="558">
        <v>4680115883161</v>
      </c>
      <c r="E395" s="559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624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625</v>
      </c>
      <c r="B396" s="54" t="s">
        <v>626</v>
      </c>
      <c r="C396" s="31">
        <v>4301031358</v>
      </c>
      <c r="D396" s="558">
        <v>4607091389531</v>
      </c>
      <c r="E396" s="559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627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628</v>
      </c>
      <c r="B397" s="54" t="s">
        <v>629</v>
      </c>
      <c r="C397" s="31">
        <v>4301031360</v>
      </c>
      <c r="D397" s="558">
        <v>4607091384345</v>
      </c>
      <c r="E397" s="559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idden="1" x14ac:dyDescent="0.2">
      <c r="A398" s="572"/>
      <c r="B398" s="550"/>
      <c r="C398" s="550"/>
      <c r="D398" s="550"/>
      <c r="E398" s="550"/>
      <c r="F398" s="550"/>
      <c r="G398" s="550"/>
      <c r="H398" s="550"/>
      <c r="I398" s="550"/>
      <c r="J398" s="550"/>
      <c r="K398" s="550"/>
      <c r="L398" s="550"/>
      <c r="M398" s="550"/>
      <c r="N398" s="550"/>
      <c r="O398" s="573"/>
      <c r="P398" s="554" t="s">
        <v>75</v>
      </c>
      <c r="Q398" s="555"/>
      <c r="R398" s="555"/>
      <c r="S398" s="555"/>
      <c r="T398" s="555"/>
      <c r="U398" s="555"/>
      <c r="V398" s="556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hidden="1" x14ac:dyDescent="0.2">
      <c r="A399" s="550"/>
      <c r="B399" s="550"/>
      <c r="C399" s="550"/>
      <c r="D399" s="550"/>
      <c r="E399" s="550"/>
      <c r="F399" s="550"/>
      <c r="G399" s="550"/>
      <c r="H399" s="550"/>
      <c r="I399" s="550"/>
      <c r="J399" s="550"/>
      <c r="K399" s="550"/>
      <c r="L399" s="550"/>
      <c r="M399" s="550"/>
      <c r="N399" s="550"/>
      <c r="O399" s="573"/>
      <c r="P399" s="554" t="s">
        <v>75</v>
      </c>
      <c r="Q399" s="555"/>
      <c r="R399" s="555"/>
      <c r="S399" s="555"/>
      <c r="T399" s="555"/>
      <c r="U399" s="555"/>
      <c r="V399" s="556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hidden="1" customHeight="1" x14ac:dyDescent="0.25">
      <c r="A400" s="557" t="s">
        <v>77</v>
      </c>
      <c r="B400" s="550"/>
      <c r="C400" s="550"/>
      <c r="D400" s="550"/>
      <c r="E400" s="550"/>
      <c r="F400" s="550"/>
      <c r="G400" s="550"/>
      <c r="H400" s="550"/>
      <c r="I400" s="550"/>
      <c r="J400" s="550"/>
      <c r="K400" s="550"/>
      <c r="L400" s="550"/>
      <c r="M400" s="550"/>
      <c r="N400" s="550"/>
      <c r="O400" s="550"/>
      <c r="P400" s="550"/>
      <c r="Q400" s="550"/>
      <c r="R400" s="550"/>
      <c r="S400" s="550"/>
      <c r="T400" s="550"/>
      <c r="U400" s="550"/>
      <c r="V400" s="550"/>
      <c r="W400" s="550"/>
      <c r="X400" s="550"/>
      <c r="Y400" s="550"/>
      <c r="Z400" s="550"/>
      <c r="AA400" s="541"/>
      <c r="AB400" s="541"/>
      <c r="AC400" s="541"/>
    </row>
    <row r="401" spans="1:68" ht="27" hidden="1" customHeight="1" x14ac:dyDescent="0.25">
      <c r="A401" s="54" t="s">
        <v>630</v>
      </c>
      <c r="B401" s="54" t="s">
        <v>631</v>
      </c>
      <c r="C401" s="31">
        <v>4301051284</v>
      </c>
      <c r="D401" s="558">
        <v>4607091384352</v>
      </c>
      <c r="E401" s="559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110</v>
      </c>
      <c r="L401" s="32"/>
      <c r="M401" s="33" t="s">
        <v>80</v>
      </c>
      <c r="N401" s="33"/>
      <c r="O401" s="32">
        <v>45</v>
      </c>
      <c r="P401" s="8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632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633</v>
      </c>
      <c r="B402" s="54" t="s">
        <v>634</v>
      </c>
      <c r="C402" s="31">
        <v>4301051431</v>
      </c>
      <c r="D402" s="558">
        <v>4607091389654</v>
      </c>
      <c r="E402" s="559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8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635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72"/>
      <c r="B403" s="550"/>
      <c r="C403" s="550"/>
      <c r="D403" s="550"/>
      <c r="E403" s="550"/>
      <c r="F403" s="550"/>
      <c r="G403" s="550"/>
      <c r="H403" s="550"/>
      <c r="I403" s="550"/>
      <c r="J403" s="550"/>
      <c r="K403" s="550"/>
      <c r="L403" s="550"/>
      <c r="M403" s="550"/>
      <c r="N403" s="550"/>
      <c r="O403" s="573"/>
      <c r="P403" s="554" t="s">
        <v>75</v>
      </c>
      <c r="Q403" s="555"/>
      <c r="R403" s="555"/>
      <c r="S403" s="555"/>
      <c r="T403" s="555"/>
      <c r="U403" s="555"/>
      <c r="V403" s="556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0"/>
      <c r="B404" s="550"/>
      <c r="C404" s="550"/>
      <c r="D404" s="550"/>
      <c r="E404" s="550"/>
      <c r="F404" s="550"/>
      <c r="G404" s="550"/>
      <c r="H404" s="550"/>
      <c r="I404" s="550"/>
      <c r="J404" s="550"/>
      <c r="K404" s="550"/>
      <c r="L404" s="550"/>
      <c r="M404" s="550"/>
      <c r="N404" s="550"/>
      <c r="O404" s="573"/>
      <c r="P404" s="554" t="s">
        <v>75</v>
      </c>
      <c r="Q404" s="555"/>
      <c r="R404" s="555"/>
      <c r="S404" s="555"/>
      <c r="T404" s="555"/>
      <c r="U404" s="555"/>
      <c r="V404" s="556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69" t="s">
        <v>636</v>
      </c>
      <c r="B405" s="550"/>
      <c r="C405" s="550"/>
      <c r="D405" s="550"/>
      <c r="E405" s="550"/>
      <c r="F405" s="550"/>
      <c r="G405" s="550"/>
      <c r="H405" s="550"/>
      <c r="I405" s="550"/>
      <c r="J405" s="550"/>
      <c r="K405" s="550"/>
      <c r="L405" s="550"/>
      <c r="M405" s="550"/>
      <c r="N405" s="550"/>
      <c r="O405" s="550"/>
      <c r="P405" s="550"/>
      <c r="Q405" s="550"/>
      <c r="R405" s="550"/>
      <c r="S405" s="550"/>
      <c r="T405" s="550"/>
      <c r="U405" s="550"/>
      <c r="V405" s="550"/>
      <c r="W405" s="550"/>
      <c r="X405" s="550"/>
      <c r="Y405" s="550"/>
      <c r="Z405" s="550"/>
      <c r="AA405" s="540"/>
      <c r="AB405" s="540"/>
      <c r="AC405" s="540"/>
    </row>
    <row r="406" spans="1:68" ht="14.25" hidden="1" customHeight="1" x14ac:dyDescent="0.25">
      <c r="A406" s="557" t="s">
        <v>135</v>
      </c>
      <c r="B406" s="550"/>
      <c r="C406" s="550"/>
      <c r="D406" s="550"/>
      <c r="E406" s="550"/>
      <c r="F406" s="550"/>
      <c r="G406" s="550"/>
      <c r="H406" s="550"/>
      <c r="I406" s="550"/>
      <c r="J406" s="550"/>
      <c r="K406" s="550"/>
      <c r="L406" s="550"/>
      <c r="M406" s="550"/>
      <c r="N406" s="550"/>
      <c r="O406" s="550"/>
      <c r="P406" s="550"/>
      <c r="Q406" s="550"/>
      <c r="R406" s="550"/>
      <c r="S406" s="550"/>
      <c r="T406" s="550"/>
      <c r="U406" s="550"/>
      <c r="V406" s="550"/>
      <c r="W406" s="550"/>
      <c r="X406" s="550"/>
      <c r="Y406" s="550"/>
      <c r="Z406" s="550"/>
      <c r="AA406" s="541"/>
      <c r="AB406" s="541"/>
      <c r="AC406" s="541"/>
    </row>
    <row r="407" spans="1:68" ht="27" hidden="1" customHeight="1" x14ac:dyDescent="0.25">
      <c r="A407" s="54" t="s">
        <v>637</v>
      </c>
      <c r="B407" s="54" t="s">
        <v>638</v>
      </c>
      <c r="C407" s="31">
        <v>4301020319</v>
      </c>
      <c r="D407" s="558">
        <v>4680115885240</v>
      </c>
      <c r="E407" s="559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83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639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2"/>
      <c r="B408" s="550"/>
      <c r="C408" s="550"/>
      <c r="D408" s="550"/>
      <c r="E408" s="550"/>
      <c r="F408" s="550"/>
      <c r="G408" s="550"/>
      <c r="H408" s="550"/>
      <c r="I408" s="550"/>
      <c r="J408" s="550"/>
      <c r="K408" s="550"/>
      <c r="L408" s="550"/>
      <c r="M408" s="550"/>
      <c r="N408" s="550"/>
      <c r="O408" s="573"/>
      <c r="P408" s="554" t="s">
        <v>75</v>
      </c>
      <c r="Q408" s="555"/>
      <c r="R408" s="555"/>
      <c r="S408" s="555"/>
      <c r="T408" s="555"/>
      <c r="U408" s="555"/>
      <c r="V408" s="556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0"/>
      <c r="B409" s="550"/>
      <c r="C409" s="550"/>
      <c r="D409" s="550"/>
      <c r="E409" s="550"/>
      <c r="F409" s="550"/>
      <c r="G409" s="550"/>
      <c r="H409" s="550"/>
      <c r="I409" s="550"/>
      <c r="J409" s="550"/>
      <c r="K409" s="550"/>
      <c r="L409" s="550"/>
      <c r="M409" s="550"/>
      <c r="N409" s="550"/>
      <c r="O409" s="573"/>
      <c r="P409" s="554" t="s">
        <v>75</v>
      </c>
      <c r="Q409" s="555"/>
      <c r="R409" s="555"/>
      <c r="S409" s="555"/>
      <c r="T409" s="555"/>
      <c r="U409" s="555"/>
      <c r="V409" s="556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7" t="s">
        <v>64</v>
      </c>
      <c r="B410" s="550"/>
      <c r="C410" s="550"/>
      <c r="D410" s="550"/>
      <c r="E410" s="550"/>
      <c r="F410" s="550"/>
      <c r="G410" s="550"/>
      <c r="H410" s="550"/>
      <c r="I410" s="550"/>
      <c r="J410" s="550"/>
      <c r="K410" s="550"/>
      <c r="L410" s="550"/>
      <c r="M410" s="550"/>
      <c r="N410" s="550"/>
      <c r="O410" s="550"/>
      <c r="P410" s="550"/>
      <c r="Q410" s="550"/>
      <c r="R410" s="550"/>
      <c r="S410" s="550"/>
      <c r="T410" s="550"/>
      <c r="U410" s="550"/>
      <c r="V410" s="550"/>
      <c r="W410" s="550"/>
      <c r="X410" s="550"/>
      <c r="Y410" s="550"/>
      <c r="Z410" s="550"/>
      <c r="AA410" s="541"/>
      <c r="AB410" s="541"/>
      <c r="AC410" s="541"/>
    </row>
    <row r="411" spans="1:68" ht="27" hidden="1" customHeight="1" x14ac:dyDescent="0.25">
      <c r="A411" s="54" t="s">
        <v>640</v>
      </c>
      <c r="B411" s="54" t="s">
        <v>641</v>
      </c>
      <c r="C411" s="31">
        <v>4301031403</v>
      </c>
      <c r="D411" s="558">
        <v>4680115886094</v>
      </c>
      <c r="E411" s="559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110</v>
      </c>
      <c r="L411" s="32"/>
      <c r="M411" s="33" t="s">
        <v>106</v>
      </c>
      <c r="N411" s="33"/>
      <c r="O411" s="32">
        <v>50</v>
      </c>
      <c r="P411" s="7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643</v>
      </c>
      <c r="B412" s="54" t="s">
        <v>644</v>
      </c>
      <c r="C412" s="31">
        <v>4301031363</v>
      </c>
      <c r="D412" s="558">
        <v>4607091389425</v>
      </c>
      <c r="E412" s="559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61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645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646</v>
      </c>
      <c r="B413" s="54" t="s">
        <v>647</v>
      </c>
      <c r="C413" s="31">
        <v>4301031373</v>
      </c>
      <c r="D413" s="558">
        <v>4680115880771</v>
      </c>
      <c r="E413" s="559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8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648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649</v>
      </c>
      <c r="B414" s="54" t="s">
        <v>650</v>
      </c>
      <c r="C414" s="31">
        <v>4301031359</v>
      </c>
      <c r="D414" s="558">
        <v>4607091389500</v>
      </c>
      <c r="E414" s="559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 t="s">
        <v>344</v>
      </c>
      <c r="M414" s="33" t="s">
        <v>68</v>
      </c>
      <c r="N414" s="33"/>
      <c r="O414" s="32">
        <v>50</v>
      </c>
      <c r="P414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648</v>
      </c>
      <c r="AG414" s="64"/>
      <c r="AJ414" s="68" t="s">
        <v>207</v>
      </c>
      <c r="AK414" s="68">
        <v>37.799999999999997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72"/>
      <c r="B415" s="550"/>
      <c r="C415" s="550"/>
      <c r="D415" s="550"/>
      <c r="E415" s="550"/>
      <c r="F415" s="550"/>
      <c r="G415" s="550"/>
      <c r="H415" s="550"/>
      <c r="I415" s="550"/>
      <c r="J415" s="550"/>
      <c r="K415" s="550"/>
      <c r="L415" s="550"/>
      <c r="M415" s="550"/>
      <c r="N415" s="550"/>
      <c r="O415" s="573"/>
      <c r="P415" s="554" t="s">
        <v>75</v>
      </c>
      <c r="Q415" s="555"/>
      <c r="R415" s="555"/>
      <c r="S415" s="555"/>
      <c r="T415" s="555"/>
      <c r="U415" s="555"/>
      <c r="V415" s="556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0"/>
      <c r="B416" s="550"/>
      <c r="C416" s="550"/>
      <c r="D416" s="550"/>
      <c r="E416" s="550"/>
      <c r="F416" s="550"/>
      <c r="G416" s="550"/>
      <c r="H416" s="550"/>
      <c r="I416" s="550"/>
      <c r="J416" s="550"/>
      <c r="K416" s="550"/>
      <c r="L416" s="550"/>
      <c r="M416" s="550"/>
      <c r="N416" s="550"/>
      <c r="O416" s="573"/>
      <c r="P416" s="554" t="s">
        <v>75</v>
      </c>
      <c r="Q416" s="555"/>
      <c r="R416" s="555"/>
      <c r="S416" s="555"/>
      <c r="T416" s="555"/>
      <c r="U416" s="555"/>
      <c r="V416" s="556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69" t="s">
        <v>651</v>
      </c>
      <c r="B417" s="550"/>
      <c r="C417" s="550"/>
      <c r="D417" s="550"/>
      <c r="E417" s="550"/>
      <c r="F417" s="550"/>
      <c r="G417" s="550"/>
      <c r="H417" s="550"/>
      <c r="I417" s="550"/>
      <c r="J417" s="550"/>
      <c r="K417" s="550"/>
      <c r="L417" s="550"/>
      <c r="M417" s="550"/>
      <c r="N417" s="550"/>
      <c r="O417" s="550"/>
      <c r="P417" s="550"/>
      <c r="Q417" s="550"/>
      <c r="R417" s="550"/>
      <c r="S417" s="550"/>
      <c r="T417" s="550"/>
      <c r="U417" s="550"/>
      <c r="V417" s="550"/>
      <c r="W417" s="550"/>
      <c r="X417" s="550"/>
      <c r="Y417" s="550"/>
      <c r="Z417" s="550"/>
      <c r="AA417" s="540"/>
      <c r="AB417" s="540"/>
      <c r="AC417" s="540"/>
    </row>
    <row r="418" spans="1:68" ht="14.25" hidden="1" customHeight="1" x14ac:dyDescent="0.25">
      <c r="A418" s="557" t="s">
        <v>64</v>
      </c>
      <c r="B418" s="550"/>
      <c r="C418" s="550"/>
      <c r="D418" s="550"/>
      <c r="E418" s="550"/>
      <c r="F418" s="550"/>
      <c r="G418" s="550"/>
      <c r="H418" s="550"/>
      <c r="I418" s="550"/>
      <c r="J418" s="550"/>
      <c r="K418" s="550"/>
      <c r="L418" s="550"/>
      <c r="M418" s="550"/>
      <c r="N418" s="550"/>
      <c r="O418" s="550"/>
      <c r="P418" s="550"/>
      <c r="Q418" s="550"/>
      <c r="R418" s="550"/>
      <c r="S418" s="550"/>
      <c r="T418" s="550"/>
      <c r="U418" s="550"/>
      <c r="V418" s="550"/>
      <c r="W418" s="550"/>
      <c r="X418" s="550"/>
      <c r="Y418" s="550"/>
      <c r="Z418" s="550"/>
      <c r="AA418" s="541"/>
      <c r="AB418" s="541"/>
      <c r="AC418" s="541"/>
    </row>
    <row r="419" spans="1:68" ht="27" hidden="1" customHeight="1" x14ac:dyDescent="0.25">
      <c r="A419" s="54" t="s">
        <v>652</v>
      </c>
      <c r="B419" s="54" t="s">
        <v>653</v>
      </c>
      <c r="C419" s="31">
        <v>4301031347</v>
      </c>
      <c r="D419" s="558">
        <v>4680115885110</v>
      </c>
      <c r="E419" s="559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5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72"/>
      <c r="B420" s="550"/>
      <c r="C420" s="550"/>
      <c r="D420" s="550"/>
      <c r="E420" s="550"/>
      <c r="F420" s="550"/>
      <c r="G420" s="550"/>
      <c r="H420" s="550"/>
      <c r="I420" s="550"/>
      <c r="J420" s="550"/>
      <c r="K420" s="550"/>
      <c r="L420" s="550"/>
      <c r="M420" s="550"/>
      <c r="N420" s="550"/>
      <c r="O420" s="573"/>
      <c r="P420" s="554" t="s">
        <v>75</v>
      </c>
      <c r="Q420" s="555"/>
      <c r="R420" s="555"/>
      <c r="S420" s="555"/>
      <c r="T420" s="555"/>
      <c r="U420" s="555"/>
      <c r="V420" s="556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0"/>
      <c r="B421" s="550"/>
      <c r="C421" s="550"/>
      <c r="D421" s="550"/>
      <c r="E421" s="550"/>
      <c r="F421" s="550"/>
      <c r="G421" s="550"/>
      <c r="H421" s="550"/>
      <c r="I421" s="550"/>
      <c r="J421" s="550"/>
      <c r="K421" s="550"/>
      <c r="L421" s="550"/>
      <c r="M421" s="550"/>
      <c r="N421" s="550"/>
      <c r="O421" s="573"/>
      <c r="P421" s="554" t="s">
        <v>75</v>
      </c>
      <c r="Q421" s="555"/>
      <c r="R421" s="555"/>
      <c r="S421" s="555"/>
      <c r="T421" s="555"/>
      <c r="U421" s="555"/>
      <c r="V421" s="556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688" t="s">
        <v>655</v>
      </c>
      <c r="B422" s="689"/>
      <c r="C422" s="689"/>
      <c r="D422" s="689"/>
      <c r="E422" s="689"/>
      <c r="F422" s="689"/>
      <c r="G422" s="689"/>
      <c r="H422" s="689"/>
      <c r="I422" s="689"/>
      <c r="J422" s="689"/>
      <c r="K422" s="689"/>
      <c r="L422" s="689"/>
      <c r="M422" s="689"/>
      <c r="N422" s="689"/>
      <c r="O422" s="689"/>
      <c r="P422" s="689"/>
      <c r="Q422" s="689"/>
      <c r="R422" s="689"/>
      <c r="S422" s="689"/>
      <c r="T422" s="689"/>
      <c r="U422" s="689"/>
      <c r="V422" s="689"/>
      <c r="W422" s="689"/>
      <c r="X422" s="689"/>
      <c r="Y422" s="689"/>
      <c r="Z422" s="689"/>
      <c r="AA422" s="48"/>
      <c r="AB422" s="48"/>
      <c r="AC422" s="48"/>
    </row>
    <row r="423" spans="1:68" ht="16.5" hidden="1" customHeight="1" x14ac:dyDescent="0.25">
      <c r="A423" s="569" t="s">
        <v>655</v>
      </c>
      <c r="B423" s="550"/>
      <c r="C423" s="550"/>
      <c r="D423" s="550"/>
      <c r="E423" s="550"/>
      <c r="F423" s="550"/>
      <c r="G423" s="550"/>
      <c r="H423" s="550"/>
      <c r="I423" s="550"/>
      <c r="J423" s="550"/>
      <c r="K423" s="550"/>
      <c r="L423" s="550"/>
      <c r="M423" s="550"/>
      <c r="N423" s="550"/>
      <c r="O423" s="550"/>
      <c r="P423" s="550"/>
      <c r="Q423" s="550"/>
      <c r="R423" s="550"/>
      <c r="S423" s="550"/>
      <c r="T423" s="550"/>
      <c r="U423" s="550"/>
      <c r="V423" s="550"/>
      <c r="W423" s="550"/>
      <c r="X423" s="550"/>
      <c r="Y423" s="550"/>
      <c r="Z423" s="550"/>
      <c r="AA423" s="540"/>
      <c r="AB423" s="540"/>
      <c r="AC423" s="540"/>
    </row>
    <row r="424" spans="1:68" ht="14.25" hidden="1" customHeight="1" x14ac:dyDescent="0.25">
      <c r="A424" s="557" t="s">
        <v>102</v>
      </c>
      <c r="B424" s="550"/>
      <c r="C424" s="550"/>
      <c r="D424" s="550"/>
      <c r="E424" s="550"/>
      <c r="F424" s="550"/>
      <c r="G424" s="550"/>
      <c r="H424" s="550"/>
      <c r="I424" s="550"/>
      <c r="J424" s="550"/>
      <c r="K424" s="550"/>
      <c r="L424" s="550"/>
      <c r="M424" s="550"/>
      <c r="N424" s="550"/>
      <c r="O424" s="550"/>
      <c r="P424" s="550"/>
      <c r="Q424" s="550"/>
      <c r="R424" s="550"/>
      <c r="S424" s="550"/>
      <c r="T424" s="550"/>
      <c r="U424" s="550"/>
      <c r="V424" s="550"/>
      <c r="W424" s="550"/>
      <c r="X424" s="550"/>
      <c r="Y424" s="550"/>
      <c r="Z424" s="550"/>
      <c r="AA424" s="541"/>
      <c r="AB424" s="541"/>
      <c r="AC424" s="541"/>
    </row>
    <row r="425" spans="1:68" ht="27" hidden="1" customHeight="1" x14ac:dyDescent="0.25">
      <c r="A425" s="54" t="s">
        <v>656</v>
      </c>
      <c r="B425" s="54" t="s">
        <v>657</v>
      </c>
      <c r="C425" s="31">
        <v>4301011795</v>
      </c>
      <c r="D425" s="558">
        <v>4607091389067</v>
      </c>
      <c r="E425" s="559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/>
      <c r="M425" s="33" t="s">
        <v>106</v>
      </c>
      <c r="N425" s="33"/>
      <c r="O425" s="32">
        <v>60</v>
      </c>
      <c r="P425" s="7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107</v>
      </c>
      <c r="AG425" s="64"/>
      <c r="AJ425" s="68"/>
      <c r="AK425" s="68">
        <v>0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hidden="1" customHeight="1" x14ac:dyDescent="0.25">
      <c r="A426" s="54" t="s">
        <v>658</v>
      </c>
      <c r="B426" s="54" t="s">
        <v>659</v>
      </c>
      <c r="C426" s="31">
        <v>4301012145</v>
      </c>
      <c r="D426" s="558">
        <v>4607091383522</v>
      </c>
      <c r="E426" s="559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106</v>
      </c>
      <c r="N426" s="33"/>
      <c r="O426" s="32">
        <v>60</v>
      </c>
      <c r="P426" s="80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660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658</v>
      </c>
      <c r="B427" s="54" t="s">
        <v>661</v>
      </c>
      <c r="C427" s="31">
        <v>4301012210</v>
      </c>
      <c r="D427" s="558">
        <v>4607091383522</v>
      </c>
      <c r="E427" s="559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106</v>
      </c>
      <c r="N427" s="33"/>
      <c r="O427" s="32">
        <v>60</v>
      </c>
      <c r="P427" s="817" t="s">
        <v>662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660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663</v>
      </c>
      <c r="B428" s="54" t="s">
        <v>664</v>
      </c>
      <c r="C428" s="31">
        <v>4301011961</v>
      </c>
      <c r="D428" s="558">
        <v>4680115885271</v>
      </c>
      <c r="E428" s="559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106</v>
      </c>
      <c r="N428" s="33"/>
      <c r="O428" s="32">
        <v>60</v>
      </c>
      <c r="P428" s="8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666</v>
      </c>
      <c r="B429" s="54" t="s">
        <v>667</v>
      </c>
      <c r="C429" s="31">
        <v>4301011376</v>
      </c>
      <c r="D429" s="558">
        <v>4680115885226</v>
      </c>
      <c r="E429" s="559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/>
      <c r="M429" s="33" t="s">
        <v>80</v>
      </c>
      <c r="N429" s="33"/>
      <c r="O429" s="32">
        <v>60</v>
      </c>
      <c r="P429" s="8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668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16.5" hidden="1" customHeight="1" x14ac:dyDescent="0.25">
      <c r="A430" s="54" t="s">
        <v>669</v>
      </c>
      <c r="B430" s="54" t="s">
        <v>670</v>
      </c>
      <c r="C430" s="31">
        <v>4301011774</v>
      </c>
      <c r="D430" s="558">
        <v>4680115884502</v>
      </c>
      <c r="E430" s="559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106</v>
      </c>
      <c r="N430" s="33"/>
      <c r="O430" s="32">
        <v>60</v>
      </c>
      <c r="P430" s="6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671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672</v>
      </c>
      <c r="B431" s="54" t="s">
        <v>673</v>
      </c>
      <c r="C431" s="31">
        <v>4301011771</v>
      </c>
      <c r="D431" s="558">
        <v>4607091389104</v>
      </c>
      <c r="E431" s="559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/>
      <c r="M431" s="33" t="s">
        <v>106</v>
      </c>
      <c r="N431" s="33"/>
      <c r="O431" s="32">
        <v>60</v>
      </c>
      <c r="P431" s="77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674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hidden="1" customHeight="1" x14ac:dyDescent="0.25">
      <c r="A432" s="54" t="s">
        <v>675</v>
      </c>
      <c r="B432" s="54" t="s">
        <v>676</v>
      </c>
      <c r="C432" s="31">
        <v>4301012125</v>
      </c>
      <c r="D432" s="558">
        <v>4680115886391</v>
      </c>
      <c r="E432" s="559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107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677</v>
      </c>
      <c r="B433" s="54" t="s">
        <v>678</v>
      </c>
      <c r="C433" s="31">
        <v>4301012035</v>
      </c>
      <c r="D433" s="558">
        <v>4680115880603</v>
      </c>
      <c r="E433" s="559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110</v>
      </c>
      <c r="L433" s="32"/>
      <c r="M433" s="33" t="s">
        <v>106</v>
      </c>
      <c r="N433" s="33"/>
      <c r="O433" s="32">
        <v>60</v>
      </c>
      <c r="P433" s="60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107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679</v>
      </c>
      <c r="B434" s="54" t="s">
        <v>680</v>
      </c>
      <c r="C434" s="31">
        <v>4301012036</v>
      </c>
      <c r="D434" s="558">
        <v>4680115882782</v>
      </c>
      <c r="E434" s="559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110</v>
      </c>
      <c r="L434" s="32"/>
      <c r="M434" s="33" t="s">
        <v>106</v>
      </c>
      <c r="N434" s="33"/>
      <c r="O434" s="32">
        <v>60</v>
      </c>
      <c r="P434" s="58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681</v>
      </c>
      <c r="B435" s="54" t="s">
        <v>682</v>
      </c>
      <c r="C435" s="31">
        <v>4301012050</v>
      </c>
      <c r="D435" s="558">
        <v>4680115885479</v>
      </c>
      <c r="E435" s="559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106</v>
      </c>
      <c r="N435" s="33"/>
      <c r="O435" s="32">
        <v>60</v>
      </c>
      <c r="P435" s="5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683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684</v>
      </c>
      <c r="B436" s="54" t="s">
        <v>685</v>
      </c>
      <c r="C436" s="31">
        <v>4301012034</v>
      </c>
      <c r="D436" s="558">
        <v>4607091389982</v>
      </c>
      <c r="E436" s="559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idden="1" x14ac:dyDescent="0.2">
      <c r="A437" s="572"/>
      <c r="B437" s="550"/>
      <c r="C437" s="550"/>
      <c r="D437" s="550"/>
      <c r="E437" s="550"/>
      <c r="F437" s="550"/>
      <c r="G437" s="550"/>
      <c r="H437" s="550"/>
      <c r="I437" s="550"/>
      <c r="J437" s="550"/>
      <c r="K437" s="550"/>
      <c r="L437" s="550"/>
      <c r="M437" s="550"/>
      <c r="N437" s="550"/>
      <c r="O437" s="573"/>
      <c r="P437" s="554" t="s">
        <v>75</v>
      </c>
      <c r="Q437" s="555"/>
      <c r="R437" s="555"/>
      <c r="S437" s="555"/>
      <c r="T437" s="555"/>
      <c r="U437" s="555"/>
      <c r="V437" s="556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0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0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548"/>
      <c r="AB437" s="548"/>
      <c r="AC437" s="548"/>
    </row>
    <row r="438" spans="1:68" hidden="1" x14ac:dyDescent="0.2">
      <c r="A438" s="550"/>
      <c r="B438" s="550"/>
      <c r="C438" s="550"/>
      <c r="D438" s="550"/>
      <c r="E438" s="550"/>
      <c r="F438" s="550"/>
      <c r="G438" s="550"/>
      <c r="H438" s="550"/>
      <c r="I438" s="550"/>
      <c r="J438" s="550"/>
      <c r="K438" s="550"/>
      <c r="L438" s="550"/>
      <c r="M438" s="550"/>
      <c r="N438" s="550"/>
      <c r="O438" s="573"/>
      <c r="P438" s="554" t="s">
        <v>75</v>
      </c>
      <c r="Q438" s="555"/>
      <c r="R438" s="555"/>
      <c r="S438" s="555"/>
      <c r="T438" s="555"/>
      <c r="U438" s="555"/>
      <c r="V438" s="556"/>
      <c r="W438" s="37" t="s">
        <v>69</v>
      </c>
      <c r="X438" s="547">
        <f>IFERROR(SUM(X425:X436),"0")</f>
        <v>0</v>
      </c>
      <c r="Y438" s="547">
        <f>IFERROR(SUM(Y425:Y436),"0")</f>
        <v>0</v>
      </c>
      <c r="Z438" s="37"/>
      <c r="AA438" s="548"/>
      <c r="AB438" s="548"/>
      <c r="AC438" s="548"/>
    </row>
    <row r="439" spans="1:68" ht="14.25" hidden="1" customHeight="1" x14ac:dyDescent="0.25">
      <c r="A439" s="557" t="s">
        <v>135</v>
      </c>
      <c r="B439" s="550"/>
      <c r="C439" s="550"/>
      <c r="D439" s="550"/>
      <c r="E439" s="550"/>
      <c r="F439" s="550"/>
      <c r="G439" s="550"/>
      <c r="H439" s="550"/>
      <c r="I439" s="550"/>
      <c r="J439" s="550"/>
      <c r="K439" s="550"/>
      <c r="L439" s="550"/>
      <c r="M439" s="550"/>
      <c r="N439" s="550"/>
      <c r="O439" s="550"/>
      <c r="P439" s="550"/>
      <c r="Q439" s="550"/>
      <c r="R439" s="550"/>
      <c r="S439" s="550"/>
      <c r="T439" s="550"/>
      <c r="U439" s="550"/>
      <c r="V439" s="550"/>
      <c r="W439" s="550"/>
      <c r="X439" s="550"/>
      <c r="Y439" s="550"/>
      <c r="Z439" s="550"/>
      <c r="AA439" s="541"/>
      <c r="AB439" s="541"/>
      <c r="AC439" s="541"/>
    </row>
    <row r="440" spans="1:68" ht="16.5" customHeight="1" x14ac:dyDescent="0.25">
      <c r="A440" s="54" t="s">
        <v>686</v>
      </c>
      <c r="B440" s="54" t="s">
        <v>687</v>
      </c>
      <c r="C440" s="31">
        <v>4301020334</v>
      </c>
      <c r="D440" s="558">
        <v>4607091388930</v>
      </c>
      <c r="E440" s="559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/>
      <c r="M440" s="33" t="s">
        <v>80</v>
      </c>
      <c r="N440" s="33"/>
      <c r="O440" s="32">
        <v>70</v>
      </c>
      <c r="P440" s="82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60</v>
      </c>
      <c r="Y440" s="546">
        <f>IFERROR(IF(X440="",0,CEILING((X440/$H440),1)*$H440),"")</f>
        <v>63.36</v>
      </c>
      <c r="Z440" s="36">
        <f>IFERROR(IF(Y440=0,"",ROUNDUP(Y440/H440,0)*0.01196),"")</f>
        <v>0.14352000000000001</v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>IFERROR(X440*I440/H440,"0")</f>
        <v>63.977272727272727</v>
      </c>
      <c r="BN440" s="64">
        <f>IFERROR(Y440*I440/H440,"0")</f>
        <v>67.559999999999988</v>
      </c>
      <c r="BO440" s="64">
        <f>IFERROR(1/J440*(X440/H440),"0")</f>
        <v>0.10926573426573427</v>
      </c>
      <c r="BP440" s="64">
        <f>IFERROR(1/J440*(Y440/H440),"0")</f>
        <v>0.11538461538461539</v>
      </c>
    </row>
    <row r="441" spans="1:68" ht="16.5" hidden="1" customHeight="1" x14ac:dyDescent="0.25">
      <c r="A441" s="54" t="s">
        <v>689</v>
      </c>
      <c r="B441" s="54" t="s">
        <v>690</v>
      </c>
      <c r="C441" s="31">
        <v>4301020384</v>
      </c>
      <c r="D441" s="558">
        <v>4680115886407</v>
      </c>
      <c r="E441" s="559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6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688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691</v>
      </c>
      <c r="B442" s="54" t="s">
        <v>692</v>
      </c>
      <c r="C442" s="31">
        <v>4301020385</v>
      </c>
      <c r="D442" s="558">
        <v>4680115880054</v>
      </c>
      <c r="E442" s="559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110</v>
      </c>
      <c r="L442" s="32"/>
      <c r="M442" s="33" t="s">
        <v>106</v>
      </c>
      <c r="N442" s="33"/>
      <c r="O442" s="32">
        <v>70</v>
      </c>
      <c r="P442" s="7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688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72"/>
      <c r="B443" s="550"/>
      <c r="C443" s="550"/>
      <c r="D443" s="550"/>
      <c r="E443" s="550"/>
      <c r="F443" s="550"/>
      <c r="G443" s="550"/>
      <c r="H443" s="550"/>
      <c r="I443" s="550"/>
      <c r="J443" s="550"/>
      <c r="K443" s="550"/>
      <c r="L443" s="550"/>
      <c r="M443" s="550"/>
      <c r="N443" s="550"/>
      <c r="O443" s="573"/>
      <c r="P443" s="554" t="s">
        <v>75</v>
      </c>
      <c r="Q443" s="555"/>
      <c r="R443" s="555"/>
      <c r="S443" s="555"/>
      <c r="T443" s="555"/>
      <c r="U443" s="555"/>
      <c r="V443" s="556"/>
      <c r="W443" s="37" t="s">
        <v>76</v>
      </c>
      <c r="X443" s="547">
        <f>IFERROR(X440/H440,"0")+IFERROR(X441/H441,"0")+IFERROR(X442/H442,"0")</f>
        <v>11.363636363636363</v>
      </c>
      <c r="Y443" s="547">
        <f>IFERROR(Y440/H440,"0")+IFERROR(Y441/H441,"0")+IFERROR(Y442/H442,"0")</f>
        <v>12</v>
      </c>
      <c r="Z443" s="547">
        <f>IFERROR(IF(Z440="",0,Z440),"0")+IFERROR(IF(Z441="",0,Z441),"0")+IFERROR(IF(Z442="",0,Z442),"0")</f>
        <v>0.14352000000000001</v>
      </c>
      <c r="AA443" s="548"/>
      <c r="AB443" s="548"/>
      <c r="AC443" s="548"/>
    </row>
    <row r="444" spans="1:68" x14ac:dyDescent="0.2">
      <c r="A444" s="550"/>
      <c r="B444" s="550"/>
      <c r="C444" s="550"/>
      <c r="D444" s="550"/>
      <c r="E444" s="550"/>
      <c r="F444" s="550"/>
      <c r="G444" s="550"/>
      <c r="H444" s="550"/>
      <c r="I444" s="550"/>
      <c r="J444" s="550"/>
      <c r="K444" s="550"/>
      <c r="L444" s="550"/>
      <c r="M444" s="550"/>
      <c r="N444" s="550"/>
      <c r="O444" s="573"/>
      <c r="P444" s="554" t="s">
        <v>75</v>
      </c>
      <c r="Q444" s="555"/>
      <c r="R444" s="555"/>
      <c r="S444" s="555"/>
      <c r="T444" s="555"/>
      <c r="U444" s="555"/>
      <c r="V444" s="556"/>
      <c r="W444" s="37" t="s">
        <v>69</v>
      </c>
      <c r="X444" s="547">
        <f>IFERROR(SUM(X440:X442),"0")</f>
        <v>60</v>
      </c>
      <c r="Y444" s="547">
        <f>IFERROR(SUM(Y440:Y442),"0")</f>
        <v>63.36</v>
      </c>
      <c r="Z444" s="37"/>
      <c r="AA444" s="548"/>
      <c r="AB444" s="548"/>
      <c r="AC444" s="548"/>
    </row>
    <row r="445" spans="1:68" ht="14.25" hidden="1" customHeight="1" x14ac:dyDescent="0.25">
      <c r="A445" s="557" t="s">
        <v>64</v>
      </c>
      <c r="B445" s="550"/>
      <c r="C445" s="550"/>
      <c r="D445" s="550"/>
      <c r="E445" s="550"/>
      <c r="F445" s="550"/>
      <c r="G445" s="550"/>
      <c r="H445" s="550"/>
      <c r="I445" s="550"/>
      <c r="J445" s="550"/>
      <c r="K445" s="550"/>
      <c r="L445" s="550"/>
      <c r="M445" s="550"/>
      <c r="N445" s="550"/>
      <c r="O445" s="550"/>
      <c r="P445" s="550"/>
      <c r="Q445" s="550"/>
      <c r="R445" s="550"/>
      <c r="S445" s="550"/>
      <c r="T445" s="550"/>
      <c r="U445" s="550"/>
      <c r="V445" s="550"/>
      <c r="W445" s="550"/>
      <c r="X445" s="550"/>
      <c r="Y445" s="550"/>
      <c r="Z445" s="550"/>
      <c r="AA445" s="541"/>
      <c r="AB445" s="541"/>
      <c r="AC445" s="541"/>
    </row>
    <row r="446" spans="1:68" ht="27" hidden="1" customHeight="1" x14ac:dyDescent="0.25">
      <c r="A446" s="54" t="s">
        <v>693</v>
      </c>
      <c r="B446" s="54" t="s">
        <v>694</v>
      </c>
      <c r="C446" s="31">
        <v>4301031349</v>
      </c>
      <c r="D446" s="558">
        <v>4680115883116</v>
      </c>
      <c r="E446" s="559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/>
      <c r="M446" s="33" t="s">
        <v>106</v>
      </c>
      <c r="N446" s="33"/>
      <c r="O446" s="32">
        <v>70</v>
      </c>
      <c r="P446" s="8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hidden="1" customHeight="1" x14ac:dyDescent="0.25">
      <c r="A447" s="54" t="s">
        <v>696</v>
      </c>
      <c r="B447" s="54" t="s">
        <v>697</v>
      </c>
      <c r="C447" s="31">
        <v>4301031350</v>
      </c>
      <c r="D447" s="558">
        <v>4680115883093</v>
      </c>
      <c r="E447" s="559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/>
      <c r="M447" s="33" t="s">
        <v>68</v>
      </c>
      <c r="N447" s="33"/>
      <c r="O447" s="32">
        <v>70</v>
      </c>
      <c r="P447" s="5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0</v>
      </c>
      <c r="Y447" s="546">
        <f t="shared" si="48"/>
        <v>0</v>
      </c>
      <c r="Z447" s="36" t="str">
        <f>IFERROR(IF(Y447=0,"",ROUNDUP(Y447/H447,0)*0.01196),"")</f>
        <v/>
      </c>
      <c r="AA447" s="56"/>
      <c r="AB447" s="57"/>
      <c r="AC447" s="501" t="s">
        <v>698</v>
      </c>
      <c r="AG447" s="64"/>
      <c r="AJ447" s="68"/>
      <c r="AK447" s="68">
        <v>0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t="27" hidden="1" customHeight="1" x14ac:dyDescent="0.25">
      <c r="A448" s="54" t="s">
        <v>699</v>
      </c>
      <c r="B448" s="54" t="s">
        <v>700</v>
      </c>
      <c r="C448" s="31">
        <v>4301031353</v>
      </c>
      <c r="D448" s="558">
        <v>4680115883109</v>
      </c>
      <c r="E448" s="559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/>
      <c r="M448" s="33" t="s">
        <v>68</v>
      </c>
      <c r="N448" s="33"/>
      <c r="O448" s="32">
        <v>70</v>
      </c>
      <c r="P448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0</v>
      </c>
      <c r="Y448" s="546">
        <f t="shared" si="48"/>
        <v>0</v>
      </c>
      <c r="Z448" s="36" t="str">
        <f>IFERROR(IF(Y448=0,"",ROUNDUP(Y448/H448,0)*0.01196),"")</f>
        <v/>
      </c>
      <c r="AA448" s="56"/>
      <c r="AB448" s="57"/>
      <c r="AC448" s="503" t="s">
        <v>701</v>
      </c>
      <c r="AG448" s="64"/>
      <c r="AJ448" s="68"/>
      <c r="AK448" s="68">
        <v>0</v>
      </c>
      <c r="BB448" s="504" t="s">
        <v>1</v>
      </c>
      <c r="BM448" s="64">
        <f t="shared" si="49"/>
        <v>0</v>
      </c>
      <c r="BN448" s="64">
        <f t="shared" si="50"/>
        <v>0</v>
      </c>
      <c r="BO448" s="64">
        <f t="shared" si="51"/>
        <v>0</v>
      </c>
      <c r="BP448" s="64">
        <f t="shared" si="52"/>
        <v>0</v>
      </c>
    </row>
    <row r="449" spans="1:68" ht="27" hidden="1" customHeight="1" x14ac:dyDescent="0.25">
      <c r="A449" s="54" t="s">
        <v>702</v>
      </c>
      <c r="B449" s="54" t="s">
        <v>703</v>
      </c>
      <c r="C449" s="31">
        <v>4301031419</v>
      </c>
      <c r="D449" s="558">
        <v>4680115882072</v>
      </c>
      <c r="E449" s="559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110</v>
      </c>
      <c r="L449" s="32"/>
      <c r="M449" s="33" t="s">
        <v>106</v>
      </c>
      <c r="N449" s="33"/>
      <c r="O449" s="32">
        <v>70</v>
      </c>
      <c r="P449" s="62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695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704</v>
      </c>
      <c r="B450" s="54" t="s">
        <v>705</v>
      </c>
      <c r="C450" s="31">
        <v>4301031418</v>
      </c>
      <c r="D450" s="558">
        <v>4680115882102</v>
      </c>
      <c r="E450" s="559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110</v>
      </c>
      <c r="L450" s="32"/>
      <c r="M450" s="33" t="s">
        <v>68</v>
      </c>
      <c r="N450" s="33"/>
      <c r="O450" s="32">
        <v>70</v>
      </c>
      <c r="P450" s="81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698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706</v>
      </c>
      <c r="B451" s="54" t="s">
        <v>707</v>
      </c>
      <c r="C451" s="31">
        <v>4301031417</v>
      </c>
      <c r="D451" s="558">
        <v>4680115882096</v>
      </c>
      <c r="E451" s="559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110</v>
      </c>
      <c r="L451" s="32"/>
      <c r="M451" s="33" t="s">
        <v>68</v>
      </c>
      <c r="N451" s="33"/>
      <c r="O451" s="32">
        <v>70</v>
      </c>
      <c r="P451" s="72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701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idden="1" x14ac:dyDescent="0.2">
      <c r="A452" s="572"/>
      <c r="B452" s="550"/>
      <c r="C452" s="550"/>
      <c r="D452" s="550"/>
      <c r="E452" s="550"/>
      <c r="F452" s="550"/>
      <c r="G452" s="550"/>
      <c r="H452" s="550"/>
      <c r="I452" s="550"/>
      <c r="J452" s="550"/>
      <c r="K452" s="550"/>
      <c r="L452" s="550"/>
      <c r="M452" s="550"/>
      <c r="N452" s="550"/>
      <c r="O452" s="573"/>
      <c r="P452" s="554" t="s">
        <v>75</v>
      </c>
      <c r="Q452" s="555"/>
      <c r="R452" s="555"/>
      <c r="S452" s="555"/>
      <c r="T452" s="555"/>
      <c r="U452" s="555"/>
      <c r="V452" s="556"/>
      <c r="W452" s="37" t="s">
        <v>76</v>
      </c>
      <c r="X452" s="547">
        <f>IFERROR(X446/H446,"0")+IFERROR(X447/H447,"0")+IFERROR(X448/H448,"0")+IFERROR(X449/H449,"0")+IFERROR(X450/H450,"0")+IFERROR(X451/H451,"0")</f>
        <v>0</v>
      </c>
      <c r="Y452" s="547">
        <f>IFERROR(Y446/H446,"0")+IFERROR(Y447/H447,"0")+IFERROR(Y448/H448,"0")+IFERROR(Y449/H449,"0")+IFERROR(Y450/H450,"0")+IFERROR(Y451/H451,"0")</f>
        <v>0</v>
      </c>
      <c r="Z452" s="547">
        <f>IFERROR(IF(Z446="",0,Z446),"0")+IFERROR(IF(Z447="",0,Z447),"0")+IFERROR(IF(Z448="",0,Z448),"0")+IFERROR(IF(Z449="",0,Z449),"0")+IFERROR(IF(Z450="",0,Z450),"0")+IFERROR(IF(Z451="",0,Z451),"0")</f>
        <v>0</v>
      </c>
      <c r="AA452" s="548"/>
      <c r="AB452" s="548"/>
      <c r="AC452" s="548"/>
    </row>
    <row r="453" spans="1:68" hidden="1" x14ac:dyDescent="0.2">
      <c r="A453" s="550"/>
      <c r="B453" s="550"/>
      <c r="C453" s="550"/>
      <c r="D453" s="550"/>
      <c r="E453" s="550"/>
      <c r="F453" s="550"/>
      <c r="G453" s="550"/>
      <c r="H453" s="550"/>
      <c r="I453" s="550"/>
      <c r="J453" s="550"/>
      <c r="K453" s="550"/>
      <c r="L453" s="550"/>
      <c r="M453" s="550"/>
      <c r="N453" s="550"/>
      <c r="O453" s="573"/>
      <c r="P453" s="554" t="s">
        <v>75</v>
      </c>
      <c r="Q453" s="555"/>
      <c r="R453" s="555"/>
      <c r="S453" s="555"/>
      <c r="T453" s="555"/>
      <c r="U453" s="555"/>
      <c r="V453" s="556"/>
      <c r="W453" s="37" t="s">
        <v>69</v>
      </c>
      <c r="X453" s="547">
        <f>IFERROR(SUM(X446:X451),"0")</f>
        <v>0</v>
      </c>
      <c r="Y453" s="547">
        <f>IFERROR(SUM(Y446:Y451),"0")</f>
        <v>0</v>
      </c>
      <c r="Z453" s="37"/>
      <c r="AA453" s="548"/>
      <c r="AB453" s="548"/>
      <c r="AC453" s="548"/>
    </row>
    <row r="454" spans="1:68" ht="14.25" hidden="1" customHeight="1" x14ac:dyDescent="0.25">
      <c r="A454" s="557" t="s">
        <v>77</v>
      </c>
      <c r="B454" s="550"/>
      <c r="C454" s="550"/>
      <c r="D454" s="550"/>
      <c r="E454" s="550"/>
      <c r="F454" s="550"/>
      <c r="G454" s="550"/>
      <c r="H454" s="550"/>
      <c r="I454" s="550"/>
      <c r="J454" s="550"/>
      <c r="K454" s="550"/>
      <c r="L454" s="550"/>
      <c r="M454" s="550"/>
      <c r="N454" s="550"/>
      <c r="O454" s="550"/>
      <c r="P454" s="550"/>
      <c r="Q454" s="550"/>
      <c r="R454" s="550"/>
      <c r="S454" s="550"/>
      <c r="T454" s="550"/>
      <c r="U454" s="550"/>
      <c r="V454" s="550"/>
      <c r="W454" s="550"/>
      <c r="X454" s="550"/>
      <c r="Y454" s="550"/>
      <c r="Z454" s="550"/>
      <c r="AA454" s="541"/>
      <c r="AB454" s="541"/>
      <c r="AC454" s="541"/>
    </row>
    <row r="455" spans="1:68" ht="27" hidden="1" customHeight="1" x14ac:dyDescent="0.25">
      <c r="A455" s="54" t="s">
        <v>708</v>
      </c>
      <c r="B455" s="54" t="s">
        <v>709</v>
      </c>
      <c r="C455" s="31">
        <v>4301051064</v>
      </c>
      <c r="D455" s="558">
        <v>4680115883536</v>
      </c>
      <c r="E455" s="559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86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710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72"/>
      <c r="B456" s="550"/>
      <c r="C456" s="550"/>
      <c r="D456" s="550"/>
      <c r="E456" s="550"/>
      <c r="F456" s="550"/>
      <c r="G456" s="550"/>
      <c r="H456" s="550"/>
      <c r="I456" s="550"/>
      <c r="J456" s="550"/>
      <c r="K456" s="550"/>
      <c r="L456" s="550"/>
      <c r="M456" s="550"/>
      <c r="N456" s="550"/>
      <c r="O456" s="573"/>
      <c r="P456" s="554" t="s">
        <v>75</v>
      </c>
      <c r="Q456" s="555"/>
      <c r="R456" s="555"/>
      <c r="S456" s="555"/>
      <c r="T456" s="555"/>
      <c r="U456" s="555"/>
      <c r="V456" s="556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0"/>
      <c r="B457" s="550"/>
      <c r="C457" s="550"/>
      <c r="D457" s="550"/>
      <c r="E457" s="550"/>
      <c r="F457" s="550"/>
      <c r="G457" s="550"/>
      <c r="H457" s="550"/>
      <c r="I457" s="550"/>
      <c r="J457" s="550"/>
      <c r="K457" s="550"/>
      <c r="L457" s="550"/>
      <c r="M457" s="550"/>
      <c r="N457" s="550"/>
      <c r="O457" s="573"/>
      <c r="P457" s="554" t="s">
        <v>75</v>
      </c>
      <c r="Q457" s="555"/>
      <c r="R457" s="555"/>
      <c r="S457" s="555"/>
      <c r="T457" s="555"/>
      <c r="U457" s="555"/>
      <c r="V457" s="556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688" t="s">
        <v>711</v>
      </c>
      <c r="B458" s="689"/>
      <c r="C458" s="689"/>
      <c r="D458" s="689"/>
      <c r="E458" s="689"/>
      <c r="F458" s="689"/>
      <c r="G458" s="689"/>
      <c r="H458" s="689"/>
      <c r="I458" s="689"/>
      <c r="J458" s="689"/>
      <c r="K458" s="689"/>
      <c r="L458" s="689"/>
      <c r="M458" s="689"/>
      <c r="N458" s="689"/>
      <c r="O458" s="689"/>
      <c r="P458" s="689"/>
      <c r="Q458" s="689"/>
      <c r="R458" s="689"/>
      <c r="S458" s="689"/>
      <c r="T458" s="689"/>
      <c r="U458" s="689"/>
      <c r="V458" s="689"/>
      <c r="W458" s="689"/>
      <c r="X458" s="689"/>
      <c r="Y458" s="689"/>
      <c r="Z458" s="689"/>
      <c r="AA458" s="48"/>
      <c r="AB458" s="48"/>
      <c r="AC458" s="48"/>
    </row>
    <row r="459" spans="1:68" ht="16.5" hidden="1" customHeight="1" x14ac:dyDescent="0.25">
      <c r="A459" s="569" t="s">
        <v>711</v>
      </c>
      <c r="B459" s="550"/>
      <c r="C459" s="550"/>
      <c r="D459" s="550"/>
      <c r="E459" s="550"/>
      <c r="F459" s="550"/>
      <c r="G459" s="550"/>
      <c r="H459" s="550"/>
      <c r="I459" s="550"/>
      <c r="J459" s="550"/>
      <c r="K459" s="550"/>
      <c r="L459" s="550"/>
      <c r="M459" s="550"/>
      <c r="N459" s="550"/>
      <c r="O459" s="550"/>
      <c r="P459" s="550"/>
      <c r="Q459" s="550"/>
      <c r="R459" s="550"/>
      <c r="S459" s="550"/>
      <c r="T459" s="550"/>
      <c r="U459" s="550"/>
      <c r="V459" s="550"/>
      <c r="W459" s="550"/>
      <c r="X459" s="550"/>
      <c r="Y459" s="550"/>
      <c r="Z459" s="550"/>
      <c r="AA459" s="540"/>
      <c r="AB459" s="540"/>
      <c r="AC459" s="540"/>
    </row>
    <row r="460" spans="1:68" ht="14.25" hidden="1" customHeight="1" x14ac:dyDescent="0.25">
      <c r="A460" s="557" t="s">
        <v>102</v>
      </c>
      <c r="B460" s="550"/>
      <c r="C460" s="550"/>
      <c r="D460" s="550"/>
      <c r="E460" s="550"/>
      <c r="F460" s="550"/>
      <c r="G460" s="550"/>
      <c r="H460" s="550"/>
      <c r="I460" s="550"/>
      <c r="J460" s="550"/>
      <c r="K460" s="550"/>
      <c r="L460" s="550"/>
      <c r="M460" s="550"/>
      <c r="N460" s="550"/>
      <c r="O460" s="550"/>
      <c r="P460" s="550"/>
      <c r="Q460" s="550"/>
      <c r="R460" s="550"/>
      <c r="S460" s="550"/>
      <c r="T460" s="550"/>
      <c r="U460" s="550"/>
      <c r="V460" s="550"/>
      <c r="W460" s="550"/>
      <c r="X460" s="550"/>
      <c r="Y460" s="550"/>
      <c r="Z460" s="550"/>
      <c r="AA460" s="541"/>
      <c r="AB460" s="541"/>
      <c r="AC460" s="541"/>
    </row>
    <row r="461" spans="1:68" ht="27" hidden="1" customHeight="1" x14ac:dyDescent="0.25">
      <c r="A461" s="54" t="s">
        <v>712</v>
      </c>
      <c r="B461" s="54" t="s">
        <v>713</v>
      </c>
      <c r="C461" s="31">
        <v>4301011763</v>
      </c>
      <c r="D461" s="558">
        <v>4640242181011</v>
      </c>
      <c r="E461" s="559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66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715</v>
      </c>
      <c r="B462" s="54" t="s">
        <v>716</v>
      </c>
      <c r="C462" s="31">
        <v>4301011585</v>
      </c>
      <c r="D462" s="558">
        <v>4640242180441</v>
      </c>
      <c r="E462" s="559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106</v>
      </c>
      <c r="N462" s="33"/>
      <c r="O462" s="32">
        <v>50</v>
      </c>
      <c r="P462" s="67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718</v>
      </c>
      <c r="B463" s="54" t="s">
        <v>719</v>
      </c>
      <c r="C463" s="31">
        <v>4301011584</v>
      </c>
      <c r="D463" s="558">
        <v>4640242180564</v>
      </c>
      <c r="E463" s="559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106</v>
      </c>
      <c r="N463" s="33"/>
      <c r="O463" s="32">
        <v>50</v>
      </c>
      <c r="P463" s="63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720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721</v>
      </c>
      <c r="B464" s="54" t="s">
        <v>722</v>
      </c>
      <c r="C464" s="31">
        <v>4301011764</v>
      </c>
      <c r="D464" s="558">
        <v>4640242181189</v>
      </c>
      <c r="E464" s="559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110</v>
      </c>
      <c r="L464" s="32"/>
      <c r="M464" s="33" t="s">
        <v>80</v>
      </c>
      <c r="N464" s="33"/>
      <c r="O464" s="32">
        <v>55</v>
      </c>
      <c r="P464" s="80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400</v>
      </c>
      <c r="Y464" s="546">
        <f>IFERROR(IF(X464="",0,CEILING((X464/$H464),1)*$H464),"")</f>
        <v>400</v>
      </c>
      <c r="Z464" s="36">
        <f>IFERROR(IF(Y464=0,"",ROUNDUP(Y464/H464,0)*0.00902),"")</f>
        <v>0.90200000000000002</v>
      </c>
      <c r="AA464" s="56"/>
      <c r="AB464" s="57"/>
      <c r="AC464" s="519" t="s">
        <v>714</v>
      </c>
      <c r="AG464" s="64"/>
      <c r="AJ464" s="68"/>
      <c r="AK464" s="68">
        <v>0</v>
      </c>
      <c r="BB464" s="520" t="s">
        <v>1</v>
      </c>
      <c r="BM464" s="64">
        <f>IFERROR(X464*I464/H464,"0")</f>
        <v>419.00000000000006</v>
      </c>
      <c r="BN464" s="64">
        <f>IFERROR(Y464*I464/H464,"0")</f>
        <v>419.00000000000006</v>
      </c>
      <c r="BO464" s="64">
        <f>IFERROR(1/J464*(X464/H464),"0")</f>
        <v>0.75757575757575757</v>
      </c>
      <c r="BP464" s="64">
        <f>IFERROR(1/J464*(Y464/H464),"0")</f>
        <v>0.75757575757575757</v>
      </c>
    </row>
    <row r="465" spans="1:68" x14ac:dyDescent="0.2">
      <c r="A465" s="572"/>
      <c r="B465" s="550"/>
      <c r="C465" s="550"/>
      <c r="D465" s="550"/>
      <c r="E465" s="550"/>
      <c r="F465" s="550"/>
      <c r="G465" s="550"/>
      <c r="H465" s="550"/>
      <c r="I465" s="550"/>
      <c r="J465" s="550"/>
      <c r="K465" s="550"/>
      <c r="L465" s="550"/>
      <c r="M465" s="550"/>
      <c r="N465" s="550"/>
      <c r="O465" s="573"/>
      <c r="P465" s="554" t="s">
        <v>75</v>
      </c>
      <c r="Q465" s="555"/>
      <c r="R465" s="555"/>
      <c r="S465" s="555"/>
      <c r="T465" s="555"/>
      <c r="U465" s="555"/>
      <c r="V465" s="556"/>
      <c r="W465" s="37" t="s">
        <v>76</v>
      </c>
      <c r="X465" s="547">
        <f>IFERROR(X461/H461,"0")+IFERROR(X462/H462,"0")+IFERROR(X463/H463,"0")+IFERROR(X464/H464,"0")</f>
        <v>100</v>
      </c>
      <c r="Y465" s="547">
        <f>IFERROR(Y461/H461,"0")+IFERROR(Y462/H462,"0")+IFERROR(Y463/H463,"0")+IFERROR(Y464/H464,"0")</f>
        <v>100</v>
      </c>
      <c r="Z465" s="547">
        <f>IFERROR(IF(Z461="",0,Z461),"0")+IFERROR(IF(Z462="",0,Z462),"0")+IFERROR(IF(Z463="",0,Z463),"0")+IFERROR(IF(Z464="",0,Z464),"0")</f>
        <v>0.90200000000000002</v>
      </c>
      <c r="AA465" s="548"/>
      <c r="AB465" s="548"/>
      <c r="AC465" s="548"/>
    </row>
    <row r="466" spans="1:68" x14ac:dyDescent="0.2">
      <c r="A466" s="550"/>
      <c r="B466" s="550"/>
      <c r="C466" s="550"/>
      <c r="D466" s="550"/>
      <c r="E466" s="550"/>
      <c r="F466" s="550"/>
      <c r="G466" s="550"/>
      <c r="H466" s="550"/>
      <c r="I466" s="550"/>
      <c r="J466" s="550"/>
      <c r="K466" s="550"/>
      <c r="L466" s="550"/>
      <c r="M466" s="550"/>
      <c r="N466" s="550"/>
      <c r="O466" s="573"/>
      <c r="P466" s="554" t="s">
        <v>75</v>
      </c>
      <c r="Q466" s="555"/>
      <c r="R466" s="555"/>
      <c r="S466" s="555"/>
      <c r="T466" s="555"/>
      <c r="U466" s="555"/>
      <c r="V466" s="556"/>
      <c r="W466" s="37" t="s">
        <v>69</v>
      </c>
      <c r="X466" s="547">
        <f>IFERROR(SUM(X461:X464),"0")</f>
        <v>400</v>
      </c>
      <c r="Y466" s="547">
        <f>IFERROR(SUM(Y461:Y464),"0")</f>
        <v>400</v>
      </c>
      <c r="Z466" s="37"/>
      <c r="AA466" s="548"/>
      <c r="AB466" s="548"/>
      <c r="AC466" s="548"/>
    </row>
    <row r="467" spans="1:68" ht="14.25" hidden="1" customHeight="1" x14ac:dyDescent="0.25">
      <c r="A467" s="557" t="s">
        <v>135</v>
      </c>
      <c r="B467" s="550"/>
      <c r="C467" s="550"/>
      <c r="D467" s="550"/>
      <c r="E467" s="550"/>
      <c r="F467" s="550"/>
      <c r="G467" s="550"/>
      <c r="H467" s="550"/>
      <c r="I467" s="550"/>
      <c r="J467" s="550"/>
      <c r="K467" s="550"/>
      <c r="L467" s="550"/>
      <c r="M467" s="550"/>
      <c r="N467" s="550"/>
      <c r="O467" s="550"/>
      <c r="P467" s="550"/>
      <c r="Q467" s="550"/>
      <c r="R467" s="550"/>
      <c r="S467" s="550"/>
      <c r="T467" s="550"/>
      <c r="U467" s="550"/>
      <c r="V467" s="550"/>
      <c r="W467" s="550"/>
      <c r="X467" s="550"/>
      <c r="Y467" s="550"/>
      <c r="Z467" s="550"/>
      <c r="AA467" s="541"/>
      <c r="AB467" s="541"/>
      <c r="AC467" s="541"/>
    </row>
    <row r="468" spans="1:68" ht="27" hidden="1" customHeight="1" x14ac:dyDescent="0.25">
      <c r="A468" s="54" t="s">
        <v>723</v>
      </c>
      <c r="B468" s="54" t="s">
        <v>724</v>
      </c>
      <c r="C468" s="31">
        <v>4301020400</v>
      </c>
      <c r="D468" s="558">
        <v>4640242180519</v>
      </c>
      <c r="E468" s="559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106</v>
      </c>
      <c r="N468" s="33"/>
      <c r="O468" s="32">
        <v>50</v>
      </c>
      <c r="P468" s="81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725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726</v>
      </c>
      <c r="B469" s="54" t="s">
        <v>727</v>
      </c>
      <c r="C469" s="31">
        <v>4301020260</v>
      </c>
      <c r="D469" s="558">
        <v>4640242180526</v>
      </c>
      <c r="E469" s="559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106</v>
      </c>
      <c r="N469" s="33"/>
      <c r="O469" s="32">
        <v>50</v>
      </c>
      <c r="P469" s="79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728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2"/>
      <c r="B470" s="550"/>
      <c r="C470" s="550"/>
      <c r="D470" s="550"/>
      <c r="E470" s="550"/>
      <c r="F470" s="550"/>
      <c r="G470" s="550"/>
      <c r="H470" s="550"/>
      <c r="I470" s="550"/>
      <c r="J470" s="550"/>
      <c r="K470" s="550"/>
      <c r="L470" s="550"/>
      <c r="M470" s="550"/>
      <c r="N470" s="550"/>
      <c r="O470" s="573"/>
      <c r="P470" s="554" t="s">
        <v>75</v>
      </c>
      <c r="Q470" s="555"/>
      <c r="R470" s="555"/>
      <c r="S470" s="555"/>
      <c r="T470" s="555"/>
      <c r="U470" s="555"/>
      <c r="V470" s="556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0"/>
      <c r="B471" s="550"/>
      <c r="C471" s="550"/>
      <c r="D471" s="550"/>
      <c r="E471" s="550"/>
      <c r="F471" s="550"/>
      <c r="G471" s="550"/>
      <c r="H471" s="550"/>
      <c r="I471" s="550"/>
      <c r="J471" s="550"/>
      <c r="K471" s="550"/>
      <c r="L471" s="550"/>
      <c r="M471" s="550"/>
      <c r="N471" s="550"/>
      <c r="O471" s="573"/>
      <c r="P471" s="554" t="s">
        <v>75</v>
      </c>
      <c r="Q471" s="555"/>
      <c r="R471" s="555"/>
      <c r="S471" s="555"/>
      <c r="T471" s="555"/>
      <c r="U471" s="555"/>
      <c r="V471" s="556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7" t="s">
        <v>64</v>
      </c>
      <c r="B472" s="550"/>
      <c r="C472" s="550"/>
      <c r="D472" s="550"/>
      <c r="E472" s="550"/>
      <c r="F472" s="550"/>
      <c r="G472" s="550"/>
      <c r="H472" s="550"/>
      <c r="I472" s="550"/>
      <c r="J472" s="550"/>
      <c r="K472" s="550"/>
      <c r="L472" s="550"/>
      <c r="M472" s="550"/>
      <c r="N472" s="550"/>
      <c r="O472" s="550"/>
      <c r="P472" s="550"/>
      <c r="Q472" s="550"/>
      <c r="R472" s="550"/>
      <c r="S472" s="550"/>
      <c r="T472" s="550"/>
      <c r="U472" s="550"/>
      <c r="V472" s="550"/>
      <c r="W472" s="550"/>
      <c r="X472" s="550"/>
      <c r="Y472" s="550"/>
      <c r="Z472" s="550"/>
      <c r="AA472" s="541"/>
      <c r="AB472" s="541"/>
      <c r="AC472" s="541"/>
    </row>
    <row r="473" spans="1:68" ht="27" hidden="1" customHeight="1" x14ac:dyDescent="0.25">
      <c r="A473" s="54" t="s">
        <v>729</v>
      </c>
      <c r="B473" s="54" t="s">
        <v>730</v>
      </c>
      <c r="C473" s="31">
        <v>4301031280</v>
      </c>
      <c r="D473" s="558">
        <v>4640242180816</v>
      </c>
      <c r="E473" s="559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110</v>
      </c>
      <c r="L473" s="32"/>
      <c r="M473" s="33" t="s">
        <v>68</v>
      </c>
      <c r="N473" s="33"/>
      <c r="O473" s="32">
        <v>40</v>
      </c>
      <c r="P473" s="84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731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732</v>
      </c>
      <c r="B474" s="54" t="s">
        <v>733</v>
      </c>
      <c r="C474" s="31">
        <v>4301031244</v>
      </c>
      <c r="D474" s="558">
        <v>4640242180595</v>
      </c>
      <c r="E474" s="559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110</v>
      </c>
      <c r="L474" s="32"/>
      <c r="M474" s="33" t="s">
        <v>68</v>
      </c>
      <c r="N474" s="33"/>
      <c r="O474" s="32">
        <v>40</v>
      </c>
      <c r="P474" s="8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734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2"/>
      <c r="B475" s="550"/>
      <c r="C475" s="550"/>
      <c r="D475" s="550"/>
      <c r="E475" s="550"/>
      <c r="F475" s="550"/>
      <c r="G475" s="550"/>
      <c r="H475" s="550"/>
      <c r="I475" s="550"/>
      <c r="J475" s="550"/>
      <c r="K475" s="550"/>
      <c r="L475" s="550"/>
      <c r="M475" s="550"/>
      <c r="N475" s="550"/>
      <c r="O475" s="573"/>
      <c r="P475" s="554" t="s">
        <v>75</v>
      </c>
      <c r="Q475" s="555"/>
      <c r="R475" s="555"/>
      <c r="S475" s="555"/>
      <c r="T475" s="555"/>
      <c r="U475" s="555"/>
      <c r="V475" s="556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0"/>
      <c r="B476" s="550"/>
      <c r="C476" s="550"/>
      <c r="D476" s="550"/>
      <c r="E476" s="550"/>
      <c r="F476" s="550"/>
      <c r="G476" s="550"/>
      <c r="H476" s="550"/>
      <c r="I476" s="550"/>
      <c r="J476" s="550"/>
      <c r="K476" s="550"/>
      <c r="L476" s="550"/>
      <c r="M476" s="550"/>
      <c r="N476" s="550"/>
      <c r="O476" s="573"/>
      <c r="P476" s="554" t="s">
        <v>75</v>
      </c>
      <c r="Q476" s="555"/>
      <c r="R476" s="555"/>
      <c r="S476" s="555"/>
      <c r="T476" s="555"/>
      <c r="U476" s="555"/>
      <c r="V476" s="556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7" t="s">
        <v>77</v>
      </c>
      <c r="B477" s="550"/>
      <c r="C477" s="550"/>
      <c r="D477" s="550"/>
      <c r="E477" s="550"/>
      <c r="F477" s="550"/>
      <c r="G477" s="550"/>
      <c r="H477" s="550"/>
      <c r="I477" s="550"/>
      <c r="J477" s="550"/>
      <c r="K477" s="550"/>
      <c r="L477" s="550"/>
      <c r="M477" s="550"/>
      <c r="N477" s="550"/>
      <c r="O477" s="550"/>
      <c r="P477" s="550"/>
      <c r="Q477" s="550"/>
      <c r="R477" s="550"/>
      <c r="S477" s="550"/>
      <c r="T477" s="550"/>
      <c r="U477" s="550"/>
      <c r="V477" s="550"/>
      <c r="W477" s="550"/>
      <c r="X477" s="550"/>
      <c r="Y477" s="550"/>
      <c r="Z477" s="550"/>
      <c r="AA477" s="541"/>
      <c r="AB477" s="541"/>
      <c r="AC477" s="541"/>
    </row>
    <row r="478" spans="1:68" ht="27" hidden="1" customHeight="1" x14ac:dyDescent="0.25">
      <c r="A478" s="54" t="s">
        <v>735</v>
      </c>
      <c r="B478" s="54" t="s">
        <v>736</v>
      </c>
      <c r="C478" s="31">
        <v>4301052046</v>
      </c>
      <c r="D478" s="558">
        <v>4640242180533</v>
      </c>
      <c r="E478" s="559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/>
      <c r="M478" s="33" t="s">
        <v>87</v>
      </c>
      <c r="N478" s="33"/>
      <c r="O478" s="32">
        <v>45</v>
      </c>
      <c r="P478" s="6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737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72"/>
      <c r="B479" s="550"/>
      <c r="C479" s="550"/>
      <c r="D479" s="550"/>
      <c r="E479" s="550"/>
      <c r="F479" s="550"/>
      <c r="G479" s="550"/>
      <c r="H479" s="550"/>
      <c r="I479" s="550"/>
      <c r="J479" s="550"/>
      <c r="K479" s="550"/>
      <c r="L479" s="550"/>
      <c r="M479" s="550"/>
      <c r="N479" s="550"/>
      <c r="O479" s="573"/>
      <c r="P479" s="554" t="s">
        <v>75</v>
      </c>
      <c r="Q479" s="555"/>
      <c r="R479" s="555"/>
      <c r="S479" s="555"/>
      <c r="T479" s="555"/>
      <c r="U479" s="555"/>
      <c r="V479" s="556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0"/>
      <c r="B480" s="550"/>
      <c r="C480" s="550"/>
      <c r="D480" s="550"/>
      <c r="E480" s="550"/>
      <c r="F480" s="550"/>
      <c r="G480" s="550"/>
      <c r="H480" s="550"/>
      <c r="I480" s="550"/>
      <c r="J480" s="550"/>
      <c r="K480" s="550"/>
      <c r="L480" s="550"/>
      <c r="M480" s="550"/>
      <c r="N480" s="550"/>
      <c r="O480" s="573"/>
      <c r="P480" s="554" t="s">
        <v>75</v>
      </c>
      <c r="Q480" s="555"/>
      <c r="R480" s="555"/>
      <c r="S480" s="555"/>
      <c r="T480" s="555"/>
      <c r="U480" s="555"/>
      <c r="V480" s="556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7" t="s">
        <v>163</v>
      </c>
      <c r="B481" s="550"/>
      <c r="C481" s="550"/>
      <c r="D481" s="550"/>
      <c r="E481" s="550"/>
      <c r="F481" s="550"/>
      <c r="G481" s="550"/>
      <c r="H481" s="550"/>
      <c r="I481" s="550"/>
      <c r="J481" s="550"/>
      <c r="K481" s="550"/>
      <c r="L481" s="550"/>
      <c r="M481" s="550"/>
      <c r="N481" s="550"/>
      <c r="O481" s="550"/>
      <c r="P481" s="550"/>
      <c r="Q481" s="550"/>
      <c r="R481" s="550"/>
      <c r="S481" s="550"/>
      <c r="T481" s="550"/>
      <c r="U481" s="550"/>
      <c r="V481" s="550"/>
      <c r="W481" s="550"/>
      <c r="X481" s="550"/>
      <c r="Y481" s="550"/>
      <c r="Z481" s="550"/>
      <c r="AA481" s="541"/>
      <c r="AB481" s="541"/>
      <c r="AC481" s="541"/>
    </row>
    <row r="482" spans="1:68" ht="27" hidden="1" customHeight="1" x14ac:dyDescent="0.25">
      <c r="A482" s="54" t="s">
        <v>738</v>
      </c>
      <c r="B482" s="54" t="s">
        <v>739</v>
      </c>
      <c r="C482" s="31">
        <v>4301060491</v>
      </c>
      <c r="D482" s="558">
        <v>4640242180120</v>
      </c>
      <c r="E482" s="559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85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740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741</v>
      </c>
      <c r="B483" s="54" t="s">
        <v>742</v>
      </c>
      <c r="C483" s="31">
        <v>4301060493</v>
      </c>
      <c r="D483" s="558">
        <v>4640242180137</v>
      </c>
      <c r="E483" s="559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0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743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2"/>
      <c r="B484" s="550"/>
      <c r="C484" s="550"/>
      <c r="D484" s="550"/>
      <c r="E484" s="550"/>
      <c r="F484" s="550"/>
      <c r="G484" s="550"/>
      <c r="H484" s="550"/>
      <c r="I484" s="550"/>
      <c r="J484" s="550"/>
      <c r="K484" s="550"/>
      <c r="L484" s="550"/>
      <c r="M484" s="550"/>
      <c r="N484" s="550"/>
      <c r="O484" s="573"/>
      <c r="P484" s="554" t="s">
        <v>75</v>
      </c>
      <c r="Q484" s="555"/>
      <c r="R484" s="555"/>
      <c r="S484" s="555"/>
      <c r="T484" s="555"/>
      <c r="U484" s="555"/>
      <c r="V484" s="556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0"/>
      <c r="B485" s="550"/>
      <c r="C485" s="550"/>
      <c r="D485" s="550"/>
      <c r="E485" s="550"/>
      <c r="F485" s="550"/>
      <c r="G485" s="550"/>
      <c r="H485" s="550"/>
      <c r="I485" s="550"/>
      <c r="J485" s="550"/>
      <c r="K485" s="550"/>
      <c r="L485" s="550"/>
      <c r="M485" s="550"/>
      <c r="N485" s="550"/>
      <c r="O485" s="573"/>
      <c r="P485" s="554" t="s">
        <v>75</v>
      </c>
      <c r="Q485" s="555"/>
      <c r="R485" s="555"/>
      <c r="S485" s="555"/>
      <c r="T485" s="555"/>
      <c r="U485" s="555"/>
      <c r="V485" s="556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69" t="s">
        <v>744</v>
      </c>
      <c r="B486" s="550"/>
      <c r="C486" s="550"/>
      <c r="D486" s="550"/>
      <c r="E486" s="550"/>
      <c r="F486" s="550"/>
      <c r="G486" s="550"/>
      <c r="H486" s="550"/>
      <c r="I486" s="550"/>
      <c r="J486" s="550"/>
      <c r="K486" s="550"/>
      <c r="L486" s="550"/>
      <c r="M486" s="550"/>
      <c r="N486" s="550"/>
      <c r="O486" s="550"/>
      <c r="P486" s="550"/>
      <c r="Q486" s="550"/>
      <c r="R486" s="550"/>
      <c r="S486" s="550"/>
      <c r="T486" s="550"/>
      <c r="U486" s="550"/>
      <c r="V486" s="550"/>
      <c r="W486" s="550"/>
      <c r="X486" s="550"/>
      <c r="Y486" s="550"/>
      <c r="Z486" s="550"/>
      <c r="AA486" s="540"/>
      <c r="AB486" s="540"/>
      <c r="AC486" s="540"/>
    </row>
    <row r="487" spans="1:68" ht="14.25" hidden="1" customHeight="1" x14ac:dyDescent="0.25">
      <c r="A487" s="557" t="s">
        <v>135</v>
      </c>
      <c r="B487" s="550"/>
      <c r="C487" s="550"/>
      <c r="D487" s="550"/>
      <c r="E487" s="550"/>
      <c r="F487" s="550"/>
      <c r="G487" s="550"/>
      <c r="H487" s="550"/>
      <c r="I487" s="550"/>
      <c r="J487" s="550"/>
      <c r="K487" s="550"/>
      <c r="L487" s="550"/>
      <c r="M487" s="550"/>
      <c r="N487" s="550"/>
      <c r="O487" s="550"/>
      <c r="P487" s="550"/>
      <c r="Q487" s="550"/>
      <c r="R487" s="550"/>
      <c r="S487" s="550"/>
      <c r="T487" s="550"/>
      <c r="U487" s="550"/>
      <c r="V487" s="550"/>
      <c r="W487" s="550"/>
      <c r="X487" s="550"/>
      <c r="Y487" s="550"/>
      <c r="Z487" s="550"/>
      <c r="AA487" s="541"/>
      <c r="AB487" s="541"/>
      <c r="AC487" s="541"/>
    </row>
    <row r="488" spans="1:68" ht="27" hidden="1" customHeight="1" x14ac:dyDescent="0.25">
      <c r="A488" s="54" t="s">
        <v>745</v>
      </c>
      <c r="B488" s="54" t="s">
        <v>746</v>
      </c>
      <c r="C488" s="31">
        <v>4301020314</v>
      </c>
      <c r="D488" s="558">
        <v>4640242180090</v>
      </c>
      <c r="E488" s="559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106</v>
      </c>
      <c r="N488" s="33"/>
      <c r="O488" s="32">
        <v>50</v>
      </c>
      <c r="P488" s="70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747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2"/>
      <c r="B489" s="550"/>
      <c r="C489" s="550"/>
      <c r="D489" s="550"/>
      <c r="E489" s="550"/>
      <c r="F489" s="550"/>
      <c r="G489" s="550"/>
      <c r="H489" s="550"/>
      <c r="I489" s="550"/>
      <c r="J489" s="550"/>
      <c r="K489" s="550"/>
      <c r="L489" s="550"/>
      <c r="M489" s="550"/>
      <c r="N489" s="550"/>
      <c r="O489" s="573"/>
      <c r="P489" s="554" t="s">
        <v>75</v>
      </c>
      <c r="Q489" s="555"/>
      <c r="R489" s="555"/>
      <c r="S489" s="555"/>
      <c r="T489" s="555"/>
      <c r="U489" s="555"/>
      <c r="V489" s="556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0"/>
      <c r="B490" s="550"/>
      <c r="C490" s="550"/>
      <c r="D490" s="550"/>
      <c r="E490" s="550"/>
      <c r="F490" s="550"/>
      <c r="G490" s="550"/>
      <c r="H490" s="550"/>
      <c r="I490" s="550"/>
      <c r="J490" s="550"/>
      <c r="K490" s="550"/>
      <c r="L490" s="550"/>
      <c r="M490" s="550"/>
      <c r="N490" s="550"/>
      <c r="O490" s="573"/>
      <c r="P490" s="554" t="s">
        <v>75</v>
      </c>
      <c r="Q490" s="555"/>
      <c r="R490" s="555"/>
      <c r="S490" s="555"/>
      <c r="T490" s="555"/>
      <c r="U490" s="555"/>
      <c r="V490" s="556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580"/>
      <c r="B491" s="550"/>
      <c r="C491" s="550"/>
      <c r="D491" s="550"/>
      <c r="E491" s="550"/>
      <c r="F491" s="550"/>
      <c r="G491" s="550"/>
      <c r="H491" s="550"/>
      <c r="I491" s="550"/>
      <c r="J491" s="550"/>
      <c r="K491" s="550"/>
      <c r="L491" s="550"/>
      <c r="M491" s="550"/>
      <c r="N491" s="550"/>
      <c r="O491" s="581"/>
      <c r="P491" s="646" t="s">
        <v>748</v>
      </c>
      <c r="Q491" s="647"/>
      <c r="R491" s="647"/>
      <c r="S491" s="647"/>
      <c r="T491" s="647"/>
      <c r="U491" s="647"/>
      <c r="V491" s="619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7095.95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7099.3099999999995</v>
      </c>
      <c r="Z491" s="37"/>
      <c r="AA491" s="548"/>
      <c r="AB491" s="548"/>
      <c r="AC491" s="548"/>
    </row>
    <row r="492" spans="1:68" x14ac:dyDescent="0.2">
      <c r="A492" s="550"/>
      <c r="B492" s="550"/>
      <c r="C492" s="550"/>
      <c r="D492" s="550"/>
      <c r="E492" s="550"/>
      <c r="F492" s="550"/>
      <c r="G492" s="550"/>
      <c r="H492" s="550"/>
      <c r="I492" s="550"/>
      <c r="J492" s="550"/>
      <c r="K492" s="550"/>
      <c r="L492" s="550"/>
      <c r="M492" s="550"/>
      <c r="N492" s="550"/>
      <c r="O492" s="581"/>
      <c r="P492" s="646" t="s">
        <v>749</v>
      </c>
      <c r="Q492" s="647"/>
      <c r="R492" s="647"/>
      <c r="S492" s="647"/>
      <c r="T492" s="647"/>
      <c r="U492" s="647"/>
      <c r="V492" s="619"/>
      <c r="W492" s="37" t="s">
        <v>69</v>
      </c>
      <c r="X492" s="547">
        <f>IFERROR(SUM(BM22:BM488),"0")</f>
        <v>7617.7132727272738</v>
      </c>
      <c r="Y492" s="547">
        <f>IFERROR(SUM(BN22:BN488),"0")</f>
        <v>7621.2960000000012</v>
      </c>
      <c r="Z492" s="37"/>
      <c r="AA492" s="548"/>
      <c r="AB492" s="548"/>
      <c r="AC492" s="548"/>
    </row>
    <row r="493" spans="1:68" x14ac:dyDescent="0.2">
      <c r="A493" s="550"/>
      <c r="B493" s="550"/>
      <c r="C493" s="550"/>
      <c r="D493" s="550"/>
      <c r="E493" s="550"/>
      <c r="F493" s="550"/>
      <c r="G493" s="550"/>
      <c r="H493" s="550"/>
      <c r="I493" s="550"/>
      <c r="J493" s="550"/>
      <c r="K493" s="550"/>
      <c r="L493" s="550"/>
      <c r="M493" s="550"/>
      <c r="N493" s="550"/>
      <c r="O493" s="581"/>
      <c r="P493" s="646" t="s">
        <v>750</v>
      </c>
      <c r="Q493" s="647"/>
      <c r="R493" s="647"/>
      <c r="S493" s="647"/>
      <c r="T493" s="647"/>
      <c r="U493" s="647"/>
      <c r="V493" s="619"/>
      <c r="W493" s="37" t="s">
        <v>751</v>
      </c>
      <c r="X493" s="38">
        <f>ROUNDUP(SUM(BO22:BO488),0)</f>
        <v>15</v>
      </c>
      <c r="Y493" s="38">
        <f>ROUNDUP(SUM(BP22:BP488),0)</f>
        <v>15</v>
      </c>
      <c r="Z493" s="37"/>
      <c r="AA493" s="548"/>
      <c r="AB493" s="548"/>
      <c r="AC493" s="548"/>
    </row>
    <row r="494" spans="1:68" x14ac:dyDescent="0.2">
      <c r="A494" s="550"/>
      <c r="B494" s="550"/>
      <c r="C494" s="550"/>
      <c r="D494" s="550"/>
      <c r="E494" s="550"/>
      <c r="F494" s="550"/>
      <c r="G494" s="550"/>
      <c r="H494" s="550"/>
      <c r="I494" s="550"/>
      <c r="J494" s="550"/>
      <c r="K494" s="550"/>
      <c r="L494" s="550"/>
      <c r="M494" s="550"/>
      <c r="N494" s="550"/>
      <c r="O494" s="581"/>
      <c r="P494" s="646" t="s">
        <v>752</v>
      </c>
      <c r="Q494" s="647"/>
      <c r="R494" s="647"/>
      <c r="S494" s="647"/>
      <c r="T494" s="647"/>
      <c r="U494" s="647"/>
      <c r="V494" s="619"/>
      <c r="W494" s="37" t="s">
        <v>69</v>
      </c>
      <c r="X494" s="547">
        <f>GrossWeightTotal+PalletQtyTotal*25</f>
        <v>7992.7132727272738</v>
      </c>
      <c r="Y494" s="547">
        <f>GrossWeightTotalR+PalletQtyTotalR*25</f>
        <v>7996.2960000000012</v>
      </c>
      <c r="Z494" s="37"/>
      <c r="AA494" s="548"/>
      <c r="AB494" s="548"/>
      <c r="AC494" s="548"/>
    </row>
    <row r="495" spans="1:68" x14ac:dyDescent="0.2">
      <c r="A495" s="550"/>
      <c r="B495" s="550"/>
      <c r="C495" s="550"/>
      <c r="D495" s="550"/>
      <c r="E495" s="550"/>
      <c r="F495" s="550"/>
      <c r="G495" s="550"/>
      <c r="H495" s="550"/>
      <c r="I495" s="550"/>
      <c r="J495" s="550"/>
      <c r="K495" s="550"/>
      <c r="L495" s="550"/>
      <c r="M495" s="550"/>
      <c r="N495" s="550"/>
      <c r="O495" s="581"/>
      <c r="P495" s="646" t="s">
        <v>753</v>
      </c>
      <c r="Q495" s="647"/>
      <c r="R495" s="647"/>
      <c r="S495" s="647"/>
      <c r="T495" s="647"/>
      <c r="U495" s="647"/>
      <c r="V495" s="619"/>
      <c r="W495" s="37" t="s">
        <v>751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2527.3636363636365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2528</v>
      </c>
      <c r="Z495" s="37"/>
      <c r="AA495" s="548"/>
      <c r="AB495" s="548"/>
      <c r="AC495" s="548"/>
    </row>
    <row r="496" spans="1:68" ht="14.25" hidden="1" customHeight="1" x14ac:dyDescent="0.2">
      <c r="A496" s="550"/>
      <c r="B496" s="550"/>
      <c r="C496" s="550"/>
      <c r="D496" s="550"/>
      <c r="E496" s="550"/>
      <c r="F496" s="550"/>
      <c r="G496" s="550"/>
      <c r="H496" s="550"/>
      <c r="I496" s="550"/>
      <c r="J496" s="550"/>
      <c r="K496" s="550"/>
      <c r="L496" s="550"/>
      <c r="M496" s="550"/>
      <c r="N496" s="550"/>
      <c r="O496" s="581"/>
      <c r="P496" s="646" t="s">
        <v>754</v>
      </c>
      <c r="Q496" s="647"/>
      <c r="R496" s="647"/>
      <c r="S496" s="647"/>
      <c r="T496" s="647"/>
      <c r="U496" s="647"/>
      <c r="V496" s="619"/>
      <c r="W496" s="39" t="s">
        <v>755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17.27047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756</v>
      </c>
      <c r="B498" s="542" t="s">
        <v>63</v>
      </c>
      <c r="C498" s="642" t="s">
        <v>100</v>
      </c>
      <c r="D498" s="769"/>
      <c r="E498" s="769"/>
      <c r="F498" s="769"/>
      <c r="G498" s="769"/>
      <c r="H498" s="770"/>
      <c r="I498" s="642" t="s">
        <v>266</v>
      </c>
      <c r="J498" s="769"/>
      <c r="K498" s="769"/>
      <c r="L498" s="769"/>
      <c r="M498" s="769"/>
      <c r="N498" s="769"/>
      <c r="O498" s="769"/>
      <c r="P498" s="769"/>
      <c r="Q498" s="769"/>
      <c r="R498" s="770"/>
      <c r="S498" s="642" t="s">
        <v>550</v>
      </c>
      <c r="T498" s="770"/>
      <c r="U498" s="642" t="s">
        <v>604</v>
      </c>
      <c r="V498" s="769"/>
      <c r="W498" s="770"/>
      <c r="X498" s="542" t="s">
        <v>655</v>
      </c>
      <c r="Y498" s="642" t="s">
        <v>711</v>
      </c>
      <c r="Z498" s="770"/>
      <c r="AB498" s="52"/>
      <c r="AC498" s="52"/>
      <c r="AF498" s="543"/>
    </row>
    <row r="499" spans="1:32" ht="14.25" customHeight="1" thickTop="1" x14ac:dyDescent="0.2">
      <c r="A499" s="582" t="s">
        <v>757</v>
      </c>
      <c r="B499" s="642" t="s">
        <v>63</v>
      </c>
      <c r="C499" s="642" t="s">
        <v>101</v>
      </c>
      <c r="D499" s="642" t="s">
        <v>116</v>
      </c>
      <c r="E499" s="642" t="s">
        <v>170</v>
      </c>
      <c r="F499" s="642" t="s">
        <v>194</v>
      </c>
      <c r="G499" s="642" t="s">
        <v>236</v>
      </c>
      <c r="H499" s="642" t="s">
        <v>100</v>
      </c>
      <c r="I499" s="642" t="s">
        <v>267</v>
      </c>
      <c r="J499" s="642" t="s">
        <v>319</v>
      </c>
      <c r="K499" s="642" t="s">
        <v>379</v>
      </c>
      <c r="L499" s="642" t="s">
        <v>419</v>
      </c>
      <c r="M499" s="642" t="s">
        <v>435</v>
      </c>
      <c r="N499" s="543"/>
      <c r="O499" s="642" t="s">
        <v>446</v>
      </c>
      <c r="P499" s="642" t="s">
        <v>455</v>
      </c>
      <c r="Q499" s="642" t="s">
        <v>468</v>
      </c>
      <c r="R499" s="642" t="s">
        <v>540</v>
      </c>
      <c r="S499" s="642" t="s">
        <v>551</v>
      </c>
      <c r="T499" s="642" t="s">
        <v>586</v>
      </c>
      <c r="U499" s="642" t="s">
        <v>605</v>
      </c>
      <c r="V499" s="642" t="s">
        <v>636</v>
      </c>
      <c r="W499" s="642" t="s">
        <v>651</v>
      </c>
      <c r="X499" s="642" t="s">
        <v>655</v>
      </c>
      <c r="Y499" s="642" t="s">
        <v>711</v>
      </c>
      <c r="Z499" s="642" t="s">
        <v>744</v>
      </c>
      <c r="AB499" s="52"/>
      <c r="AC499" s="52"/>
      <c r="AF499" s="543"/>
    </row>
    <row r="500" spans="1:32" ht="13.5" customHeight="1" thickBot="1" x14ac:dyDescent="0.25">
      <c r="A500" s="583"/>
      <c r="B500" s="643"/>
      <c r="C500" s="643"/>
      <c r="D500" s="643"/>
      <c r="E500" s="643"/>
      <c r="F500" s="643"/>
      <c r="G500" s="643"/>
      <c r="H500" s="643"/>
      <c r="I500" s="643"/>
      <c r="J500" s="643"/>
      <c r="K500" s="643"/>
      <c r="L500" s="643"/>
      <c r="M500" s="643"/>
      <c r="N500" s="543"/>
      <c r="O500" s="643"/>
      <c r="P500" s="643"/>
      <c r="Q500" s="643"/>
      <c r="R500" s="643"/>
      <c r="S500" s="643"/>
      <c r="T500" s="643"/>
      <c r="U500" s="643"/>
      <c r="V500" s="643"/>
      <c r="W500" s="643"/>
      <c r="X500" s="643"/>
      <c r="Y500" s="643"/>
      <c r="Z500" s="643"/>
      <c r="AB500" s="52"/>
      <c r="AC500" s="52"/>
      <c r="AF500" s="543"/>
    </row>
    <row r="501" spans="1:32" ht="18" customHeight="1" thickTop="1" thickBot="1" x14ac:dyDescent="0.25">
      <c r="A501" s="40" t="s">
        <v>758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400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1350</v>
      </c>
      <c r="E501" s="46">
        <f>IFERROR(Y86*1,"0")+IFERROR(Y87*1,"0")+IFERROR(Y88*1,"0")+IFERROR(Y89*1,"0")+IFERROR(Y93*1,"0")+IFERROR(Y94*1,"0")+IFERROR(Y95*1,"0")+IFERROR(Y96*1,"0")</f>
        <v>476.1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1350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747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49.5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883.35</v>
      </c>
      <c r="R501" s="46">
        <f>IFERROR(Y338*1,"0")+IFERROR(Y339*1,"0")+IFERROR(Y340*1,"0")</f>
        <v>1260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120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63.36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400</v>
      </c>
      <c r="Z501" s="46">
        <f>IFERROR(Y488*1,"0")</f>
        <v>0</v>
      </c>
      <c r="AB501" s="52"/>
      <c r="AC501" s="52"/>
      <c r="AF501" s="543"/>
    </row>
  </sheetData>
  <sheetProtection algorithmName="SHA-512" hashValue="Bzdlyqo77gq3e/bRXAI5llsYwxfRyi2FmrGK8vOErUOLfF/duJQFPsjnu5KEnsJPcjrzxbq54SxlN9hh8seYyw==" saltValue="duAWD8xPAfTUbY17aJ6X3g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 350,00"/>
        <filter val="100,00"/>
        <filter val="11,36"/>
        <filter val="115,00"/>
        <filter val="116,10"/>
        <filter val="120,00"/>
        <filter val="15"/>
        <filter val="180,00"/>
        <filter val="2 527,36"/>
        <filter val="207,00"/>
        <filter val="225,00"/>
        <filter val="240,00"/>
        <filter val="25,00"/>
        <filter val="27,00"/>
        <filter val="3,00"/>
        <filter val="300,00"/>
        <filter val="360,00"/>
        <filter val="400,00"/>
        <filter val="417,00"/>
        <filter val="420,00"/>
        <filter val="43,00"/>
        <filter val="45,00"/>
        <filter val="49,50"/>
        <filter val="500,00"/>
        <filter val="540,00"/>
        <filter val="60,00"/>
        <filter val="600,00"/>
        <filter val="7 095,95"/>
        <filter val="7 617,71"/>
        <filter val="7 992,71"/>
        <filter val="7,65"/>
        <filter val="75,00"/>
        <filter val="8,00"/>
        <filter val="80,00"/>
        <filter val="840,00"/>
        <filter val="875,70"/>
      </filters>
    </filterColumn>
    <filterColumn colId="29" showButton="0"/>
    <filterColumn colId="30" showButton="0"/>
  </autoFilter>
  <mergeCells count="878"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P231:T231"/>
    <mergeCell ref="P302:T302"/>
    <mergeCell ref="D174:E174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P204:T204"/>
    <mergeCell ref="D253:E253"/>
    <mergeCell ref="P316:V316"/>
    <mergeCell ref="A369:Z369"/>
    <mergeCell ref="A418:Z418"/>
    <mergeCell ref="D283:E283"/>
    <mergeCell ref="P144:T144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A92:Z92"/>
    <mergeCell ref="P227:V227"/>
    <mergeCell ref="P373:V373"/>
    <mergeCell ref="P429:T429"/>
    <mergeCell ref="A439:Z439"/>
    <mergeCell ref="D435:E435"/>
    <mergeCell ref="P446:T446"/>
    <mergeCell ref="P440:T440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96:E296"/>
    <mergeCell ref="P448:T448"/>
    <mergeCell ref="W499:W500"/>
    <mergeCell ref="A406:Z406"/>
    <mergeCell ref="P385:V385"/>
    <mergeCell ref="Y499:Y500"/>
    <mergeCell ref="D463:E463"/>
    <mergeCell ref="Z499:Z500"/>
    <mergeCell ref="P499:P500"/>
    <mergeCell ref="O499:O500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D269:E269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G17:G18"/>
    <mergeCell ref="P61:T61"/>
    <mergeCell ref="P41:T41"/>
    <mergeCell ref="D22:E22"/>
    <mergeCell ref="A26:Z26"/>
    <mergeCell ref="P27:T27"/>
    <mergeCell ref="P325:T325"/>
    <mergeCell ref="D75:E75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AB17:AB18"/>
    <mergeCell ref="D427:E427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P22:T22"/>
    <mergeCell ref="P320:T320"/>
    <mergeCell ref="P314:T314"/>
    <mergeCell ref="A437:O438"/>
    <mergeCell ref="D428:E428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P334:V334"/>
    <mergeCell ref="P462:T462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70:E170"/>
    <mergeCell ref="D468:E468"/>
    <mergeCell ref="P379:V379"/>
    <mergeCell ref="D196:E196"/>
    <mergeCell ref="P294:T294"/>
    <mergeCell ref="P443:V443"/>
    <mergeCell ref="P272:V272"/>
    <mergeCell ref="P176:T176"/>
    <mergeCell ref="D383:E383"/>
    <mergeCell ref="P333:T333"/>
    <mergeCell ref="D314:E314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102:T102"/>
    <mergeCell ref="P214:T214"/>
    <mergeCell ref="P270:T270"/>
    <mergeCell ref="D105:E105"/>
    <mergeCell ref="P139:T139"/>
    <mergeCell ref="P80:T80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P120:V120"/>
    <mergeCell ref="P35:T35"/>
    <mergeCell ref="P184:V184"/>
    <mergeCell ref="A152:O153"/>
    <mergeCell ref="A143:Z143"/>
    <mergeCell ref="P121:V121"/>
    <mergeCell ref="D80:E80"/>
    <mergeCell ref="D347:E347"/>
    <mergeCell ref="P304:T304"/>
    <mergeCell ref="P206:T206"/>
    <mergeCell ref="D176:E176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D133:E133"/>
    <mergeCell ref="P447:T447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331:E331"/>
    <mergeCell ref="P163:V163"/>
    <mergeCell ref="D268:E2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4 X118 X205 X215 X217 X339:X340 X414" xr:uid="{00000000-0002-0000-0000-000011000000}">
      <formula1>IF(AK104&gt;0,OR(X104=0,AND(IF(X104-AK104&gt;=0,TRUE,FALSE),X104&gt;0,IF(X104/H104=ROUND(X104/H104,0),TRUE,FALSE))),FALSE)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tGkfJJNzJjJ1sIS3JJ+nLYnB7uKkrB91hzwEBdyeLHMIVDPrdbLXnAZFiG9BRPLnZXhgK+XOL+f6R+99n6o/Ww==" saltValue="12zgAAUwUM7sSA6oew9Jg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2025-12-10T11:55:31Z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