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257CB9-DAA3-4D72-8E44-024623CA8D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Z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X492" i="1" s="1"/>
  <c r="BM22" i="1"/>
  <c r="Y22" i="1"/>
  <c r="B500" i="1" s="1"/>
  <c r="H10" i="1"/>
  <c r="F10" i="1"/>
  <c r="F9" i="1"/>
  <c r="A9" i="1"/>
  <c r="A10" i="1" s="1"/>
  <c r="D7" i="1"/>
  <c r="Q6" i="1"/>
  <c r="P2" i="1"/>
  <c r="BP27" i="1" l="1"/>
  <c r="BN27" i="1"/>
  <c r="Z27" i="1"/>
  <c r="BP62" i="1"/>
  <c r="BN62" i="1"/>
  <c r="Z62" i="1"/>
  <c r="BP92" i="1"/>
  <c r="BN92" i="1"/>
  <c r="Z92" i="1"/>
  <c r="BP126" i="1"/>
  <c r="BN126" i="1"/>
  <c r="Z126" i="1"/>
  <c r="BP171" i="1"/>
  <c r="BN171" i="1"/>
  <c r="Z171" i="1"/>
  <c r="BP208" i="1"/>
  <c r="BN208" i="1"/>
  <c r="Z208" i="1"/>
  <c r="BP231" i="1"/>
  <c r="BN231" i="1"/>
  <c r="Z231" i="1"/>
  <c r="BP272" i="1"/>
  <c r="BN272" i="1"/>
  <c r="Z272" i="1"/>
  <c r="BP302" i="1"/>
  <c r="BN302" i="1"/>
  <c r="Z302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BP43" i="1"/>
  <c r="BN43" i="1"/>
  <c r="Z43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20" i="1"/>
  <c r="BN220" i="1"/>
  <c r="Z220" i="1"/>
  <c r="BP256" i="1"/>
  <c r="BN256" i="1"/>
  <c r="Z256" i="1"/>
  <c r="BP292" i="1"/>
  <c r="BN292" i="1"/>
  <c r="Z292" i="1"/>
  <c r="BP316" i="1"/>
  <c r="BN316" i="1"/>
  <c r="Z316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Y58" i="1"/>
  <c r="J9" i="1"/>
  <c r="X491" i="1"/>
  <c r="X493" i="1" s="1"/>
  <c r="Z23" i="1"/>
  <c r="BN23" i="1"/>
  <c r="X490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8" i="1"/>
  <c r="Z76" i="1"/>
  <c r="BN76" i="1"/>
  <c r="Y82" i="1"/>
  <c r="BP80" i="1"/>
  <c r="BN80" i="1"/>
  <c r="BP88" i="1"/>
  <c r="BN88" i="1"/>
  <c r="Z88" i="1"/>
  <c r="BP103" i="1"/>
  <c r="BN103" i="1"/>
  <c r="Z103" i="1"/>
  <c r="BP115" i="1"/>
  <c r="BN115" i="1"/>
  <c r="Z115" i="1"/>
  <c r="BP147" i="1"/>
  <c r="BN147" i="1"/>
  <c r="Z147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2" i="1"/>
  <c r="BN202" i="1"/>
  <c r="Z202" i="1"/>
  <c r="BP214" i="1"/>
  <c r="BN214" i="1"/>
  <c r="Z214" i="1"/>
  <c r="BP229" i="1"/>
  <c r="BN229" i="1"/>
  <c r="Z229" i="1"/>
  <c r="BP249" i="1"/>
  <c r="BN249" i="1"/>
  <c r="Z249" i="1"/>
  <c r="BP267" i="1"/>
  <c r="BN267" i="1"/>
  <c r="Z267" i="1"/>
  <c r="Y275" i="1"/>
  <c r="Q500" i="1"/>
  <c r="BP290" i="1"/>
  <c r="BN290" i="1"/>
  <c r="Z290" i="1"/>
  <c r="BP94" i="1"/>
  <c r="BN94" i="1"/>
  <c r="Z94" i="1"/>
  <c r="BP109" i="1"/>
  <c r="BN109" i="1"/>
  <c r="Z109" i="1"/>
  <c r="Y132" i="1"/>
  <c r="BP130" i="1"/>
  <c r="BN130" i="1"/>
  <c r="Z130" i="1"/>
  <c r="BP165" i="1"/>
  <c r="BN165" i="1"/>
  <c r="Z165" i="1"/>
  <c r="BP175" i="1"/>
  <c r="BN175" i="1"/>
  <c r="Z175" i="1"/>
  <c r="BP198" i="1"/>
  <c r="BN198" i="1"/>
  <c r="Z198" i="1"/>
  <c r="BP210" i="1"/>
  <c r="BN210" i="1"/>
  <c r="Z21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79" i="1"/>
  <c r="BN279" i="1"/>
  <c r="Z279" i="1"/>
  <c r="BP294" i="1"/>
  <c r="BN294" i="1"/>
  <c r="Z294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96" i="1"/>
  <c r="Y11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04" i="1"/>
  <c r="Y455" i="1"/>
  <c r="Y454" i="1"/>
  <c r="Y24" i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Y268" i="1"/>
  <c r="BP273" i="1"/>
  <c r="BN273" i="1"/>
  <c r="Z273" i="1"/>
  <c r="BP291" i="1"/>
  <c r="BN291" i="1"/>
  <c r="Z291" i="1"/>
  <c r="Z295" i="1" s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69" i="1" l="1"/>
  <c r="Z463" i="1"/>
  <c r="Z454" i="1"/>
  <c r="Z275" i="1"/>
  <c r="Z411" i="1"/>
  <c r="Z188" i="1"/>
  <c r="Z58" i="1"/>
  <c r="Z394" i="1"/>
  <c r="Z235" i="1"/>
  <c r="Z324" i="1"/>
  <c r="Z204" i="1"/>
  <c r="Z304" i="1"/>
  <c r="Z260" i="1"/>
  <c r="Z251" i="1"/>
  <c r="Z32" i="1"/>
  <c r="Z380" i="1"/>
  <c r="Z216" i="1"/>
  <c r="Z172" i="1"/>
  <c r="Y490" i="1"/>
  <c r="Y492" i="1"/>
  <c r="Z337" i="1"/>
  <c r="Z149" i="1"/>
  <c r="Z439" i="1"/>
  <c r="Z448" i="1"/>
  <c r="Z433" i="1"/>
  <c r="Z349" i="1"/>
  <c r="Z330" i="1"/>
  <c r="Z268" i="1"/>
  <c r="Z77" i="1"/>
  <c r="Z64" i="1"/>
  <c r="Y491" i="1"/>
  <c r="Z104" i="1"/>
  <c r="Y494" i="1"/>
  <c r="Y493" i="1" l="1"/>
  <c r="Z495" i="1"/>
</calcChain>
</file>

<file path=xl/sharedStrings.xml><?xml version="1.0" encoding="utf-8"?>
<sst xmlns="http://schemas.openxmlformats.org/spreadsheetml/2006/main" count="2262" uniqueCount="766">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</sst>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0.41666666666666669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190</v>
      </c>
      <c r="Y41" s="544">
        <f>IFERROR(IF(X41="",0,CEILING((X41/$H41),1)*$H41),"")</f>
        <v>194.4</v>
      </c>
      <c r="Z41" s="36">
        <f>IFERROR(IF(Y41=0,"",ROUNDUP(Y41/H41,0)*0.01898),"")</f>
        <v>0.34164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197.21296296296296</v>
      </c>
      <c r="BN41" s="64">
        <f>IFERROR(Y41*I41/H41,"0")</f>
        <v>201.78</v>
      </c>
      <c r="BO41" s="64">
        <f>IFERROR(1/J41*(X41/H41),"0")</f>
        <v>0.27488425925925924</v>
      </c>
      <c r="BP41" s="64">
        <f>IFERROR(1/J41*(Y41/H41),"0")</f>
        <v>0.28125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116</v>
      </c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17.592592592592592</v>
      </c>
      <c r="Y44" s="545">
        <f>IFERROR(Y41/H41,"0")+IFERROR(Y42/H42,"0")+IFERROR(Y43/H43,"0")</f>
        <v>18</v>
      </c>
      <c r="Z44" s="545">
        <f>IFERROR(IF(Z41="",0,Z41),"0")+IFERROR(IF(Z42="",0,Z42),"0")+IFERROR(IF(Z43="",0,Z43),"0")</f>
        <v>0.34164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190</v>
      </c>
      <c r="Y45" s="545">
        <f>IFERROR(SUM(Y41:Y43),"0")</f>
        <v>194.4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111</v>
      </c>
      <c r="Y52" s="544">
        <f t="shared" ref="Y52:Y57" si="0">IFERROR(IF(X52="",0,CEILING((X52/$H52),1)*$H52),"")</f>
        <v>112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115.06339285714287</v>
      </c>
      <c r="BN52" s="64">
        <f t="shared" ref="BN52:BN57" si="2">IFERROR(Y52*I52/H52,"0")</f>
        <v>116.10000000000001</v>
      </c>
      <c r="BO52" s="64">
        <f t="shared" ref="BO52:BO57" si="3">IFERROR(1/J52*(X52/H52),"0")</f>
        <v>0.15485491071428573</v>
      </c>
      <c r="BP52" s="64">
        <f t="shared" ref="BP52:BP57" si="4">IFERROR(1/J52*(Y52/H52),"0")</f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116</v>
      </c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234</v>
      </c>
      <c r="Y55" s="544">
        <f t="shared" si="0"/>
        <v>236</v>
      </c>
      <c r="Z55" s="36">
        <f>IFERROR(IF(Y55=0,"",ROUNDUP(Y55/H55,0)*0.00902),"")</f>
        <v>0.53217999999999999</v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245.11500000000001</v>
      </c>
      <c r="BN55" s="64">
        <f t="shared" si="2"/>
        <v>247.21000000000004</v>
      </c>
      <c r="BO55" s="64">
        <f t="shared" si="3"/>
        <v>0.44318181818181818</v>
      </c>
      <c r="BP55" s="64">
        <f t="shared" si="4"/>
        <v>0.44696969696969696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68.410714285714292</v>
      </c>
      <c r="Y58" s="545">
        <f>IFERROR(Y52/H52,"0")+IFERROR(Y53/H53,"0")+IFERROR(Y54/H54,"0")+IFERROR(Y55/H55,"0")+IFERROR(Y56/H56,"0")+IFERROR(Y57/H57,"0")</f>
        <v>69</v>
      </c>
      <c r="Z58" s="545">
        <f>IFERROR(IF(Z52="",0,Z52),"0")+IFERROR(IF(Z53="",0,Z53),"0")+IFERROR(IF(Z54="",0,Z54),"0")+IFERROR(IF(Z55="",0,Z55),"0")+IFERROR(IF(Z56="",0,Z56),"0")+IFERROR(IF(Z57="",0,Z57),"0")</f>
        <v>0.72197999999999996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345</v>
      </c>
      <c r="Y59" s="545">
        <f>IFERROR(SUM(Y52:Y57),"0")</f>
        <v>348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166</v>
      </c>
      <c r="Y61" s="54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172.30185185185186</v>
      </c>
      <c r="BN61" s="64">
        <f>IFERROR(Y61*I61/H61,"0")</f>
        <v>179.36</v>
      </c>
      <c r="BO61" s="64">
        <f>IFERROR(1/J61*(X61/H61),"0")</f>
        <v>0.24016203703703703</v>
      </c>
      <c r="BP61" s="64">
        <f>IFERROR(1/J61*(Y61/H61),"0")</f>
        <v>0.25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15.37037037037037</v>
      </c>
      <c r="Y64" s="545">
        <f>IFERROR(Y61/H61,"0")+IFERROR(Y62/H62,"0")+IFERROR(Y63/H63,"0")</f>
        <v>16</v>
      </c>
      <c r="Z64" s="545">
        <f>IFERROR(IF(Z61="",0,Z61),"0")+IFERROR(IF(Z62="",0,Z62),"0")+IFERROR(IF(Z63="",0,Z63),"0")</f>
        <v>0.30368000000000001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166</v>
      </c>
      <c r="Y65" s="545">
        <f>IFERROR(SUM(Y61:Y63),"0")</f>
        <v>172.8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50</v>
      </c>
      <c r="Y80" s="544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7</v>
      </c>
      <c r="Y81" s="544">
        <f>IFERROR(IF(X81="",0,CEILING((X81/$H81),1)*$H81),"")</f>
        <v>7.1999999999999993</v>
      </c>
      <c r="Z81" s="36">
        <f>IFERROR(IF(Y81=0,"",ROUNDUP(Y81/H81,0)*0.00902),"")</f>
        <v>2.7060000000000001E-2</v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7.5541666666666663</v>
      </c>
      <c r="BN81" s="64">
        <f>IFERROR(Y81*I81/H81,"0")</f>
        <v>7.7699999999999987</v>
      </c>
      <c r="BO81" s="64">
        <f>IFERROR(1/J81*(X81/H81),"0")</f>
        <v>2.2095959595959599E-2</v>
      </c>
      <c r="BP81" s="64">
        <f>IFERROR(1/J81*(Y81/H81),"0")</f>
        <v>2.2727272727272728E-2</v>
      </c>
    </row>
    <row r="82" spans="1:68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9.3269230769230766</v>
      </c>
      <c r="Y82" s="545">
        <f>IFERROR(Y80/H80,"0")+IFERROR(Y81/H81,"0")</f>
        <v>10</v>
      </c>
      <c r="Z82" s="545">
        <f>IFERROR(IF(Z80="",0,Z80),"0")+IFERROR(IF(Z81="",0,Z81),"0")</f>
        <v>0.15992000000000001</v>
      </c>
      <c r="AA82" s="546"/>
      <c r="AB82" s="546"/>
      <c r="AC82" s="546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57</v>
      </c>
      <c r="Y83" s="545">
        <f>IFERROR(SUM(Y80:Y81),"0")</f>
        <v>61.8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312</v>
      </c>
      <c r="Y86" s="544">
        <f>IFERROR(IF(X86="",0,CEILING((X86/$H86),1)*$H86),"")</f>
        <v>313.20000000000005</v>
      </c>
      <c r="Z86" s="36">
        <f>IFERROR(IF(Y86=0,"",ROUNDUP(Y86/H86,0)*0.01898),"")</f>
        <v>0.55042000000000002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323.84444444444449</v>
      </c>
      <c r="BN86" s="64">
        <f>IFERROR(Y86*I86/H86,"0")</f>
        <v>325.09000000000003</v>
      </c>
      <c r="BO86" s="64">
        <f>IFERROR(1/J86*(X86/H86),"0")</f>
        <v>0.45138888888888884</v>
      </c>
      <c r="BP86" s="64">
        <f>IFERROR(1/J86*(Y86/H86),"0")</f>
        <v>0.45312500000000006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116</v>
      </c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28.888888888888886</v>
      </c>
      <c r="Y89" s="545">
        <f>IFERROR(Y86/H86,"0")+IFERROR(Y87/H87,"0")+IFERROR(Y88/H88,"0")</f>
        <v>29.000000000000004</v>
      </c>
      <c r="Z89" s="545">
        <f>IFERROR(IF(Z86="",0,Z86),"0")+IFERROR(IF(Z87="",0,Z87),"0")+IFERROR(IF(Z88="",0,Z88),"0")</f>
        <v>0.55042000000000002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312</v>
      </c>
      <c r="Y90" s="545">
        <f>IFERROR(SUM(Y86:Y88),"0")</f>
        <v>313.20000000000005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hidden="1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hidden="1" customHeight="1" x14ac:dyDescent="0.25">
      <c r="A98" s="555" t="s">
        <v>193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364</v>
      </c>
      <c r="Y100" s="544">
        <f>IFERROR(IF(X100="",0,CEILING((X100/$H100),1)*$H100),"")</f>
        <v>367.20000000000005</v>
      </c>
      <c r="Z100" s="36">
        <f>IFERROR(IF(Y100=0,"",ROUNDUP(Y100/H100,0)*0.01898),"")</f>
        <v>0.64532</v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377.81851851851854</v>
      </c>
      <c r="BN100" s="64">
        <f>IFERROR(Y100*I100/H100,"0")</f>
        <v>381.14000000000004</v>
      </c>
      <c r="BO100" s="64">
        <f>IFERROR(1/J100*(X100/H100),"0")</f>
        <v>0.52662037037037035</v>
      </c>
      <c r="BP100" s="64">
        <f>IFERROR(1/J100*(Y100/H100),"0")</f>
        <v>0.53125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116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126</v>
      </c>
      <c r="Y102" s="544">
        <f>IFERROR(IF(X102="",0,CEILING((X102/$H102),1)*$H102),"")</f>
        <v>126</v>
      </c>
      <c r="Z102" s="36">
        <f>IFERROR(IF(Y102=0,"",ROUNDUP(Y102/H102,0)*0.00902),"")</f>
        <v>0.25256000000000001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131.32000000000002</v>
      </c>
      <c r="BN102" s="64">
        <f>IFERROR(Y102*I102/H102,"0")</f>
        <v>131.32000000000002</v>
      </c>
      <c r="BO102" s="64">
        <f>IFERROR(1/J102*(X102/H102),"0")</f>
        <v>0.21212121212121213</v>
      </c>
      <c r="BP102" s="64">
        <f>IFERROR(1/J102*(Y102/H102),"0")</f>
        <v>0.21212121212121213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61.703703703703702</v>
      </c>
      <c r="Y104" s="545">
        <f>IFERROR(Y100/H100,"0")+IFERROR(Y101/H101,"0")+IFERROR(Y102/H102,"0")+IFERROR(Y103/H103,"0")</f>
        <v>62</v>
      </c>
      <c r="Z104" s="545">
        <f>IFERROR(IF(Z100="",0,Z100),"0")+IFERROR(IF(Z101="",0,Z101),"0")+IFERROR(IF(Z102="",0,Z102),"0")+IFERROR(IF(Z103="",0,Z103),"0")</f>
        <v>0.89788000000000001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490</v>
      </c>
      <c r="Y105" s="545">
        <f>IFERROR(SUM(Y100:Y103),"0")</f>
        <v>493.20000000000005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92</v>
      </c>
      <c r="Y107" s="544">
        <f>IFERROR(IF(X107="",0,CEILING((X107/$H107),1)*$H107),"")</f>
        <v>97.2</v>
      </c>
      <c r="Z107" s="36">
        <f>IFERROR(IF(Y107=0,"",ROUNDUP(Y107/H107,0)*0.01898),"")</f>
        <v>0.17082</v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95.492592592592601</v>
      </c>
      <c r="BN107" s="64">
        <f>IFERROR(Y107*I107/H107,"0")</f>
        <v>100.89</v>
      </c>
      <c r="BO107" s="64">
        <f>IFERROR(1/J107*(X107/H107),"0")</f>
        <v>0.13310185185185183</v>
      </c>
      <c r="BP107" s="64">
        <f>IFERROR(1/J107*(Y107/H107),"0")</f>
        <v>0.140625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210</v>
      </c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149</v>
      </c>
      <c r="Y109" s="544">
        <f>IFERROR(IF(X109="",0,CEILING((X109/$H109),1)*$H109),"")</f>
        <v>151.19999999999999</v>
      </c>
      <c r="Z109" s="36">
        <f>IFERROR(IF(Y109=0,"",ROUNDUP(Y109/H109,0)*0.00651),"")</f>
        <v>0.41012999999999999</v>
      </c>
      <c r="AA109" s="56"/>
      <c r="AB109" s="57"/>
      <c r="AC109" s="155" t="s">
        <v>205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160.17500000000001</v>
      </c>
      <c r="BN109" s="64">
        <f>IFERROR(Y109*I109/H109,"0")</f>
        <v>162.54000000000002</v>
      </c>
      <c r="BO109" s="64">
        <f>IFERROR(1/J109*(X109/H109),"0")</f>
        <v>0.34111721611721618</v>
      </c>
      <c r="BP109" s="64">
        <f>IFERROR(1/J109*(Y109/H109),"0")</f>
        <v>0.3461538461538462</v>
      </c>
    </row>
    <row r="110" spans="1:68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70.601851851851848</v>
      </c>
      <c r="Y110" s="545">
        <f>IFERROR(Y107/H107,"0")+IFERROR(Y108/H108,"0")+IFERROR(Y109/H109,"0")</f>
        <v>72</v>
      </c>
      <c r="Z110" s="545">
        <f>IFERROR(IF(Z107="",0,Z107),"0")+IFERROR(IF(Z108="",0,Z108),"0")+IFERROR(IF(Z109="",0,Z109),"0")</f>
        <v>0.58094999999999997</v>
      </c>
      <c r="AA110" s="546"/>
      <c r="AB110" s="546"/>
      <c r="AC110" s="546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241</v>
      </c>
      <c r="Y111" s="545">
        <f>IFERROR(SUM(Y107:Y109),"0")</f>
        <v>248.39999999999998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210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hidden="1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116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98</v>
      </c>
      <c r="Y162" s="544">
        <f t="shared" ref="Y162:Y171" si="5">IFERROR(IF(X162="",0,CEILING((X162/$H162),1)*$H162),"")</f>
        <v>100.80000000000001</v>
      </c>
      <c r="Z162" s="36">
        <f>IFERROR(IF(Y162=0,"",ROUNDUP(Y162/H162,0)*0.00902),"")</f>
        <v>0.21648000000000001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103.83333333333333</v>
      </c>
      <c r="BN162" s="64">
        <f t="shared" ref="BN162:BN171" si="7">IFERROR(Y162*I162/H162,"0")</f>
        <v>106.80000000000001</v>
      </c>
      <c r="BO162" s="64">
        <f t="shared" ref="BO162:BO171" si="8">IFERROR(1/J162*(X162/H162),"0")</f>
        <v>0.17676767676767677</v>
      </c>
      <c r="BP162" s="64">
        <f t="shared" ref="BP162:BP171" si="9">IFERROR(1/J162*(Y162/H162),"0")</f>
        <v>0.18181818181818182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116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71</v>
      </c>
      <c r="Y164" s="544">
        <f t="shared" si="5"/>
        <v>71.400000000000006</v>
      </c>
      <c r="Z164" s="36">
        <f>IFERROR(IF(Y164=0,"",ROUNDUP(Y164/H164,0)*0.00902),"")</f>
        <v>0.15334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74.211904761904762</v>
      </c>
      <c r="BN164" s="64">
        <f t="shared" si="7"/>
        <v>74.63000000000001</v>
      </c>
      <c r="BO164" s="64">
        <f t="shared" si="8"/>
        <v>0.12806637806637808</v>
      </c>
      <c r="BP164" s="64">
        <f t="shared" si="9"/>
        <v>0.12878787878787878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151</v>
      </c>
      <c r="Y165" s="544">
        <f t="shared" si="5"/>
        <v>151.20000000000002</v>
      </c>
      <c r="Z165" s="36">
        <f>IFERROR(IF(Y165=0,"",ROUNDUP(Y165/H165,0)*0.00502),"")</f>
        <v>0.36143999999999998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160.34761904761905</v>
      </c>
      <c r="BN165" s="64">
        <f t="shared" si="7"/>
        <v>160.56</v>
      </c>
      <c r="BO165" s="64">
        <f t="shared" si="8"/>
        <v>0.30728530728530729</v>
      </c>
      <c r="BP165" s="64">
        <f t="shared" si="9"/>
        <v>0.30769230769230771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48</v>
      </c>
      <c r="Y168" s="544">
        <f t="shared" si="5"/>
        <v>48.6</v>
      </c>
      <c r="Z168" s="36">
        <f>IFERROR(IF(Y168=0,"",ROUNDUP(Y168/H168,0)*0.00502),"")</f>
        <v>0.13553999999999999</v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51.466666666666669</v>
      </c>
      <c r="BN168" s="64">
        <f t="shared" si="7"/>
        <v>52.11</v>
      </c>
      <c r="BO168" s="64">
        <f t="shared" si="8"/>
        <v>0.11396011396011396</v>
      </c>
      <c r="BP168" s="64">
        <f t="shared" si="9"/>
        <v>0.11538461538461539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155</v>
      </c>
      <c r="Y169" s="544">
        <f t="shared" si="5"/>
        <v>155.4</v>
      </c>
      <c r="Z169" s="36">
        <f>IFERROR(IF(Y169=0,"",ROUNDUP(Y169/H169,0)*0.00502),"")</f>
        <v>0.37148000000000003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162.38095238095238</v>
      </c>
      <c r="BN169" s="64">
        <f t="shared" si="7"/>
        <v>162.80000000000001</v>
      </c>
      <c r="BO169" s="64">
        <f t="shared" si="8"/>
        <v>0.31542531542531543</v>
      </c>
      <c r="BP169" s="64">
        <f t="shared" si="9"/>
        <v>0.31623931623931628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212.61904761904759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214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1.23828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523</v>
      </c>
      <c r="Y173" s="545">
        <f>IFERROR(SUM(Y162:Y171),"0")</f>
        <v>527.40000000000009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210</v>
      </c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116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97</v>
      </c>
      <c r="Y196" s="544">
        <f t="shared" ref="Y196:Y203" si="10">IFERROR(IF(X196="",0,CEILING((X196/$H196),1)*$H196),"")</f>
        <v>97.2</v>
      </c>
      <c r="Z196" s="36">
        <f>IFERROR(IF(Y196=0,"",ROUNDUP(Y196/H196,0)*0.00902),"")</f>
        <v>0.16236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100.41296296296296</v>
      </c>
      <c r="BN196" s="64">
        <f t="shared" ref="BN196:BN203" si="12">IFERROR(Y196*I196/H196,"0")</f>
        <v>100.61999999999999</v>
      </c>
      <c r="BO196" s="64">
        <f t="shared" ref="BO196:BO203" si="13">IFERROR(1/J196*(X196/H196),"0")</f>
        <v>0.13608305274971941</v>
      </c>
      <c r="BP196" s="64">
        <f t="shared" ref="BP196:BP203" si="14">IFERROR(1/J196*(Y196/H196),"0")</f>
        <v>0.13636363636363635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116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161</v>
      </c>
      <c r="Y197" s="544">
        <f t="shared" si="10"/>
        <v>162</v>
      </c>
      <c r="Z197" s="36">
        <f>IFERROR(IF(Y197=0,"",ROUNDUP(Y197/H197,0)*0.00902),"")</f>
        <v>0.27060000000000001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166.6648148148148</v>
      </c>
      <c r="BN197" s="64">
        <f t="shared" si="12"/>
        <v>167.7</v>
      </c>
      <c r="BO197" s="64">
        <f t="shared" si="13"/>
        <v>0.22586980920314254</v>
      </c>
      <c r="BP197" s="64">
        <f t="shared" si="14"/>
        <v>0.22727272727272727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116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181</v>
      </c>
      <c r="Y199" s="544">
        <f t="shared" si="10"/>
        <v>183.60000000000002</v>
      </c>
      <c r="Z199" s="36">
        <f>IFERROR(IF(Y199=0,"",ROUNDUP(Y199/H199,0)*0.00902),"")</f>
        <v>0.30668000000000001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187.3685185185185</v>
      </c>
      <c r="BN199" s="64">
        <f t="shared" si="12"/>
        <v>190.06</v>
      </c>
      <c r="BO199" s="64">
        <f t="shared" si="13"/>
        <v>0.2539281705948373</v>
      </c>
      <c r="BP199" s="64">
        <f t="shared" si="14"/>
        <v>0.25757575757575757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94</v>
      </c>
      <c r="Y200" s="544">
        <f t="shared" si="10"/>
        <v>95.4</v>
      </c>
      <c r="Z200" s="36">
        <f>IFERROR(IF(Y200=0,"",ROUNDUP(Y200/H200,0)*0.00502),"")</f>
        <v>0.26606000000000002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100.78888888888888</v>
      </c>
      <c r="BN200" s="64">
        <f t="shared" si="12"/>
        <v>102.29</v>
      </c>
      <c r="BO200" s="64">
        <f t="shared" si="13"/>
        <v>0.22317188983855651</v>
      </c>
      <c r="BP200" s="64">
        <f t="shared" si="14"/>
        <v>0.22649572649572652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76</v>
      </c>
      <c r="Y201" s="544">
        <f t="shared" si="10"/>
        <v>77.400000000000006</v>
      </c>
      <c r="Z201" s="36">
        <f>IFERROR(IF(Y201=0,"",ROUNDUP(Y201/H201,0)*0.00502),"")</f>
        <v>0.21586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80.222222222222229</v>
      </c>
      <c r="BN201" s="64">
        <f t="shared" si="12"/>
        <v>81.7</v>
      </c>
      <c r="BO201" s="64">
        <f t="shared" si="13"/>
        <v>0.18043684710351379</v>
      </c>
      <c r="BP201" s="64">
        <f t="shared" si="14"/>
        <v>0.18376068376068377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68</v>
      </c>
      <c r="Y203" s="544">
        <f t="shared" si="10"/>
        <v>68.400000000000006</v>
      </c>
      <c r="Z203" s="36">
        <f>IFERROR(IF(Y203=0,"",ROUNDUP(Y203/H203,0)*0.00502),"")</f>
        <v>0.19076000000000001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71.777777777777771</v>
      </c>
      <c r="BN203" s="64">
        <f t="shared" si="12"/>
        <v>72.2</v>
      </c>
      <c r="BO203" s="64">
        <f t="shared" si="13"/>
        <v>0.16144349477682812</v>
      </c>
      <c r="BP203" s="64">
        <f t="shared" si="14"/>
        <v>0.1623931623931624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213.5185185185185</v>
      </c>
      <c r="Y204" s="545">
        <f>IFERROR(Y196/H196,"0")+IFERROR(Y197/H197,"0")+IFERROR(Y198/H198,"0")+IFERROR(Y199/H199,"0")+IFERROR(Y200/H200,"0")+IFERROR(Y201/H201,"0")+IFERROR(Y202/H202,"0")+IFERROR(Y203/H203,"0")</f>
        <v>216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1.41232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677</v>
      </c>
      <c r="Y205" s="545">
        <f>IFERROR(SUM(Y196:Y203),"0")</f>
        <v>684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210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150</v>
      </c>
      <c r="Y210" s="544">
        <f t="shared" si="15"/>
        <v>151.19999999999999</v>
      </c>
      <c r="Z210" s="36">
        <f t="shared" ref="Z210:Z215" si="20">IFERROR(IF(Y210=0,"",ROUNDUP(Y210/H210,0)*0.00651),"")</f>
        <v>0.41012999999999999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166.875</v>
      </c>
      <c r="BN210" s="64">
        <f t="shared" si="17"/>
        <v>168.20999999999998</v>
      </c>
      <c r="BO210" s="64">
        <f t="shared" si="18"/>
        <v>0.34340659340659341</v>
      </c>
      <c r="BP210" s="64">
        <f t="shared" si="19"/>
        <v>0.3461538461538462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210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11</v>
      </c>
      <c r="Y212" s="544">
        <f t="shared" si="15"/>
        <v>12</v>
      </c>
      <c r="Z212" s="36">
        <f t="shared" si="20"/>
        <v>3.2550000000000003E-2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12.155000000000001</v>
      </c>
      <c r="BN212" s="64">
        <f t="shared" si="17"/>
        <v>13.260000000000002</v>
      </c>
      <c r="BO212" s="64">
        <f t="shared" si="18"/>
        <v>2.5183150183150187E-2</v>
      </c>
      <c r="BP212" s="64">
        <f t="shared" si="19"/>
        <v>2.7472527472527476E-2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210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114</v>
      </c>
      <c r="Y213" s="544">
        <f t="shared" si="15"/>
        <v>115.19999999999999</v>
      </c>
      <c r="Z213" s="36">
        <f t="shared" si="20"/>
        <v>0.31247999999999998</v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125.97000000000001</v>
      </c>
      <c r="BN213" s="64">
        <f t="shared" si="17"/>
        <v>127.29600000000001</v>
      </c>
      <c r="BO213" s="64">
        <f t="shared" si="18"/>
        <v>0.26098901098901101</v>
      </c>
      <c r="BP213" s="64">
        <f t="shared" si="19"/>
        <v>0.26373626373626374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210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232</v>
      </c>
      <c r="Y214" s="544">
        <f t="shared" si="15"/>
        <v>232.79999999999998</v>
      </c>
      <c r="Z214" s="36">
        <f t="shared" si="20"/>
        <v>0.63146999999999998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256.36</v>
      </c>
      <c r="BN214" s="64">
        <f t="shared" si="17"/>
        <v>257.24399999999997</v>
      </c>
      <c r="BO214" s="64">
        <f t="shared" si="18"/>
        <v>0.53113553113553125</v>
      </c>
      <c r="BP214" s="64">
        <f t="shared" si="19"/>
        <v>0.53296703296703296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210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122</v>
      </c>
      <c r="Y215" s="544">
        <f t="shared" si="15"/>
        <v>122.39999999999999</v>
      </c>
      <c r="Z215" s="36">
        <f t="shared" si="20"/>
        <v>0.33201000000000003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135.11500000000001</v>
      </c>
      <c r="BN215" s="64">
        <f t="shared" si="17"/>
        <v>135.55799999999999</v>
      </c>
      <c r="BO215" s="64">
        <f t="shared" si="18"/>
        <v>0.27930402930402937</v>
      </c>
      <c r="BP215" s="64">
        <f t="shared" si="19"/>
        <v>0.28021978021978022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262.08333333333331</v>
      </c>
      <c r="Y216" s="545">
        <f>IFERROR(Y207/H207,"0")+IFERROR(Y208/H208,"0")+IFERROR(Y209/H209,"0")+IFERROR(Y210/H210,"0")+IFERROR(Y211/H211,"0")+IFERROR(Y212/H212,"0")+IFERROR(Y213/H213,"0")+IFERROR(Y214/H214,"0")+IFERROR(Y215/H215,"0")</f>
        <v>264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1.7186400000000002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629</v>
      </c>
      <c r="Y217" s="545">
        <f>IFERROR(SUM(Y207:Y215),"0")</f>
        <v>633.59999999999991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49</v>
      </c>
      <c r="Y219" s="544">
        <f>IFERROR(IF(X219="",0,CEILING((X219/$H219),1)*$H219),"")</f>
        <v>50.4</v>
      </c>
      <c r="Z219" s="36">
        <f>IFERROR(IF(Y219=0,"",ROUNDUP(Y219/H219,0)*0.00651),"")</f>
        <v>0.13671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54.145000000000003</v>
      </c>
      <c r="BN219" s="64">
        <f>IFERROR(Y219*I219/H219,"0")</f>
        <v>55.692</v>
      </c>
      <c r="BO219" s="64">
        <f>IFERROR(1/J219*(X219/H219),"0")</f>
        <v>0.1121794871794872</v>
      </c>
      <c r="BP219" s="64">
        <f>IFERROR(1/J219*(Y219/H219),"0")</f>
        <v>0.11538461538461539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210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55</v>
      </c>
      <c r="Y220" s="544">
        <f>IFERROR(IF(X220="",0,CEILING((X220/$H220),1)*$H220),"")</f>
        <v>55.199999999999996</v>
      </c>
      <c r="Z220" s="36">
        <f>IFERROR(IF(Y220=0,"",ROUNDUP(Y220/H220,0)*0.00651),"")</f>
        <v>0.14973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60.775000000000006</v>
      </c>
      <c r="BN220" s="64">
        <f>IFERROR(Y220*I220/H220,"0")</f>
        <v>60.996000000000002</v>
      </c>
      <c r="BO220" s="64">
        <f>IFERROR(1/J220*(X220/H220),"0")</f>
        <v>0.12591575091575094</v>
      </c>
      <c r="BP220" s="64">
        <f>IFERROR(1/J220*(Y220/H220),"0")</f>
        <v>0.1263736263736264</v>
      </c>
    </row>
    <row r="221" spans="1:68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43.333333333333336</v>
      </c>
      <c r="Y221" s="545">
        <f>IFERROR(Y219/H219,"0")+IFERROR(Y220/H220,"0")</f>
        <v>44</v>
      </c>
      <c r="Z221" s="545">
        <f>IFERROR(IF(Z219="",0,Z219),"0")+IFERROR(IF(Z220="",0,Z220),"0")</f>
        <v>0.28644000000000003</v>
      </c>
      <c r="AA221" s="546"/>
      <c r="AB221" s="546"/>
      <c r="AC221" s="546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104</v>
      </c>
      <c r="Y222" s="545">
        <f>IFERROR(SUM(Y219:Y220),"0")</f>
        <v>105.6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5</v>
      </c>
      <c r="Y228" s="544">
        <f t="shared" si="21"/>
        <v>8</v>
      </c>
      <c r="Z228" s="36">
        <f>IFERROR(IF(Y228=0,"",ROUNDUP(Y228/H228,0)*0.00902),"")</f>
        <v>1.804E-2</v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5.2375000000000007</v>
      </c>
      <c r="BN228" s="64">
        <f t="shared" si="23"/>
        <v>8.3800000000000008</v>
      </c>
      <c r="BO228" s="64">
        <f t="shared" si="24"/>
        <v>9.46969696969697E-3</v>
      </c>
      <c r="BP228" s="64">
        <f t="shared" si="25"/>
        <v>1.5151515151515152E-2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1.25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1.804E-2</v>
      </c>
      <c r="AA235" s="546"/>
      <c r="AB235" s="546"/>
      <c r="AC235" s="546"/>
    </row>
    <row r="236" spans="1:68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5</v>
      </c>
      <c r="Y236" s="545">
        <f>IFERROR(SUM(Y225:Y234),"0")</f>
        <v>8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2</v>
      </c>
      <c r="Y242" s="544">
        <f>IFERROR(IF(X242="",0,CEILING((X242/$H242),1)*$H242),"")</f>
        <v>3.6</v>
      </c>
      <c r="Z242" s="36">
        <f>IFERROR(IF(Y242=0,"",ROUNDUP(Y242/H242,0)*0.0059),"")</f>
        <v>1.18E-2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2.1944444444444446</v>
      </c>
      <c r="BN242" s="64">
        <f>IFERROR(Y242*I242/H242,"0")</f>
        <v>3.95</v>
      </c>
      <c r="BO242" s="64">
        <f>IFERROR(1/J242*(X242/H242),"0")</f>
        <v>5.1440329218106996E-3</v>
      </c>
      <c r="BP242" s="64">
        <f>IFERROR(1/J242*(Y242/H242),"0")</f>
        <v>9.2592592592592587E-3</v>
      </c>
    </row>
    <row r="243" spans="1:68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1.1111111111111112</v>
      </c>
      <c r="Y243" s="545">
        <f>IFERROR(Y242/H242,"0")</f>
        <v>2</v>
      </c>
      <c r="Z243" s="545">
        <f>IFERROR(IF(Z242="",0,Z242),"0")</f>
        <v>1.18E-2</v>
      </c>
      <c r="AA243" s="546"/>
      <c r="AB243" s="546"/>
      <c r="AC243" s="546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2</v>
      </c>
      <c r="Y244" s="545">
        <f>IFERROR(SUM(Y242:Y242),"0")</f>
        <v>3.6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210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210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59</v>
      </c>
      <c r="Y303" s="544">
        <f t="shared" si="26"/>
        <v>59.4</v>
      </c>
      <c r="Z303" s="36">
        <f>IFERROR(IF(Y303=0,"",ROUNDUP(Y303/H303,0)*0.00651),"")</f>
        <v>0.21482999999999999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66.473333333333329</v>
      </c>
      <c r="BN303" s="64">
        <f t="shared" si="28"/>
        <v>66.923999999999992</v>
      </c>
      <c r="BO303" s="64">
        <f t="shared" si="29"/>
        <v>0.18009768009768012</v>
      </c>
      <c r="BP303" s="64">
        <f t="shared" si="30"/>
        <v>0.18131868131868134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32.777777777777779</v>
      </c>
      <c r="Y304" s="545">
        <f>IFERROR(Y298/H298,"0")+IFERROR(Y299/H299,"0")+IFERROR(Y300/H300,"0")+IFERROR(Y301/H301,"0")+IFERROR(Y302/H302,"0")+IFERROR(Y303/H303,"0")</f>
        <v>33</v>
      </c>
      <c r="Z304" s="545">
        <f>IFERROR(IF(Z298="",0,Z298),"0")+IFERROR(IF(Z299="",0,Z299),"0")+IFERROR(IF(Z300="",0,Z300),"0")+IFERROR(IF(Z301="",0,Z301),"0")+IFERROR(IF(Z302="",0,Z302),"0")+IFERROR(IF(Z303="",0,Z303),"0")</f>
        <v>0.21482999999999999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59</v>
      </c>
      <c r="Y305" s="545">
        <f>IFERROR(SUM(Y298:Y303),"0")</f>
        <v>59.4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78</v>
      </c>
      <c r="Y314" s="544">
        <f>IFERROR(IF(X314="",0,CEILING((X314/$H314),1)*$H314),"")</f>
        <v>84</v>
      </c>
      <c r="Z314" s="36">
        <f>IFERROR(IF(Y314=0,"",ROUNDUP(Y314/H314,0)*0.01898),"")</f>
        <v>0.1898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82.587142857142851</v>
      </c>
      <c r="BN314" s="64">
        <f>IFERROR(Y314*I314/H314,"0")</f>
        <v>88.94</v>
      </c>
      <c r="BO314" s="64">
        <f>IFERROR(1/J314*(X314/H314),"0")</f>
        <v>0.1450892857142857</v>
      </c>
      <c r="BP314" s="64">
        <f>IFERROR(1/J314*(Y314/H314),"0")</f>
        <v>0.15625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177</v>
      </c>
      <c r="Y315" s="544">
        <f>IFERROR(IF(X315="",0,CEILING((X315/$H315),1)*$H315),"")</f>
        <v>179.4</v>
      </c>
      <c r="Z315" s="36">
        <f>IFERROR(IF(Y315=0,"",ROUNDUP(Y315/H315,0)*0.01898),"")</f>
        <v>0.43653999999999998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188.21</v>
      </c>
      <c r="BN315" s="64">
        <f>IFERROR(Y315*I315/H315,"0")</f>
        <v>190.762</v>
      </c>
      <c r="BO315" s="64">
        <f>IFERROR(1/J315*(X315/H315),"0")</f>
        <v>0.35456730769230771</v>
      </c>
      <c r="BP315" s="64">
        <f>IFERROR(1/J315*(Y315/H315),"0")</f>
        <v>0.359375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98</v>
      </c>
      <c r="Y316" s="544">
        <f>IFERROR(IF(X316="",0,CEILING((X316/$H316),1)*$H316),"")</f>
        <v>100.80000000000001</v>
      </c>
      <c r="Z316" s="36">
        <f>IFERROR(IF(Y316=0,"",ROUNDUP(Y316/H316,0)*0.01898),"")</f>
        <v>0.22776000000000002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103.76333333333332</v>
      </c>
      <c r="BN316" s="64">
        <f>IFERROR(Y316*I316/H316,"0")</f>
        <v>106.72800000000001</v>
      </c>
      <c r="BO316" s="64">
        <f>IFERROR(1/J316*(X316/H316),"0")</f>
        <v>0.18229166666666666</v>
      </c>
      <c r="BP316" s="64">
        <f>IFERROR(1/J316*(Y316/H316),"0")</f>
        <v>0.1875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43.644688644688642</v>
      </c>
      <c r="Y317" s="545">
        <f>IFERROR(Y314/H314,"0")+IFERROR(Y315/H315,"0")+IFERROR(Y316/H316,"0")</f>
        <v>45</v>
      </c>
      <c r="Z317" s="545">
        <f>IFERROR(IF(Z314="",0,Z314),"0")+IFERROR(IF(Z315="",0,Z315),"0")+IFERROR(IF(Z316="",0,Z316),"0")</f>
        <v>0.85410000000000008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353</v>
      </c>
      <c r="Y318" s="545">
        <f>IFERROR(SUM(Y314:Y316),"0")</f>
        <v>364.2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210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29</v>
      </c>
      <c r="Y323" s="544">
        <f>IFERROR(IF(X323="",0,CEILING((X323/$H323),1)*$H323),"")</f>
        <v>30.599999999999998</v>
      </c>
      <c r="Z323" s="36">
        <f>IFERROR(IF(Y323=0,"",ROUNDUP(Y323/H323,0)*0.00651),"")</f>
        <v>7.8119999999999995E-2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32.752941176470586</v>
      </c>
      <c r="BN323" s="64">
        <f>IFERROR(Y323*I323/H323,"0")</f>
        <v>34.559999999999995</v>
      </c>
      <c r="BO323" s="64">
        <f>IFERROR(1/J323*(X323/H323),"0")</f>
        <v>6.2486533074768376E-2</v>
      </c>
      <c r="BP323" s="64">
        <f>IFERROR(1/J323*(Y323/H323),"0")</f>
        <v>6.5934065934065936E-2</v>
      </c>
    </row>
    <row r="324" spans="1:68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11.372549019607844</v>
      </c>
      <c r="Y324" s="545">
        <f>IFERROR(Y320/H320,"0")+IFERROR(Y321/H321,"0")+IFERROR(Y322/H322,"0")+IFERROR(Y323/H323,"0")</f>
        <v>12</v>
      </c>
      <c r="Z324" s="545">
        <f>IFERROR(IF(Z320="",0,Z320),"0")+IFERROR(IF(Z321="",0,Z321),"0")+IFERROR(IF(Z322="",0,Z322),"0")+IFERROR(IF(Z323="",0,Z323),"0")</f>
        <v>7.8119999999999995E-2</v>
      </c>
      <c r="AA324" s="546"/>
      <c r="AB324" s="546"/>
      <c r="AC324" s="546"/>
    </row>
    <row r="325" spans="1:68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29</v>
      </c>
      <c r="Y325" s="545">
        <f>IFERROR(SUM(Y320:Y323),"0")</f>
        <v>30.599999999999998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3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3.3600000000000003</v>
      </c>
      <c r="BN328" s="64">
        <f>IFERROR(Y328*I328/H328,"0")</f>
        <v>4.4800000000000004</v>
      </c>
      <c r="BO328" s="64">
        <f>IFERROR(1/J328*(X328/H328),"0")</f>
        <v>6.3025210084033615E-3</v>
      </c>
      <c r="BP328" s="64">
        <f>IFERROR(1/J328*(Y328/H328),"0")</f>
        <v>8.4033613445378148E-3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1.5</v>
      </c>
      <c r="Y330" s="545">
        <f>IFERROR(Y327/H327,"0")+IFERROR(Y328/H328,"0")+IFERROR(Y329/H329,"0")</f>
        <v>2</v>
      </c>
      <c r="Z330" s="545">
        <f>IFERROR(IF(Z327="",0,Z327),"0")+IFERROR(IF(Z328="",0,Z328),"0")+IFERROR(IF(Z329="",0,Z329),"0")</f>
        <v>9.4800000000000006E-3</v>
      </c>
      <c r="AA330" s="546"/>
      <c r="AB330" s="546"/>
      <c r="AC330" s="546"/>
    </row>
    <row r="331" spans="1:68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3</v>
      </c>
      <c r="Y331" s="545">
        <f>IFERROR(SUM(Y327:Y329),"0")</f>
        <v>4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161</v>
      </c>
      <c r="Y343" s="544">
        <f t="shared" si="31"/>
        <v>165</v>
      </c>
      <c r="Z343" s="36">
        <f>IFERROR(IF(Y343=0,"",ROUNDUP(Y343/H343,0)*0.02175),"")</f>
        <v>0.23924999999999999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166.04466666666667</v>
      </c>
      <c r="BN343" s="64">
        <f t="shared" si="33"/>
        <v>170.17000000000002</v>
      </c>
      <c r="BO343" s="64">
        <f t="shared" si="34"/>
        <v>0.22361111111111109</v>
      </c>
      <c r="BP343" s="64">
        <f t="shared" si="35"/>
        <v>0.22916666666666666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130</v>
      </c>
      <c r="Y344" s="544">
        <f t="shared" si="31"/>
        <v>135</v>
      </c>
      <c r="Z344" s="36">
        <f>IFERROR(IF(Y344=0,"",ROUNDUP(Y344/H344,0)*0.02175),"")</f>
        <v>0.19574999999999998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134.07333333333335</v>
      </c>
      <c r="BN344" s="64">
        <f t="shared" si="33"/>
        <v>139.23000000000002</v>
      </c>
      <c r="BO344" s="64">
        <f t="shared" si="34"/>
        <v>0.18055555555555552</v>
      </c>
      <c r="BP344" s="64">
        <f t="shared" si="35"/>
        <v>0.1875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247</v>
      </c>
      <c r="Y345" s="544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254.73933333333335</v>
      </c>
      <c r="BN345" s="64">
        <f t="shared" si="33"/>
        <v>262.99</v>
      </c>
      <c r="BO345" s="64">
        <f t="shared" si="34"/>
        <v>0.3430555555555555</v>
      </c>
      <c r="BP345" s="64">
        <f t="shared" si="35"/>
        <v>0.35416666666666663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35.86666666666666</v>
      </c>
      <c r="Y349" s="545">
        <f>IFERROR(Y342/H342,"0")+IFERROR(Y343/H343,"0")+IFERROR(Y344/H344,"0")+IFERROR(Y345/H345,"0")+IFERROR(Y346/H346,"0")+IFERROR(Y347/H347,"0")+IFERROR(Y348/H348,"0")</f>
        <v>37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0.80474999999999985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538</v>
      </c>
      <c r="Y350" s="545">
        <f>IFERROR(SUM(Y342:Y348),"0")</f>
        <v>555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468</v>
      </c>
      <c r="Y352" s="544">
        <f>IFERROR(IF(X352="",0,CEILING((X352/$H352),1)*$H352),"")</f>
        <v>480</v>
      </c>
      <c r="Z352" s="36">
        <f>IFERROR(IF(Y352=0,"",ROUNDUP(Y352/H352,0)*0.02175),"")</f>
        <v>0.69599999999999995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482.66399999999999</v>
      </c>
      <c r="BN352" s="64">
        <f>IFERROR(Y352*I352/H352,"0")</f>
        <v>495.04</v>
      </c>
      <c r="BO352" s="64">
        <f>IFERROR(1/J352*(X352/H352),"0")</f>
        <v>0.64999999999999991</v>
      </c>
      <c r="BP352" s="64">
        <f>IFERROR(1/J352*(Y352/H352),"0")</f>
        <v>0.66666666666666663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31.2</v>
      </c>
      <c r="Y354" s="545">
        <f>IFERROR(Y352/H352,"0")+IFERROR(Y353/H353,"0")</f>
        <v>32</v>
      </c>
      <c r="Z354" s="545">
        <f>IFERROR(IF(Z352="",0,Z352),"0")+IFERROR(IF(Z353="",0,Z353),"0")</f>
        <v>0.69599999999999995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468</v>
      </c>
      <c r="Y355" s="545">
        <f>IFERROR(SUM(Y352:Y353),"0")</f>
        <v>480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hidden="1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79</v>
      </c>
      <c r="Y362" s="544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83.336222222222219</v>
      </c>
      <c r="BN362" s="64">
        <f>IFERROR(Y362*I362/H362,"0")</f>
        <v>85.445999999999998</v>
      </c>
      <c r="BO362" s="64">
        <f>IFERROR(1/J362*(X362/H362),"0")</f>
        <v>0.13715277777777779</v>
      </c>
      <c r="BP362" s="64">
        <f>IFERROR(1/J362*(Y362/H362),"0")</f>
        <v>0.140625</v>
      </c>
    </row>
    <row r="363" spans="1:68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8.7777777777777786</v>
      </c>
      <c r="Y363" s="545">
        <f>IFERROR(Y362/H362,"0")</f>
        <v>9</v>
      </c>
      <c r="Z363" s="545">
        <f>IFERROR(IF(Z362="",0,Z362),"0")</f>
        <v>0.17082</v>
      </c>
      <c r="AA363" s="546"/>
      <c r="AB363" s="546"/>
      <c r="AC363" s="546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79</v>
      </c>
      <c r="Y364" s="545">
        <f>IFERROR(SUM(Y362:Y362),"0")</f>
        <v>81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404</v>
      </c>
      <c r="Y377" s="544">
        <f>IFERROR(IF(X377="",0,CEILING((X377/$H377),1)*$H377),"")</f>
        <v>405</v>
      </c>
      <c r="Z377" s="36">
        <f>IFERROR(IF(Y377=0,"",ROUNDUP(Y377/H377,0)*0.01898),"")</f>
        <v>0.85409999999999997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426.17511111111111</v>
      </c>
      <c r="BN377" s="64">
        <f>IFERROR(Y377*I377/H377,"0")</f>
        <v>427.22999999999996</v>
      </c>
      <c r="BO377" s="64">
        <f>IFERROR(1/J377*(X377/H377),"0")</f>
        <v>0.70138888888888884</v>
      </c>
      <c r="BP377" s="64">
        <f>IFERROR(1/J377*(Y377/H377),"0")</f>
        <v>0.703125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210</v>
      </c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44.888888888888886</v>
      </c>
      <c r="Y380" s="545">
        <f>IFERROR(Y377/H377,"0")+IFERROR(Y378/H378,"0")+IFERROR(Y379/H379,"0")</f>
        <v>45</v>
      </c>
      <c r="Z380" s="545">
        <f>IFERROR(IF(Z377="",0,Z377),"0")+IFERROR(IF(Z378="",0,Z378),"0")+IFERROR(IF(Z379="",0,Z379),"0")</f>
        <v>0.85409999999999997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404</v>
      </c>
      <c r="Y381" s="545">
        <f>IFERROR(SUM(Y377:Y379),"0")</f>
        <v>405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hidden="1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hidden="1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39</v>
      </c>
      <c r="Y421" s="544">
        <f t="shared" ref="Y421:Y432" si="42">IFERROR(IF(X421="",0,CEILING((X421/$H421),1)*$H421),"")</f>
        <v>42.24</v>
      </c>
      <c r="Z421" s="36">
        <f t="shared" ref="Z421:Z427" si="43">IFERROR(IF(Y421=0,"",ROUNDUP(Y421/H421,0)*0.01196),"")</f>
        <v>9.5680000000000001E-2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41.585227272727266</v>
      </c>
      <c r="BN421" s="64">
        <f t="shared" ref="BN421:BN432" si="45">IFERROR(Y421*I421/H421,"0")</f>
        <v>45.04</v>
      </c>
      <c r="BO421" s="64">
        <f t="shared" ref="BO421:BO432" si="46">IFERROR(1/J421*(X421/H421),"0")</f>
        <v>7.1022727272727265E-2</v>
      </c>
      <c r="BP421" s="64">
        <f t="shared" ref="BP421:BP432" si="47">IFERROR(1/J421*(Y421/H421),"0")</f>
        <v>7.6923076923076927E-2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45</v>
      </c>
      <c r="Y424" s="544">
        <f t="shared" si="42"/>
        <v>47.52</v>
      </c>
      <c r="Z424" s="36">
        <f t="shared" si="43"/>
        <v>0.10764</v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47.98295454545454</v>
      </c>
      <c r="BN424" s="64">
        <f t="shared" si="45"/>
        <v>50.669999999999995</v>
      </c>
      <c r="BO424" s="64">
        <f t="shared" si="46"/>
        <v>8.1949300699300689E-2</v>
      </c>
      <c r="BP424" s="64">
        <f t="shared" si="47"/>
        <v>8.6538461538461536E-2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23</v>
      </c>
      <c r="Y429" s="544">
        <f t="shared" si="42"/>
        <v>24</v>
      </c>
      <c r="Z429" s="36">
        <f>IFERROR(IF(Y429=0,"",ROUNDUP(Y429/H429,0)*0.00902),"")</f>
        <v>4.5100000000000001E-2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33.110416666666673</v>
      </c>
      <c r="BN429" s="64">
        <f t="shared" si="45"/>
        <v>34.550000000000004</v>
      </c>
      <c r="BO429" s="64">
        <f t="shared" si="46"/>
        <v>3.6300505050505055E-2</v>
      </c>
      <c r="BP429" s="64">
        <f t="shared" si="47"/>
        <v>3.787878787878788E-2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20.700757575757574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22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0.24842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107</v>
      </c>
      <c r="Y434" s="545">
        <f>IFERROR(SUM(Y421:Y432),"0")</f>
        <v>113.76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hidden="1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116</v>
      </c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30</v>
      </c>
      <c r="Y438" s="544">
        <f>IFERROR(IF(X438="",0,CEILING((X438/$H438),1)*$H438),"")</f>
        <v>33.6</v>
      </c>
      <c r="Z438" s="36">
        <f>IFERROR(IF(Y438=0,"",ROUNDUP(Y438/H438,0)*0.00902),"")</f>
        <v>6.3140000000000002E-2</v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43.187500000000007</v>
      </c>
      <c r="BN438" s="64">
        <f>IFERROR(Y438*I438/H438,"0")</f>
        <v>48.370000000000005</v>
      </c>
      <c r="BO438" s="64">
        <f>IFERROR(1/J438*(X438/H438),"0")</f>
        <v>4.7348484848484848E-2</v>
      </c>
      <c r="BP438" s="64">
        <f>IFERROR(1/J438*(Y438/H438),"0")</f>
        <v>5.3030303030303039E-2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6.25</v>
      </c>
      <c r="Y439" s="545">
        <f>IFERROR(Y436/H436,"0")+IFERROR(Y437/H437,"0")+IFERROR(Y438/H438,"0")</f>
        <v>7.0000000000000009</v>
      </c>
      <c r="Z439" s="545">
        <f>IFERROR(IF(Z436="",0,Z436),"0")+IFERROR(IF(Z437="",0,Z437),"0")+IFERROR(IF(Z438="",0,Z438),"0")</f>
        <v>6.3140000000000002E-2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30</v>
      </c>
      <c r="Y440" s="545">
        <f>IFERROR(SUM(Y436:Y438),"0")</f>
        <v>33.6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99</v>
      </c>
      <c r="Y442" s="544">
        <f t="shared" ref="Y442:Y447" si="48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105.5625</v>
      </c>
      <c r="BN442" s="64">
        <f t="shared" ref="BN442:BN447" si="50">IFERROR(Y442*I442/H442,"0")</f>
        <v>106.97</v>
      </c>
      <c r="BO442" s="64">
        <f t="shared" ref="BO442:BO447" si="51">IFERROR(1/J442*(X442/H442),"0")</f>
        <v>0.18028846153846154</v>
      </c>
      <c r="BP442" s="64">
        <f t="shared" ref="BP442:BP447" si="52">IFERROR(1/J442*(Y442/H442),"0")</f>
        <v>0.18269230769230771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61</v>
      </c>
      <c r="Y443" s="544">
        <f t="shared" si="48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65.043560606060609</v>
      </c>
      <c r="BN443" s="64">
        <f t="shared" si="50"/>
        <v>67.559999999999988</v>
      </c>
      <c r="BO443" s="64">
        <f t="shared" si="51"/>
        <v>0.11108682983682984</v>
      </c>
      <c r="BP443" s="64">
        <f t="shared" si="52"/>
        <v>0.11538461538461539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0</v>
      </c>
      <c r="Y444" s="544">
        <f t="shared" si="48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30.303030303030305</v>
      </c>
      <c r="Y448" s="545">
        <f>IFERROR(Y442/H442,"0")+IFERROR(Y443/H443,"0")+IFERROR(Y444/H444,"0")+IFERROR(Y445/H445,"0")+IFERROR(Y446/H446,"0")+IFERROR(Y447/H447,"0")</f>
        <v>31</v>
      </c>
      <c r="Z448" s="545">
        <f>IFERROR(IF(Z442="",0,Z442),"0")+IFERROR(IF(Z443="",0,Z443),"0")+IFERROR(IF(Z444="",0,Z444),"0")+IFERROR(IF(Z445="",0,Z445),"0")+IFERROR(IF(Z446="",0,Z446),"0")+IFERROR(IF(Z447="",0,Z447),"0")</f>
        <v>0.37075999999999998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160</v>
      </c>
      <c r="Y449" s="545">
        <f>IFERROR(SUM(Y442:Y447),"0")</f>
        <v>163.68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116</v>
      </c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116</v>
      </c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/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5971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6084.2400000000016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6317.4803173003465</v>
      </c>
      <c r="Y491" s="545">
        <f>IFERROR(SUM(BN22:BN487),"0")</f>
        <v>6438.3860000000004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11</v>
      </c>
      <c r="Y492" s="38">
        <f>ROUNDUP(SUM(BP22:BP487),0)</f>
        <v>11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6592.4803173003465</v>
      </c>
      <c r="Y493" s="545">
        <f>GrossWeightTotalR+PalletQtyTotalR*25</f>
        <v>6713.3860000000004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1273.0925253395837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1293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12.606510000000002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193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194.4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582.6</v>
      </c>
      <c r="E500" s="46">
        <f>IFERROR(Y86*1,"0")+IFERROR(Y87*1,"0")+IFERROR(Y88*1,"0")+IFERROR(Y92*1,"0")+IFERROR(Y93*1,"0")+IFERROR(Y94*1,"0")+IFERROR(Y95*1,"0")</f>
        <v>313.20000000000005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741.60000000000014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527.40000000000009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1423.2000000000003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458.20000000000005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1116</v>
      </c>
      <c r="T500" s="46">
        <f>IFERROR(Y367*1,"0")+IFERROR(Y368*1,"0")+IFERROR(Y372*1,"0")+IFERROR(Y373*1,"0")+IFERROR(Y377*1,"0")+IFERROR(Y378*1,"0")+IFERROR(Y379*1,"0")</f>
        <v>405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311.04000000000002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vu44utB/c0ZK3V1uawO1c4EBiuaaug3YpjG48bDYkcyinNE6+tFMOMjD/EOp30aQcd5rdja3OfXznNTo+xJX/A==" saltValue="sH2c8xERg+YHSR0A5KkhS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3,09"/>
        <filter val="1,11"/>
        <filter val="1,25"/>
        <filter val="1,50"/>
        <filter val="104,00"/>
        <filter val="107,00"/>
        <filter val="11"/>
        <filter val="11,00"/>
        <filter val="11,37"/>
        <filter val="111,00"/>
        <filter val="114,00"/>
        <filter val="122,00"/>
        <filter val="126,00"/>
        <filter val="130,00"/>
        <filter val="149,00"/>
        <filter val="15,37"/>
        <filter val="150,00"/>
        <filter val="151,00"/>
        <filter val="155,00"/>
        <filter val="160,00"/>
        <filter val="161,00"/>
        <filter val="166,00"/>
        <filter val="17,59"/>
        <filter val="177,00"/>
        <filter val="181,00"/>
        <filter val="190,00"/>
        <filter val="2,00"/>
        <filter val="20,70"/>
        <filter val="212,62"/>
        <filter val="213,52"/>
        <filter val="23,00"/>
        <filter val="232,00"/>
        <filter val="234,00"/>
        <filter val="241,00"/>
        <filter val="247,00"/>
        <filter val="262,08"/>
        <filter val="28,89"/>
        <filter val="29,00"/>
        <filter val="3,00"/>
        <filter val="30,00"/>
        <filter val="30,30"/>
        <filter val="31,20"/>
        <filter val="312,00"/>
        <filter val="32,78"/>
        <filter val="345,00"/>
        <filter val="35,87"/>
        <filter val="353,00"/>
        <filter val="364,00"/>
        <filter val="39,00"/>
        <filter val="404,00"/>
        <filter val="43,33"/>
        <filter val="43,64"/>
        <filter val="44,89"/>
        <filter val="45,00"/>
        <filter val="468,00"/>
        <filter val="48,00"/>
        <filter val="49,00"/>
        <filter val="490,00"/>
        <filter val="5 971,00"/>
        <filter val="5,00"/>
        <filter val="50,00"/>
        <filter val="523,00"/>
        <filter val="538,00"/>
        <filter val="55,00"/>
        <filter val="57,00"/>
        <filter val="59,00"/>
        <filter val="6 317,48"/>
        <filter val="6 592,48"/>
        <filter val="6,25"/>
        <filter val="61,00"/>
        <filter val="61,70"/>
        <filter val="629,00"/>
        <filter val="677,00"/>
        <filter val="68,00"/>
        <filter val="68,41"/>
        <filter val="7,00"/>
        <filter val="70,60"/>
        <filter val="71,00"/>
        <filter val="76,00"/>
        <filter val="78,00"/>
        <filter val="79,00"/>
        <filter val="8,78"/>
        <filter val="9,33"/>
        <filter val="92,00"/>
        <filter val="94,00"/>
        <filter val="97,00"/>
        <filter val="98,00"/>
        <filter val="99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8 X92 X100 X102 X107 X109 X113 X115 X162 X164:X165 X168:X169 X192 X196:X197 X199:X201 X203 X209:X210 X212:X215 X220 X225 X273:X274 X314:X316 X323 X334 X342:X344 X352 X377:X378 X421 X424:X425 X427 X436 X438 X442:X444 X472:X47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jele0cGXIo3G4fmY54mHtHon+dTcOW+PTp/Gu0afWVU25GVHOz6+Y+8r4ZLKQ0S9COOclolGfzrH9GQpgRF20Q==" saltValue="OSUDItT18Rd8VELVVrRu2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