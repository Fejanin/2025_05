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1DE8E7-D6DA-4ACD-AB47-0A47C916DD2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Y469" i="1" s="1"/>
  <c r="P466" i="1"/>
  <c r="X464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X417" i="1"/>
  <c r="BO416" i="1"/>
  <c r="BM416" i="1"/>
  <c r="Y416" i="1"/>
  <c r="Y417" i="1" s="1"/>
  <c r="P416" i="1"/>
  <c r="X413" i="1"/>
  <c r="X412" i="1"/>
  <c r="BO411" i="1"/>
  <c r="BM411" i="1"/>
  <c r="Y411" i="1"/>
  <c r="BP411" i="1" s="1"/>
  <c r="P411" i="1"/>
  <c r="BO410" i="1"/>
  <c r="BM410" i="1"/>
  <c r="Y410" i="1"/>
  <c r="BP410" i="1" s="1"/>
  <c r="P410" i="1"/>
  <c r="BO409" i="1"/>
  <c r="BM409" i="1"/>
  <c r="Y409" i="1"/>
  <c r="BP409" i="1" s="1"/>
  <c r="P409" i="1"/>
  <c r="BO408" i="1"/>
  <c r="BM408" i="1"/>
  <c r="Y408" i="1"/>
  <c r="Y413" i="1" s="1"/>
  <c r="P408" i="1"/>
  <c r="X406" i="1"/>
  <c r="X405" i="1"/>
  <c r="BO404" i="1"/>
  <c r="BM404" i="1"/>
  <c r="Y404" i="1"/>
  <c r="V500" i="1" s="1"/>
  <c r="P404" i="1"/>
  <c r="X401" i="1"/>
  <c r="X400" i="1"/>
  <c r="BO399" i="1"/>
  <c r="BM399" i="1"/>
  <c r="Y399" i="1"/>
  <c r="BP399" i="1" s="1"/>
  <c r="P399" i="1"/>
  <c r="BO398" i="1"/>
  <c r="BM398" i="1"/>
  <c r="Y398" i="1"/>
  <c r="P398" i="1"/>
  <c r="X396" i="1"/>
  <c r="X395" i="1"/>
  <c r="BO394" i="1"/>
  <c r="BM394" i="1"/>
  <c r="Y394" i="1"/>
  <c r="BP394" i="1" s="1"/>
  <c r="P394" i="1"/>
  <c r="BO393" i="1"/>
  <c r="BM393" i="1"/>
  <c r="Y393" i="1"/>
  <c r="BP393" i="1" s="1"/>
  <c r="P393" i="1"/>
  <c r="BO392" i="1"/>
  <c r="BM392" i="1"/>
  <c r="Y392" i="1"/>
  <c r="BP392" i="1" s="1"/>
  <c r="P392" i="1"/>
  <c r="BO391" i="1"/>
  <c r="BM391" i="1"/>
  <c r="Y391" i="1"/>
  <c r="BP391" i="1" s="1"/>
  <c r="P391" i="1"/>
  <c r="BO390" i="1"/>
  <c r="BM390" i="1"/>
  <c r="Y390" i="1"/>
  <c r="BP390" i="1" s="1"/>
  <c r="P390" i="1"/>
  <c r="BO389" i="1"/>
  <c r="BM389" i="1"/>
  <c r="Y389" i="1"/>
  <c r="BP389" i="1" s="1"/>
  <c r="P389" i="1"/>
  <c r="BO388" i="1"/>
  <c r="BM388" i="1"/>
  <c r="Y388" i="1"/>
  <c r="BP388" i="1" s="1"/>
  <c r="P388" i="1"/>
  <c r="BO387" i="1"/>
  <c r="BM387" i="1"/>
  <c r="Y387" i="1"/>
  <c r="BP387" i="1" s="1"/>
  <c r="P387" i="1"/>
  <c r="BO386" i="1"/>
  <c r="BM386" i="1"/>
  <c r="Y386" i="1"/>
  <c r="U500" i="1" s="1"/>
  <c r="P386" i="1"/>
  <c r="X382" i="1"/>
  <c r="X381" i="1"/>
  <c r="BO380" i="1"/>
  <c r="BM380" i="1"/>
  <c r="Y380" i="1"/>
  <c r="BP380" i="1" s="1"/>
  <c r="BO379" i="1"/>
  <c r="BM379" i="1"/>
  <c r="Y379" i="1"/>
  <c r="BP379" i="1" s="1"/>
  <c r="P379" i="1"/>
  <c r="BO378" i="1"/>
  <c r="BM378" i="1"/>
  <c r="Y378" i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Y375" i="1" s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Y325" i="1" s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Y313" i="1" s="1"/>
  <c r="P309" i="1"/>
  <c r="BP308" i="1"/>
  <c r="BO308" i="1"/>
  <c r="BN308" i="1"/>
  <c r="BM308" i="1"/>
  <c r="Z308" i="1"/>
  <c r="Y308" i="1"/>
  <c r="P308" i="1"/>
  <c r="X306" i="1"/>
  <c r="X305" i="1"/>
  <c r="BO304" i="1"/>
  <c r="BM304" i="1"/>
  <c r="Y304" i="1"/>
  <c r="P304" i="1"/>
  <c r="BO303" i="1"/>
  <c r="BM303" i="1"/>
  <c r="Y303" i="1"/>
  <c r="BP303" i="1" s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O500" i="1" s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Y215" i="1" s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N114" i="1"/>
  <c r="BM114" i="1"/>
  <c r="Z114" i="1"/>
  <c r="Y114" i="1"/>
  <c r="BP114" i="1" s="1"/>
  <c r="P114" i="1"/>
  <c r="BO113" i="1"/>
  <c r="BM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BO91" i="1"/>
  <c r="BM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Y77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BP27" i="1" l="1"/>
  <c r="BN27" i="1"/>
  <c r="Z27" i="1"/>
  <c r="BP66" i="1"/>
  <c r="BN66" i="1"/>
  <c r="Z66" i="1"/>
  <c r="BP93" i="1"/>
  <c r="BN93" i="1"/>
  <c r="Z93" i="1"/>
  <c r="BP135" i="1"/>
  <c r="BN135" i="1"/>
  <c r="Z135" i="1"/>
  <c r="BP165" i="1"/>
  <c r="BN165" i="1"/>
  <c r="Z165" i="1"/>
  <c r="BP200" i="1"/>
  <c r="BN200" i="1"/>
  <c r="Z200" i="1"/>
  <c r="BP225" i="1"/>
  <c r="BN225" i="1"/>
  <c r="Z225" i="1"/>
  <c r="BP254" i="1"/>
  <c r="BN254" i="1"/>
  <c r="Z254" i="1"/>
  <c r="BP292" i="1"/>
  <c r="BN292" i="1"/>
  <c r="Z292" i="1"/>
  <c r="BP316" i="1"/>
  <c r="BN316" i="1"/>
  <c r="Z316" i="1"/>
  <c r="BP345" i="1"/>
  <c r="BN345" i="1"/>
  <c r="Z345" i="1"/>
  <c r="BP426" i="1"/>
  <c r="BN426" i="1"/>
  <c r="Z426" i="1"/>
  <c r="BP452" i="1"/>
  <c r="BN452" i="1"/>
  <c r="Z452" i="1"/>
  <c r="X491" i="1"/>
  <c r="D500" i="1"/>
  <c r="BP54" i="1"/>
  <c r="BN54" i="1"/>
  <c r="Z54" i="1"/>
  <c r="BP80" i="1"/>
  <c r="BN80" i="1"/>
  <c r="Z80" i="1"/>
  <c r="BP108" i="1"/>
  <c r="BN108" i="1"/>
  <c r="Z108" i="1"/>
  <c r="I500" i="1"/>
  <c r="Y172" i="1"/>
  <c r="BP164" i="1"/>
  <c r="BN164" i="1"/>
  <c r="Z164" i="1"/>
  <c r="BP186" i="1"/>
  <c r="BN186" i="1"/>
  <c r="Z186" i="1"/>
  <c r="BP210" i="1"/>
  <c r="BN210" i="1"/>
  <c r="Z210" i="1"/>
  <c r="BP233" i="1"/>
  <c r="BN233" i="1"/>
  <c r="Z233" i="1"/>
  <c r="BP265" i="1"/>
  <c r="BN265" i="1"/>
  <c r="Z265" i="1"/>
  <c r="BP302" i="1"/>
  <c r="BN302" i="1"/>
  <c r="Z302" i="1"/>
  <c r="BP330" i="1"/>
  <c r="BN330" i="1"/>
  <c r="Z330" i="1"/>
  <c r="BP359" i="1"/>
  <c r="BN359" i="1"/>
  <c r="Z359" i="1"/>
  <c r="BP436" i="1"/>
  <c r="BN436" i="1"/>
  <c r="Z436" i="1"/>
  <c r="BP468" i="1"/>
  <c r="BN468" i="1"/>
  <c r="Z468" i="1"/>
  <c r="BP472" i="1"/>
  <c r="BN472" i="1"/>
  <c r="Z472" i="1"/>
  <c r="X494" i="1"/>
  <c r="Y69" i="1"/>
  <c r="F500" i="1"/>
  <c r="Y131" i="1"/>
  <c r="BP129" i="1"/>
  <c r="BN129" i="1"/>
  <c r="Z129" i="1"/>
  <c r="BP162" i="1"/>
  <c r="BN162" i="1"/>
  <c r="Z162" i="1"/>
  <c r="BP175" i="1"/>
  <c r="BN175" i="1"/>
  <c r="Z175" i="1"/>
  <c r="BP198" i="1"/>
  <c r="BN198" i="1"/>
  <c r="Z198" i="1"/>
  <c r="BP208" i="1"/>
  <c r="BN208" i="1"/>
  <c r="Z208" i="1"/>
  <c r="Y220" i="1"/>
  <c r="BP218" i="1"/>
  <c r="BN218" i="1"/>
  <c r="Z218" i="1"/>
  <c r="BP231" i="1"/>
  <c r="BN231" i="1"/>
  <c r="Z231" i="1"/>
  <c r="BP249" i="1"/>
  <c r="BN249" i="1"/>
  <c r="Z249" i="1"/>
  <c r="BP263" i="1"/>
  <c r="BN263" i="1"/>
  <c r="Z263" i="1"/>
  <c r="Y285" i="1"/>
  <c r="BP283" i="1"/>
  <c r="BN283" i="1"/>
  <c r="Z283" i="1"/>
  <c r="B500" i="1"/>
  <c r="X492" i="1"/>
  <c r="Y32" i="1"/>
  <c r="Z29" i="1"/>
  <c r="BN29" i="1"/>
  <c r="C500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Y88" i="1"/>
  <c r="Z91" i="1"/>
  <c r="BN91" i="1"/>
  <c r="BP91" i="1"/>
  <c r="Y96" i="1"/>
  <c r="Z100" i="1"/>
  <c r="BN100" i="1"/>
  <c r="Z106" i="1"/>
  <c r="BN106" i="1"/>
  <c r="BP106" i="1"/>
  <c r="Y109" i="1"/>
  <c r="Z112" i="1"/>
  <c r="BN112" i="1"/>
  <c r="BP112" i="1"/>
  <c r="Y117" i="1"/>
  <c r="BP140" i="1"/>
  <c r="BN140" i="1"/>
  <c r="Z140" i="1"/>
  <c r="BP167" i="1"/>
  <c r="BN167" i="1"/>
  <c r="Z167" i="1"/>
  <c r="Y192" i="1"/>
  <c r="BP190" i="1"/>
  <c r="BN190" i="1"/>
  <c r="Z190" i="1"/>
  <c r="BP202" i="1"/>
  <c r="BN202" i="1"/>
  <c r="Z202" i="1"/>
  <c r="BP212" i="1"/>
  <c r="BN212" i="1"/>
  <c r="Z212" i="1"/>
  <c r="BP227" i="1"/>
  <c r="BN227" i="1"/>
  <c r="Z227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56" i="1"/>
  <c r="BN256" i="1"/>
  <c r="Z256" i="1"/>
  <c r="BP272" i="1"/>
  <c r="BN272" i="1"/>
  <c r="Z272" i="1"/>
  <c r="BP294" i="1"/>
  <c r="BN294" i="1"/>
  <c r="Z294" i="1"/>
  <c r="BP304" i="1"/>
  <c r="BN304" i="1"/>
  <c r="Z304" i="1"/>
  <c r="BP322" i="1"/>
  <c r="BN322" i="1"/>
  <c r="Z322" i="1"/>
  <c r="BP335" i="1"/>
  <c r="BN335" i="1"/>
  <c r="Z335" i="1"/>
  <c r="BP347" i="1"/>
  <c r="BN347" i="1"/>
  <c r="Z347" i="1"/>
  <c r="Y365" i="1"/>
  <c r="Y364" i="1"/>
  <c r="BP363" i="1"/>
  <c r="BN363" i="1"/>
  <c r="Z363" i="1"/>
  <c r="Z364" i="1" s="1"/>
  <c r="BP368" i="1"/>
  <c r="BN368" i="1"/>
  <c r="Z368" i="1"/>
  <c r="Y400" i="1"/>
  <c r="BP398" i="1"/>
  <c r="BN398" i="1"/>
  <c r="Z398" i="1"/>
  <c r="BP428" i="1"/>
  <c r="BN428" i="1"/>
  <c r="Z428" i="1"/>
  <c r="BP438" i="1"/>
  <c r="BN438" i="1"/>
  <c r="Z438" i="1"/>
  <c r="BP442" i="1"/>
  <c r="BN442" i="1"/>
  <c r="Z442" i="1"/>
  <c r="BP460" i="1"/>
  <c r="BN460" i="1"/>
  <c r="Z460" i="1"/>
  <c r="BP482" i="1"/>
  <c r="BN482" i="1"/>
  <c r="Z482" i="1"/>
  <c r="G500" i="1"/>
  <c r="Y132" i="1"/>
  <c r="Y143" i="1"/>
  <c r="Y149" i="1"/>
  <c r="J500" i="1"/>
  <c r="Y193" i="1"/>
  <c r="Y203" i="1"/>
  <c r="Y216" i="1"/>
  <c r="Y221" i="1"/>
  <c r="K500" i="1"/>
  <c r="Y250" i="1"/>
  <c r="P500" i="1"/>
  <c r="Y286" i="1"/>
  <c r="Q500" i="1"/>
  <c r="BP290" i="1"/>
  <c r="BN290" i="1"/>
  <c r="Z290" i="1"/>
  <c r="BP300" i="1"/>
  <c r="BN300" i="1"/>
  <c r="Z300" i="1"/>
  <c r="BP310" i="1"/>
  <c r="BN310" i="1"/>
  <c r="Z310" i="1"/>
  <c r="Y332" i="1"/>
  <c r="BP328" i="1"/>
  <c r="BN328" i="1"/>
  <c r="Z328" i="1"/>
  <c r="BP343" i="1"/>
  <c r="BN343" i="1"/>
  <c r="Z343" i="1"/>
  <c r="Y355" i="1"/>
  <c r="BP353" i="1"/>
  <c r="BN353" i="1"/>
  <c r="Z353" i="1"/>
  <c r="Y382" i="1"/>
  <c r="BP378" i="1"/>
  <c r="BN378" i="1"/>
  <c r="Z378" i="1"/>
  <c r="Y433" i="1"/>
  <c r="BP424" i="1"/>
  <c r="BN424" i="1"/>
  <c r="Z424" i="1"/>
  <c r="BP432" i="1"/>
  <c r="BN432" i="1"/>
  <c r="Z432" i="1"/>
  <c r="BP446" i="1"/>
  <c r="BN446" i="1"/>
  <c r="Z446" i="1"/>
  <c r="Y470" i="1"/>
  <c r="BP466" i="1"/>
  <c r="BN466" i="1"/>
  <c r="Z466" i="1"/>
  <c r="Y305" i="1"/>
  <c r="Y312" i="1"/>
  <c r="Y319" i="1"/>
  <c r="Y331" i="1"/>
  <c r="Y338" i="1"/>
  <c r="Y356" i="1"/>
  <c r="Y371" i="1"/>
  <c r="X500" i="1"/>
  <c r="Y440" i="1"/>
  <c r="Y439" i="1"/>
  <c r="Y455" i="1"/>
  <c r="Y474" i="1"/>
  <c r="F9" i="1"/>
  <c r="J9" i="1"/>
  <c r="F10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BN61" i="1"/>
  <c r="BP61" i="1"/>
  <c r="Z67" i="1"/>
  <c r="BN67" i="1"/>
  <c r="BP67" i="1"/>
  <c r="Z73" i="1"/>
  <c r="BN73" i="1"/>
  <c r="BP73" i="1"/>
  <c r="Z75" i="1"/>
  <c r="BN75" i="1"/>
  <c r="Z79" i="1"/>
  <c r="Z81" i="1" s="1"/>
  <c r="BN79" i="1"/>
  <c r="BP79" i="1"/>
  <c r="Y82" i="1"/>
  <c r="E500" i="1"/>
  <c r="Z86" i="1"/>
  <c r="BN86" i="1"/>
  <c r="BP86" i="1"/>
  <c r="Y89" i="1"/>
  <c r="Z92" i="1"/>
  <c r="BN92" i="1"/>
  <c r="BP92" i="1"/>
  <c r="Z94" i="1"/>
  <c r="BN94" i="1"/>
  <c r="Z99" i="1"/>
  <c r="BN99" i="1"/>
  <c r="BP99" i="1"/>
  <c r="Z101" i="1"/>
  <c r="BN101" i="1"/>
  <c r="Y104" i="1"/>
  <c r="Z107" i="1"/>
  <c r="BN107" i="1"/>
  <c r="BP107" i="1"/>
  <c r="Z113" i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BN130" i="1"/>
  <c r="BP130" i="1"/>
  <c r="Z134" i="1"/>
  <c r="Z136" i="1" s="1"/>
  <c r="BN134" i="1"/>
  <c r="BP134" i="1"/>
  <c r="Y137" i="1"/>
  <c r="H500" i="1"/>
  <c r="Z141" i="1"/>
  <c r="BN141" i="1"/>
  <c r="BP141" i="1"/>
  <c r="Y142" i="1"/>
  <c r="Z145" i="1"/>
  <c r="BN145" i="1"/>
  <c r="BP145" i="1"/>
  <c r="Z147" i="1"/>
  <c r="BN147" i="1"/>
  <c r="Y148" i="1"/>
  <c r="Z151" i="1"/>
  <c r="Z152" i="1" s="1"/>
  <c r="BN151" i="1"/>
  <c r="BP151" i="1"/>
  <c r="Y152" i="1"/>
  <c r="Z157" i="1"/>
  <c r="Z158" i="1" s="1"/>
  <c r="BN157" i="1"/>
  <c r="BP157" i="1"/>
  <c r="Y158" i="1"/>
  <c r="Z161" i="1"/>
  <c r="BN161" i="1"/>
  <c r="BP161" i="1"/>
  <c r="Z163" i="1"/>
  <c r="BN163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Z180" i="1"/>
  <c r="Z181" i="1" s="1"/>
  <c r="BN180" i="1"/>
  <c r="BP180" i="1"/>
  <c r="Y181" i="1"/>
  <c r="Z185" i="1"/>
  <c r="BN185" i="1"/>
  <c r="BP185" i="1"/>
  <c r="Y188" i="1"/>
  <c r="Z191" i="1"/>
  <c r="Z192" i="1" s="1"/>
  <c r="BN191" i="1"/>
  <c r="BP191" i="1"/>
  <c r="Z195" i="1"/>
  <c r="BN195" i="1"/>
  <c r="BP195" i="1"/>
  <c r="Z197" i="1"/>
  <c r="BN197" i="1"/>
  <c r="Z199" i="1"/>
  <c r="BN199" i="1"/>
  <c r="Z201" i="1"/>
  <c r="BN201" i="1"/>
  <c r="Y204" i="1"/>
  <c r="Z207" i="1"/>
  <c r="BN207" i="1"/>
  <c r="BP207" i="1"/>
  <c r="Z209" i="1"/>
  <c r="BN209" i="1"/>
  <c r="Z211" i="1"/>
  <c r="BN211" i="1"/>
  <c r="Z213" i="1"/>
  <c r="BN213" i="1"/>
  <c r="Z219" i="1"/>
  <c r="BN219" i="1"/>
  <c r="BP219" i="1"/>
  <c r="Z224" i="1"/>
  <c r="BN224" i="1"/>
  <c r="BP224" i="1"/>
  <c r="Z226" i="1"/>
  <c r="BN226" i="1"/>
  <c r="Z228" i="1"/>
  <c r="BN228" i="1"/>
  <c r="Z230" i="1"/>
  <c r="BN230" i="1"/>
  <c r="Z232" i="1"/>
  <c r="BN232" i="1"/>
  <c r="Y235" i="1"/>
  <c r="Y251" i="1"/>
  <c r="Z246" i="1"/>
  <c r="BN246" i="1"/>
  <c r="BP246" i="1"/>
  <c r="Z248" i="1"/>
  <c r="BN248" i="1"/>
  <c r="BP255" i="1"/>
  <c r="BN255" i="1"/>
  <c r="Z255" i="1"/>
  <c r="Y259" i="1"/>
  <c r="Y268" i="1"/>
  <c r="BP264" i="1"/>
  <c r="BN264" i="1"/>
  <c r="Z264" i="1"/>
  <c r="H9" i="1"/>
  <c r="Y24" i="1"/>
  <c r="Y44" i="1"/>
  <c r="Y57" i="1"/>
  <c r="Y103" i="1"/>
  <c r="Y126" i="1"/>
  <c r="Y159" i="1"/>
  <c r="Y187" i="1"/>
  <c r="Y234" i="1"/>
  <c r="BP257" i="1"/>
  <c r="BN257" i="1"/>
  <c r="Z257" i="1"/>
  <c r="L500" i="1"/>
  <c r="Y260" i="1"/>
  <c r="M500" i="1"/>
  <c r="Z266" i="1"/>
  <c r="BN266" i="1"/>
  <c r="Y267" i="1"/>
  <c r="Z271" i="1"/>
  <c r="BN271" i="1"/>
  <c r="BP271" i="1"/>
  <c r="Z273" i="1"/>
  <c r="BN273" i="1"/>
  <c r="Y274" i="1"/>
  <c r="Z278" i="1"/>
  <c r="Z280" i="1" s="1"/>
  <c r="BN278" i="1"/>
  <c r="BP278" i="1"/>
  <c r="Y281" i="1"/>
  <c r="Z284" i="1"/>
  <c r="BN284" i="1"/>
  <c r="BP284" i="1"/>
  <c r="Z289" i="1"/>
  <c r="BN289" i="1"/>
  <c r="BP289" i="1"/>
  <c r="Z291" i="1"/>
  <c r="BN291" i="1"/>
  <c r="Z293" i="1"/>
  <c r="BN293" i="1"/>
  <c r="Y296" i="1"/>
  <c r="Z299" i="1"/>
  <c r="BN299" i="1"/>
  <c r="Z301" i="1"/>
  <c r="BN301" i="1"/>
  <c r="Z303" i="1"/>
  <c r="BN303" i="1"/>
  <c r="Y306" i="1"/>
  <c r="Z309" i="1"/>
  <c r="BN309" i="1"/>
  <c r="BP309" i="1"/>
  <c r="Z311" i="1"/>
  <c r="BN311" i="1"/>
  <c r="Z315" i="1"/>
  <c r="BN315" i="1"/>
  <c r="BP315" i="1"/>
  <c r="Z317" i="1"/>
  <c r="BN317" i="1"/>
  <c r="Y318" i="1"/>
  <c r="Z321" i="1"/>
  <c r="BN321" i="1"/>
  <c r="BP321" i="1"/>
  <c r="Z323" i="1"/>
  <c r="BN323" i="1"/>
  <c r="Y326" i="1"/>
  <c r="Z329" i="1"/>
  <c r="BN329" i="1"/>
  <c r="BP329" i="1"/>
  <c r="R500" i="1"/>
  <c r="Z336" i="1"/>
  <c r="Z338" i="1" s="1"/>
  <c r="BN336" i="1"/>
  <c r="BP336" i="1"/>
  <c r="Y339" i="1"/>
  <c r="S500" i="1"/>
  <c r="Z344" i="1"/>
  <c r="BN344" i="1"/>
  <c r="Z346" i="1"/>
  <c r="BN346" i="1"/>
  <c r="Z348" i="1"/>
  <c r="BN348" i="1"/>
  <c r="Y351" i="1"/>
  <c r="Z354" i="1"/>
  <c r="Z355" i="1" s="1"/>
  <c r="BN354" i="1"/>
  <c r="BP354" i="1"/>
  <c r="Z358" i="1"/>
  <c r="Z360" i="1" s="1"/>
  <c r="BN358" i="1"/>
  <c r="BP358" i="1"/>
  <c r="Y361" i="1"/>
  <c r="T500" i="1"/>
  <c r="Z369" i="1"/>
  <c r="BN369" i="1"/>
  <c r="BP369" i="1"/>
  <c r="Y370" i="1"/>
  <c r="Z373" i="1"/>
  <c r="Z375" i="1" s="1"/>
  <c r="BN373" i="1"/>
  <c r="BP373" i="1"/>
  <c r="Y376" i="1"/>
  <c r="Z379" i="1"/>
  <c r="BN379" i="1"/>
  <c r="Z380" i="1"/>
  <c r="BN380" i="1"/>
  <c r="Y381" i="1"/>
  <c r="Z386" i="1"/>
  <c r="BN386" i="1"/>
  <c r="BP386" i="1"/>
  <c r="Z388" i="1"/>
  <c r="BN388" i="1"/>
  <c r="Z390" i="1"/>
  <c r="BN390" i="1"/>
  <c r="Z392" i="1"/>
  <c r="BN392" i="1"/>
  <c r="Z394" i="1"/>
  <c r="BN394" i="1"/>
  <c r="Y395" i="1"/>
  <c r="Y401" i="1"/>
  <c r="Y406" i="1"/>
  <c r="Z409" i="1"/>
  <c r="BN409" i="1"/>
  <c r="Z411" i="1"/>
  <c r="BN411" i="1"/>
  <c r="Y412" i="1"/>
  <c r="Z416" i="1"/>
  <c r="Z417" i="1" s="1"/>
  <c r="BN416" i="1"/>
  <c r="BP416" i="1"/>
  <c r="BP425" i="1"/>
  <c r="BN425" i="1"/>
  <c r="Z425" i="1"/>
  <c r="BP429" i="1"/>
  <c r="BN429" i="1"/>
  <c r="Z429" i="1"/>
  <c r="BP437" i="1"/>
  <c r="BN437" i="1"/>
  <c r="Z437" i="1"/>
  <c r="Z439" i="1" s="1"/>
  <c r="Y448" i="1"/>
  <c r="BP445" i="1"/>
  <c r="BN445" i="1"/>
  <c r="Z445" i="1"/>
  <c r="BP453" i="1"/>
  <c r="BN453" i="1"/>
  <c r="Z453" i="1"/>
  <c r="Y500" i="1"/>
  <c r="Y464" i="1"/>
  <c r="BP459" i="1"/>
  <c r="BN459" i="1"/>
  <c r="Z459" i="1"/>
  <c r="Y463" i="1"/>
  <c r="BP467" i="1"/>
  <c r="BN467" i="1"/>
  <c r="Z467" i="1"/>
  <c r="Y275" i="1"/>
  <c r="Y280" i="1"/>
  <c r="Y295" i="1"/>
  <c r="Y350" i="1"/>
  <c r="Z387" i="1"/>
  <c r="BN387" i="1"/>
  <c r="Z389" i="1"/>
  <c r="BN389" i="1"/>
  <c r="Z391" i="1"/>
  <c r="BN391" i="1"/>
  <c r="Z393" i="1"/>
  <c r="BN393" i="1"/>
  <c r="Y396" i="1"/>
  <c r="Z399" i="1"/>
  <c r="Z400" i="1" s="1"/>
  <c r="BN399" i="1"/>
  <c r="Z404" i="1"/>
  <c r="Z405" i="1" s="1"/>
  <c r="BN404" i="1"/>
  <c r="BP404" i="1"/>
  <c r="Y405" i="1"/>
  <c r="Z408" i="1"/>
  <c r="BN408" i="1"/>
  <c r="BP408" i="1"/>
  <c r="Z410" i="1"/>
  <c r="BN410" i="1"/>
  <c r="W500" i="1"/>
  <c r="Y418" i="1"/>
  <c r="BP423" i="1"/>
  <c r="BN423" i="1"/>
  <c r="Z423" i="1"/>
  <c r="BP427" i="1"/>
  <c r="BN427" i="1"/>
  <c r="Z427" i="1"/>
  <c r="Z433" i="1" s="1"/>
  <c r="BP431" i="1"/>
  <c r="BN431" i="1"/>
  <c r="Z431" i="1"/>
  <c r="BP443" i="1"/>
  <c r="BN443" i="1"/>
  <c r="Z443" i="1"/>
  <c r="Z448" i="1" s="1"/>
  <c r="BP447" i="1"/>
  <c r="BN447" i="1"/>
  <c r="Z447" i="1"/>
  <c r="Y449" i="1"/>
  <c r="Y454" i="1"/>
  <c r="BP451" i="1"/>
  <c r="BN451" i="1"/>
  <c r="Z451" i="1"/>
  <c r="Z454" i="1" s="1"/>
  <c r="BP461" i="1"/>
  <c r="BN461" i="1"/>
  <c r="Z461" i="1"/>
  <c r="BP473" i="1"/>
  <c r="BN473" i="1"/>
  <c r="Z473" i="1"/>
  <c r="Z474" i="1" s="1"/>
  <c r="Y475" i="1"/>
  <c r="Y478" i="1"/>
  <c r="BP477" i="1"/>
  <c r="BN477" i="1"/>
  <c r="Z477" i="1"/>
  <c r="Z478" i="1" s="1"/>
  <c r="Y479" i="1"/>
  <c r="Y484" i="1"/>
  <c r="BP481" i="1"/>
  <c r="BN481" i="1"/>
  <c r="Z481" i="1"/>
  <c r="Z483" i="1" s="1"/>
  <c r="Y434" i="1"/>
  <c r="Y489" i="1"/>
  <c r="Z487" i="1"/>
  <c r="Z488" i="1" s="1"/>
  <c r="BN487" i="1"/>
  <c r="BP487" i="1"/>
  <c r="Y488" i="1"/>
  <c r="Z370" i="1" l="1"/>
  <c r="Z331" i="1"/>
  <c r="Z325" i="1"/>
  <c r="Z318" i="1"/>
  <c r="Z295" i="1"/>
  <c r="Z250" i="1"/>
  <c r="Z220" i="1"/>
  <c r="Z187" i="1"/>
  <c r="Z177" i="1"/>
  <c r="Z171" i="1"/>
  <c r="Z148" i="1"/>
  <c r="Z142" i="1"/>
  <c r="Z131" i="1"/>
  <c r="Z109" i="1"/>
  <c r="Z103" i="1"/>
  <c r="Z69" i="1"/>
  <c r="Z469" i="1"/>
  <c r="X493" i="1"/>
  <c r="Z381" i="1"/>
  <c r="Z305" i="1"/>
  <c r="Z267" i="1"/>
  <c r="Z463" i="1"/>
  <c r="Z350" i="1"/>
  <c r="Z312" i="1"/>
  <c r="Z285" i="1"/>
  <c r="Z259" i="1"/>
  <c r="Z215" i="1"/>
  <c r="Z116" i="1"/>
  <c r="Z95" i="1"/>
  <c r="Z88" i="1"/>
  <c r="Z76" i="1"/>
  <c r="Z63" i="1"/>
  <c r="Z412" i="1"/>
  <c r="Z395" i="1"/>
  <c r="Z274" i="1"/>
  <c r="Z234" i="1"/>
  <c r="Z203" i="1"/>
  <c r="Z57" i="1"/>
  <c r="Z43" i="1"/>
  <c r="Z31" i="1"/>
  <c r="Z495" i="1" s="1"/>
  <c r="Y494" i="1"/>
  <c r="Y491" i="1"/>
  <c r="Y490" i="1"/>
  <c r="Y492" i="1"/>
  <c r="Y493" i="1" l="1"/>
</calcChain>
</file>

<file path=xl/sharedStrings.xml><?xml version="1.0" encoding="utf-8"?>
<sst xmlns="http://schemas.openxmlformats.org/spreadsheetml/2006/main" count="2344" uniqueCount="766">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</sst>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4" t="s">
        <v>0</v>
      </c>
      <c r="E1" s="579"/>
      <c r="F1" s="579"/>
      <c r="G1" s="12" t="s">
        <v>1</v>
      </c>
      <c r="H1" s="634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2" t="s">
        <v>8</v>
      </c>
      <c r="B5" s="651"/>
      <c r="C5" s="608"/>
      <c r="D5" s="635"/>
      <c r="E5" s="636"/>
      <c r="F5" s="826" t="s">
        <v>9</v>
      </c>
      <c r="G5" s="608"/>
      <c r="H5" s="635" t="s">
        <v>765</v>
      </c>
      <c r="I5" s="775"/>
      <c r="J5" s="775"/>
      <c r="K5" s="775"/>
      <c r="L5" s="775"/>
      <c r="M5" s="636"/>
      <c r="N5" s="58"/>
      <c r="P5" s="24" t="s">
        <v>10</v>
      </c>
      <c r="Q5" s="855">
        <v>45995</v>
      </c>
      <c r="R5" s="663"/>
      <c r="T5" s="865" t="s">
        <v>11</v>
      </c>
      <c r="U5" s="712"/>
      <c r="V5" s="864" t="s">
        <v>12</v>
      </c>
      <c r="W5" s="663"/>
      <c r="AB5" s="51"/>
      <c r="AC5" s="51"/>
      <c r="AD5" s="51"/>
      <c r="AE5" s="51"/>
    </row>
    <row r="6" spans="1:32" s="537" customFormat="1" ht="24" customHeight="1" x14ac:dyDescent="0.2">
      <c r="A6" s="672" t="s">
        <v>13</v>
      </c>
      <c r="B6" s="651"/>
      <c r="C6" s="608"/>
      <c r="D6" s="778" t="s">
        <v>14</v>
      </c>
      <c r="E6" s="779"/>
      <c r="F6" s="779"/>
      <c r="G6" s="779"/>
      <c r="H6" s="779"/>
      <c r="I6" s="779"/>
      <c r="J6" s="779"/>
      <c r="K6" s="779"/>
      <c r="L6" s="779"/>
      <c r="M6" s="663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2" t="s">
        <v>16</v>
      </c>
      <c r="U6" s="712"/>
      <c r="V6" s="759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12"/>
      <c r="V7" s="760"/>
      <c r="W7" s="761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1"/>
      <c r="C8" s="562"/>
      <c r="D8" s="625" t="s">
        <v>19</v>
      </c>
      <c r="E8" s="626"/>
      <c r="F8" s="626"/>
      <c r="G8" s="626"/>
      <c r="H8" s="626"/>
      <c r="I8" s="626"/>
      <c r="J8" s="626"/>
      <c r="K8" s="626"/>
      <c r="L8" s="626"/>
      <c r="M8" s="627"/>
      <c r="N8" s="61"/>
      <c r="P8" s="24" t="s">
        <v>20</v>
      </c>
      <c r="Q8" s="678">
        <v>0.41666666666666669</v>
      </c>
      <c r="R8" s="612"/>
      <c r="T8" s="557"/>
      <c r="U8" s="712"/>
      <c r="V8" s="760"/>
      <c r="W8" s="761"/>
      <c r="AB8" s="51"/>
      <c r="AC8" s="51"/>
      <c r="AD8" s="51"/>
      <c r="AE8" s="51"/>
    </row>
    <row r="9" spans="1:32" s="537" customFormat="1" ht="39.950000000000003" customHeight="1" x14ac:dyDescent="0.2">
      <c r="A9" s="66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67"/>
      <c r="E9" s="566"/>
      <c r="F9" s="66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5"/>
      <c r="P9" s="26" t="s">
        <v>21</v>
      </c>
      <c r="Q9" s="660"/>
      <c r="R9" s="661"/>
      <c r="T9" s="557"/>
      <c r="U9" s="712"/>
      <c r="V9" s="762"/>
      <c r="W9" s="763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6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67"/>
      <c r="E10" s="566"/>
      <c r="F10" s="66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48" t="str">
        <f>IFERROR(VLOOKUP($D$10,Proxy,2,FALSE),"")</f>
        <v/>
      </c>
      <c r="I10" s="557"/>
      <c r="J10" s="557"/>
      <c r="K10" s="557"/>
      <c r="L10" s="557"/>
      <c r="M10" s="557"/>
      <c r="N10" s="536"/>
      <c r="P10" s="26" t="s">
        <v>22</v>
      </c>
      <c r="Q10" s="723"/>
      <c r="R10" s="724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2"/>
      <c r="R11" s="663"/>
      <c r="U11" s="24" t="s">
        <v>27</v>
      </c>
      <c r="V11" s="792" t="s">
        <v>28</v>
      </c>
      <c r="W11" s="66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0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08"/>
      <c r="N12" s="62"/>
      <c r="P12" s="24" t="s">
        <v>30</v>
      </c>
      <c r="Q12" s="678"/>
      <c r="R12" s="612"/>
      <c r="S12" s="23"/>
      <c r="U12" s="24"/>
      <c r="V12" s="579"/>
      <c r="W12" s="557"/>
      <c r="AB12" s="51"/>
      <c r="AC12" s="51"/>
      <c r="AD12" s="51"/>
      <c r="AE12" s="51"/>
    </row>
    <row r="13" spans="1:32" s="537" customFormat="1" ht="23.25" customHeight="1" x14ac:dyDescent="0.2">
      <c r="A13" s="700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08"/>
      <c r="N13" s="62"/>
      <c r="O13" s="26"/>
      <c r="P13" s="26" t="s">
        <v>32</v>
      </c>
      <c r="Q13" s="792"/>
      <c r="R13" s="66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0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0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8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08"/>
      <c r="N15" s="63"/>
      <c r="P15" s="707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8"/>
      <c r="Q16" s="708"/>
      <c r="R16" s="708"/>
      <c r="S16" s="708"/>
      <c r="T16" s="70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6" t="s">
        <v>38</v>
      </c>
      <c r="D17" s="587" t="s">
        <v>39</v>
      </c>
      <c r="E17" s="64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2"/>
      <c r="R17" s="642"/>
      <c r="S17" s="642"/>
      <c r="T17" s="643"/>
      <c r="U17" s="607" t="s">
        <v>51</v>
      </c>
      <c r="V17" s="608"/>
      <c r="W17" s="587" t="s">
        <v>52</v>
      </c>
      <c r="X17" s="587" t="s">
        <v>53</v>
      </c>
      <c r="Y17" s="862" t="s">
        <v>54</v>
      </c>
      <c r="Z17" s="769" t="s">
        <v>55</v>
      </c>
      <c r="AA17" s="746" t="s">
        <v>56</v>
      </c>
      <c r="AB17" s="746" t="s">
        <v>57</v>
      </c>
      <c r="AC17" s="746" t="s">
        <v>58</v>
      </c>
      <c r="AD17" s="746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4"/>
      <c r="E18" s="64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88"/>
      <c r="X18" s="588"/>
      <c r="Y18" s="863"/>
      <c r="Z18" s="770"/>
      <c r="AA18" s="747"/>
      <c r="AB18" s="747"/>
      <c r="AC18" s="747"/>
      <c r="AD18" s="823"/>
      <c r="AE18" s="824"/>
      <c r="AF18" s="825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5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8"/>
      <c r="AB20" s="538"/>
      <c r="AC20" s="538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0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71"/>
      <c r="P23" s="560" t="s">
        <v>71</v>
      </c>
      <c r="Q23" s="561"/>
      <c r="R23" s="561"/>
      <c r="S23" s="561"/>
      <c r="T23" s="561"/>
      <c r="U23" s="561"/>
      <c r="V23" s="562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71"/>
      <c r="P24" s="560" t="s">
        <v>71</v>
      </c>
      <c r="Q24" s="561"/>
      <c r="R24" s="561"/>
      <c r="S24" s="561"/>
      <c r="T24" s="561"/>
      <c r="U24" s="561"/>
      <c r="V24" s="562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6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0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71"/>
      <c r="P31" s="560" t="s">
        <v>71</v>
      </c>
      <c r="Q31" s="561"/>
      <c r="R31" s="561"/>
      <c r="S31" s="561"/>
      <c r="T31" s="561"/>
      <c r="U31" s="561"/>
      <c r="V31" s="562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71"/>
      <c r="P32" s="560" t="s">
        <v>71</v>
      </c>
      <c r="Q32" s="561"/>
      <c r="R32" s="561"/>
      <c r="S32" s="561"/>
      <c r="T32" s="561"/>
      <c r="U32" s="561"/>
      <c r="V32" s="562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6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0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71"/>
      <c r="P35" s="560" t="s">
        <v>71</v>
      </c>
      <c r="Q35" s="561"/>
      <c r="R35" s="561"/>
      <c r="S35" s="561"/>
      <c r="T35" s="561"/>
      <c r="U35" s="561"/>
      <c r="V35" s="562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71"/>
      <c r="P36" s="560" t="s">
        <v>71</v>
      </c>
      <c r="Q36" s="561"/>
      <c r="R36" s="561"/>
      <c r="S36" s="561"/>
      <c r="T36" s="561"/>
      <c r="U36" s="561"/>
      <c r="V36" s="562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8" t="s">
        <v>99</v>
      </c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69"/>
      <c r="P37" s="569"/>
      <c r="Q37" s="569"/>
      <c r="R37" s="569"/>
      <c r="S37" s="569"/>
      <c r="T37" s="569"/>
      <c r="U37" s="569"/>
      <c r="V37" s="569"/>
      <c r="W37" s="569"/>
      <c r="X37" s="569"/>
      <c r="Y37" s="569"/>
      <c r="Z37" s="569"/>
      <c r="AA37" s="48"/>
      <c r="AB37" s="48"/>
      <c r="AC37" s="48"/>
    </row>
    <row r="38" spans="1:68" ht="16.5" hidden="1" customHeight="1" x14ac:dyDescent="0.25">
      <c r="A38" s="558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8"/>
      <c r="AB38" s="538"/>
      <c r="AC38" s="538"/>
    </row>
    <row r="39" spans="1:68" ht="14.25" hidden="1" customHeight="1" x14ac:dyDescent="0.25">
      <c r="A39" s="556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70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71"/>
      <c r="P43" s="560" t="s">
        <v>71</v>
      </c>
      <c r="Q43" s="561"/>
      <c r="R43" s="561"/>
      <c r="S43" s="561"/>
      <c r="T43" s="561"/>
      <c r="U43" s="561"/>
      <c r="V43" s="562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71"/>
      <c r="P44" s="560" t="s">
        <v>71</v>
      </c>
      <c r="Q44" s="561"/>
      <c r="R44" s="561"/>
      <c r="S44" s="561"/>
      <c r="T44" s="561"/>
      <c r="U44" s="561"/>
      <c r="V44" s="562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6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0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71"/>
      <c r="P47" s="560" t="s">
        <v>71</v>
      </c>
      <c r="Q47" s="561"/>
      <c r="R47" s="561"/>
      <c r="S47" s="561"/>
      <c r="T47" s="561"/>
      <c r="U47" s="561"/>
      <c r="V47" s="562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71"/>
      <c r="P48" s="560" t="s">
        <v>71</v>
      </c>
      <c r="Q48" s="561"/>
      <c r="R48" s="561"/>
      <c r="S48" s="561"/>
      <c r="T48" s="561"/>
      <c r="U48" s="561"/>
      <c r="V48" s="562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8"/>
      <c r="AB49" s="538"/>
      <c r="AC49" s="538"/>
    </row>
    <row r="50" spans="1:68" ht="14.25" hidden="1" customHeight="1" x14ac:dyDescent="0.25">
      <c r="A50" s="556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40</v>
      </c>
      <c r="Y52" s="544">
        <f t="shared" si="0"/>
        <v>43.2</v>
      </c>
      <c r="Z52" s="36">
        <f>IFERROR(IF(Y52=0,"",ROUNDUP(Y52/H52,0)*0.01898),"")</f>
        <v>7.5920000000000001E-2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41.518518518518519</v>
      </c>
      <c r="BN52" s="64">
        <f t="shared" si="2"/>
        <v>44.84</v>
      </c>
      <c r="BO52" s="64">
        <f t="shared" si="3"/>
        <v>5.7870370370370364E-2</v>
      </c>
      <c r="BP52" s="64">
        <f t="shared" si="4"/>
        <v>6.25E-2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71"/>
      <c r="P57" s="560" t="s">
        <v>71</v>
      </c>
      <c r="Q57" s="561"/>
      <c r="R57" s="561"/>
      <c r="S57" s="561"/>
      <c r="T57" s="561"/>
      <c r="U57" s="561"/>
      <c r="V57" s="562"/>
      <c r="W57" s="37" t="s">
        <v>72</v>
      </c>
      <c r="X57" s="545">
        <f>IFERROR(X51/H51,"0")+IFERROR(X52/H52,"0")+IFERROR(X53/H53,"0")+IFERROR(X54/H54,"0")+IFERROR(X55/H55,"0")+IFERROR(X56/H56,"0")</f>
        <v>3.7037037037037033</v>
      </c>
      <c r="Y57" s="545">
        <f>IFERROR(Y51/H51,"0")+IFERROR(Y52/H52,"0")+IFERROR(Y53/H53,"0")+IFERROR(Y54/H54,"0")+IFERROR(Y55/H55,"0")+IFERROR(Y56/H56,"0")</f>
        <v>4</v>
      </c>
      <c r="Z57" s="545">
        <f>IFERROR(IF(Z51="",0,Z51),"0")+IFERROR(IF(Z52="",0,Z52),"0")+IFERROR(IF(Z53="",0,Z53),"0")+IFERROR(IF(Z54="",0,Z54),"0")+IFERROR(IF(Z55="",0,Z55),"0")+IFERROR(IF(Z56="",0,Z56),"0")</f>
        <v>7.5920000000000001E-2</v>
      </c>
      <c r="AA57" s="546"/>
      <c r="AB57" s="546"/>
      <c r="AC57" s="546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71"/>
      <c r="P58" s="560" t="s">
        <v>71</v>
      </c>
      <c r="Q58" s="561"/>
      <c r="R58" s="561"/>
      <c r="S58" s="561"/>
      <c r="T58" s="561"/>
      <c r="U58" s="561"/>
      <c r="V58" s="562"/>
      <c r="W58" s="37" t="s">
        <v>69</v>
      </c>
      <c r="X58" s="545">
        <f>IFERROR(SUM(X51:X56),"0")</f>
        <v>40</v>
      </c>
      <c r="Y58" s="545">
        <f>IFERROR(SUM(Y51:Y56),"0")</f>
        <v>43.2</v>
      </c>
      <c r="Z58" s="37"/>
      <c r="AA58" s="546"/>
      <c r="AB58" s="546"/>
      <c r="AC58" s="546"/>
    </row>
    <row r="59" spans="1:68" ht="14.25" hidden="1" customHeight="1" x14ac:dyDescent="0.25">
      <c r="A59" s="556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170</v>
      </c>
      <c r="Y60" s="544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176.4537037037037</v>
      </c>
      <c r="BN60" s="64">
        <f>IFERROR(Y60*I60/H60,"0")</f>
        <v>179.36</v>
      </c>
      <c r="BO60" s="64">
        <f>IFERROR(1/J60*(X60/H60),"0")</f>
        <v>0.24594907407407407</v>
      </c>
      <c r="BP60" s="64">
        <f>IFERROR(1/J60*(Y60/H60),"0")</f>
        <v>0.25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71"/>
      <c r="P63" s="560" t="s">
        <v>71</v>
      </c>
      <c r="Q63" s="561"/>
      <c r="R63" s="561"/>
      <c r="S63" s="561"/>
      <c r="T63" s="561"/>
      <c r="U63" s="561"/>
      <c r="V63" s="562"/>
      <c r="W63" s="37" t="s">
        <v>72</v>
      </c>
      <c r="X63" s="545">
        <f>IFERROR(X60/H60,"0")+IFERROR(X61/H61,"0")+IFERROR(X62/H62,"0")</f>
        <v>15.74074074074074</v>
      </c>
      <c r="Y63" s="545">
        <f>IFERROR(Y60/H60,"0")+IFERROR(Y61/H61,"0")+IFERROR(Y62/H62,"0")</f>
        <v>16</v>
      </c>
      <c r="Z63" s="545">
        <f>IFERROR(IF(Z60="",0,Z60),"0")+IFERROR(IF(Z61="",0,Z61),"0")+IFERROR(IF(Z62="",0,Z62),"0")</f>
        <v>0.30368000000000001</v>
      </c>
      <c r="AA63" s="546"/>
      <c r="AB63" s="546"/>
      <c r="AC63" s="546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71"/>
      <c r="P64" s="560" t="s">
        <v>71</v>
      </c>
      <c r="Q64" s="561"/>
      <c r="R64" s="561"/>
      <c r="S64" s="561"/>
      <c r="T64" s="561"/>
      <c r="U64" s="561"/>
      <c r="V64" s="562"/>
      <c r="W64" s="37" t="s">
        <v>69</v>
      </c>
      <c r="X64" s="545">
        <f>IFERROR(SUM(X60:X62),"0")</f>
        <v>170</v>
      </c>
      <c r="Y64" s="545">
        <f>IFERROR(SUM(Y60:Y62),"0")</f>
        <v>172.8</v>
      </c>
      <c r="Z64" s="37"/>
      <c r="AA64" s="546"/>
      <c r="AB64" s="546"/>
      <c r="AC64" s="546"/>
    </row>
    <row r="65" spans="1:68" ht="14.25" hidden="1" customHeight="1" x14ac:dyDescent="0.25">
      <c r="A65" s="556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0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71"/>
      <c r="P69" s="560" t="s">
        <v>71</v>
      </c>
      <c r="Q69" s="561"/>
      <c r="R69" s="561"/>
      <c r="S69" s="561"/>
      <c r="T69" s="561"/>
      <c r="U69" s="561"/>
      <c r="V69" s="562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71"/>
      <c r="P70" s="560" t="s">
        <v>71</v>
      </c>
      <c r="Q70" s="561"/>
      <c r="R70" s="561"/>
      <c r="S70" s="561"/>
      <c r="T70" s="561"/>
      <c r="U70" s="561"/>
      <c r="V70" s="562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6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71"/>
      <c r="P76" s="560" t="s">
        <v>71</v>
      </c>
      <c r="Q76" s="561"/>
      <c r="R76" s="561"/>
      <c r="S76" s="561"/>
      <c r="T76" s="561"/>
      <c r="U76" s="561"/>
      <c r="V76" s="562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71"/>
      <c r="P77" s="560" t="s">
        <v>71</v>
      </c>
      <c r="Q77" s="561"/>
      <c r="R77" s="561"/>
      <c r="S77" s="561"/>
      <c r="T77" s="561"/>
      <c r="U77" s="561"/>
      <c r="V77" s="562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6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30</v>
      </c>
      <c r="Y79" s="54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7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71"/>
      <c r="P81" s="560" t="s">
        <v>71</v>
      </c>
      <c r="Q81" s="561"/>
      <c r="R81" s="561"/>
      <c r="S81" s="561"/>
      <c r="T81" s="561"/>
      <c r="U81" s="561"/>
      <c r="V81" s="562"/>
      <c r="W81" s="37" t="s">
        <v>72</v>
      </c>
      <c r="X81" s="545">
        <f>IFERROR(X79/H79,"0")+IFERROR(X80/H80,"0")</f>
        <v>3.8461538461538463</v>
      </c>
      <c r="Y81" s="545">
        <f>IFERROR(Y79/H79,"0")+IFERROR(Y80/H80,"0")</f>
        <v>4</v>
      </c>
      <c r="Z81" s="545">
        <f>IFERROR(IF(Z79="",0,Z79),"0")+IFERROR(IF(Z80="",0,Z80),"0")</f>
        <v>7.5920000000000001E-2</v>
      </c>
      <c r="AA81" s="546"/>
      <c r="AB81" s="546"/>
      <c r="AC81" s="546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71"/>
      <c r="P82" s="560" t="s">
        <v>71</v>
      </c>
      <c r="Q82" s="561"/>
      <c r="R82" s="561"/>
      <c r="S82" s="561"/>
      <c r="T82" s="561"/>
      <c r="U82" s="561"/>
      <c r="V82" s="562"/>
      <c r="W82" s="37" t="s">
        <v>69</v>
      </c>
      <c r="X82" s="545">
        <f>IFERROR(SUM(X79:X80),"0")</f>
        <v>30</v>
      </c>
      <c r="Y82" s="545">
        <f>IFERROR(SUM(Y79:Y80),"0")</f>
        <v>31.2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8"/>
      <c r="AB83" s="538"/>
      <c r="AC83" s="538"/>
    </row>
    <row r="84" spans="1:68" ht="14.25" hidden="1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4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70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71"/>
      <c r="P88" s="560" t="s">
        <v>71</v>
      </c>
      <c r="Q88" s="561"/>
      <c r="R88" s="561"/>
      <c r="S88" s="561"/>
      <c r="T88" s="561"/>
      <c r="U88" s="561"/>
      <c r="V88" s="562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71"/>
      <c r="P89" s="560" t="s">
        <v>71</v>
      </c>
      <c r="Q89" s="561"/>
      <c r="R89" s="561"/>
      <c r="S89" s="561"/>
      <c r="T89" s="561"/>
      <c r="U89" s="561"/>
      <c r="V89" s="562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6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9"/>
      <c r="AB90" s="539"/>
      <c r="AC90" s="539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40</v>
      </c>
      <c r="Y91" s="544">
        <f>IFERROR(IF(X91="",0,CEILING((X91/$H91),1)*$H91),"")</f>
        <v>40.5</v>
      </c>
      <c r="Z91" s="36">
        <f>IFERROR(IF(Y91=0,"",ROUNDUP(Y91/H91,0)*0.01898),"")</f>
        <v>9.4899999999999998E-2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42.439506172839508</v>
      </c>
      <c r="BN91" s="64">
        <f>IFERROR(Y91*I91/H91,"0")</f>
        <v>42.97</v>
      </c>
      <c r="BO91" s="64">
        <f>IFERROR(1/J91*(X91/H91),"0")</f>
        <v>7.7160493827160503E-2</v>
      </c>
      <c r="BP91" s="64">
        <f>IFERROR(1/J91*(Y91/H91),"0")</f>
        <v>7.8125E-2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8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71"/>
      <c r="P95" s="560" t="s">
        <v>71</v>
      </c>
      <c r="Q95" s="561"/>
      <c r="R95" s="561"/>
      <c r="S95" s="561"/>
      <c r="T95" s="561"/>
      <c r="U95" s="561"/>
      <c r="V95" s="562"/>
      <c r="W95" s="37" t="s">
        <v>72</v>
      </c>
      <c r="X95" s="545">
        <f>IFERROR(X91/H91,"0")+IFERROR(X92/H92,"0")+IFERROR(X93/H93,"0")+IFERROR(X94/H94,"0")</f>
        <v>4.9382716049382722</v>
      </c>
      <c r="Y95" s="545">
        <f>IFERROR(Y91/H91,"0")+IFERROR(Y92/H92,"0")+IFERROR(Y93/H93,"0")+IFERROR(Y94/H94,"0")</f>
        <v>5</v>
      </c>
      <c r="Z95" s="545">
        <f>IFERROR(IF(Z91="",0,Z91),"0")+IFERROR(IF(Z92="",0,Z92),"0")+IFERROR(IF(Z93="",0,Z93),"0")+IFERROR(IF(Z94="",0,Z94),"0")</f>
        <v>9.4899999999999998E-2</v>
      </c>
      <c r="AA95" s="546"/>
      <c r="AB95" s="546"/>
      <c r="AC95" s="546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71"/>
      <c r="P96" s="560" t="s">
        <v>71</v>
      </c>
      <c r="Q96" s="561"/>
      <c r="R96" s="561"/>
      <c r="S96" s="561"/>
      <c r="T96" s="561"/>
      <c r="U96" s="561"/>
      <c r="V96" s="562"/>
      <c r="W96" s="37" t="s">
        <v>69</v>
      </c>
      <c r="X96" s="545">
        <f>IFERROR(SUM(X91:X94),"0")</f>
        <v>40</v>
      </c>
      <c r="Y96" s="545">
        <f>IFERROR(SUM(Y91:Y94),"0")</f>
        <v>40.5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8"/>
      <c r="AB97" s="538"/>
      <c r="AC97" s="538"/>
    </row>
    <row r="98" spans="1:68" ht="14.25" hidden="1" customHeight="1" x14ac:dyDescent="0.25">
      <c r="A98" s="556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70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71"/>
      <c r="P103" s="560" t="s">
        <v>71</v>
      </c>
      <c r="Q103" s="561"/>
      <c r="R103" s="561"/>
      <c r="S103" s="561"/>
      <c r="T103" s="561"/>
      <c r="U103" s="561"/>
      <c r="V103" s="562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71"/>
      <c r="P104" s="560" t="s">
        <v>71</v>
      </c>
      <c r="Q104" s="561"/>
      <c r="R104" s="561"/>
      <c r="S104" s="561"/>
      <c r="T104" s="561"/>
      <c r="U104" s="561"/>
      <c r="V104" s="562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6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28</v>
      </c>
      <c r="Y108" s="544">
        <f>IFERROR(IF(X108="",0,CEILING((X108/$H108),1)*$H108),"")</f>
        <v>28.799999999999997</v>
      </c>
      <c r="Z108" s="36">
        <f>IFERROR(IF(Y108=0,"",ROUNDUP(Y108/H108,0)*0.00651),"")</f>
        <v>7.8119999999999995E-2</v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30.100000000000005</v>
      </c>
      <c r="BN108" s="64">
        <f>IFERROR(Y108*I108/H108,"0")</f>
        <v>30.959999999999997</v>
      </c>
      <c r="BO108" s="64">
        <f>IFERROR(1/J108*(X108/H108),"0")</f>
        <v>6.4102564102564111E-2</v>
      </c>
      <c r="BP108" s="64">
        <f>IFERROR(1/J108*(Y108/H108),"0")</f>
        <v>6.5934065934065936E-2</v>
      </c>
    </row>
    <row r="109" spans="1:68" x14ac:dyDescent="0.2">
      <c r="A109" s="570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71"/>
      <c r="P109" s="560" t="s">
        <v>71</v>
      </c>
      <c r="Q109" s="561"/>
      <c r="R109" s="561"/>
      <c r="S109" s="561"/>
      <c r="T109" s="561"/>
      <c r="U109" s="561"/>
      <c r="V109" s="562"/>
      <c r="W109" s="37" t="s">
        <v>72</v>
      </c>
      <c r="X109" s="545">
        <f>IFERROR(X106/H106,"0")+IFERROR(X107/H107,"0")+IFERROR(X108/H108,"0")</f>
        <v>11.666666666666668</v>
      </c>
      <c r="Y109" s="545">
        <f>IFERROR(Y106/H106,"0")+IFERROR(Y107/H107,"0")+IFERROR(Y108/H108,"0")</f>
        <v>12</v>
      </c>
      <c r="Z109" s="545">
        <f>IFERROR(IF(Z106="",0,Z106),"0")+IFERROR(IF(Z107="",0,Z107),"0")+IFERROR(IF(Z108="",0,Z108),"0")</f>
        <v>7.8119999999999995E-2</v>
      </c>
      <c r="AA109" s="546"/>
      <c r="AB109" s="546"/>
      <c r="AC109" s="546"/>
    </row>
    <row r="110" spans="1:68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71"/>
      <c r="P110" s="560" t="s">
        <v>71</v>
      </c>
      <c r="Q110" s="561"/>
      <c r="R110" s="561"/>
      <c r="S110" s="561"/>
      <c r="T110" s="561"/>
      <c r="U110" s="561"/>
      <c r="V110" s="562"/>
      <c r="W110" s="37" t="s">
        <v>69</v>
      </c>
      <c r="X110" s="545">
        <f>IFERROR(SUM(X106:X108),"0")</f>
        <v>28</v>
      </c>
      <c r="Y110" s="545">
        <f>IFERROR(SUM(Y106:Y108),"0")</f>
        <v>28.799999999999997</v>
      </c>
      <c r="Z110" s="37"/>
      <c r="AA110" s="546"/>
      <c r="AB110" s="546"/>
      <c r="AC110" s="546"/>
    </row>
    <row r="111" spans="1:68" ht="14.25" hidden="1" customHeight="1" x14ac:dyDescent="0.25">
      <c r="A111" s="556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90</v>
      </c>
      <c r="Y112" s="544">
        <f>IFERROR(IF(X112="",0,CEILING((X112/$H112),1)*$H112),"")</f>
        <v>97.199999999999989</v>
      </c>
      <c r="Z112" s="36">
        <f>IFERROR(IF(Y112=0,"",ROUNDUP(Y112/H112,0)*0.01898),"")</f>
        <v>0.22776000000000002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95.422222222222217</v>
      </c>
      <c r="BN112" s="64">
        <f>IFERROR(Y112*I112/H112,"0")</f>
        <v>103.05599999999998</v>
      </c>
      <c r="BO112" s="64">
        <f>IFERROR(1/J112*(X112/H112),"0")</f>
        <v>0.1736111111111111</v>
      </c>
      <c r="BP112" s="64">
        <f>IFERROR(1/J112*(Y112/H112),"0")</f>
        <v>0.1875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3</v>
      </c>
      <c r="Y115" s="544">
        <f>IFERROR(IF(X115="",0,CEILING((X115/$H115),1)*$H115),"")</f>
        <v>3.6</v>
      </c>
      <c r="Z115" s="36">
        <f>IFERROR(IF(Y115=0,"",ROUNDUP(Y115/H115,0)*0.00651),"")</f>
        <v>1.302E-2</v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3.3</v>
      </c>
      <c r="BN115" s="64">
        <f>IFERROR(Y115*I115/H115,"0")</f>
        <v>3.96</v>
      </c>
      <c r="BO115" s="64">
        <f>IFERROR(1/J115*(X115/H115),"0")</f>
        <v>9.1575091575091579E-3</v>
      </c>
      <c r="BP115" s="64">
        <f>IFERROR(1/J115*(Y115/H115),"0")</f>
        <v>1.098901098901099E-2</v>
      </c>
    </row>
    <row r="116" spans="1:68" x14ac:dyDescent="0.2">
      <c r="A116" s="570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71"/>
      <c r="P116" s="560" t="s">
        <v>71</v>
      </c>
      <c r="Q116" s="561"/>
      <c r="R116" s="561"/>
      <c r="S116" s="561"/>
      <c r="T116" s="561"/>
      <c r="U116" s="561"/>
      <c r="V116" s="562"/>
      <c r="W116" s="37" t="s">
        <v>72</v>
      </c>
      <c r="X116" s="545">
        <f>IFERROR(X112/H112,"0")+IFERROR(X113/H113,"0")+IFERROR(X114/H114,"0")+IFERROR(X115/H115,"0")</f>
        <v>12.777777777777777</v>
      </c>
      <c r="Y116" s="545">
        <f>IFERROR(Y112/H112,"0")+IFERROR(Y113/H113,"0")+IFERROR(Y114/H114,"0")+IFERROR(Y115/H115,"0")</f>
        <v>14</v>
      </c>
      <c r="Z116" s="545">
        <f>IFERROR(IF(Z112="",0,Z112),"0")+IFERROR(IF(Z113="",0,Z113),"0")+IFERROR(IF(Z114="",0,Z114),"0")+IFERROR(IF(Z115="",0,Z115),"0")</f>
        <v>0.24078000000000002</v>
      </c>
      <c r="AA116" s="546"/>
      <c r="AB116" s="546"/>
      <c r="AC116" s="546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71"/>
      <c r="P117" s="560" t="s">
        <v>71</v>
      </c>
      <c r="Q117" s="561"/>
      <c r="R117" s="561"/>
      <c r="S117" s="561"/>
      <c r="T117" s="561"/>
      <c r="U117" s="561"/>
      <c r="V117" s="562"/>
      <c r="W117" s="37" t="s">
        <v>69</v>
      </c>
      <c r="X117" s="545">
        <f>IFERROR(SUM(X112:X115),"0")</f>
        <v>93</v>
      </c>
      <c r="Y117" s="545">
        <f>IFERROR(SUM(Y112:Y115),"0")</f>
        <v>100.79999999999998</v>
      </c>
      <c r="Z117" s="37"/>
      <c r="AA117" s="546"/>
      <c r="AB117" s="546"/>
      <c r="AC117" s="546"/>
    </row>
    <row r="118" spans="1:68" ht="14.25" hidden="1" customHeight="1" x14ac:dyDescent="0.25">
      <c r="A118" s="556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0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71"/>
      <c r="P120" s="560" t="s">
        <v>71</v>
      </c>
      <c r="Q120" s="561"/>
      <c r="R120" s="561"/>
      <c r="S120" s="561"/>
      <c r="T120" s="561"/>
      <c r="U120" s="561"/>
      <c r="V120" s="562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71"/>
      <c r="P121" s="560" t="s">
        <v>71</v>
      </c>
      <c r="Q121" s="561"/>
      <c r="R121" s="561"/>
      <c r="S121" s="561"/>
      <c r="T121" s="561"/>
      <c r="U121" s="561"/>
      <c r="V121" s="562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8"/>
      <c r="AB122" s="538"/>
      <c r="AC122" s="538"/>
    </row>
    <row r="123" spans="1:68" ht="14.25" hidden="1" customHeight="1" x14ac:dyDescent="0.25">
      <c r="A123" s="556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159</v>
      </c>
      <c r="Y124" s="544">
        <f>IFERROR(IF(X124="",0,CEILING((X124/$H124),1)*$H124),"")</f>
        <v>160</v>
      </c>
      <c r="Z124" s="36">
        <f>IFERROR(IF(Y124=0,"",ROUNDUP(Y124/H124,0)*0.00651),"")</f>
        <v>0.32550000000000001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167.94374999999997</v>
      </c>
      <c r="BN124" s="64">
        <f>IFERROR(Y124*I124/H124,"0")</f>
        <v>168.99999999999997</v>
      </c>
      <c r="BO124" s="64">
        <f>IFERROR(1/J124*(X124/H124),"0")</f>
        <v>0.27300824175824179</v>
      </c>
      <c r="BP124" s="64">
        <f>IFERROR(1/J124*(Y124/H124),"0")</f>
        <v>0.27472527472527475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9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70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71"/>
      <c r="P126" s="560" t="s">
        <v>71</v>
      </c>
      <c r="Q126" s="561"/>
      <c r="R126" s="561"/>
      <c r="S126" s="561"/>
      <c r="T126" s="561"/>
      <c r="U126" s="561"/>
      <c r="V126" s="562"/>
      <c r="W126" s="37" t="s">
        <v>72</v>
      </c>
      <c r="X126" s="545">
        <f>IFERROR(X124/H124,"0")+IFERROR(X125/H125,"0")</f>
        <v>49.6875</v>
      </c>
      <c r="Y126" s="545">
        <f>IFERROR(Y124/H124,"0")+IFERROR(Y125/H125,"0")</f>
        <v>50</v>
      </c>
      <c r="Z126" s="545">
        <f>IFERROR(IF(Z124="",0,Z124),"0")+IFERROR(IF(Z125="",0,Z125),"0")</f>
        <v>0.32550000000000001</v>
      </c>
      <c r="AA126" s="546"/>
      <c r="AB126" s="546"/>
      <c r="AC126" s="546"/>
    </row>
    <row r="127" spans="1:68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71"/>
      <c r="P127" s="560" t="s">
        <v>71</v>
      </c>
      <c r="Q127" s="561"/>
      <c r="R127" s="561"/>
      <c r="S127" s="561"/>
      <c r="T127" s="561"/>
      <c r="U127" s="561"/>
      <c r="V127" s="562"/>
      <c r="W127" s="37" t="s">
        <v>69</v>
      </c>
      <c r="X127" s="545">
        <f>IFERROR(SUM(X124:X125),"0")</f>
        <v>159</v>
      </c>
      <c r="Y127" s="545">
        <f>IFERROR(SUM(Y124:Y125),"0")</f>
        <v>160</v>
      </c>
      <c r="Z127" s="37"/>
      <c r="AA127" s="546"/>
      <c r="AB127" s="546"/>
      <c r="AC127" s="546"/>
    </row>
    <row r="128" spans="1:68" ht="14.25" hidden="1" customHeight="1" x14ac:dyDescent="0.25">
      <c r="A128" s="556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81</v>
      </c>
      <c r="Y129" s="544">
        <f>IFERROR(IF(X129="",0,CEILING((X129/$H129),1)*$H129),"")</f>
        <v>81.199999999999989</v>
      </c>
      <c r="Z129" s="36">
        <f>IFERROR(IF(Y129=0,"",ROUNDUP(Y129/H129,0)*0.00651),"")</f>
        <v>0.18879000000000001</v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88.752857142857152</v>
      </c>
      <c r="BN129" s="64">
        <f>IFERROR(Y129*I129/H129,"0")</f>
        <v>88.971999999999994</v>
      </c>
      <c r="BO129" s="64">
        <f>IFERROR(1/J129*(X129/H129),"0")</f>
        <v>0.15894819466248039</v>
      </c>
      <c r="BP129" s="64">
        <f>IFERROR(1/J129*(Y129/H129),"0")</f>
        <v>0.15934065934065933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70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71"/>
      <c r="P131" s="560" t="s">
        <v>71</v>
      </c>
      <c r="Q131" s="561"/>
      <c r="R131" s="561"/>
      <c r="S131" s="561"/>
      <c r="T131" s="561"/>
      <c r="U131" s="561"/>
      <c r="V131" s="562"/>
      <c r="W131" s="37" t="s">
        <v>72</v>
      </c>
      <c r="X131" s="545">
        <f>IFERROR(X129/H129,"0")+IFERROR(X130/H130,"0")</f>
        <v>28.928571428571431</v>
      </c>
      <c r="Y131" s="545">
        <f>IFERROR(Y129/H129,"0")+IFERROR(Y130/H130,"0")</f>
        <v>28.999999999999996</v>
      </c>
      <c r="Z131" s="545">
        <f>IFERROR(IF(Z129="",0,Z129),"0")+IFERROR(IF(Z130="",0,Z130),"0")</f>
        <v>0.18879000000000001</v>
      </c>
      <c r="AA131" s="546"/>
      <c r="AB131" s="546"/>
      <c r="AC131" s="546"/>
    </row>
    <row r="132" spans="1:68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71"/>
      <c r="P132" s="560" t="s">
        <v>71</v>
      </c>
      <c r="Q132" s="561"/>
      <c r="R132" s="561"/>
      <c r="S132" s="561"/>
      <c r="T132" s="561"/>
      <c r="U132" s="561"/>
      <c r="V132" s="562"/>
      <c r="W132" s="37" t="s">
        <v>69</v>
      </c>
      <c r="X132" s="545">
        <f>IFERROR(SUM(X129:X130),"0")</f>
        <v>81</v>
      </c>
      <c r="Y132" s="545">
        <f>IFERROR(SUM(Y129:Y130),"0")</f>
        <v>81.199999999999989</v>
      </c>
      <c r="Z132" s="37"/>
      <c r="AA132" s="546"/>
      <c r="AB132" s="546"/>
      <c r="AC132" s="546"/>
    </row>
    <row r="133" spans="1:68" ht="14.25" hidden="1" customHeight="1" x14ac:dyDescent="0.25">
      <c r="A133" s="556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0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71"/>
      <c r="P136" s="560" t="s">
        <v>71</v>
      </c>
      <c r="Q136" s="561"/>
      <c r="R136" s="561"/>
      <c r="S136" s="561"/>
      <c r="T136" s="561"/>
      <c r="U136" s="561"/>
      <c r="V136" s="562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71"/>
      <c r="P137" s="560" t="s">
        <v>71</v>
      </c>
      <c r="Q137" s="561"/>
      <c r="R137" s="561"/>
      <c r="S137" s="561"/>
      <c r="T137" s="561"/>
      <c r="U137" s="561"/>
      <c r="V137" s="562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8"/>
      <c r="AB138" s="538"/>
      <c r="AC138" s="538"/>
    </row>
    <row r="139" spans="1:68" ht="14.25" hidden="1" customHeight="1" x14ac:dyDescent="0.25">
      <c r="A139" s="556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70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71"/>
      <c r="P142" s="560" t="s">
        <v>71</v>
      </c>
      <c r="Q142" s="561"/>
      <c r="R142" s="561"/>
      <c r="S142" s="561"/>
      <c r="T142" s="561"/>
      <c r="U142" s="561"/>
      <c r="V142" s="562"/>
      <c r="W142" s="37" t="s">
        <v>72</v>
      </c>
      <c r="X142" s="545">
        <f>IFERROR(X140/H140,"0")+IFERROR(X141/H141,"0")</f>
        <v>0</v>
      </c>
      <c r="Y142" s="545">
        <f>IFERROR(Y140/H140,"0")+IFERROR(Y141/H141,"0")</f>
        <v>0</v>
      </c>
      <c r="Z142" s="545">
        <f>IFERROR(IF(Z140="",0,Z140),"0")+IFERROR(IF(Z141="",0,Z141),"0")</f>
        <v>0</v>
      </c>
      <c r="AA142" s="546"/>
      <c r="AB142" s="546"/>
      <c r="AC142" s="546"/>
    </row>
    <row r="143" spans="1:68" hidden="1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71"/>
      <c r="P143" s="560" t="s">
        <v>71</v>
      </c>
      <c r="Q143" s="561"/>
      <c r="R143" s="561"/>
      <c r="S143" s="561"/>
      <c r="T143" s="561"/>
      <c r="U143" s="561"/>
      <c r="V143" s="562"/>
      <c r="W143" s="37" t="s">
        <v>69</v>
      </c>
      <c r="X143" s="545">
        <f>IFERROR(SUM(X140:X141),"0")</f>
        <v>0</v>
      </c>
      <c r="Y143" s="545">
        <f>IFERROR(SUM(Y140:Y141),"0")</f>
        <v>0</v>
      </c>
      <c r="Z143" s="37"/>
      <c r="AA143" s="546"/>
      <c r="AB143" s="546"/>
      <c r="AC143" s="546"/>
    </row>
    <row r="144" spans="1:68" ht="14.25" hidden="1" customHeight="1" x14ac:dyDescent="0.25">
      <c r="A144" s="556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9"/>
      <c r="AB144" s="539"/>
      <c r="AC144" s="539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2">
        <v>0.9</v>
      </c>
      <c r="G145" s="32">
        <v>10</v>
      </c>
      <c r="H145" s="542">
        <v>9</v>
      </c>
      <c r="I145" s="542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0"/>
      <c r="R145" s="550"/>
      <c r="S145" s="550"/>
      <c r="T145" s="551"/>
      <c r="U145" s="34"/>
      <c r="V145" s="34"/>
      <c r="W145" s="35" t="s">
        <v>69</v>
      </c>
      <c r="X145" s="543">
        <v>0</v>
      </c>
      <c r="Y145" s="544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2">
        <v>0.7</v>
      </c>
      <c r="G146" s="32">
        <v>6</v>
      </c>
      <c r="H146" s="542">
        <v>4.2</v>
      </c>
      <c r="I146" s="542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2">
        <v>0.9</v>
      </c>
      <c r="G147" s="32">
        <v>10</v>
      </c>
      <c r="H147" s="542">
        <v>9</v>
      </c>
      <c r="I147" s="542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20</v>
      </c>
      <c r="Y147" s="544">
        <f>IFERROR(IF(X147="",0,CEILING((X147/$H147),1)*$H147),"")</f>
        <v>27</v>
      </c>
      <c r="Z147" s="36">
        <f>IFERROR(IF(Y147=0,"",ROUNDUP(Y147/H147,0)*0.01898),"")</f>
        <v>5.6940000000000004E-2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21.244444444444447</v>
      </c>
      <c r="BN147" s="64">
        <f>IFERROR(Y147*I147/H147,"0")</f>
        <v>28.68</v>
      </c>
      <c r="BO147" s="64">
        <f>IFERROR(1/J147*(X147/H147),"0")</f>
        <v>3.4722222222222224E-2</v>
      </c>
      <c r="BP147" s="64">
        <f>IFERROR(1/J147*(Y147/H147),"0")</f>
        <v>4.6875E-2</v>
      </c>
    </row>
    <row r="148" spans="1:68" x14ac:dyDescent="0.2">
      <c r="A148" s="570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71"/>
      <c r="P148" s="560" t="s">
        <v>71</v>
      </c>
      <c r="Q148" s="561"/>
      <c r="R148" s="561"/>
      <c r="S148" s="561"/>
      <c r="T148" s="561"/>
      <c r="U148" s="561"/>
      <c r="V148" s="562"/>
      <c r="W148" s="37" t="s">
        <v>72</v>
      </c>
      <c r="X148" s="545">
        <f>IFERROR(X145/H145,"0")+IFERROR(X146/H146,"0")+IFERROR(X147/H147,"0")</f>
        <v>2.2222222222222223</v>
      </c>
      <c r="Y148" s="545">
        <f>IFERROR(Y145/H145,"0")+IFERROR(Y146/H146,"0")+IFERROR(Y147/H147,"0")</f>
        <v>3</v>
      </c>
      <c r="Z148" s="545">
        <f>IFERROR(IF(Z145="",0,Z145),"0")+IFERROR(IF(Z146="",0,Z146),"0")+IFERROR(IF(Z147="",0,Z147),"0")</f>
        <v>5.6940000000000004E-2</v>
      </c>
      <c r="AA148" s="546"/>
      <c r="AB148" s="546"/>
      <c r="AC148" s="546"/>
    </row>
    <row r="149" spans="1:68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71"/>
      <c r="P149" s="560" t="s">
        <v>71</v>
      </c>
      <c r="Q149" s="561"/>
      <c r="R149" s="561"/>
      <c r="S149" s="561"/>
      <c r="T149" s="561"/>
      <c r="U149" s="561"/>
      <c r="V149" s="562"/>
      <c r="W149" s="37" t="s">
        <v>69</v>
      </c>
      <c r="X149" s="545">
        <f>IFERROR(SUM(X145:X147),"0")</f>
        <v>20</v>
      </c>
      <c r="Y149" s="545">
        <f>IFERROR(SUM(Y145:Y147),"0")</f>
        <v>27</v>
      </c>
      <c r="Z149" s="37"/>
      <c r="AA149" s="546"/>
      <c r="AB149" s="546"/>
      <c r="AC149" s="546"/>
    </row>
    <row r="150" spans="1:68" ht="14.25" hidden="1" customHeight="1" x14ac:dyDescent="0.25">
      <c r="A150" s="556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9"/>
      <c r="AB150" s="539"/>
      <c r="AC150" s="539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2">
        <v>0.3</v>
      </c>
      <c r="G151" s="32">
        <v>6</v>
      </c>
      <c r="H151" s="542">
        <v>1.8</v>
      </c>
      <c r="I151" s="542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3">
        <v>0</v>
      </c>
      <c r="Y151" s="544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70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71"/>
      <c r="P152" s="560" t="s">
        <v>71</v>
      </c>
      <c r="Q152" s="561"/>
      <c r="R152" s="561"/>
      <c r="S152" s="561"/>
      <c r="T152" s="561"/>
      <c r="U152" s="561"/>
      <c r="V152" s="562"/>
      <c r="W152" s="37" t="s">
        <v>72</v>
      </c>
      <c r="X152" s="545">
        <f>IFERROR(X151/H151,"0")</f>
        <v>0</v>
      </c>
      <c r="Y152" s="545">
        <f>IFERROR(Y151/H151,"0")</f>
        <v>0</v>
      </c>
      <c r="Z152" s="545">
        <f>IFERROR(IF(Z151="",0,Z151),"0")</f>
        <v>0</v>
      </c>
      <c r="AA152" s="546"/>
      <c r="AB152" s="546"/>
      <c r="AC152" s="546"/>
    </row>
    <row r="153" spans="1:68" hidden="1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71"/>
      <c r="P153" s="560" t="s">
        <v>71</v>
      </c>
      <c r="Q153" s="561"/>
      <c r="R153" s="561"/>
      <c r="S153" s="561"/>
      <c r="T153" s="561"/>
      <c r="U153" s="561"/>
      <c r="V153" s="562"/>
      <c r="W153" s="37" t="s">
        <v>69</v>
      </c>
      <c r="X153" s="545">
        <f>IFERROR(SUM(X151:X151),"0")</f>
        <v>0</v>
      </c>
      <c r="Y153" s="545">
        <f>IFERROR(SUM(Y151:Y151),"0")</f>
        <v>0</v>
      </c>
      <c r="Z153" s="37"/>
      <c r="AA153" s="546"/>
      <c r="AB153" s="546"/>
      <c r="AC153" s="546"/>
    </row>
    <row r="154" spans="1:68" ht="27.75" hidden="1" customHeight="1" x14ac:dyDescent="0.2">
      <c r="A154" s="568" t="s">
        <v>250</v>
      </c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69"/>
      <c r="P154" s="569"/>
      <c r="Q154" s="569"/>
      <c r="R154" s="569"/>
      <c r="S154" s="569"/>
      <c r="T154" s="569"/>
      <c r="U154" s="569"/>
      <c r="V154" s="569"/>
      <c r="W154" s="569"/>
      <c r="X154" s="569"/>
      <c r="Y154" s="569"/>
      <c r="Z154" s="569"/>
      <c r="AA154" s="48"/>
      <c r="AB154" s="48"/>
      <c r="AC154" s="48"/>
    </row>
    <row r="155" spans="1:68" ht="16.5" hidden="1" customHeight="1" x14ac:dyDescent="0.25">
      <c r="A155" s="558" t="s">
        <v>251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8"/>
      <c r="AB155" s="538"/>
      <c r="AC155" s="538"/>
    </row>
    <row r="156" spans="1:68" ht="14.25" hidden="1" customHeight="1" x14ac:dyDescent="0.25">
      <c r="A156" s="556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9"/>
      <c r="AB156" s="539"/>
      <c r="AC156" s="539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7">
        <v>4680115886223</v>
      </c>
      <c r="E157" s="548"/>
      <c r="F157" s="542">
        <v>0.33</v>
      </c>
      <c r="G157" s="32">
        <v>6</v>
      </c>
      <c r="H157" s="542">
        <v>1.98</v>
      </c>
      <c r="I157" s="542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0"/>
      <c r="R157" s="550"/>
      <c r="S157" s="550"/>
      <c r="T157" s="551"/>
      <c r="U157" s="34"/>
      <c r="V157" s="34"/>
      <c r="W157" s="35" t="s">
        <v>69</v>
      </c>
      <c r="X157" s="543">
        <v>0</v>
      </c>
      <c r="Y157" s="544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71"/>
      <c r="P158" s="560" t="s">
        <v>71</v>
      </c>
      <c r="Q158" s="561"/>
      <c r="R158" s="561"/>
      <c r="S158" s="561"/>
      <c r="T158" s="561"/>
      <c r="U158" s="561"/>
      <c r="V158" s="562"/>
      <c r="W158" s="37" t="s">
        <v>72</v>
      </c>
      <c r="X158" s="545">
        <f>IFERROR(X157/H157,"0")</f>
        <v>0</v>
      </c>
      <c r="Y158" s="545">
        <f>IFERROR(Y157/H157,"0")</f>
        <v>0</v>
      </c>
      <c r="Z158" s="545">
        <f>IFERROR(IF(Z157="",0,Z157),"0")</f>
        <v>0</v>
      </c>
      <c r="AA158" s="546"/>
      <c r="AB158" s="546"/>
      <c r="AC158" s="546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71"/>
      <c r="P159" s="560" t="s">
        <v>71</v>
      </c>
      <c r="Q159" s="561"/>
      <c r="R159" s="561"/>
      <c r="S159" s="561"/>
      <c r="T159" s="561"/>
      <c r="U159" s="561"/>
      <c r="V159" s="562"/>
      <c r="W159" s="37" t="s">
        <v>69</v>
      </c>
      <c r="X159" s="545">
        <f>IFERROR(SUM(X157:X157),"0")</f>
        <v>0</v>
      </c>
      <c r="Y159" s="545">
        <f>IFERROR(SUM(Y157:Y157),"0")</f>
        <v>0</v>
      </c>
      <c r="Z159" s="37"/>
      <c r="AA159" s="546"/>
      <c r="AB159" s="546"/>
      <c r="AC159" s="546"/>
    </row>
    <row r="160" spans="1:68" ht="14.25" hidden="1" customHeight="1" x14ac:dyDescent="0.25">
      <c r="A160" s="556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9"/>
      <c r="AB160" s="539"/>
      <c r="AC160" s="539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7">
        <v>4680115880993</v>
      </c>
      <c r="E161" s="548"/>
      <c r="F161" s="542">
        <v>0.7</v>
      </c>
      <c r="G161" s="32">
        <v>6</v>
      </c>
      <c r="H161" s="542">
        <v>4.2</v>
      </c>
      <c r="I161" s="542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0"/>
      <c r="R161" s="550"/>
      <c r="S161" s="550"/>
      <c r="T161" s="551"/>
      <c r="U161" s="34"/>
      <c r="V161" s="34"/>
      <c r="W161" s="35" t="s">
        <v>69</v>
      </c>
      <c r="X161" s="543">
        <v>0</v>
      </c>
      <c r="Y161" s="544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7">
        <v>4680115881761</v>
      </c>
      <c r="E162" s="548"/>
      <c r="F162" s="542">
        <v>0.7</v>
      </c>
      <c r="G162" s="32">
        <v>6</v>
      </c>
      <c r="H162" s="542">
        <v>4.2</v>
      </c>
      <c r="I162" s="542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7">
        <v>4680115881563</v>
      </c>
      <c r="E163" s="548"/>
      <c r="F163" s="542">
        <v>0.7</v>
      </c>
      <c r="G163" s="32">
        <v>6</v>
      </c>
      <c r="H163" s="542">
        <v>4.2</v>
      </c>
      <c r="I163" s="542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90</v>
      </c>
      <c r="Y163" s="544">
        <f t="shared" si="5"/>
        <v>92.4</v>
      </c>
      <c r="Z163" s="36">
        <f>IFERROR(IF(Y163=0,"",ROUNDUP(Y163/H163,0)*0.00902),"")</f>
        <v>0.19844000000000001</v>
      </c>
      <c r="AA163" s="56"/>
      <c r="AB163" s="57"/>
      <c r="AC163" s="195" t="s">
        <v>263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94.071428571428555</v>
      </c>
      <c r="BN163" s="64">
        <f t="shared" si="7"/>
        <v>96.579999999999984</v>
      </c>
      <c r="BO163" s="64">
        <f t="shared" si="8"/>
        <v>0.16233766233766234</v>
      </c>
      <c r="BP163" s="64">
        <f t="shared" si="9"/>
        <v>0.16666666666666669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7">
        <v>4680115880986</v>
      </c>
      <c r="E164" s="548"/>
      <c r="F164" s="542">
        <v>0.35</v>
      </c>
      <c r="G164" s="32">
        <v>6</v>
      </c>
      <c r="H164" s="542">
        <v>2.1</v>
      </c>
      <c r="I164" s="542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7">
        <v>4680115887213</v>
      </c>
      <c r="E165" s="548"/>
      <c r="F165" s="542">
        <v>0.3</v>
      </c>
      <c r="G165" s="32">
        <v>6</v>
      </c>
      <c r="H165" s="542">
        <v>1.8</v>
      </c>
      <c r="I165" s="542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83" t="s">
        <v>269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7">
        <v>4680115881785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1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7">
        <v>4680115886537</v>
      </c>
      <c r="E167" s="548"/>
      <c r="F167" s="542">
        <v>0.3</v>
      </c>
      <c r="G167" s="32">
        <v>6</v>
      </c>
      <c r="H167" s="542">
        <v>1.8</v>
      </c>
      <c r="I167" s="542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7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7">
        <v>4680115881679</v>
      </c>
      <c r="E168" s="548"/>
      <c r="F168" s="542">
        <v>0.35</v>
      </c>
      <c r="G168" s="32">
        <v>6</v>
      </c>
      <c r="H168" s="542">
        <v>2.1</v>
      </c>
      <c r="I168" s="542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7">
        <v>4680115880191</v>
      </c>
      <c r="E169" s="548"/>
      <c r="F169" s="542">
        <v>0.4</v>
      </c>
      <c r="G169" s="32">
        <v>6</v>
      </c>
      <c r="H169" s="542">
        <v>2.4</v>
      </c>
      <c r="I169" s="542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7">
        <v>4680115883963</v>
      </c>
      <c r="E170" s="548"/>
      <c r="F170" s="542">
        <v>0.28000000000000003</v>
      </c>
      <c r="G170" s="32">
        <v>6</v>
      </c>
      <c r="H170" s="542">
        <v>1.68</v>
      </c>
      <c r="I170" s="542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70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71"/>
      <c r="P171" s="560" t="s">
        <v>71</v>
      </c>
      <c r="Q171" s="561"/>
      <c r="R171" s="561"/>
      <c r="S171" s="561"/>
      <c r="T171" s="561"/>
      <c r="U171" s="561"/>
      <c r="V171" s="562"/>
      <c r="W171" s="37" t="s">
        <v>72</v>
      </c>
      <c r="X171" s="545">
        <f>IFERROR(X161/H161,"0")+IFERROR(X162/H162,"0")+IFERROR(X163/H163,"0")+IFERROR(X164/H164,"0")+IFERROR(X165/H165,"0")+IFERROR(X166/H166,"0")+IFERROR(X167/H167,"0")+IFERROR(X168/H168,"0")+IFERROR(X169/H169,"0")+IFERROR(X170/H170,"0")</f>
        <v>21.428571428571427</v>
      </c>
      <c r="Y171" s="545">
        <f>IFERROR(Y161/H161,"0")+IFERROR(Y162/H162,"0")+IFERROR(Y163/H163,"0")+IFERROR(Y164/H164,"0")+IFERROR(Y165/H165,"0")+IFERROR(Y166/H166,"0")+IFERROR(Y167/H167,"0")+IFERROR(Y168/H168,"0")+IFERROR(Y169/H169,"0")+IFERROR(Y170/H170,"0")</f>
        <v>22</v>
      </c>
      <c r="Z171" s="545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0.19844000000000001</v>
      </c>
      <c r="AA171" s="546"/>
      <c r="AB171" s="546"/>
      <c r="AC171" s="546"/>
    </row>
    <row r="172" spans="1:68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71"/>
      <c r="P172" s="560" t="s">
        <v>71</v>
      </c>
      <c r="Q172" s="561"/>
      <c r="R172" s="561"/>
      <c r="S172" s="561"/>
      <c r="T172" s="561"/>
      <c r="U172" s="561"/>
      <c r="V172" s="562"/>
      <c r="W172" s="37" t="s">
        <v>69</v>
      </c>
      <c r="X172" s="545">
        <f>IFERROR(SUM(X161:X170),"0")</f>
        <v>90</v>
      </c>
      <c r="Y172" s="545">
        <f>IFERROR(SUM(Y161:Y170),"0")</f>
        <v>92.4</v>
      </c>
      <c r="Z172" s="37"/>
      <c r="AA172" s="546"/>
      <c r="AB172" s="546"/>
      <c r="AC172" s="546"/>
    </row>
    <row r="173" spans="1:68" ht="14.25" hidden="1" customHeight="1" x14ac:dyDescent="0.25">
      <c r="A173" s="556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9"/>
      <c r="AB173" s="539"/>
      <c r="AC173" s="539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7">
        <v>4680115886780</v>
      </c>
      <c r="E174" s="548"/>
      <c r="F174" s="542">
        <v>7.0000000000000007E-2</v>
      </c>
      <c r="G174" s="32">
        <v>18</v>
      </c>
      <c r="H174" s="542">
        <v>1.26</v>
      </c>
      <c r="I174" s="542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3">
        <v>0</v>
      </c>
      <c r="Y174" s="544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7">
        <v>4680115886742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7">
        <v>4680115886766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83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70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71"/>
      <c r="P177" s="560" t="s">
        <v>71</v>
      </c>
      <c r="Q177" s="561"/>
      <c r="R177" s="561"/>
      <c r="S177" s="561"/>
      <c r="T177" s="561"/>
      <c r="U177" s="561"/>
      <c r="V177" s="562"/>
      <c r="W177" s="37" t="s">
        <v>72</v>
      </c>
      <c r="X177" s="545">
        <f>IFERROR(X174/H174,"0")+IFERROR(X175/H175,"0")+IFERROR(X176/H176,"0")</f>
        <v>0</v>
      </c>
      <c r="Y177" s="545">
        <f>IFERROR(Y174/H174,"0")+IFERROR(Y175/H175,"0")+IFERROR(Y176/H176,"0")</f>
        <v>0</v>
      </c>
      <c r="Z177" s="545">
        <f>IFERROR(IF(Z174="",0,Z174),"0")+IFERROR(IF(Z175="",0,Z175),"0")+IFERROR(IF(Z176="",0,Z176),"0")</f>
        <v>0</v>
      </c>
      <c r="AA177" s="546"/>
      <c r="AB177" s="546"/>
      <c r="AC177" s="546"/>
    </row>
    <row r="178" spans="1:68" hidden="1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71"/>
      <c r="P178" s="560" t="s">
        <v>71</v>
      </c>
      <c r="Q178" s="561"/>
      <c r="R178" s="561"/>
      <c r="S178" s="561"/>
      <c r="T178" s="561"/>
      <c r="U178" s="561"/>
      <c r="V178" s="562"/>
      <c r="W178" s="37" t="s">
        <v>69</v>
      </c>
      <c r="X178" s="545">
        <f>IFERROR(SUM(X174:X176),"0")</f>
        <v>0</v>
      </c>
      <c r="Y178" s="545">
        <f>IFERROR(SUM(Y174:Y176),"0")</f>
        <v>0</v>
      </c>
      <c r="Z178" s="37"/>
      <c r="AA178" s="546"/>
      <c r="AB178" s="546"/>
      <c r="AC178" s="546"/>
    </row>
    <row r="179" spans="1:68" ht="14.25" hidden="1" customHeight="1" x14ac:dyDescent="0.25">
      <c r="A179" s="556" t="s">
        <v>293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9"/>
      <c r="AB179" s="539"/>
      <c r="AC179" s="539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7">
        <v>4680115886797</v>
      </c>
      <c r="E180" s="548"/>
      <c r="F180" s="542">
        <v>7.0000000000000007E-2</v>
      </c>
      <c r="G180" s="32">
        <v>18</v>
      </c>
      <c r="H180" s="542">
        <v>1.26</v>
      </c>
      <c r="I180" s="542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7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0"/>
      <c r="R180" s="550"/>
      <c r="S180" s="550"/>
      <c r="T180" s="551"/>
      <c r="U180" s="34"/>
      <c r="V180" s="34"/>
      <c r="W180" s="35" t="s">
        <v>69</v>
      </c>
      <c r="X180" s="543">
        <v>0</v>
      </c>
      <c r="Y180" s="544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70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71"/>
      <c r="P181" s="560" t="s">
        <v>71</v>
      </c>
      <c r="Q181" s="561"/>
      <c r="R181" s="561"/>
      <c r="S181" s="561"/>
      <c r="T181" s="561"/>
      <c r="U181" s="561"/>
      <c r="V181" s="562"/>
      <c r="W181" s="37" t="s">
        <v>72</v>
      </c>
      <c r="X181" s="545">
        <f>IFERROR(X180/H180,"0")</f>
        <v>0</v>
      </c>
      <c r="Y181" s="545">
        <f>IFERROR(Y180/H180,"0")</f>
        <v>0</v>
      </c>
      <c r="Z181" s="545">
        <f>IFERROR(IF(Z180="",0,Z180),"0")</f>
        <v>0</v>
      </c>
      <c r="AA181" s="546"/>
      <c r="AB181" s="546"/>
      <c r="AC181" s="546"/>
    </row>
    <row r="182" spans="1:68" hidden="1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71"/>
      <c r="P182" s="560" t="s">
        <v>71</v>
      </c>
      <c r="Q182" s="561"/>
      <c r="R182" s="561"/>
      <c r="S182" s="561"/>
      <c r="T182" s="561"/>
      <c r="U182" s="561"/>
      <c r="V182" s="562"/>
      <c r="W182" s="37" t="s">
        <v>69</v>
      </c>
      <c r="X182" s="545">
        <f>IFERROR(SUM(X180:X180),"0")</f>
        <v>0</v>
      </c>
      <c r="Y182" s="545">
        <f>IFERROR(SUM(Y180:Y180),"0")</f>
        <v>0</v>
      </c>
      <c r="Z182" s="37"/>
      <c r="AA182" s="546"/>
      <c r="AB182" s="546"/>
      <c r="AC182" s="546"/>
    </row>
    <row r="183" spans="1:68" ht="16.5" hidden="1" customHeight="1" x14ac:dyDescent="0.25">
      <c r="A183" s="558" t="s">
        <v>296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8"/>
      <c r="AB183" s="538"/>
      <c r="AC183" s="538"/>
    </row>
    <row r="184" spans="1:68" ht="14.25" hidden="1" customHeight="1" x14ac:dyDescent="0.25">
      <c r="A184" s="556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9"/>
      <c r="AB184" s="539"/>
      <c r="AC184" s="539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7">
        <v>4680115881402</v>
      </c>
      <c r="E185" s="548"/>
      <c r="F185" s="542">
        <v>1.35</v>
      </c>
      <c r="G185" s="32">
        <v>8</v>
      </c>
      <c r="H185" s="542">
        <v>10.8</v>
      </c>
      <c r="I185" s="542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0"/>
      <c r="R185" s="550"/>
      <c r="S185" s="550"/>
      <c r="T185" s="551"/>
      <c r="U185" s="34"/>
      <c r="V185" s="34"/>
      <c r="W185" s="35" t="s">
        <v>69</v>
      </c>
      <c r="X185" s="543">
        <v>0</v>
      </c>
      <c r="Y185" s="544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7">
        <v>4680115881396</v>
      </c>
      <c r="E186" s="548"/>
      <c r="F186" s="542">
        <v>0.45</v>
      </c>
      <c r="G186" s="32">
        <v>6</v>
      </c>
      <c r="H186" s="542">
        <v>2.7</v>
      </c>
      <c r="I186" s="542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0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71"/>
      <c r="P187" s="560" t="s">
        <v>71</v>
      </c>
      <c r="Q187" s="561"/>
      <c r="R187" s="561"/>
      <c r="S187" s="561"/>
      <c r="T187" s="561"/>
      <c r="U187" s="561"/>
      <c r="V187" s="562"/>
      <c r="W187" s="37" t="s">
        <v>72</v>
      </c>
      <c r="X187" s="545">
        <f>IFERROR(X185/H185,"0")+IFERROR(X186/H186,"0")</f>
        <v>0</v>
      </c>
      <c r="Y187" s="545">
        <f>IFERROR(Y185/H185,"0")+IFERROR(Y186/H186,"0")</f>
        <v>0</v>
      </c>
      <c r="Z187" s="545">
        <f>IFERROR(IF(Z185="",0,Z185),"0")+IFERROR(IF(Z186="",0,Z186),"0")</f>
        <v>0</v>
      </c>
      <c r="AA187" s="546"/>
      <c r="AB187" s="546"/>
      <c r="AC187" s="546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71"/>
      <c r="P188" s="560" t="s">
        <v>71</v>
      </c>
      <c r="Q188" s="561"/>
      <c r="R188" s="561"/>
      <c r="S188" s="561"/>
      <c r="T188" s="561"/>
      <c r="U188" s="561"/>
      <c r="V188" s="562"/>
      <c r="W188" s="37" t="s">
        <v>69</v>
      </c>
      <c r="X188" s="545">
        <f>IFERROR(SUM(X185:X186),"0")</f>
        <v>0</v>
      </c>
      <c r="Y188" s="545">
        <f>IFERROR(SUM(Y185:Y186),"0")</f>
        <v>0</v>
      </c>
      <c r="Z188" s="37"/>
      <c r="AA188" s="546"/>
      <c r="AB188" s="546"/>
      <c r="AC188" s="546"/>
    </row>
    <row r="189" spans="1:68" ht="14.25" hidden="1" customHeight="1" x14ac:dyDescent="0.25">
      <c r="A189" s="556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9"/>
      <c r="AB189" s="539"/>
      <c r="AC189" s="539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7">
        <v>4680115882935</v>
      </c>
      <c r="E190" s="548"/>
      <c r="F190" s="542">
        <v>1.35</v>
      </c>
      <c r="G190" s="32">
        <v>8</v>
      </c>
      <c r="H190" s="542">
        <v>10.8</v>
      </c>
      <c r="I190" s="542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0"/>
      <c r="R190" s="550"/>
      <c r="S190" s="550"/>
      <c r="T190" s="551"/>
      <c r="U190" s="34"/>
      <c r="V190" s="34"/>
      <c r="W190" s="35" t="s">
        <v>69</v>
      </c>
      <c r="X190" s="543">
        <v>0</v>
      </c>
      <c r="Y190" s="544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7">
        <v>4680115880764</v>
      </c>
      <c r="E191" s="548"/>
      <c r="F191" s="542">
        <v>0.35</v>
      </c>
      <c r="G191" s="32">
        <v>6</v>
      </c>
      <c r="H191" s="542">
        <v>2.1</v>
      </c>
      <c r="I191" s="542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0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71"/>
      <c r="P192" s="560" t="s">
        <v>71</v>
      </c>
      <c r="Q192" s="561"/>
      <c r="R192" s="561"/>
      <c r="S192" s="561"/>
      <c r="T192" s="561"/>
      <c r="U192" s="561"/>
      <c r="V192" s="562"/>
      <c r="W192" s="37" t="s">
        <v>72</v>
      </c>
      <c r="X192" s="545">
        <f>IFERROR(X190/H190,"0")+IFERROR(X191/H191,"0")</f>
        <v>0</v>
      </c>
      <c r="Y192" s="545">
        <f>IFERROR(Y190/H190,"0")+IFERROR(Y191/H191,"0")</f>
        <v>0</v>
      </c>
      <c r="Z192" s="545">
        <f>IFERROR(IF(Z190="",0,Z190),"0")+IFERROR(IF(Z191="",0,Z191),"0")</f>
        <v>0</v>
      </c>
      <c r="AA192" s="546"/>
      <c r="AB192" s="546"/>
      <c r="AC192" s="546"/>
    </row>
    <row r="193" spans="1:68" hidden="1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71"/>
      <c r="P193" s="560" t="s">
        <v>71</v>
      </c>
      <c r="Q193" s="561"/>
      <c r="R193" s="561"/>
      <c r="S193" s="561"/>
      <c r="T193" s="561"/>
      <c r="U193" s="561"/>
      <c r="V193" s="562"/>
      <c r="W193" s="37" t="s">
        <v>69</v>
      </c>
      <c r="X193" s="545">
        <f>IFERROR(SUM(X190:X191),"0")</f>
        <v>0</v>
      </c>
      <c r="Y193" s="545">
        <f>IFERROR(SUM(Y190:Y191),"0")</f>
        <v>0</v>
      </c>
      <c r="Z193" s="37"/>
      <c r="AA193" s="546"/>
      <c r="AB193" s="546"/>
      <c r="AC193" s="546"/>
    </row>
    <row r="194" spans="1:68" ht="14.25" hidden="1" customHeight="1" x14ac:dyDescent="0.25">
      <c r="A194" s="556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9"/>
      <c r="AB194" s="539"/>
      <c r="AC194" s="539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7">
        <v>4680115882683</v>
      </c>
      <c r="E195" s="548"/>
      <c r="F195" s="542">
        <v>0.9</v>
      </c>
      <c r="G195" s="32">
        <v>6</v>
      </c>
      <c r="H195" s="542">
        <v>5.4</v>
      </c>
      <c r="I195" s="542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0"/>
      <c r="R195" s="550"/>
      <c r="S195" s="550"/>
      <c r="T195" s="551"/>
      <c r="U195" s="34"/>
      <c r="V195" s="34"/>
      <c r="W195" s="35" t="s">
        <v>69</v>
      </c>
      <c r="X195" s="543">
        <v>400</v>
      </c>
      <c r="Y195" s="544">
        <f t="shared" ref="Y195:Y202" si="10">IFERROR(IF(X195="",0,CEILING((X195/$H195),1)*$H195),"")</f>
        <v>405</v>
      </c>
      <c r="Z195" s="36">
        <f>IFERROR(IF(Y195=0,"",ROUNDUP(Y195/H195,0)*0.00902),"")</f>
        <v>0.67649999999999999</v>
      </c>
      <c r="AA195" s="56"/>
      <c r="AB195" s="57"/>
      <c r="AC195" s="227" t="s">
        <v>309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414.07407407407402</v>
      </c>
      <c r="BN195" s="64">
        <f t="shared" ref="BN195:BN202" si="12">IFERROR(Y195*I195/H195,"0")</f>
        <v>419.24999999999994</v>
      </c>
      <c r="BO195" s="64">
        <f t="shared" ref="BO195:BO202" si="13">IFERROR(1/J195*(X195/H195),"0")</f>
        <v>0.5611672278338945</v>
      </c>
      <c r="BP195" s="64">
        <f t="shared" ref="BP195:BP202" si="14">IFERROR(1/J195*(Y195/H195),"0")</f>
        <v>0.56818181818181823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7">
        <v>4680115882690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320</v>
      </c>
      <c r="Y196" s="544">
        <f t="shared" si="10"/>
        <v>324</v>
      </c>
      <c r="Z196" s="36">
        <f>IFERROR(IF(Y196=0,"",ROUNDUP(Y196/H196,0)*0.00902),"")</f>
        <v>0.54120000000000001</v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331.25925925925924</v>
      </c>
      <c r="BN196" s="64">
        <f t="shared" si="12"/>
        <v>335.4</v>
      </c>
      <c r="BO196" s="64">
        <f t="shared" si="13"/>
        <v>0.44893378226711556</v>
      </c>
      <c r="BP196" s="64">
        <f t="shared" si="14"/>
        <v>0.45454545454545453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7">
        <v>4680115882669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500</v>
      </c>
      <c r="Y197" s="544">
        <f t="shared" si="10"/>
        <v>502.20000000000005</v>
      </c>
      <c r="Z197" s="36">
        <f>IFERROR(IF(Y197=0,"",ROUNDUP(Y197/H197,0)*0.00902),"")</f>
        <v>0.83886000000000005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517.59259259259261</v>
      </c>
      <c r="BN197" s="64">
        <f t="shared" si="12"/>
        <v>519.87</v>
      </c>
      <c r="BO197" s="64">
        <f t="shared" si="13"/>
        <v>0.70145903479236804</v>
      </c>
      <c r="BP197" s="64">
        <f t="shared" si="14"/>
        <v>0.70454545454545459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7">
        <v>4680115882676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450</v>
      </c>
      <c r="Y198" s="544">
        <f t="shared" si="10"/>
        <v>453.6</v>
      </c>
      <c r="Z198" s="36">
        <f>IFERROR(IF(Y198=0,"",ROUNDUP(Y198/H198,0)*0.00902),"")</f>
        <v>0.75768000000000002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465.83333333333331</v>
      </c>
      <c r="BN198" s="64">
        <f t="shared" si="12"/>
        <v>469.56</v>
      </c>
      <c r="BO198" s="64">
        <f t="shared" si="13"/>
        <v>0.63131313131313127</v>
      </c>
      <c r="BP198" s="64">
        <f t="shared" si="14"/>
        <v>0.63636363636363635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7">
        <v>4680115884014</v>
      </c>
      <c r="E199" s="548"/>
      <c r="F199" s="542">
        <v>0.3</v>
      </c>
      <c r="G199" s="32">
        <v>6</v>
      </c>
      <c r="H199" s="542">
        <v>1.8</v>
      </c>
      <c r="I199" s="542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4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7">
        <v>4680115884007</v>
      </c>
      <c r="E200" s="548"/>
      <c r="F200" s="542">
        <v>0.3</v>
      </c>
      <c r="G200" s="32">
        <v>6</v>
      </c>
      <c r="H200" s="542">
        <v>1.8</v>
      </c>
      <c r="I200" s="542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7">
        <v>4680115884038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7">
        <v>4680115884021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70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71"/>
      <c r="P203" s="560" t="s">
        <v>71</v>
      </c>
      <c r="Q203" s="561"/>
      <c r="R203" s="561"/>
      <c r="S203" s="561"/>
      <c r="T203" s="561"/>
      <c r="U203" s="561"/>
      <c r="V203" s="562"/>
      <c r="W203" s="37" t="s">
        <v>72</v>
      </c>
      <c r="X203" s="545">
        <f>IFERROR(X195/H195,"0")+IFERROR(X196/H196,"0")+IFERROR(X197/H197,"0")+IFERROR(X198/H198,"0")+IFERROR(X199/H199,"0")+IFERROR(X200/H200,"0")+IFERROR(X201/H201,"0")+IFERROR(X202/H202,"0")</f>
        <v>309.25925925925924</v>
      </c>
      <c r="Y203" s="545">
        <f>IFERROR(Y195/H195,"0")+IFERROR(Y196/H196,"0")+IFERROR(Y197/H197,"0")+IFERROR(Y198/H198,"0")+IFERROR(Y199/H199,"0")+IFERROR(Y200/H200,"0")+IFERROR(Y201/H201,"0")+IFERROR(Y202/H202,"0")</f>
        <v>312</v>
      </c>
      <c r="Z203" s="545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2.8142400000000003</v>
      </c>
      <c r="AA203" s="546"/>
      <c r="AB203" s="546"/>
      <c r="AC203" s="546"/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71"/>
      <c r="P204" s="560" t="s">
        <v>71</v>
      </c>
      <c r="Q204" s="561"/>
      <c r="R204" s="561"/>
      <c r="S204" s="561"/>
      <c r="T204" s="561"/>
      <c r="U204" s="561"/>
      <c r="V204" s="562"/>
      <c r="W204" s="37" t="s">
        <v>69</v>
      </c>
      <c r="X204" s="545">
        <f>IFERROR(SUM(X195:X202),"0")</f>
        <v>1670</v>
      </c>
      <c r="Y204" s="545">
        <f>IFERROR(SUM(Y195:Y202),"0")</f>
        <v>1684.8000000000002</v>
      </c>
      <c r="Z204" s="37"/>
      <c r="AA204" s="546"/>
      <c r="AB204" s="546"/>
      <c r="AC204" s="546"/>
    </row>
    <row r="205" spans="1:68" ht="14.25" hidden="1" customHeight="1" x14ac:dyDescent="0.25">
      <c r="A205" s="556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9"/>
      <c r="AB205" s="539"/>
      <c r="AC205" s="539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7">
        <v>4680115881594</v>
      </c>
      <c r="E206" s="548"/>
      <c r="F206" s="542">
        <v>1.35</v>
      </c>
      <c r="G206" s="32">
        <v>6</v>
      </c>
      <c r="H206" s="542">
        <v>8.1</v>
      </c>
      <c r="I206" s="542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3">
        <v>0</v>
      </c>
      <c r="Y206" s="544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7">
        <v>4680115881617</v>
      </c>
      <c r="E207" s="548"/>
      <c r="F207" s="542">
        <v>1.35</v>
      </c>
      <c r="G207" s="32">
        <v>6</v>
      </c>
      <c r="H207" s="542">
        <v>8.1</v>
      </c>
      <c r="I207" s="542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7">
        <v>4680115880573</v>
      </c>
      <c r="E208" s="548"/>
      <c r="F208" s="542">
        <v>1.45</v>
      </c>
      <c r="G208" s="32">
        <v>6</v>
      </c>
      <c r="H208" s="542">
        <v>8.6999999999999993</v>
      </c>
      <c r="I208" s="542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210</v>
      </c>
      <c r="Y208" s="544">
        <f t="shared" si="15"/>
        <v>217.49999999999997</v>
      </c>
      <c r="Z208" s="36">
        <f>IFERROR(IF(Y208=0,"",ROUNDUP(Y208/H208,0)*0.01898),"")</f>
        <v>0.47450000000000003</v>
      </c>
      <c r="AA208" s="56"/>
      <c r="AB208" s="57"/>
      <c r="AC208" s="247" t="s">
        <v>335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221.92413793103452</v>
      </c>
      <c r="BN208" s="64">
        <f t="shared" si="17"/>
        <v>229.85000000000002</v>
      </c>
      <c r="BO208" s="64">
        <f t="shared" si="18"/>
        <v>0.37715517241379315</v>
      </c>
      <c r="BP208" s="64">
        <f t="shared" si="19"/>
        <v>0.390625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7">
        <v>4680115882195</v>
      </c>
      <c r="E209" s="548"/>
      <c r="F209" s="542">
        <v>0.4</v>
      </c>
      <c r="G209" s="32">
        <v>6</v>
      </c>
      <c r="H209" s="542">
        <v>2.4</v>
      </c>
      <c r="I209" s="542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6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7">
        <v>4680115882607</v>
      </c>
      <c r="E210" s="548"/>
      <c r="F210" s="542">
        <v>0.3</v>
      </c>
      <c r="G210" s="32">
        <v>6</v>
      </c>
      <c r="H210" s="542">
        <v>1.8</v>
      </c>
      <c r="I210" s="542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7">
        <v>4680115880092</v>
      </c>
      <c r="E211" s="548"/>
      <c r="F211" s="542">
        <v>0.4</v>
      </c>
      <c r="G211" s="32">
        <v>6</v>
      </c>
      <c r="H211" s="542">
        <v>2.4</v>
      </c>
      <c r="I211" s="542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48</v>
      </c>
      <c r="Y211" s="544">
        <f t="shared" si="15"/>
        <v>48</v>
      </c>
      <c r="Z211" s="36">
        <f t="shared" si="20"/>
        <v>0.13020000000000001</v>
      </c>
      <c r="AA211" s="56"/>
      <c r="AB211" s="57"/>
      <c r="AC211" s="253" t="s">
        <v>335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53.040000000000006</v>
      </c>
      <c r="BN211" s="64">
        <f t="shared" si="17"/>
        <v>53.040000000000006</v>
      </c>
      <c r="BO211" s="64">
        <f t="shared" si="18"/>
        <v>0.1098901098901099</v>
      </c>
      <c r="BP211" s="64">
        <f t="shared" si="19"/>
        <v>0.1098901098901099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7">
        <v>4680115880221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7">
        <v>4680115880504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7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59</v>
      </c>
      <c r="Y213" s="544">
        <f t="shared" si="15"/>
        <v>60</v>
      </c>
      <c r="Z213" s="36">
        <f t="shared" si="20"/>
        <v>0.16275000000000001</v>
      </c>
      <c r="AA213" s="56"/>
      <c r="AB213" s="57"/>
      <c r="AC213" s="257" t="s">
        <v>346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65.195000000000007</v>
      </c>
      <c r="BN213" s="64">
        <f t="shared" si="17"/>
        <v>66.300000000000011</v>
      </c>
      <c r="BO213" s="64">
        <f t="shared" si="18"/>
        <v>0.13507326007326009</v>
      </c>
      <c r="BP213" s="64">
        <f t="shared" si="19"/>
        <v>0.13736263736263737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7">
        <v>4680115882164</v>
      </c>
      <c r="E214" s="548"/>
      <c r="F214" s="542">
        <v>0.4</v>
      </c>
      <c r="G214" s="32">
        <v>6</v>
      </c>
      <c r="H214" s="542">
        <v>2.4</v>
      </c>
      <c r="I214" s="542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72</v>
      </c>
      <c r="Y214" s="544">
        <f t="shared" si="15"/>
        <v>72</v>
      </c>
      <c r="Z214" s="36">
        <f t="shared" si="20"/>
        <v>0.1953</v>
      </c>
      <c r="AA214" s="56"/>
      <c r="AB214" s="57"/>
      <c r="AC214" s="259" t="s">
        <v>332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79.740000000000009</v>
      </c>
      <c r="BN214" s="64">
        <f t="shared" si="17"/>
        <v>79.740000000000009</v>
      </c>
      <c r="BO214" s="64">
        <f t="shared" si="18"/>
        <v>0.16483516483516486</v>
      </c>
      <c r="BP214" s="64">
        <f t="shared" si="19"/>
        <v>0.16483516483516486</v>
      </c>
    </row>
    <row r="215" spans="1:68" x14ac:dyDescent="0.2">
      <c r="A215" s="570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71"/>
      <c r="P215" s="560" t="s">
        <v>71</v>
      </c>
      <c r="Q215" s="561"/>
      <c r="R215" s="561"/>
      <c r="S215" s="561"/>
      <c r="T215" s="561"/>
      <c r="U215" s="561"/>
      <c r="V215" s="562"/>
      <c r="W215" s="37" t="s">
        <v>72</v>
      </c>
      <c r="X215" s="545">
        <f>IFERROR(X206/H206,"0")+IFERROR(X207/H207,"0")+IFERROR(X208/H208,"0")+IFERROR(X209/H209,"0")+IFERROR(X210/H210,"0")+IFERROR(X211/H211,"0")+IFERROR(X212/H212,"0")+IFERROR(X213/H213,"0")+IFERROR(X214/H214,"0")</f>
        <v>98.721264367816104</v>
      </c>
      <c r="Y215" s="545">
        <f>IFERROR(Y206/H206,"0")+IFERROR(Y207/H207,"0")+IFERROR(Y208/H208,"0")+IFERROR(Y209/H209,"0")+IFERROR(Y210/H210,"0")+IFERROR(Y211/H211,"0")+IFERROR(Y212/H212,"0")+IFERROR(Y213/H213,"0")+IFERROR(Y214/H214,"0")</f>
        <v>100</v>
      </c>
      <c r="Z215" s="545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0.96274999999999999</v>
      </c>
      <c r="AA215" s="546"/>
      <c r="AB215" s="546"/>
      <c r="AC215" s="546"/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71"/>
      <c r="P216" s="560" t="s">
        <v>71</v>
      </c>
      <c r="Q216" s="561"/>
      <c r="R216" s="561"/>
      <c r="S216" s="561"/>
      <c r="T216" s="561"/>
      <c r="U216" s="561"/>
      <c r="V216" s="562"/>
      <c r="W216" s="37" t="s">
        <v>69</v>
      </c>
      <c r="X216" s="545">
        <f>IFERROR(SUM(X206:X214),"0")</f>
        <v>389</v>
      </c>
      <c r="Y216" s="545">
        <f>IFERROR(SUM(Y206:Y214),"0")</f>
        <v>397.5</v>
      </c>
      <c r="Z216" s="37"/>
      <c r="AA216" s="546"/>
      <c r="AB216" s="546"/>
      <c r="AC216" s="546"/>
    </row>
    <row r="217" spans="1:68" ht="14.25" hidden="1" customHeight="1" x14ac:dyDescent="0.25">
      <c r="A217" s="556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9"/>
      <c r="AB217" s="539"/>
      <c r="AC217" s="539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7">
        <v>4680115880818</v>
      </c>
      <c r="E218" s="548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3">
        <v>60</v>
      </c>
      <c r="Y218" s="544">
        <f>IFERROR(IF(X218="",0,CEILING((X218/$H218),1)*$H218),"")</f>
        <v>60</v>
      </c>
      <c r="Z218" s="36">
        <f>IFERROR(IF(Y218=0,"",ROUNDUP(Y218/H218,0)*0.00651),"")</f>
        <v>0.16275000000000001</v>
      </c>
      <c r="AA218" s="56"/>
      <c r="AB218" s="57"/>
      <c r="AC218" s="261" t="s">
        <v>351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66.300000000000011</v>
      </c>
      <c r="BN218" s="64">
        <f>IFERROR(Y218*I218/H218,"0")</f>
        <v>66.300000000000011</v>
      </c>
      <c r="BO218" s="64">
        <f>IFERROR(1/J218*(X218/H218),"0")</f>
        <v>0.13736263736263737</v>
      </c>
      <c r="BP218" s="64">
        <f>IFERROR(1/J218*(Y218/H218),"0")</f>
        <v>0.13736263736263737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7">
        <v>4680115880801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0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70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71"/>
      <c r="P220" s="560" t="s">
        <v>71</v>
      </c>
      <c r="Q220" s="561"/>
      <c r="R220" s="561"/>
      <c r="S220" s="561"/>
      <c r="T220" s="561"/>
      <c r="U220" s="561"/>
      <c r="V220" s="562"/>
      <c r="W220" s="37" t="s">
        <v>72</v>
      </c>
      <c r="X220" s="545">
        <f>IFERROR(X218/H218,"0")+IFERROR(X219/H219,"0")</f>
        <v>25</v>
      </c>
      <c r="Y220" s="545">
        <f>IFERROR(Y218/H218,"0")+IFERROR(Y219/H219,"0")</f>
        <v>25</v>
      </c>
      <c r="Z220" s="545">
        <f>IFERROR(IF(Z218="",0,Z218),"0")+IFERROR(IF(Z219="",0,Z219),"0")</f>
        <v>0.16275000000000001</v>
      </c>
      <c r="AA220" s="546"/>
      <c r="AB220" s="546"/>
      <c r="AC220" s="546"/>
    </row>
    <row r="221" spans="1:68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71"/>
      <c r="P221" s="560" t="s">
        <v>71</v>
      </c>
      <c r="Q221" s="561"/>
      <c r="R221" s="561"/>
      <c r="S221" s="561"/>
      <c r="T221" s="561"/>
      <c r="U221" s="561"/>
      <c r="V221" s="562"/>
      <c r="W221" s="37" t="s">
        <v>69</v>
      </c>
      <c r="X221" s="545">
        <f>IFERROR(SUM(X218:X219),"0")</f>
        <v>60</v>
      </c>
      <c r="Y221" s="545">
        <f>IFERROR(SUM(Y218:Y219),"0")</f>
        <v>60</v>
      </c>
      <c r="Z221" s="37"/>
      <c r="AA221" s="546"/>
      <c r="AB221" s="546"/>
      <c r="AC221" s="546"/>
    </row>
    <row r="222" spans="1:68" ht="16.5" hidden="1" customHeight="1" x14ac:dyDescent="0.25">
      <c r="A222" s="558" t="s">
        <v>355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8"/>
      <c r="AB222" s="538"/>
      <c r="AC222" s="538"/>
    </row>
    <row r="223" spans="1:68" ht="14.25" hidden="1" customHeight="1" x14ac:dyDescent="0.25">
      <c r="A223" s="556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9"/>
      <c r="AB223" s="539"/>
      <c r="AC223" s="539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7">
        <v>4680115884137</v>
      </c>
      <c r="E224" s="548"/>
      <c r="F224" s="542">
        <v>1.45</v>
      </c>
      <c r="G224" s="32">
        <v>8</v>
      </c>
      <c r="H224" s="542">
        <v>11.6</v>
      </c>
      <c r="I224" s="542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0"/>
      <c r="R224" s="550"/>
      <c r="S224" s="550"/>
      <c r="T224" s="551"/>
      <c r="U224" s="34"/>
      <c r="V224" s="34"/>
      <c r="W224" s="35" t="s">
        <v>69</v>
      </c>
      <c r="X224" s="543">
        <v>0</v>
      </c>
      <c r="Y224" s="544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7">
        <v>4680115884236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7">
        <v>4680115884175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7">
        <v>4680115884144</v>
      </c>
      <c r="E227" s="548"/>
      <c r="F227" s="542">
        <v>0.4</v>
      </c>
      <c r="G227" s="32">
        <v>10</v>
      </c>
      <c r="H227" s="542">
        <v>4</v>
      </c>
      <c r="I227" s="542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7">
        <v>4680115886551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7">
        <v>4680115884182</v>
      </c>
      <c r="E230" s="548"/>
      <c r="F230" s="542">
        <v>0.37</v>
      </c>
      <c r="G230" s="32">
        <v>10</v>
      </c>
      <c r="H230" s="542">
        <v>3.7</v>
      </c>
      <c r="I230" s="542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7">
        <v>4680115887282</v>
      </c>
      <c r="E231" s="548"/>
      <c r="F231" s="542">
        <v>0.4</v>
      </c>
      <c r="G231" s="32">
        <v>6</v>
      </c>
      <c r="H231" s="542">
        <v>2.4</v>
      </c>
      <c r="I231" s="542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7">
        <v>4680115884205</v>
      </c>
      <c r="E232" s="548"/>
      <c r="F232" s="542">
        <v>0.4</v>
      </c>
      <c r="G232" s="32">
        <v>10</v>
      </c>
      <c r="H232" s="542">
        <v>4</v>
      </c>
      <c r="I232" s="542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80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0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71"/>
      <c r="P234" s="560" t="s">
        <v>71</v>
      </c>
      <c r="Q234" s="561"/>
      <c r="R234" s="561"/>
      <c r="S234" s="561"/>
      <c r="T234" s="561"/>
      <c r="U234" s="561"/>
      <c r="V234" s="562"/>
      <c r="W234" s="37" t="s">
        <v>72</v>
      </c>
      <c r="X234" s="545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5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5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6"/>
      <c r="AB234" s="546"/>
      <c r="AC234" s="546"/>
    </row>
    <row r="235" spans="1:68" hidden="1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71"/>
      <c r="P235" s="560" t="s">
        <v>71</v>
      </c>
      <c r="Q235" s="561"/>
      <c r="R235" s="561"/>
      <c r="S235" s="561"/>
      <c r="T235" s="561"/>
      <c r="U235" s="561"/>
      <c r="V235" s="562"/>
      <c r="W235" s="37" t="s">
        <v>69</v>
      </c>
      <c r="X235" s="545">
        <f>IFERROR(SUM(X224:X233),"0")</f>
        <v>0</v>
      </c>
      <c r="Y235" s="545">
        <f>IFERROR(SUM(Y224:Y233),"0")</f>
        <v>0</v>
      </c>
      <c r="Z235" s="37"/>
      <c r="AA235" s="546"/>
      <c r="AB235" s="546"/>
      <c r="AC235" s="546"/>
    </row>
    <row r="236" spans="1:68" ht="14.25" hidden="1" customHeight="1" x14ac:dyDescent="0.25">
      <c r="A236" s="556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9"/>
      <c r="AB236" s="539"/>
      <c r="AC236" s="539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7">
        <v>4680115885981</v>
      </c>
      <c r="E237" s="548"/>
      <c r="F237" s="542">
        <v>0.33</v>
      </c>
      <c r="G237" s="32">
        <v>6</v>
      </c>
      <c r="H237" s="542">
        <v>1.98</v>
      </c>
      <c r="I237" s="542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3">
        <v>0</v>
      </c>
      <c r="Y237" s="544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0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71"/>
      <c r="P238" s="560" t="s">
        <v>71</v>
      </c>
      <c r="Q238" s="561"/>
      <c r="R238" s="561"/>
      <c r="S238" s="561"/>
      <c r="T238" s="561"/>
      <c r="U238" s="561"/>
      <c r="V238" s="562"/>
      <c r="W238" s="37" t="s">
        <v>72</v>
      </c>
      <c r="X238" s="545">
        <f>IFERROR(X237/H237,"0")</f>
        <v>0</v>
      </c>
      <c r="Y238" s="545">
        <f>IFERROR(Y237/H237,"0")</f>
        <v>0</v>
      </c>
      <c r="Z238" s="545">
        <f>IFERROR(IF(Z237="",0,Z237),"0")</f>
        <v>0</v>
      </c>
      <c r="AA238" s="546"/>
      <c r="AB238" s="546"/>
      <c r="AC238" s="546"/>
    </row>
    <row r="239" spans="1:68" hidden="1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71"/>
      <c r="P239" s="560" t="s">
        <v>71</v>
      </c>
      <c r="Q239" s="561"/>
      <c r="R239" s="561"/>
      <c r="S239" s="561"/>
      <c r="T239" s="561"/>
      <c r="U239" s="561"/>
      <c r="V239" s="562"/>
      <c r="W239" s="37" t="s">
        <v>69</v>
      </c>
      <c r="X239" s="545">
        <f>IFERROR(SUM(X237:X237),"0")</f>
        <v>0</v>
      </c>
      <c r="Y239" s="545">
        <f>IFERROR(SUM(Y237:Y237),"0")</f>
        <v>0</v>
      </c>
      <c r="Z239" s="37"/>
      <c r="AA239" s="546"/>
      <c r="AB239" s="546"/>
      <c r="AC239" s="546"/>
    </row>
    <row r="240" spans="1:68" ht="14.25" hidden="1" customHeight="1" x14ac:dyDescent="0.25">
      <c r="A240" s="556" t="s">
        <v>381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9"/>
      <c r="AB240" s="539"/>
      <c r="AC240" s="539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7">
        <v>4680115886803</v>
      </c>
      <c r="E241" s="548"/>
      <c r="F241" s="542">
        <v>0.12</v>
      </c>
      <c r="G241" s="32">
        <v>15</v>
      </c>
      <c r="H241" s="542">
        <v>1.8</v>
      </c>
      <c r="I241" s="542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0"/>
      <c r="R241" s="550"/>
      <c r="S241" s="550"/>
      <c r="T241" s="551"/>
      <c r="U241" s="34"/>
      <c r="V241" s="34"/>
      <c r="W241" s="35" t="s">
        <v>69</v>
      </c>
      <c r="X241" s="543">
        <v>0</v>
      </c>
      <c r="Y241" s="544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70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71"/>
      <c r="P242" s="560" t="s">
        <v>71</v>
      </c>
      <c r="Q242" s="561"/>
      <c r="R242" s="561"/>
      <c r="S242" s="561"/>
      <c r="T242" s="561"/>
      <c r="U242" s="561"/>
      <c r="V242" s="562"/>
      <c r="W242" s="37" t="s">
        <v>72</v>
      </c>
      <c r="X242" s="545">
        <f>IFERROR(X241/H241,"0")</f>
        <v>0</v>
      </c>
      <c r="Y242" s="545">
        <f>IFERROR(Y241/H241,"0")</f>
        <v>0</v>
      </c>
      <c r="Z242" s="545">
        <f>IFERROR(IF(Z241="",0,Z241),"0")</f>
        <v>0</v>
      </c>
      <c r="AA242" s="546"/>
      <c r="AB242" s="546"/>
      <c r="AC242" s="546"/>
    </row>
    <row r="243" spans="1:68" hidden="1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71"/>
      <c r="P243" s="560" t="s">
        <v>71</v>
      </c>
      <c r="Q243" s="561"/>
      <c r="R243" s="561"/>
      <c r="S243" s="561"/>
      <c r="T243" s="561"/>
      <c r="U243" s="561"/>
      <c r="V243" s="562"/>
      <c r="W243" s="37" t="s">
        <v>69</v>
      </c>
      <c r="X243" s="545">
        <f>IFERROR(SUM(X241:X241),"0")</f>
        <v>0</v>
      </c>
      <c r="Y243" s="545">
        <f>IFERROR(SUM(Y241:Y241),"0")</f>
        <v>0</v>
      </c>
      <c r="Z243" s="37"/>
      <c r="AA243" s="546"/>
      <c r="AB243" s="546"/>
      <c r="AC243" s="546"/>
    </row>
    <row r="244" spans="1:68" ht="14.25" hidden="1" customHeight="1" x14ac:dyDescent="0.25">
      <c r="A244" s="556" t="s">
        <v>385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9"/>
      <c r="AB244" s="539"/>
      <c r="AC244" s="539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7">
        <v>4680115886704</v>
      </c>
      <c r="E245" s="548"/>
      <c r="F245" s="542">
        <v>5.5E-2</v>
      </c>
      <c r="G245" s="32">
        <v>18</v>
      </c>
      <c r="H245" s="542">
        <v>0.99</v>
      </c>
      <c r="I245" s="542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0"/>
      <c r="R245" s="550"/>
      <c r="S245" s="550"/>
      <c r="T245" s="551"/>
      <c r="U245" s="34"/>
      <c r="V245" s="34"/>
      <c r="W245" s="35" t="s">
        <v>69</v>
      </c>
      <c r="X245" s="543">
        <v>0</v>
      </c>
      <c r="Y245" s="544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7">
        <v>4680115886681</v>
      </c>
      <c r="E246" s="548"/>
      <c r="F246" s="542">
        <v>0.12</v>
      </c>
      <c r="G246" s="32">
        <v>15</v>
      </c>
      <c r="H246" s="542">
        <v>1.8</v>
      </c>
      <c r="I246" s="542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7">
        <v>4680115886735</v>
      </c>
      <c r="E247" s="548"/>
      <c r="F247" s="542">
        <v>0.05</v>
      </c>
      <c r="G247" s="32">
        <v>18</v>
      </c>
      <c r="H247" s="542">
        <v>0.9</v>
      </c>
      <c r="I247" s="542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7">
        <v>4680115886728</v>
      </c>
      <c r="E248" s="548"/>
      <c r="F248" s="542">
        <v>5.5E-2</v>
      </c>
      <c r="G248" s="32">
        <v>18</v>
      </c>
      <c r="H248" s="542">
        <v>0.99</v>
      </c>
      <c r="I248" s="542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7">
        <v>4680115886711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70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71"/>
      <c r="P250" s="560" t="s">
        <v>71</v>
      </c>
      <c r="Q250" s="561"/>
      <c r="R250" s="561"/>
      <c r="S250" s="561"/>
      <c r="T250" s="561"/>
      <c r="U250" s="561"/>
      <c r="V250" s="562"/>
      <c r="W250" s="37" t="s">
        <v>72</v>
      </c>
      <c r="X250" s="545">
        <f>IFERROR(X245/H245,"0")+IFERROR(X246/H246,"0")+IFERROR(X247/H247,"0")+IFERROR(X248/H248,"0")+IFERROR(X249/H249,"0")</f>
        <v>0</v>
      </c>
      <c r="Y250" s="545">
        <f>IFERROR(Y245/H245,"0")+IFERROR(Y246/H246,"0")+IFERROR(Y247/H247,"0")+IFERROR(Y248/H248,"0")+IFERROR(Y249/H249,"0")</f>
        <v>0</v>
      </c>
      <c r="Z250" s="545">
        <f>IFERROR(IF(Z245="",0,Z245),"0")+IFERROR(IF(Z246="",0,Z246),"0")+IFERROR(IF(Z247="",0,Z247),"0")+IFERROR(IF(Z248="",0,Z248),"0")+IFERROR(IF(Z249="",0,Z249),"0")</f>
        <v>0</v>
      </c>
      <c r="AA250" s="546"/>
      <c r="AB250" s="546"/>
      <c r="AC250" s="546"/>
    </row>
    <row r="251" spans="1:68" hidden="1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71"/>
      <c r="P251" s="560" t="s">
        <v>71</v>
      </c>
      <c r="Q251" s="561"/>
      <c r="R251" s="561"/>
      <c r="S251" s="561"/>
      <c r="T251" s="561"/>
      <c r="U251" s="561"/>
      <c r="V251" s="562"/>
      <c r="W251" s="37" t="s">
        <v>69</v>
      </c>
      <c r="X251" s="545">
        <f>IFERROR(SUM(X245:X249),"0")</f>
        <v>0</v>
      </c>
      <c r="Y251" s="545">
        <f>IFERROR(SUM(Y245:Y249),"0")</f>
        <v>0</v>
      </c>
      <c r="Z251" s="37"/>
      <c r="AA251" s="546"/>
      <c r="AB251" s="546"/>
      <c r="AC251" s="546"/>
    </row>
    <row r="252" spans="1:68" ht="16.5" hidden="1" customHeight="1" x14ac:dyDescent="0.25">
      <c r="A252" s="558" t="s">
        <v>397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8"/>
      <c r="AB252" s="538"/>
      <c r="AC252" s="538"/>
    </row>
    <row r="253" spans="1:68" ht="14.25" hidden="1" customHeight="1" x14ac:dyDescent="0.25">
      <c r="A253" s="556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9"/>
      <c r="AB253" s="539"/>
      <c r="AC253" s="539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7">
        <v>4680115885837</v>
      </c>
      <c r="E254" s="548"/>
      <c r="F254" s="542">
        <v>1.35</v>
      </c>
      <c r="G254" s="32">
        <v>8</v>
      </c>
      <c r="H254" s="542">
        <v>10.8</v>
      </c>
      <c r="I254" s="542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7">
        <v>4680115885851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7">
        <v>4680115885806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7">
        <v>4680115885844</v>
      </c>
      <c r="E257" s="548"/>
      <c r="F257" s="542">
        <v>0.4</v>
      </c>
      <c r="G257" s="32">
        <v>10</v>
      </c>
      <c r="H257" s="542">
        <v>4</v>
      </c>
      <c r="I257" s="542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7">
        <v>4680115885820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0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71"/>
      <c r="P259" s="560" t="s">
        <v>71</v>
      </c>
      <c r="Q259" s="561"/>
      <c r="R259" s="561"/>
      <c r="S259" s="561"/>
      <c r="T259" s="561"/>
      <c r="U259" s="561"/>
      <c r="V259" s="562"/>
      <c r="W259" s="37" t="s">
        <v>72</v>
      </c>
      <c r="X259" s="545">
        <f>IFERROR(X254/H254,"0")+IFERROR(X255/H255,"0")+IFERROR(X256/H256,"0")+IFERROR(X257/H257,"0")+IFERROR(X258/H258,"0")</f>
        <v>0</v>
      </c>
      <c r="Y259" s="545">
        <f>IFERROR(Y254/H254,"0")+IFERROR(Y255/H255,"0")+IFERROR(Y256/H256,"0")+IFERROR(Y257/H257,"0")+IFERROR(Y258/H258,"0")</f>
        <v>0</v>
      </c>
      <c r="Z259" s="545">
        <f>IFERROR(IF(Z254="",0,Z254),"0")+IFERROR(IF(Z255="",0,Z255),"0")+IFERROR(IF(Z256="",0,Z256),"0")+IFERROR(IF(Z257="",0,Z257),"0")+IFERROR(IF(Z258="",0,Z258),"0")</f>
        <v>0</v>
      </c>
      <c r="AA259" s="546"/>
      <c r="AB259" s="546"/>
      <c r="AC259" s="546"/>
    </row>
    <row r="260" spans="1:68" hidden="1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71"/>
      <c r="P260" s="560" t="s">
        <v>71</v>
      </c>
      <c r="Q260" s="561"/>
      <c r="R260" s="561"/>
      <c r="S260" s="561"/>
      <c r="T260" s="561"/>
      <c r="U260" s="561"/>
      <c r="V260" s="562"/>
      <c r="W260" s="37" t="s">
        <v>69</v>
      </c>
      <c r="X260" s="545">
        <f>IFERROR(SUM(X254:X258),"0")</f>
        <v>0</v>
      </c>
      <c r="Y260" s="545">
        <f>IFERROR(SUM(Y254:Y258),"0")</f>
        <v>0</v>
      </c>
      <c r="Z260" s="37"/>
      <c r="AA260" s="546"/>
      <c r="AB260" s="546"/>
      <c r="AC260" s="546"/>
    </row>
    <row r="261" spans="1:68" ht="16.5" hidden="1" customHeight="1" x14ac:dyDescent="0.25">
      <c r="A261" s="558" t="s">
        <v>413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8"/>
      <c r="AB261" s="538"/>
      <c r="AC261" s="538"/>
    </row>
    <row r="262" spans="1:68" ht="14.25" hidden="1" customHeight="1" x14ac:dyDescent="0.25">
      <c r="A262" s="556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9"/>
      <c r="AB262" s="539"/>
      <c r="AC262" s="539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7">
        <v>4607091383423</v>
      </c>
      <c r="E263" s="548"/>
      <c r="F263" s="542">
        <v>1.35</v>
      </c>
      <c r="G263" s="32">
        <v>8</v>
      </c>
      <c r="H263" s="542">
        <v>10.8</v>
      </c>
      <c r="I263" s="542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0"/>
      <c r="R263" s="550"/>
      <c r="S263" s="550"/>
      <c r="T263" s="551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7">
        <v>4680115886957</v>
      </c>
      <c r="E264" s="548"/>
      <c r="F264" s="542">
        <v>1.35</v>
      </c>
      <c r="G264" s="32">
        <v>8</v>
      </c>
      <c r="H264" s="542">
        <v>10.8</v>
      </c>
      <c r="I264" s="542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7">
        <v>4680115885660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7">
        <v>4680115886773</v>
      </c>
      <c r="E266" s="548"/>
      <c r="F266" s="542">
        <v>0.9</v>
      </c>
      <c r="G266" s="32">
        <v>10</v>
      </c>
      <c r="H266" s="542">
        <v>9</v>
      </c>
      <c r="I266" s="542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0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71"/>
      <c r="P267" s="560" t="s">
        <v>71</v>
      </c>
      <c r="Q267" s="561"/>
      <c r="R267" s="561"/>
      <c r="S267" s="561"/>
      <c r="T267" s="561"/>
      <c r="U267" s="561"/>
      <c r="V267" s="562"/>
      <c r="W267" s="37" t="s">
        <v>72</v>
      </c>
      <c r="X267" s="545">
        <f>IFERROR(X263/H263,"0")+IFERROR(X264/H264,"0")+IFERROR(X265/H265,"0")+IFERROR(X266/H266,"0")</f>
        <v>0</v>
      </c>
      <c r="Y267" s="545">
        <f>IFERROR(Y263/H263,"0")+IFERROR(Y264/H264,"0")+IFERROR(Y265/H265,"0")+IFERROR(Y266/H266,"0")</f>
        <v>0</v>
      </c>
      <c r="Z267" s="545">
        <f>IFERROR(IF(Z263="",0,Z263),"0")+IFERROR(IF(Z264="",0,Z264),"0")+IFERROR(IF(Z265="",0,Z265),"0")+IFERROR(IF(Z266="",0,Z266),"0")</f>
        <v>0</v>
      </c>
      <c r="AA267" s="546"/>
      <c r="AB267" s="546"/>
      <c r="AC267" s="546"/>
    </row>
    <row r="268" spans="1:68" hidden="1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71"/>
      <c r="P268" s="560" t="s">
        <v>71</v>
      </c>
      <c r="Q268" s="561"/>
      <c r="R268" s="561"/>
      <c r="S268" s="561"/>
      <c r="T268" s="561"/>
      <c r="U268" s="561"/>
      <c r="V268" s="562"/>
      <c r="W268" s="37" t="s">
        <v>69</v>
      </c>
      <c r="X268" s="545">
        <f>IFERROR(SUM(X263:X266),"0")</f>
        <v>0</v>
      </c>
      <c r="Y268" s="545">
        <f>IFERROR(SUM(Y263:Y266),"0")</f>
        <v>0</v>
      </c>
      <c r="Z268" s="37"/>
      <c r="AA268" s="546"/>
      <c r="AB268" s="546"/>
      <c r="AC268" s="546"/>
    </row>
    <row r="269" spans="1:68" ht="16.5" hidden="1" customHeight="1" x14ac:dyDescent="0.25">
      <c r="A269" s="558" t="s">
        <v>424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8"/>
      <c r="AB269" s="538"/>
      <c r="AC269" s="538"/>
    </row>
    <row r="270" spans="1:68" ht="14.25" hidden="1" customHeight="1" x14ac:dyDescent="0.25">
      <c r="A270" s="556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9"/>
      <c r="AB270" s="539"/>
      <c r="AC270" s="539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7">
        <v>4680115886186</v>
      </c>
      <c r="E271" s="548"/>
      <c r="F271" s="542">
        <v>0.3</v>
      </c>
      <c r="G271" s="32">
        <v>6</v>
      </c>
      <c r="H271" s="542">
        <v>1.8</v>
      </c>
      <c r="I271" s="542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7">
        <v>4680115881228</v>
      </c>
      <c r="E272" s="548"/>
      <c r="F272" s="542">
        <v>0.4</v>
      </c>
      <c r="G272" s="32">
        <v>6</v>
      </c>
      <c r="H272" s="542">
        <v>2.4</v>
      </c>
      <c r="I272" s="542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7">
        <v>4680115881211</v>
      </c>
      <c r="E273" s="548"/>
      <c r="F273" s="542">
        <v>0.4</v>
      </c>
      <c r="G273" s="32">
        <v>6</v>
      </c>
      <c r="H273" s="542">
        <v>2.4</v>
      </c>
      <c r="I273" s="542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3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7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71"/>
      <c r="P274" s="560" t="s">
        <v>71</v>
      </c>
      <c r="Q274" s="561"/>
      <c r="R274" s="561"/>
      <c r="S274" s="561"/>
      <c r="T274" s="561"/>
      <c r="U274" s="561"/>
      <c r="V274" s="562"/>
      <c r="W274" s="37" t="s">
        <v>72</v>
      </c>
      <c r="X274" s="545">
        <f>IFERROR(X271/H271,"0")+IFERROR(X272/H272,"0")+IFERROR(X273/H273,"0")</f>
        <v>0</v>
      </c>
      <c r="Y274" s="545">
        <f>IFERROR(Y271/H271,"0")+IFERROR(Y272/H272,"0")+IFERROR(Y273/H273,"0")</f>
        <v>0</v>
      </c>
      <c r="Z274" s="545">
        <f>IFERROR(IF(Z271="",0,Z271),"0")+IFERROR(IF(Z272="",0,Z272),"0")+IFERROR(IF(Z273="",0,Z273),"0")</f>
        <v>0</v>
      </c>
      <c r="AA274" s="546"/>
      <c r="AB274" s="546"/>
      <c r="AC274" s="546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71"/>
      <c r="P275" s="560" t="s">
        <v>71</v>
      </c>
      <c r="Q275" s="561"/>
      <c r="R275" s="561"/>
      <c r="S275" s="561"/>
      <c r="T275" s="561"/>
      <c r="U275" s="561"/>
      <c r="V275" s="562"/>
      <c r="W275" s="37" t="s">
        <v>69</v>
      </c>
      <c r="X275" s="545">
        <f>IFERROR(SUM(X271:X273),"0")</f>
        <v>0</v>
      </c>
      <c r="Y275" s="545">
        <f>IFERROR(SUM(Y271:Y273),"0")</f>
        <v>0</v>
      </c>
      <c r="Z275" s="37"/>
      <c r="AA275" s="546"/>
      <c r="AB275" s="546"/>
      <c r="AC275" s="546"/>
    </row>
    <row r="276" spans="1:68" ht="16.5" hidden="1" customHeight="1" x14ac:dyDescent="0.25">
      <c r="A276" s="558" t="s">
        <v>433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8"/>
      <c r="AB276" s="538"/>
      <c r="AC276" s="538"/>
    </row>
    <row r="277" spans="1:68" ht="14.25" hidden="1" customHeight="1" x14ac:dyDescent="0.25">
      <c r="A277" s="556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9"/>
      <c r="AB277" s="539"/>
      <c r="AC277" s="539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7">
        <v>4680115880344</v>
      </c>
      <c r="E278" s="548"/>
      <c r="F278" s="542">
        <v>0.28000000000000003</v>
      </c>
      <c r="G278" s="32">
        <v>6</v>
      </c>
      <c r="H278" s="542">
        <v>1.68</v>
      </c>
      <c r="I278" s="542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0"/>
      <c r="R278" s="550"/>
      <c r="S278" s="550"/>
      <c r="T278" s="551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7">
        <v>4680115886919</v>
      </c>
      <c r="E279" s="548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0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71"/>
      <c r="P280" s="560" t="s">
        <v>71</v>
      </c>
      <c r="Q280" s="561"/>
      <c r="R280" s="561"/>
      <c r="S280" s="561"/>
      <c r="T280" s="561"/>
      <c r="U280" s="561"/>
      <c r="V280" s="562"/>
      <c r="W280" s="37" t="s">
        <v>72</v>
      </c>
      <c r="X280" s="545">
        <f>IFERROR(X278/H278,"0")+IFERROR(X279/H279,"0")</f>
        <v>0</v>
      </c>
      <c r="Y280" s="545">
        <f>IFERROR(Y278/H278,"0")+IFERROR(Y279/H279,"0")</f>
        <v>0</v>
      </c>
      <c r="Z280" s="545">
        <f>IFERROR(IF(Z278="",0,Z278),"0")+IFERROR(IF(Z279="",0,Z279),"0")</f>
        <v>0</v>
      </c>
      <c r="AA280" s="546"/>
      <c r="AB280" s="546"/>
      <c r="AC280" s="546"/>
    </row>
    <row r="281" spans="1:68" hidden="1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71"/>
      <c r="P281" s="560" t="s">
        <v>71</v>
      </c>
      <c r="Q281" s="561"/>
      <c r="R281" s="561"/>
      <c r="S281" s="561"/>
      <c r="T281" s="561"/>
      <c r="U281" s="561"/>
      <c r="V281" s="562"/>
      <c r="W281" s="37" t="s">
        <v>69</v>
      </c>
      <c r="X281" s="545">
        <f>IFERROR(SUM(X278:X279),"0")</f>
        <v>0</v>
      </c>
      <c r="Y281" s="545">
        <f>IFERROR(SUM(Y278:Y279),"0")</f>
        <v>0</v>
      </c>
      <c r="Z281" s="37"/>
      <c r="AA281" s="546"/>
      <c r="AB281" s="546"/>
      <c r="AC281" s="546"/>
    </row>
    <row r="282" spans="1:68" ht="14.25" hidden="1" customHeight="1" x14ac:dyDescent="0.25">
      <c r="A282" s="556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9"/>
      <c r="AB282" s="539"/>
      <c r="AC282" s="539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7">
        <v>4680115884618</v>
      </c>
      <c r="E283" s="548"/>
      <c r="F283" s="542">
        <v>0.6</v>
      </c>
      <c r="G283" s="32">
        <v>6</v>
      </c>
      <c r="H283" s="542">
        <v>3.6</v>
      </c>
      <c r="I283" s="542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0"/>
      <c r="R283" s="550"/>
      <c r="S283" s="550"/>
      <c r="T283" s="551"/>
      <c r="U283" s="34"/>
      <c r="V283" s="34"/>
      <c r="W283" s="35" t="s">
        <v>69</v>
      </c>
      <c r="X283" s="543">
        <v>0</v>
      </c>
      <c r="Y283" s="544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70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71"/>
      <c r="P285" s="560" t="s">
        <v>71</v>
      </c>
      <c r="Q285" s="561"/>
      <c r="R285" s="561"/>
      <c r="S285" s="561"/>
      <c r="T285" s="561"/>
      <c r="U285" s="561"/>
      <c r="V285" s="562"/>
      <c r="W285" s="37" t="s">
        <v>72</v>
      </c>
      <c r="X285" s="545">
        <f>IFERROR(X283/H283,"0")+IFERROR(X284/H284,"0")</f>
        <v>0</v>
      </c>
      <c r="Y285" s="545">
        <f>IFERROR(Y283/H283,"0")+IFERROR(Y284/H284,"0")</f>
        <v>0</v>
      </c>
      <c r="Z285" s="545">
        <f>IFERROR(IF(Z283="",0,Z283),"0")+IFERROR(IF(Z284="",0,Z284),"0")</f>
        <v>0</v>
      </c>
      <c r="AA285" s="546"/>
      <c r="AB285" s="546"/>
      <c r="AC285" s="546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71"/>
      <c r="P286" s="560" t="s">
        <v>71</v>
      </c>
      <c r="Q286" s="561"/>
      <c r="R286" s="561"/>
      <c r="S286" s="561"/>
      <c r="T286" s="561"/>
      <c r="U286" s="561"/>
      <c r="V286" s="562"/>
      <c r="W286" s="37" t="s">
        <v>69</v>
      </c>
      <c r="X286" s="545">
        <f>IFERROR(SUM(X283:X284),"0")</f>
        <v>0</v>
      </c>
      <c r="Y286" s="545">
        <f>IFERROR(SUM(Y283:Y284),"0")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8" t="s">
        <v>446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8"/>
      <c r="AB287" s="538"/>
      <c r="AC287" s="538"/>
    </row>
    <row r="288" spans="1:68" ht="14.25" hidden="1" customHeight="1" x14ac:dyDescent="0.25">
      <c r="A288" s="556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9"/>
      <c r="AB288" s="539"/>
      <c r="AC288" s="539"/>
    </row>
    <row r="289" spans="1:68" ht="27" hidden="1" customHeight="1" x14ac:dyDescent="0.25">
      <c r="A289" s="54" t="s">
        <v>447</v>
      </c>
      <c r="B289" s="54" t="s">
        <v>448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2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450</v>
      </c>
      <c r="B290" s="54" t="s">
        <v>451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453</v>
      </c>
      <c r="B291" s="54" t="s">
        <v>454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461</v>
      </c>
      <c r="B294" s="54" t="s">
        <v>462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463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70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71"/>
      <c r="P295" s="560" t="s">
        <v>71</v>
      </c>
      <c r="Q295" s="561"/>
      <c r="R295" s="561"/>
      <c r="S295" s="561"/>
      <c r="T295" s="561"/>
      <c r="U295" s="561"/>
      <c r="V295" s="562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71"/>
      <c r="P296" s="560" t="s">
        <v>71</v>
      </c>
      <c r="Q296" s="561"/>
      <c r="R296" s="561"/>
      <c r="S296" s="561"/>
      <c r="T296" s="561"/>
      <c r="U296" s="561"/>
      <c r="V296" s="562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56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9"/>
      <c r="AB297" s="539"/>
      <c r="AC297" s="539"/>
    </row>
    <row r="298" spans="1:68" ht="27" customHeight="1" x14ac:dyDescent="0.25">
      <c r="A298" s="54" t="s">
        <v>464</v>
      </c>
      <c r="B298" s="54" t="s">
        <v>465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100</v>
      </c>
      <c r="Y298" s="544">
        <f t="shared" ref="Y298:Y304" si="31">IFERROR(IF(X298="",0,CEILING((X298/$H298),1)*$H298),"")</f>
        <v>100.80000000000001</v>
      </c>
      <c r="Z298" s="36">
        <f>IFERROR(IF(Y298=0,"",ROUNDUP(Y298/H298,0)*0.00902),"")</f>
        <v>0.21648000000000001</v>
      </c>
      <c r="AA298" s="56"/>
      <c r="AB298" s="57"/>
      <c r="AC298" s="343" t="s">
        <v>466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105.95238095238095</v>
      </c>
      <c r="BN298" s="64">
        <f t="shared" ref="BN298:BN304" si="33">IFERROR(Y298*I298/H298,"0")</f>
        <v>106.80000000000001</v>
      </c>
      <c r="BO298" s="64">
        <f t="shared" ref="BO298:BO304" si="34">IFERROR(1/J298*(X298/H298),"0")</f>
        <v>0.18037518037518038</v>
      </c>
      <c r="BP298" s="64">
        <f t="shared" ref="BP298:BP304" si="35">IFERROR(1/J298*(Y298/H298),"0")</f>
        <v>0.18181818181818182</v>
      </c>
    </row>
    <row r="299" spans="1:68" ht="27" customHeight="1" x14ac:dyDescent="0.25">
      <c r="A299" s="54" t="s">
        <v>467</v>
      </c>
      <c r="B299" s="54" t="s">
        <v>468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40</v>
      </c>
      <c r="Y299" s="544">
        <f t="shared" si="31"/>
        <v>42</v>
      </c>
      <c r="Z299" s="36">
        <f>IFERROR(IF(Y299=0,"",ROUNDUP(Y299/H299,0)*0.00902),"")</f>
        <v>9.0200000000000002E-2</v>
      </c>
      <c r="AA299" s="56"/>
      <c r="AB299" s="57"/>
      <c r="AC299" s="345" t="s">
        <v>469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42.38095238095238</v>
      </c>
      <c r="BN299" s="64">
        <f t="shared" si="33"/>
        <v>44.5</v>
      </c>
      <c r="BO299" s="64">
        <f t="shared" si="34"/>
        <v>7.2150072150072145E-2</v>
      </c>
      <c r="BP299" s="64">
        <f t="shared" si="35"/>
        <v>7.575757575757576E-2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472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469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266</v>
      </c>
      <c r="M302" s="33" t="s">
        <v>68</v>
      </c>
      <c r="N302" s="33"/>
      <c r="O302" s="32">
        <v>40</v>
      </c>
      <c r="P302" s="5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477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477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480</v>
      </c>
      <c r="B304" s="54" t="s">
        <v>481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482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70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71"/>
      <c r="P305" s="560" t="s">
        <v>71</v>
      </c>
      <c r="Q305" s="561"/>
      <c r="R305" s="561"/>
      <c r="S305" s="561"/>
      <c r="T305" s="561"/>
      <c r="U305" s="561"/>
      <c r="V305" s="562"/>
      <c r="W305" s="37" t="s">
        <v>72</v>
      </c>
      <c r="X305" s="545">
        <f>IFERROR(X298/H298,"0")+IFERROR(X299/H299,"0")+IFERROR(X300/H300,"0")+IFERROR(X301/H301,"0")+IFERROR(X302/H302,"0")+IFERROR(X303/H303,"0")+IFERROR(X304/H304,"0")</f>
        <v>33.333333333333336</v>
      </c>
      <c r="Y305" s="545">
        <f>IFERROR(Y298/H298,"0")+IFERROR(Y299/H299,"0")+IFERROR(Y300/H300,"0")+IFERROR(Y301/H301,"0")+IFERROR(Y302/H302,"0")+IFERROR(Y303/H303,"0")+IFERROR(Y304/H304,"0")</f>
        <v>34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0.30668000000000001</v>
      </c>
      <c r="AA305" s="546"/>
      <c r="AB305" s="546"/>
      <c r="AC305" s="546"/>
    </row>
    <row r="306" spans="1:68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71"/>
      <c r="P306" s="560" t="s">
        <v>71</v>
      </c>
      <c r="Q306" s="561"/>
      <c r="R306" s="561"/>
      <c r="S306" s="561"/>
      <c r="T306" s="561"/>
      <c r="U306" s="561"/>
      <c r="V306" s="562"/>
      <c r="W306" s="37" t="s">
        <v>69</v>
      </c>
      <c r="X306" s="545">
        <f>IFERROR(SUM(X298:X304),"0")</f>
        <v>140</v>
      </c>
      <c r="Y306" s="545">
        <f>IFERROR(SUM(Y298:Y304),"0")</f>
        <v>142.80000000000001</v>
      </c>
      <c r="Z306" s="37"/>
      <c r="AA306" s="546"/>
      <c r="AB306" s="546"/>
      <c r="AC306" s="546"/>
    </row>
    <row r="307" spans="1:68" ht="14.25" hidden="1" customHeight="1" x14ac:dyDescent="0.25">
      <c r="A307" s="556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9"/>
      <c r="AB307" s="539"/>
      <c r="AC307" s="539"/>
    </row>
    <row r="308" spans="1:68" ht="27" customHeight="1" x14ac:dyDescent="0.25">
      <c r="A308" s="54" t="s">
        <v>483</v>
      </c>
      <c r="B308" s="54" t="s">
        <v>484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3000</v>
      </c>
      <c r="Y308" s="544">
        <f>IFERROR(IF(X308="",0,CEILING((X308/$H308),1)*$H308),"")</f>
        <v>3003</v>
      </c>
      <c r="Z308" s="36">
        <f>IFERROR(IF(Y308=0,"",ROUNDUP(Y308/H308,0)*0.01898),"")</f>
        <v>7.3073000000000006</v>
      </c>
      <c r="AA308" s="56"/>
      <c r="AB308" s="57"/>
      <c r="AC308" s="357" t="s">
        <v>485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3187.6923076923076</v>
      </c>
      <c r="BN308" s="64">
        <f>IFERROR(Y308*I308/H308,"0")</f>
        <v>3190.88</v>
      </c>
      <c r="BO308" s="64">
        <f>IFERROR(1/J308*(X308/H308),"0")</f>
        <v>6.009615384615385</v>
      </c>
      <c r="BP308" s="64">
        <f>IFERROR(1/J308*(Y308/H308),"0")</f>
        <v>6.015625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492</v>
      </c>
      <c r="B311" s="54" t="s">
        <v>493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70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71"/>
      <c r="P312" s="560" t="s">
        <v>71</v>
      </c>
      <c r="Q312" s="561"/>
      <c r="R312" s="561"/>
      <c r="S312" s="561"/>
      <c r="T312" s="561"/>
      <c r="U312" s="561"/>
      <c r="V312" s="562"/>
      <c r="W312" s="37" t="s">
        <v>72</v>
      </c>
      <c r="X312" s="545">
        <f>IFERROR(X308/H308,"0")+IFERROR(X309/H309,"0")+IFERROR(X310/H310,"0")+IFERROR(X311/H311,"0")</f>
        <v>384.61538461538464</v>
      </c>
      <c r="Y312" s="545">
        <f>IFERROR(Y308/H308,"0")+IFERROR(Y309/H309,"0")+IFERROR(Y310/H310,"0")+IFERROR(Y311/H311,"0")</f>
        <v>385</v>
      </c>
      <c r="Z312" s="545">
        <f>IFERROR(IF(Z308="",0,Z308),"0")+IFERROR(IF(Z309="",0,Z309),"0")+IFERROR(IF(Z310="",0,Z310),"0")+IFERROR(IF(Z311="",0,Z311),"0")</f>
        <v>7.3073000000000006</v>
      </c>
      <c r="AA312" s="546"/>
      <c r="AB312" s="546"/>
      <c r="AC312" s="546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71"/>
      <c r="P313" s="560" t="s">
        <v>71</v>
      </c>
      <c r="Q313" s="561"/>
      <c r="R313" s="561"/>
      <c r="S313" s="561"/>
      <c r="T313" s="561"/>
      <c r="U313" s="561"/>
      <c r="V313" s="562"/>
      <c r="W313" s="37" t="s">
        <v>69</v>
      </c>
      <c r="X313" s="545">
        <f>IFERROR(SUM(X308:X311),"0")</f>
        <v>3000</v>
      </c>
      <c r="Y313" s="545">
        <f>IFERROR(SUM(Y308:Y311),"0")</f>
        <v>3003</v>
      </c>
      <c r="Z313" s="37"/>
      <c r="AA313" s="546"/>
      <c r="AB313" s="546"/>
      <c r="AC313" s="546"/>
    </row>
    <row r="314" spans="1:68" ht="14.25" hidden="1" customHeight="1" x14ac:dyDescent="0.25">
      <c r="A314" s="556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9"/>
      <c r="AB314" s="539"/>
      <c r="AC314" s="539"/>
    </row>
    <row r="315" spans="1:68" ht="27" customHeight="1" x14ac:dyDescent="0.25">
      <c r="A315" s="54" t="s">
        <v>495</v>
      </c>
      <c r="B315" s="54" t="s">
        <v>496</v>
      </c>
      <c r="C315" s="31">
        <v>4301060387</v>
      </c>
      <c r="D315" s="547">
        <v>4607091380880</v>
      </c>
      <c r="E315" s="548"/>
      <c r="F315" s="542">
        <v>1.4</v>
      </c>
      <c r="G315" s="32">
        <v>6</v>
      </c>
      <c r="H315" s="542">
        <v>8.4</v>
      </c>
      <c r="I315" s="542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0"/>
      <c r="R315" s="550"/>
      <c r="S315" s="550"/>
      <c r="T315" s="551"/>
      <c r="U315" s="34"/>
      <c r="V315" s="34"/>
      <c r="W315" s="35" t="s">
        <v>69</v>
      </c>
      <c r="X315" s="543">
        <v>140</v>
      </c>
      <c r="Y315" s="544">
        <f>IFERROR(IF(X315="",0,CEILING((X315/$H315),1)*$H315),"")</f>
        <v>142.80000000000001</v>
      </c>
      <c r="Z315" s="36">
        <f>IFERROR(IF(Y315=0,"",ROUNDUP(Y315/H315,0)*0.01898),"")</f>
        <v>0.32266</v>
      </c>
      <c r="AA315" s="56"/>
      <c r="AB315" s="57"/>
      <c r="AC315" s="365" t="s">
        <v>497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148.23333333333335</v>
      </c>
      <c r="BN315" s="64">
        <f>IFERROR(Y315*I315/H315,"0")</f>
        <v>151.19800000000001</v>
      </c>
      <c r="BO315" s="64">
        <f>IFERROR(1/J315*(X315/H315),"0")</f>
        <v>0.26041666666666663</v>
      </c>
      <c r="BP315" s="64">
        <f>IFERROR(1/J315*(Y315/H315),"0")</f>
        <v>0.265625</v>
      </c>
    </row>
    <row r="316" spans="1:68" ht="27" customHeight="1" x14ac:dyDescent="0.25">
      <c r="A316" s="54" t="s">
        <v>498</v>
      </c>
      <c r="B316" s="54" t="s">
        <v>499</v>
      </c>
      <c r="C316" s="31">
        <v>4301060406</v>
      </c>
      <c r="D316" s="547">
        <v>4607091384482</v>
      </c>
      <c r="E316" s="548"/>
      <c r="F316" s="542">
        <v>1.3</v>
      </c>
      <c r="G316" s="32">
        <v>6</v>
      </c>
      <c r="H316" s="542">
        <v>7.8</v>
      </c>
      <c r="I316" s="542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700</v>
      </c>
      <c r="Y316" s="544">
        <f>IFERROR(IF(X316="",0,CEILING((X316/$H316),1)*$H316),"")</f>
        <v>702</v>
      </c>
      <c r="Z316" s="36">
        <f>IFERROR(IF(Y316=0,"",ROUNDUP(Y316/H316,0)*0.01898),"")</f>
        <v>1.7081999999999999</v>
      </c>
      <c r="AA316" s="56"/>
      <c r="AB316" s="57"/>
      <c r="AC316" s="367" t="s">
        <v>500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744.33333333333337</v>
      </c>
      <c r="BN316" s="64">
        <f>IFERROR(Y316*I316/H316,"0")</f>
        <v>746.46</v>
      </c>
      <c r="BO316" s="64">
        <f>IFERROR(1/J316*(X316/H316),"0")</f>
        <v>1.4022435897435899</v>
      </c>
      <c r="BP316" s="64">
        <f>IFERROR(1/J316*(Y316/H316),"0")</f>
        <v>1.40625</v>
      </c>
    </row>
    <row r="317" spans="1:68" ht="16.5" hidden="1" customHeight="1" x14ac:dyDescent="0.25">
      <c r="A317" s="54" t="s">
        <v>501</v>
      </c>
      <c r="B317" s="54" t="s">
        <v>502</v>
      </c>
      <c r="C317" s="31">
        <v>4301060484</v>
      </c>
      <c r="D317" s="547">
        <v>4607091380897</v>
      </c>
      <c r="E317" s="548"/>
      <c r="F317" s="542">
        <v>1.4</v>
      </c>
      <c r="G317" s="32">
        <v>6</v>
      </c>
      <c r="H317" s="542">
        <v>8.4</v>
      </c>
      <c r="I317" s="542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70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71"/>
      <c r="P318" s="560" t="s">
        <v>71</v>
      </c>
      <c r="Q318" s="561"/>
      <c r="R318" s="561"/>
      <c r="S318" s="561"/>
      <c r="T318" s="561"/>
      <c r="U318" s="561"/>
      <c r="V318" s="562"/>
      <c r="W318" s="37" t="s">
        <v>72</v>
      </c>
      <c r="X318" s="545">
        <f>IFERROR(X315/H315,"0")+IFERROR(X316/H316,"0")+IFERROR(X317/H317,"0")</f>
        <v>106.41025641025641</v>
      </c>
      <c r="Y318" s="545">
        <f>IFERROR(Y315/H315,"0")+IFERROR(Y316/H316,"0")+IFERROR(Y317/H317,"0")</f>
        <v>107</v>
      </c>
      <c r="Z318" s="545">
        <f>IFERROR(IF(Z315="",0,Z315),"0")+IFERROR(IF(Z316="",0,Z316),"0")+IFERROR(IF(Z317="",0,Z317),"0")</f>
        <v>2.0308600000000001</v>
      </c>
      <c r="AA318" s="546"/>
      <c r="AB318" s="546"/>
      <c r="AC318" s="546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71"/>
      <c r="P319" s="560" t="s">
        <v>71</v>
      </c>
      <c r="Q319" s="561"/>
      <c r="R319" s="561"/>
      <c r="S319" s="561"/>
      <c r="T319" s="561"/>
      <c r="U319" s="561"/>
      <c r="V319" s="562"/>
      <c r="W319" s="37" t="s">
        <v>69</v>
      </c>
      <c r="X319" s="545">
        <f>IFERROR(SUM(X315:X317),"0")</f>
        <v>840</v>
      </c>
      <c r="Y319" s="545">
        <f>IFERROR(SUM(Y315:Y317),"0")</f>
        <v>844.8</v>
      </c>
      <c r="Z319" s="37"/>
      <c r="AA319" s="546"/>
      <c r="AB319" s="546"/>
      <c r="AC319" s="546"/>
    </row>
    <row r="320" spans="1:68" ht="14.25" hidden="1" customHeight="1" x14ac:dyDescent="0.25">
      <c r="A320" s="556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9"/>
      <c r="AB320" s="539"/>
      <c r="AC320" s="539"/>
    </row>
    <row r="321" spans="1:68" ht="27" hidden="1" customHeight="1" x14ac:dyDescent="0.25">
      <c r="A321" s="54" t="s">
        <v>504</v>
      </c>
      <c r="B321" s="54" t="s">
        <v>505</v>
      </c>
      <c r="C321" s="31">
        <v>4301030235</v>
      </c>
      <c r="D321" s="547">
        <v>4607091388381</v>
      </c>
      <c r="E321" s="548"/>
      <c r="F321" s="542">
        <v>0.38</v>
      </c>
      <c r="G321" s="32">
        <v>8</v>
      </c>
      <c r="H321" s="542">
        <v>3.04</v>
      </c>
      <c r="I321" s="542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0"/>
      <c r="R321" s="550"/>
      <c r="S321" s="550"/>
      <c r="T321" s="551"/>
      <c r="U321" s="34"/>
      <c r="V321" s="34"/>
      <c r="W321" s="35" t="s">
        <v>69</v>
      </c>
      <c r="X321" s="543">
        <v>0</v>
      </c>
      <c r="Y321" s="544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4301030232</v>
      </c>
      <c r="D322" s="547">
        <v>4607091388374</v>
      </c>
      <c r="E322" s="548"/>
      <c r="F322" s="542">
        <v>0.38</v>
      </c>
      <c r="G322" s="32">
        <v>8</v>
      </c>
      <c r="H322" s="542">
        <v>3.04</v>
      </c>
      <c r="I322" s="542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4301032015</v>
      </c>
      <c r="D323" s="547">
        <v>4607091383102</v>
      </c>
      <c r="E323" s="548"/>
      <c r="F323" s="542">
        <v>0.17</v>
      </c>
      <c r="G323" s="32">
        <v>15</v>
      </c>
      <c r="H323" s="542">
        <v>2.5499999999999998</v>
      </c>
      <c r="I323" s="542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511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512</v>
      </c>
      <c r="B324" s="54" t="s">
        <v>513</v>
      </c>
      <c r="C324" s="31">
        <v>4301030233</v>
      </c>
      <c r="D324" s="547">
        <v>4607091388404</v>
      </c>
      <c r="E324" s="548"/>
      <c r="F324" s="542">
        <v>0.17</v>
      </c>
      <c r="G324" s="32">
        <v>15</v>
      </c>
      <c r="H324" s="542">
        <v>2.5499999999999998</v>
      </c>
      <c r="I324" s="542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9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70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71"/>
      <c r="P325" s="560" t="s">
        <v>71</v>
      </c>
      <c r="Q325" s="561"/>
      <c r="R325" s="561"/>
      <c r="S325" s="561"/>
      <c r="T325" s="561"/>
      <c r="U325" s="561"/>
      <c r="V325" s="562"/>
      <c r="W325" s="37" t="s">
        <v>72</v>
      </c>
      <c r="X325" s="545">
        <f>IFERROR(X321/H321,"0")+IFERROR(X322/H322,"0")+IFERROR(X323/H323,"0")+IFERROR(X324/H324,"0")</f>
        <v>0</v>
      </c>
      <c r="Y325" s="545">
        <f>IFERROR(Y321/H321,"0")+IFERROR(Y322/H322,"0")+IFERROR(Y323/H323,"0")+IFERROR(Y324/H324,"0")</f>
        <v>0</v>
      </c>
      <c r="Z325" s="545">
        <f>IFERROR(IF(Z321="",0,Z321),"0")+IFERROR(IF(Z322="",0,Z322),"0")+IFERROR(IF(Z323="",0,Z323),"0")+IFERROR(IF(Z324="",0,Z324),"0")</f>
        <v>0</v>
      </c>
      <c r="AA325" s="546"/>
      <c r="AB325" s="546"/>
      <c r="AC325" s="546"/>
    </row>
    <row r="326" spans="1:68" hidden="1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71"/>
      <c r="P326" s="560" t="s">
        <v>71</v>
      </c>
      <c r="Q326" s="561"/>
      <c r="R326" s="561"/>
      <c r="S326" s="561"/>
      <c r="T326" s="561"/>
      <c r="U326" s="561"/>
      <c r="V326" s="562"/>
      <c r="W326" s="37" t="s">
        <v>69</v>
      </c>
      <c r="X326" s="545">
        <f>IFERROR(SUM(X321:X324),"0")</f>
        <v>0</v>
      </c>
      <c r="Y326" s="545">
        <f>IFERROR(SUM(Y321:Y324),"0")</f>
        <v>0</v>
      </c>
      <c r="Z326" s="37"/>
      <c r="AA326" s="546"/>
      <c r="AB326" s="546"/>
      <c r="AC326" s="546"/>
    </row>
    <row r="327" spans="1:68" ht="14.25" hidden="1" customHeight="1" x14ac:dyDescent="0.25">
      <c r="A327" s="556" t="s">
        <v>514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9"/>
      <c r="AB327" s="539"/>
      <c r="AC327" s="539"/>
    </row>
    <row r="328" spans="1:68" ht="16.5" hidden="1" customHeight="1" x14ac:dyDescent="0.25">
      <c r="A328" s="54" t="s">
        <v>515</v>
      </c>
      <c r="B328" s="54" t="s">
        <v>516</v>
      </c>
      <c r="C328" s="31">
        <v>4301180007</v>
      </c>
      <c r="D328" s="547">
        <v>4680115881808</v>
      </c>
      <c r="E328" s="548"/>
      <c r="F328" s="542">
        <v>0.1</v>
      </c>
      <c r="G328" s="32">
        <v>20</v>
      </c>
      <c r="H328" s="542">
        <v>2</v>
      </c>
      <c r="I328" s="542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0"/>
      <c r="R328" s="550"/>
      <c r="S328" s="550"/>
      <c r="T328" s="551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519</v>
      </c>
      <c r="B329" s="54" t="s">
        <v>520</v>
      </c>
      <c r="C329" s="31">
        <v>4301180006</v>
      </c>
      <c r="D329" s="547">
        <v>4680115881822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517</v>
      </c>
      <c r="N329" s="33"/>
      <c r="O329" s="32">
        <v>730</v>
      </c>
      <c r="P329" s="6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521</v>
      </c>
      <c r="B330" s="54" t="s">
        <v>522</v>
      </c>
      <c r="C330" s="31">
        <v>4301180001</v>
      </c>
      <c r="D330" s="547">
        <v>4680115880016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517</v>
      </c>
      <c r="N330" s="33"/>
      <c r="O330" s="32">
        <v>730</v>
      </c>
      <c r="P330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518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71"/>
      <c r="P331" s="560" t="s">
        <v>71</v>
      </c>
      <c r="Q331" s="561"/>
      <c r="R331" s="561"/>
      <c r="S331" s="561"/>
      <c r="T331" s="561"/>
      <c r="U331" s="561"/>
      <c r="V331" s="562"/>
      <c r="W331" s="37" t="s">
        <v>72</v>
      </c>
      <c r="X331" s="545">
        <f>IFERROR(X328/H328,"0")+IFERROR(X329/H329,"0")+IFERROR(X330/H330,"0")</f>
        <v>0</v>
      </c>
      <c r="Y331" s="545">
        <f>IFERROR(Y328/H328,"0")+IFERROR(Y329/H329,"0")+IFERROR(Y330/H330,"0")</f>
        <v>0</v>
      </c>
      <c r="Z331" s="545">
        <f>IFERROR(IF(Z328="",0,Z328),"0")+IFERROR(IF(Z329="",0,Z329),"0")+IFERROR(IF(Z330="",0,Z330),"0")</f>
        <v>0</v>
      </c>
      <c r="AA331" s="546"/>
      <c r="AB331" s="546"/>
      <c r="AC331" s="546"/>
    </row>
    <row r="332" spans="1:68" hidden="1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71"/>
      <c r="P332" s="560" t="s">
        <v>71</v>
      </c>
      <c r="Q332" s="561"/>
      <c r="R332" s="561"/>
      <c r="S332" s="561"/>
      <c r="T332" s="561"/>
      <c r="U332" s="561"/>
      <c r="V332" s="562"/>
      <c r="W332" s="37" t="s">
        <v>69</v>
      </c>
      <c r="X332" s="545">
        <f>IFERROR(SUM(X328:X330),"0")</f>
        <v>0</v>
      </c>
      <c r="Y332" s="545">
        <f>IFERROR(SUM(Y328:Y330),"0")</f>
        <v>0</v>
      </c>
      <c r="Z332" s="37"/>
      <c r="AA332" s="546"/>
      <c r="AB332" s="546"/>
      <c r="AC332" s="546"/>
    </row>
    <row r="333" spans="1:68" ht="16.5" hidden="1" customHeight="1" x14ac:dyDescent="0.25">
      <c r="A333" s="558" t="s">
        <v>523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8"/>
      <c r="AB333" s="538"/>
      <c r="AC333" s="538"/>
    </row>
    <row r="334" spans="1:68" ht="14.25" hidden="1" customHeight="1" x14ac:dyDescent="0.25">
      <c r="A334" s="556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9"/>
      <c r="AB334" s="539"/>
      <c r="AC334" s="539"/>
    </row>
    <row r="335" spans="1:68" ht="27" customHeight="1" x14ac:dyDescent="0.25">
      <c r="A335" s="54" t="s">
        <v>524</v>
      </c>
      <c r="B335" s="54" t="s">
        <v>525</v>
      </c>
      <c r="C335" s="31">
        <v>4301051489</v>
      </c>
      <c r="D335" s="547">
        <v>4607091387919</v>
      </c>
      <c r="E335" s="548"/>
      <c r="F335" s="542">
        <v>1.35</v>
      </c>
      <c r="G335" s="32">
        <v>6</v>
      </c>
      <c r="H335" s="542">
        <v>8.1</v>
      </c>
      <c r="I335" s="542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3">
        <v>60</v>
      </c>
      <c r="Y335" s="544">
        <f>IFERROR(IF(X335="",0,CEILING((X335/$H335),1)*$H335),"")</f>
        <v>64.8</v>
      </c>
      <c r="Z335" s="36">
        <f>IFERROR(IF(Y335=0,"",ROUNDUP(Y335/H335,0)*0.01898),"")</f>
        <v>0.15184</v>
      </c>
      <c r="AA335" s="56"/>
      <c r="AB335" s="57"/>
      <c r="AC335" s="385" t="s">
        <v>526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63.659259259259258</v>
      </c>
      <c r="BN335" s="64">
        <f>IFERROR(Y335*I335/H335,"0")</f>
        <v>68.751999999999995</v>
      </c>
      <c r="BO335" s="64">
        <f>IFERROR(1/J335*(X335/H335),"0")</f>
        <v>0.11574074074074074</v>
      </c>
      <c r="BP335" s="64">
        <f>IFERROR(1/J335*(Y335/H335),"0")</f>
        <v>0.125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4301051461</v>
      </c>
      <c r="D336" s="547">
        <v>4680115883604</v>
      </c>
      <c r="E336" s="548"/>
      <c r="F336" s="542">
        <v>0.35</v>
      </c>
      <c r="G336" s="32">
        <v>6</v>
      </c>
      <c r="H336" s="542">
        <v>2.1</v>
      </c>
      <c r="I336" s="542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530</v>
      </c>
      <c r="B337" s="54" t="s">
        <v>531</v>
      </c>
      <c r="C337" s="31">
        <v>4301051864</v>
      </c>
      <c r="D337" s="547">
        <v>4680115883567</v>
      </c>
      <c r="E337" s="548"/>
      <c r="F337" s="542">
        <v>0.35</v>
      </c>
      <c r="G337" s="32">
        <v>6</v>
      </c>
      <c r="H337" s="542">
        <v>2.1</v>
      </c>
      <c r="I337" s="542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532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70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71"/>
      <c r="P338" s="560" t="s">
        <v>71</v>
      </c>
      <c r="Q338" s="561"/>
      <c r="R338" s="561"/>
      <c r="S338" s="561"/>
      <c r="T338" s="561"/>
      <c r="U338" s="561"/>
      <c r="V338" s="562"/>
      <c r="W338" s="37" t="s">
        <v>72</v>
      </c>
      <c r="X338" s="545">
        <f>IFERROR(X335/H335,"0")+IFERROR(X336/H336,"0")+IFERROR(X337/H337,"0")</f>
        <v>7.4074074074074074</v>
      </c>
      <c r="Y338" s="545">
        <f>IFERROR(Y335/H335,"0")+IFERROR(Y336/H336,"0")+IFERROR(Y337/H337,"0")</f>
        <v>8</v>
      </c>
      <c r="Z338" s="545">
        <f>IFERROR(IF(Z335="",0,Z335),"0")+IFERROR(IF(Z336="",0,Z336),"0")+IFERROR(IF(Z337="",0,Z337),"0")</f>
        <v>0.15184</v>
      </c>
      <c r="AA338" s="546"/>
      <c r="AB338" s="546"/>
      <c r="AC338" s="546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71"/>
      <c r="P339" s="560" t="s">
        <v>71</v>
      </c>
      <c r="Q339" s="561"/>
      <c r="R339" s="561"/>
      <c r="S339" s="561"/>
      <c r="T339" s="561"/>
      <c r="U339" s="561"/>
      <c r="V339" s="562"/>
      <c r="W339" s="37" t="s">
        <v>69</v>
      </c>
      <c r="X339" s="545">
        <f>IFERROR(SUM(X335:X337),"0")</f>
        <v>60</v>
      </c>
      <c r="Y339" s="545">
        <f>IFERROR(SUM(Y335:Y337),"0")</f>
        <v>64.8</v>
      </c>
      <c r="Z339" s="37"/>
      <c r="AA339" s="546"/>
      <c r="AB339" s="546"/>
      <c r="AC339" s="546"/>
    </row>
    <row r="340" spans="1:68" ht="27.75" hidden="1" customHeight="1" x14ac:dyDescent="0.2">
      <c r="A340" s="568" t="s">
        <v>533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58" t="s">
        <v>534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8"/>
      <c r="AB341" s="538"/>
      <c r="AC341" s="538"/>
    </row>
    <row r="342" spans="1:68" ht="14.25" hidden="1" customHeight="1" x14ac:dyDescent="0.25">
      <c r="A342" s="556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9"/>
      <c r="AB342" s="539"/>
      <c r="AC342" s="539"/>
    </row>
    <row r="343" spans="1:68" ht="37.5" customHeight="1" x14ac:dyDescent="0.25">
      <c r="A343" s="54" t="s">
        <v>535</v>
      </c>
      <c r="B343" s="54" t="s">
        <v>536</v>
      </c>
      <c r="C343" s="31">
        <v>4301011869</v>
      </c>
      <c r="D343" s="547">
        <v>4680115884847</v>
      </c>
      <c r="E343" s="548"/>
      <c r="F343" s="542">
        <v>2.5</v>
      </c>
      <c r="G343" s="32">
        <v>6</v>
      </c>
      <c r="H343" s="542">
        <v>15</v>
      </c>
      <c r="I343" s="542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0"/>
      <c r="R343" s="550"/>
      <c r="S343" s="550"/>
      <c r="T343" s="551"/>
      <c r="U343" s="34"/>
      <c r="V343" s="34"/>
      <c r="W343" s="35" t="s">
        <v>69</v>
      </c>
      <c r="X343" s="543">
        <v>1800</v>
      </c>
      <c r="Y343" s="544">
        <f t="shared" ref="Y343:Y349" si="36">IFERROR(IF(X343="",0,CEILING((X343/$H343),1)*$H343),"")</f>
        <v>1800</v>
      </c>
      <c r="Z343" s="36">
        <f>IFERROR(IF(Y343=0,"",ROUNDUP(Y343/H343,0)*0.02175),"")</f>
        <v>2.61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1856.4</v>
      </c>
      <c r="BN343" s="64">
        <f t="shared" ref="BN343:BN349" si="38">IFERROR(Y343*I343/H343,"0")</f>
        <v>1856.4</v>
      </c>
      <c r="BO343" s="64">
        <f t="shared" ref="BO343:BO349" si="39">IFERROR(1/J343*(X343/H343),"0")</f>
        <v>2.5</v>
      </c>
      <c r="BP343" s="64">
        <f t="shared" ref="BP343:BP349" si="40">IFERROR(1/J343*(Y343/H343),"0")</f>
        <v>2.5</v>
      </c>
    </row>
    <row r="344" spans="1:68" ht="27" customHeight="1" x14ac:dyDescent="0.25">
      <c r="A344" s="54" t="s">
        <v>538</v>
      </c>
      <c r="B344" s="54" t="s">
        <v>539</v>
      </c>
      <c r="C344" s="31">
        <v>4301011870</v>
      </c>
      <c r="D344" s="547">
        <v>4680115884854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0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1650</v>
      </c>
      <c r="Y344" s="544">
        <f t="shared" si="36"/>
        <v>1650</v>
      </c>
      <c r="Z344" s="36">
        <f>IFERROR(IF(Y344=0,"",ROUNDUP(Y344/H344,0)*0.02175),"")</f>
        <v>2.3924999999999996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7"/>
        <v>1701.7</v>
      </c>
      <c r="BN344" s="64">
        <f t="shared" si="38"/>
        <v>1701.7</v>
      </c>
      <c r="BO344" s="64">
        <f t="shared" si="39"/>
        <v>2.2916666666666665</v>
      </c>
      <c r="BP344" s="64">
        <f t="shared" si="40"/>
        <v>2.2916666666666665</v>
      </c>
    </row>
    <row r="345" spans="1:68" ht="37.5" hidden="1" customHeight="1" x14ac:dyDescent="0.25">
      <c r="A345" s="54" t="s">
        <v>541</v>
      </c>
      <c r="B345" s="54" t="s">
        <v>542</v>
      </c>
      <c r="C345" s="31">
        <v>4301011867</v>
      </c>
      <c r="D345" s="547">
        <v>4680115884830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4301012215</v>
      </c>
      <c r="D346" s="547">
        <v>4680115887046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2600</v>
      </c>
      <c r="Y346" s="544">
        <f t="shared" si="36"/>
        <v>2610</v>
      </c>
      <c r="Z346" s="36">
        <f>IFERROR(IF(Y346=0,"",ROUNDUP(Y346/H346,0)*0.02175),"")</f>
        <v>3.7844999999999995</v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7"/>
        <v>2681.4666666666667</v>
      </c>
      <c r="BN346" s="64">
        <f t="shared" si="38"/>
        <v>2691.78</v>
      </c>
      <c r="BO346" s="64">
        <f t="shared" si="39"/>
        <v>3.6111111111111112</v>
      </c>
      <c r="BP346" s="64">
        <f t="shared" si="40"/>
        <v>3.625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4301011433</v>
      </c>
      <c r="D347" s="547">
        <v>4680115882638</v>
      </c>
      <c r="E347" s="548"/>
      <c r="F347" s="542">
        <v>0.4</v>
      </c>
      <c r="G347" s="32">
        <v>10</v>
      </c>
      <c r="H347" s="542">
        <v>4</v>
      </c>
      <c r="I347" s="542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549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550</v>
      </c>
      <c r="B348" s="54" t="s">
        <v>551</v>
      </c>
      <c r="C348" s="31">
        <v>4301011952</v>
      </c>
      <c r="D348" s="547">
        <v>4680115884922</v>
      </c>
      <c r="E348" s="548"/>
      <c r="F348" s="542">
        <v>0.5</v>
      </c>
      <c r="G348" s="32">
        <v>10</v>
      </c>
      <c r="H348" s="542">
        <v>5</v>
      </c>
      <c r="I348" s="542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552</v>
      </c>
      <c r="B349" s="54" t="s">
        <v>553</v>
      </c>
      <c r="C349" s="31">
        <v>4301011868</v>
      </c>
      <c r="D349" s="547">
        <v>4680115884861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543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71"/>
      <c r="P350" s="560" t="s">
        <v>71</v>
      </c>
      <c r="Q350" s="561"/>
      <c r="R350" s="561"/>
      <c r="S350" s="561"/>
      <c r="T350" s="561"/>
      <c r="U350" s="561"/>
      <c r="V350" s="562"/>
      <c r="W350" s="37" t="s">
        <v>72</v>
      </c>
      <c r="X350" s="545">
        <f>IFERROR(X343/H343,"0")+IFERROR(X344/H344,"0")+IFERROR(X345/H345,"0")+IFERROR(X346/H346,"0")+IFERROR(X347/H347,"0")+IFERROR(X348/H348,"0")+IFERROR(X349/H349,"0")</f>
        <v>403.33333333333337</v>
      </c>
      <c r="Y350" s="545">
        <f>IFERROR(Y343/H343,"0")+IFERROR(Y344/H344,"0")+IFERROR(Y345/H345,"0")+IFERROR(Y346/H346,"0")+IFERROR(Y347/H347,"0")+IFERROR(Y348/H348,"0")+IFERROR(Y349/H349,"0")</f>
        <v>404</v>
      </c>
      <c r="Z350" s="545">
        <f>IFERROR(IF(Z343="",0,Z343),"0")+IFERROR(IF(Z344="",0,Z344),"0")+IFERROR(IF(Z345="",0,Z345),"0")+IFERROR(IF(Z346="",0,Z346),"0")+IFERROR(IF(Z347="",0,Z347),"0")+IFERROR(IF(Z348="",0,Z348),"0")+IFERROR(IF(Z349="",0,Z349),"0")</f>
        <v>8.786999999999999</v>
      </c>
      <c r="AA350" s="546"/>
      <c r="AB350" s="546"/>
      <c r="AC350" s="546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71"/>
      <c r="P351" s="560" t="s">
        <v>71</v>
      </c>
      <c r="Q351" s="561"/>
      <c r="R351" s="561"/>
      <c r="S351" s="561"/>
      <c r="T351" s="561"/>
      <c r="U351" s="561"/>
      <c r="V351" s="562"/>
      <c r="W351" s="37" t="s">
        <v>69</v>
      </c>
      <c r="X351" s="545">
        <f>IFERROR(SUM(X343:X349),"0")</f>
        <v>6050</v>
      </c>
      <c r="Y351" s="545">
        <f>IFERROR(SUM(Y343:Y349),"0")</f>
        <v>6060</v>
      </c>
      <c r="Z351" s="37"/>
      <c r="AA351" s="546"/>
      <c r="AB351" s="546"/>
      <c r="AC351" s="546"/>
    </row>
    <row r="352" spans="1:68" ht="14.25" hidden="1" customHeight="1" x14ac:dyDescent="0.25">
      <c r="A352" s="556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9"/>
      <c r="AB352" s="539"/>
      <c r="AC352" s="539"/>
    </row>
    <row r="353" spans="1:68" ht="27" customHeight="1" x14ac:dyDescent="0.25">
      <c r="A353" s="54" t="s">
        <v>554</v>
      </c>
      <c r="B353" s="54" t="s">
        <v>555</v>
      </c>
      <c r="C353" s="31">
        <v>4301020178</v>
      </c>
      <c r="D353" s="547">
        <v>4607091383980</v>
      </c>
      <c r="E353" s="548"/>
      <c r="F353" s="542">
        <v>2.5</v>
      </c>
      <c r="G353" s="32">
        <v>6</v>
      </c>
      <c r="H353" s="542">
        <v>15</v>
      </c>
      <c r="I353" s="542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0"/>
      <c r="R353" s="550"/>
      <c r="S353" s="550"/>
      <c r="T353" s="551"/>
      <c r="U353" s="34"/>
      <c r="V353" s="34"/>
      <c r="W353" s="35" t="s">
        <v>69</v>
      </c>
      <c r="X353" s="543">
        <v>1800</v>
      </c>
      <c r="Y353" s="544">
        <f>IFERROR(IF(X353="",0,CEILING((X353/$H353),1)*$H353),"")</f>
        <v>1800</v>
      </c>
      <c r="Z353" s="36">
        <f>IFERROR(IF(Y353=0,"",ROUNDUP(Y353/H353,0)*0.02175),"")</f>
        <v>2.61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1856.4</v>
      </c>
      <c r="BN353" s="64">
        <f>IFERROR(Y353*I353/H353,"0")</f>
        <v>1856.4</v>
      </c>
      <c r="BO353" s="64">
        <f>IFERROR(1/J353*(X353/H353),"0")</f>
        <v>2.5</v>
      </c>
      <c r="BP353" s="64">
        <f>IFERROR(1/J353*(Y353/H353),"0")</f>
        <v>2.5</v>
      </c>
    </row>
    <row r="354" spans="1:68" ht="27" customHeight="1" x14ac:dyDescent="0.25">
      <c r="A354" s="54" t="s">
        <v>557</v>
      </c>
      <c r="B354" s="54" t="s">
        <v>558</v>
      </c>
      <c r="C354" s="31">
        <v>4301020179</v>
      </c>
      <c r="D354" s="547">
        <v>4607091384178</v>
      </c>
      <c r="E354" s="548"/>
      <c r="F354" s="542">
        <v>0.4</v>
      </c>
      <c r="G354" s="32">
        <v>10</v>
      </c>
      <c r="H354" s="542">
        <v>4</v>
      </c>
      <c r="I354" s="542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20</v>
      </c>
      <c r="Y354" s="544">
        <f>IFERROR(IF(X354="",0,CEILING((X354/$H354),1)*$H354),"")</f>
        <v>20</v>
      </c>
      <c r="Z354" s="36">
        <f>IFERROR(IF(Y354=0,"",ROUNDUP(Y354/H354,0)*0.00902),"")</f>
        <v>4.5100000000000001E-2</v>
      </c>
      <c r="AA354" s="56"/>
      <c r="AB354" s="57"/>
      <c r="AC354" s="407" t="s">
        <v>559</v>
      </c>
      <c r="AG354" s="64"/>
      <c r="AJ354" s="68"/>
      <c r="AK354" s="68">
        <v>0</v>
      </c>
      <c r="BB354" s="408" t="s">
        <v>1</v>
      </c>
      <c r="BM354" s="64">
        <f>IFERROR(X354*I354/H354,"0")</f>
        <v>20.950000000000003</v>
      </c>
      <c r="BN354" s="64">
        <f>IFERROR(Y354*I354/H354,"0")</f>
        <v>20.950000000000003</v>
      </c>
      <c r="BO354" s="64">
        <f>IFERROR(1/J354*(X354/H354),"0")</f>
        <v>3.787878787878788E-2</v>
      </c>
      <c r="BP354" s="64">
        <f>IFERROR(1/J354*(Y354/H354),"0")</f>
        <v>3.787878787878788E-2</v>
      </c>
    </row>
    <row r="355" spans="1:68" x14ac:dyDescent="0.2">
      <c r="A355" s="57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71"/>
      <c r="P355" s="560" t="s">
        <v>71</v>
      </c>
      <c r="Q355" s="561"/>
      <c r="R355" s="561"/>
      <c r="S355" s="561"/>
      <c r="T355" s="561"/>
      <c r="U355" s="561"/>
      <c r="V355" s="562"/>
      <c r="W355" s="37" t="s">
        <v>72</v>
      </c>
      <c r="X355" s="545">
        <f>IFERROR(X353/H353,"0")+IFERROR(X354/H354,"0")</f>
        <v>125</v>
      </c>
      <c r="Y355" s="545">
        <f>IFERROR(Y353/H353,"0")+IFERROR(Y354/H354,"0")</f>
        <v>125</v>
      </c>
      <c r="Z355" s="545">
        <f>IFERROR(IF(Z353="",0,Z353),"0")+IFERROR(IF(Z354="",0,Z354),"0")</f>
        <v>2.6551</v>
      </c>
      <c r="AA355" s="546"/>
      <c r="AB355" s="546"/>
      <c r="AC355" s="546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71"/>
      <c r="P356" s="560" t="s">
        <v>71</v>
      </c>
      <c r="Q356" s="561"/>
      <c r="R356" s="561"/>
      <c r="S356" s="561"/>
      <c r="T356" s="561"/>
      <c r="U356" s="561"/>
      <c r="V356" s="562"/>
      <c r="W356" s="37" t="s">
        <v>69</v>
      </c>
      <c r="X356" s="545">
        <f>IFERROR(SUM(X353:X354),"0")</f>
        <v>1820</v>
      </c>
      <c r="Y356" s="545">
        <f>IFERROR(SUM(Y353:Y354),"0")</f>
        <v>1820</v>
      </c>
      <c r="Z356" s="37"/>
      <c r="AA356" s="546"/>
      <c r="AB356" s="546"/>
      <c r="AC356" s="546"/>
    </row>
    <row r="357" spans="1:68" ht="14.25" hidden="1" customHeight="1" x14ac:dyDescent="0.25">
      <c r="A357" s="556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9"/>
      <c r="AB357" s="539"/>
      <c r="AC357" s="539"/>
    </row>
    <row r="358" spans="1:68" ht="27" customHeight="1" x14ac:dyDescent="0.25">
      <c r="A358" s="54" t="s">
        <v>560</v>
      </c>
      <c r="B358" s="54" t="s">
        <v>561</v>
      </c>
      <c r="C358" s="31">
        <v>4301051903</v>
      </c>
      <c r="D358" s="547">
        <v>4607091383928</v>
      </c>
      <c r="E358" s="548"/>
      <c r="F358" s="542">
        <v>1.5</v>
      </c>
      <c r="G358" s="32">
        <v>6</v>
      </c>
      <c r="H358" s="542">
        <v>9</v>
      </c>
      <c r="I358" s="542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8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0"/>
      <c r="R358" s="550"/>
      <c r="S358" s="550"/>
      <c r="T358" s="551"/>
      <c r="U358" s="34"/>
      <c r="V358" s="34"/>
      <c r="W358" s="35" t="s">
        <v>69</v>
      </c>
      <c r="X358" s="543">
        <v>1450</v>
      </c>
      <c r="Y358" s="544">
        <f>IFERROR(IF(X358="",0,CEILING((X358/$H358),1)*$H358),"")</f>
        <v>1458</v>
      </c>
      <c r="Z358" s="36">
        <f>IFERROR(IF(Y358=0,"",ROUNDUP(Y358/H358,0)*0.01898),"")</f>
        <v>3.0747599999999999</v>
      </c>
      <c r="AA358" s="56"/>
      <c r="AB358" s="57"/>
      <c r="AC358" s="409" t="s">
        <v>562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1530.5555555555557</v>
      </c>
      <c r="BN358" s="64">
        <f>IFERROR(Y358*I358/H358,"0")</f>
        <v>1539</v>
      </c>
      <c r="BO358" s="64">
        <f>IFERROR(1/J358*(X358/H358),"0")</f>
        <v>2.5173611111111112</v>
      </c>
      <c r="BP358" s="64">
        <f>IFERROR(1/J358*(Y358/H358),"0")</f>
        <v>2.53125</v>
      </c>
    </row>
    <row r="359" spans="1:68" ht="27" customHeight="1" x14ac:dyDescent="0.25">
      <c r="A359" s="54" t="s">
        <v>563</v>
      </c>
      <c r="B359" s="54" t="s">
        <v>564</v>
      </c>
      <c r="C359" s="31">
        <v>4301051897</v>
      </c>
      <c r="D359" s="547">
        <v>4607091384260</v>
      </c>
      <c r="E359" s="548"/>
      <c r="F359" s="542">
        <v>1.5</v>
      </c>
      <c r="G359" s="32">
        <v>6</v>
      </c>
      <c r="H359" s="542">
        <v>9</v>
      </c>
      <c r="I359" s="542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200</v>
      </c>
      <c r="Y359" s="544">
        <f>IFERROR(IF(X359="",0,CEILING((X359/$H359),1)*$H359),"")</f>
        <v>207</v>
      </c>
      <c r="Z359" s="36">
        <f>IFERROR(IF(Y359=0,"",ROUNDUP(Y359/H359,0)*0.01898),"")</f>
        <v>0.43653999999999998</v>
      </c>
      <c r="AA359" s="56"/>
      <c r="AB359" s="57"/>
      <c r="AC359" s="411" t="s">
        <v>565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210.97777777777776</v>
      </c>
      <c r="BN359" s="64">
        <f>IFERROR(Y359*I359/H359,"0")</f>
        <v>218.36199999999999</v>
      </c>
      <c r="BO359" s="64">
        <f>IFERROR(1/J359*(X359/H359),"0")</f>
        <v>0.34722222222222221</v>
      </c>
      <c r="BP359" s="64">
        <f>IFERROR(1/J359*(Y359/H359),"0")</f>
        <v>0.359375</v>
      </c>
    </row>
    <row r="360" spans="1:68" x14ac:dyDescent="0.2">
      <c r="A360" s="57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71"/>
      <c r="P360" s="560" t="s">
        <v>71</v>
      </c>
      <c r="Q360" s="561"/>
      <c r="R360" s="561"/>
      <c r="S360" s="561"/>
      <c r="T360" s="561"/>
      <c r="U360" s="561"/>
      <c r="V360" s="562"/>
      <c r="W360" s="37" t="s">
        <v>72</v>
      </c>
      <c r="X360" s="545">
        <f>IFERROR(X358/H358,"0")+IFERROR(X359/H359,"0")</f>
        <v>183.33333333333334</v>
      </c>
      <c r="Y360" s="545">
        <f>IFERROR(Y358/H358,"0")+IFERROR(Y359/H359,"0")</f>
        <v>185</v>
      </c>
      <c r="Z360" s="545">
        <f>IFERROR(IF(Z358="",0,Z358),"0")+IFERROR(IF(Z359="",0,Z359),"0")</f>
        <v>3.5112999999999999</v>
      </c>
      <c r="AA360" s="546"/>
      <c r="AB360" s="546"/>
      <c r="AC360" s="546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71"/>
      <c r="P361" s="560" t="s">
        <v>71</v>
      </c>
      <c r="Q361" s="561"/>
      <c r="R361" s="561"/>
      <c r="S361" s="561"/>
      <c r="T361" s="561"/>
      <c r="U361" s="561"/>
      <c r="V361" s="562"/>
      <c r="W361" s="37" t="s">
        <v>69</v>
      </c>
      <c r="X361" s="545">
        <f>IFERROR(SUM(X358:X359),"0")</f>
        <v>1650</v>
      </c>
      <c r="Y361" s="545">
        <f>IFERROR(SUM(Y358:Y359),"0")</f>
        <v>1665</v>
      </c>
      <c r="Z361" s="37"/>
      <c r="AA361" s="546"/>
      <c r="AB361" s="546"/>
      <c r="AC361" s="546"/>
    </row>
    <row r="362" spans="1:68" ht="14.25" hidden="1" customHeight="1" x14ac:dyDescent="0.25">
      <c r="A362" s="556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9"/>
      <c r="AB362" s="539"/>
      <c r="AC362" s="539"/>
    </row>
    <row r="363" spans="1:68" ht="16.5" customHeight="1" x14ac:dyDescent="0.25">
      <c r="A363" s="54" t="s">
        <v>566</v>
      </c>
      <c r="B363" s="54" t="s">
        <v>567</v>
      </c>
      <c r="C363" s="31">
        <v>4301060524</v>
      </c>
      <c r="D363" s="547">
        <v>4607091384673</v>
      </c>
      <c r="E363" s="548"/>
      <c r="F363" s="542">
        <v>1.5</v>
      </c>
      <c r="G363" s="32">
        <v>6</v>
      </c>
      <c r="H363" s="542">
        <v>9</v>
      </c>
      <c r="I363" s="542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3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3">
        <v>360</v>
      </c>
      <c r="Y363" s="544">
        <f>IFERROR(IF(X363="",0,CEILING((X363/$H363),1)*$H363),"")</f>
        <v>360</v>
      </c>
      <c r="Z363" s="36">
        <f>IFERROR(IF(Y363=0,"",ROUNDUP(Y363/H363,0)*0.01898),"")</f>
        <v>0.75919999999999999</v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379.76</v>
      </c>
      <c r="BN363" s="64">
        <f>IFERROR(Y363*I363/H363,"0")</f>
        <v>379.76</v>
      </c>
      <c r="BO363" s="64">
        <f>IFERROR(1/J363*(X363/H363),"0")</f>
        <v>0.625</v>
      </c>
      <c r="BP363" s="64">
        <f>IFERROR(1/J363*(Y363/H363),"0")</f>
        <v>0.625</v>
      </c>
    </row>
    <row r="364" spans="1:68" x14ac:dyDescent="0.2">
      <c r="A364" s="570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71"/>
      <c r="P364" s="560" t="s">
        <v>71</v>
      </c>
      <c r="Q364" s="561"/>
      <c r="R364" s="561"/>
      <c r="S364" s="561"/>
      <c r="T364" s="561"/>
      <c r="U364" s="561"/>
      <c r="V364" s="562"/>
      <c r="W364" s="37" t="s">
        <v>72</v>
      </c>
      <c r="X364" s="545">
        <f>IFERROR(X363/H363,"0")</f>
        <v>40</v>
      </c>
      <c r="Y364" s="545">
        <f>IFERROR(Y363/H363,"0")</f>
        <v>40</v>
      </c>
      <c r="Z364" s="545">
        <f>IFERROR(IF(Z363="",0,Z363),"0")</f>
        <v>0.75919999999999999</v>
      </c>
      <c r="AA364" s="546"/>
      <c r="AB364" s="546"/>
      <c r="AC364" s="546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71"/>
      <c r="P365" s="560" t="s">
        <v>71</v>
      </c>
      <c r="Q365" s="561"/>
      <c r="R365" s="561"/>
      <c r="S365" s="561"/>
      <c r="T365" s="561"/>
      <c r="U365" s="561"/>
      <c r="V365" s="562"/>
      <c r="W365" s="37" t="s">
        <v>69</v>
      </c>
      <c r="X365" s="545">
        <f>IFERROR(SUM(X363:X363),"0")</f>
        <v>360</v>
      </c>
      <c r="Y365" s="545">
        <f>IFERROR(SUM(Y363:Y363),"0")</f>
        <v>360</v>
      </c>
      <c r="Z365" s="37"/>
      <c r="AA365" s="546"/>
      <c r="AB365" s="546"/>
      <c r="AC365" s="546"/>
    </row>
    <row r="366" spans="1:68" ht="16.5" hidden="1" customHeight="1" x14ac:dyDescent="0.25">
      <c r="A366" s="558" t="s">
        <v>569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8"/>
      <c r="AB366" s="538"/>
      <c r="AC366" s="538"/>
    </row>
    <row r="367" spans="1:68" ht="14.25" hidden="1" customHeight="1" x14ac:dyDescent="0.25">
      <c r="A367" s="556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9"/>
      <c r="AB367" s="539"/>
      <c r="AC367" s="539"/>
    </row>
    <row r="368" spans="1:68" ht="37.5" hidden="1" customHeight="1" x14ac:dyDescent="0.25">
      <c r="A368" s="54" t="s">
        <v>570</v>
      </c>
      <c r="B368" s="54" t="s">
        <v>571</v>
      </c>
      <c r="C368" s="31">
        <v>4301011875</v>
      </c>
      <c r="D368" s="547">
        <v>4680115884885</v>
      </c>
      <c r="E368" s="548"/>
      <c r="F368" s="542">
        <v>0.8</v>
      </c>
      <c r="G368" s="32">
        <v>15</v>
      </c>
      <c r="H368" s="542">
        <v>12</v>
      </c>
      <c r="I368" s="542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573</v>
      </c>
      <c r="B369" s="54" t="s">
        <v>574</v>
      </c>
      <c r="C369" s="31">
        <v>4301011871</v>
      </c>
      <c r="D369" s="547">
        <v>4680115884908</v>
      </c>
      <c r="E369" s="548"/>
      <c r="F369" s="542">
        <v>0.4</v>
      </c>
      <c r="G369" s="32">
        <v>10</v>
      </c>
      <c r="H369" s="542">
        <v>4</v>
      </c>
      <c r="I369" s="542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71"/>
      <c r="P370" s="560" t="s">
        <v>71</v>
      </c>
      <c r="Q370" s="561"/>
      <c r="R370" s="561"/>
      <c r="S370" s="561"/>
      <c r="T370" s="561"/>
      <c r="U370" s="561"/>
      <c r="V370" s="562"/>
      <c r="W370" s="37" t="s">
        <v>72</v>
      </c>
      <c r="X370" s="545">
        <f>IFERROR(X368/H368,"0")+IFERROR(X369/H369,"0")</f>
        <v>0</v>
      </c>
      <c r="Y370" s="545">
        <f>IFERROR(Y368/H368,"0")+IFERROR(Y369/H369,"0")</f>
        <v>0</v>
      </c>
      <c r="Z370" s="545">
        <f>IFERROR(IF(Z368="",0,Z368),"0")+IFERROR(IF(Z369="",0,Z369),"0")</f>
        <v>0</v>
      </c>
      <c r="AA370" s="546"/>
      <c r="AB370" s="546"/>
      <c r="AC370" s="546"/>
    </row>
    <row r="371" spans="1:68" hidden="1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71"/>
      <c r="P371" s="560" t="s">
        <v>71</v>
      </c>
      <c r="Q371" s="561"/>
      <c r="R371" s="561"/>
      <c r="S371" s="561"/>
      <c r="T371" s="561"/>
      <c r="U371" s="561"/>
      <c r="V371" s="562"/>
      <c r="W371" s="37" t="s">
        <v>69</v>
      </c>
      <c r="X371" s="545">
        <f>IFERROR(SUM(X368:X369),"0")</f>
        <v>0</v>
      </c>
      <c r="Y371" s="545">
        <f>IFERROR(SUM(Y368:Y369),"0")</f>
        <v>0</v>
      </c>
      <c r="Z371" s="37"/>
      <c r="AA371" s="546"/>
      <c r="AB371" s="546"/>
      <c r="AC371" s="546"/>
    </row>
    <row r="372" spans="1:68" ht="14.25" hidden="1" customHeight="1" x14ac:dyDescent="0.25">
      <c r="A372" s="556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9"/>
      <c r="AB372" s="539"/>
      <c r="AC372" s="539"/>
    </row>
    <row r="373" spans="1:68" ht="27" customHeight="1" x14ac:dyDescent="0.25">
      <c r="A373" s="54" t="s">
        <v>575</v>
      </c>
      <c r="B373" s="54" t="s">
        <v>576</v>
      </c>
      <c r="C373" s="31">
        <v>4301031303</v>
      </c>
      <c r="D373" s="547">
        <v>4607091384802</v>
      </c>
      <c r="E373" s="548"/>
      <c r="F373" s="542">
        <v>0.73</v>
      </c>
      <c r="G373" s="32">
        <v>6</v>
      </c>
      <c r="H373" s="542">
        <v>4.38</v>
      </c>
      <c r="I373" s="542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0"/>
      <c r="R373" s="550"/>
      <c r="S373" s="550"/>
      <c r="T373" s="551"/>
      <c r="U373" s="34"/>
      <c r="V373" s="34"/>
      <c r="W373" s="35" t="s">
        <v>69</v>
      </c>
      <c r="X373" s="543">
        <v>20</v>
      </c>
      <c r="Y373" s="544">
        <f>IFERROR(IF(X373="",0,CEILING((X373/$H373),1)*$H373),"")</f>
        <v>21.9</v>
      </c>
      <c r="Z373" s="36">
        <f>IFERROR(IF(Y373=0,"",ROUNDUP(Y373/H373,0)*0.00902),"")</f>
        <v>4.5100000000000001E-2</v>
      </c>
      <c r="AA373" s="56"/>
      <c r="AB373" s="57"/>
      <c r="AC373" s="419" t="s">
        <v>577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21.141552511415526</v>
      </c>
      <c r="BN373" s="64">
        <f>IFERROR(Y373*I373/H373,"0")</f>
        <v>23.15</v>
      </c>
      <c r="BO373" s="64">
        <f>IFERROR(1/J373*(X373/H373),"0")</f>
        <v>3.4592500345925009E-2</v>
      </c>
      <c r="BP373" s="64">
        <f>IFERROR(1/J373*(Y373/H373),"0")</f>
        <v>3.787878787878788E-2</v>
      </c>
    </row>
    <row r="374" spans="1:68" ht="27" hidden="1" customHeight="1" x14ac:dyDescent="0.25">
      <c r="A374" s="54" t="s">
        <v>575</v>
      </c>
      <c r="B374" s="54" t="s">
        <v>578</v>
      </c>
      <c r="C374" s="31">
        <v>4301031457</v>
      </c>
      <c r="D374" s="547">
        <v>4607091384802</v>
      </c>
      <c r="E374" s="548"/>
      <c r="F374" s="542">
        <v>0.7</v>
      </c>
      <c r="G374" s="32">
        <v>6</v>
      </c>
      <c r="H374" s="542">
        <v>4.2</v>
      </c>
      <c r="I374" s="542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71"/>
      <c r="P375" s="560" t="s">
        <v>71</v>
      </c>
      <c r="Q375" s="561"/>
      <c r="R375" s="561"/>
      <c r="S375" s="561"/>
      <c r="T375" s="561"/>
      <c r="U375" s="561"/>
      <c r="V375" s="562"/>
      <c r="W375" s="37" t="s">
        <v>72</v>
      </c>
      <c r="X375" s="545">
        <f>IFERROR(X373/H373,"0")+IFERROR(X374/H374,"0")</f>
        <v>4.5662100456621006</v>
      </c>
      <c r="Y375" s="545">
        <f>IFERROR(Y373/H373,"0")+IFERROR(Y374/H374,"0")</f>
        <v>5</v>
      </c>
      <c r="Z375" s="545">
        <f>IFERROR(IF(Z373="",0,Z373),"0")+IFERROR(IF(Z374="",0,Z374),"0")</f>
        <v>4.5100000000000001E-2</v>
      </c>
      <c r="AA375" s="546"/>
      <c r="AB375" s="546"/>
      <c r="AC375" s="546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71"/>
      <c r="P376" s="560" t="s">
        <v>71</v>
      </c>
      <c r="Q376" s="561"/>
      <c r="R376" s="561"/>
      <c r="S376" s="561"/>
      <c r="T376" s="561"/>
      <c r="U376" s="561"/>
      <c r="V376" s="562"/>
      <c r="W376" s="37" t="s">
        <v>69</v>
      </c>
      <c r="X376" s="545">
        <f>IFERROR(SUM(X373:X374),"0")</f>
        <v>20</v>
      </c>
      <c r="Y376" s="545">
        <f>IFERROR(SUM(Y373:Y374),"0")</f>
        <v>21.9</v>
      </c>
      <c r="Z376" s="37"/>
      <c r="AA376" s="546"/>
      <c r="AB376" s="546"/>
      <c r="AC376" s="546"/>
    </row>
    <row r="377" spans="1:68" ht="14.25" hidden="1" customHeight="1" x14ac:dyDescent="0.25">
      <c r="A377" s="556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9"/>
      <c r="AB377" s="539"/>
      <c r="AC377" s="539"/>
    </row>
    <row r="378" spans="1:68" ht="27" customHeight="1" x14ac:dyDescent="0.25">
      <c r="A378" s="54" t="s">
        <v>580</v>
      </c>
      <c r="B378" s="54" t="s">
        <v>581</v>
      </c>
      <c r="C378" s="31">
        <v>4301051899</v>
      </c>
      <c r="D378" s="547">
        <v>4607091384246</v>
      </c>
      <c r="E378" s="548"/>
      <c r="F378" s="542">
        <v>1.5</v>
      </c>
      <c r="G378" s="32">
        <v>6</v>
      </c>
      <c r="H378" s="542">
        <v>9</v>
      </c>
      <c r="I378" s="542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0"/>
      <c r="R378" s="550"/>
      <c r="S378" s="550"/>
      <c r="T378" s="551"/>
      <c r="U378" s="34"/>
      <c r="V378" s="34"/>
      <c r="W378" s="35" t="s">
        <v>69</v>
      </c>
      <c r="X378" s="543">
        <v>150</v>
      </c>
      <c r="Y378" s="544">
        <f>IFERROR(IF(X378="",0,CEILING((X378/$H378),1)*$H378),"")</f>
        <v>153</v>
      </c>
      <c r="Z378" s="36">
        <f>IFERROR(IF(Y378=0,"",ROUNDUP(Y378/H378,0)*0.01898),"")</f>
        <v>0.32266</v>
      </c>
      <c r="AA378" s="56"/>
      <c r="AB378" s="57"/>
      <c r="AC378" s="423" t="s">
        <v>582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158.23333333333332</v>
      </c>
      <c r="BN378" s="64">
        <f>IFERROR(Y378*I378/H378,"0")</f>
        <v>161.398</v>
      </c>
      <c r="BO378" s="64">
        <f>IFERROR(1/J378*(X378/H378),"0")</f>
        <v>0.26041666666666669</v>
      </c>
      <c r="BP378" s="64">
        <f>IFERROR(1/J378*(Y378/H378),"0")</f>
        <v>0.265625</v>
      </c>
    </row>
    <row r="379" spans="1:68" ht="27" hidden="1" customHeight="1" x14ac:dyDescent="0.25">
      <c r="A379" s="54" t="s">
        <v>583</v>
      </c>
      <c r="B379" s="54" t="s">
        <v>584</v>
      </c>
      <c r="C379" s="31">
        <v>4301051660</v>
      </c>
      <c r="D379" s="547">
        <v>4607091384253</v>
      </c>
      <c r="E379" s="548"/>
      <c r="F379" s="542">
        <v>0.4</v>
      </c>
      <c r="G379" s="32">
        <v>6</v>
      </c>
      <c r="H379" s="542">
        <v>2.4</v>
      </c>
      <c r="I379" s="542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583</v>
      </c>
      <c r="B380" s="54" t="s">
        <v>585</v>
      </c>
      <c r="C380" s="31">
        <v>4301052069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726" t="s">
        <v>586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71"/>
      <c r="P381" s="560" t="s">
        <v>71</v>
      </c>
      <c r="Q381" s="561"/>
      <c r="R381" s="561"/>
      <c r="S381" s="561"/>
      <c r="T381" s="561"/>
      <c r="U381" s="561"/>
      <c r="V381" s="562"/>
      <c r="W381" s="37" t="s">
        <v>72</v>
      </c>
      <c r="X381" s="545">
        <f>IFERROR(X378/H378,"0")+IFERROR(X379/H379,"0")+IFERROR(X380/H380,"0")</f>
        <v>16.666666666666668</v>
      </c>
      <c r="Y381" s="545">
        <f>IFERROR(Y378/H378,"0")+IFERROR(Y379/H379,"0")+IFERROR(Y380/H380,"0")</f>
        <v>17</v>
      </c>
      <c r="Z381" s="545">
        <f>IFERROR(IF(Z378="",0,Z378),"0")+IFERROR(IF(Z379="",0,Z379),"0")+IFERROR(IF(Z380="",0,Z380),"0")</f>
        <v>0.32266</v>
      </c>
      <c r="AA381" s="546"/>
      <c r="AB381" s="546"/>
      <c r="AC381" s="546"/>
    </row>
    <row r="382" spans="1:68" x14ac:dyDescent="0.2">
      <c r="A382" s="557"/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71"/>
      <c r="P382" s="560" t="s">
        <v>71</v>
      </c>
      <c r="Q382" s="561"/>
      <c r="R382" s="561"/>
      <c r="S382" s="561"/>
      <c r="T382" s="561"/>
      <c r="U382" s="561"/>
      <c r="V382" s="562"/>
      <c r="W382" s="37" t="s">
        <v>69</v>
      </c>
      <c r="X382" s="545">
        <f>IFERROR(SUM(X378:X380),"0")</f>
        <v>150</v>
      </c>
      <c r="Y382" s="545">
        <f>IFERROR(SUM(Y378:Y380),"0")</f>
        <v>153</v>
      </c>
      <c r="Z382" s="37"/>
      <c r="AA382" s="546"/>
      <c r="AB382" s="546"/>
      <c r="AC382" s="546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58" t="s">
        <v>589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8"/>
      <c r="AB384" s="538"/>
      <c r="AC384" s="538"/>
    </row>
    <row r="385" spans="1:68" ht="14.25" hidden="1" customHeight="1" x14ac:dyDescent="0.25">
      <c r="A385" s="556" t="s">
        <v>64</v>
      </c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  <c r="Z385" s="557"/>
      <c r="AA385" s="539"/>
      <c r="AB385" s="539"/>
      <c r="AC385" s="539"/>
    </row>
    <row r="386" spans="1:68" ht="27" customHeight="1" x14ac:dyDescent="0.25">
      <c r="A386" s="54" t="s">
        <v>590</v>
      </c>
      <c r="B386" s="54" t="s">
        <v>591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80</v>
      </c>
      <c r="Y386" s="544">
        <f t="shared" ref="Y386:Y394" si="41">IFERROR(IF(X386="",0,CEILING((X386/$H386),1)*$H386),"")</f>
        <v>81</v>
      </c>
      <c r="Z386" s="36">
        <f>IFERROR(IF(Y386=0,"",ROUNDUP(Y386/H386,0)*0.00902),"")</f>
        <v>0.1353</v>
      </c>
      <c r="AA386" s="56"/>
      <c r="AB386" s="57"/>
      <c r="AC386" s="429" t="s">
        <v>592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82.81481481481481</v>
      </c>
      <c r="BN386" s="64">
        <f t="shared" ref="BN386:BN394" si="43">IFERROR(Y386*I386/H386,"0")</f>
        <v>83.85</v>
      </c>
      <c r="BO386" s="64">
        <f t="shared" ref="BO386:BO394" si="44">IFERROR(1/J386*(X386/H386),"0")</f>
        <v>0.11223344556677889</v>
      </c>
      <c r="BP386" s="64">
        <f t="shared" ref="BP386:BP394" si="45">IFERROR(1/J386*(Y386/H386),"0")</f>
        <v>0.11363636363636363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3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100</v>
      </c>
      <c r="Y388" s="544">
        <f t="shared" si="41"/>
        <v>102.60000000000001</v>
      </c>
      <c r="Z388" s="36">
        <f>IFERROR(IF(Y388=0,"",ROUNDUP(Y388/H388,0)*0.00902),"")</f>
        <v>0.17138</v>
      </c>
      <c r="AA388" s="56"/>
      <c r="AB388" s="57"/>
      <c r="AC388" s="433" t="s">
        <v>598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103.5185185185185</v>
      </c>
      <c r="BN388" s="64">
        <f t="shared" si="43"/>
        <v>106.21</v>
      </c>
      <c r="BO388" s="64">
        <f t="shared" si="44"/>
        <v>0.14029180695847362</v>
      </c>
      <c r="BP388" s="64">
        <f t="shared" si="45"/>
        <v>0.14393939393939395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70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71"/>
      <c r="P395" s="560" t="s">
        <v>71</v>
      </c>
      <c r="Q395" s="561"/>
      <c r="R395" s="561"/>
      <c r="S395" s="561"/>
      <c r="T395" s="561"/>
      <c r="U395" s="561"/>
      <c r="V395" s="562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33.333333333333329</v>
      </c>
      <c r="Y395" s="545">
        <f>IFERROR(Y386/H386,"0")+IFERROR(Y387/H387,"0")+IFERROR(Y388/H388,"0")+IFERROR(Y389/H389,"0")+IFERROR(Y390/H390,"0")+IFERROR(Y391/H391,"0")+IFERROR(Y392/H392,"0")+IFERROR(Y393/H393,"0")+IFERROR(Y394/H394,"0")</f>
        <v>34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0.30668000000000001</v>
      </c>
      <c r="AA395" s="546"/>
      <c r="AB395" s="546"/>
      <c r="AC395" s="546"/>
    </row>
    <row r="396" spans="1:68" x14ac:dyDescent="0.2">
      <c r="A396" s="557"/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71"/>
      <c r="P396" s="560" t="s">
        <v>71</v>
      </c>
      <c r="Q396" s="561"/>
      <c r="R396" s="561"/>
      <c r="S396" s="561"/>
      <c r="T396" s="561"/>
      <c r="U396" s="561"/>
      <c r="V396" s="562"/>
      <c r="W396" s="37" t="s">
        <v>69</v>
      </c>
      <c r="X396" s="545">
        <f>IFERROR(SUM(X386:X394),"0")</f>
        <v>180</v>
      </c>
      <c r="Y396" s="545">
        <f>IFERROR(SUM(Y386:Y394),"0")</f>
        <v>183.60000000000002</v>
      </c>
      <c r="Z396" s="37"/>
      <c r="AA396" s="546"/>
      <c r="AB396" s="546"/>
      <c r="AC396" s="546"/>
    </row>
    <row r="397" spans="1:68" ht="14.25" hidden="1" customHeight="1" x14ac:dyDescent="0.25">
      <c r="A397" s="556" t="s">
        <v>73</v>
      </c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  <c r="Z397" s="557"/>
      <c r="AA397" s="539"/>
      <c r="AB397" s="539"/>
      <c r="AC397" s="539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71"/>
      <c r="P400" s="560" t="s">
        <v>71</v>
      </c>
      <c r="Q400" s="561"/>
      <c r="R400" s="561"/>
      <c r="S400" s="561"/>
      <c r="T400" s="561"/>
      <c r="U400" s="561"/>
      <c r="V400" s="562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71"/>
      <c r="P401" s="560" t="s">
        <v>71</v>
      </c>
      <c r="Q401" s="561"/>
      <c r="R401" s="561"/>
      <c r="S401" s="561"/>
      <c r="T401" s="561"/>
      <c r="U401" s="561"/>
      <c r="V401" s="562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620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8"/>
      <c r="AB402" s="538"/>
      <c r="AC402" s="538"/>
    </row>
    <row r="403" spans="1:68" ht="14.25" hidden="1" customHeight="1" x14ac:dyDescent="0.25">
      <c r="A403" s="556" t="s">
        <v>136</v>
      </c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  <c r="Z403" s="557"/>
      <c r="AA403" s="539"/>
      <c r="AB403" s="539"/>
      <c r="AC403" s="539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71"/>
      <c r="P405" s="560" t="s">
        <v>71</v>
      </c>
      <c r="Q405" s="561"/>
      <c r="R405" s="561"/>
      <c r="S405" s="561"/>
      <c r="T405" s="561"/>
      <c r="U405" s="561"/>
      <c r="V405" s="562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71"/>
      <c r="P406" s="560" t="s">
        <v>71</v>
      </c>
      <c r="Q406" s="561"/>
      <c r="R406" s="561"/>
      <c r="S406" s="561"/>
      <c r="T406" s="561"/>
      <c r="U406" s="561"/>
      <c r="V406" s="562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6" t="s">
        <v>64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39"/>
      <c r="AB407" s="539"/>
      <c r="AC407" s="539"/>
    </row>
    <row r="408" spans="1:68" ht="27" customHeight="1" x14ac:dyDescent="0.25">
      <c r="A408" s="54" t="s">
        <v>624</v>
      </c>
      <c r="B408" s="54" t="s">
        <v>625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50</v>
      </c>
      <c r="Y408" s="544">
        <f>IFERROR(IF(X408="",0,CEILING((X408/$H408),1)*$H408),"")</f>
        <v>54</v>
      </c>
      <c r="Z408" s="36">
        <f>IFERROR(IF(Y408=0,"",ROUNDUP(Y408/H408,0)*0.00902),"")</f>
        <v>9.0200000000000002E-2</v>
      </c>
      <c r="AA408" s="56"/>
      <c r="AB408" s="57"/>
      <c r="AC408" s="453" t="s">
        <v>626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51.759259259259252</v>
      </c>
      <c r="BN408" s="64">
        <f>IFERROR(Y408*I408/H408,"0")</f>
        <v>55.9</v>
      </c>
      <c r="BO408" s="64">
        <f>IFERROR(1/J408*(X408/H408),"0")</f>
        <v>7.0145903479236812E-2</v>
      </c>
      <c r="BP408" s="64">
        <f>IFERROR(1/J408*(Y408/H408),"0")</f>
        <v>7.575757575757576E-2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3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70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71"/>
      <c r="P412" s="560" t="s">
        <v>71</v>
      </c>
      <c r="Q412" s="561"/>
      <c r="R412" s="561"/>
      <c r="S412" s="561"/>
      <c r="T412" s="561"/>
      <c r="U412" s="561"/>
      <c r="V412" s="562"/>
      <c r="W412" s="37" t="s">
        <v>72</v>
      </c>
      <c r="X412" s="545">
        <f>IFERROR(X408/H408,"0")+IFERROR(X409/H409,"0")+IFERROR(X410/H410,"0")+IFERROR(X411/H411,"0")</f>
        <v>9.2592592592592595</v>
      </c>
      <c r="Y412" s="545">
        <f>IFERROR(Y408/H408,"0")+IFERROR(Y409/H409,"0")+IFERROR(Y410/H410,"0")+IFERROR(Y411/H411,"0")</f>
        <v>10</v>
      </c>
      <c r="Z412" s="545">
        <f>IFERROR(IF(Z408="",0,Z408),"0")+IFERROR(IF(Z409="",0,Z409),"0")+IFERROR(IF(Z410="",0,Z410),"0")+IFERROR(IF(Z411="",0,Z411),"0")</f>
        <v>9.0200000000000002E-2</v>
      </c>
      <c r="AA412" s="546"/>
      <c r="AB412" s="546"/>
      <c r="AC412" s="546"/>
    </row>
    <row r="413" spans="1:68" x14ac:dyDescent="0.2">
      <c r="A413" s="557"/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71"/>
      <c r="P413" s="560" t="s">
        <v>71</v>
      </c>
      <c r="Q413" s="561"/>
      <c r="R413" s="561"/>
      <c r="S413" s="561"/>
      <c r="T413" s="561"/>
      <c r="U413" s="561"/>
      <c r="V413" s="562"/>
      <c r="W413" s="37" t="s">
        <v>69</v>
      </c>
      <c r="X413" s="545">
        <f>IFERROR(SUM(X408:X411),"0")</f>
        <v>50</v>
      </c>
      <c r="Y413" s="545">
        <f>IFERROR(SUM(Y408:Y411),"0")</f>
        <v>54</v>
      </c>
      <c r="Z413" s="37"/>
      <c r="AA413" s="546"/>
      <c r="AB413" s="546"/>
      <c r="AC413" s="546"/>
    </row>
    <row r="414" spans="1:68" ht="16.5" hidden="1" customHeight="1" x14ac:dyDescent="0.25">
      <c r="A414" s="558" t="s">
        <v>635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8"/>
      <c r="AB414" s="538"/>
      <c r="AC414" s="538"/>
    </row>
    <row r="415" spans="1:68" ht="14.25" hidden="1" customHeight="1" x14ac:dyDescent="0.25">
      <c r="A415" s="556" t="s">
        <v>64</v>
      </c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  <c r="Z415" s="557"/>
      <c r="AA415" s="539"/>
      <c r="AB415" s="539"/>
      <c r="AC415" s="539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71"/>
      <c r="P417" s="560" t="s">
        <v>71</v>
      </c>
      <c r="Q417" s="561"/>
      <c r="R417" s="561"/>
      <c r="S417" s="561"/>
      <c r="T417" s="561"/>
      <c r="U417" s="561"/>
      <c r="V417" s="562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71"/>
      <c r="P418" s="560" t="s">
        <v>71</v>
      </c>
      <c r="Q418" s="561"/>
      <c r="R418" s="561"/>
      <c r="S418" s="561"/>
      <c r="T418" s="561"/>
      <c r="U418" s="561"/>
      <c r="V418" s="562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58" t="s">
        <v>639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8"/>
      <c r="AB420" s="538"/>
      <c r="AC420" s="538"/>
    </row>
    <row r="421" spans="1:68" ht="14.25" hidden="1" customHeight="1" x14ac:dyDescent="0.25">
      <c r="A421" s="556" t="s">
        <v>101</v>
      </c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  <c r="Z421" s="557"/>
      <c r="AA421" s="539"/>
      <c r="AB421" s="539"/>
      <c r="AC421" s="539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4301012145</v>
      </c>
      <c r="D423" s="547">
        <v>4607091383522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/>
      <c r="M423" s="33" t="s">
        <v>106</v>
      </c>
      <c r="N423" s="33"/>
      <c r="O423" s="32">
        <v>60</v>
      </c>
      <c r="P423" s="6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140</v>
      </c>
      <c r="Y423" s="544">
        <f t="shared" si="47"/>
        <v>142.56</v>
      </c>
      <c r="Z423" s="36">
        <f t="shared" si="48"/>
        <v>0.32291999999999998</v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9"/>
        <v>149.280303030303</v>
      </c>
      <c r="BN423" s="64">
        <f t="shared" si="50"/>
        <v>152.01</v>
      </c>
      <c r="BO423" s="64">
        <f t="shared" si="51"/>
        <v>0.25495337995337997</v>
      </c>
      <c r="BP423" s="64">
        <f t="shared" si="52"/>
        <v>0.25961538461538464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4301011961</v>
      </c>
      <c r="D424" s="547">
        <v>4680115885271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647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648</v>
      </c>
      <c r="B425" s="54" t="s">
        <v>649</v>
      </c>
      <c r="C425" s="31">
        <v>4301011376</v>
      </c>
      <c r="D425" s="547">
        <v>4680115885226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 t="s">
        <v>105</v>
      </c>
      <c r="M425" s="33" t="s">
        <v>77</v>
      </c>
      <c r="N425" s="33"/>
      <c r="O425" s="32">
        <v>60</v>
      </c>
      <c r="P425" s="7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650</v>
      </c>
      <c r="AG425" s="64"/>
      <c r="AJ425" s="68" t="s">
        <v>90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651</v>
      </c>
      <c r="B426" s="54" t="s">
        <v>652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140</v>
      </c>
      <c r="Y427" s="544">
        <f t="shared" si="47"/>
        <v>142.56</v>
      </c>
      <c r="Z427" s="36">
        <f t="shared" si="48"/>
        <v>0.32291999999999998</v>
      </c>
      <c r="AA427" s="56"/>
      <c r="AB427" s="57"/>
      <c r="AC427" s="473" t="s">
        <v>656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149.280303030303</v>
      </c>
      <c r="BN427" s="64">
        <f t="shared" si="50"/>
        <v>152.01</v>
      </c>
      <c r="BO427" s="64">
        <f t="shared" si="51"/>
        <v>0.25495337995337997</v>
      </c>
      <c r="BP427" s="64">
        <f t="shared" si="52"/>
        <v>0.25961538461538464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647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666</v>
      </c>
      <c r="B432" s="54" t="s">
        <v>667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656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70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71"/>
      <c r="P433" s="560" t="s">
        <v>71</v>
      </c>
      <c r="Q433" s="561"/>
      <c r="R433" s="561"/>
      <c r="S433" s="561"/>
      <c r="T433" s="561"/>
      <c r="U433" s="561"/>
      <c r="V433" s="562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53.030303030303031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54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0.64583999999999997</v>
      </c>
      <c r="AA433" s="546"/>
      <c r="AB433" s="546"/>
      <c r="AC433" s="546"/>
    </row>
    <row r="434" spans="1:68" x14ac:dyDescent="0.2">
      <c r="A434" s="557"/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71"/>
      <c r="P434" s="560" t="s">
        <v>71</v>
      </c>
      <c r="Q434" s="561"/>
      <c r="R434" s="561"/>
      <c r="S434" s="561"/>
      <c r="T434" s="561"/>
      <c r="U434" s="561"/>
      <c r="V434" s="562"/>
      <c r="W434" s="37" t="s">
        <v>69</v>
      </c>
      <c r="X434" s="545">
        <f>IFERROR(SUM(X422:X432),"0")</f>
        <v>280</v>
      </c>
      <c r="Y434" s="545">
        <f>IFERROR(SUM(Y422:Y432),"0")</f>
        <v>285.12</v>
      </c>
      <c r="Z434" s="37"/>
      <c r="AA434" s="546"/>
      <c r="AB434" s="546"/>
      <c r="AC434" s="546"/>
    </row>
    <row r="435" spans="1:68" ht="14.25" hidden="1" customHeight="1" x14ac:dyDescent="0.25">
      <c r="A435" s="556" t="s">
        <v>136</v>
      </c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  <c r="Z435" s="557"/>
      <c r="AA435" s="539"/>
      <c r="AB435" s="539"/>
      <c r="AC435" s="539"/>
    </row>
    <row r="436" spans="1:68" ht="16.5" hidden="1" customHeight="1" x14ac:dyDescent="0.25">
      <c r="A436" s="54" t="s">
        <v>668</v>
      </c>
      <c r="B436" s="54" t="s">
        <v>669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670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670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7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71"/>
      <c r="P439" s="560" t="s">
        <v>71</v>
      </c>
      <c r="Q439" s="561"/>
      <c r="R439" s="561"/>
      <c r="S439" s="561"/>
      <c r="T439" s="561"/>
      <c r="U439" s="561"/>
      <c r="V439" s="562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71"/>
      <c r="P440" s="560" t="s">
        <v>71</v>
      </c>
      <c r="Q440" s="561"/>
      <c r="R440" s="561"/>
      <c r="S440" s="561"/>
      <c r="T440" s="561"/>
      <c r="U440" s="561"/>
      <c r="V440" s="562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56" t="s">
        <v>64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39"/>
      <c r="AB441" s="539"/>
      <c r="AC441" s="539"/>
    </row>
    <row r="442" spans="1:68" ht="27" customHeight="1" x14ac:dyDescent="0.25">
      <c r="A442" s="54" t="s">
        <v>675</v>
      </c>
      <c r="B442" s="54" t="s">
        <v>676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110</v>
      </c>
      <c r="Y442" s="544">
        <f t="shared" ref="Y442:Y447" si="53">IFERROR(IF(X442="",0,CEILING((X442/$H442),1)*$H442),"")</f>
        <v>110.88000000000001</v>
      </c>
      <c r="Z442" s="36">
        <f>IFERROR(IF(Y442=0,"",ROUNDUP(Y442/H442,0)*0.01196),"")</f>
        <v>0.25115999999999999</v>
      </c>
      <c r="AA442" s="56"/>
      <c r="AB442" s="57"/>
      <c r="AC442" s="491" t="s">
        <v>677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117.29166666666666</v>
      </c>
      <c r="BN442" s="64">
        <f t="shared" ref="BN442:BN447" si="55">IFERROR(Y442*I442/H442,"0")</f>
        <v>118.23</v>
      </c>
      <c r="BO442" s="64">
        <f t="shared" ref="BO442:BO447" si="56">IFERROR(1/J442*(X442/H442),"0")</f>
        <v>0.20032051282051283</v>
      </c>
      <c r="BP442" s="64">
        <f t="shared" ref="BP442:BP447" si="57">IFERROR(1/J442*(Y442/H442),"0")</f>
        <v>0.20192307692307693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40</v>
      </c>
      <c r="Y444" s="544">
        <f t="shared" si="53"/>
        <v>42.24</v>
      </c>
      <c r="Z444" s="36">
        <f>IFERROR(IF(Y444=0,"",ROUNDUP(Y444/H444,0)*0.01196),"")</f>
        <v>9.5680000000000001E-2</v>
      </c>
      <c r="AA444" s="56"/>
      <c r="AB444" s="57"/>
      <c r="AC444" s="495" t="s">
        <v>683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42.651515151515149</v>
      </c>
      <c r="BN444" s="64">
        <f t="shared" si="55"/>
        <v>45.04</v>
      </c>
      <c r="BO444" s="64">
        <f t="shared" si="56"/>
        <v>7.2843822843822847E-2</v>
      </c>
      <c r="BP444" s="64">
        <f t="shared" si="57"/>
        <v>7.6923076923076927E-2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3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683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70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71"/>
      <c r="P448" s="560" t="s">
        <v>71</v>
      </c>
      <c r="Q448" s="561"/>
      <c r="R448" s="561"/>
      <c r="S448" s="561"/>
      <c r="T448" s="561"/>
      <c r="U448" s="561"/>
      <c r="V448" s="562"/>
      <c r="W448" s="37" t="s">
        <v>72</v>
      </c>
      <c r="X448" s="545">
        <f>IFERROR(X442/H442,"0")+IFERROR(X443/H443,"0")+IFERROR(X444/H444,"0")+IFERROR(X445/H445,"0")+IFERROR(X446/H446,"0")+IFERROR(X447/H447,"0")</f>
        <v>28.409090909090907</v>
      </c>
      <c r="Y448" s="545">
        <f>IFERROR(Y442/H442,"0")+IFERROR(Y443/H443,"0")+IFERROR(Y444/H444,"0")+IFERROR(Y445/H445,"0")+IFERROR(Y446/H446,"0")+IFERROR(Y447/H447,"0")</f>
        <v>29</v>
      </c>
      <c r="Z448" s="545">
        <f>IFERROR(IF(Z442="",0,Z442),"0")+IFERROR(IF(Z443="",0,Z443),"0")+IFERROR(IF(Z444="",0,Z444),"0")+IFERROR(IF(Z445="",0,Z445),"0")+IFERROR(IF(Z446="",0,Z446),"0")+IFERROR(IF(Z447="",0,Z447),"0")</f>
        <v>0.34683999999999998</v>
      </c>
      <c r="AA448" s="546"/>
      <c r="AB448" s="546"/>
      <c r="AC448" s="546"/>
    </row>
    <row r="449" spans="1:68" x14ac:dyDescent="0.2">
      <c r="A449" s="557"/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71"/>
      <c r="P449" s="560" t="s">
        <v>71</v>
      </c>
      <c r="Q449" s="561"/>
      <c r="R449" s="561"/>
      <c r="S449" s="561"/>
      <c r="T449" s="561"/>
      <c r="U449" s="561"/>
      <c r="V449" s="562"/>
      <c r="W449" s="37" t="s">
        <v>69</v>
      </c>
      <c r="X449" s="545">
        <f>IFERROR(SUM(X442:X447),"0")</f>
        <v>150</v>
      </c>
      <c r="Y449" s="545">
        <f>IFERROR(SUM(Y442:Y447),"0")</f>
        <v>153.12</v>
      </c>
      <c r="Z449" s="37"/>
      <c r="AA449" s="546"/>
      <c r="AB449" s="546"/>
      <c r="AC449" s="546"/>
    </row>
    <row r="450" spans="1:68" ht="14.25" hidden="1" customHeight="1" x14ac:dyDescent="0.25">
      <c r="A450" s="556" t="s">
        <v>73</v>
      </c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  <c r="Z450" s="557"/>
      <c r="AA450" s="539"/>
      <c r="AB450" s="539"/>
      <c r="AC450" s="539"/>
    </row>
    <row r="451" spans="1:68" ht="16.5" hidden="1" customHeight="1" x14ac:dyDescent="0.25">
      <c r="A451" s="54" t="s">
        <v>690</v>
      </c>
      <c r="B451" s="54" t="s">
        <v>691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693</v>
      </c>
      <c r="B452" s="54" t="s">
        <v>694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696</v>
      </c>
      <c r="B453" s="54" t="s">
        <v>697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7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71"/>
      <c r="P454" s="560" t="s">
        <v>71</v>
      </c>
      <c r="Q454" s="561"/>
      <c r="R454" s="561"/>
      <c r="S454" s="561"/>
      <c r="T454" s="561"/>
      <c r="U454" s="561"/>
      <c r="V454" s="562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71"/>
      <c r="P455" s="560" t="s">
        <v>71</v>
      </c>
      <c r="Q455" s="561"/>
      <c r="R455" s="561"/>
      <c r="S455" s="561"/>
      <c r="T455" s="561"/>
      <c r="U455" s="561"/>
      <c r="V455" s="562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8" t="s">
        <v>699</v>
      </c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69"/>
      <c r="M456" s="569"/>
      <c r="N456" s="569"/>
      <c r="O456" s="569"/>
      <c r="P456" s="569"/>
      <c r="Q456" s="569"/>
      <c r="R456" s="569"/>
      <c r="S456" s="569"/>
      <c r="T456" s="569"/>
      <c r="U456" s="569"/>
      <c r="V456" s="569"/>
      <c r="W456" s="569"/>
      <c r="X456" s="569"/>
      <c r="Y456" s="569"/>
      <c r="Z456" s="569"/>
      <c r="AA456" s="48"/>
      <c r="AB456" s="48"/>
      <c r="AC456" s="48"/>
    </row>
    <row r="457" spans="1:68" ht="16.5" hidden="1" customHeight="1" x14ac:dyDescent="0.25">
      <c r="A457" s="558" t="s">
        <v>699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8"/>
      <c r="AB457" s="538"/>
      <c r="AC457" s="538"/>
    </row>
    <row r="458" spans="1:68" ht="14.25" hidden="1" customHeight="1" x14ac:dyDescent="0.25">
      <c r="A458" s="556" t="s">
        <v>101</v>
      </c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  <c r="Z458" s="557"/>
      <c r="AA458" s="539"/>
      <c r="AB458" s="539"/>
      <c r="AC458" s="539"/>
    </row>
    <row r="459" spans="1:68" ht="27" hidden="1" customHeight="1" x14ac:dyDescent="0.25">
      <c r="A459" s="54" t="s">
        <v>700</v>
      </c>
      <c r="B459" s="54" t="s">
        <v>701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90</v>
      </c>
      <c r="Y461" s="544">
        <f>IFERROR(IF(X461="",0,CEILING((X461/$H461),1)*$H461),"")</f>
        <v>96</v>
      </c>
      <c r="Z461" s="36">
        <f>IFERROR(IF(Y461=0,"",ROUNDUP(Y461/H461,0)*0.01898),"")</f>
        <v>0.15184</v>
      </c>
      <c r="AA461" s="56"/>
      <c r="AB461" s="57"/>
      <c r="AC461" s="513" t="s">
        <v>708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93.075000000000003</v>
      </c>
      <c r="BN461" s="64">
        <f>IFERROR(Y461*I461/H461,"0")</f>
        <v>99.280000000000015</v>
      </c>
      <c r="BO461" s="64">
        <f>IFERROR(1/J461*(X461/H461),"0")</f>
        <v>0.1171875</v>
      </c>
      <c r="BP461" s="64">
        <f>IFERROR(1/J461*(Y461/H461),"0")</f>
        <v>0.125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702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71"/>
      <c r="P463" s="560" t="s">
        <v>71</v>
      </c>
      <c r="Q463" s="561"/>
      <c r="R463" s="561"/>
      <c r="S463" s="561"/>
      <c r="T463" s="561"/>
      <c r="U463" s="561"/>
      <c r="V463" s="562"/>
      <c r="W463" s="37" t="s">
        <v>72</v>
      </c>
      <c r="X463" s="545">
        <f>IFERROR(X459/H459,"0")+IFERROR(X460/H460,"0")+IFERROR(X461/H461,"0")+IFERROR(X462/H462,"0")</f>
        <v>7.5</v>
      </c>
      <c r="Y463" s="545">
        <f>IFERROR(Y459/H459,"0")+IFERROR(Y460/H460,"0")+IFERROR(Y461/H461,"0")+IFERROR(Y462/H462,"0")</f>
        <v>8</v>
      </c>
      <c r="Z463" s="545">
        <f>IFERROR(IF(Z459="",0,Z459),"0")+IFERROR(IF(Z460="",0,Z460),"0")+IFERROR(IF(Z461="",0,Z461),"0")+IFERROR(IF(Z462="",0,Z462),"0")</f>
        <v>0.15184</v>
      </c>
      <c r="AA463" s="546"/>
      <c r="AB463" s="546"/>
      <c r="AC463" s="546"/>
    </row>
    <row r="464" spans="1:68" x14ac:dyDescent="0.2">
      <c r="A464" s="557"/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71"/>
      <c r="P464" s="560" t="s">
        <v>71</v>
      </c>
      <c r="Q464" s="561"/>
      <c r="R464" s="561"/>
      <c r="S464" s="561"/>
      <c r="T464" s="561"/>
      <c r="U464" s="561"/>
      <c r="V464" s="562"/>
      <c r="W464" s="37" t="s">
        <v>69</v>
      </c>
      <c r="X464" s="545">
        <f>IFERROR(SUM(X459:X462),"0")</f>
        <v>90</v>
      </c>
      <c r="Y464" s="545">
        <f>IFERROR(SUM(Y459:Y462),"0")</f>
        <v>96</v>
      </c>
      <c r="Z464" s="37"/>
      <c r="AA464" s="546"/>
      <c r="AB464" s="546"/>
      <c r="AC464" s="546"/>
    </row>
    <row r="465" spans="1:68" ht="14.25" hidden="1" customHeight="1" x14ac:dyDescent="0.25">
      <c r="A465" s="556" t="s">
        <v>136</v>
      </c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  <c r="Z465" s="557"/>
      <c r="AA465" s="539"/>
      <c r="AB465" s="539"/>
      <c r="AC465" s="539"/>
    </row>
    <row r="466" spans="1:68" ht="27" hidden="1" customHeight="1" x14ac:dyDescent="0.25">
      <c r="A466" s="54" t="s">
        <v>711</v>
      </c>
      <c r="B466" s="54" t="s">
        <v>712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70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71"/>
      <c r="P469" s="560" t="s">
        <v>71</v>
      </c>
      <c r="Q469" s="561"/>
      <c r="R469" s="561"/>
      <c r="S469" s="561"/>
      <c r="T469" s="561"/>
      <c r="U469" s="561"/>
      <c r="V469" s="562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7"/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71"/>
      <c r="P470" s="560" t="s">
        <v>71</v>
      </c>
      <c r="Q470" s="561"/>
      <c r="R470" s="561"/>
      <c r="S470" s="561"/>
      <c r="T470" s="561"/>
      <c r="U470" s="561"/>
      <c r="V470" s="562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6" t="s">
        <v>64</v>
      </c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  <c r="Z471" s="557"/>
      <c r="AA471" s="539"/>
      <c r="AB471" s="539"/>
      <c r="AC471" s="539"/>
    </row>
    <row r="472" spans="1:68" ht="27" customHeight="1" x14ac:dyDescent="0.25">
      <c r="A472" s="54" t="s">
        <v>720</v>
      </c>
      <c r="B472" s="54" t="s">
        <v>721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70</v>
      </c>
      <c r="Y472" s="544">
        <f>IFERROR(IF(X472="",0,CEILING((X472/$H472),1)*$H472),"")</f>
        <v>71.400000000000006</v>
      </c>
      <c r="Z472" s="36">
        <f>IFERROR(IF(Y472=0,"",ROUNDUP(Y472/H472,0)*0.00902),"")</f>
        <v>0.15334</v>
      </c>
      <c r="AA472" s="56"/>
      <c r="AB472" s="57"/>
      <c r="AC472" s="523" t="s">
        <v>722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74.166666666666657</v>
      </c>
      <c r="BN472" s="64">
        <f>IFERROR(Y472*I472/H472,"0")</f>
        <v>75.650000000000006</v>
      </c>
      <c r="BO472" s="64">
        <f>IFERROR(1/J472*(X472/H472),"0")</f>
        <v>0.12626262626262624</v>
      </c>
      <c r="BP472" s="64">
        <f>IFERROR(1/J472*(Y472/H472),"0")</f>
        <v>0.12878787878787878</v>
      </c>
    </row>
    <row r="473" spans="1:68" ht="27" customHeight="1" x14ac:dyDescent="0.25">
      <c r="A473" s="54" t="s">
        <v>723</v>
      </c>
      <c r="B473" s="54" t="s">
        <v>724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50</v>
      </c>
      <c r="Y473" s="544">
        <f>IFERROR(IF(X473="",0,CEILING((X473/$H473),1)*$H473),"")</f>
        <v>50.400000000000006</v>
      </c>
      <c r="Z473" s="36">
        <f>IFERROR(IF(Y473=0,"",ROUNDUP(Y473/H473,0)*0.00902),"")</f>
        <v>0.10824</v>
      </c>
      <c r="AA473" s="56"/>
      <c r="AB473" s="57"/>
      <c r="AC473" s="525" t="s">
        <v>725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52.976190476190474</v>
      </c>
      <c r="BN473" s="64">
        <f>IFERROR(Y473*I473/H473,"0")</f>
        <v>53.400000000000006</v>
      </c>
      <c r="BO473" s="64">
        <f>IFERROR(1/J473*(X473/H473),"0")</f>
        <v>9.0187590187590191E-2</v>
      </c>
      <c r="BP473" s="64">
        <f>IFERROR(1/J473*(Y473/H473),"0")</f>
        <v>9.0909090909090912E-2</v>
      </c>
    </row>
    <row r="474" spans="1:68" x14ac:dyDescent="0.2">
      <c r="A474" s="570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71"/>
      <c r="P474" s="560" t="s">
        <v>71</v>
      </c>
      <c r="Q474" s="561"/>
      <c r="R474" s="561"/>
      <c r="S474" s="561"/>
      <c r="T474" s="561"/>
      <c r="U474" s="561"/>
      <c r="V474" s="562"/>
      <c r="W474" s="37" t="s">
        <v>72</v>
      </c>
      <c r="X474" s="545">
        <f>IFERROR(X472/H472,"0")+IFERROR(X473/H473,"0")</f>
        <v>28.571428571428569</v>
      </c>
      <c r="Y474" s="545">
        <f>IFERROR(Y472/H472,"0")+IFERROR(Y473/H473,"0")</f>
        <v>29</v>
      </c>
      <c r="Z474" s="545">
        <f>IFERROR(IF(Z472="",0,Z472),"0")+IFERROR(IF(Z473="",0,Z473),"0")</f>
        <v>0.26158000000000003</v>
      </c>
      <c r="AA474" s="546"/>
      <c r="AB474" s="546"/>
      <c r="AC474" s="546"/>
    </row>
    <row r="475" spans="1:68" x14ac:dyDescent="0.2">
      <c r="A475" s="557"/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71"/>
      <c r="P475" s="560" t="s">
        <v>71</v>
      </c>
      <c r="Q475" s="561"/>
      <c r="R475" s="561"/>
      <c r="S475" s="561"/>
      <c r="T475" s="561"/>
      <c r="U475" s="561"/>
      <c r="V475" s="562"/>
      <c r="W475" s="37" t="s">
        <v>69</v>
      </c>
      <c r="X475" s="545">
        <f>IFERROR(SUM(X472:X473),"0")</f>
        <v>120</v>
      </c>
      <c r="Y475" s="545">
        <f>IFERROR(SUM(Y472:Y473),"0")</f>
        <v>121.80000000000001</v>
      </c>
      <c r="Z475" s="37"/>
      <c r="AA475" s="546"/>
      <c r="AB475" s="546"/>
      <c r="AC475" s="546"/>
    </row>
    <row r="476" spans="1:68" ht="14.25" hidden="1" customHeight="1" x14ac:dyDescent="0.25">
      <c r="A476" s="556" t="s">
        <v>73</v>
      </c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  <c r="Z476" s="557"/>
      <c r="AA476" s="539"/>
      <c r="AB476" s="539"/>
      <c r="AC476" s="539"/>
    </row>
    <row r="477" spans="1:68" ht="27" hidden="1" customHeight="1" x14ac:dyDescent="0.25">
      <c r="A477" s="54" t="s">
        <v>726</v>
      </c>
      <c r="B477" s="54" t="s">
        <v>727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728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70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71"/>
      <c r="P478" s="560" t="s">
        <v>71</v>
      </c>
      <c r="Q478" s="561"/>
      <c r="R478" s="561"/>
      <c r="S478" s="561"/>
      <c r="T478" s="561"/>
      <c r="U478" s="561"/>
      <c r="V478" s="562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7"/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71"/>
      <c r="P479" s="560" t="s">
        <v>71</v>
      </c>
      <c r="Q479" s="561"/>
      <c r="R479" s="561"/>
      <c r="S479" s="561"/>
      <c r="T479" s="561"/>
      <c r="U479" s="561"/>
      <c r="V479" s="562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6" t="s">
        <v>164</v>
      </c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  <c r="Z480" s="557"/>
      <c r="AA480" s="539"/>
      <c r="AB480" s="539"/>
      <c r="AC480" s="539"/>
    </row>
    <row r="481" spans="1:68" ht="27" hidden="1" customHeight="1" x14ac:dyDescent="0.25">
      <c r="A481" s="54" t="s">
        <v>729</v>
      </c>
      <c r="B481" s="54" t="s">
        <v>730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732</v>
      </c>
      <c r="B482" s="54" t="s">
        <v>733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70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71"/>
      <c r="P483" s="560" t="s">
        <v>71</v>
      </c>
      <c r="Q483" s="561"/>
      <c r="R483" s="561"/>
      <c r="S483" s="561"/>
      <c r="T483" s="561"/>
      <c r="U483" s="561"/>
      <c r="V483" s="562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7"/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71"/>
      <c r="P484" s="560" t="s">
        <v>71</v>
      </c>
      <c r="Q484" s="561"/>
      <c r="R484" s="561"/>
      <c r="S484" s="561"/>
      <c r="T484" s="561"/>
      <c r="U484" s="561"/>
      <c r="V484" s="562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735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8"/>
      <c r="AB485" s="538"/>
      <c r="AC485" s="538"/>
    </row>
    <row r="486" spans="1:68" ht="14.25" hidden="1" customHeight="1" x14ac:dyDescent="0.25">
      <c r="A486" s="556" t="s">
        <v>136</v>
      </c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  <c r="Z486" s="557"/>
      <c r="AA486" s="539"/>
      <c r="AB486" s="539"/>
      <c r="AC486" s="539"/>
    </row>
    <row r="487" spans="1:68" ht="27" hidden="1" customHeight="1" x14ac:dyDescent="0.25">
      <c r="A487" s="54" t="s">
        <v>736</v>
      </c>
      <c r="B487" s="54" t="s">
        <v>737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738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70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71"/>
      <c r="P488" s="560" t="s">
        <v>71</v>
      </c>
      <c r="Q488" s="561"/>
      <c r="R488" s="561"/>
      <c r="S488" s="561"/>
      <c r="T488" s="561"/>
      <c r="U488" s="561"/>
      <c r="V488" s="562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71"/>
      <c r="P489" s="560" t="s">
        <v>71</v>
      </c>
      <c r="Q489" s="561"/>
      <c r="R489" s="561"/>
      <c r="S489" s="561"/>
      <c r="T489" s="561"/>
      <c r="U489" s="561"/>
      <c r="V489" s="562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1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712"/>
      <c r="P490" s="650" t="s">
        <v>739</v>
      </c>
      <c r="Q490" s="651"/>
      <c r="R490" s="651"/>
      <c r="S490" s="651"/>
      <c r="T490" s="651"/>
      <c r="U490" s="651"/>
      <c r="V490" s="608"/>
      <c r="W490" s="37" t="s">
        <v>69</v>
      </c>
      <c r="X490" s="545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17830</v>
      </c>
      <c r="Y490" s="545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17949.139999999996</v>
      </c>
      <c r="Z490" s="37"/>
      <c r="AA490" s="546"/>
      <c r="AB490" s="546"/>
      <c r="AC490" s="546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712"/>
      <c r="P491" s="650" t="s">
        <v>740</v>
      </c>
      <c r="Q491" s="651"/>
      <c r="R491" s="651"/>
      <c r="S491" s="651"/>
      <c r="T491" s="651"/>
      <c r="U491" s="651"/>
      <c r="V491" s="608"/>
      <c r="W491" s="37" t="s">
        <v>69</v>
      </c>
      <c r="X491" s="545">
        <f>IFERROR(SUM(BM22:BM487),"0")</f>
        <v>18634.432441453791</v>
      </c>
      <c r="Y491" s="545">
        <f>IFERROR(SUM(BN22:BN487),"0")</f>
        <v>18759.598000000005</v>
      </c>
      <c r="Z491" s="37"/>
      <c r="AA491" s="546"/>
      <c r="AB491" s="546"/>
      <c r="AC491" s="546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12"/>
      <c r="P492" s="650" t="s">
        <v>741</v>
      </c>
      <c r="Q492" s="651"/>
      <c r="R492" s="651"/>
      <c r="S492" s="651"/>
      <c r="T492" s="651"/>
      <c r="U492" s="651"/>
      <c r="V492" s="608"/>
      <c r="W492" s="37" t="s">
        <v>742</v>
      </c>
      <c r="X492" s="38">
        <f>ROUNDUP(SUM(BO22:BO487),0)</f>
        <v>29</v>
      </c>
      <c r="Y492" s="38">
        <f>ROUNDUP(SUM(BP22:BP487),0)</f>
        <v>29</v>
      </c>
      <c r="Z492" s="37"/>
      <c r="AA492" s="546"/>
      <c r="AB492" s="546"/>
      <c r="AC492" s="546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12"/>
      <c r="P493" s="650" t="s">
        <v>743</v>
      </c>
      <c r="Q493" s="651"/>
      <c r="R493" s="651"/>
      <c r="S493" s="651"/>
      <c r="T493" s="651"/>
      <c r="U493" s="651"/>
      <c r="V493" s="608"/>
      <c r="W493" s="37" t="s">
        <v>69</v>
      </c>
      <c r="X493" s="545">
        <f>GrossWeightTotal+PalletQtyTotal*25</f>
        <v>19359.432441453791</v>
      </c>
      <c r="Y493" s="545">
        <f>GrossWeightTotalR+PalletQtyTotalR*25</f>
        <v>19484.598000000005</v>
      </c>
      <c r="Z493" s="37"/>
      <c r="AA493" s="546"/>
      <c r="AB493" s="546"/>
      <c r="AC493" s="546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12"/>
      <c r="P494" s="650" t="s">
        <v>744</v>
      </c>
      <c r="Q494" s="651"/>
      <c r="R494" s="651"/>
      <c r="S494" s="651"/>
      <c r="T494" s="651"/>
      <c r="U494" s="651"/>
      <c r="V494" s="608"/>
      <c r="W494" s="37" t="s">
        <v>742</v>
      </c>
      <c r="X494" s="545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2052.6900432952139</v>
      </c>
      <c r="Y494" s="545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2070</v>
      </c>
      <c r="Z494" s="37"/>
      <c r="AA494" s="546"/>
      <c r="AB494" s="546"/>
      <c r="AC494" s="546"/>
    </row>
    <row r="495" spans="1:68" ht="14.25" hidden="1" customHeight="1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12"/>
      <c r="P495" s="650" t="s">
        <v>745</v>
      </c>
      <c r="Q495" s="651"/>
      <c r="R495" s="651"/>
      <c r="S495" s="651"/>
      <c r="T495" s="651"/>
      <c r="U495" s="651"/>
      <c r="V495" s="608"/>
      <c r="W495" s="39" t="s">
        <v>746</v>
      </c>
      <c r="X495" s="37"/>
      <c r="Y495" s="37"/>
      <c r="Z495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33.258750000000006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747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250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533</v>
      </c>
      <c r="T497" s="601"/>
      <c r="U497" s="597" t="s">
        <v>588</v>
      </c>
      <c r="V497" s="600"/>
      <c r="W497" s="601"/>
      <c r="X497" s="540" t="s">
        <v>639</v>
      </c>
      <c r="Y497" s="597" t="s">
        <v>699</v>
      </c>
      <c r="Z497" s="601"/>
      <c r="AB497" s="52"/>
      <c r="AC497" s="52"/>
      <c r="AF497" s="541"/>
    </row>
    <row r="498" spans="1:32" ht="14.25" customHeight="1" thickTop="1" x14ac:dyDescent="0.2">
      <c r="A498" s="621" t="s">
        <v>748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251</v>
      </c>
      <c r="J498" s="597" t="s">
        <v>296</v>
      </c>
      <c r="K498" s="597" t="s">
        <v>355</v>
      </c>
      <c r="L498" s="597" t="s">
        <v>397</v>
      </c>
      <c r="M498" s="597" t="s">
        <v>413</v>
      </c>
      <c r="N498" s="541"/>
      <c r="O498" s="597" t="s">
        <v>424</v>
      </c>
      <c r="P498" s="597" t="s">
        <v>433</v>
      </c>
      <c r="Q498" s="597" t="s">
        <v>446</v>
      </c>
      <c r="R498" s="597" t="s">
        <v>523</v>
      </c>
      <c r="S498" s="597" t="s">
        <v>534</v>
      </c>
      <c r="T498" s="597" t="s">
        <v>569</v>
      </c>
      <c r="U498" s="597" t="s">
        <v>589</v>
      </c>
      <c r="V498" s="597" t="s">
        <v>620</v>
      </c>
      <c r="W498" s="597" t="s">
        <v>635</v>
      </c>
      <c r="X498" s="597" t="s">
        <v>639</v>
      </c>
      <c r="Y498" s="597" t="s">
        <v>699</v>
      </c>
      <c r="Z498" s="597" t="s">
        <v>735</v>
      </c>
      <c r="AB498" s="52"/>
      <c r="AC498" s="52"/>
      <c r="AF498" s="541"/>
    </row>
    <row r="499" spans="1:32" ht="13.5" customHeight="1" thickBot="1" x14ac:dyDescent="0.25">
      <c r="A499" s="622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749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247.2</v>
      </c>
      <c r="E500" s="46">
        <f>IFERROR(Y85*1,"0")+IFERROR(Y86*1,"0")+IFERROR(Y87*1,"0")+IFERROR(Y91*1,"0")+IFERROR(Y92*1,"0")+IFERROR(Y93*1,"0")+IFERROR(Y94*1,"0")</f>
        <v>40.5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129.6</v>
      </c>
      <c r="G500" s="46">
        <f>IFERROR(Y124*1,"0")+IFERROR(Y125*1,"0")+IFERROR(Y129*1,"0")+IFERROR(Y130*1,"0")+IFERROR(Y134*1,"0")+IFERROR(Y135*1,"0")</f>
        <v>241.2</v>
      </c>
      <c r="H500" s="46">
        <f>IFERROR(Y140*1,"0")+IFERROR(Y141*1,"0")+IFERROR(Y145*1,"0")+IFERROR(Y146*1,"0")+IFERROR(Y147*1,"0")+IFERROR(Y151*1,"0")</f>
        <v>27</v>
      </c>
      <c r="I500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92.4</v>
      </c>
      <c r="J500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2142.3000000000002</v>
      </c>
      <c r="K500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46">
        <f>IFERROR(Y254*1,"0")+IFERROR(Y255*1,"0")+IFERROR(Y256*1,"0")+IFERROR(Y257*1,"0")+IFERROR(Y258*1,"0")</f>
        <v>0</v>
      </c>
      <c r="M500" s="46">
        <f>IFERROR(Y263*1,"0")+IFERROR(Y264*1,"0")+IFERROR(Y265*1,"0")+IFERROR(Y266*1,"0")</f>
        <v>0</v>
      </c>
      <c r="N500" s="541"/>
      <c r="O500" s="46">
        <f>IFERROR(Y271*1,"0")+IFERROR(Y272*1,"0")+IFERROR(Y273*1,"0")</f>
        <v>0</v>
      </c>
      <c r="P500" s="46">
        <f>IFERROR(Y278*1,"0")+IFERROR(Y279*1,"0")+IFERROR(Y283*1,"0")+IFERROR(Y284*1,"0")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3990.6000000000004</v>
      </c>
      <c r="R500" s="46">
        <f>IFERROR(Y335*1,"0")+IFERROR(Y336*1,"0")+IFERROR(Y337*1,"0")</f>
        <v>64.8</v>
      </c>
      <c r="S500" s="46">
        <f>IFERROR(Y343*1,"0")+IFERROR(Y344*1,"0")+IFERROR(Y345*1,"0")+IFERROR(Y346*1,"0")+IFERROR(Y347*1,"0")+IFERROR(Y348*1,"0")+IFERROR(Y349*1,"0")+IFERROR(Y353*1,"0")+IFERROR(Y354*1,"0")+IFERROR(Y358*1,"0")+IFERROR(Y359*1,"0")+IFERROR(Y363*1,"0")</f>
        <v>9905</v>
      </c>
      <c r="T500" s="46">
        <f>IFERROR(Y368*1,"0")+IFERROR(Y369*1,"0")+IFERROR(Y373*1,"0")+IFERROR(Y374*1,"0")+IFERROR(Y378*1,"0")+IFERROR(Y379*1,"0")+IFERROR(Y380*1,"0")</f>
        <v>174.9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183.60000000000002</v>
      </c>
      <c r="V500" s="46">
        <f>IFERROR(Y404*1,"0")+IFERROR(Y408*1,"0")+IFERROR(Y409*1,"0")+IFERROR(Y410*1,"0")+IFERROR(Y411*1,"0")</f>
        <v>54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438.24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217.8</v>
      </c>
      <c r="Z500" s="46">
        <f>IFERROR(Y487*1,"0")</f>
        <v>0</v>
      </c>
      <c r="AB500" s="52"/>
      <c r="AC500" s="52"/>
      <c r="AF500" s="54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50,00"/>
        <filter val="1 650,00"/>
        <filter val="1 670,00"/>
        <filter val="1 800,00"/>
        <filter val="1 820,00"/>
        <filter val="100,00"/>
        <filter val="106,41"/>
        <filter val="11,67"/>
        <filter val="110,00"/>
        <filter val="12,78"/>
        <filter val="120,00"/>
        <filter val="125,00"/>
        <filter val="140,00"/>
        <filter val="15,74"/>
        <filter val="150,00"/>
        <filter val="159,00"/>
        <filter val="16,67"/>
        <filter val="17 830,00"/>
        <filter val="170,00"/>
        <filter val="18 634,43"/>
        <filter val="180,00"/>
        <filter val="183,33"/>
        <filter val="19 359,43"/>
        <filter val="2 052,69"/>
        <filter val="2 600,00"/>
        <filter val="2,22"/>
        <filter val="20,00"/>
        <filter val="200,00"/>
        <filter val="21,43"/>
        <filter val="210,00"/>
        <filter val="25,00"/>
        <filter val="28,00"/>
        <filter val="28,41"/>
        <filter val="28,57"/>
        <filter val="28,93"/>
        <filter val="280,00"/>
        <filter val="29"/>
        <filter val="3 000,00"/>
        <filter val="3,00"/>
        <filter val="3,70"/>
        <filter val="3,85"/>
        <filter val="30,00"/>
        <filter val="309,26"/>
        <filter val="320,00"/>
        <filter val="33,33"/>
        <filter val="360,00"/>
        <filter val="384,62"/>
        <filter val="389,00"/>
        <filter val="4,57"/>
        <filter val="4,94"/>
        <filter val="40,00"/>
        <filter val="400,00"/>
        <filter val="403,33"/>
        <filter val="450,00"/>
        <filter val="48,00"/>
        <filter val="49,69"/>
        <filter val="50,00"/>
        <filter val="500,00"/>
        <filter val="53,03"/>
        <filter val="59,00"/>
        <filter val="6 050,00"/>
        <filter val="60,00"/>
        <filter val="7,41"/>
        <filter val="7,50"/>
        <filter val="70,00"/>
        <filter val="700,00"/>
        <filter val="72,00"/>
        <filter val="80,00"/>
        <filter val="81,00"/>
        <filter val="840,00"/>
        <filter val="9,26"/>
        <filter val="90,00"/>
        <filter val="93,00"/>
        <filter val="98,72"/>
      </filters>
    </filterColumn>
    <filterColumn colId="29" showButton="0"/>
    <filterColumn colId="30" showButton="0"/>
  </autoFilter>
  <mergeCells count="876">
    <mergeCell ref="L498:L499"/>
    <mergeCell ref="P444:T444"/>
    <mergeCell ref="P202:T202"/>
    <mergeCell ref="X17:X18"/>
    <mergeCell ref="D408:E408"/>
    <mergeCell ref="P216:V216"/>
    <mergeCell ref="A8:C8"/>
    <mergeCell ref="P124:T124"/>
    <mergeCell ref="D293:E293"/>
    <mergeCell ref="P151:T151"/>
    <mergeCell ref="P76:V76"/>
    <mergeCell ref="A128:Z128"/>
    <mergeCell ref="A10:C10"/>
    <mergeCell ref="P361:V361"/>
    <mergeCell ref="A217:Z217"/>
    <mergeCell ref="P218:T218"/>
    <mergeCell ref="P69:V69"/>
    <mergeCell ref="A21:Z21"/>
    <mergeCell ref="A355:O356"/>
    <mergeCell ref="A194:Z194"/>
    <mergeCell ref="P296:V296"/>
    <mergeCell ref="P356:V356"/>
    <mergeCell ref="D42:E42"/>
    <mergeCell ref="D344:E344"/>
    <mergeCell ref="Q5:R5"/>
    <mergeCell ref="D278:E278"/>
    <mergeCell ref="P291:T291"/>
    <mergeCell ref="D163:E163"/>
    <mergeCell ref="D107:E107"/>
    <mergeCell ref="P305:V305"/>
    <mergeCell ref="P263:T263"/>
    <mergeCell ref="P228:T228"/>
    <mergeCell ref="P241:T241"/>
    <mergeCell ref="A222:Z222"/>
    <mergeCell ref="J9:M9"/>
    <mergeCell ref="D112:E112"/>
    <mergeCell ref="P141:T141"/>
    <mergeCell ref="D62:E62"/>
    <mergeCell ref="D56:E56"/>
    <mergeCell ref="A38:Z38"/>
    <mergeCell ref="D140:E140"/>
    <mergeCell ref="P43:V43"/>
    <mergeCell ref="A39:Z39"/>
    <mergeCell ref="P60:T60"/>
    <mergeCell ref="Y17:Y18"/>
    <mergeCell ref="V5:W5"/>
    <mergeCell ref="T5:U5"/>
    <mergeCell ref="Q6:R6"/>
    <mergeCell ref="P200:T200"/>
    <mergeCell ref="P134:T134"/>
    <mergeCell ref="P292:T292"/>
    <mergeCell ref="D102:E102"/>
    <mergeCell ref="P81:V81"/>
    <mergeCell ref="A33:Z33"/>
    <mergeCell ref="D196:E196"/>
    <mergeCell ref="A269:Z269"/>
    <mergeCell ref="A126:O127"/>
    <mergeCell ref="P23:V23"/>
    <mergeCell ref="A262:Z262"/>
    <mergeCell ref="A103:O104"/>
    <mergeCell ref="M17:M18"/>
    <mergeCell ref="O17:O18"/>
    <mergeCell ref="P102:T102"/>
    <mergeCell ref="P62:T62"/>
    <mergeCell ref="P103:V103"/>
    <mergeCell ref="P247:T247"/>
    <mergeCell ref="P114:T114"/>
    <mergeCell ref="D17:E18"/>
    <mergeCell ref="M498:M499"/>
    <mergeCell ref="O498:O499"/>
    <mergeCell ref="D249:E249"/>
    <mergeCell ref="A476:Z476"/>
    <mergeCell ref="D170:E170"/>
    <mergeCell ref="P93:T93"/>
    <mergeCell ref="D468:E468"/>
    <mergeCell ref="P132:V132"/>
    <mergeCell ref="P72:T72"/>
    <mergeCell ref="P199:T199"/>
    <mergeCell ref="P436:T436"/>
    <mergeCell ref="A360:O361"/>
    <mergeCell ref="U497:W497"/>
    <mergeCell ref="P381:V381"/>
    <mergeCell ref="D271:E271"/>
    <mergeCell ref="D191:E191"/>
    <mergeCell ref="P368:T368"/>
    <mergeCell ref="A362:Z362"/>
    <mergeCell ref="D237:E237"/>
    <mergeCell ref="P285:V285"/>
    <mergeCell ref="A215:O216"/>
    <mergeCell ref="P85:T85"/>
    <mergeCell ref="A142:O143"/>
    <mergeCell ref="D291:E291"/>
    <mergeCell ref="P493:V493"/>
    <mergeCell ref="D452:E452"/>
    <mergeCell ref="P371:V371"/>
    <mergeCell ref="P408:T408"/>
    <mergeCell ref="D218:E218"/>
    <mergeCell ref="P137:V137"/>
    <mergeCell ref="D247:E247"/>
    <mergeCell ref="P495:V495"/>
    <mergeCell ref="A320:Z320"/>
    <mergeCell ref="P351:V351"/>
    <mergeCell ref="A314:Z314"/>
    <mergeCell ref="P239:V239"/>
    <mergeCell ref="D266:E266"/>
    <mergeCell ref="P174:T174"/>
    <mergeCell ref="P447:T447"/>
    <mergeCell ref="P410:T410"/>
    <mergeCell ref="A415:Z415"/>
    <mergeCell ref="P363:T363"/>
    <mergeCell ref="P373:T373"/>
    <mergeCell ref="P492:V492"/>
    <mergeCell ref="P286:V286"/>
    <mergeCell ref="P479:V479"/>
    <mergeCell ref="A318:O319"/>
    <mergeCell ref="P176:T176"/>
    <mergeCell ref="AD17:AF18"/>
    <mergeCell ref="P142:V142"/>
    <mergeCell ref="D101:E101"/>
    <mergeCell ref="P117:V117"/>
    <mergeCell ref="F5:G5"/>
    <mergeCell ref="P365:V365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A370:O371"/>
    <mergeCell ref="V11:W11"/>
    <mergeCell ref="D165:E165"/>
    <mergeCell ref="P75:T75"/>
    <mergeCell ref="P406:V406"/>
    <mergeCell ref="P317:T317"/>
    <mergeCell ref="D323:E323"/>
    <mergeCell ref="P146:T146"/>
    <mergeCell ref="D394:E394"/>
    <mergeCell ref="D279:E279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D404:E404"/>
    <mergeCell ref="P312:V31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P376:V376"/>
    <mergeCell ref="D310:E310"/>
    <mergeCell ref="A192:O193"/>
    <mergeCell ref="C498:C499"/>
    <mergeCell ref="P336:T336"/>
    <mergeCell ref="P187:V187"/>
    <mergeCell ref="E498:E499"/>
    <mergeCell ref="P131:V131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D462:E462"/>
    <mergeCell ref="Z498:Z499"/>
    <mergeCell ref="X498:X499"/>
    <mergeCell ref="P474:V474"/>
    <mergeCell ref="A155:Z155"/>
    <mergeCell ref="P401:V401"/>
    <mergeCell ref="P268:V268"/>
    <mergeCell ref="P339:V339"/>
    <mergeCell ref="P201:T201"/>
    <mergeCell ref="D389:E389"/>
    <mergeCell ref="P469:V469"/>
    <mergeCell ref="A465:Z465"/>
    <mergeCell ref="A136:O137"/>
    <mergeCell ref="P344:T344"/>
    <mergeCell ref="D265:E265"/>
    <mergeCell ref="D447:E447"/>
    <mergeCell ref="P301:T301"/>
    <mergeCell ref="A400:O401"/>
    <mergeCell ref="D257:E257"/>
    <mergeCell ref="P214:T214"/>
    <mergeCell ref="D213:E213"/>
    <mergeCell ref="A457:Z457"/>
    <mergeCell ref="P192:V192"/>
    <mergeCell ref="D151:E151"/>
    <mergeCell ref="D283:E283"/>
    <mergeCell ref="D348:E348"/>
    <mergeCell ref="P454:V454"/>
    <mergeCell ref="P206:T206"/>
    <mergeCell ref="P233:T233"/>
    <mergeCell ref="P330:T330"/>
    <mergeCell ref="D438:E438"/>
    <mergeCell ref="A340:Z340"/>
    <mergeCell ref="D425:E425"/>
    <mergeCell ref="D359:E359"/>
    <mergeCell ref="A9:C9"/>
    <mergeCell ref="D373:E373"/>
    <mergeCell ref="D202:E202"/>
    <mergeCell ref="A242:O243"/>
    <mergeCell ref="A179:Z179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D29:E29"/>
    <mergeCell ref="A20:Z20"/>
    <mergeCell ref="A31:O32"/>
    <mergeCell ref="N17:N18"/>
    <mergeCell ref="F17:F18"/>
    <mergeCell ref="D54:E54"/>
    <mergeCell ref="V12:W12"/>
    <mergeCell ref="P348:T348"/>
    <mergeCell ref="D294:E294"/>
    <mergeCell ref="P323:T323"/>
    <mergeCell ref="D498:D499"/>
    <mergeCell ref="D481:E481"/>
    <mergeCell ref="P226:T226"/>
    <mergeCell ref="F498:F499"/>
    <mergeCell ref="P335:T335"/>
    <mergeCell ref="D256:E256"/>
    <mergeCell ref="P462:T462"/>
    <mergeCell ref="D207:E207"/>
    <mergeCell ref="P164:T164"/>
    <mergeCell ref="D299:E299"/>
    <mergeCell ref="P405:V405"/>
    <mergeCell ref="P399:T399"/>
    <mergeCell ref="P171:V171"/>
    <mergeCell ref="P413:V413"/>
    <mergeCell ref="P242:V242"/>
    <mergeCell ref="A403:Z403"/>
    <mergeCell ref="P382:V382"/>
    <mergeCell ref="D459:E459"/>
    <mergeCell ref="P190:T190"/>
    <mergeCell ref="Y498:Y499"/>
    <mergeCell ref="A412:O413"/>
    <mergeCell ref="D225:E225"/>
    <mergeCell ref="P409:T409"/>
    <mergeCell ref="D461:E461"/>
    <mergeCell ref="P498:P499"/>
    <mergeCell ref="I497:R497"/>
    <mergeCell ref="A90:Z90"/>
    <mergeCell ref="K17:K18"/>
    <mergeCell ref="D446:E446"/>
    <mergeCell ref="A277:Z277"/>
    <mergeCell ref="P44:V44"/>
    <mergeCell ref="H5:M5"/>
    <mergeCell ref="P31:V31"/>
    <mergeCell ref="P158:V158"/>
    <mergeCell ref="A154:Z154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P487:T487"/>
    <mergeCell ref="P343:T343"/>
    <mergeCell ref="A288:Z288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D428:E428"/>
    <mergeCell ref="P40:T40"/>
    <mergeCell ref="P257:T257"/>
    <mergeCell ref="P80:T80"/>
    <mergeCell ref="Z17:Z18"/>
    <mergeCell ref="P331:V331"/>
    <mergeCell ref="P460:T460"/>
    <mergeCell ref="P398:T398"/>
    <mergeCell ref="P227:T227"/>
    <mergeCell ref="D368:E368"/>
    <mergeCell ref="P106:T106"/>
    <mergeCell ref="P120:V120"/>
    <mergeCell ref="D85:E85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A435:Z435"/>
    <mergeCell ref="AB17:AB18"/>
    <mergeCell ref="A81:O82"/>
    <mergeCell ref="P57:V57"/>
    <mergeCell ref="A152:O153"/>
    <mergeCell ref="G17:G18"/>
    <mergeCell ref="P121:V121"/>
    <mergeCell ref="D80:E80"/>
    <mergeCell ref="P148:V148"/>
    <mergeCell ref="P130:T130"/>
    <mergeCell ref="P46:T46"/>
    <mergeCell ref="P61:T61"/>
    <mergeCell ref="D200:E200"/>
    <mergeCell ref="A486:Z486"/>
    <mergeCell ref="H17:H18"/>
    <mergeCell ref="A220:O221"/>
    <mergeCell ref="P161:T161"/>
    <mergeCell ref="P388:T388"/>
    <mergeCell ref="P459:T459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483:V483"/>
    <mergeCell ref="D298:E298"/>
    <mergeCell ref="P91:T91"/>
    <mergeCell ref="D273:E273"/>
    <mergeCell ref="A160:Z160"/>
    <mergeCell ref="P212:T212"/>
    <mergeCell ref="P359:T359"/>
    <mergeCell ref="D436:E436"/>
    <mergeCell ref="A305:O306"/>
    <mergeCell ref="S498:S499"/>
    <mergeCell ref="D347:E347"/>
    <mergeCell ref="P304:T304"/>
    <mergeCell ref="D176:E176"/>
    <mergeCell ref="D114:E114"/>
    <mergeCell ref="P220:V220"/>
    <mergeCell ref="P248:T248"/>
    <mergeCell ref="D51:E51"/>
    <mergeCell ref="P477:T477"/>
    <mergeCell ref="D349:E349"/>
    <mergeCell ref="P455:V455"/>
    <mergeCell ref="A454:O455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R498:R499"/>
    <mergeCell ref="A261:Z261"/>
    <mergeCell ref="P338:V338"/>
    <mergeCell ref="P313:V313"/>
    <mergeCell ref="A138:Z138"/>
    <mergeCell ref="P380:T380"/>
    <mergeCell ref="P58:V58"/>
    <mergeCell ref="A13:M13"/>
    <mergeCell ref="D87:E87"/>
    <mergeCell ref="A367:Z367"/>
    <mergeCell ref="P115:T115"/>
    <mergeCell ref="D254:E254"/>
    <mergeCell ref="D61:E61"/>
    <mergeCell ref="A15:M15"/>
    <mergeCell ref="A183:Z183"/>
    <mergeCell ref="A88:O89"/>
    <mergeCell ref="D346:E346"/>
    <mergeCell ref="P229:T229"/>
    <mergeCell ref="A419:Z419"/>
    <mergeCell ref="D477:E477"/>
    <mergeCell ref="A133:Z133"/>
    <mergeCell ref="D125:E125"/>
    <mergeCell ref="P446:T446"/>
    <mergeCell ref="Q498:Q499"/>
    <mergeCell ref="Q8:R8"/>
    <mergeCell ref="P311:T311"/>
    <mergeCell ref="P140:T140"/>
    <mergeCell ref="P438:T438"/>
    <mergeCell ref="D444:E444"/>
    <mergeCell ref="D248:E248"/>
    <mergeCell ref="D219:E219"/>
    <mergeCell ref="P425:T425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87:T387"/>
    <mergeCell ref="A139:Z139"/>
    <mergeCell ref="D422:E422"/>
    <mergeCell ref="P360:V360"/>
    <mergeCell ref="D119:E119"/>
    <mergeCell ref="A12:M12"/>
    <mergeCell ref="A240:Z240"/>
    <mergeCell ref="P321:T321"/>
    <mergeCell ref="G498:G499"/>
    <mergeCell ref="D190:E190"/>
    <mergeCell ref="P374:T374"/>
    <mergeCell ref="I498:I499"/>
    <mergeCell ref="D246:E246"/>
    <mergeCell ref="D46:E46"/>
    <mergeCell ref="D40:E40"/>
    <mergeCell ref="A490:O495"/>
    <mergeCell ref="D74:E74"/>
    <mergeCell ref="D130:E130"/>
    <mergeCell ref="P87:T87"/>
    <mergeCell ref="P451:T451"/>
    <mergeCell ref="P449:V449"/>
    <mergeCell ref="D335:E335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355:V355"/>
    <mergeCell ref="D487:E487"/>
    <mergeCell ref="A14:M14"/>
    <mergeCell ref="A111:Z111"/>
    <mergeCell ref="P163:T163"/>
    <mergeCell ref="A480:Z480"/>
    <mergeCell ref="D467:E467"/>
    <mergeCell ref="P424:T424"/>
    <mergeCell ref="D345:E345"/>
    <mergeCell ref="A280:O281"/>
    <mergeCell ref="A285:O286"/>
    <mergeCell ref="P211:T211"/>
    <mergeCell ref="D399:E399"/>
    <mergeCell ref="A439:O440"/>
    <mergeCell ref="P309:T309"/>
    <mergeCell ref="P51:T51"/>
    <mergeCell ref="P26:T26"/>
    <mergeCell ref="P15:T16"/>
    <mergeCell ref="A325:O326"/>
    <mergeCell ref="P219:T219"/>
    <mergeCell ref="D91:E91"/>
    <mergeCell ref="D409:E409"/>
    <mergeCell ref="A463:O464"/>
    <mergeCell ref="P125:T125"/>
    <mergeCell ref="A478:O479"/>
    <mergeCell ref="A414:Z414"/>
    <mergeCell ref="D460:E460"/>
    <mergeCell ref="P210:T210"/>
    <mergeCell ref="P439:V439"/>
    <mergeCell ref="D398:E398"/>
    <mergeCell ref="A267:O268"/>
    <mergeCell ref="P433:V433"/>
    <mergeCell ref="P308:T308"/>
    <mergeCell ref="D343:E343"/>
    <mergeCell ref="P74:T74"/>
    <mergeCell ref="P243:V243"/>
    <mergeCell ref="P310:T310"/>
    <mergeCell ref="D231:E231"/>
    <mergeCell ref="D358:E358"/>
    <mergeCell ref="A327:Z327"/>
    <mergeCell ref="A156:Z156"/>
    <mergeCell ref="P116:V116"/>
    <mergeCell ref="D86:E86"/>
    <mergeCell ref="D321:E321"/>
    <mergeCell ref="P278:T278"/>
    <mergeCell ref="P107:T107"/>
    <mergeCell ref="P101:T101"/>
    <mergeCell ref="D386:E386"/>
    <mergeCell ref="P250:V250"/>
    <mergeCell ref="A364:O365"/>
    <mergeCell ref="P427:T427"/>
    <mergeCell ref="D106:E106"/>
    <mergeCell ref="P283:T283"/>
    <mergeCell ref="D264:E264"/>
    <mergeCell ref="D93:E93"/>
    <mergeCell ref="D391:E391"/>
    <mergeCell ref="P370:V370"/>
    <mergeCell ref="D328:E328"/>
    <mergeCell ref="D162:E162"/>
    <mergeCell ref="P272:T272"/>
    <mergeCell ref="P346:T346"/>
    <mergeCell ref="D292:E292"/>
    <mergeCell ref="D227:E227"/>
    <mergeCell ref="A295:O296"/>
    <mergeCell ref="D233:E233"/>
    <mergeCell ref="D336:E336"/>
    <mergeCell ref="P293:T293"/>
    <mergeCell ref="P294:T294"/>
    <mergeCell ref="A333:Z333"/>
    <mergeCell ref="A483:O484"/>
    <mergeCell ref="P353:T353"/>
    <mergeCell ref="A312:O313"/>
    <mergeCell ref="P204:V204"/>
    <mergeCell ref="D169:E169"/>
    <mergeCell ref="P82:V82"/>
    <mergeCell ref="P440:V440"/>
    <mergeCell ref="P303:T303"/>
    <mergeCell ref="A357:Z357"/>
    <mergeCell ref="D330:E330"/>
    <mergeCell ref="P181:V181"/>
    <mergeCell ref="A421:Z421"/>
    <mergeCell ref="A98:Z98"/>
    <mergeCell ref="P306:V306"/>
    <mergeCell ref="P110:V110"/>
    <mergeCell ref="A338:O339"/>
    <mergeCell ref="P208:T208"/>
    <mergeCell ref="P484:V484"/>
    <mergeCell ref="D157:E157"/>
    <mergeCell ref="P136:V136"/>
    <mergeCell ref="P434:V434"/>
    <mergeCell ref="A433:O434"/>
    <mergeCell ref="A253:Z253"/>
    <mergeCell ref="P324:T324"/>
    <mergeCell ref="P489:V489"/>
    <mergeCell ref="P491:V491"/>
    <mergeCell ref="P127:V127"/>
    <mergeCell ref="A5:C5"/>
    <mergeCell ref="P418:V418"/>
    <mergeCell ref="P412:V412"/>
    <mergeCell ref="P64:V64"/>
    <mergeCell ref="H498:H499"/>
    <mergeCell ref="J498:J499"/>
    <mergeCell ref="A485:Z485"/>
    <mergeCell ref="D337:E337"/>
    <mergeCell ref="D166:E166"/>
    <mergeCell ref="P195:T195"/>
    <mergeCell ref="P364:V364"/>
    <mergeCell ref="A189:Z189"/>
    <mergeCell ref="P300:T300"/>
    <mergeCell ref="A17:A18"/>
    <mergeCell ref="P431:T431"/>
    <mergeCell ref="A118:Z118"/>
    <mergeCell ref="C17:C18"/>
    <mergeCell ref="A488:O489"/>
    <mergeCell ref="P358:T358"/>
    <mergeCell ref="D230:E230"/>
    <mergeCell ref="D168:E168"/>
    <mergeCell ref="D9:E9"/>
    <mergeCell ref="P197:T197"/>
    <mergeCell ref="F9:G9"/>
    <mergeCell ref="P53:T53"/>
    <mergeCell ref="D167:E167"/>
    <mergeCell ref="P422:T422"/>
    <mergeCell ref="K498:K499"/>
    <mergeCell ref="D453:E453"/>
    <mergeCell ref="A6:C6"/>
    <mergeCell ref="D309:E309"/>
    <mergeCell ref="D113:E113"/>
    <mergeCell ref="P180:T180"/>
    <mergeCell ref="P416:T416"/>
    <mergeCell ref="P167:T167"/>
    <mergeCell ref="D26:E26"/>
    <mergeCell ref="D324:E324"/>
    <mergeCell ref="P378:T378"/>
    <mergeCell ref="A259:O260"/>
    <mergeCell ref="D311:E311"/>
    <mergeCell ref="D115:E115"/>
    <mergeCell ref="P55:T55"/>
    <mergeCell ref="P417:V417"/>
    <mergeCell ref="A203:O204"/>
    <mergeCell ref="Q12:R12"/>
    <mergeCell ref="D451:E451"/>
    <mergeCell ref="D255:E255"/>
    <mergeCell ref="P36:V36"/>
    <mergeCell ref="P478:V478"/>
    <mergeCell ref="A97:Z97"/>
    <mergeCell ref="D322:E322"/>
    <mergeCell ref="Q11:R11"/>
    <mergeCell ref="D388:E388"/>
    <mergeCell ref="P119:T119"/>
    <mergeCell ref="P246:T246"/>
    <mergeCell ref="A43:O44"/>
    <mergeCell ref="D390:E390"/>
    <mergeCell ref="A123:Z123"/>
    <mergeCell ref="P66:T66"/>
    <mergeCell ref="D180:E180"/>
    <mergeCell ref="A274:O275"/>
    <mergeCell ref="P169:T169"/>
    <mergeCell ref="P411:T411"/>
    <mergeCell ref="P467:T467"/>
    <mergeCell ref="P442:T442"/>
    <mergeCell ref="D466:E466"/>
    <mergeCell ref="A69:O70"/>
    <mergeCell ref="P185:T185"/>
    <mergeCell ref="D416:E416"/>
    <mergeCell ref="B498:B499"/>
    <mergeCell ref="A184:Z184"/>
    <mergeCell ref="A244:Z244"/>
    <mergeCell ref="P490:V490"/>
    <mergeCell ref="P426:T426"/>
    <mergeCell ref="P255:T255"/>
    <mergeCell ref="A342:Z342"/>
    <mergeCell ref="P48:V48"/>
    <mergeCell ref="A407:Z407"/>
    <mergeCell ref="A116:O117"/>
    <mergeCell ref="P428:T428"/>
    <mergeCell ref="D100:E100"/>
    <mergeCell ref="P284:T284"/>
    <mergeCell ref="P113:T113"/>
    <mergeCell ref="A173:Z173"/>
    <mergeCell ref="A471:Z471"/>
    <mergeCell ref="P129:T129"/>
    <mergeCell ref="D329:E329"/>
    <mergeCell ref="A402:Z402"/>
    <mergeCell ref="D229:E229"/>
    <mergeCell ref="D108:E108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J17:J18"/>
    <mergeCell ref="L17:L18"/>
    <mergeCell ref="P17:T18"/>
    <mergeCell ref="P423:T423"/>
    <mergeCell ref="P52:T52"/>
    <mergeCell ref="P481:T481"/>
    <mergeCell ref="I17:I18"/>
    <mergeCell ref="D141:E141"/>
    <mergeCell ref="D135:E135"/>
    <mergeCell ref="A417:O418"/>
    <mergeCell ref="P203:V203"/>
    <mergeCell ref="P470:V470"/>
    <mergeCell ref="D72:E72"/>
    <mergeCell ref="P295:V295"/>
    <mergeCell ref="P178:V178"/>
    <mergeCell ref="A177:O178"/>
    <mergeCell ref="P463:V463"/>
    <mergeCell ref="P267:V267"/>
    <mergeCell ref="Q9:R9"/>
    <mergeCell ref="U498:U499"/>
    <mergeCell ref="P475:V475"/>
    <mergeCell ref="W498:W499"/>
    <mergeCell ref="A45:Z45"/>
    <mergeCell ref="A458:Z458"/>
    <mergeCell ref="A287:Z287"/>
    <mergeCell ref="P35:V35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D380:E380"/>
    <mergeCell ref="P337:T337"/>
    <mergeCell ref="A282:Z282"/>
    <mergeCell ref="D209:E209"/>
    <mergeCell ref="A187:O188"/>
    <mergeCell ref="D445:E445"/>
    <mergeCell ref="D245:E245"/>
    <mergeCell ref="D301:E301"/>
    <mergeCell ref="H1:Q1"/>
    <mergeCell ref="A448:O449"/>
    <mergeCell ref="P280:V280"/>
    <mergeCell ref="P109:V109"/>
    <mergeCell ref="P274:V274"/>
    <mergeCell ref="A366:Z366"/>
    <mergeCell ref="A397:Z397"/>
    <mergeCell ref="D214:E214"/>
    <mergeCell ref="D284:E284"/>
    <mergeCell ref="P193:V193"/>
    <mergeCell ref="D28:E28"/>
    <mergeCell ref="D432:E432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498:A499"/>
    <mergeCell ref="P265:T265"/>
    <mergeCell ref="P94:T94"/>
    <mergeCell ref="D379:E379"/>
    <mergeCell ref="D208:E208"/>
    <mergeCell ref="D8:M8"/>
    <mergeCell ref="D300:E300"/>
    <mergeCell ref="P237:T237"/>
    <mergeCell ref="P473:T473"/>
    <mergeCell ref="P329:T329"/>
    <mergeCell ref="A148:O149"/>
    <mergeCell ref="P251:V251"/>
    <mergeCell ref="P266:T266"/>
    <mergeCell ref="P182:V182"/>
    <mergeCell ref="S497:T497"/>
    <mergeCell ref="V498:V499"/>
    <mergeCell ref="P453:T453"/>
    <mergeCell ref="A474:O475"/>
    <mergeCell ref="P396:V396"/>
    <mergeCell ref="A395:O396"/>
    <mergeCell ref="A109:O110"/>
    <mergeCell ref="A47:O48"/>
    <mergeCell ref="P482:T482"/>
    <mergeCell ref="D354:E354"/>
    <mergeCell ref="D7:M7"/>
    <mergeCell ref="A405:O406"/>
    <mergeCell ref="D79:E79"/>
    <mergeCell ref="P92:T92"/>
    <mergeCell ref="A450:Z450"/>
    <mergeCell ref="P394:T394"/>
    <mergeCell ref="D315:E315"/>
    <mergeCell ref="D442:E442"/>
    <mergeCell ref="D302:E302"/>
    <mergeCell ref="D429:E429"/>
    <mergeCell ref="P29:T29"/>
    <mergeCell ref="P271:T271"/>
    <mergeCell ref="P100:T100"/>
    <mergeCell ref="P177:V177"/>
    <mergeCell ref="P188:V188"/>
    <mergeCell ref="P166:T166"/>
    <mergeCell ref="D147:E147"/>
    <mergeCell ref="A105:Z105"/>
    <mergeCell ref="D224:E224"/>
    <mergeCell ref="P230:T230"/>
    <mergeCell ref="P289:T289"/>
    <mergeCell ref="D232:E232"/>
    <mergeCell ref="D161:E161"/>
    <mergeCell ref="P238:V238"/>
    <mergeCell ref="W17:W18"/>
    <mergeCell ref="P96:V96"/>
    <mergeCell ref="P332:V332"/>
    <mergeCell ref="A384:Z384"/>
    <mergeCell ref="A331:O332"/>
    <mergeCell ref="P325:V325"/>
    <mergeCell ref="A150:Z150"/>
    <mergeCell ref="A144:Z144"/>
    <mergeCell ref="A120:O121"/>
    <mergeCell ref="D378:E378"/>
    <mergeCell ref="D129:E129"/>
    <mergeCell ref="P264:T264"/>
    <mergeCell ref="P68:T68"/>
    <mergeCell ref="D52:E52"/>
    <mergeCell ref="D27:E27"/>
    <mergeCell ref="U17:V17"/>
    <mergeCell ref="P79:T79"/>
    <mergeCell ref="D211:E211"/>
    <mergeCell ref="P168:T168"/>
    <mergeCell ref="A19:Z19"/>
    <mergeCell ref="P70:V70"/>
    <mergeCell ref="V10:W10"/>
    <mergeCell ref="D431:E431"/>
    <mergeCell ref="P99:T99"/>
    <mergeCell ref="P170:T170"/>
    <mergeCell ref="P468:T468"/>
    <mergeCell ref="P316:T316"/>
    <mergeCell ref="P145:T145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159:V159"/>
    <mergeCell ref="P395:V395"/>
    <mergeCell ref="C497:H497"/>
    <mergeCell ref="P209:T209"/>
    <mergeCell ref="A385:Z385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A381:O382"/>
    <mergeCell ref="P165:T165"/>
    <mergeCell ref="P432:T432"/>
    <mergeCell ref="P400:V400"/>
    <mergeCell ref="D73:E73"/>
    <mergeCell ref="P77:V77"/>
    <mergeCell ref="P30:T30"/>
    <mergeCell ref="A76:O77"/>
    <mergeCell ref="P375:V375"/>
    <mergeCell ref="P290:T290"/>
    <mergeCell ref="A234:O235"/>
    <mergeCell ref="A63:O64"/>
    <mergeCell ref="B17:B18"/>
    <mergeCell ref="P143:V143"/>
    <mergeCell ref="A171:O172"/>
    <mergeCell ref="D258:E258"/>
    <mergeCell ref="P235:V235"/>
    <mergeCell ref="P404:T404"/>
    <mergeCell ref="D124:E124"/>
    <mergeCell ref="H9:I9"/>
    <mergeCell ref="A49:Z49"/>
    <mergeCell ref="P24:V24"/>
    <mergeCell ref="P260:V260"/>
    <mergeCell ref="P89:V89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D263:E263"/>
    <mergeCell ref="A65:Z65"/>
    <mergeCell ref="P86:T86"/>
    <mergeCell ref="P328:T328"/>
    <mergeCell ref="P213:T213"/>
    <mergeCell ref="P157:T157"/>
    <mergeCell ref="D134:E134"/>
    <mergeCell ref="P249:T249"/>
    <mergeCell ref="D363:E363"/>
    <mergeCell ref="P56:T56"/>
    <mergeCell ref="D473:E473"/>
    <mergeCell ref="D60:E60"/>
    <mergeCell ref="P73:T73"/>
    <mergeCell ref="P437:T437"/>
    <mergeCell ref="P315:T315"/>
    <mergeCell ref="P231:T231"/>
    <mergeCell ref="D423:E423"/>
    <mergeCell ref="P302:T302"/>
    <mergeCell ref="D174:E174"/>
    <mergeCell ref="D472:E472"/>
    <mergeCell ref="A352:Z352"/>
    <mergeCell ref="D410:E410"/>
    <mergeCell ref="A276:Z276"/>
    <mergeCell ref="A83:Z83"/>
    <mergeCell ref="A441:Z441"/>
    <mergeCell ref="A270:Z270"/>
    <mergeCell ref="P391:T391"/>
    <mergeCell ref="D426:E426"/>
    <mergeCell ref="P464:V464"/>
    <mergeCell ref="P452:T452"/>
    <mergeCell ref="P448:V448"/>
    <mergeCell ref="D195:E195"/>
    <mergeCell ref="P379:T379"/>
    <mergeCell ref="A469:O47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6 X388 X398:X399 X408 X422 X424:X425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2025-12-02T11:48:37Z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