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EE7472C-0AC1-47A8-A088-23A4981E676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Y455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Z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N73" i="1"/>
  <c r="BM73" i="1"/>
  <c r="Z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O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F10" i="1"/>
  <c r="F9" i="1"/>
  <c r="A9" i="1"/>
  <c r="A10" i="1" s="1"/>
  <c r="D7" i="1"/>
  <c r="Q6" i="1"/>
  <c r="P2" i="1"/>
  <c r="BP103" i="1" l="1"/>
  <c r="BN103" i="1"/>
  <c r="Z103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5" i="1"/>
  <c r="BN215" i="1"/>
  <c r="Z215" i="1"/>
  <c r="BP273" i="1"/>
  <c r="BN273" i="1"/>
  <c r="Z273" i="1"/>
  <c r="BP303" i="1"/>
  <c r="BN303" i="1"/>
  <c r="Z303" i="1"/>
  <c r="BP336" i="1"/>
  <c r="BN336" i="1"/>
  <c r="Z336" i="1"/>
  <c r="BP387" i="1"/>
  <c r="BN387" i="1"/>
  <c r="Z387" i="1"/>
  <c r="BP428" i="1"/>
  <c r="BN428" i="1"/>
  <c r="Z428" i="1"/>
  <c r="BP454" i="1"/>
  <c r="BN454" i="1"/>
  <c r="Z454" i="1"/>
  <c r="BP460" i="1"/>
  <c r="BN460" i="1"/>
  <c r="Z460" i="1"/>
  <c r="B501" i="1"/>
  <c r="X493" i="1"/>
  <c r="Z31" i="1"/>
  <c r="BN31" i="1"/>
  <c r="Z54" i="1"/>
  <c r="BN54" i="1"/>
  <c r="BP62" i="1"/>
  <c r="BN62" i="1"/>
  <c r="BP88" i="1"/>
  <c r="BN88" i="1"/>
  <c r="Z88" i="1"/>
  <c r="BP115" i="1"/>
  <c r="BN115" i="1"/>
  <c r="Z115" i="1"/>
  <c r="BP169" i="1"/>
  <c r="BN169" i="1"/>
  <c r="Z169" i="1"/>
  <c r="BP202" i="1"/>
  <c r="BN202" i="1"/>
  <c r="Z202" i="1"/>
  <c r="BP230" i="1"/>
  <c r="BN230" i="1"/>
  <c r="Z230" i="1"/>
  <c r="BP257" i="1"/>
  <c r="BN257" i="1"/>
  <c r="Z257" i="1"/>
  <c r="BP293" i="1"/>
  <c r="BN293" i="1"/>
  <c r="Z293" i="1"/>
  <c r="BP317" i="1"/>
  <c r="BN317" i="1"/>
  <c r="Z317" i="1"/>
  <c r="BP354" i="1"/>
  <c r="BN354" i="1"/>
  <c r="Z354" i="1"/>
  <c r="BP358" i="1"/>
  <c r="BN358" i="1"/>
  <c r="Z358" i="1"/>
  <c r="BP399" i="1"/>
  <c r="BN399" i="1"/>
  <c r="Z399" i="1"/>
  <c r="BP444" i="1"/>
  <c r="BN444" i="1"/>
  <c r="Z444" i="1"/>
  <c r="Y480" i="1"/>
  <c r="Y479" i="1"/>
  <c r="BP478" i="1"/>
  <c r="BN478" i="1"/>
  <c r="Z478" i="1"/>
  <c r="Z479" i="1" s="1"/>
  <c r="BP482" i="1"/>
  <c r="BN482" i="1"/>
  <c r="Z482" i="1"/>
  <c r="BP81" i="1"/>
  <c r="BN81" i="1"/>
  <c r="Z81" i="1"/>
  <c r="BP86" i="1"/>
  <c r="BN86" i="1"/>
  <c r="Z86" i="1"/>
  <c r="BP101" i="1"/>
  <c r="BN101" i="1"/>
  <c r="Z101" i="1"/>
  <c r="Y117" i="1"/>
  <c r="BP113" i="1"/>
  <c r="BN113" i="1"/>
  <c r="Z113" i="1"/>
  <c r="BP136" i="1"/>
  <c r="BN136" i="1"/>
  <c r="Z136" i="1"/>
  <c r="BP141" i="1"/>
  <c r="BN141" i="1"/>
  <c r="Z141" i="1"/>
  <c r="BP167" i="1"/>
  <c r="BN167" i="1"/>
  <c r="Z167" i="1"/>
  <c r="BP177" i="1"/>
  <c r="BN177" i="1"/>
  <c r="Z177" i="1"/>
  <c r="BP200" i="1"/>
  <c r="BN200" i="1"/>
  <c r="Z200" i="1"/>
  <c r="BP213" i="1"/>
  <c r="BN213" i="1"/>
  <c r="Z213" i="1"/>
  <c r="BP228" i="1"/>
  <c r="BN228" i="1"/>
  <c r="Z228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J9" i="1"/>
  <c r="X492" i="1"/>
  <c r="Z23" i="1"/>
  <c r="BN23" i="1"/>
  <c r="X491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9" i="1"/>
  <c r="BN69" i="1"/>
  <c r="Y96" i="1"/>
  <c r="BP92" i="1"/>
  <c r="BN92" i="1"/>
  <c r="Z92" i="1"/>
  <c r="BP107" i="1"/>
  <c r="BN107" i="1"/>
  <c r="Z107" i="1"/>
  <c r="Z110" i="1" s="1"/>
  <c r="BP126" i="1"/>
  <c r="BN126" i="1"/>
  <c r="Z126" i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9" i="1"/>
  <c r="BN209" i="1"/>
  <c r="Z209" i="1"/>
  <c r="Y221" i="1"/>
  <c r="BP219" i="1"/>
  <c r="BN219" i="1"/>
  <c r="Z219" i="1"/>
  <c r="BP232" i="1"/>
  <c r="BN232" i="1"/>
  <c r="Z232" i="1"/>
  <c r="BP259" i="1"/>
  <c r="BN259" i="1"/>
  <c r="Z259" i="1"/>
  <c r="BP280" i="1"/>
  <c r="BN280" i="1"/>
  <c r="Z280" i="1"/>
  <c r="BP295" i="1"/>
  <c r="BN295" i="1"/>
  <c r="Z295" i="1"/>
  <c r="BP309" i="1"/>
  <c r="BN309" i="1"/>
  <c r="Z309" i="1"/>
  <c r="Y325" i="1"/>
  <c r="BP321" i="1"/>
  <c r="BN321" i="1"/>
  <c r="Z321" i="1"/>
  <c r="BP344" i="1"/>
  <c r="BN344" i="1"/>
  <c r="Z344" i="1"/>
  <c r="BP369" i="1"/>
  <c r="BN369" i="1"/>
  <c r="Z369" i="1"/>
  <c r="BP389" i="1"/>
  <c r="BN389" i="1"/>
  <c r="Z389" i="1"/>
  <c r="Y405" i="1"/>
  <c r="BP404" i="1"/>
  <c r="BN404" i="1"/>
  <c r="Z404" i="1"/>
  <c r="Z405" i="1" s="1"/>
  <c r="Y412" i="1"/>
  <c r="BP408" i="1"/>
  <c r="BN408" i="1"/>
  <c r="Z408" i="1"/>
  <c r="BP430" i="1"/>
  <c r="BN430" i="1"/>
  <c r="Z430" i="1"/>
  <c r="BP446" i="1"/>
  <c r="BN446" i="1"/>
  <c r="Z446" i="1"/>
  <c r="BP462" i="1"/>
  <c r="BN462" i="1"/>
  <c r="Z462" i="1"/>
  <c r="Y132" i="1"/>
  <c r="BP248" i="1"/>
  <c r="BN248" i="1"/>
  <c r="BP255" i="1"/>
  <c r="BN255" i="1"/>
  <c r="Z255" i="1"/>
  <c r="BP266" i="1"/>
  <c r="BN266" i="1"/>
  <c r="Z266" i="1"/>
  <c r="BP291" i="1"/>
  <c r="BN291" i="1"/>
  <c r="Z291" i="1"/>
  <c r="BP301" i="1"/>
  <c r="BN301" i="1"/>
  <c r="Z301" i="1"/>
  <c r="BP315" i="1"/>
  <c r="BN315" i="1"/>
  <c r="Z315" i="1"/>
  <c r="BP329" i="1"/>
  <c r="BN329" i="1"/>
  <c r="Z329" i="1"/>
  <c r="BP348" i="1"/>
  <c r="BN348" i="1"/>
  <c r="Z348" i="1"/>
  <c r="BP379" i="1"/>
  <c r="BN379" i="1"/>
  <c r="Z379" i="1"/>
  <c r="U501" i="1"/>
  <c r="BP393" i="1"/>
  <c r="BN393" i="1"/>
  <c r="Z393" i="1"/>
  <c r="BP426" i="1"/>
  <c r="BN426" i="1"/>
  <c r="Z426" i="1"/>
  <c r="BP438" i="1"/>
  <c r="BN438" i="1"/>
  <c r="Z438" i="1"/>
  <c r="Y456" i="1"/>
  <c r="BP452" i="1"/>
  <c r="BN452" i="1"/>
  <c r="Z452" i="1"/>
  <c r="BP474" i="1"/>
  <c r="BN474" i="1"/>
  <c r="Z474" i="1"/>
  <c r="Y286" i="1"/>
  <c r="Y375" i="1"/>
  <c r="Y484" i="1"/>
  <c r="Y24" i="1"/>
  <c r="Y32" i="1"/>
  <c r="Y44" i="1"/>
  <c r="Y59" i="1"/>
  <c r="Y65" i="1"/>
  <c r="Y70" i="1"/>
  <c r="BP74" i="1"/>
  <c r="BN74" i="1"/>
  <c r="Z74" i="1"/>
  <c r="BP87" i="1"/>
  <c r="BN87" i="1"/>
  <c r="Z87" i="1"/>
  <c r="Z89" i="1" s="1"/>
  <c r="BP95" i="1"/>
  <c r="BN95" i="1"/>
  <c r="Z95" i="1"/>
  <c r="Y97" i="1"/>
  <c r="F501" i="1"/>
  <c r="Y105" i="1"/>
  <c r="BP100" i="1"/>
  <c r="BN100" i="1"/>
  <c r="Z100" i="1"/>
  <c r="Y104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D501" i="1"/>
  <c r="H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Y89" i="1"/>
  <c r="BP93" i="1"/>
  <c r="BN93" i="1"/>
  <c r="Z93" i="1"/>
  <c r="BP102" i="1"/>
  <c r="BN102" i="1"/>
  <c r="Z102" i="1"/>
  <c r="Y111" i="1"/>
  <c r="Y110" i="1"/>
  <c r="BP114" i="1"/>
  <c r="BN114" i="1"/>
  <c r="Z114" i="1"/>
  <c r="Y127" i="1"/>
  <c r="BP131" i="1"/>
  <c r="BN131" i="1"/>
  <c r="Z131" i="1"/>
  <c r="Z132" i="1" s="1"/>
  <c r="Y133" i="1"/>
  <c r="Y138" i="1"/>
  <c r="BP135" i="1"/>
  <c r="BN135" i="1"/>
  <c r="Z135" i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1" i="1"/>
  <c r="Y260" i="1"/>
  <c r="BP265" i="1"/>
  <c r="BN265" i="1"/>
  <c r="Z265" i="1"/>
  <c r="Y269" i="1"/>
  <c r="BP274" i="1"/>
  <c r="BN274" i="1"/>
  <c r="Z274" i="1"/>
  <c r="Y276" i="1"/>
  <c r="P501" i="1"/>
  <c r="Y282" i="1"/>
  <c r="BP279" i="1"/>
  <c r="BN279" i="1"/>
  <c r="Z279" i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BP330" i="1"/>
  <c r="BN330" i="1"/>
  <c r="Z330" i="1"/>
  <c r="R501" i="1"/>
  <c r="Y338" i="1"/>
  <c r="BP335" i="1"/>
  <c r="BN335" i="1"/>
  <c r="Z335" i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BP388" i="1"/>
  <c r="BN388" i="1"/>
  <c r="Z388" i="1"/>
  <c r="BP392" i="1"/>
  <c r="BN392" i="1"/>
  <c r="Z392" i="1"/>
  <c r="BP409" i="1"/>
  <c r="BN409" i="1"/>
  <c r="Z409" i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BP445" i="1"/>
  <c r="BN445" i="1"/>
  <c r="Z445" i="1"/>
  <c r="BP453" i="1"/>
  <c r="BN453" i="1"/>
  <c r="Z453" i="1"/>
  <c r="Z455" i="1" s="1"/>
  <c r="Y464" i="1"/>
  <c r="BP463" i="1"/>
  <c r="BN463" i="1"/>
  <c r="Z463" i="1"/>
  <c r="Z464" i="1" s="1"/>
  <c r="Y470" i="1"/>
  <c r="BP467" i="1"/>
  <c r="BN467" i="1"/>
  <c r="Z467" i="1"/>
  <c r="Z470" i="1" s="1"/>
  <c r="BP483" i="1"/>
  <c r="BN483" i="1"/>
  <c r="Z483" i="1"/>
  <c r="Y485" i="1"/>
  <c r="Z501" i="1"/>
  <c r="Y489" i="1"/>
  <c r="BP488" i="1"/>
  <c r="BN488" i="1"/>
  <c r="Z488" i="1"/>
  <c r="Z489" i="1" s="1"/>
  <c r="Y490" i="1"/>
  <c r="Z484" i="1" l="1"/>
  <c r="Z412" i="1"/>
  <c r="Z338" i="1"/>
  <c r="Z325" i="1"/>
  <c r="Z260" i="1"/>
  <c r="Z188" i="1"/>
  <c r="Z137" i="1"/>
  <c r="Z64" i="1"/>
  <c r="Z305" i="1"/>
  <c r="X494" i="1"/>
  <c r="Z58" i="1"/>
  <c r="Z32" i="1"/>
  <c r="Z496" i="1" s="1"/>
  <c r="Z204" i="1"/>
  <c r="Z77" i="1"/>
  <c r="Z440" i="1"/>
  <c r="Z381" i="1"/>
  <c r="Z251" i="1"/>
  <c r="Z475" i="1"/>
  <c r="Z281" i="1"/>
  <c r="Z268" i="1"/>
  <c r="Z117" i="1"/>
  <c r="Z96" i="1"/>
  <c r="Z82" i="1"/>
  <c r="Z178" i="1"/>
  <c r="Z127" i="1"/>
  <c r="Z449" i="1"/>
  <c r="Z395" i="1"/>
  <c r="Z235" i="1"/>
  <c r="Z434" i="1"/>
  <c r="Z350" i="1"/>
  <c r="Z331" i="1"/>
  <c r="Z216" i="1"/>
  <c r="Y492" i="1"/>
  <c r="Z312" i="1"/>
  <c r="Z104" i="1"/>
  <c r="Z296" i="1"/>
  <c r="Z172" i="1"/>
  <c r="Z70" i="1"/>
  <c r="Y491" i="1"/>
  <c r="Y493" i="1"/>
  <c r="Z149" i="1"/>
  <c r="Y495" i="1"/>
  <c r="Y494" i="1" l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<sst xmlns="http://schemas.openxmlformats.org/spreadsheetml/2006/main" count="2353" uniqueCount="769">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</sst>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45997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Суббота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0.5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2.52</v>
      </c>
      <c r="Y28" s="546">
        <f>IFERROR(IF(X28="",0,CEILING((X28/$H28),1)*$H28),"")</f>
        <v>2.52</v>
      </c>
      <c r="Z28" s="36">
        <f>IFERROR(IF(Y28=0,"",ROUNDUP(Y28/H28,0)*0.00651),"")</f>
        <v>6.5100000000000002E-3</v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2.766</v>
      </c>
      <c r="BN28" s="64">
        <f>IFERROR(Y28*I28/H28,"0")</f>
        <v>2.766</v>
      </c>
      <c r="BO28" s="64">
        <f>IFERROR(1/J28*(X28/H28),"0")</f>
        <v>5.4945054945054949E-3</v>
      </c>
      <c r="BP28" s="64">
        <f>IFERROR(1/J28*(Y28/H28),"0")</f>
        <v>5.4945054945054949E-3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2.52</v>
      </c>
      <c r="Y31" s="546">
        <f>IFERROR(IF(X31="",0,CEILING((X31/$H31),1)*$H31),"")</f>
        <v>2.52</v>
      </c>
      <c r="Z31" s="36">
        <f>IFERROR(IF(Y31=0,"",ROUNDUP(Y31/H31,0)*0.00651),"")</f>
        <v>6.5100000000000002E-3</v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2.766</v>
      </c>
      <c r="BN31" s="64">
        <f>IFERROR(Y31*I31/H31,"0")</f>
        <v>2.766</v>
      </c>
      <c r="BO31" s="64">
        <f>IFERROR(1/J31*(X31/H31),"0")</f>
        <v>5.4945054945054949E-3</v>
      </c>
      <c r="BP31" s="64">
        <f>IFERROR(1/J31*(Y31/H31),"0")</f>
        <v>5.4945054945054949E-3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2</v>
      </c>
      <c r="Y32" s="547">
        <f>IFERROR(Y27/H27,"0")+IFERROR(Y28/H28,"0")+IFERROR(Y29/H29,"0")+IFERROR(Y30/H30,"0")+IFERROR(Y31/H31,"0")</f>
        <v>2</v>
      </c>
      <c r="Z32" s="547">
        <f>IFERROR(IF(Z27="",0,Z27),"0")+IFERROR(IF(Z28="",0,Z28),"0")+IFERROR(IF(Z29="",0,Z29),"0")+IFERROR(IF(Z30="",0,Z30),"0")+IFERROR(IF(Z31="",0,Z31),"0")</f>
        <v>1.302E-2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5.04</v>
      </c>
      <c r="Y33" s="547">
        <f>IFERROR(SUM(Y27:Y31),"0")</f>
        <v>5.04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162</v>
      </c>
      <c r="Y41" s="546">
        <f>IFERROR(IF(X41="",0,CEILING((X41/$H41),1)*$H41),"")</f>
        <v>162</v>
      </c>
      <c r="Z41" s="36">
        <f>IFERROR(IF(Y41=0,"",ROUNDUP(Y41/H41,0)*0.01898),"")</f>
        <v>0.28470000000000001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168.15</v>
      </c>
      <c r="BN41" s="64">
        <f>IFERROR(Y41*I41/H41,"0")</f>
        <v>168.15</v>
      </c>
      <c r="BO41" s="64">
        <f>IFERROR(1/J41*(X41/H41),"0")</f>
        <v>0.23437499999999997</v>
      </c>
      <c r="BP41" s="64">
        <f>IFERROR(1/J41*(Y41/H41),"0")</f>
        <v>0.23437499999999997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40</v>
      </c>
      <c r="Y42" s="546">
        <f>IFERROR(IF(X42="",0,CEILING((X42/$H42),1)*$H42),"")</f>
        <v>40</v>
      </c>
      <c r="Z42" s="36">
        <f>IFERROR(IF(Y42=0,"",ROUNDUP(Y42/H42,0)*0.00902),"")</f>
        <v>9.0200000000000002E-2</v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41.900000000000006</v>
      </c>
      <c r="BN42" s="64">
        <f>IFERROR(Y42*I42/H42,"0")</f>
        <v>41.900000000000006</v>
      </c>
      <c r="BO42" s="64">
        <f>IFERROR(1/J42*(X42/H42),"0")</f>
        <v>7.575757575757576E-2</v>
      </c>
      <c r="BP42" s="64">
        <f>IFERROR(1/J42*(Y42/H42),"0")</f>
        <v>7.575757575757576E-2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25</v>
      </c>
      <c r="Y44" s="547">
        <f>IFERROR(Y41/H41,"0")+IFERROR(Y42/H42,"0")+IFERROR(Y43/H43,"0")</f>
        <v>25</v>
      </c>
      <c r="Z44" s="547">
        <f>IFERROR(IF(Z41="",0,Z41),"0")+IFERROR(IF(Z42="",0,Z42),"0")+IFERROR(IF(Z43="",0,Z43),"0")</f>
        <v>0.37490000000000001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202</v>
      </c>
      <c r="Y45" s="547">
        <f>IFERROR(SUM(Y41:Y43),"0")</f>
        <v>202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108</v>
      </c>
      <c r="Y53" s="546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112.1</v>
      </c>
      <c r="BN53" s="64">
        <f t="shared" si="2"/>
        <v>112.1</v>
      </c>
      <c r="BO53" s="64">
        <f t="shared" si="3"/>
        <v>0.15625</v>
      </c>
      <c r="BP53" s="64">
        <f t="shared" si="4"/>
        <v>0.15625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14.4</v>
      </c>
      <c r="Y54" s="546">
        <f t="shared" si="0"/>
        <v>14.399999999999999</v>
      </c>
      <c r="Z54" s="36">
        <f>IFERROR(IF(Y54=0,"",ROUNDUP(Y54/H54,0)*0.00902),"")</f>
        <v>2.7060000000000001E-2</v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14.970000000000002</v>
      </c>
      <c r="BN54" s="64">
        <f t="shared" si="2"/>
        <v>14.969999999999999</v>
      </c>
      <c r="BO54" s="64">
        <f t="shared" si="3"/>
        <v>2.2727272727272728E-2</v>
      </c>
      <c r="BP54" s="64">
        <f t="shared" si="4"/>
        <v>2.2727272727272728E-2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45</v>
      </c>
      <c r="Y57" s="546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23</v>
      </c>
      <c r="Y58" s="547">
        <f>IFERROR(Y52/H52,"0")+IFERROR(Y53/H53,"0")+IFERROR(Y54/H54,"0")+IFERROR(Y55/H55,"0")+IFERROR(Y56/H56,"0")+IFERROR(Y57/H57,"0")</f>
        <v>23</v>
      </c>
      <c r="Z58" s="547">
        <f>IFERROR(IF(Z52="",0,Z52),"0")+IFERROR(IF(Z53="",0,Z53),"0")+IFERROR(IF(Z54="",0,Z54),"0")+IFERROR(IF(Z55="",0,Z55),"0")+IFERROR(IF(Z56="",0,Z56),"0")+IFERROR(IF(Z57="",0,Z57),"0")</f>
        <v>0.30706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167.4</v>
      </c>
      <c r="Y59" s="547">
        <f>IFERROR(SUM(Y52:Y57),"0")</f>
        <v>167.4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226</v>
      </c>
      <c r="Y61" s="546">
        <f>IFERROR(IF(X61="",0,CEILING((X61/$H61),1)*$H61),"")</f>
        <v>226.8</v>
      </c>
      <c r="Z61" s="36">
        <f>IFERROR(IF(Y61=0,"",ROUNDUP(Y61/H61,0)*0.01898),"")</f>
        <v>0.39857999999999999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234.57962962962961</v>
      </c>
      <c r="BN61" s="64">
        <f>IFERROR(Y61*I61/H61,"0")</f>
        <v>235.41000000000003</v>
      </c>
      <c r="BO61" s="64">
        <f>IFERROR(1/J61*(X61/H61),"0")</f>
        <v>0.32696759259259256</v>
      </c>
      <c r="BP61" s="64">
        <f>IFERROR(1/J61*(Y61/H61),"0")</f>
        <v>0.328125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40.5</v>
      </c>
      <c r="Y63" s="546">
        <f>IFERROR(IF(X63="",0,CEILING((X63/$H63),1)*$H63),"")</f>
        <v>40.5</v>
      </c>
      <c r="Z63" s="36">
        <f>IFERROR(IF(Y63=0,"",ROUNDUP(Y63/H63,0)*0.00651),"")</f>
        <v>9.7650000000000001E-2</v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43.199999999999996</v>
      </c>
      <c r="BN63" s="64">
        <f>IFERROR(Y63*I63/H63,"0")</f>
        <v>43.199999999999996</v>
      </c>
      <c r="BO63" s="64">
        <f>IFERROR(1/J63*(X63/H63),"0")</f>
        <v>8.2417582417582416E-2</v>
      </c>
      <c r="BP63" s="64">
        <f>IFERROR(1/J63*(Y63/H63),"0")</f>
        <v>8.2417582417582416E-2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35.925925925925924</v>
      </c>
      <c r="Y64" s="547">
        <f>IFERROR(Y61/H61,"0")+IFERROR(Y62/H62,"0")+IFERROR(Y63/H63,"0")</f>
        <v>36</v>
      </c>
      <c r="Z64" s="547">
        <f>IFERROR(IF(Z61="",0,Z61),"0")+IFERROR(IF(Z62="",0,Z62),"0")+IFERROR(IF(Z63="",0,Z63),"0")</f>
        <v>0.49623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266.5</v>
      </c>
      <c r="Y65" s="547">
        <f>IFERROR(SUM(Y61:Y63),"0")</f>
        <v>267.3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7.2</v>
      </c>
      <c r="Y67" s="546">
        <f>IFERROR(IF(X67="",0,CEILING((X67/$H67),1)*$H67),"")</f>
        <v>7.2</v>
      </c>
      <c r="Z67" s="36">
        <f>IFERROR(IF(Y67=0,"",ROUNDUP(Y67/H67,0)*0.00502),"")</f>
        <v>2.0080000000000001E-2</v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7.6</v>
      </c>
      <c r="BN67" s="64">
        <f>IFERROR(Y67*I67/H67,"0")</f>
        <v>7.6</v>
      </c>
      <c r="BO67" s="64">
        <f>IFERROR(1/J67*(X67/H67),"0")</f>
        <v>1.7094017094017096E-2</v>
      </c>
      <c r="BP67" s="64">
        <f>IFERROR(1/J67*(Y67/H67),"0")</f>
        <v>1.7094017094017096E-2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7.2</v>
      </c>
      <c r="Y68" s="546">
        <f>IFERROR(IF(X68="",0,CEILING((X68/$H68),1)*$H68),"")</f>
        <v>7.2</v>
      </c>
      <c r="Z68" s="36">
        <f>IFERROR(IF(Y68=0,"",ROUNDUP(Y68/H68,0)*0.00502),"")</f>
        <v>2.0080000000000001E-2</v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7.6</v>
      </c>
      <c r="BN68" s="64">
        <f>IFERROR(Y68*I68/H68,"0")</f>
        <v>7.6</v>
      </c>
      <c r="BO68" s="64">
        <f>IFERROR(1/J68*(X68/H68),"0")</f>
        <v>1.7094017094017096E-2</v>
      </c>
      <c r="BP68" s="64">
        <f>IFERROR(1/J68*(Y68/H68),"0")</f>
        <v>1.7094017094017096E-2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7.2</v>
      </c>
      <c r="Y69" s="546">
        <f>IFERROR(IF(X69="",0,CEILING((X69/$H69),1)*$H69),"")</f>
        <v>7.2</v>
      </c>
      <c r="Z69" s="36">
        <f>IFERROR(IF(Y69=0,"",ROUNDUP(Y69/H69,0)*0.00502),"")</f>
        <v>2.0080000000000001E-2</v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7.6</v>
      </c>
      <c r="BN69" s="64">
        <f>IFERROR(Y69*I69/H69,"0")</f>
        <v>7.6</v>
      </c>
      <c r="BO69" s="64">
        <f>IFERROR(1/J69*(X69/H69),"0")</f>
        <v>1.7094017094017096E-2</v>
      </c>
      <c r="BP69" s="64">
        <f>IFERROR(1/J69*(Y69/H69),"0")</f>
        <v>1.7094017094017096E-2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12</v>
      </c>
      <c r="Y70" s="547">
        <f>IFERROR(Y67/H67,"0")+IFERROR(Y68/H68,"0")+IFERROR(Y69/H69,"0")</f>
        <v>12</v>
      </c>
      <c r="Z70" s="547">
        <f>IFERROR(IF(Z67="",0,Z67),"0")+IFERROR(IF(Z68="",0,Z68),"0")+IFERROR(IF(Z69="",0,Z69),"0")</f>
        <v>6.0240000000000002E-2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21.6</v>
      </c>
      <c r="Y71" s="547">
        <f>IFERROR(SUM(Y67:Y69),"0")</f>
        <v>21.6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16.8</v>
      </c>
      <c r="Y73" s="546">
        <f>IFERROR(IF(X73="",0,CEILING((X73/$H73),1)*$H73),"")</f>
        <v>16.8</v>
      </c>
      <c r="Z73" s="36">
        <f>IFERROR(IF(Y73=0,"",ROUNDUP(Y73/H73,0)*0.01898),"")</f>
        <v>3.7960000000000001E-2</v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17.62</v>
      </c>
      <c r="BN73" s="64">
        <f>IFERROR(Y73*I73/H73,"0")</f>
        <v>17.62</v>
      </c>
      <c r="BO73" s="64">
        <f>IFERROR(1/J73*(X73/H73),"0")</f>
        <v>3.125E-2</v>
      </c>
      <c r="BP73" s="64">
        <f>IFERROR(1/J73*(Y73/H73),"0")</f>
        <v>3.125E-2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2.52</v>
      </c>
      <c r="Y75" s="546">
        <f>IFERROR(IF(X75="",0,CEILING((X75/$H75),1)*$H75),"")</f>
        <v>2.52</v>
      </c>
      <c r="Z75" s="36">
        <f>IFERROR(IF(Y75=0,"",ROUNDUP(Y75/H75,0)*0.00651),"")</f>
        <v>6.5100000000000002E-3</v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2.7</v>
      </c>
      <c r="BN75" s="64">
        <f>IFERROR(Y75*I75/H75,"0")</f>
        <v>2.7</v>
      </c>
      <c r="BO75" s="64">
        <f>IFERROR(1/J75*(X75/H75),"0")</f>
        <v>5.4945054945054949E-3</v>
      </c>
      <c r="BP75" s="64">
        <f>IFERROR(1/J75*(Y75/H75),"0")</f>
        <v>5.4945054945054949E-3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3</v>
      </c>
      <c r="Y77" s="547">
        <f>IFERROR(Y73/H73,"0")+IFERROR(Y74/H74,"0")+IFERROR(Y75/H75,"0")+IFERROR(Y76/H76,"0")</f>
        <v>3</v>
      </c>
      <c r="Z77" s="547">
        <f>IFERROR(IF(Z73="",0,Z73),"0")+IFERROR(IF(Z74="",0,Z74),"0")+IFERROR(IF(Z75="",0,Z75),"0")+IFERROR(IF(Z76="",0,Z76),"0")</f>
        <v>4.4470000000000003E-2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19.32</v>
      </c>
      <c r="Y78" s="547">
        <f>IFERROR(SUM(Y73:Y76),"0")</f>
        <v>19.32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15.6</v>
      </c>
      <c r="Y80" s="546">
        <f>IFERROR(IF(X80="",0,CEILING((X80/$H80),1)*$H80),"")</f>
        <v>15.6</v>
      </c>
      <c r="Z80" s="36">
        <f>IFERROR(IF(Y80=0,"",ROUNDUP(Y80/H80,0)*0.01898),"")</f>
        <v>3.7960000000000001E-2</v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16.420000000000002</v>
      </c>
      <c r="BN80" s="64">
        <f>IFERROR(Y80*I80/H80,"0")</f>
        <v>16.420000000000002</v>
      </c>
      <c r="BO80" s="64">
        <f>IFERROR(1/J80*(X80/H80),"0")</f>
        <v>3.125E-2</v>
      </c>
      <c r="BP80" s="64">
        <f>IFERROR(1/J80*(Y80/H80),"0")</f>
        <v>3.125E-2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2</v>
      </c>
      <c r="Y82" s="547">
        <f>IFERROR(Y80/H80,"0")+IFERROR(Y81/H81,"0")</f>
        <v>2</v>
      </c>
      <c r="Z82" s="547">
        <f>IFERROR(IF(Z80="",0,Z80),"0")+IFERROR(IF(Z81="",0,Z81),"0")</f>
        <v>3.7960000000000001E-2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15.6</v>
      </c>
      <c r="Y83" s="547">
        <f>IFERROR(SUM(Y80:Y81),"0")</f>
        <v>15.6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45</v>
      </c>
      <c r="Y88" s="546">
        <f>IFERROR(IF(X88="",0,CEILING((X88/$H88),1)*$H88),"")</f>
        <v>45</v>
      </c>
      <c r="Z88" s="36">
        <f>IFERROR(IF(Y88=0,"",ROUNDUP(Y88/H88,0)*0.00902),"")</f>
        <v>9.0200000000000002E-2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46.900000000000006</v>
      </c>
      <c r="BN88" s="64">
        <f>IFERROR(Y88*I88/H88,"0")</f>
        <v>46.900000000000006</v>
      </c>
      <c r="BO88" s="64">
        <f>IFERROR(1/J88*(X88/H88),"0")</f>
        <v>7.575757575757576E-2</v>
      </c>
      <c r="BP88" s="64">
        <f>IFERROR(1/J88*(Y88/H88),"0")</f>
        <v>7.575757575757576E-2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10</v>
      </c>
      <c r="Y89" s="547">
        <f>IFERROR(Y86/H86,"0")+IFERROR(Y87/H87,"0")+IFERROR(Y88/H88,"0")</f>
        <v>10</v>
      </c>
      <c r="Z89" s="547">
        <f>IFERROR(IF(Z86="",0,Z86),"0")+IFERROR(IF(Z87="",0,Z87),"0")+IFERROR(IF(Z88="",0,Z88),"0")</f>
        <v>9.0200000000000002E-2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45</v>
      </c>
      <c r="Y90" s="547">
        <f>IFERROR(SUM(Y86:Y88),"0")</f>
        <v>45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64.8</v>
      </c>
      <c r="Y92" s="546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68.751999999999995</v>
      </c>
      <c r="BN92" s="64">
        <f>IFERROR(Y92*I92/H92,"0")</f>
        <v>68.751999999999995</v>
      </c>
      <c r="BO92" s="64">
        <f>IFERROR(1/J92*(X92/H92),"0")</f>
        <v>0.125</v>
      </c>
      <c r="BP92" s="64">
        <f>IFERROR(1/J92*(Y92/H92),"0")</f>
        <v>0.125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3.96</v>
      </c>
      <c r="Y95" s="546">
        <f>IFERROR(IF(X95="",0,CEILING((X95/$H95),1)*$H95),"")</f>
        <v>3.96</v>
      </c>
      <c r="Z95" s="36">
        <f>IFERROR(IF(Y95=0,"",ROUNDUP(Y95/H95,0)*0.00651),"")</f>
        <v>1.302E-2</v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4.476</v>
      </c>
      <c r="BN95" s="64">
        <f>IFERROR(Y95*I95/H95,"0")</f>
        <v>4.476</v>
      </c>
      <c r="BO95" s="64">
        <f>IFERROR(1/J95*(X95/H95),"0")</f>
        <v>1.098901098901099E-2</v>
      </c>
      <c r="BP95" s="64">
        <f>IFERROR(1/J95*(Y95/H95),"0")</f>
        <v>1.098901098901099E-2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10</v>
      </c>
      <c r="Y96" s="547">
        <f>IFERROR(Y92/H92,"0")+IFERROR(Y93/H93,"0")+IFERROR(Y94/H94,"0")+IFERROR(Y95/H95,"0")</f>
        <v>10</v>
      </c>
      <c r="Z96" s="547">
        <f>IFERROR(IF(Z92="",0,Z92),"0")+IFERROR(IF(Z93="",0,Z93),"0")+IFERROR(IF(Z94="",0,Z94),"0")+IFERROR(IF(Z95="",0,Z95),"0")</f>
        <v>0.16486000000000001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68.759999999999991</v>
      </c>
      <c r="Y97" s="547">
        <f>IFERROR(SUM(Y92:Y95),"0")</f>
        <v>68.759999999999991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54</v>
      </c>
      <c r="Y100" s="546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56.05</v>
      </c>
      <c r="BN100" s="64">
        <f>IFERROR(Y100*I100/H100,"0")</f>
        <v>56.05</v>
      </c>
      <c r="BO100" s="64">
        <f>IFERROR(1/J100*(X100/H100),"0")</f>
        <v>7.8125E-2</v>
      </c>
      <c r="BP100" s="64">
        <f>IFERROR(1/J100*(Y100/H100),"0")</f>
        <v>7.8125E-2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13.5</v>
      </c>
      <c r="Y103" s="546">
        <f>IFERROR(IF(X103="",0,CEILING((X103/$H103),1)*$H103),"")</f>
        <v>13.5</v>
      </c>
      <c r="Z103" s="36">
        <f>IFERROR(IF(Y103=0,"",ROUNDUP(Y103/H103,0)*0.00902),"")</f>
        <v>2.7060000000000001E-2</v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14.07</v>
      </c>
      <c r="BN103" s="64">
        <f>IFERROR(Y103*I103/H103,"0")</f>
        <v>14.07</v>
      </c>
      <c r="BO103" s="64">
        <f>IFERROR(1/J103*(X103/H103),"0")</f>
        <v>2.2727272727272728E-2</v>
      </c>
      <c r="BP103" s="64">
        <f>IFERROR(1/J103*(Y103/H103),"0")</f>
        <v>2.2727272727272728E-2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8</v>
      </c>
      <c r="Y104" s="547">
        <f>IFERROR(Y100/H100,"0")+IFERROR(Y101/H101,"0")+IFERROR(Y102/H102,"0")+IFERROR(Y103/H103,"0")</f>
        <v>8</v>
      </c>
      <c r="Z104" s="547">
        <f>IFERROR(IF(Z100="",0,Z100),"0")+IFERROR(IF(Z101="",0,Z101),"0")+IFERROR(IF(Z102="",0,Z102),"0")+IFERROR(IF(Z103="",0,Z103),"0")</f>
        <v>0.12196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67.5</v>
      </c>
      <c r="Y105" s="547">
        <f>IFERROR(SUM(Y100:Y103),"0")</f>
        <v>67.5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43.2</v>
      </c>
      <c r="Y107" s="546">
        <f>IFERROR(IF(X107="",0,CEILING((X107/$H107),1)*$H107),"")</f>
        <v>43.2</v>
      </c>
      <c r="Z107" s="36">
        <f>IFERROR(IF(Y107=0,"",ROUNDUP(Y107/H107,0)*0.01898),"")</f>
        <v>7.5920000000000001E-2</v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44.84</v>
      </c>
      <c r="BN107" s="64">
        <f>IFERROR(Y107*I107/H107,"0")</f>
        <v>44.84</v>
      </c>
      <c r="BO107" s="64">
        <f>IFERROR(1/J107*(X107/H107),"0")</f>
        <v>6.25E-2</v>
      </c>
      <c r="BP107" s="64">
        <f>IFERROR(1/J107*(Y107/H107),"0")</f>
        <v>6.25E-2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9.6</v>
      </c>
      <c r="Y109" s="546">
        <f>IFERROR(IF(X109="",0,CEILING((X109/$H109),1)*$H109),"")</f>
        <v>9.6</v>
      </c>
      <c r="Z109" s="36">
        <f>IFERROR(IF(Y109=0,"",ROUNDUP(Y109/H109,0)*0.00651),"")</f>
        <v>2.6040000000000001E-2</v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10.32</v>
      </c>
      <c r="BN109" s="64">
        <f>IFERROR(Y109*I109/H109,"0")</f>
        <v>10.32</v>
      </c>
      <c r="BO109" s="64">
        <f>IFERROR(1/J109*(X109/H109),"0")</f>
        <v>2.197802197802198E-2</v>
      </c>
      <c r="BP109" s="64">
        <f>IFERROR(1/J109*(Y109/H109),"0")</f>
        <v>2.197802197802198E-2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8</v>
      </c>
      <c r="Y110" s="547">
        <f>IFERROR(Y107/H107,"0")+IFERROR(Y108/H108,"0")+IFERROR(Y109/H109,"0")</f>
        <v>8</v>
      </c>
      <c r="Z110" s="547">
        <f>IFERROR(IF(Z107="",0,Z107),"0")+IFERROR(IF(Z108="",0,Z108),"0")+IFERROR(IF(Z109="",0,Z109),"0")</f>
        <v>0.10196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52.800000000000004</v>
      </c>
      <c r="Y111" s="547">
        <f>IFERROR(SUM(Y107:Y109),"0")</f>
        <v>52.800000000000004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64.8</v>
      </c>
      <c r="Y113" s="546">
        <f>IFERROR(IF(X113="",0,CEILING((X113/$H113),1)*$H113),"")</f>
        <v>64.8</v>
      </c>
      <c r="Z113" s="36">
        <f>IFERROR(IF(Y113=0,"",ROUNDUP(Y113/H113,0)*0.01898),"")</f>
        <v>0.15184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68.703999999999994</v>
      </c>
      <c r="BN113" s="64">
        <f>IFERROR(Y113*I113/H113,"0")</f>
        <v>68.703999999999994</v>
      </c>
      <c r="BO113" s="64">
        <f>IFERROR(1/J113*(X113/H113),"0")</f>
        <v>0.125</v>
      </c>
      <c r="BP113" s="64">
        <f>IFERROR(1/J113*(Y113/H113),"0")</f>
        <v>0.125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5.4</v>
      </c>
      <c r="Y115" s="546">
        <f>IFERROR(IF(X115="",0,CEILING((X115/$H115),1)*$H115),"")</f>
        <v>5.4</v>
      </c>
      <c r="Z115" s="36">
        <f>IFERROR(IF(Y115=0,"",ROUNDUP(Y115/H115,0)*0.00651),"")</f>
        <v>1.302E-2</v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5.9039999999999999</v>
      </c>
      <c r="BN115" s="64">
        <f>IFERROR(Y115*I115/H115,"0")</f>
        <v>5.9039999999999999</v>
      </c>
      <c r="BO115" s="64">
        <f>IFERROR(1/J115*(X115/H115),"0")</f>
        <v>1.098901098901099E-2</v>
      </c>
      <c r="BP115" s="64">
        <f>IFERROR(1/J115*(Y115/H115),"0")</f>
        <v>1.098901098901099E-2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10</v>
      </c>
      <c r="Y117" s="547">
        <f>IFERROR(Y113/H113,"0")+IFERROR(Y114/H114,"0")+IFERROR(Y115/H115,"0")+IFERROR(Y116/H116,"0")</f>
        <v>10</v>
      </c>
      <c r="Z117" s="547">
        <f>IFERROR(IF(Z113="",0,Z113),"0")+IFERROR(IF(Z114="",0,Z114),"0")+IFERROR(IF(Z115="",0,Z115),"0")+IFERROR(IF(Z116="",0,Z116),"0")</f>
        <v>0.16486000000000001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70.2</v>
      </c>
      <c r="Y118" s="547">
        <f>IFERROR(SUM(Y113:Y116),"0")</f>
        <v>70.2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5.6</v>
      </c>
      <c r="Y130" s="546">
        <f>IFERROR(IF(X130="",0,CEILING((X130/$H130),1)*$H130),"")</f>
        <v>5.6</v>
      </c>
      <c r="Z130" s="36">
        <f>IFERROR(IF(Y130=0,"",ROUNDUP(Y130/H130,0)*0.00651),"")</f>
        <v>1.302E-2</v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6.1359999999999992</v>
      </c>
      <c r="BN130" s="64">
        <f>IFERROR(Y130*I130/H130,"0")</f>
        <v>6.1359999999999992</v>
      </c>
      <c r="BO130" s="64">
        <f>IFERROR(1/J130*(X130/H130),"0")</f>
        <v>1.098901098901099E-2</v>
      </c>
      <c r="BP130" s="64">
        <f>IFERROR(1/J130*(Y130/H130),"0")</f>
        <v>1.098901098901099E-2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2</v>
      </c>
      <c r="Y132" s="547">
        <f>IFERROR(Y130/H130,"0")+IFERROR(Y131/H131,"0")</f>
        <v>2</v>
      </c>
      <c r="Z132" s="547">
        <f>IFERROR(IF(Z130="",0,Z130),"0")+IFERROR(IF(Z131="",0,Z131),"0")</f>
        <v>1.302E-2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5.6</v>
      </c>
      <c r="Y133" s="547">
        <f>IFERROR(SUM(Y130:Y131),"0")</f>
        <v>5.6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64</v>
      </c>
      <c r="Y141" s="546">
        <f>IFERROR(IF(X141="",0,CEILING((X141/$H141),1)*$H141),"")</f>
        <v>64</v>
      </c>
      <c r="Z141" s="36">
        <f>IFERROR(IF(Y141=0,"",ROUNDUP(Y141/H141,0)*0.01898),"")</f>
        <v>9.4899999999999998E-2</v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66.05</v>
      </c>
      <c r="BN141" s="64">
        <f>IFERROR(Y141*I141/H141,"0")</f>
        <v>66.05</v>
      </c>
      <c r="BO141" s="64">
        <f>IFERROR(1/J141*(X141/H141),"0")</f>
        <v>7.8125E-2</v>
      </c>
      <c r="BP141" s="64">
        <f>IFERROR(1/J141*(Y141/H141),"0")</f>
        <v>7.8125E-2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20</v>
      </c>
      <c r="Y142" s="546">
        <f>IFERROR(IF(X142="",0,CEILING((X142/$H142),1)*$H142),"")</f>
        <v>20</v>
      </c>
      <c r="Z142" s="36">
        <f>IFERROR(IF(Y142=0,"",ROUNDUP(Y142/H142,0)*0.00902),"")</f>
        <v>4.5100000000000001E-2</v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20.950000000000003</v>
      </c>
      <c r="BN142" s="64">
        <f>IFERROR(Y142*I142/H142,"0")</f>
        <v>20.950000000000003</v>
      </c>
      <c r="BO142" s="64">
        <f>IFERROR(1/J142*(X142/H142),"0")</f>
        <v>3.787878787878788E-2</v>
      </c>
      <c r="BP142" s="64">
        <f>IFERROR(1/J142*(Y142/H142),"0")</f>
        <v>3.787878787878788E-2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10</v>
      </c>
      <c r="Y143" s="547">
        <f>IFERROR(Y141/H141,"0")+IFERROR(Y142/H142,"0")</f>
        <v>10</v>
      </c>
      <c r="Z143" s="547">
        <f>IFERROR(IF(Z141="",0,Z141),"0")+IFERROR(IF(Z142="",0,Z142),"0")</f>
        <v>0.14000000000000001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84</v>
      </c>
      <c r="Y144" s="547">
        <f>IFERROR(SUM(Y141:Y142),"0")</f>
        <v>84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45</v>
      </c>
      <c r="Y146" s="546">
        <f>IFERROR(IF(X146="",0,CEILING((X146/$H146),1)*$H146),"")</f>
        <v>45</v>
      </c>
      <c r="Z146" s="36">
        <f>IFERROR(IF(Y146=0,"",ROUNDUP(Y146/H146,0)*0.01898),"")</f>
        <v>9.4899999999999998E-2</v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47.800000000000004</v>
      </c>
      <c r="BN146" s="64">
        <f>IFERROR(Y146*I146/H146,"0")</f>
        <v>47.800000000000004</v>
      </c>
      <c r="BO146" s="64">
        <f>IFERROR(1/J146*(X146/H146),"0")</f>
        <v>7.8125E-2</v>
      </c>
      <c r="BP146" s="64">
        <f>IFERROR(1/J146*(Y146/H146),"0")</f>
        <v>7.8125E-2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16.8</v>
      </c>
      <c r="Y147" s="546">
        <f>IFERROR(IF(X147="",0,CEILING((X147/$H147),1)*$H147),"")</f>
        <v>16.8</v>
      </c>
      <c r="Z147" s="36">
        <f>IFERROR(IF(Y147=0,"",ROUNDUP(Y147/H147,0)*0.00651),"")</f>
        <v>2.6040000000000001E-2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17.88</v>
      </c>
      <c r="BN147" s="64">
        <f>IFERROR(Y147*I147/H147,"0")</f>
        <v>17.88</v>
      </c>
      <c r="BO147" s="64">
        <f>IFERROR(1/J147*(X147/H147),"0")</f>
        <v>2.197802197802198E-2</v>
      </c>
      <c r="BP147" s="64">
        <f>IFERROR(1/J147*(Y147/H147),"0")</f>
        <v>2.197802197802198E-2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18</v>
      </c>
      <c r="Y148" s="546">
        <f>IFERROR(IF(X148="",0,CEILING((X148/$H148),1)*$H148),"")</f>
        <v>18</v>
      </c>
      <c r="Z148" s="36">
        <f>IFERROR(IF(Y148=0,"",ROUNDUP(Y148/H148,0)*0.01898),"")</f>
        <v>3.7960000000000001E-2</v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19.12</v>
      </c>
      <c r="BN148" s="64">
        <f>IFERROR(Y148*I148/H148,"0")</f>
        <v>19.12</v>
      </c>
      <c r="BO148" s="64">
        <f>IFERROR(1/J148*(X148/H148),"0")</f>
        <v>3.125E-2</v>
      </c>
      <c r="BP148" s="64">
        <f>IFERROR(1/J148*(Y148/H148),"0")</f>
        <v>3.125E-2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11</v>
      </c>
      <c r="Y149" s="547">
        <f>IFERROR(Y146/H146,"0")+IFERROR(Y147/H147,"0")+IFERROR(Y148/H148,"0")</f>
        <v>11</v>
      </c>
      <c r="Z149" s="547">
        <f>IFERROR(IF(Z146="",0,Z146),"0")+IFERROR(IF(Z147="",0,Z147),"0")+IFERROR(IF(Z148="",0,Z148),"0")</f>
        <v>0.15889999999999999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79.8</v>
      </c>
      <c r="Y150" s="547">
        <f>IFERROR(SUM(Y146:Y148),"0")</f>
        <v>79.8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9.9</v>
      </c>
      <c r="Y158" s="546">
        <f>IFERROR(IF(X158="",0,CEILING((X158/$H158),1)*$H158),"")</f>
        <v>9.9</v>
      </c>
      <c r="Z158" s="36">
        <f>IFERROR(IF(Y158=0,"",ROUNDUP(Y158/H158,0)*0.00502),"")</f>
        <v>2.5100000000000001E-2</v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10.400000000000002</v>
      </c>
      <c r="BN158" s="64">
        <f>IFERROR(Y158*I158/H158,"0")</f>
        <v>10.400000000000002</v>
      </c>
      <c r="BO158" s="64">
        <f>IFERROR(1/J158*(X158/H158),"0")</f>
        <v>2.1367521367521368E-2</v>
      </c>
      <c r="BP158" s="64">
        <f>IFERROR(1/J158*(Y158/H158),"0")</f>
        <v>2.1367521367521368E-2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5</v>
      </c>
      <c r="Y159" s="547">
        <f>IFERROR(Y158/H158,"0")</f>
        <v>5</v>
      </c>
      <c r="Z159" s="547">
        <f>IFERROR(IF(Z158="",0,Z158),"0")</f>
        <v>2.5100000000000001E-2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9.9</v>
      </c>
      <c r="Y160" s="547">
        <f>IFERROR(SUM(Y158:Y158),"0")</f>
        <v>9.9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42</v>
      </c>
      <c r="Y162" s="546">
        <f t="shared" ref="Y162:Y171" si="5">IFERROR(IF(X162="",0,CEILING((X162/$H162),1)*$H162),"")</f>
        <v>42</v>
      </c>
      <c r="Z162" s="36">
        <f>IFERROR(IF(Y162=0,"",ROUNDUP(Y162/H162,0)*0.00902),"")</f>
        <v>9.0200000000000002E-2</v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44.5</v>
      </c>
      <c r="BN162" s="64">
        <f t="shared" ref="BN162:BN171" si="7">IFERROR(Y162*I162/H162,"0")</f>
        <v>44.5</v>
      </c>
      <c r="BO162" s="64">
        <f t="shared" ref="BO162:BO171" si="8">IFERROR(1/J162*(X162/H162),"0")</f>
        <v>7.575757575757576E-2</v>
      </c>
      <c r="BP162" s="64">
        <f t="shared" ref="BP162:BP171" si="9">IFERROR(1/J162*(Y162/H162),"0")</f>
        <v>7.575757575757576E-2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21</v>
      </c>
      <c r="Y163" s="546">
        <f t="shared" si="5"/>
        <v>21</v>
      </c>
      <c r="Z163" s="36">
        <f>IFERROR(IF(Y163=0,"",ROUNDUP(Y163/H163,0)*0.00902),"")</f>
        <v>4.5100000000000001E-2</v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22.25</v>
      </c>
      <c r="BN163" s="64">
        <f t="shared" si="7"/>
        <v>22.25</v>
      </c>
      <c r="BO163" s="64">
        <f t="shared" si="8"/>
        <v>3.787878787878788E-2</v>
      </c>
      <c r="BP163" s="64">
        <f t="shared" si="9"/>
        <v>3.787878787878788E-2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42</v>
      </c>
      <c r="Y164" s="546">
        <f t="shared" si="5"/>
        <v>42</v>
      </c>
      <c r="Z164" s="36">
        <f>IFERROR(IF(Y164=0,"",ROUNDUP(Y164/H164,0)*0.00902),"")</f>
        <v>9.0200000000000002E-2</v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43.9</v>
      </c>
      <c r="BN164" s="64">
        <f t="shared" si="7"/>
        <v>43.9</v>
      </c>
      <c r="BO164" s="64">
        <f t="shared" si="8"/>
        <v>7.575757575757576E-2</v>
      </c>
      <c r="BP164" s="64">
        <f t="shared" si="9"/>
        <v>7.575757575757576E-2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12.6</v>
      </c>
      <c r="Y165" s="546">
        <f t="shared" si="5"/>
        <v>12.600000000000001</v>
      </c>
      <c r="Z165" s="36">
        <f>IFERROR(IF(Y165=0,"",ROUNDUP(Y165/H165,0)*0.00502),"")</f>
        <v>3.0120000000000001E-2</v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13.379999999999999</v>
      </c>
      <c r="BN165" s="64">
        <f t="shared" si="7"/>
        <v>13.38</v>
      </c>
      <c r="BO165" s="64">
        <f t="shared" si="8"/>
        <v>2.5641025641025644E-2</v>
      </c>
      <c r="BP165" s="64">
        <f t="shared" si="9"/>
        <v>2.5641025641025644E-2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9</v>
      </c>
      <c r="Y166" s="546">
        <f t="shared" si="5"/>
        <v>9</v>
      </c>
      <c r="Z166" s="36">
        <f>IFERROR(IF(Y166=0,"",ROUNDUP(Y166/H166,0)*0.00502),"")</f>
        <v>2.5100000000000001E-2</v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9.4999999999999982</v>
      </c>
      <c r="BN166" s="64">
        <f t="shared" si="7"/>
        <v>9.4999999999999982</v>
      </c>
      <c r="BO166" s="64">
        <f t="shared" si="8"/>
        <v>2.1367521367521368E-2</v>
      </c>
      <c r="BP166" s="64">
        <f t="shared" si="9"/>
        <v>2.1367521367521368E-2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10.5</v>
      </c>
      <c r="Y167" s="546">
        <f t="shared" si="5"/>
        <v>10.5</v>
      </c>
      <c r="Z167" s="36">
        <f>IFERROR(IF(Y167=0,"",ROUNDUP(Y167/H167,0)*0.00502),"")</f>
        <v>2.5100000000000001E-2</v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11.149999999999999</v>
      </c>
      <c r="BN167" s="64">
        <f t="shared" si="7"/>
        <v>11.149999999999999</v>
      </c>
      <c r="BO167" s="64">
        <f t="shared" si="8"/>
        <v>2.1367521367521368E-2</v>
      </c>
      <c r="BP167" s="64">
        <f t="shared" si="9"/>
        <v>2.1367521367521368E-2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12.6</v>
      </c>
      <c r="Y168" s="546">
        <f t="shared" si="5"/>
        <v>12.6</v>
      </c>
      <c r="Z168" s="36">
        <f>IFERROR(IF(Y168=0,"",ROUNDUP(Y168/H168,0)*0.00502),"")</f>
        <v>3.5140000000000005E-2</v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13.509999999999998</v>
      </c>
      <c r="BN168" s="64">
        <f t="shared" si="7"/>
        <v>13.509999999999998</v>
      </c>
      <c r="BO168" s="64">
        <f t="shared" si="8"/>
        <v>2.9914529914529919E-2</v>
      </c>
      <c r="BP168" s="64">
        <f t="shared" si="9"/>
        <v>2.9914529914529919E-2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14.7</v>
      </c>
      <c r="Y169" s="546">
        <f t="shared" si="5"/>
        <v>14.700000000000001</v>
      </c>
      <c r="Z169" s="36">
        <f>IFERROR(IF(Y169=0,"",ROUNDUP(Y169/H169,0)*0.00502),"")</f>
        <v>3.5140000000000005E-2</v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15.4</v>
      </c>
      <c r="BN169" s="64">
        <f t="shared" si="7"/>
        <v>15.4</v>
      </c>
      <c r="BO169" s="64">
        <f t="shared" si="8"/>
        <v>2.9914529914529912E-2</v>
      </c>
      <c r="BP169" s="64">
        <f t="shared" si="9"/>
        <v>2.9914529914529919E-2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55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55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0.37610000000000005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164.39999999999998</v>
      </c>
      <c r="Y173" s="547">
        <f>IFERROR(SUM(Y162:Y171),"0")</f>
        <v>164.39999999999998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1.26</v>
      </c>
      <c r="Y175" s="546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1.45</v>
      </c>
      <c r="BN175" s="64">
        <f>IFERROR(Y175*I175/H175,"0")</f>
        <v>1.45</v>
      </c>
      <c r="BO175" s="64">
        <f>IFERROR(1/J175*(X175/H175),"0")</f>
        <v>4.6296296296296294E-3</v>
      </c>
      <c r="BP175" s="64">
        <f>IFERROR(1/J175*(Y175/H175),"0")</f>
        <v>4.6296296296296294E-3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1.26</v>
      </c>
      <c r="Y176" s="546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1.45</v>
      </c>
      <c r="BN176" s="64">
        <f>IFERROR(Y176*I176/H176,"0")</f>
        <v>1.45</v>
      </c>
      <c r="BO176" s="64">
        <f>IFERROR(1/J176*(X176/H176),"0")</f>
        <v>4.6296296296296294E-3</v>
      </c>
      <c r="BP176" s="64">
        <f>IFERROR(1/J176*(Y176/H176),"0")</f>
        <v>4.6296296296296294E-3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1.26</v>
      </c>
      <c r="Y177" s="546">
        <f>IFERROR(IF(X177="",0,CEILING((X177/$H177),1)*$H177),"")</f>
        <v>1.26</v>
      </c>
      <c r="Z177" s="36">
        <f>IFERROR(IF(Y177=0,"",ROUNDUP(Y177/H177,0)*0.0059),"")</f>
        <v>5.8999999999999999E-3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1.45</v>
      </c>
      <c r="BN177" s="64">
        <f>IFERROR(Y177*I177/H177,"0")</f>
        <v>1.45</v>
      </c>
      <c r="BO177" s="64">
        <f>IFERROR(1/J177*(X177/H177),"0")</f>
        <v>4.6296296296296294E-3</v>
      </c>
      <c r="BP177" s="64">
        <f>IFERROR(1/J177*(Y177/H177),"0")</f>
        <v>4.6296296296296294E-3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3</v>
      </c>
      <c r="Y178" s="547">
        <f>IFERROR(Y175/H175,"0")+IFERROR(Y176/H176,"0")+IFERROR(Y177/H177,"0")</f>
        <v>3</v>
      </c>
      <c r="Z178" s="547">
        <f>IFERROR(IF(Z175="",0,Z175),"0")+IFERROR(IF(Z176="",0,Z176),"0")+IFERROR(IF(Z177="",0,Z177),"0")</f>
        <v>1.77E-2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3.7800000000000002</v>
      </c>
      <c r="Y179" s="547">
        <f>IFERROR(SUM(Y175:Y177),"0")</f>
        <v>3.7800000000000002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1.26</v>
      </c>
      <c r="Y181" s="546">
        <f>IFERROR(IF(X181="",0,CEILING((X181/$H181),1)*$H181),"")</f>
        <v>1.26</v>
      </c>
      <c r="Z181" s="36">
        <f>IFERROR(IF(Y181=0,"",ROUNDUP(Y181/H181,0)*0.0059),"")</f>
        <v>5.8999999999999999E-3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1.45</v>
      </c>
      <c r="BN181" s="64">
        <f>IFERROR(Y181*I181/H181,"0")</f>
        <v>1.45</v>
      </c>
      <c r="BO181" s="64">
        <f>IFERROR(1/J181*(X181/H181),"0")</f>
        <v>4.6296296296296294E-3</v>
      </c>
      <c r="BP181" s="64">
        <f>IFERROR(1/J181*(Y181/H181),"0")</f>
        <v>4.6296296296296294E-3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1</v>
      </c>
      <c r="Y182" s="547">
        <f>IFERROR(Y181/H181,"0")</f>
        <v>1</v>
      </c>
      <c r="Z182" s="547">
        <f>IFERROR(IF(Z181="",0,Z181),"0")</f>
        <v>5.8999999999999999E-3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1.26</v>
      </c>
      <c r="Y183" s="547">
        <f>IFERROR(SUM(Y181:Y181),"0")</f>
        <v>1.26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43.2</v>
      </c>
      <c r="Y196" s="546">
        <f t="shared" ref="Y196:Y203" si="10">IFERROR(IF(X196="",0,CEILING((X196/$H196),1)*$H196),"")</f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44.72</v>
      </c>
      <c r="BN196" s="64">
        <f t="shared" ref="BN196:BN203" si="12">IFERROR(Y196*I196/H196,"0")</f>
        <v>44.72</v>
      </c>
      <c r="BO196" s="64">
        <f t="shared" ref="BO196:BO203" si="13">IFERROR(1/J196*(X196/H196),"0")</f>
        <v>6.0606060606060608E-2</v>
      </c>
      <c r="BP196" s="64">
        <f t="shared" ref="BP196:BP203" si="14">IFERROR(1/J196*(Y196/H196),"0")</f>
        <v>6.0606060606060608E-2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43.2</v>
      </c>
      <c r="Y197" s="546">
        <f t="shared" si="10"/>
        <v>43.2</v>
      </c>
      <c r="Z197" s="36">
        <f>IFERROR(IF(Y197=0,"",ROUNDUP(Y197/H197,0)*0.00902),"")</f>
        <v>7.2160000000000002E-2</v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44.72</v>
      </c>
      <c r="BN197" s="64">
        <f t="shared" si="12"/>
        <v>44.72</v>
      </c>
      <c r="BO197" s="64">
        <f t="shared" si="13"/>
        <v>6.0606060606060608E-2</v>
      </c>
      <c r="BP197" s="64">
        <f t="shared" si="14"/>
        <v>6.0606060606060608E-2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43.2</v>
      </c>
      <c r="Y198" s="546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44.72</v>
      </c>
      <c r="BN198" s="64">
        <f t="shared" si="12"/>
        <v>44.72</v>
      </c>
      <c r="BO198" s="64">
        <f t="shared" si="13"/>
        <v>6.0606060606060608E-2</v>
      </c>
      <c r="BP198" s="64">
        <f t="shared" si="14"/>
        <v>6.0606060606060608E-2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43.2</v>
      </c>
      <c r="Y199" s="546">
        <f t="shared" si="10"/>
        <v>43.2</v>
      </c>
      <c r="Z199" s="36">
        <f>IFERROR(IF(Y199=0,"",ROUNDUP(Y199/H199,0)*0.00902),"")</f>
        <v>7.2160000000000002E-2</v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44.72</v>
      </c>
      <c r="BN199" s="64">
        <f t="shared" si="12"/>
        <v>44.72</v>
      </c>
      <c r="BO199" s="64">
        <f t="shared" si="13"/>
        <v>6.0606060606060608E-2</v>
      </c>
      <c r="BP199" s="64">
        <f t="shared" si="14"/>
        <v>6.0606060606060608E-2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9</v>
      </c>
      <c r="Y200" s="546">
        <f t="shared" si="10"/>
        <v>9</v>
      </c>
      <c r="Z200" s="36">
        <f>IFERROR(IF(Y200=0,"",ROUNDUP(Y200/H200,0)*0.00502),"")</f>
        <v>2.5100000000000001E-2</v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9.65</v>
      </c>
      <c r="BN200" s="64">
        <f t="shared" si="12"/>
        <v>9.65</v>
      </c>
      <c r="BO200" s="64">
        <f t="shared" si="13"/>
        <v>2.1367521367521368E-2</v>
      </c>
      <c r="BP200" s="64">
        <f t="shared" si="14"/>
        <v>2.1367521367521368E-2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9</v>
      </c>
      <c r="Y201" s="546">
        <f t="shared" si="10"/>
        <v>9</v>
      </c>
      <c r="Z201" s="36">
        <f>IFERROR(IF(Y201=0,"",ROUNDUP(Y201/H201,0)*0.00502),"")</f>
        <v>2.5100000000000001E-2</v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9.4999999999999982</v>
      </c>
      <c r="BN201" s="64">
        <f t="shared" si="12"/>
        <v>9.4999999999999982</v>
      </c>
      <c r="BO201" s="64">
        <f t="shared" si="13"/>
        <v>2.1367521367521368E-2</v>
      </c>
      <c r="BP201" s="64">
        <f t="shared" si="14"/>
        <v>2.1367521367521368E-2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9</v>
      </c>
      <c r="Y202" s="546">
        <f t="shared" si="10"/>
        <v>9</v>
      </c>
      <c r="Z202" s="36">
        <f>IFERROR(IF(Y202=0,"",ROUNDUP(Y202/H202,0)*0.00502),"")</f>
        <v>2.5100000000000001E-2</v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9.4999999999999982</v>
      </c>
      <c r="BN202" s="64">
        <f t="shared" si="12"/>
        <v>9.4999999999999982</v>
      </c>
      <c r="BO202" s="64">
        <f t="shared" si="13"/>
        <v>2.1367521367521368E-2</v>
      </c>
      <c r="BP202" s="64">
        <f t="shared" si="14"/>
        <v>2.1367521367521368E-2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9</v>
      </c>
      <c r="Y203" s="546">
        <f t="shared" si="10"/>
        <v>9</v>
      </c>
      <c r="Z203" s="36">
        <f>IFERROR(IF(Y203=0,"",ROUNDUP(Y203/H203,0)*0.00502),"")</f>
        <v>2.5100000000000001E-2</v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9.4999999999999982</v>
      </c>
      <c r="BN203" s="64">
        <f t="shared" si="12"/>
        <v>9.4999999999999982</v>
      </c>
      <c r="BO203" s="64">
        <f t="shared" si="13"/>
        <v>2.1367521367521368E-2</v>
      </c>
      <c r="BP203" s="64">
        <f t="shared" si="14"/>
        <v>2.1367521367521368E-2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52</v>
      </c>
      <c r="Y204" s="547">
        <f>IFERROR(Y196/H196,"0")+IFERROR(Y197/H197,"0")+IFERROR(Y198/H198,"0")+IFERROR(Y199/H199,"0")+IFERROR(Y200/H200,"0")+IFERROR(Y201/H201,"0")+IFERROR(Y202/H202,"0")+IFERROR(Y203/H203,"0")</f>
        <v>52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0.38904000000000005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208.8</v>
      </c>
      <c r="Y205" s="547">
        <f>IFERROR(SUM(Y196:Y203),"0")</f>
        <v>208.8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17.399999999999999</v>
      </c>
      <c r="Y209" s="546">
        <f t="shared" si="15"/>
        <v>17.399999999999999</v>
      </c>
      <c r="Z209" s="36">
        <f>IFERROR(IF(Y209=0,"",ROUNDUP(Y209/H209,0)*0.01898),"")</f>
        <v>3.7960000000000001E-2</v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18.388000000000002</v>
      </c>
      <c r="BN209" s="64">
        <f t="shared" si="17"/>
        <v>18.388000000000002</v>
      </c>
      <c r="BO209" s="64">
        <f t="shared" si="18"/>
        <v>3.125E-2</v>
      </c>
      <c r="BP209" s="64">
        <f t="shared" si="19"/>
        <v>3.125E-2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2.4</v>
      </c>
      <c r="Y210" s="546">
        <f t="shared" si="15"/>
        <v>2.4</v>
      </c>
      <c r="Z210" s="36">
        <f t="shared" ref="Z210:Z215" si="20">IFERROR(IF(Y210=0,"",ROUNDUP(Y210/H210,0)*0.00651),"")</f>
        <v>6.5100000000000002E-3</v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2.67</v>
      </c>
      <c r="BN210" s="64">
        <f t="shared" si="17"/>
        <v>2.67</v>
      </c>
      <c r="BO210" s="64">
        <f t="shared" si="18"/>
        <v>5.4945054945054949E-3</v>
      </c>
      <c r="BP210" s="64">
        <f t="shared" si="19"/>
        <v>5.4945054945054949E-3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2.4</v>
      </c>
      <c r="Y212" s="546">
        <f t="shared" si="15"/>
        <v>2.4</v>
      </c>
      <c r="Z212" s="36">
        <f t="shared" si="20"/>
        <v>6.5100000000000002E-3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2.6520000000000001</v>
      </c>
      <c r="BN212" s="64">
        <f t="shared" si="17"/>
        <v>2.6520000000000001</v>
      </c>
      <c r="BO212" s="64">
        <f t="shared" si="18"/>
        <v>5.4945054945054949E-3</v>
      </c>
      <c r="BP212" s="64">
        <f t="shared" si="19"/>
        <v>5.4945054945054949E-3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2.4</v>
      </c>
      <c r="Y213" s="546">
        <f t="shared" si="15"/>
        <v>2.4</v>
      </c>
      <c r="Z213" s="36">
        <f t="shared" si="20"/>
        <v>6.5100000000000002E-3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2.6520000000000001</v>
      </c>
      <c r="BN213" s="64">
        <f t="shared" si="17"/>
        <v>2.6520000000000001</v>
      </c>
      <c r="BO213" s="64">
        <f t="shared" si="18"/>
        <v>5.4945054945054949E-3</v>
      </c>
      <c r="BP213" s="64">
        <f t="shared" si="19"/>
        <v>5.4945054945054949E-3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2.4</v>
      </c>
      <c r="Y214" s="546">
        <f t="shared" si="15"/>
        <v>2.4</v>
      </c>
      <c r="Z214" s="36">
        <f t="shared" si="20"/>
        <v>6.5100000000000002E-3</v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2.6520000000000001</v>
      </c>
      <c r="BN214" s="64">
        <f t="shared" si="17"/>
        <v>2.6520000000000001</v>
      </c>
      <c r="BO214" s="64">
        <f t="shared" si="18"/>
        <v>5.4945054945054949E-3</v>
      </c>
      <c r="BP214" s="64">
        <f t="shared" si="19"/>
        <v>5.4945054945054949E-3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6</v>
      </c>
      <c r="Y216" s="547">
        <f>IFERROR(Y207/H207,"0")+IFERROR(Y208/H208,"0")+IFERROR(Y209/H209,"0")+IFERROR(Y210/H210,"0")+IFERROR(Y211/H211,"0")+IFERROR(Y212/H212,"0")+IFERROR(Y213/H213,"0")+IFERROR(Y214/H214,"0")+IFERROR(Y215/H215,"0")</f>
        <v>6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6.4000000000000001E-2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26.999999999999993</v>
      </c>
      <c r="Y217" s="547">
        <f>IFERROR(SUM(Y207:Y215),"0")</f>
        <v>26.999999999999993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1.8</v>
      </c>
      <c r="Y242" s="546">
        <f>IFERROR(IF(X242="",0,CEILING((X242/$H242),1)*$H242),"")</f>
        <v>1.8</v>
      </c>
      <c r="Z242" s="36">
        <f>IFERROR(IF(Y242=0,"",ROUNDUP(Y242/H242,0)*0.0059),"")</f>
        <v>5.8999999999999999E-3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1.9750000000000001</v>
      </c>
      <c r="BN242" s="64">
        <f>IFERROR(Y242*I242/H242,"0")</f>
        <v>1.9750000000000001</v>
      </c>
      <c r="BO242" s="64">
        <f>IFERROR(1/J242*(X242/H242),"0")</f>
        <v>4.6296296296296294E-3</v>
      </c>
      <c r="BP242" s="64">
        <f>IFERROR(1/J242*(Y242/H242),"0")</f>
        <v>4.6296296296296294E-3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1</v>
      </c>
      <c r="Y243" s="547">
        <f>IFERROR(Y242/H242,"0")</f>
        <v>1</v>
      </c>
      <c r="Z243" s="547">
        <f>IFERROR(IF(Z242="",0,Z242),"0")</f>
        <v>5.8999999999999999E-3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1.8</v>
      </c>
      <c r="Y244" s="547">
        <f>IFERROR(SUM(Y242:Y242),"0")</f>
        <v>1.8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0.9</v>
      </c>
      <c r="Y248" s="546">
        <f>IFERROR(IF(X248="",0,CEILING((X248/$H248),1)*$H248),"")</f>
        <v>0.9</v>
      </c>
      <c r="Z248" s="36">
        <f>IFERROR(IF(Y248=0,"",ROUNDUP(Y248/H248,0)*0.0059),"")</f>
        <v>5.8999999999999999E-3</v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1.0900000000000001</v>
      </c>
      <c r="BN248" s="64">
        <f>IFERROR(Y248*I248/H248,"0")</f>
        <v>1.0900000000000001</v>
      </c>
      <c r="BO248" s="64">
        <f>IFERROR(1/J248*(X248/H248),"0")</f>
        <v>4.6296296296296294E-3</v>
      </c>
      <c r="BP248" s="64">
        <f>IFERROR(1/J248*(Y248/H248),"0")</f>
        <v>4.6296296296296294E-3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1.98</v>
      </c>
      <c r="Y249" s="546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2.36</v>
      </c>
      <c r="BN249" s="64">
        <f>IFERROR(Y249*I249/H249,"0")</f>
        <v>2.36</v>
      </c>
      <c r="BO249" s="64">
        <f>IFERROR(1/J249*(X249/H249),"0")</f>
        <v>9.2592592592592587E-3</v>
      </c>
      <c r="BP249" s="64">
        <f>IFERROR(1/J249*(Y249/H249),"0")</f>
        <v>9.2592592592592587E-3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1.98</v>
      </c>
      <c r="Y250" s="546">
        <f>IFERROR(IF(X250="",0,CEILING((X250/$H250),1)*$H250),"")</f>
        <v>1.98</v>
      </c>
      <c r="Z250" s="36">
        <f>IFERROR(IF(Y250=0,"",ROUNDUP(Y250/H250,0)*0.0059),"")</f>
        <v>1.18E-2</v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2.36</v>
      </c>
      <c r="BN250" s="64">
        <f>IFERROR(Y250*I250/H250,"0")</f>
        <v>2.36</v>
      </c>
      <c r="BO250" s="64">
        <f>IFERROR(1/J250*(X250/H250),"0")</f>
        <v>9.2592592592592587E-3</v>
      </c>
      <c r="BP250" s="64">
        <f>IFERROR(1/J250*(Y250/H250),"0")</f>
        <v>9.2592592592592587E-3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5</v>
      </c>
      <c r="Y251" s="547">
        <f>IFERROR(Y246/H246,"0")+IFERROR(Y247/H247,"0")+IFERROR(Y248/H248,"0")+IFERROR(Y249/H249,"0")+IFERROR(Y250/H250,"0")</f>
        <v>5</v>
      </c>
      <c r="Z251" s="547">
        <f>IFERROR(IF(Z246="",0,Z246),"0")+IFERROR(IF(Z247="",0,Z247),"0")+IFERROR(IF(Z248="",0,Z248),"0")+IFERROR(IF(Z249="",0,Z249),"0")+IFERROR(IF(Z250="",0,Z250),"0")</f>
        <v>2.9499999999999998E-2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4.8599999999999994</v>
      </c>
      <c r="Y252" s="547">
        <f>IFERROR(SUM(Y246:Y250),"0")</f>
        <v>4.8599999999999994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108</v>
      </c>
      <c r="Y255" s="546">
        <f>IFERROR(IF(X255="",0,CEILING((X255/$H255),1)*$H255),"")</f>
        <v>108</v>
      </c>
      <c r="Z255" s="36">
        <f>IFERROR(IF(Y255=0,"",ROUNDUP(Y255/H255,0)*0.01898),"")</f>
        <v>0.1898</v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112.1</v>
      </c>
      <c r="BN255" s="64">
        <f>IFERROR(Y255*I255/H255,"0")</f>
        <v>112.1</v>
      </c>
      <c r="BO255" s="64">
        <f>IFERROR(1/J255*(X255/H255),"0")</f>
        <v>0.15625</v>
      </c>
      <c r="BP255" s="64">
        <f>IFERROR(1/J255*(Y255/H255),"0")</f>
        <v>0.15625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75.599999999999994</v>
      </c>
      <c r="Y256" s="546">
        <f>IFERROR(IF(X256="",0,CEILING((X256/$H256),1)*$H256),"")</f>
        <v>75.600000000000009</v>
      </c>
      <c r="Z256" s="36">
        <f>IFERROR(IF(Y256=0,"",ROUNDUP(Y256/H256,0)*0.01898),"")</f>
        <v>0.13286000000000001</v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78.47</v>
      </c>
      <c r="BN256" s="64">
        <f>IFERROR(Y256*I256/H256,"0")</f>
        <v>78.47</v>
      </c>
      <c r="BO256" s="64">
        <f>IFERROR(1/J256*(X256/H256),"0")</f>
        <v>0.10937499999999999</v>
      </c>
      <c r="BP256" s="64">
        <f>IFERROR(1/J256*(Y256/H256),"0")</f>
        <v>0.109375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162</v>
      </c>
      <c r="Y257" s="546">
        <f>IFERROR(IF(X257="",0,CEILING((X257/$H257),1)*$H257),"")</f>
        <v>162</v>
      </c>
      <c r="Z257" s="36">
        <f>IFERROR(IF(Y257=0,"",ROUNDUP(Y257/H257,0)*0.01898),"")</f>
        <v>0.28470000000000001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168.15</v>
      </c>
      <c r="BN257" s="64">
        <f>IFERROR(Y257*I257/H257,"0")</f>
        <v>168.15</v>
      </c>
      <c r="BO257" s="64">
        <f>IFERROR(1/J257*(X257/H257),"0")</f>
        <v>0.23437499999999997</v>
      </c>
      <c r="BP257" s="64">
        <f>IFERROR(1/J257*(Y257/H257),"0")</f>
        <v>0.23437499999999997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12</v>
      </c>
      <c r="Y258" s="546">
        <f>IFERROR(IF(X258="",0,CEILING((X258/$H258),1)*$H258),"")</f>
        <v>12</v>
      </c>
      <c r="Z258" s="36">
        <f>IFERROR(IF(Y258=0,"",ROUNDUP(Y258/H258,0)*0.00902),"")</f>
        <v>2.7060000000000001E-2</v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12.57</v>
      </c>
      <c r="BN258" s="64">
        <f>IFERROR(Y258*I258/H258,"0")</f>
        <v>12.57</v>
      </c>
      <c r="BO258" s="64">
        <f>IFERROR(1/J258*(X258/H258),"0")</f>
        <v>2.2727272727272728E-2</v>
      </c>
      <c r="BP258" s="64">
        <f>IFERROR(1/J258*(Y258/H258),"0")</f>
        <v>2.2727272727272728E-2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20</v>
      </c>
      <c r="Y259" s="546">
        <f>IFERROR(IF(X259="",0,CEILING((X259/$H259),1)*$H259),"")</f>
        <v>20</v>
      </c>
      <c r="Z259" s="36">
        <f>IFERROR(IF(Y259=0,"",ROUNDUP(Y259/H259,0)*0.00902),"")</f>
        <v>4.5100000000000001E-2</v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20.950000000000003</v>
      </c>
      <c r="BN259" s="64">
        <f>IFERROR(Y259*I259/H259,"0")</f>
        <v>20.950000000000003</v>
      </c>
      <c r="BO259" s="64">
        <f>IFERROR(1/J259*(X259/H259),"0")</f>
        <v>3.787878787878788E-2</v>
      </c>
      <c r="BP259" s="64">
        <f>IFERROR(1/J259*(Y259/H259),"0")</f>
        <v>3.787878787878788E-2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40</v>
      </c>
      <c r="Y260" s="547">
        <f>IFERROR(Y255/H255,"0")+IFERROR(Y256/H256,"0")+IFERROR(Y257/H257,"0")+IFERROR(Y258/H258,"0")+IFERROR(Y259/H259,"0")</f>
        <v>40</v>
      </c>
      <c r="Z260" s="547">
        <f>IFERROR(IF(Z255="",0,Z255),"0")+IFERROR(IF(Z256="",0,Z256),"0")+IFERROR(IF(Z257="",0,Z257),"0")+IFERROR(IF(Z258="",0,Z258),"0")+IFERROR(IF(Z259="",0,Z259),"0")</f>
        <v>0.67952000000000001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377.6</v>
      </c>
      <c r="Y261" s="547">
        <f>IFERROR(SUM(Y255:Y259),"0")</f>
        <v>377.6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12</v>
      </c>
      <c r="Y273" s="546">
        <f>IFERROR(IF(X273="",0,CEILING((X273/$H273),1)*$H273),"")</f>
        <v>12</v>
      </c>
      <c r="Z273" s="36">
        <f>IFERROR(IF(Y273=0,"",ROUNDUP(Y273/H273,0)*0.00651),"")</f>
        <v>3.2550000000000003E-2</v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13.260000000000002</v>
      </c>
      <c r="BN273" s="64">
        <f>IFERROR(Y273*I273/H273,"0")</f>
        <v>13.260000000000002</v>
      </c>
      <c r="BO273" s="64">
        <f>IFERROR(1/J273*(X273/H273),"0")</f>
        <v>2.7472527472527476E-2</v>
      </c>
      <c r="BP273" s="64">
        <f>IFERROR(1/J273*(Y273/H273),"0")</f>
        <v>2.7472527472527476E-2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12</v>
      </c>
      <c r="Y274" s="546">
        <f>IFERROR(IF(X274="",0,CEILING((X274/$H274),1)*$H274),"")</f>
        <v>12</v>
      </c>
      <c r="Z274" s="36">
        <f>IFERROR(IF(Y274=0,"",ROUNDUP(Y274/H274,0)*0.00651),"")</f>
        <v>3.2550000000000003E-2</v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12.9</v>
      </c>
      <c r="BN274" s="64">
        <f>IFERROR(Y274*I274/H274,"0")</f>
        <v>12.9</v>
      </c>
      <c r="BO274" s="64">
        <f>IFERROR(1/J274*(X274/H274),"0")</f>
        <v>2.7472527472527476E-2</v>
      </c>
      <c r="BP274" s="64">
        <f>IFERROR(1/J274*(Y274/H274),"0")</f>
        <v>2.7472527472527476E-2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10</v>
      </c>
      <c r="Y275" s="547">
        <f>IFERROR(Y272/H272,"0")+IFERROR(Y273/H273,"0")+IFERROR(Y274/H274,"0")</f>
        <v>10</v>
      </c>
      <c r="Z275" s="547">
        <f>IFERROR(IF(Z272="",0,Z272),"0")+IFERROR(IF(Z273="",0,Z273),"0")+IFERROR(IF(Z274="",0,Z274),"0")</f>
        <v>6.5100000000000005E-2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24</v>
      </c>
      <c r="Y276" s="547">
        <f>IFERROR(SUM(Y272:Y274),"0")</f>
        <v>24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11.76</v>
      </c>
      <c r="Y279" s="546">
        <f>IFERROR(IF(X279="",0,CEILING((X279/$H279),1)*$H279),"")</f>
        <v>11.76</v>
      </c>
      <c r="Z279" s="36">
        <f>IFERROR(IF(Y279=0,"",ROUNDUP(Y279/H279,0)*0.00502),"")</f>
        <v>3.5140000000000005E-2</v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12.46</v>
      </c>
      <c r="BN279" s="64">
        <f>IFERROR(Y279*I279/H279,"0")</f>
        <v>12.46</v>
      </c>
      <c r="BO279" s="64">
        <f>IFERROR(1/J279*(X279/H279),"0")</f>
        <v>2.9914529914529919E-2</v>
      </c>
      <c r="BP279" s="64">
        <f>IFERROR(1/J279*(Y279/H279),"0")</f>
        <v>2.9914529914529919E-2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7</v>
      </c>
      <c r="Y281" s="547">
        <f>IFERROR(Y279/H279,"0")+IFERROR(Y280/H280,"0")</f>
        <v>7</v>
      </c>
      <c r="Z281" s="547">
        <f>IFERROR(IF(Z279="",0,Z279),"0")+IFERROR(IF(Z280="",0,Z280),"0")</f>
        <v>3.5140000000000005E-2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11.76</v>
      </c>
      <c r="Y282" s="547">
        <f>IFERROR(SUM(Y279:Y280),"0")</f>
        <v>11.76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344</v>
      </c>
      <c r="Y290" s="546">
        <f t="shared" ref="Y290:Y295" si="26">IFERROR(IF(X290="",0,CEILING((X290/$H290),1)*$H290),"")</f>
        <v>345.6</v>
      </c>
      <c r="Z290" s="36">
        <f>IFERROR(IF(Y290=0,"",ROUNDUP(Y290/H290,0)*0.01898),"")</f>
        <v>0.60736000000000001</v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357.05925925925925</v>
      </c>
      <c r="BN290" s="64">
        <f t="shared" ref="BN290:BN295" si="28">IFERROR(Y290*I290/H290,"0")</f>
        <v>358.72</v>
      </c>
      <c r="BO290" s="64">
        <f t="shared" ref="BO290:BO295" si="29">IFERROR(1/J290*(X290/H290),"0")</f>
        <v>0.49768518518518517</v>
      </c>
      <c r="BP290" s="64">
        <f t="shared" ref="BP290:BP295" si="30">IFERROR(1/J290*(Y290/H290),"0")</f>
        <v>0.5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108</v>
      </c>
      <c r="Y291" s="546">
        <f t="shared" si="26"/>
        <v>108</v>
      </c>
      <c r="Z291" s="36">
        <f>IFERROR(IF(Y291=0,"",ROUNDUP(Y291/H291,0)*0.01898),"")</f>
        <v>0.1898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112.1</v>
      </c>
      <c r="BN291" s="64">
        <f t="shared" si="28"/>
        <v>112.1</v>
      </c>
      <c r="BO291" s="64">
        <f t="shared" si="29"/>
        <v>0.15625</v>
      </c>
      <c r="BP291" s="64">
        <f t="shared" si="30"/>
        <v>0.15625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86.4</v>
      </c>
      <c r="Y292" s="546">
        <f t="shared" si="26"/>
        <v>86.4</v>
      </c>
      <c r="Z292" s="36">
        <f>IFERROR(IF(Y292=0,"",ROUNDUP(Y292/H292,0)*0.01898),"")</f>
        <v>0.15184</v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89.68</v>
      </c>
      <c r="BN292" s="64">
        <f t="shared" si="28"/>
        <v>89.68</v>
      </c>
      <c r="BO292" s="64">
        <f t="shared" si="29"/>
        <v>0.125</v>
      </c>
      <c r="BP292" s="64">
        <f t="shared" si="30"/>
        <v>0.125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20</v>
      </c>
      <c r="Y294" s="546">
        <f t="shared" si="26"/>
        <v>20</v>
      </c>
      <c r="Z294" s="36">
        <f>IFERROR(IF(Y294=0,"",ROUNDUP(Y294/H294,0)*0.00902),"")</f>
        <v>4.5100000000000001E-2</v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20.950000000000003</v>
      </c>
      <c r="BN294" s="64">
        <f t="shared" si="28"/>
        <v>20.950000000000003</v>
      </c>
      <c r="BO294" s="64">
        <f t="shared" si="29"/>
        <v>3.787878787878788E-2</v>
      </c>
      <c r="BP294" s="64">
        <f t="shared" si="30"/>
        <v>3.787878787878788E-2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28</v>
      </c>
      <c r="Y295" s="546">
        <f t="shared" si="26"/>
        <v>28</v>
      </c>
      <c r="Z295" s="36">
        <f>IFERROR(IF(Y295=0,"",ROUNDUP(Y295/H295,0)*0.00902),"")</f>
        <v>6.3140000000000002E-2</v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29.330000000000002</v>
      </c>
      <c r="BN295" s="64">
        <f t="shared" si="28"/>
        <v>29.330000000000002</v>
      </c>
      <c r="BO295" s="64">
        <f t="shared" si="29"/>
        <v>5.3030303030303032E-2</v>
      </c>
      <c r="BP295" s="64">
        <f t="shared" si="30"/>
        <v>5.3030303030303032E-2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61.851851851851848</v>
      </c>
      <c r="Y296" s="547">
        <f>IFERROR(Y290/H290,"0")+IFERROR(Y291/H291,"0")+IFERROR(Y292/H292,"0")+IFERROR(Y293/H293,"0")+IFERROR(Y294/H294,"0")+IFERROR(Y295/H295,"0")</f>
        <v>62</v>
      </c>
      <c r="Z296" s="547">
        <f>IFERROR(IF(Z290="",0,Z290),"0")+IFERROR(IF(Z291="",0,Z291),"0")+IFERROR(IF(Z292="",0,Z292),"0")+IFERROR(IF(Z293="",0,Z293),"0")+IFERROR(IF(Z294="",0,Z294),"0")+IFERROR(IF(Z295="",0,Z295),"0")</f>
        <v>1.05724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586.4</v>
      </c>
      <c r="Y297" s="547">
        <f>IFERROR(SUM(Y290:Y295),"0")</f>
        <v>588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126</v>
      </c>
      <c r="Y299" s="546">
        <f t="shared" ref="Y299:Y304" si="31">IFERROR(IF(X299="",0,CEILING((X299/$H299),1)*$H299),"")</f>
        <v>126</v>
      </c>
      <c r="Z299" s="36">
        <f>IFERROR(IF(Y299=0,"",ROUNDUP(Y299/H299,0)*0.00902),"")</f>
        <v>0.27060000000000001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133.5</v>
      </c>
      <c r="BN299" s="64">
        <f t="shared" ref="BN299:BN304" si="33">IFERROR(Y299*I299/H299,"0")</f>
        <v>133.5</v>
      </c>
      <c r="BO299" s="64">
        <f t="shared" ref="BO299:BO304" si="34">IFERROR(1/J299*(X299/H299),"0")</f>
        <v>0.22727272727272729</v>
      </c>
      <c r="BP299" s="64">
        <f t="shared" ref="BP299:BP304" si="35">IFERROR(1/J299*(Y299/H299),"0")</f>
        <v>0.22727272727272729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42</v>
      </c>
      <c r="Y300" s="546">
        <f t="shared" si="31"/>
        <v>42</v>
      </c>
      <c r="Z300" s="36">
        <f>IFERROR(IF(Y300=0,"",ROUNDUP(Y300/H300,0)*0.00902),"")</f>
        <v>9.0200000000000002E-2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44.5</v>
      </c>
      <c r="BN300" s="64">
        <f t="shared" si="33"/>
        <v>44.5</v>
      </c>
      <c r="BO300" s="64">
        <f t="shared" si="34"/>
        <v>7.575757575757576E-2</v>
      </c>
      <c r="BP300" s="64">
        <f t="shared" si="35"/>
        <v>7.575757575757576E-2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30.6</v>
      </c>
      <c r="Y301" s="546">
        <f t="shared" si="31"/>
        <v>30.66</v>
      </c>
      <c r="Z301" s="36">
        <f>IFERROR(IF(Y301=0,"",ROUNDUP(Y301/H301,0)*0.00902),"")</f>
        <v>6.3140000000000002E-2</v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32.346575342465755</v>
      </c>
      <c r="BN301" s="64">
        <f t="shared" si="33"/>
        <v>32.410000000000004</v>
      </c>
      <c r="BO301" s="64">
        <f t="shared" si="34"/>
        <v>5.2926525529265259E-2</v>
      </c>
      <c r="BP301" s="64">
        <f t="shared" si="35"/>
        <v>5.3030303030303032E-2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21</v>
      </c>
      <c r="Y302" s="546">
        <f t="shared" si="31"/>
        <v>21</v>
      </c>
      <c r="Z302" s="36">
        <f>IFERROR(IF(Y302=0,"",ROUNDUP(Y302/H302,0)*0.00502),"")</f>
        <v>5.0200000000000002E-2</v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22.299999999999997</v>
      </c>
      <c r="BN302" s="64">
        <f t="shared" si="33"/>
        <v>22.299999999999997</v>
      </c>
      <c r="BO302" s="64">
        <f t="shared" si="34"/>
        <v>4.2735042735042736E-2</v>
      </c>
      <c r="BP302" s="64">
        <f t="shared" si="35"/>
        <v>4.2735042735042736E-2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14.7</v>
      </c>
      <c r="Y303" s="546">
        <f t="shared" si="31"/>
        <v>14.700000000000001</v>
      </c>
      <c r="Z303" s="36">
        <f>IFERROR(IF(Y303=0,"",ROUNDUP(Y303/H303,0)*0.00502),"")</f>
        <v>3.5140000000000005E-2</v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15.4</v>
      </c>
      <c r="BN303" s="64">
        <f t="shared" si="33"/>
        <v>15.4</v>
      </c>
      <c r="BO303" s="64">
        <f t="shared" si="34"/>
        <v>2.9914529914529912E-2</v>
      </c>
      <c r="BP303" s="64">
        <f t="shared" si="35"/>
        <v>2.9914529914529919E-2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63.986301369863014</v>
      </c>
      <c r="Y305" s="547">
        <f>IFERROR(Y299/H299,"0")+IFERROR(Y300/H300,"0")+IFERROR(Y301/H301,"0")+IFERROR(Y302/H302,"0")+IFERROR(Y303/H303,"0")+IFERROR(Y304/H304,"0")</f>
        <v>64</v>
      </c>
      <c r="Z305" s="547">
        <f>IFERROR(IF(Z299="",0,Z299),"0")+IFERROR(IF(Z300="",0,Z300),"0")+IFERROR(IF(Z301="",0,Z301),"0")+IFERROR(IF(Z302="",0,Z302),"0")+IFERROR(IF(Z303="",0,Z303),"0")+IFERROR(IF(Z304="",0,Z304),"0")</f>
        <v>0.50927999999999995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234.29999999999998</v>
      </c>
      <c r="Y306" s="547">
        <f>IFERROR(SUM(Y299:Y304),"0")</f>
        <v>234.35999999999999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1048</v>
      </c>
      <c r="Y308" s="546">
        <f>IFERROR(IF(X308="",0,CEILING((X308/$H308),1)*$H308),"")</f>
        <v>1053</v>
      </c>
      <c r="Z308" s="36">
        <f>IFERROR(IF(Y308=0,"",ROUNDUP(Y308/H308,0)*0.01898),"")</f>
        <v>2.5623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1113.5671794871796</v>
      </c>
      <c r="BN308" s="64">
        <f>IFERROR(Y308*I308/H308,"0")</f>
        <v>1118.8800000000001</v>
      </c>
      <c r="BO308" s="64">
        <f>IFERROR(1/J308*(X308/H308),"0")</f>
        <v>2.0993589743589745</v>
      </c>
      <c r="BP308" s="64">
        <f>IFERROR(1/J308*(Y308/H308),"0")</f>
        <v>2.109375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39</v>
      </c>
      <c r="Y309" s="546">
        <f>IFERROR(IF(X309="",0,CEILING((X309/$H309),1)*$H309),"")</f>
        <v>39</v>
      </c>
      <c r="Z309" s="36">
        <f>IFERROR(IF(Y309=0,"",ROUNDUP(Y309/H309,0)*0.01898),"")</f>
        <v>9.4899999999999998E-2</v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41.47</v>
      </c>
      <c r="BN309" s="64">
        <f>IFERROR(Y309*I309/H309,"0")</f>
        <v>41.47</v>
      </c>
      <c r="BO309" s="64">
        <f>IFERROR(1/J309*(X309/H309),"0")</f>
        <v>7.8125E-2</v>
      </c>
      <c r="BP309" s="64">
        <f>IFERROR(1/J309*(Y309/H309),"0")</f>
        <v>7.8125E-2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40.5</v>
      </c>
      <c r="Y310" s="546">
        <f>IFERROR(IF(X310="",0,CEILING((X310/$H310),1)*$H310),"")</f>
        <v>40.5</v>
      </c>
      <c r="Z310" s="36">
        <f>IFERROR(IF(Y310=0,"",ROUNDUP(Y310/H310,0)*0.01898),"")</f>
        <v>9.4899999999999998E-2</v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42.88</v>
      </c>
      <c r="BN310" s="64">
        <f>IFERROR(Y310*I310/H310,"0")</f>
        <v>42.88</v>
      </c>
      <c r="BO310" s="64">
        <f>IFERROR(1/J310*(X310/H310),"0")</f>
        <v>7.8125E-2</v>
      </c>
      <c r="BP310" s="64">
        <f>IFERROR(1/J310*(Y310/H310),"0")</f>
        <v>7.8125E-2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6</v>
      </c>
      <c r="Y311" s="546">
        <f>IFERROR(IF(X311="",0,CEILING((X311/$H311),1)*$H311),"")</f>
        <v>6</v>
      </c>
      <c r="Z311" s="36">
        <f>IFERROR(IF(Y311=0,"",ROUNDUP(Y311/H311,0)*0.00651),"")</f>
        <v>1.302E-2</v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6.492</v>
      </c>
      <c r="BN311" s="64">
        <f>IFERROR(Y311*I311/H311,"0")</f>
        <v>6.492</v>
      </c>
      <c r="BO311" s="64">
        <f>IFERROR(1/J311*(X311/H311),"0")</f>
        <v>1.098901098901099E-2</v>
      </c>
      <c r="BP311" s="64">
        <f>IFERROR(1/J311*(Y311/H311),"0")</f>
        <v>1.098901098901099E-2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146.35897435897436</v>
      </c>
      <c r="Y312" s="547">
        <f>IFERROR(Y308/H308,"0")+IFERROR(Y309/H309,"0")+IFERROR(Y310/H310,"0")+IFERROR(Y311/H311,"0")</f>
        <v>147</v>
      </c>
      <c r="Z312" s="547">
        <f>IFERROR(IF(Z308="",0,Z308),"0")+IFERROR(IF(Z309="",0,Z309),"0")+IFERROR(IF(Z310="",0,Z310),"0")+IFERROR(IF(Z311="",0,Z311),"0")</f>
        <v>2.76512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1133.5</v>
      </c>
      <c r="Y313" s="547">
        <f>IFERROR(SUM(Y308:Y311),"0")</f>
        <v>1138.5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25.2</v>
      </c>
      <c r="Y315" s="546">
        <f>IFERROR(IF(X315="",0,CEILING((X315/$H315),1)*$H315),"")</f>
        <v>25.200000000000003</v>
      </c>
      <c r="Z315" s="36">
        <f>IFERROR(IF(Y315=0,"",ROUNDUP(Y315/H315,0)*0.01898),"")</f>
        <v>5.6940000000000004E-2</v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26.681999999999999</v>
      </c>
      <c r="BN315" s="64">
        <f>IFERROR(Y315*I315/H315,"0")</f>
        <v>26.682000000000002</v>
      </c>
      <c r="BO315" s="64">
        <f>IFERROR(1/J315*(X315/H315),"0")</f>
        <v>4.6875E-2</v>
      </c>
      <c r="BP315" s="64">
        <f>IFERROR(1/J315*(Y315/H315),"0")</f>
        <v>4.6875E-2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39</v>
      </c>
      <c r="Y316" s="546">
        <f>IFERROR(IF(X316="",0,CEILING((X316/$H316),1)*$H316),"")</f>
        <v>39</v>
      </c>
      <c r="Z316" s="36">
        <f>IFERROR(IF(Y316=0,"",ROUNDUP(Y316/H316,0)*0.01898),"")</f>
        <v>9.4899999999999998E-2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41.47</v>
      </c>
      <c r="BN316" s="64">
        <f>IFERROR(Y316*I316/H316,"0")</f>
        <v>41.47</v>
      </c>
      <c r="BO316" s="64">
        <f>IFERROR(1/J316*(X316/H316),"0")</f>
        <v>7.8125E-2</v>
      </c>
      <c r="BP316" s="64">
        <f>IFERROR(1/J316*(Y316/H316),"0")</f>
        <v>7.8125E-2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42</v>
      </c>
      <c r="Y317" s="546">
        <f>IFERROR(IF(X317="",0,CEILING((X317/$H317),1)*$H317),"")</f>
        <v>42</v>
      </c>
      <c r="Z317" s="36">
        <f>IFERROR(IF(Y317=0,"",ROUNDUP(Y317/H317,0)*0.01898),"")</f>
        <v>9.4899999999999998E-2</v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44.47</v>
      </c>
      <c r="BN317" s="64">
        <f>IFERROR(Y317*I317/H317,"0")</f>
        <v>44.47</v>
      </c>
      <c r="BO317" s="64">
        <f>IFERROR(1/J317*(X317/H317),"0")</f>
        <v>7.8125E-2</v>
      </c>
      <c r="BP317" s="64">
        <f>IFERROR(1/J317*(Y317/H317),"0")</f>
        <v>7.8125E-2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13</v>
      </c>
      <c r="Y318" s="547">
        <f>IFERROR(Y315/H315,"0")+IFERROR(Y316/H316,"0")+IFERROR(Y317/H317,"0")</f>
        <v>13</v>
      </c>
      <c r="Z318" s="547">
        <f>IFERROR(IF(Z315="",0,Z315),"0")+IFERROR(IF(Z316="",0,Z316),"0")+IFERROR(IF(Z317="",0,Z317),"0")</f>
        <v>0.24674000000000001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106.2</v>
      </c>
      <c r="Y319" s="547">
        <f>IFERROR(SUM(Y315:Y317),"0")</f>
        <v>106.2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3.04</v>
      </c>
      <c r="Y321" s="546">
        <f>IFERROR(IF(X321="",0,CEILING((X321/$H321),1)*$H321),"")</f>
        <v>3.04</v>
      </c>
      <c r="Z321" s="36">
        <f>IFERROR(IF(Y321=0,"",ROUNDUP(Y321/H321,0)*0.00902),"")</f>
        <v>9.0200000000000002E-3</v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3.31</v>
      </c>
      <c r="BN321" s="64">
        <f>IFERROR(Y321*I321/H321,"0")</f>
        <v>3.31</v>
      </c>
      <c r="BO321" s="64">
        <f>IFERROR(1/J321*(X321/H321),"0")</f>
        <v>7.575757575757576E-3</v>
      </c>
      <c r="BP321" s="64">
        <f>IFERROR(1/J321*(Y321/H321),"0")</f>
        <v>7.575757575757576E-3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3.04</v>
      </c>
      <c r="Y322" s="546">
        <f>IFERROR(IF(X322="",0,CEILING((X322/$H322),1)*$H322),"")</f>
        <v>3.04</v>
      </c>
      <c r="Z322" s="36">
        <f>IFERROR(IF(Y322=0,"",ROUNDUP(Y322/H322,0)*0.00902),"")</f>
        <v>9.0200000000000002E-3</v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3.2699999999999996</v>
      </c>
      <c r="BN322" s="64">
        <f>IFERROR(Y322*I322/H322,"0")</f>
        <v>3.2699999999999996</v>
      </c>
      <c r="BO322" s="64">
        <f>IFERROR(1/J322*(X322/H322),"0")</f>
        <v>7.575757575757576E-3</v>
      </c>
      <c r="BP322" s="64">
        <f>IFERROR(1/J322*(Y322/H322),"0")</f>
        <v>7.575757575757576E-3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5.0999999999999996</v>
      </c>
      <c r="Y323" s="546">
        <f>IFERROR(IF(X323="",0,CEILING((X323/$H323),1)*$H323),"")</f>
        <v>5.0999999999999996</v>
      </c>
      <c r="Z323" s="36">
        <f>IFERROR(IF(Y323=0,"",ROUNDUP(Y323/H323,0)*0.00651),"")</f>
        <v>1.302E-2</v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5.91</v>
      </c>
      <c r="BN323" s="64">
        <f>IFERROR(Y323*I323/H323,"0")</f>
        <v>5.91</v>
      </c>
      <c r="BO323" s="64">
        <f>IFERROR(1/J323*(X323/H323),"0")</f>
        <v>1.098901098901099E-2</v>
      </c>
      <c r="BP323" s="64">
        <f>IFERROR(1/J323*(Y323/H323),"0")</f>
        <v>1.098901098901099E-2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5.0999999999999996</v>
      </c>
      <c r="Y324" s="546">
        <f>IFERROR(IF(X324="",0,CEILING((X324/$H324),1)*$H324),"")</f>
        <v>5.0999999999999996</v>
      </c>
      <c r="Z324" s="36">
        <f>IFERROR(IF(Y324=0,"",ROUNDUP(Y324/H324,0)*0.00651),"")</f>
        <v>1.302E-2</v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5.76</v>
      </c>
      <c r="BN324" s="64">
        <f>IFERROR(Y324*I324/H324,"0")</f>
        <v>5.76</v>
      </c>
      <c r="BO324" s="64">
        <f>IFERROR(1/J324*(X324/H324),"0")</f>
        <v>1.098901098901099E-2</v>
      </c>
      <c r="BP324" s="64">
        <f>IFERROR(1/J324*(Y324/H324),"0")</f>
        <v>1.098901098901099E-2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6</v>
      </c>
      <c r="Y325" s="547">
        <f>IFERROR(Y321/H321,"0")+IFERROR(Y322/H322,"0")+IFERROR(Y323/H323,"0")+IFERROR(Y324/H324,"0")</f>
        <v>6</v>
      </c>
      <c r="Z325" s="547">
        <f>IFERROR(IF(Z321="",0,Z321),"0")+IFERROR(IF(Z322="",0,Z322),"0")+IFERROR(IF(Z323="",0,Z323),"0")+IFERROR(IF(Z324="",0,Z324),"0")</f>
        <v>4.4080000000000001E-2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16.28</v>
      </c>
      <c r="Y326" s="547">
        <f>IFERROR(SUM(Y321:Y324),"0")</f>
        <v>16.28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4</v>
      </c>
      <c r="Y328" s="546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4.4800000000000004</v>
      </c>
      <c r="BN328" s="64">
        <f>IFERROR(Y328*I328/H328,"0")</f>
        <v>4.4800000000000004</v>
      </c>
      <c r="BO328" s="64">
        <f>IFERROR(1/J328*(X328/H328),"0")</f>
        <v>8.4033613445378148E-3</v>
      </c>
      <c r="BP328" s="64">
        <f>IFERROR(1/J328*(Y328/H328),"0")</f>
        <v>8.4033613445378148E-3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4</v>
      </c>
      <c r="Y329" s="546">
        <f>IFERROR(IF(X329="",0,CEILING((X329/$H329),1)*$H329),"")</f>
        <v>4</v>
      </c>
      <c r="Z329" s="36">
        <f>IFERROR(IF(Y329=0,"",ROUNDUP(Y329/H329,0)*0.00474),"")</f>
        <v>9.4800000000000006E-3</v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4.4800000000000004</v>
      </c>
      <c r="BN329" s="64">
        <f>IFERROR(Y329*I329/H329,"0")</f>
        <v>4.4800000000000004</v>
      </c>
      <c r="BO329" s="64">
        <f>IFERROR(1/J329*(X329/H329),"0")</f>
        <v>8.4033613445378148E-3</v>
      </c>
      <c r="BP329" s="64">
        <f>IFERROR(1/J329*(Y329/H329),"0")</f>
        <v>8.4033613445378148E-3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4</v>
      </c>
      <c r="Y330" s="546">
        <f>IFERROR(IF(X330="",0,CEILING((X330/$H330),1)*$H330),"")</f>
        <v>4</v>
      </c>
      <c r="Z330" s="36">
        <f>IFERROR(IF(Y330=0,"",ROUNDUP(Y330/H330,0)*0.00474),"")</f>
        <v>9.4800000000000006E-3</v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4.4800000000000004</v>
      </c>
      <c r="BN330" s="64">
        <f>IFERROR(Y330*I330/H330,"0")</f>
        <v>4.4800000000000004</v>
      </c>
      <c r="BO330" s="64">
        <f>IFERROR(1/J330*(X330/H330),"0")</f>
        <v>8.4033613445378148E-3</v>
      </c>
      <c r="BP330" s="64">
        <f>IFERROR(1/J330*(Y330/H330),"0")</f>
        <v>8.4033613445378148E-3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6</v>
      </c>
      <c r="Y331" s="547">
        <f>IFERROR(Y328/H328,"0")+IFERROR(Y329/H329,"0")+IFERROR(Y330/H330,"0")</f>
        <v>6</v>
      </c>
      <c r="Z331" s="547">
        <f>IFERROR(IF(Z328="",0,Z328),"0")+IFERROR(IF(Z329="",0,Z329),"0")+IFERROR(IF(Z330="",0,Z330),"0")</f>
        <v>2.844E-2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12</v>
      </c>
      <c r="Y332" s="547">
        <f>IFERROR(SUM(Y328:Y330),"0")</f>
        <v>12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64.8</v>
      </c>
      <c r="Y335" s="546">
        <f>IFERROR(IF(X335="",0,CEILING((X335/$H335),1)*$H335),"")</f>
        <v>64.8</v>
      </c>
      <c r="Z335" s="36">
        <f>IFERROR(IF(Y335=0,"",ROUNDUP(Y335/H335,0)*0.01898),"")</f>
        <v>0.15184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68.751999999999995</v>
      </c>
      <c r="BN335" s="64">
        <f>IFERROR(Y335*I335/H335,"0")</f>
        <v>68.751999999999995</v>
      </c>
      <c r="BO335" s="64">
        <f>IFERROR(1/J335*(X335/H335),"0")</f>
        <v>0.125</v>
      </c>
      <c r="BP335" s="64">
        <f>IFERROR(1/J335*(Y335/H335),"0")</f>
        <v>0.125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10.5</v>
      </c>
      <c r="Y336" s="546">
        <f>IFERROR(IF(X336="",0,CEILING((X336/$H336),1)*$H336),"")</f>
        <v>10.5</v>
      </c>
      <c r="Z336" s="36">
        <f>IFERROR(IF(Y336=0,"",ROUNDUP(Y336/H336,0)*0.00651),"")</f>
        <v>3.2550000000000003E-2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11.759999999999998</v>
      </c>
      <c r="BN336" s="64">
        <f>IFERROR(Y336*I336/H336,"0")</f>
        <v>11.759999999999998</v>
      </c>
      <c r="BO336" s="64">
        <f>IFERROR(1/J336*(X336/H336),"0")</f>
        <v>2.7472527472527476E-2</v>
      </c>
      <c r="BP336" s="64">
        <f>IFERROR(1/J336*(Y336/H336),"0")</f>
        <v>2.7472527472527476E-2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10.5</v>
      </c>
      <c r="Y337" s="546">
        <f>IFERROR(IF(X337="",0,CEILING((X337/$H337),1)*$H337),"")</f>
        <v>10.5</v>
      </c>
      <c r="Z337" s="36">
        <f>IFERROR(IF(Y337=0,"",ROUNDUP(Y337/H337,0)*0.00651),"")</f>
        <v>3.2550000000000003E-2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11.7</v>
      </c>
      <c r="BN337" s="64">
        <f>IFERROR(Y337*I337/H337,"0")</f>
        <v>11.7</v>
      </c>
      <c r="BO337" s="64">
        <f>IFERROR(1/J337*(X337/H337),"0")</f>
        <v>2.7472527472527476E-2</v>
      </c>
      <c r="BP337" s="64">
        <f>IFERROR(1/J337*(Y337/H337),"0")</f>
        <v>2.7472527472527476E-2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18</v>
      </c>
      <c r="Y338" s="547">
        <f>IFERROR(Y335/H335,"0")+IFERROR(Y336/H336,"0")+IFERROR(Y337/H337,"0")</f>
        <v>18</v>
      </c>
      <c r="Z338" s="547">
        <f>IFERROR(IF(Z335="",0,Z335),"0")+IFERROR(IF(Z336="",0,Z336),"0")+IFERROR(IF(Z337="",0,Z337),"0")</f>
        <v>0.21693999999999999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85.8</v>
      </c>
      <c r="Y339" s="547">
        <f>IFERROR(SUM(Y335:Y337),"0")</f>
        <v>85.8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320</v>
      </c>
      <c r="Y343" s="546">
        <f t="shared" ref="Y343:Y349" si="36">IFERROR(IF(X343="",0,CEILING((X343/$H343),1)*$H343),"")</f>
        <v>330</v>
      </c>
      <c r="Z343" s="36">
        <f>IFERROR(IF(Y343=0,"",ROUNDUP(Y343/H343,0)*0.02175),"")</f>
        <v>0.47849999999999998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330.0266666666667</v>
      </c>
      <c r="BN343" s="64">
        <f t="shared" ref="BN343:BN349" si="38">IFERROR(Y343*I343/H343,"0")</f>
        <v>340.34000000000003</v>
      </c>
      <c r="BO343" s="64">
        <f t="shared" ref="BO343:BO349" si="39">IFERROR(1/J343*(X343/H343),"0")</f>
        <v>0.44444444444444442</v>
      </c>
      <c r="BP343" s="64">
        <f t="shared" ref="BP343:BP349" si="40">IFERROR(1/J343*(Y343/H343),"0")</f>
        <v>0.45833333333333331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750</v>
      </c>
      <c r="Y344" s="546">
        <f t="shared" si="36"/>
        <v>750</v>
      </c>
      <c r="Z344" s="36">
        <f>IFERROR(IF(Y344=0,"",ROUNDUP(Y344/H344,0)*0.02175),"")</f>
        <v>1.0874999999999999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773.5</v>
      </c>
      <c r="BN344" s="64">
        <f t="shared" si="38"/>
        <v>773.5</v>
      </c>
      <c r="BO344" s="64">
        <f t="shared" si="39"/>
        <v>1.0416666666666665</v>
      </c>
      <c r="BP344" s="64">
        <f t="shared" si="40"/>
        <v>1.0416666666666665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750</v>
      </c>
      <c r="Y346" s="546">
        <f t="shared" si="36"/>
        <v>750</v>
      </c>
      <c r="Z346" s="36">
        <f>IFERROR(IF(Y346=0,"",ROUNDUP(Y346/H346,0)*0.02175),"")</f>
        <v>1.0874999999999999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773.5</v>
      </c>
      <c r="BN346" s="64">
        <f t="shared" si="38"/>
        <v>773.5</v>
      </c>
      <c r="BO346" s="64">
        <f t="shared" si="39"/>
        <v>1.0416666666666665</v>
      </c>
      <c r="BP346" s="64">
        <f t="shared" si="40"/>
        <v>1.0416666666666665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10</v>
      </c>
      <c r="Y348" s="546">
        <f t="shared" si="36"/>
        <v>10</v>
      </c>
      <c r="Z348" s="36">
        <f>IFERROR(IF(Y348=0,"",ROUNDUP(Y348/H348,0)*0.00902),"")</f>
        <v>1.804E-2</v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10.38</v>
      </c>
      <c r="BN348" s="64">
        <f t="shared" si="38"/>
        <v>10.38</v>
      </c>
      <c r="BO348" s="64">
        <f t="shared" si="39"/>
        <v>1.5151515151515152E-2</v>
      </c>
      <c r="BP348" s="64">
        <f t="shared" si="40"/>
        <v>1.5151515151515152E-2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10</v>
      </c>
      <c r="Y349" s="546">
        <f t="shared" si="36"/>
        <v>10</v>
      </c>
      <c r="Z349" s="36">
        <f>IFERROR(IF(Y349=0,"",ROUNDUP(Y349/H349,0)*0.00902),"")</f>
        <v>1.804E-2</v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10.38</v>
      </c>
      <c r="BN349" s="64">
        <f t="shared" si="38"/>
        <v>10.38</v>
      </c>
      <c r="BO349" s="64">
        <f t="shared" si="39"/>
        <v>1.5151515151515152E-2</v>
      </c>
      <c r="BP349" s="64">
        <f t="shared" si="40"/>
        <v>1.5151515151515152E-2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125.33333333333333</v>
      </c>
      <c r="Y350" s="547">
        <f>IFERROR(Y343/H343,"0")+IFERROR(Y344/H344,"0")+IFERROR(Y345/H345,"0")+IFERROR(Y346/H346,"0")+IFERROR(Y347/H347,"0")+IFERROR(Y348/H348,"0")+IFERROR(Y349/H349,"0")</f>
        <v>126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2.6895799999999999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1840</v>
      </c>
      <c r="Y351" s="547">
        <f>IFERROR(SUM(Y343:Y349),"0")</f>
        <v>1850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750</v>
      </c>
      <c r="Y353" s="546">
        <f>IFERROR(IF(X353="",0,CEILING((X353/$H353),1)*$H353),"")</f>
        <v>750</v>
      </c>
      <c r="Z353" s="36">
        <f>IFERROR(IF(Y353=0,"",ROUNDUP(Y353/H353,0)*0.02175),"")</f>
        <v>1.0874999999999999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773.5</v>
      </c>
      <c r="BN353" s="64">
        <f>IFERROR(Y353*I353/H353,"0")</f>
        <v>773.5</v>
      </c>
      <c r="BO353" s="64">
        <f>IFERROR(1/J353*(X353/H353),"0")</f>
        <v>1.0416666666666665</v>
      </c>
      <c r="BP353" s="64">
        <f>IFERROR(1/J353*(Y353/H353),"0")</f>
        <v>1.0416666666666665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12</v>
      </c>
      <c r="Y354" s="546">
        <f>IFERROR(IF(X354="",0,CEILING((X354/$H354),1)*$H354),"")</f>
        <v>12</v>
      </c>
      <c r="Z354" s="36">
        <f>IFERROR(IF(Y354=0,"",ROUNDUP(Y354/H354,0)*0.00902),"")</f>
        <v>2.7060000000000001E-2</v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12.57</v>
      </c>
      <c r="BN354" s="64">
        <f>IFERROR(Y354*I354/H354,"0")</f>
        <v>12.57</v>
      </c>
      <c r="BO354" s="64">
        <f>IFERROR(1/J354*(X354/H354),"0")</f>
        <v>2.2727272727272728E-2</v>
      </c>
      <c r="BP354" s="64">
        <f>IFERROR(1/J354*(Y354/H354),"0")</f>
        <v>2.2727272727272728E-2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53</v>
      </c>
      <c r="Y355" s="547">
        <f>IFERROR(Y353/H353,"0")+IFERROR(Y354/H354,"0")</f>
        <v>53</v>
      </c>
      <c r="Z355" s="547">
        <f>IFERROR(IF(Z353="",0,Z353),"0")+IFERROR(IF(Z354="",0,Z354),"0")</f>
        <v>1.11456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762</v>
      </c>
      <c r="Y356" s="547">
        <f>IFERROR(SUM(Y353:Y354),"0")</f>
        <v>762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45</v>
      </c>
      <c r="Y358" s="546">
        <f>IFERROR(IF(X358="",0,CEILING((X358/$H358),1)*$H358),"")</f>
        <v>45</v>
      </c>
      <c r="Z358" s="36">
        <f>IFERROR(IF(Y358=0,"",ROUNDUP(Y358/H358,0)*0.01898),"")</f>
        <v>9.4899999999999998E-2</v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47.5</v>
      </c>
      <c r="BN358" s="64">
        <f>IFERROR(Y358*I358/H358,"0")</f>
        <v>47.5</v>
      </c>
      <c r="BO358" s="64">
        <f>IFERROR(1/J358*(X358/H358),"0")</f>
        <v>7.8125E-2</v>
      </c>
      <c r="BP358" s="64">
        <f>IFERROR(1/J358*(Y358/H358),"0")</f>
        <v>7.8125E-2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9</v>
      </c>
      <c r="Y359" s="546">
        <f>IFERROR(IF(X359="",0,CEILING((X359/$H359),1)*$H359),"")</f>
        <v>9</v>
      </c>
      <c r="Z359" s="36">
        <f>IFERROR(IF(Y359=0,"",ROUNDUP(Y359/H359,0)*0.01898),"")</f>
        <v>1.898E-2</v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9.4939999999999998</v>
      </c>
      <c r="BN359" s="64">
        <f>IFERROR(Y359*I359/H359,"0")</f>
        <v>9.4939999999999998</v>
      </c>
      <c r="BO359" s="64">
        <f>IFERROR(1/J359*(X359/H359),"0")</f>
        <v>1.5625E-2</v>
      </c>
      <c r="BP359" s="64">
        <f>IFERROR(1/J359*(Y359/H359),"0")</f>
        <v>1.5625E-2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6</v>
      </c>
      <c r="Y360" s="547">
        <f>IFERROR(Y358/H358,"0")+IFERROR(Y359/H359,"0")</f>
        <v>6</v>
      </c>
      <c r="Z360" s="547">
        <f>IFERROR(IF(Z358="",0,Z358),"0")+IFERROR(IF(Z359="",0,Z359),"0")</f>
        <v>0.11388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54</v>
      </c>
      <c r="Y361" s="547">
        <f>IFERROR(SUM(Y358:Y359),"0")</f>
        <v>54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18</v>
      </c>
      <c r="Y378" s="546">
        <f>IFERROR(IF(X378="",0,CEILING((X378/$H378),1)*$H378),"")</f>
        <v>18</v>
      </c>
      <c r="Z378" s="36">
        <f>IFERROR(IF(Y378=0,"",ROUNDUP(Y378/H378,0)*0.01898),"")</f>
        <v>3.7960000000000001E-2</v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18.988</v>
      </c>
      <c r="BN378" s="64">
        <f>IFERROR(Y378*I378/H378,"0")</f>
        <v>18.988</v>
      </c>
      <c r="BO378" s="64">
        <f>IFERROR(1/J378*(X378/H378),"0")</f>
        <v>3.125E-2</v>
      </c>
      <c r="BP378" s="64">
        <f>IFERROR(1/J378*(Y378/H378),"0")</f>
        <v>3.125E-2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2</v>
      </c>
      <c r="Y381" s="547">
        <f>IFERROR(Y378/H378,"0")+IFERROR(Y379/H379,"0")+IFERROR(Y380/H380,"0")</f>
        <v>2</v>
      </c>
      <c r="Z381" s="547">
        <f>IFERROR(IF(Z378="",0,Z378),"0")+IFERROR(IF(Z379="",0,Z379),"0")+IFERROR(IF(Z380="",0,Z380),"0")</f>
        <v>3.7960000000000001E-2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18</v>
      </c>
      <c r="Y382" s="547">
        <f>IFERROR(SUM(Y378:Y380),"0")</f>
        <v>18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27</v>
      </c>
      <c r="Y386" s="546">
        <f t="shared" ref="Y386:Y394" si="41">IFERROR(IF(X386="",0,CEILING((X386/$H386),1)*$H386),"")</f>
        <v>27</v>
      </c>
      <c r="Z386" s="36">
        <f>IFERROR(IF(Y386=0,"",ROUNDUP(Y386/H386,0)*0.00902),"")</f>
        <v>4.5100000000000001E-2</v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27.95</v>
      </c>
      <c r="BN386" s="64">
        <f t="shared" ref="BN386:BN394" si="43">IFERROR(Y386*I386/H386,"0")</f>
        <v>27.95</v>
      </c>
      <c r="BO386" s="64">
        <f t="shared" ref="BO386:BO394" si="44">IFERROR(1/J386*(X386/H386),"0")</f>
        <v>3.787878787878788E-2</v>
      </c>
      <c r="BP386" s="64">
        <f t="shared" ref="BP386:BP394" si="45">IFERROR(1/J386*(Y386/H386),"0")</f>
        <v>3.787878787878788E-2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27</v>
      </c>
      <c r="Y388" s="546">
        <f t="shared" si="41"/>
        <v>27</v>
      </c>
      <c r="Z388" s="36">
        <f>IFERROR(IF(Y388=0,"",ROUNDUP(Y388/H388,0)*0.00902),"")</f>
        <v>4.5100000000000001E-2</v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27.95</v>
      </c>
      <c r="BN388" s="64">
        <f t="shared" si="43"/>
        <v>27.95</v>
      </c>
      <c r="BO388" s="64">
        <f t="shared" si="44"/>
        <v>3.787878787878788E-2</v>
      </c>
      <c r="BP388" s="64">
        <f t="shared" si="45"/>
        <v>3.787878787878788E-2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10.5</v>
      </c>
      <c r="Y390" s="546">
        <f t="shared" si="41"/>
        <v>10.5</v>
      </c>
      <c r="Z390" s="36">
        <f t="shared" si="46"/>
        <v>2.5100000000000001E-2</v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11.149999999999999</v>
      </c>
      <c r="BN390" s="64">
        <f t="shared" si="43"/>
        <v>11.149999999999999</v>
      </c>
      <c r="BO390" s="64">
        <f t="shared" si="44"/>
        <v>2.1367521367521368E-2</v>
      </c>
      <c r="BP390" s="64">
        <f t="shared" si="45"/>
        <v>2.1367521367521368E-2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10.5</v>
      </c>
      <c r="Y391" s="546">
        <f t="shared" si="41"/>
        <v>10.5</v>
      </c>
      <c r="Z391" s="36">
        <f t="shared" si="46"/>
        <v>2.5100000000000001E-2</v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11.149999999999999</v>
      </c>
      <c r="BN391" s="64">
        <f t="shared" si="43"/>
        <v>11.149999999999999</v>
      </c>
      <c r="BO391" s="64">
        <f t="shared" si="44"/>
        <v>2.1367521367521368E-2</v>
      </c>
      <c r="BP391" s="64">
        <f t="shared" si="45"/>
        <v>2.1367521367521368E-2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10.5</v>
      </c>
      <c r="Y393" s="546">
        <f t="shared" si="41"/>
        <v>10.5</v>
      </c>
      <c r="Z393" s="36">
        <f t="shared" si="46"/>
        <v>2.5100000000000001E-2</v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11.149999999999999</v>
      </c>
      <c r="BN393" s="64">
        <f t="shared" si="43"/>
        <v>11.149999999999999</v>
      </c>
      <c r="BO393" s="64">
        <f t="shared" si="44"/>
        <v>2.1367521367521368E-2</v>
      </c>
      <c r="BP393" s="64">
        <f t="shared" si="45"/>
        <v>2.1367521367521368E-2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10.5</v>
      </c>
      <c r="Y394" s="546">
        <f t="shared" si="41"/>
        <v>10.5</v>
      </c>
      <c r="Z394" s="36">
        <f t="shared" si="46"/>
        <v>2.5100000000000001E-2</v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11.149999999999999</v>
      </c>
      <c r="BN394" s="64">
        <f t="shared" si="43"/>
        <v>11.149999999999999</v>
      </c>
      <c r="BO394" s="64">
        <f t="shared" si="44"/>
        <v>2.1367521367521368E-2</v>
      </c>
      <c r="BP394" s="64">
        <f t="shared" si="45"/>
        <v>2.1367521367521368E-2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30</v>
      </c>
      <c r="Y395" s="547">
        <f>IFERROR(Y386/H386,"0")+IFERROR(Y387/H387,"0")+IFERROR(Y388/H388,"0")+IFERROR(Y389/H389,"0")+IFERROR(Y390/H390,"0")+IFERROR(Y391/H391,"0")+IFERROR(Y392/H392,"0")+IFERROR(Y393/H393,"0")+IFERROR(Y394/H394,"0")</f>
        <v>30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0.19060000000000002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96</v>
      </c>
      <c r="Y396" s="547">
        <f>IFERROR(SUM(Y386:Y394),"0")</f>
        <v>96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4.8</v>
      </c>
      <c r="Y398" s="546">
        <f>IFERROR(IF(X398="",0,CEILING((X398/$H398),1)*$H398),"")</f>
        <v>4.8</v>
      </c>
      <c r="Z398" s="36">
        <f>IFERROR(IF(Y398=0,"",ROUNDUP(Y398/H398,0)*0.00902),"")</f>
        <v>1.804E-2</v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5.2519999999999998</v>
      </c>
      <c r="BN398" s="64">
        <f>IFERROR(Y398*I398/H398,"0")</f>
        <v>5.2519999999999998</v>
      </c>
      <c r="BO398" s="64">
        <f>IFERROR(1/J398*(X398/H398),"0")</f>
        <v>1.5151515151515152E-2</v>
      </c>
      <c r="BP398" s="64">
        <f>IFERROR(1/J398*(Y398/H398),"0")</f>
        <v>1.5151515151515152E-2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2</v>
      </c>
      <c r="Y400" s="547">
        <f>IFERROR(Y398/H398,"0")+IFERROR(Y399/H399,"0")</f>
        <v>2</v>
      </c>
      <c r="Z400" s="547">
        <f>IFERROR(IF(Z398="",0,Z398),"0")+IFERROR(IF(Z399="",0,Z399),"0")</f>
        <v>1.804E-2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4.8</v>
      </c>
      <c r="Y401" s="547">
        <f>IFERROR(SUM(Y398:Y399),"0")</f>
        <v>4.8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54</v>
      </c>
      <c r="Y408" s="546">
        <f>IFERROR(IF(X408="",0,CEILING((X408/$H408),1)*$H408),"")</f>
        <v>54</v>
      </c>
      <c r="Z408" s="36">
        <f>IFERROR(IF(Y408=0,"",ROUNDUP(Y408/H408,0)*0.00902),"")</f>
        <v>9.0200000000000002E-2</v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55.9</v>
      </c>
      <c r="BN408" s="64">
        <f>IFERROR(Y408*I408/H408,"0")</f>
        <v>55.9</v>
      </c>
      <c r="BO408" s="64">
        <f>IFERROR(1/J408*(X408/H408),"0")</f>
        <v>7.575757575757576E-2</v>
      </c>
      <c r="BP408" s="64">
        <f>IFERROR(1/J408*(Y408/H408),"0")</f>
        <v>7.575757575757576E-2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10.5</v>
      </c>
      <c r="Y409" s="546">
        <f>IFERROR(IF(X409="",0,CEILING((X409/$H409),1)*$H409),"")</f>
        <v>10.5</v>
      </c>
      <c r="Z409" s="36">
        <f>IFERROR(IF(Y409=0,"",ROUNDUP(Y409/H409,0)*0.00502),"")</f>
        <v>2.5100000000000001E-2</v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11.149999999999999</v>
      </c>
      <c r="BN409" s="64">
        <f>IFERROR(Y409*I409/H409,"0")</f>
        <v>11.149999999999999</v>
      </c>
      <c r="BO409" s="64">
        <f>IFERROR(1/J409*(X409/H409),"0")</f>
        <v>2.1367521367521368E-2</v>
      </c>
      <c r="BP409" s="64">
        <f>IFERROR(1/J409*(Y409/H409),"0")</f>
        <v>2.1367521367521368E-2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15</v>
      </c>
      <c r="Y412" s="547">
        <f>IFERROR(Y408/H408,"0")+IFERROR(Y409/H409,"0")+IFERROR(Y410/H410,"0")+IFERROR(Y411/H411,"0")</f>
        <v>15</v>
      </c>
      <c r="Z412" s="547">
        <f>IFERROR(IF(Z408="",0,Z408),"0")+IFERROR(IF(Z409="",0,Z409),"0")+IFERROR(IF(Z410="",0,Z410),"0")+IFERROR(IF(Z411="",0,Z411),"0")</f>
        <v>0.1153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64.5</v>
      </c>
      <c r="Y413" s="547">
        <f>IFERROR(SUM(Y408:Y411),"0")</f>
        <v>64.5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10.56</v>
      </c>
      <c r="Y424" s="546">
        <f t="shared" si="47"/>
        <v>10.56</v>
      </c>
      <c r="Z424" s="36">
        <f t="shared" si="48"/>
        <v>2.392E-2</v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11.26</v>
      </c>
      <c r="BN424" s="64">
        <f t="shared" si="50"/>
        <v>11.26</v>
      </c>
      <c r="BO424" s="64">
        <f t="shared" si="51"/>
        <v>1.9230769230769232E-2</v>
      </c>
      <c r="BP424" s="64">
        <f t="shared" si="52"/>
        <v>1.9230769230769232E-2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10.56</v>
      </c>
      <c r="Y426" s="546">
        <f t="shared" si="47"/>
        <v>10.56</v>
      </c>
      <c r="Z426" s="36">
        <f t="shared" si="48"/>
        <v>2.392E-2</v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11.26</v>
      </c>
      <c r="BN426" s="64">
        <f t="shared" si="50"/>
        <v>11.26</v>
      </c>
      <c r="BO426" s="64">
        <f t="shared" si="51"/>
        <v>1.9230769230769232E-2</v>
      </c>
      <c r="BP426" s="64">
        <f t="shared" si="52"/>
        <v>1.9230769230769232E-2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10.56</v>
      </c>
      <c r="Y428" s="546">
        <f t="shared" si="47"/>
        <v>10.56</v>
      </c>
      <c r="Z428" s="36">
        <f t="shared" si="48"/>
        <v>2.392E-2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11.26</v>
      </c>
      <c r="BN428" s="64">
        <f t="shared" si="50"/>
        <v>11.26</v>
      </c>
      <c r="BO428" s="64">
        <f t="shared" si="51"/>
        <v>1.9230769230769232E-2</v>
      </c>
      <c r="BP428" s="64">
        <f t="shared" si="52"/>
        <v>1.9230769230769232E-2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4.8</v>
      </c>
      <c r="Y430" s="546">
        <f t="shared" si="47"/>
        <v>4.8</v>
      </c>
      <c r="Z430" s="36">
        <f>IFERROR(IF(Y430=0,"",ROUNDUP(Y430/H430,0)*0.00902),"")</f>
        <v>9.0200000000000002E-3</v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6.91</v>
      </c>
      <c r="BN430" s="64">
        <f t="shared" si="50"/>
        <v>6.91</v>
      </c>
      <c r="BO430" s="64">
        <f t="shared" si="51"/>
        <v>7.575757575757576E-3</v>
      </c>
      <c r="BP430" s="64">
        <f t="shared" si="52"/>
        <v>7.575757575757576E-3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4.8</v>
      </c>
      <c r="Y433" s="546">
        <f t="shared" si="47"/>
        <v>4.8</v>
      </c>
      <c r="Z433" s="36">
        <f>IFERROR(IF(Y433=0,"",ROUNDUP(Y433/H433,0)*0.00902),"")</f>
        <v>9.0200000000000002E-3</v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6.91</v>
      </c>
      <c r="BN433" s="64">
        <f t="shared" si="50"/>
        <v>6.91</v>
      </c>
      <c r="BO433" s="64">
        <f t="shared" si="51"/>
        <v>7.575757575757576E-3</v>
      </c>
      <c r="BP433" s="64">
        <f t="shared" si="52"/>
        <v>7.575757575757576E-3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8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8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8.9800000000000005E-2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41.279999999999994</v>
      </c>
      <c r="Y435" s="547">
        <f>IFERROR(SUM(Y422:Y433),"0")</f>
        <v>41.279999999999994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15.84</v>
      </c>
      <c r="Y437" s="546">
        <f>IFERROR(IF(X437="",0,CEILING((X437/$H437),1)*$H437),"")</f>
        <v>15.84</v>
      </c>
      <c r="Z437" s="36">
        <f>IFERROR(IF(Y437=0,"",ROUNDUP(Y437/H437,0)*0.01196),"")</f>
        <v>3.5880000000000002E-2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16.889999999999997</v>
      </c>
      <c r="BN437" s="64">
        <f>IFERROR(Y437*I437/H437,"0")</f>
        <v>16.889999999999997</v>
      </c>
      <c r="BO437" s="64">
        <f>IFERROR(1/J437*(X437/H437),"0")</f>
        <v>2.8846153846153848E-2</v>
      </c>
      <c r="BP437" s="64">
        <f>IFERROR(1/J437*(Y437/H437),"0")</f>
        <v>2.8846153846153848E-2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4.8</v>
      </c>
      <c r="Y439" s="546">
        <f>IFERROR(IF(X439="",0,CEILING((X439/$H439),1)*$H439),"")</f>
        <v>4.8</v>
      </c>
      <c r="Z439" s="36">
        <f>IFERROR(IF(Y439=0,"",ROUNDUP(Y439/H439,0)*0.00902),"")</f>
        <v>9.0200000000000002E-3</v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6.91</v>
      </c>
      <c r="BN439" s="64">
        <f>IFERROR(Y439*I439/H439,"0")</f>
        <v>6.91</v>
      </c>
      <c r="BO439" s="64">
        <f>IFERROR(1/J439*(X439/H439),"0")</f>
        <v>7.575757575757576E-3</v>
      </c>
      <c r="BP439" s="64">
        <f>IFERROR(1/J439*(Y439/H439),"0")</f>
        <v>7.575757575757576E-3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4</v>
      </c>
      <c r="Y440" s="547">
        <f>IFERROR(Y437/H437,"0")+IFERROR(Y438/H438,"0")+IFERROR(Y439/H439,"0")</f>
        <v>4</v>
      </c>
      <c r="Z440" s="547">
        <f>IFERROR(IF(Z437="",0,Z437),"0")+IFERROR(IF(Z438="",0,Z438),"0")+IFERROR(IF(Z439="",0,Z439),"0")</f>
        <v>4.4900000000000002E-2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20.64</v>
      </c>
      <c r="Y441" s="547">
        <f>IFERROR(SUM(Y437:Y439),"0")</f>
        <v>20.64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10.56</v>
      </c>
      <c r="Y443" s="546">
        <f t="shared" ref="Y443:Y448" si="53">IFERROR(IF(X443="",0,CEILING((X443/$H443),1)*$H443),"")</f>
        <v>10.56</v>
      </c>
      <c r="Z443" s="36">
        <f>IFERROR(IF(Y443=0,"",ROUNDUP(Y443/H443,0)*0.01196),"")</f>
        <v>2.392E-2</v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11.26</v>
      </c>
      <c r="BN443" s="64">
        <f t="shared" ref="BN443:BN448" si="55">IFERROR(Y443*I443/H443,"0")</f>
        <v>11.26</v>
      </c>
      <c r="BO443" s="64">
        <f t="shared" ref="BO443:BO448" si="56">IFERROR(1/J443*(X443/H443),"0")</f>
        <v>1.9230769230769232E-2</v>
      </c>
      <c r="BP443" s="64">
        <f t="shared" ref="BP443:BP448" si="57">IFERROR(1/J443*(Y443/H443),"0")</f>
        <v>1.9230769230769232E-2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10.56</v>
      </c>
      <c r="Y444" s="546">
        <f t="shared" si="53"/>
        <v>10.56</v>
      </c>
      <c r="Z444" s="36">
        <f>IFERROR(IF(Y444=0,"",ROUNDUP(Y444/H444,0)*0.01196),"")</f>
        <v>2.392E-2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11.26</v>
      </c>
      <c r="BN444" s="64">
        <f t="shared" si="55"/>
        <v>11.26</v>
      </c>
      <c r="BO444" s="64">
        <f t="shared" si="56"/>
        <v>1.9230769230769232E-2</v>
      </c>
      <c r="BP444" s="64">
        <f t="shared" si="57"/>
        <v>1.9230769230769232E-2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10.56</v>
      </c>
      <c r="Y445" s="546">
        <f t="shared" si="53"/>
        <v>10.56</v>
      </c>
      <c r="Z445" s="36">
        <f>IFERROR(IF(Y445=0,"",ROUNDUP(Y445/H445,0)*0.01196),"")</f>
        <v>2.392E-2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11.26</v>
      </c>
      <c r="BN445" s="64">
        <f t="shared" si="55"/>
        <v>11.26</v>
      </c>
      <c r="BO445" s="64">
        <f t="shared" si="56"/>
        <v>1.9230769230769232E-2</v>
      </c>
      <c r="BP445" s="64">
        <f t="shared" si="57"/>
        <v>1.9230769230769232E-2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6</v>
      </c>
      <c r="Y449" s="547">
        <f>IFERROR(Y443/H443,"0")+IFERROR(Y444/H444,"0")+IFERROR(Y445/H445,"0")+IFERROR(Y446/H446,"0")+IFERROR(Y447/H447,"0")+IFERROR(Y448/H448,"0")</f>
        <v>6</v>
      </c>
      <c r="Z449" s="547">
        <f>IFERROR(IF(Z443="",0,Z443),"0")+IFERROR(IF(Z444="",0,Z444),"0")+IFERROR(IF(Z445="",0,Z445),"0")+IFERROR(IF(Z446="",0,Z446),"0")+IFERROR(IF(Z447="",0,Z447),"0")+IFERROR(IF(Z448="",0,Z448),"0")</f>
        <v>7.1760000000000004E-2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31.68</v>
      </c>
      <c r="Y450" s="547">
        <f>IFERROR(SUM(Y443:Y448),"0")</f>
        <v>31.68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hidden="1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45</v>
      </c>
      <c r="Y478" s="546">
        <f>IFERROR(IF(X478="",0,CEILING((X478/$H478),1)*$H478),"")</f>
        <v>45</v>
      </c>
      <c r="Z478" s="36">
        <f>IFERROR(IF(Y478=0,"",ROUNDUP(Y478/H478,0)*0.01898),"")</f>
        <v>9.4899999999999998E-2</v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47.47</v>
      </c>
      <c r="BN478" s="64">
        <f>IFERROR(Y478*I478/H478,"0")</f>
        <v>47.47</v>
      </c>
      <c r="BO478" s="64">
        <f>IFERROR(1/J478*(X478/H478),"0")</f>
        <v>7.8125E-2</v>
      </c>
      <c r="BP478" s="64">
        <f>IFERROR(1/J478*(Y478/H478),"0")</f>
        <v>7.8125E-2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5</v>
      </c>
      <c r="Y479" s="547">
        <f>IFERROR(Y478/H478,"0")</f>
        <v>5</v>
      </c>
      <c r="Z479" s="547">
        <f>IFERROR(IF(Z478="",0,Z478),"0")</f>
        <v>9.4899999999999998E-2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45</v>
      </c>
      <c r="Y480" s="547">
        <f>IFERROR(SUM(Y478:Y478),"0")</f>
        <v>45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7158.6600000000008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7176.1200000000008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7482.6923103852014</v>
      </c>
      <c r="Y492" s="547">
        <f>IFERROR(SUM(BN22:BN488),"0")</f>
        <v>7500.8730000000005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12</v>
      </c>
      <c r="Y493" s="38">
        <f>ROUNDUP(SUM(BP22:BP488),0)</f>
        <v>12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7782.6923103852014</v>
      </c>
      <c r="Y494" s="547">
        <f>GrossWeightTotalR+PalletQtyTotalR*25</f>
        <v>7800.8730000000005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928.45638683994855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930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13.431759999999997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5.04</v>
      </c>
      <c r="C501" s="46">
        <f>IFERROR(Y41*1,"0")+IFERROR(Y42*1,"0")+IFERROR(Y43*1,"0")+IFERROR(Y47*1,"0")</f>
        <v>202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491.22</v>
      </c>
      <c r="E501" s="46">
        <f>IFERROR(Y86*1,"0")+IFERROR(Y87*1,"0")+IFERROR(Y88*1,"0")+IFERROR(Y92*1,"0")+IFERROR(Y93*1,"0")+IFERROR(Y94*1,"0")+IFERROR(Y95*1,"0")</f>
        <v>113.75999999999999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190.5</v>
      </c>
      <c r="G501" s="46">
        <f>IFERROR(Y125*1,"0")+IFERROR(Y126*1,"0")+IFERROR(Y130*1,"0")+IFERROR(Y131*1,"0")+IFERROR(Y135*1,"0")+IFERROR(Y136*1,"0")</f>
        <v>5.6</v>
      </c>
      <c r="H501" s="46">
        <f>IFERROR(Y141*1,"0")+IFERROR(Y142*1,"0")+IFERROR(Y146*1,"0")+IFERROR(Y147*1,"0")+IFERROR(Y148*1,"0")+IFERROR(Y152*1,"0")</f>
        <v>163.80000000000001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179.33999999999995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235.80000000000004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6.66</v>
      </c>
      <c r="L501" s="46">
        <f>IFERROR(Y255*1,"0")+IFERROR(Y256*1,"0")+IFERROR(Y257*1,"0")+IFERROR(Y258*1,"0")+IFERROR(Y259*1,"0")</f>
        <v>377.6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24</v>
      </c>
      <c r="P501" s="46">
        <f>IFERROR(Y279*1,"0")+IFERROR(Y280*1,"0")+IFERROR(Y284*1,"0")+IFERROR(Y285*1,"0")</f>
        <v>11.76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2095.34</v>
      </c>
      <c r="R501" s="46">
        <f>IFERROR(Y335*1,"0")+IFERROR(Y336*1,"0")+IFERROR(Y337*1,"0")</f>
        <v>85.8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2666</v>
      </c>
      <c r="T501" s="46">
        <f>IFERROR(Y368*1,"0")+IFERROR(Y369*1,"0")+IFERROR(Y373*1,"0")+IFERROR(Y374*1,"0")+IFERROR(Y378*1,"0")+IFERROR(Y379*1,"0")+IFERROR(Y380*1,"0")</f>
        <v>18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100.8</v>
      </c>
      <c r="V501" s="46">
        <f>IFERROR(Y404*1,"0")+IFERROR(Y408*1,"0")+IFERROR(Y409*1,"0")+IFERROR(Y410*1,"0")+IFERROR(Y411*1,"0")</f>
        <v>64.5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93.6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45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0"/>
        <filter val="1 048,00"/>
        <filter val="1 133,50"/>
        <filter val="1 840,00"/>
        <filter val="1,00"/>
        <filter val="1,26"/>
        <filter val="1,80"/>
        <filter val="1,98"/>
        <filter val="10,00"/>
        <filter val="10,50"/>
        <filter val="10,56"/>
        <filter val="106,20"/>
        <filter val="108,00"/>
        <filter val="11,00"/>
        <filter val="11,76"/>
        <filter val="12"/>
        <filter val="12,00"/>
        <filter val="12,60"/>
        <filter val="125,33"/>
        <filter val="126,00"/>
        <filter val="13,00"/>
        <filter val="13,50"/>
        <filter val="14,40"/>
        <filter val="14,70"/>
        <filter val="146,36"/>
        <filter val="15,00"/>
        <filter val="15,60"/>
        <filter val="15,84"/>
        <filter val="16,28"/>
        <filter val="16,80"/>
        <filter val="162,00"/>
        <filter val="164,40"/>
        <filter val="167,40"/>
        <filter val="17,40"/>
        <filter val="18,00"/>
        <filter val="19,32"/>
        <filter val="2,00"/>
        <filter val="2,40"/>
        <filter val="2,52"/>
        <filter val="20,00"/>
        <filter val="20,64"/>
        <filter val="202,00"/>
        <filter val="208,80"/>
        <filter val="21,00"/>
        <filter val="21,60"/>
        <filter val="226,00"/>
        <filter val="23,00"/>
        <filter val="234,30"/>
        <filter val="24,00"/>
        <filter val="25,00"/>
        <filter val="25,20"/>
        <filter val="266,50"/>
        <filter val="27,00"/>
        <filter val="28,00"/>
        <filter val="3,00"/>
        <filter val="3,04"/>
        <filter val="3,78"/>
        <filter val="3,96"/>
        <filter val="30,00"/>
        <filter val="30,60"/>
        <filter val="31,68"/>
        <filter val="320,00"/>
        <filter val="344,00"/>
        <filter val="35,93"/>
        <filter val="377,60"/>
        <filter val="39,00"/>
        <filter val="4,00"/>
        <filter val="4,80"/>
        <filter val="4,86"/>
        <filter val="40,00"/>
        <filter val="40,50"/>
        <filter val="41,28"/>
        <filter val="42,00"/>
        <filter val="43,20"/>
        <filter val="45,00"/>
        <filter val="5,00"/>
        <filter val="5,04"/>
        <filter val="5,10"/>
        <filter val="5,40"/>
        <filter val="5,60"/>
        <filter val="52,00"/>
        <filter val="52,80"/>
        <filter val="53,00"/>
        <filter val="54,00"/>
        <filter val="55,00"/>
        <filter val="586,40"/>
        <filter val="6,00"/>
        <filter val="61,85"/>
        <filter val="63,99"/>
        <filter val="64,00"/>
        <filter val="64,50"/>
        <filter val="64,80"/>
        <filter val="67,50"/>
        <filter val="68,76"/>
        <filter val="7 158,66"/>
        <filter val="7 482,69"/>
        <filter val="7 782,69"/>
        <filter val="7,00"/>
        <filter val="7,20"/>
        <filter val="70,20"/>
        <filter val="75,60"/>
        <filter val="750,00"/>
        <filter val="762,00"/>
        <filter val="79,80"/>
        <filter val="8,00"/>
        <filter val="84,00"/>
        <filter val="85,80"/>
        <filter val="86,40"/>
        <filter val="9,00"/>
        <filter val="9,60"/>
        <filter val="9,90"/>
        <filter val="928,46"/>
        <filter val="96,0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2025-12-04T11:17:40Z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