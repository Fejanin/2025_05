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4F8823-167B-46E9-8530-046E045725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Y484" i="1" s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Y443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Z270" i="1" s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BP259" i="1" s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BP145" i="1" s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N94" i="1"/>
  <c r="BM94" i="1"/>
  <c r="Z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BP23" i="1" s="1"/>
  <c r="P23" i="1"/>
  <c r="BO22" i="1"/>
  <c r="X493" i="1" s="1"/>
  <c r="BM22" i="1"/>
  <c r="Y22" i="1"/>
  <c r="B501" i="1" s="1"/>
  <c r="P22" i="1"/>
  <c r="H10" i="1"/>
  <c r="A9" i="1"/>
  <c r="F10" i="1" s="1"/>
  <c r="D7" i="1"/>
  <c r="Q6" i="1"/>
  <c r="P2" i="1"/>
  <c r="X492" i="1" l="1"/>
  <c r="X494" i="1" s="1"/>
  <c r="Z23" i="1"/>
  <c r="BN23" i="1"/>
  <c r="X491" i="1"/>
  <c r="Z76" i="1"/>
  <c r="BN76" i="1"/>
  <c r="Z119" i="1"/>
  <c r="BN119" i="1"/>
  <c r="Z149" i="1"/>
  <c r="BN149" i="1"/>
  <c r="Z166" i="1"/>
  <c r="BN166" i="1"/>
  <c r="Z192" i="1"/>
  <c r="BN192" i="1"/>
  <c r="Z207" i="1"/>
  <c r="BN207" i="1"/>
  <c r="Z219" i="1"/>
  <c r="BN219" i="1"/>
  <c r="Z236" i="1"/>
  <c r="BN236" i="1"/>
  <c r="Z254" i="1"/>
  <c r="BN254" i="1"/>
  <c r="Z268" i="1"/>
  <c r="BN268" i="1"/>
  <c r="Z288" i="1"/>
  <c r="BN288" i="1"/>
  <c r="Z305" i="1"/>
  <c r="BN305" i="1"/>
  <c r="Z319" i="1"/>
  <c r="BN319" i="1"/>
  <c r="Z333" i="1"/>
  <c r="BN333" i="1"/>
  <c r="Z350" i="1"/>
  <c r="BN350" i="1"/>
  <c r="Z377" i="1"/>
  <c r="BN377" i="1"/>
  <c r="Z393" i="1"/>
  <c r="BN393" i="1"/>
  <c r="Z412" i="1"/>
  <c r="BN412" i="1"/>
  <c r="Z432" i="1"/>
  <c r="BN432" i="1"/>
  <c r="Z442" i="1"/>
  <c r="BN442" i="1"/>
  <c r="Z450" i="1"/>
  <c r="BN450" i="1"/>
  <c r="Z474" i="1"/>
  <c r="BN474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Z68" i="1"/>
  <c r="BN68" i="1"/>
  <c r="Z27" i="1"/>
  <c r="BN27" i="1"/>
  <c r="BP27" i="1"/>
  <c r="Z31" i="1"/>
  <c r="BN31" i="1"/>
  <c r="Z43" i="1"/>
  <c r="BN43" i="1"/>
  <c r="BN54" i="1"/>
  <c r="Z62" i="1"/>
  <c r="BN62" i="1"/>
  <c r="Z74" i="1"/>
  <c r="BN74" i="1"/>
  <c r="Z80" i="1"/>
  <c r="BN80" i="1"/>
  <c r="Z88" i="1"/>
  <c r="BN88" i="1"/>
  <c r="Z96" i="1"/>
  <c r="BN96" i="1"/>
  <c r="Z117" i="1"/>
  <c r="BN117" i="1"/>
  <c r="Z123" i="1"/>
  <c r="Z124" i="1" s="1"/>
  <c r="BN123" i="1"/>
  <c r="BP123" i="1"/>
  <c r="Y124" i="1"/>
  <c r="Z128" i="1"/>
  <c r="BN128" i="1"/>
  <c r="Z145" i="1"/>
  <c r="BN145" i="1"/>
  <c r="Y153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Z168" i="1"/>
  <c r="BN168" i="1"/>
  <c r="Z172" i="1"/>
  <c r="BN172" i="1"/>
  <c r="Z173" i="1"/>
  <c r="BN173" i="1"/>
  <c r="Z181" i="1"/>
  <c r="BN181" i="1"/>
  <c r="Z196" i="1"/>
  <c r="BN196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Z238" i="1"/>
  <c r="BN238" i="1"/>
  <c r="Z252" i="1"/>
  <c r="BN252" i="1"/>
  <c r="Z259" i="1"/>
  <c r="BN259" i="1"/>
  <c r="Z263" i="1"/>
  <c r="BN263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290" i="1"/>
  <c r="Y358" i="1"/>
  <c r="Z482" i="1"/>
  <c r="BN482" i="1"/>
  <c r="BP482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H9" i="1"/>
  <c r="A10" i="1"/>
  <c r="Y24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15" i="1" l="1"/>
  <c r="Z279" i="1"/>
  <c r="Z255" i="1"/>
  <c r="Z226" i="1"/>
  <c r="Z183" i="1"/>
  <c r="Z152" i="1"/>
  <c r="Z120" i="1"/>
  <c r="Z452" i="1"/>
  <c r="Z398" i="1"/>
  <c r="Z353" i="1"/>
  <c r="Z264" i="1"/>
  <c r="Z239" i="1"/>
  <c r="Z32" i="1"/>
  <c r="Z328" i="1"/>
  <c r="Z106" i="1"/>
  <c r="Z198" i="1"/>
  <c r="Z437" i="1"/>
  <c r="Z209" i="1"/>
  <c r="Z272" i="1"/>
  <c r="Z58" i="1"/>
  <c r="Z415" i="1"/>
  <c r="Y491" i="1"/>
  <c r="Y493" i="1"/>
  <c r="Z177" i="1"/>
  <c r="Z308" i="1"/>
  <c r="Z299" i="1"/>
  <c r="Z221" i="1"/>
  <c r="Z465" i="1"/>
  <c r="Z113" i="1"/>
  <c r="Z70" i="1"/>
  <c r="Y492" i="1"/>
  <c r="Y494" i="1" s="1"/>
  <c r="Y495" i="1"/>
  <c r="Z97" i="1"/>
  <c r="Z90" i="1"/>
  <c r="Z77" i="1"/>
  <c r="Z64" i="1"/>
  <c r="Z496" i="1" l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<sst xmlns="http://schemas.openxmlformats.org/spreadsheetml/2006/main" count="2296" uniqueCount="776">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</sst>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0.45833333333333331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39</v>
      </c>
      <c r="Y55" s="546">
        <f t="shared" si="0"/>
        <v>40</v>
      </c>
      <c r="Z55" s="36">
        <f>IFERROR(IF(Y55=0,"",ROUNDUP(Y55/H55,0)*0.00902),"")</f>
        <v>9.0200000000000002E-2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40.852500000000006</v>
      </c>
      <c r="BN55" s="64">
        <f t="shared" si="2"/>
        <v>41.900000000000006</v>
      </c>
      <c r="BO55" s="64">
        <f t="shared" si="3"/>
        <v>7.3863636363636367E-2</v>
      </c>
      <c r="BP55" s="64">
        <f t="shared" si="4"/>
        <v>7.575757575757576E-2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32.898148148148145</v>
      </c>
      <c r="Y58" s="547">
        <f>IFERROR(Y52/H52,"0")+IFERROR(Y53/H53,"0")+IFERROR(Y54/H54,"0")+IFERROR(Y55/H55,"0")+IFERROR(Y56/H56,"0")+IFERROR(Y57/H57,"0")</f>
        <v>34</v>
      </c>
      <c r="Z58" s="547">
        <f>IFERROR(IF(Z52="",0,Z52),"0")+IFERROR(IF(Z53="",0,Z53),"0")+IFERROR(IF(Z54="",0,Z54),"0")+IFERROR(IF(Z55="",0,Z55),"0")+IFERROR(IF(Z56="",0,Z56),"0")+IFERROR(IF(Z57="",0,Z57),"0")</f>
        <v>0.54571999999999998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289</v>
      </c>
      <c r="Y59" s="547">
        <f>IFERROR(SUM(Y52:Y57),"0")</f>
        <v>299.20000000000005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19</v>
      </c>
      <c r="Y61" s="54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19.721296296296295</v>
      </c>
      <c r="BN61" s="64">
        <f>IFERROR(Y61*I61/H61,"0")</f>
        <v>22.42</v>
      </c>
      <c r="BO61" s="64">
        <f>IFERROR(1/J61*(X61/H61),"0")</f>
        <v>2.7488425925925923E-2</v>
      </c>
      <c r="BP61" s="64">
        <f>IFERROR(1/J61*(Y61/H61),"0")</f>
        <v>3.125E-2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1.7592592592592591</v>
      </c>
      <c r="Y64" s="547">
        <f>IFERROR(Y61/H61,"0")+IFERROR(Y62/H62,"0")+IFERROR(Y63/H63,"0")</f>
        <v>2</v>
      </c>
      <c r="Z64" s="547">
        <f>IFERROR(IF(Z61="",0,Z61),"0")+IFERROR(IF(Z62="",0,Z62),"0")+IFERROR(IF(Z63="",0,Z63),"0")</f>
        <v>3.7960000000000001E-2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19</v>
      </c>
      <c r="Y65" s="547">
        <f>IFERROR(SUM(Y61:Y63),"0")</f>
        <v>21.6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37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38.944871794871801</v>
      </c>
      <c r="BN80" s="64">
        <f>IFERROR(Y80*I80/H80,"0")</f>
        <v>41.050000000000011</v>
      </c>
      <c r="BO80" s="64">
        <f>IFERROR(1/J80*(X80/H80),"0")</f>
        <v>7.4118589743589744E-2</v>
      </c>
      <c r="BP80" s="64">
        <f>IFERROR(1/J80*(Y80/H80),"0")</f>
        <v>7.8125E-2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4.7435897435897436</v>
      </c>
      <c r="Y82" s="547">
        <f>IFERROR(Y80/H80,"0")+IFERROR(Y81/H81,"0")</f>
        <v>5</v>
      </c>
      <c r="Z82" s="547">
        <f>IFERROR(IF(Z80="",0,Z80),"0")+IFERROR(IF(Z81="",0,Z81),"0")</f>
        <v>9.4899999999999998E-2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37</v>
      </c>
      <c r="Y83" s="547">
        <f>IFERROR(SUM(Y80:Y81),"0")</f>
        <v>39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282</v>
      </c>
      <c r="Y86" s="546">
        <f>IFERROR(IF(X86="",0,CEILING((X86/$H86),1)*$H86),"")</f>
        <v>291.60000000000002</v>
      </c>
      <c r="Z86" s="36">
        <f>IFERROR(IF(Y86=0,"",ROUNDUP(Y86/H86,0)*0.01898),"")</f>
        <v>0.51246000000000003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292.70555555555558</v>
      </c>
      <c r="BN86" s="64">
        <f>IFERROR(Y86*I86/H86,"0")</f>
        <v>302.67000000000007</v>
      </c>
      <c r="BO86" s="64">
        <f>IFERROR(1/J86*(X86/H86),"0")</f>
        <v>0.4079861111111111</v>
      </c>
      <c r="BP86" s="64">
        <f>IFERROR(1/J86*(Y86/H86),"0")</f>
        <v>0.421875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14</v>
      </c>
      <c r="Y89" s="546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14.591111111111113</v>
      </c>
      <c r="BN89" s="64">
        <f>IFERROR(Y89*I89/H89,"0")</f>
        <v>18.760000000000002</v>
      </c>
      <c r="BO89" s="64">
        <f>IFERROR(1/J89*(X89/H89),"0")</f>
        <v>2.3569023569023569E-2</v>
      </c>
      <c r="BP89" s="64">
        <f>IFERROR(1/J89*(Y89/H89),"0")</f>
        <v>3.0303030303030304E-2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29.222222222222221</v>
      </c>
      <c r="Y90" s="547">
        <f>IFERROR(Y86/H86,"0")+IFERROR(Y87/H87,"0")+IFERROR(Y88/H88,"0")+IFERROR(Y89/H89,"0")</f>
        <v>31</v>
      </c>
      <c r="Z90" s="547">
        <f>IFERROR(IF(Z86="",0,Z86),"0")+IFERROR(IF(Z87="",0,Z87),"0")+IFERROR(IF(Z88="",0,Z88),"0")+IFERROR(IF(Z89="",0,Z89),"0")</f>
        <v>0.54854000000000003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296</v>
      </c>
      <c r="Y91" s="547">
        <f>IFERROR(SUM(Y86:Y89),"0")</f>
        <v>309.60000000000002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172</v>
      </c>
      <c r="Y93" s="546">
        <f>IFERROR(IF(X93="",0,CEILING((X93/$H93),1)*$H93),"")</f>
        <v>178.2</v>
      </c>
      <c r="Z93" s="36">
        <f>IFERROR(IF(Y93=0,"",ROUNDUP(Y93/H93,0)*0.01898),"")</f>
        <v>0.41755999999999999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182.48987654320987</v>
      </c>
      <c r="BN93" s="64">
        <f>IFERROR(Y93*I93/H93,"0")</f>
        <v>189.06799999999998</v>
      </c>
      <c r="BO93" s="64">
        <f>IFERROR(1/J93*(X93/H93),"0")</f>
        <v>0.33179012345679015</v>
      </c>
      <c r="BP93" s="64">
        <f>IFERROR(1/J93*(Y93/H93),"0")</f>
        <v>0.34375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533</v>
      </c>
      <c r="Y95" s="546">
        <f>IFERROR(IF(X95="",0,CEILING((X95/$H95),1)*$H95),"")</f>
        <v>534.6</v>
      </c>
      <c r="Z95" s="36">
        <f>IFERROR(IF(Y95=0,"",ROUNDUP(Y95/H95,0)*0.00651),"")</f>
        <v>1.28898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582.74666666666656</v>
      </c>
      <c r="BN95" s="64">
        <f>IFERROR(Y95*I95/H95,"0")</f>
        <v>584.49599999999998</v>
      </c>
      <c r="BO95" s="64">
        <f>IFERROR(1/J95*(X95/H95),"0")</f>
        <v>1.0846560846560847</v>
      </c>
      <c r="BP95" s="64">
        <f>IFERROR(1/J95*(Y95/H95),"0")</f>
        <v>1.087912087912088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218.64197530864197</v>
      </c>
      <c r="Y97" s="547">
        <f>IFERROR(Y93/H93,"0")+IFERROR(Y94/H94,"0")+IFERROR(Y95/H95,"0")+IFERROR(Y96/H96,"0")</f>
        <v>220</v>
      </c>
      <c r="Z97" s="547">
        <f>IFERROR(IF(Z93="",0,Z93),"0")+IFERROR(IF(Z94="",0,Z94),"0")+IFERROR(IF(Z95="",0,Z95),"0")+IFERROR(IF(Z96="",0,Z96),"0")</f>
        <v>1.7065399999999999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705</v>
      </c>
      <c r="Y98" s="547">
        <f>IFERROR(SUM(Y93:Y96),"0")</f>
        <v>712.8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4</v>
      </c>
      <c r="Y109" s="546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4.1518518518518519</v>
      </c>
      <c r="BN109" s="64">
        <f>IFERROR(Y109*I109/H109,"0")</f>
        <v>11.21</v>
      </c>
      <c r="BO109" s="64">
        <f>IFERROR(1/J109*(X109/H109),"0")</f>
        <v>5.7870370370370367E-3</v>
      </c>
      <c r="BP109" s="64">
        <f>IFERROR(1/J109*(Y109/H109),"0")</f>
        <v>1.5625E-2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16</v>
      </c>
      <c r="Y112" s="546">
        <f>IFERROR(IF(X112="",0,CEILING((X112/$H112),1)*$H112),"")</f>
        <v>16.8</v>
      </c>
      <c r="Z112" s="36">
        <f>IFERROR(IF(Y112=0,"",ROUNDUP(Y112/H112,0)*0.00651),"")</f>
        <v>4.5569999999999999E-2</v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17.200000000000003</v>
      </c>
      <c r="BN112" s="64">
        <f>IFERROR(Y112*I112/H112,"0")</f>
        <v>18.060000000000002</v>
      </c>
      <c r="BO112" s="64">
        <f>IFERROR(1/J112*(X112/H112),"0")</f>
        <v>3.6630036630036632E-2</v>
      </c>
      <c r="BP112" s="64">
        <f>IFERROR(1/J112*(Y112/H112),"0")</f>
        <v>3.8461538461538471E-2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7.0370370370370372</v>
      </c>
      <c r="Y113" s="547">
        <f>IFERROR(Y109/H109,"0")+IFERROR(Y110/H110,"0")+IFERROR(Y111/H111,"0")+IFERROR(Y112/H112,"0")</f>
        <v>8</v>
      </c>
      <c r="Z113" s="547">
        <f>IFERROR(IF(Z109="",0,Z109),"0")+IFERROR(IF(Z110="",0,Z110),"0")+IFERROR(IF(Z111="",0,Z111),"0")+IFERROR(IF(Z112="",0,Z112),"0")</f>
        <v>6.4549999999999996E-2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20</v>
      </c>
      <c r="Y114" s="547">
        <f>IFERROR(SUM(Y109:Y112),"0")</f>
        <v>27.6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972</v>
      </c>
      <c r="Y116" s="546">
        <f>IFERROR(IF(X116="",0,CEILING((X116/$H116),1)*$H116),"")</f>
        <v>972</v>
      </c>
      <c r="Z116" s="36">
        <f>IFERROR(IF(Y116=0,"",ROUNDUP(Y116/H116,0)*0.01898),"")</f>
        <v>2.2776000000000001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1030.56</v>
      </c>
      <c r="BN116" s="64">
        <f>IFERROR(Y116*I116/H116,"0")</f>
        <v>1030.56</v>
      </c>
      <c r="BO116" s="64">
        <f>IFERROR(1/J116*(X116/H116),"0")</f>
        <v>1.875</v>
      </c>
      <c r="BP116" s="64">
        <f>IFERROR(1/J116*(Y116/H116),"0")</f>
        <v>1.875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731</v>
      </c>
      <c r="Y118" s="546">
        <f>IFERROR(IF(X118="",0,CEILING((X118/$H118),1)*$H118),"")</f>
        <v>731.7</v>
      </c>
      <c r="Z118" s="36">
        <f>IFERROR(IF(Y118=0,"",ROUNDUP(Y118/H118,0)*0.00651),"")</f>
        <v>1.7642100000000001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799.22666666666657</v>
      </c>
      <c r="BN118" s="64">
        <f>IFERROR(Y118*I118/H118,"0")</f>
        <v>799.99199999999996</v>
      </c>
      <c r="BO118" s="64">
        <f>IFERROR(1/J118*(X118/H118),"0")</f>
        <v>1.4875864875864875</v>
      </c>
      <c r="BP118" s="64">
        <f>IFERROR(1/J118*(Y118/H118),"0")</f>
        <v>1.4890109890109891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390.7407407407407</v>
      </c>
      <c r="Y120" s="547">
        <f>IFERROR(Y116/H116,"0")+IFERROR(Y117/H117,"0")+IFERROR(Y118/H118,"0")+IFERROR(Y119/H119,"0")</f>
        <v>391</v>
      </c>
      <c r="Z120" s="547">
        <f>IFERROR(IF(Z116="",0,Z116),"0")+IFERROR(IF(Z117="",0,Z117),"0")+IFERROR(IF(Z118="",0,Z118),"0")+IFERROR(IF(Z119="",0,Z119),"0")</f>
        <v>4.0418099999999999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1703</v>
      </c>
      <c r="Y121" s="547">
        <f>IFERROR(SUM(Y116:Y119),"0")</f>
        <v>1703.7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48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50.857142857142861</v>
      </c>
      <c r="BN166" s="64">
        <f t="shared" si="7"/>
        <v>53.400000000000006</v>
      </c>
      <c r="BO166" s="64">
        <f t="shared" si="8"/>
        <v>8.658008658008659E-2</v>
      </c>
      <c r="BP166" s="64">
        <f t="shared" si="9"/>
        <v>9.0909090909090912E-2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68</v>
      </c>
      <c r="Y169" s="546">
        <f t="shared" si="5"/>
        <v>69.3</v>
      </c>
      <c r="Z169" s="36">
        <f>IFERROR(IF(Y169=0,"",ROUNDUP(Y169/H169,0)*0.00502),"")</f>
        <v>0.16566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72.209523809523802</v>
      </c>
      <c r="BN169" s="64">
        <f t="shared" si="7"/>
        <v>73.589999999999989</v>
      </c>
      <c r="BO169" s="64">
        <f t="shared" si="8"/>
        <v>0.13838013838013838</v>
      </c>
      <c r="BP169" s="64">
        <f t="shared" si="9"/>
        <v>0.14102564102564105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133</v>
      </c>
      <c r="Y174" s="546">
        <f t="shared" si="5"/>
        <v>134.4</v>
      </c>
      <c r="Z174" s="36">
        <f>IFERROR(IF(Y174=0,"",ROUNDUP(Y174/H174,0)*0.00502),"")</f>
        <v>0.32128000000000001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139.33333333333334</v>
      </c>
      <c r="BN174" s="64">
        <f t="shared" si="7"/>
        <v>140.80000000000001</v>
      </c>
      <c r="BO174" s="64">
        <f t="shared" si="8"/>
        <v>0.27065527065527067</v>
      </c>
      <c r="BP174" s="64">
        <f t="shared" si="9"/>
        <v>0.27350427350427353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107.14285714285714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0.59518000000000004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249</v>
      </c>
      <c r="Y178" s="547">
        <f>IFERROR(SUM(Y165:Y176),"0")</f>
        <v>254.10000000000002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3</v>
      </c>
      <c r="Y181" s="546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3</v>
      </c>
      <c r="Y182" s="546">
        <f>IFERROR(IF(X182="",0,CEILING((X182/$H182),1)*$H182),"")</f>
        <v>3.7800000000000002</v>
      </c>
      <c r="Z182" s="36">
        <f>IFERROR(IF(Y182=0,"",ROUNDUP(Y182/H182,0)*0.0059),"")</f>
        <v>1.77E-2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3.4523809523809521</v>
      </c>
      <c r="BN182" s="64">
        <f>IFERROR(Y182*I182/H182,"0")</f>
        <v>4.3499999999999996</v>
      </c>
      <c r="BO182" s="64">
        <f>IFERROR(1/J182*(X182/H182),"0")</f>
        <v>1.1022927689594356E-2</v>
      </c>
      <c r="BP182" s="64">
        <f>IFERROR(1/J182*(Y182/H182),"0")</f>
        <v>1.3888888888888888E-2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4.7619047619047619</v>
      </c>
      <c r="Y183" s="547">
        <f>IFERROR(Y180/H180,"0")+IFERROR(Y181/H181,"0")+IFERROR(Y182/H182,"0")</f>
        <v>6</v>
      </c>
      <c r="Z183" s="547">
        <f>IFERROR(IF(Z180="",0,Z180),"0")+IFERROR(IF(Z181="",0,Z181),"0")+IFERROR(IF(Z182="",0,Z182),"0")</f>
        <v>3.5400000000000001E-2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6</v>
      </c>
      <c r="Y184" s="547">
        <f>IFERROR(SUM(Y180:Y182),"0")</f>
        <v>7.5600000000000005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643</v>
      </c>
      <c r="Y201" s="546">
        <f t="shared" ref="Y201:Y208" si="10">IFERROR(IF(X201="",0,CEILING((X201/$H201),1)*$H201),"")</f>
        <v>648</v>
      </c>
      <c r="Z201" s="36">
        <f>IFERROR(IF(Y201=0,"",ROUNDUP(Y201/H201,0)*0.00902),"")</f>
        <v>1.0824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665.62407407407397</v>
      </c>
      <c r="BN201" s="64">
        <f t="shared" ref="BN201:BN208" si="12">IFERROR(Y201*I201/H201,"0")</f>
        <v>670.8</v>
      </c>
      <c r="BO201" s="64">
        <f t="shared" ref="BO201:BO208" si="13">IFERROR(1/J201*(X201/H201),"0")</f>
        <v>0.90207631874298533</v>
      </c>
      <c r="BP201" s="64">
        <f t="shared" ref="BP201:BP208" si="14">IFERROR(1/J201*(Y201/H201),"0")</f>
        <v>0.90909090909090906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135</v>
      </c>
      <c r="Y204" s="546">
        <f t="shared" si="10"/>
        <v>135</v>
      </c>
      <c r="Z204" s="36">
        <f>IFERROR(IF(Y204=0,"",ROUNDUP(Y204/H204,0)*0.00902),"")</f>
        <v>0.22550000000000001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139.75</v>
      </c>
      <c r="BN204" s="64">
        <f t="shared" si="12"/>
        <v>139.75</v>
      </c>
      <c r="BO204" s="64">
        <f t="shared" si="13"/>
        <v>0.18939393939393939</v>
      </c>
      <c r="BP204" s="64">
        <f t="shared" si="14"/>
        <v>0.18939393939393939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47</v>
      </c>
      <c r="Y205" s="546">
        <f t="shared" si="10"/>
        <v>48.6</v>
      </c>
      <c r="Z205" s="36">
        <f>IFERROR(IF(Y205=0,"",ROUNDUP(Y205/H205,0)*0.00502),"")</f>
        <v>0.13553999999999999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50.394444444444439</v>
      </c>
      <c r="BN205" s="64">
        <f t="shared" si="12"/>
        <v>52.11</v>
      </c>
      <c r="BO205" s="64">
        <f t="shared" si="13"/>
        <v>0.11158594491927826</v>
      </c>
      <c r="BP205" s="64">
        <f t="shared" si="14"/>
        <v>0.11538461538461539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</v>
      </c>
      <c r="Y206" s="546">
        <f t="shared" si="10"/>
        <v>5.4</v>
      </c>
      <c r="Z206" s="36">
        <f>IFERROR(IF(Y206=0,"",ROUNDUP(Y206/H206,0)*0.00502),"")</f>
        <v>1.506E-2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5.2777777777777777</v>
      </c>
      <c r="BN206" s="64">
        <f t="shared" si="12"/>
        <v>5.7</v>
      </c>
      <c r="BO206" s="64">
        <f t="shared" si="13"/>
        <v>1.1870845204178538E-2</v>
      </c>
      <c r="BP206" s="64">
        <f t="shared" si="14"/>
        <v>1.2820512820512822E-2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7</v>
      </c>
      <c r="Y208" s="546">
        <f t="shared" si="10"/>
        <v>7.2</v>
      </c>
      <c r="Z208" s="36">
        <f>IFERROR(IF(Y208=0,"",ROUNDUP(Y208/H208,0)*0.00502),"")</f>
        <v>2.0080000000000001E-2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7.3888888888888884</v>
      </c>
      <c r="BN208" s="64">
        <f t="shared" si="12"/>
        <v>7.6</v>
      </c>
      <c r="BO208" s="64">
        <f t="shared" si="13"/>
        <v>1.6619183285849954E-2</v>
      </c>
      <c r="BP208" s="64">
        <f t="shared" si="14"/>
        <v>1.7094017094017096E-2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176.85185185185185</v>
      </c>
      <c r="Y209" s="547">
        <f>IFERROR(Y201/H201,"0")+IFERROR(Y202/H202,"0")+IFERROR(Y203/H203,"0")+IFERROR(Y204/H204,"0")+IFERROR(Y205/H205,"0")+IFERROR(Y206/H206,"0")+IFERROR(Y207/H207,"0")+IFERROR(Y208/H208,"0")</f>
        <v>179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1.4785800000000002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837</v>
      </c>
      <c r="Y210" s="547">
        <f>IFERROR(SUM(Y201:Y208),"0")</f>
        <v>844.2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33</v>
      </c>
      <c r="Y212" s="546">
        <f t="shared" ref="Y212:Y220" si="15">IFERROR(IF(X212="",0,CEILING((X212/$H212),1)*$H212),"")</f>
        <v>40.5</v>
      </c>
      <c r="Z212" s="36">
        <f>IFERROR(IF(Y212=0,"",ROUNDUP(Y212/H212,0)*0.01898),"")</f>
        <v>9.4899999999999998E-2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35.01259259259259</v>
      </c>
      <c r="BN212" s="64">
        <f t="shared" ref="BN212:BN220" si="17">IFERROR(Y212*I212/H212,"0")</f>
        <v>42.97</v>
      </c>
      <c r="BO212" s="64">
        <f t="shared" ref="BO212:BO220" si="18">IFERROR(1/J212*(X212/H212),"0")</f>
        <v>6.3657407407407413E-2</v>
      </c>
      <c r="BP212" s="64">
        <f t="shared" ref="BP212:BP220" si="19">IFERROR(1/J212*(Y212/H212),"0")</f>
        <v>7.8125E-2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174</v>
      </c>
      <c r="Y215" s="546">
        <f t="shared" si="15"/>
        <v>175.2</v>
      </c>
      <c r="Z215" s="36">
        <f t="shared" ref="Z215:Z220" si="20">IFERROR(IF(Y215=0,"",ROUNDUP(Y215/H215,0)*0.00651),"")</f>
        <v>0.47522999999999999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193.57499999999999</v>
      </c>
      <c r="BN215" s="64">
        <f t="shared" si="17"/>
        <v>194.90999999999997</v>
      </c>
      <c r="BO215" s="64">
        <f t="shared" si="18"/>
        <v>0.39835164835164838</v>
      </c>
      <c r="BP215" s="64">
        <f t="shared" si="19"/>
        <v>0.40109890109890112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380</v>
      </c>
      <c r="Y217" s="546">
        <f t="shared" si="15"/>
        <v>381.59999999999997</v>
      </c>
      <c r="Z217" s="36">
        <f t="shared" si="20"/>
        <v>1.0350900000000001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419.90000000000003</v>
      </c>
      <c r="BN217" s="64">
        <f t="shared" si="17"/>
        <v>421.66800000000001</v>
      </c>
      <c r="BO217" s="64">
        <f t="shared" si="18"/>
        <v>0.86996336996337009</v>
      </c>
      <c r="BP217" s="64">
        <f t="shared" si="19"/>
        <v>0.87362637362637374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23</v>
      </c>
      <c r="Y218" s="546">
        <f t="shared" si="15"/>
        <v>24</v>
      </c>
      <c r="Z218" s="36">
        <f t="shared" si="20"/>
        <v>6.5100000000000005E-2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25.415000000000003</v>
      </c>
      <c r="BN218" s="64">
        <f t="shared" si="17"/>
        <v>26.520000000000003</v>
      </c>
      <c r="BO218" s="64">
        <f t="shared" si="18"/>
        <v>5.2655677655677663E-2</v>
      </c>
      <c r="BP218" s="64">
        <f t="shared" si="19"/>
        <v>5.4945054945054951E-2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34</v>
      </c>
      <c r="Y219" s="546">
        <f t="shared" si="15"/>
        <v>36</v>
      </c>
      <c r="Z219" s="36">
        <f t="shared" si="20"/>
        <v>9.7650000000000001E-2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37.570000000000007</v>
      </c>
      <c r="BN219" s="64">
        <f t="shared" si="17"/>
        <v>39.780000000000008</v>
      </c>
      <c r="BO219" s="64">
        <f t="shared" si="18"/>
        <v>7.7838827838827854E-2</v>
      </c>
      <c r="BP219" s="64">
        <f t="shared" si="19"/>
        <v>8.241758241758243E-2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155</v>
      </c>
      <c r="Y220" s="546">
        <f t="shared" si="15"/>
        <v>156</v>
      </c>
      <c r="Z220" s="36">
        <f t="shared" si="20"/>
        <v>0.42315000000000003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171.66250000000002</v>
      </c>
      <c r="BN220" s="64">
        <f t="shared" si="17"/>
        <v>172.76999999999998</v>
      </c>
      <c r="BO220" s="64">
        <f t="shared" si="18"/>
        <v>0.35485347985347993</v>
      </c>
      <c r="BP220" s="64">
        <f t="shared" si="19"/>
        <v>0.35714285714285715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323.24074074074076</v>
      </c>
      <c r="Y221" s="547">
        <f>IFERROR(Y212/H212,"0")+IFERROR(Y213/H213,"0")+IFERROR(Y214/H214,"0")+IFERROR(Y215/H215,"0")+IFERROR(Y216/H216,"0")+IFERROR(Y217/H217,"0")+IFERROR(Y218/H218,"0")+IFERROR(Y219/H219,"0")+IFERROR(Y220/H220,"0")</f>
        <v>327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2.1911200000000002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799</v>
      </c>
      <c r="Y222" s="547">
        <f>IFERROR(SUM(Y212:Y220),"0")</f>
        <v>813.3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16</v>
      </c>
      <c r="Y224" s="54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17.680000000000003</v>
      </c>
      <c r="BN224" s="64">
        <f>IFERROR(Y224*I224/H224,"0")</f>
        <v>18.564000000000004</v>
      </c>
      <c r="BO224" s="64">
        <f>IFERROR(1/J224*(X224/H224),"0")</f>
        <v>3.6630036630036632E-2</v>
      </c>
      <c r="BP224" s="64">
        <f>IFERROR(1/J224*(Y224/H224),"0")</f>
        <v>3.8461538461538471E-2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8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8.8400000000000016</v>
      </c>
      <c r="BN225" s="64">
        <f>IFERROR(Y225*I225/H225,"0")</f>
        <v>10.608000000000001</v>
      </c>
      <c r="BO225" s="64">
        <f>IFERROR(1/J225*(X225/H225),"0")</f>
        <v>1.8315018315018316E-2</v>
      </c>
      <c r="BP225" s="64">
        <f>IFERROR(1/J225*(Y225/H225),"0")</f>
        <v>2.197802197802198E-2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10</v>
      </c>
      <c r="Y226" s="547">
        <f>IFERROR(Y224/H224,"0")+IFERROR(Y225/H225,"0")</f>
        <v>11</v>
      </c>
      <c r="Z226" s="547">
        <f>IFERROR(IF(Z224="",0,Z224),"0")+IFERROR(IF(Z225="",0,Z225),"0")</f>
        <v>7.1610000000000007E-2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24</v>
      </c>
      <c r="Y227" s="547">
        <f>IFERROR(SUM(Y224:Y225),"0")</f>
        <v>26.4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2</v>
      </c>
      <c r="Y253" s="546">
        <f>IFERROR(IF(X253="",0,CEILING((X253/$H253),1)*$H253),"")</f>
        <v>2.9699999999999998</v>
      </c>
      <c r="Z253" s="36">
        <f>IFERROR(IF(Y253=0,"",ROUNDUP(Y253/H253,0)*0.0059),"")</f>
        <v>1.77E-2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2.3838383838383836</v>
      </c>
      <c r="BN253" s="64">
        <f>IFERROR(Y253*I253/H253,"0")</f>
        <v>3.5399999999999996</v>
      </c>
      <c r="BO253" s="64">
        <f>IFERROR(1/J253*(X253/H253),"0")</f>
        <v>9.3527871305649091E-3</v>
      </c>
      <c r="BP253" s="64">
        <f>IFERROR(1/J253*(Y253/H253),"0")</f>
        <v>1.3888888888888886E-2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2.0202020202020203</v>
      </c>
      <c r="Y255" s="547">
        <f>IFERROR(Y250/H250,"0")+IFERROR(Y251/H251,"0")+IFERROR(Y252/H252,"0")+IFERROR(Y253/H253,"0")+IFERROR(Y254/H254,"0")</f>
        <v>2.9999999999999996</v>
      </c>
      <c r="Z255" s="547">
        <f>IFERROR(IF(Z250="",0,Z250),"0")+IFERROR(IF(Z251="",0,Z251),"0")+IFERROR(IF(Z252="",0,Z252),"0")+IFERROR(IF(Z253="",0,Z253),"0")+IFERROR(IF(Z254="",0,Z254),"0")</f>
        <v>1.77E-2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2</v>
      </c>
      <c r="Y256" s="547">
        <f>IFERROR(SUM(Y250:Y254),"0")</f>
        <v>2.9699999999999998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90</v>
      </c>
      <c r="Y278" s="546">
        <f>IFERROR(IF(X278="",0,CEILING((X278/$H278),1)*$H278),"")</f>
        <v>91.2</v>
      </c>
      <c r="Z278" s="36">
        <f>IFERROR(IF(Y278=0,"",ROUNDUP(Y278/H278,0)*0.00651),"")</f>
        <v>0.24738000000000002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96.750000000000014</v>
      </c>
      <c r="BN278" s="64">
        <f>IFERROR(Y278*I278/H278,"0")</f>
        <v>98.04</v>
      </c>
      <c r="BO278" s="64">
        <f>IFERROR(1/J278*(X278/H278),"0")</f>
        <v>0.20604395604395606</v>
      </c>
      <c r="BP278" s="64">
        <f>IFERROR(1/J278*(Y278/H278),"0")</f>
        <v>0.2087912087912088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37.5</v>
      </c>
      <c r="Y279" s="547">
        <f>IFERROR(Y276/H276,"0")+IFERROR(Y277/H277,"0")+IFERROR(Y278/H278,"0")</f>
        <v>38</v>
      </c>
      <c r="Z279" s="547">
        <f>IFERROR(IF(Z276="",0,Z276),"0")+IFERROR(IF(Z277="",0,Z277),"0")+IFERROR(IF(Z278="",0,Z278),"0")</f>
        <v>0.24738000000000002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90</v>
      </c>
      <c r="Y280" s="547">
        <f>IFERROR(SUM(Y276:Y278),"0")</f>
        <v>91.2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447</v>
      </c>
      <c r="Y319" s="546">
        <f>IFERROR(IF(X319="",0,CEILING((X319/$H319),1)*$H319),"")</f>
        <v>452.4</v>
      </c>
      <c r="Z319" s="36">
        <f>IFERROR(IF(Y319=0,"",ROUNDUP(Y319/H319,0)*0.01898),"")</f>
        <v>1.10084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475.31</v>
      </c>
      <c r="BN319" s="64">
        <f>IFERROR(Y319*I319/H319,"0")</f>
        <v>481.05200000000002</v>
      </c>
      <c r="BO319" s="64">
        <f>IFERROR(1/J319*(X319/H319),"0")</f>
        <v>0.89543269230769229</v>
      </c>
      <c r="BP319" s="64">
        <f>IFERROR(1/J319*(Y319/H319),"0")</f>
        <v>0.90625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57.307692307692307</v>
      </c>
      <c r="Y321" s="547">
        <f>IFERROR(Y318/H318,"0")+IFERROR(Y319/H319,"0")+IFERROR(Y320/H320,"0")</f>
        <v>58</v>
      </c>
      <c r="Z321" s="547">
        <f>IFERROR(IF(Z318="",0,Z318),"0")+IFERROR(IF(Z319="",0,Z319),"0")+IFERROR(IF(Z320="",0,Z320),"0")</f>
        <v>1.10084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447</v>
      </c>
      <c r="Y322" s="547">
        <f>IFERROR(SUM(Y318:Y320),"0")</f>
        <v>452.4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1</v>
      </c>
      <c r="Y326" s="546">
        <f>IFERROR(IF(X326="",0,CEILING((X326/$H326),1)*$H326),"")</f>
        <v>2.5499999999999998</v>
      </c>
      <c r="Z326" s="36">
        <f>IFERROR(IF(Y326=0,"",ROUNDUP(Y326/H326,0)*0.00651),"")</f>
        <v>6.5100000000000002E-3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1.1588235294117648</v>
      </c>
      <c r="BN326" s="64">
        <f>IFERROR(Y326*I326/H326,"0")</f>
        <v>2.9550000000000001</v>
      </c>
      <c r="BO326" s="64">
        <f>IFERROR(1/J326*(X326/H326),"0")</f>
        <v>2.1547080370609788E-3</v>
      </c>
      <c r="BP326" s="64">
        <f>IFERROR(1/J326*(Y326/H326),"0")</f>
        <v>5.4945054945054949E-3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32</v>
      </c>
      <c r="Y327" s="546">
        <f>IFERROR(IF(X327="",0,CEILING((X327/$H327),1)*$H327),"")</f>
        <v>33.15</v>
      </c>
      <c r="Z327" s="36">
        <f>IFERROR(IF(Y327=0,"",ROUNDUP(Y327/H327,0)*0.00651),"")</f>
        <v>8.4629999999999997E-2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36.141176470588235</v>
      </c>
      <c r="BN327" s="64">
        <f>IFERROR(Y327*I327/H327,"0")</f>
        <v>37.44</v>
      </c>
      <c r="BO327" s="64">
        <f>IFERROR(1/J327*(X327/H327),"0")</f>
        <v>6.8950657185951322E-2</v>
      </c>
      <c r="BP327" s="64">
        <f>IFERROR(1/J327*(Y327/H327),"0")</f>
        <v>7.1428571428571438E-2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12.941176470588237</v>
      </c>
      <c r="Y328" s="547">
        <f>IFERROR(Y324/H324,"0")+IFERROR(Y325/H325,"0")+IFERROR(Y326/H326,"0")+IFERROR(Y327/H327,"0")</f>
        <v>14</v>
      </c>
      <c r="Z328" s="547">
        <f>IFERROR(IF(Z324="",0,Z324),"0")+IFERROR(IF(Z325="",0,Z325),"0")+IFERROR(IF(Z326="",0,Z326),"0")+IFERROR(IF(Z327="",0,Z327),"0")</f>
        <v>9.1139999999999999E-2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33</v>
      </c>
      <c r="Y329" s="547">
        <f>IFERROR(SUM(Y324:Y327),"0")</f>
        <v>35.699999999999996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5</v>
      </c>
      <c r="Y332" s="546">
        <f>IFERROR(IF(X332="",0,CEILING((X332/$H332),1)*$H332),"")</f>
        <v>6</v>
      </c>
      <c r="Z332" s="36">
        <f>IFERROR(IF(Y332=0,"",ROUNDUP(Y332/H332,0)*0.00474),"")</f>
        <v>1.422E-2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5.6000000000000005</v>
      </c>
      <c r="BN332" s="64">
        <f>IFERROR(Y332*I332/H332,"0")</f>
        <v>6.7200000000000006</v>
      </c>
      <c r="BO332" s="64">
        <f>IFERROR(1/J332*(X332/H332),"0")</f>
        <v>1.0504201680672268E-2</v>
      </c>
      <c r="BP332" s="64">
        <f>IFERROR(1/J332*(Y332/H332),"0")</f>
        <v>1.2605042016806723E-2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947</v>
      </c>
      <c r="Y346" s="546">
        <f t="shared" ref="Y346:Y352" si="31">IFERROR(IF(X346="",0,CEILING((X346/$H346),1)*$H346),"")</f>
        <v>960</v>
      </c>
      <c r="Z346" s="36">
        <f>IFERROR(IF(Y346=0,"",ROUNDUP(Y346/H346,0)*0.02175),"")</f>
        <v>1.3919999999999999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976.67266666666671</v>
      </c>
      <c r="BN346" s="64">
        <f t="shared" ref="BN346:BN352" si="33">IFERROR(Y346*I346/H346,"0")</f>
        <v>990.08</v>
      </c>
      <c r="BO346" s="64">
        <f t="shared" ref="BO346:BO352" si="34">IFERROR(1/J346*(X346/H346),"0")</f>
        <v>1.3152777777777778</v>
      </c>
      <c r="BP346" s="64">
        <f t="shared" ref="BP346:BP352" si="35">IFERROR(1/J346*(Y346/H346),"0")</f>
        <v>1.3333333333333333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1593</v>
      </c>
      <c r="Y348" s="546">
        <f t="shared" si="31"/>
        <v>1605</v>
      </c>
      <c r="Z348" s="36">
        <f>IFERROR(IF(Y348=0,"",ROUNDUP(Y348/H348,0)*0.02175),"")</f>
        <v>2.3272499999999998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1642.9140000000002</v>
      </c>
      <c r="BN348" s="64">
        <f t="shared" si="33"/>
        <v>1655.2900000000002</v>
      </c>
      <c r="BO348" s="64">
        <f t="shared" si="34"/>
        <v>2.2124999999999999</v>
      </c>
      <c r="BP348" s="64">
        <f t="shared" si="35"/>
        <v>2.2291666666666665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169.33333333333334</v>
      </c>
      <c r="Y353" s="547">
        <f>IFERROR(Y346/H346,"0")+IFERROR(Y347/H347,"0")+IFERROR(Y348/H348,"0")+IFERROR(Y349/H349,"0")+IFERROR(Y350/H350,"0")+IFERROR(Y351/H351,"0")+IFERROR(Y352/H352,"0")</f>
        <v>171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3.7192499999999997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2540</v>
      </c>
      <c r="Y354" s="547">
        <f>IFERROR(SUM(Y346:Y352),"0")</f>
        <v>2565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hidden="1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3377</v>
      </c>
      <c r="Y381" s="546">
        <f>IFERROR(IF(X381="",0,CEILING((X381/$H381),1)*$H381),"")</f>
        <v>3384</v>
      </c>
      <c r="Z381" s="36">
        <f>IFERROR(IF(Y381=0,"",ROUNDUP(Y381/H381,0)*0.01898),"")</f>
        <v>7.1364799999999997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3562.3597777777777</v>
      </c>
      <c r="BN381" s="64">
        <f>IFERROR(Y381*I381/H381,"0")</f>
        <v>3569.7440000000001</v>
      </c>
      <c r="BO381" s="64">
        <f>IFERROR(1/J381*(X381/H381),"0")</f>
        <v>5.8628472222222223</v>
      </c>
      <c r="BP381" s="64">
        <f>IFERROR(1/J381*(Y381/H381),"0")</f>
        <v>5.875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56</v>
      </c>
      <c r="Y382" s="546">
        <f>IFERROR(IF(X382="",0,CEILING((X382/$H382),1)*$H382),"")</f>
        <v>57.599999999999994</v>
      </c>
      <c r="Z382" s="36">
        <f>IFERROR(IF(Y382=0,"",ROUNDUP(Y382/H382,0)*0.00651),"")</f>
        <v>0.15623999999999999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62.160000000000004</v>
      </c>
      <c r="BN382" s="64">
        <f>IFERROR(Y382*I382/H382,"0")</f>
        <v>63.935999999999993</v>
      </c>
      <c r="BO382" s="64">
        <f>IFERROR(1/J382*(X382/H382),"0")</f>
        <v>0.12820512820512822</v>
      </c>
      <c r="BP382" s="64">
        <f>IFERROR(1/J382*(Y382/H382),"0")</f>
        <v>0.13186813186813187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398.55555555555554</v>
      </c>
      <c r="Y384" s="547">
        <f>IFERROR(Y381/H381,"0")+IFERROR(Y382/H382,"0")+IFERROR(Y383/H383,"0")</f>
        <v>400</v>
      </c>
      <c r="Z384" s="547">
        <f>IFERROR(IF(Z381="",0,Z381),"0")+IFERROR(IF(Z382="",0,Z382),"0")+IFERROR(IF(Z383="",0,Z383),"0")</f>
        <v>7.2927200000000001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3433</v>
      </c>
      <c r="Y385" s="547">
        <f>IFERROR(SUM(Y381:Y383),"0")</f>
        <v>3441.6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15</v>
      </c>
      <c r="Y389" s="546">
        <f t="shared" ref="Y389:Y397" si="36">IFERROR(IF(X389="",0,CEILING((X389/$H389),1)*$H389),"")</f>
        <v>16.200000000000003</v>
      </c>
      <c r="Z389" s="36">
        <f>IFERROR(IF(Y389=0,"",ROUNDUP(Y389/H389,0)*0.00902),"")</f>
        <v>2.7060000000000001E-2</v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15.527777777777775</v>
      </c>
      <c r="BN389" s="64">
        <f t="shared" ref="BN389:BN397" si="38">IFERROR(Y389*I389/H389,"0")</f>
        <v>16.77</v>
      </c>
      <c r="BO389" s="64">
        <f t="shared" ref="BO389:BO397" si="39">IFERROR(1/J389*(X389/H389),"0")</f>
        <v>2.1043771043771045E-2</v>
      </c>
      <c r="BP389" s="64">
        <f t="shared" ref="BP389:BP397" si="40">IFERROR(1/J389*(Y389/H389),"0")</f>
        <v>2.2727272727272731E-2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2.7777777777777777</v>
      </c>
      <c r="Y398" s="547">
        <f>IFERROR(Y389/H389,"0")+IFERROR(Y390/H390,"0")+IFERROR(Y391/H391,"0")+IFERROR(Y392/H392,"0")+IFERROR(Y393/H393,"0")+IFERROR(Y394/H394,"0")+IFERROR(Y395/H395,"0")+IFERROR(Y396/H396,"0")+IFERROR(Y397/H397,"0")</f>
        <v>3.0000000000000004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2.7060000000000001E-2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15</v>
      </c>
      <c r="Y399" s="547">
        <f>IFERROR(SUM(Y389:Y397),"0")</f>
        <v>16.200000000000003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351</v>
      </c>
      <c r="Y429" s="546">
        <f t="shared" si="42"/>
        <v>353.76</v>
      </c>
      <c r="Z429" s="36">
        <f t="shared" si="43"/>
        <v>0.80132000000000003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374.26704545454544</v>
      </c>
      <c r="BN429" s="64">
        <f t="shared" si="45"/>
        <v>377.21</v>
      </c>
      <c r="BO429" s="64">
        <f t="shared" si="46"/>
        <v>0.63920454545454541</v>
      </c>
      <c r="BP429" s="64">
        <f t="shared" si="47"/>
        <v>0.64423076923076927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76</v>
      </c>
      <c r="Y433" s="546">
        <f t="shared" si="42"/>
        <v>76.8</v>
      </c>
      <c r="Z433" s="36">
        <f>IFERROR(IF(Y433=0,"",ROUNDUP(Y433/H433,0)*0.00902),"")</f>
        <v>0.14432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109.40833333333333</v>
      </c>
      <c r="BN433" s="64">
        <f t="shared" si="45"/>
        <v>110.56</v>
      </c>
      <c r="BO433" s="64">
        <f t="shared" si="46"/>
        <v>0.11994949494949496</v>
      </c>
      <c r="BP433" s="64">
        <f t="shared" si="47"/>
        <v>0.12121212121212122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108</v>
      </c>
      <c r="Y436" s="546">
        <f t="shared" si="42"/>
        <v>110.39999999999999</v>
      </c>
      <c r="Z436" s="36">
        <f>IFERROR(IF(Y436=0,"",ROUNDUP(Y436/H436,0)*0.00902),"")</f>
        <v>0.20746000000000001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155.47499999999999</v>
      </c>
      <c r="BN436" s="64">
        <f t="shared" si="45"/>
        <v>158.92999999999998</v>
      </c>
      <c r="BO436" s="64">
        <f t="shared" si="46"/>
        <v>0.17045454545454547</v>
      </c>
      <c r="BP436" s="64">
        <f t="shared" si="47"/>
        <v>0.17424242424242425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104.81060606060605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106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1.1531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535</v>
      </c>
      <c r="Y438" s="547">
        <f>IFERROR(SUM(Y425:Y436),"0")</f>
        <v>540.96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87</v>
      </c>
      <c r="Y442" s="546">
        <f>IFERROR(IF(X442="",0,CEILING((X442/$H442),1)*$H442),"")</f>
        <v>91.2</v>
      </c>
      <c r="Z442" s="36">
        <f>IFERROR(IF(Y442=0,"",ROUNDUP(Y442/H442,0)*0.00902),"")</f>
        <v>0.17138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125.24374999999999</v>
      </c>
      <c r="BN442" s="64">
        <f>IFERROR(Y442*I442/H442,"0")</f>
        <v>131.29000000000002</v>
      </c>
      <c r="BO442" s="64">
        <f>IFERROR(1/J442*(X442/H442),"0")</f>
        <v>0.13731060606060608</v>
      </c>
      <c r="BP442" s="64">
        <f>IFERROR(1/J442*(Y442/H442),"0")</f>
        <v>0.14393939393939395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18.125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0.17138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87</v>
      </c>
      <c r="Y444" s="547">
        <f>IFERROR(SUM(Y440:Y442),"0")</f>
        <v>91.2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idden="1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hidden="1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12171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12302.29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12971.448366303448</v>
      </c>
      <c r="Y492" s="547">
        <f>IFERROR(SUM(BN22:BN488),"0")</f>
        <v>13113.023000000001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22</v>
      </c>
      <c r="Y493" s="38">
        <f>ROUNDUP(SUM(BP22:BP488),0)</f>
        <v>22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13521.448366303448</v>
      </c>
      <c r="Y494" s="547">
        <f>GrossWeightTotalR+PalletQtyTotalR*25</f>
        <v>13663.023000000001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2112.9116704827488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2138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25.246699999999993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359.80000000000007</v>
      </c>
      <c r="E501" s="46">
        <f>IFERROR(Y86*1,"0")+IFERROR(Y87*1,"0")+IFERROR(Y88*1,"0")+IFERROR(Y89*1,"0")+IFERROR(Y93*1,"0")+IFERROR(Y94*1,"0")+IFERROR(Y95*1,"0")+IFERROR(Y96*1,"0")</f>
        <v>1022.4000000000001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1731.3000000000002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261.65999999999997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1683.8999999999999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2.9699999999999998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91.2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494.09999999999997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2565</v>
      </c>
      <c r="T501" s="46">
        <f>IFERROR(Y371*1,"0")+IFERROR(Y372*1,"0")+IFERROR(Y376*1,"0")+IFERROR(Y377*1,"0")+IFERROR(Y381*1,"0")+IFERROR(Y382*1,"0")+IFERROR(Y383*1,"0")</f>
        <v>3441.6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16.200000000000003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632.16000000000008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3,00"/>
        <filter val="1 703,00"/>
        <filter val="1,00"/>
        <filter val="1,76"/>
        <filter val="10,00"/>
        <filter val="104,81"/>
        <filter val="107,14"/>
        <filter val="108,00"/>
        <filter val="12 171,00"/>
        <filter val="12 971,45"/>
        <filter val="12,94"/>
        <filter val="13 521,45"/>
        <filter val="133,00"/>
        <filter val="135,00"/>
        <filter val="14,00"/>
        <filter val="15,00"/>
        <filter val="155,00"/>
        <filter val="16,00"/>
        <filter val="169,33"/>
        <filter val="172,00"/>
        <filter val="174,00"/>
        <filter val="176,85"/>
        <filter val="18,13"/>
        <filter val="19,00"/>
        <filter val="2 112,91"/>
        <filter val="2 540,00"/>
        <filter val="2,00"/>
        <filter val="2,02"/>
        <filter val="2,50"/>
        <filter val="2,78"/>
        <filter val="20,00"/>
        <filter val="218,64"/>
        <filter val="22"/>
        <filter val="23,00"/>
        <filter val="24,00"/>
        <filter val="249,00"/>
        <filter val="250,00"/>
        <filter val="282,00"/>
        <filter val="289,00"/>
        <filter val="29,22"/>
        <filter val="296,00"/>
        <filter val="3 377,00"/>
        <filter val="3 433,00"/>
        <filter val="3,00"/>
        <filter val="32,00"/>
        <filter val="32,90"/>
        <filter val="323,24"/>
        <filter val="33,00"/>
        <filter val="34,00"/>
        <filter val="351,00"/>
        <filter val="37,00"/>
        <filter val="37,50"/>
        <filter val="380,00"/>
        <filter val="39,00"/>
        <filter val="390,74"/>
        <filter val="398,56"/>
        <filter val="4,00"/>
        <filter val="4,74"/>
        <filter val="4,76"/>
        <filter val="447,00"/>
        <filter val="47,00"/>
        <filter val="48,00"/>
        <filter val="5,00"/>
        <filter val="533,00"/>
        <filter val="535,00"/>
        <filter val="56,00"/>
        <filter val="57,31"/>
        <filter val="6,00"/>
        <filter val="643,00"/>
        <filter val="68,00"/>
        <filter val="7,00"/>
        <filter val="7,04"/>
        <filter val="705,00"/>
        <filter val="731,00"/>
        <filter val="76,00"/>
        <filter val="799,00"/>
        <filter val="8,00"/>
        <filter val="837,00"/>
        <filter val="87,00"/>
        <filter val="90,00"/>
        <filter val="947,00"/>
        <filter val="972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