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0A5E9FA-AAC3-4A13-BCF9-9AF6652A1A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Y97" i="1" s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Y9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Y24" i="1" l="1"/>
  <c r="Y32" i="1"/>
  <c r="Y64" i="1"/>
  <c r="BP61" i="1"/>
  <c r="BN61" i="1"/>
  <c r="Z61" i="1"/>
  <c r="BP69" i="1"/>
  <c r="BN69" i="1"/>
  <c r="Z69" i="1"/>
  <c r="Y78" i="1"/>
  <c r="BP73" i="1"/>
  <c r="BN73" i="1"/>
  <c r="Z73" i="1"/>
  <c r="Y77" i="1"/>
  <c r="BP110" i="1"/>
  <c r="BN110" i="1"/>
  <c r="Z110" i="1"/>
  <c r="BP118" i="1"/>
  <c r="BN118" i="1"/>
  <c r="Z118" i="1"/>
  <c r="BP139" i="1"/>
  <c r="BN139" i="1"/>
  <c r="Z139" i="1"/>
  <c r="Z140" i="1" s="1"/>
  <c r="H501" i="1"/>
  <c r="Y147" i="1"/>
  <c r="BP144" i="1"/>
  <c r="BN144" i="1"/>
  <c r="Z144" i="1"/>
  <c r="Z146" i="1" s="1"/>
  <c r="Y177" i="1"/>
  <c r="BP165" i="1"/>
  <c r="BN165" i="1"/>
  <c r="Z165" i="1"/>
  <c r="BP182" i="1"/>
  <c r="BN182" i="1"/>
  <c r="Z182" i="1"/>
  <c r="Y187" i="1"/>
  <c r="BP186" i="1"/>
  <c r="BN186" i="1"/>
  <c r="Z186" i="1"/>
  <c r="Z187" i="1" s="1"/>
  <c r="Y188" i="1"/>
  <c r="H9" i="1"/>
  <c r="A10" i="1"/>
  <c r="Y44" i="1"/>
  <c r="Y59" i="1"/>
  <c r="Y71" i="1"/>
  <c r="BP81" i="1"/>
  <c r="BN81" i="1"/>
  <c r="Z81" i="1"/>
  <c r="Z82" i="1" s="1"/>
  <c r="E501" i="1"/>
  <c r="Y90" i="1"/>
  <c r="BP86" i="1"/>
  <c r="BN86" i="1"/>
  <c r="Z86" i="1"/>
  <c r="BP89" i="1"/>
  <c r="BN89" i="1"/>
  <c r="Z89" i="1"/>
  <c r="Y98" i="1"/>
  <c r="BP93" i="1"/>
  <c r="BN93" i="1"/>
  <c r="Z93" i="1"/>
  <c r="BP103" i="1"/>
  <c r="BN103" i="1"/>
  <c r="Z103" i="1"/>
  <c r="Z106" i="1" s="1"/>
  <c r="Y141" i="1"/>
  <c r="BP169" i="1"/>
  <c r="BN169" i="1"/>
  <c r="Z169" i="1"/>
  <c r="BP174" i="1"/>
  <c r="BN174" i="1"/>
  <c r="Z174" i="1"/>
  <c r="Y184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21" i="1" l="1"/>
  <c r="Z465" i="1"/>
  <c r="Y492" i="1"/>
  <c r="Z328" i="1"/>
  <c r="Z97" i="1"/>
  <c r="Z177" i="1"/>
  <c r="Z64" i="1"/>
  <c r="Z415" i="1"/>
  <c r="Y491" i="1"/>
  <c r="Y493" i="1"/>
  <c r="Z90" i="1"/>
  <c r="Z77" i="1"/>
  <c r="Z496" i="1" s="1"/>
  <c r="Y495" i="1"/>
  <c r="Y494" i="1" l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<sst xmlns="http://schemas.openxmlformats.org/spreadsheetml/2006/main" count="2335" uniqueCount="775">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</sst>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0" t="s">
        <v>0</v>
      </c>
      <c r="E1" s="574"/>
      <c r="F1" s="574"/>
      <c r="G1" s="12" t="s">
        <v>1</v>
      </c>
      <c r="H1" s="800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852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1" t="s">
        <v>8</v>
      </c>
      <c r="B5" s="550"/>
      <c r="C5" s="551"/>
      <c r="D5" s="653"/>
      <c r="E5" s="655"/>
      <c r="F5" s="624" t="s">
        <v>9</v>
      </c>
      <c r="G5" s="551"/>
      <c r="H5" s="653"/>
      <c r="I5" s="654"/>
      <c r="J5" s="654"/>
      <c r="K5" s="654"/>
      <c r="L5" s="654"/>
      <c r="M5" s="655"/>
      <c r="N5" s="58"/>
      <c r="P5" s="24" t="s">
        <v>10</v>
      </c>
      <c r="Q5" s="582">
        <v>46004</v>
      </c>
      <c r="R5" s="583"/>
      <c r="T5" s="736" t="s">
        <v>11</v>
      </c>
      <c r="U5" s="586"/>
      <c r="V5" s="738" t="s">
        <v>12</v>
      </c>
      <c r="W5" s="583"/>
      <c r="AB5" s="51"/>
      <c r="AC5" s="51"/>
      <c r="AD5" s="51"/>
      <c r="AE5" s="51"/>
    </row>
    <row r="6" spans="1:32" s="539" customFormat="1" ht="24" customHeight="1" x14ac:dyDescent="0.2">
      <c r="A6" s="761" t="s">
        <v>13</v>
      </c>
      <c r="B6" s="550"/>
      <c r="C6" s="551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83"/>
      <c r="N6" s="59"/>
      <c r="P6" s="24" t="s">
        <v>15</v>
      </c>
      <c r="Q6" s="593" t="str">
        <f>IF(Q5=0," ",CHOOSE(WEEKDAY(Q5,2),"Понедельник","Вторник","Среда","Четверг","Пятница","Суббота","Воскресенье"))</f>
        <v>Суббота</v>
      </c>
      <c r="R6" s="562"/>
      <c r="T6" s="729" t="s">
        <v>16</v>
      </c>
      <c r="U6" s="586"/>
      <c r="V6" s="708" t="s">
        <v>17</v>
      </c>
      <c r="W6" s="70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3"/>
      <c r="N7" s="60"/>
      <c r="P7" s="24"/>
      <c r="Q7" s="42"/>
      <c r="R7" s="42"/>
      <c r="T7" s="556"/>
      <c r="U7" s="586"/>
      <c r="V7" s="710"/>
      <c r="W7" s="711"/>
      <c r="AB7" s="51"/>
      <c r="AC7" s="51"/>
      <c r="AD7" s="51"/>
      <c r="AE7" s="51"/>
    </row>
    <row r="8" spans="1:32" s="539" customFormat="1" ht="25.5" customHeight="1" x14ac:dyDescent="0.2">
      <c r="A8" s="735" t="s">
        <v>18</v>
      </c>
      <c r="B8" s="553"/>
      <c r="C8" s="554"/>
      <c r="D8" s="834" t="s">
        <v>19</v>
      </c>
      <c r="E8" s="835"/>
      <c r="F8" s="835"/>
      <c r="G8" s="835"/>
      <c r="H8" s="835"/>
      <c r="I8" s="835"/>
      <c r="J8" s="835"/>
      <c r="K8" s="835"/>
      <c r="L8" s="835"/>
      <c r="M8" s="836"/>
      <c r="N8" s="61"/>
      <c r="P8" s="24" t="s">
        <v>20</v>
      </c>
      <c r="Q8" s="742">
        <v>0.41666666666666669</v>
      </c>
      <c r="R8" s="743"/>
      <c r="T8" s="556"/>
      <c r="U8" s="586"/>
      <c r="V8" s="710"/>
      <c r="W8" s="711"/>
      <c r="AB8" s="51"/>
      <c r="AC8" s="51"/>
      <c r="AD8" s="51"/>
      <c r="AE8" s="51"/>
    </row>
    <row r="9" spans="1:32" s="539" customFormat="1" ht="39.950000000000003" customHeight="1" x14ac:dyDescent="0.2">
      <c r="A9" s="5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19"/>
      <c r="E9" s="620"/>
      <c r="F9" s="5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0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0"/>
      <c r="L9" s="620"/>
      <c r="M9" s="620"/>
      <c r="N9" s="537"/>
      <c r="P9" s="26" t="s">
        <v>21</v>
      </c>
      <c r="Q9" s="779"/>
      <c r="R9" s="626"/>
      <c r="T9" s="556"/>
      <c r="U9" s="586"/>
      <c r="V9" s="712"/>
      <c r="W9" s="71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19"/>
      <c r="E10" s="620"/>
      <c r="F10" s="5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72" t="str">
        <f>IFERROR(VLOOKUP($D$10,Proxy,2,FALSE),"")</f>
        <v/>
      </c>
      <c r="I10" s="556"/>
      <c r="J10" s="556"/>
      <c r="K10" s="556"/>
      <c r="L10" s="556"/>
      <c r="M10" s="556"/>
      <c r="N10" s="538"/>
      <c r="P10" s="26" t="s">
        <v>22</v>
      </c>
      <c r="Q10" s="730"/>
      <c r="R10" s="731"/>
      <c r="U10" s="24" t="s">
        <v>23</v>
      </c>
      <c r="V10" s="862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3"/>
      <c r="R11" s="583"/>
      <c r="U11" s="24" t="s">
        <v>27</v>
      </c>
      <c r="V11" s="625" t="s">
        <v>28</v>
      </c>
      <c r="W11" s="62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5" t="s">
        <v>29</v>
      </c>
      <c r="B12" s="550"/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1"/>
      <c r="N12" s="62"/>
      <c r="P12" s="24" t="s">
        <v>30</v>
      </c>
      <c r="Q12" s="742"/>
      <c r="R12" s="743"/>
      <c r="S12" s="23"/>
      <c r="U12" s="24"/>
      <c r="V12" s="574"/>
      <c r="W12" s="556"/>
      <c r="AB12" s="51"/>
      <c r="AC12" s="51"/>
      <c r="AD12" s="51"/>
      <c r="AE12" s="51"/>
    </row>
    <row r="13" spans="1:32" s="539" customFormat="1" ht="23.25" customHeight="1" x14ac:dyDescent="0.2">
      <c r="A13" s="715" t="s">
        <v>31</v>
      </c>
      <c r="B13" s="550"/>
      <c r="C13" s="550"/>
      <c r="D13" s="550"/>
      <c r="E13" s="550"/>
      <c r="F13" s="550"/>
      <c r="G13" s="550"/>
      <c r="H13" s="550"/>
      <c r="I13" s="550"/>
      <c r="J13" s="550"/>
      <c r="K13" s="550"/>
      <c r="L13" s="550"/>
      <c r="M13" s="551"/>
      <c r="N13" s="62"/>
      <c r="O13" s="26"/>
      <c r="P13" s="26" t="s">
        <v>32</v>
      </c>
      <c r="Q13" s="625"/>
      <c r="R13" s="62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5" t="s">
        <v>33</v>
      </c>
      <c r="B14" s="550"/>
      <c r="C14" s="550"/>
      <c r="D14" s="550"/>
      <c r="E14" s="550"/>
      <c r="F14" s="550"/>
      <c r="G14" s="550"/>
      <c r="H14" s="550"/>
      <c r="I14" s="550"/>
      <c r="J14" s="550"/>
      <c r="K14" s="550"/>
      <c r="L14" s="550"/>
      <c r="M14" s="55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16" t="s">
        <v>34</v>
      </c>
      <c r="B15" s="550"/>
      <c r="C15" s="550"/>
      <c r="D15" s="550"/>
      <c r="E15" s="550"/>
      <c r="F15" s="550"/>
      <c r="G15" s="550"/>
      <c r="H15" s="550"/>
      <c r="I15" s="550"/>
      <c r="J15" s="550"/>
      <c r="K15" s="550"/>
      <c r="L15" s="550"/>
      <c r="M15" s="551"/>
      <c r="N15" s="63"/>
      <c r="P15" s="753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4"/>
      <c r="Q16" s="754"/>
      <c r="R16" s="754"/>
      <c r="S16" s="754"/>
      <c r="T16" s="7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4" t="s">
        <v>36</v>
      </c>
      <c r="B17" s="564" t="s">
        <v>37</v>
      </c>
      <c r="C17" s="766" t="s">
        <v>38</v>
      </c>
      <c r="D17" s="564" t="s">
        <v>39</v>
      </c>
      <c r="E17" s="565"/>
      <c r="F17" s="564" t="s">
        <v>40</v>
      </c>
      <c r="G17" s="564" t="s">
        <v>41</v>
      </c>
      <c r="H17" s="564" t="s">
        <v>42</v>
      </c>
      <c r="I17" s="564" t="s">
        <v>43</v>
      </c>
      <c r="J17" s="564" t="s">
        <v>44</v>
      </c>
      <c r="K17" s="564" t="s">
        <v>45</v>
      </c>
      <c r="L17" s="564" t="s">
        <v>46</v>
      </c>
      <c r="M17" s="564" t="s">
        <v>47</v>
      </c>
      <c r="N17" s="564" t="s">
        <v>48</v>
      </c>
      <c r="O17" s="564" t="s">
        <v>49</v>
      </c>
      <c r="P17" s="564" t="s">
        <v>50</v>
      </c>
      <c r="Q17" s="805"/>
      <c r="R17" s="805"/>
      <c r="S17" s="805"/>
      <c r="T17" s="565"/>
      <c r="U17" s="721" t="s">
        <v>51</v>
      </c>
      <c r="V17" s="551"/>
      <c r="W17" s="564" t="s">
        <v>52</v>
      </c>
      <c r="X17" s="564" t="s">
        <v>53</v>
      </c>
      <c r="Y17" s="719" t="s">
        <v>54</v>
      </c>
      <c r="Z17" s="677" t="s">
        <v>55</v>
      </c>
      <c r="AA17" s="602" t="s">
        <v>56</v>
      </c>
      <c r="AB17" s="602" t="s">
        <v>57</v>
      </c>
      <c r="AC17" s="602" t="s">
        <v>58</v>
      </c>
      <c r="AD17" s="602" t="s">
        <v>59</v>
      </c>
      <c r="AE17" s="603"/>
      <c r="AF17" s="604"/>
      <c r="AG17" s="66"/>
      <c r="BD17" s="65" t="s">
        <v>60</v>
      </c>
    </row>
    <row r="18" spans="1:68" ht="14.25" customHeight="1" x14ac:dyDescent="0.2">
      <c r="A18" s="571"/>
      <c r="B18" s="571"/>
      <c r="C18" s="571"/>
      <c r="D18" s="566"/>
      <c r="E18" s="567"/>
      <c r="F18" s="571"/>
      <c r="G18" s="571"/>
      <c r="H18" s="571"/>
      <c r="I18" s="571"/>
      <c r="J18" s="571"/>
      <c r="K18" s="571"/>
      <c r="L18" s="571"/>
      <c r="M18" s="571"/>
      <c r="N18" s="571"/>
      <c r="O18" s="571"/>
      <c r="P18" s="566"/>
      <c r="Q18" s="806"/>
      <c r="R18" s="806"/>
      <c r="S18" s="806"/>
      <c r="T18" s="567"/>
      <c r="U18" s="67" t="s">
        <v>61</v>
      </c>
      <c r="V18" s="67" t="s">
        <v>62</v>
      </c>
      <c r="W18" s="571"/>
      <c r="X18" s="571"/>
      <c r="Y18" s="720"/>
      <c r="Z18" s="678"/>
      <c r="AA18" s="671"/>
      <c r="AB18" s="671"/>
      <c r="AC18" s="671"/>
      <c r="AD18" s="605"/>
      <c r="AE18" s="606"/>
      <c r="AF18" s="607"/>
      <c r="AG18" s="66"/>
      <c r="BD18" s="65"/>
    </row>
    <row r="19" spans="1:68" ht="27.75" customHeight="1" x14ac:dyDescent="0.2">
      <c r="A19" s="686" t="s">
        <v>63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customHeight="1" x14ac:dyDescent="0.25">
      <c r="A20" s="576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0"/>
      <c r="AB20" s="540"/>
      <c r="AC20" s="540"/>
    </row>
    <row r="21" spans="1:68" ht="14.25" customHeight="1" x14ac:dyDescent="0.25">
      <c r="A21" s="560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7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78"/>
      <c r="P24" s="552" t="s">
        <v>75</v>
      </c>
      <c r="Q24" s="553"/>
      <c r="R24" s="553"/>
      <c r="S24" s="553"/>
      <c r="T24" s="553"/>
      <c r="U24" s="553"/>
      <c r="V24" s="554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78"/>
      <c r="P25" s="552" t="s">
        <v>75</v>
      </c>
      <c r="Q25" s="553"/>
      <c r="R25" s="553"/>
      <c r="S25" s="553"/>
      <c r="T25" s="553"/>
      <c r="U25" s="553"/>
      <c r="V25" s="554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60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61">
        <v>4607091388244</v>
      </c>
      <c r="E31" s="562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7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78"/>
      <c r="P32" s="552" t="s">
        <v>75</v>
      </c>
      <c r="Q32" s="553"/>
      <c r="R32" s="553"/>
      <c r="S32" s="553"/>
      <c r="T32" s="553"/>
      <c r="U32" s="553"/>
      <c r="V32" s="554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78"/>
      <c r="P33" s="552" t="s">
        <v>75</v>
      </c>
      <c r="Q33" s="553"/>
      <c r="R33" s="553"/>
      <c r="S33" s="553"/>
      <c r="T33" s="553"/>
      <c r="U33" s="553"/>
      <c r="V33" s="554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60" t="s">
        <v>94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61">
        <v>4607091388503</v>
      </c>
      <c r="E35" s="562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6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7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78"/>
      <c r="P36" s="552" t="s">
        <v>75</v>
      </c>
      <c r="Q36" s="553"/>
      <c r="R36" s="553"/>
      <c r="S36" s="553"/>
      <c r="T36" s="553"/>
      <c r="U36" s="553"/>
      <c r="V36" s="554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78"/>
      <c r="P37" s="552" t="s">
        <v>75</v>
      </c>
      <c r="Q37" s="553"/>
      <c r="R37" s="553"/>
      <c r="S37" s="553"/>
      <c r="T37" s="553"/>
      <c r="U37" s="553"/>
      <c r="V37" s="554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686" t="s">
        <v>100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customHeight="1" x14ac:dyDescent="0.25">
      <c r="A39" s="576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0"/>
      <c r="AB39" s="540"/>
      <c r="AC39" s="540"/>
    </row>
    <row r="40" spans="1:68" ht="14.25" customHeight="1" x14ac:dyDescent="0.25">
      <c r="A40" s="560" t="s">
        <v>102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61">
        <v>4607091385670</v>
      </c>
      <c r="E41" s="562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61">
        <v>4607091385687</v>
      </c>
      <c r="E42" s="562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61">
        <v>4680115882539</v>
      </c>
      <c r="E43" s="562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45">
        <v>74</v>
      </c>
      <c r="Y43" s="546">
        <f>IFERROR(IF(X43="",0,CEILING((X43/$H43),1)*$H43),"")</f>
        <v>74</v>
      </c>
      <c r="Z43" s="36">
        <f>IFERROR(IF(Y43=0,"",ROUNDUP(Y43/H43,0)*0.00902),"")</f>
        <v>0.1804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77.8</v>
      </c>
      <c r="BN43" s="64">
        <f>IFERROR(Y43*I43/H43,"0")</f>
        <v>77.8</v>
      </c>
      <c r="BO43" s="64">
        <f>IFERROR(1/J43*(X43/H43),"0")</f>
        <v>0.15151515151515152</v>
      </c>
      <c r="BP43" s="64">
        <f>IFERROR(1/J43*(Y43/H43),"0")</f>
        <v>0.15151515151515152</v>
      </c>
    </row>
    <row r="44" spans="1:68" x14ac:dyDescent="0.2">
      <c r="A44" s="577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78"/>
      <c r="P44" s="552" t="s">
        <v>75</v>
      </c>
      <c r="Q44" s="553"/>
      <c r="R44" s="553"/>
      <c r="S44" s="553"/>
      <c r="T44" s="553"/>
      <c r="U44" s="553"/>
      <c r="V44" s="554"/>
      <c r="W44" s="37" t="s">
        <v>76</v>
      </c>
      <c r="X44" s="547">
        <f>IFERROR(X41/H41,"0")+IFERROR(X42/H42,"0")+IFERROR(X43/H43,"0")</f>
        <v>20</v>
      </c>
      <c r="Y44" s="547">
        <f>IFERROR(Y41/H41,"0")+IFERROR(Y42/H42,"0")+IFERROR(Y43/H43,"0")</f>
        <v>20</v>
      </c>
      <c r="Z44" s="547">
        <f>IFERROR(IF(Z41="",0,Z41),"0")+IFERROR(IF(Z42="",0,Z42),"0")+IFERROR(IF(Z43="",0,Z43),"0")</f>
        <v>0.1804</v>
      </c>
      <c r="AA44" s="548"/>
      <c r="AB44" s="548"/>
      <c r="AC44" s="548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78"/>
      <c r="P45" s="552" t="s">
        <v>75</v>
      </c>
      <c r="Q45" s="553"/>
      <c r="R45" s="553"/>
      <c r="S45" s="553"/>
      <c r="T45" s="553"/>
      <c r="U45" s="553"/>
      <c r="V45" s="554"/>
      <c r="W45" s="37" t="s">
        <v>69</v>
      </c>
      <c r="X45" s="547">
        <f>IFERROR(SUM(X41:X43),"0")</f>
        <v>74</v>
      </c>
      <c r="Y45" s="547">
        <f>IFERROR(SUM(Y41:Y43),"0")</f>
        <v>74</v>
      </c>
      <c r="Z45" s="37"/>
      <c r="AA45" s="548"/>
      <c r="AB45" s="548"/>
      <c r="AC45" s="548"/>
    </row>
    <row r="46" spans="1:68" ht="14.25" customHeight="1" x14ac:dyDescent="0.25">
      <c r="A46" s="560" t="s">
        <v>77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1">
        <v>4680115884915</v>
      </c>
      <c r="E47" s="562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7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78"/>
      <c r="P48" s="552" t="s">
        <v>75</v>
      </c>
      <c r="Q48" s="553"/>
      <c r="R48" s="553"/>
      <c r="S48" s="553"/>
      <c r="T48" s="553"/>
      <c r="U48" s="553"/>
      <c r="V48" s="554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78"/>
      <c r="P49" s="552" t="s">
        <v>75</v>
      </c>
      <c r="Q49" s="553"/>
      <c r="R49" s="553"/>
      <c r="S49" s="553"/>
      <c r="T49" s="553"/>
      <c r="U49" s="553"/>
      <c r="V49" s="554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76" t="s">
        <v>119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0"/>
      <c r="AB50" s="540"/>
      <c r="AC50" s="540"/>
    </row>
    <row r="51" spans="1:68" ht="14.25" customHeight="1" x14ac:dyDescent="0.25">
      <c r="A51" s="560" t="s">
        <v>102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1">
        <v>4680115885882</v>
      </c>
      <c r="E52" s="562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1">
        <v>4680115881426</v>
      </c>
      <c r="E53" s="562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7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1">
        <v>4680115880283</v>
      </c>
      <c r="E54" s="562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6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1">
        <v>4680115881525</v>
      </c>
      <c r="E55" s="562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7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1">
        <v>4680115885899</v>
      </c>
      <c r="E56" s="562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8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1">
        <v>4680115881419</v>
      </c>
      <c r="E57" s="562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6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7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78"/>
      <c r="P58" s="552" t="s">
        <v>75</v>
      </c>
      <c r="Q58" s="553"/>
      <c r="R58" s="553"/>
      <c r="S58" s="553"/>
      <c r="T58" s="553"/>
      <c r="U58" s="553"/>
      <c r="V58" s="554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78"/>
      <c r="P59" s="552" t="s">
        <v>75</v>
      </c>
      <c r="Q59" s="553"/>
      <c r="R59" s="553"/>
      <c r="S59" s="553"/>
      <c r="T59" s="553"/>
      <c r="U59" s="553"/>
      <c r="V59" s="554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60" t="s">
        <v>138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1">
        <v>4680115881440</v>
      </c>
      <c r="E61" s="562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6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1">
        <v>4680115885950</v>
      </c>
      <c r="E62" s="562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1">
        <v>4680115881433</v>
      </c>
      <c r="E63" s="562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7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78"/>
      <c r="P64" s="552" t="s">
        <v>75</v>
      </c>
      <c r="Q64" s="553"/>
      <c r="R64" s="553"/>
      <c r="S64" s="553"/>
      <c r="T64" s="553"/>
      <c r="U64" s="553"/>
      <c r="V64" s="554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78"/>
      <c r="P65" s="552" t="s">
        <v>75</v>
      </c>
      <c r="Q65" s="553"/>
      <c r="R65" s="553"/>
      <c r="S65" s="553"/>
      <c r="T65" s="553"/>
      <c r="U65" s="553"/>
      <c r="V65" s="554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60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1">
        <v>4680115885073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61">
        <v>4680115885059</v>
      </c>
      <c r="E68" s="562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61">
        <v>4680115885097</v>
      </c>
      <c r="E69" s="562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8"/>
      <c r="R69" s="558"/>
      <c r="S69" s="558"/>
      <c r="T69" s="559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7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78"/>
      <c r="P70" s="552" t="s">
        <v>75</v>
      </c>
      <c r="Q70" s="553"/>
      <c r="R70" s="553"/>
      <c r="S70" s="553"/>
      <c r="T70" s="553"/>
      <c r="U70" s="553"/>
      <c r="V70" s="554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78"/>
      <c r="P71" s="552" t="s">
        <v>75</v>
      </c>
      <c r="Q71" s="553"/>
      <c r="R71" s="553"/>
      <c r="S71" s="553"/>
      <c r="T71" s="553"/>
      <c r="U71" s="553"/>
      <c r="V71" s="554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60" t="s">
        <v>77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61">
        <v>4680115885769</v>
      </c>
      <c r="E73" s="562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61">
        <v>4680115884311</v>
      </c>
      <c r="E74" s="562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61">
        <v>4680115885929</v>
      </c>
      <c r="E75" s="562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1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61">
        <v>4680115884403</v>
      </c>
      <c r="E76" s="562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3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8"/>
      <c r="R76" s="558"/>
      <c r="S76" s="558"/>
      <c r="T76" s="559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7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78"/>
      <c r="P77" s="552" t="s">
        <v>75</v>
      </c>
      <c r="Q77" s="553"/>
      <c r="R77" s="553"/>
      <c r="S77" s="553"/>
      <c r="T77" s="553"/>
      <c r="U77" s="553"/>
      <c r="V77" s="554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78"/>
      <c r="P78" s="552" t="s">
        <v>75</v>
      </c>
      <c r="Q78" s="553"/>
      <c r="R78" s="553"/>
      <c r="S78" s="553"/>
      <c r="T78" s="553"/>
      <c r="U78" s="553"/>
      <c r="V78" s="554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60" t="s">
        <v>166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61">
        <v>4680115881532</v>
      </c>
      <c r="E80" s="562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45">
        <v>21</v>
      </c>
      <c r="Y80" s="546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22.103846153846156</v>
      </c>
      <c r="BN80" s="64">
        <f>IFERROR(Y80*I80/H80,"0")</f>
        <v>24.630000000000003</v>
      </c>
      <c r="BO80" s="64">
        <f>IFERROR(1/J80*(X80/H80),"0")</f>
        <v>4.2067307692307696E-2</v>
      </c>
      <c r="BP80" s="64">
        <f>IFERROR(1/J80*(Y80/H80),"0")</f>
        <v>4.6875E-2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61">
        <v>4680115881464</v>
      </c>
      <c r="E81" s="562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8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8"/>
      <c r="R81" s="558"/>
      <c r="S81" s="558"/>
      <c r="T81" s="559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7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78"/>
      <c r="P82" s="552" t="s">
        <v>75</v>
      </c>
      <c r="Q82" s="553"/>
      <c r="R82" s="553"/>
      <c r="S82" s="553"/>
      <c r="T82" s="553"/>
      <c r="U82" s="553"/>
      <c r="V82" s="554"/>
      <c r="W82" s="37" t="s">
        <v>76</v>
      </c>
      <c r="X82" s="547">
        <f>IFERROR(X80/H80,"0")+IFERROR(X81/H81,"0")</f>
        <v>2.6923076923076925</v>
      </c>
      <c r="Y82" s="547">
        <f>IFERROR(Y80/H80,"0")+IFERROR(Y81/H81,"0")</f>
        <v>3</v>
      </c>
      <c r="Z82" s="547">
        <f>IFERROR(IF(Z80="",0,Z80),"0")+IFERROR(IF(Z81="",0,Z81),"0")</f>
        <v>5.6940000000000004E-2</v>
      </c>
      <c r="AA82" s="548"/>
      <c r="AB82" s="548"/>
      <c r="AC82" s="548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78"/>
      <c r="P83" s="552" t="s">
        <v>75</v>
      </c>
      <c r="Q83" s="553"/>
      <c r="R83" s="553"/>
      <c r="S83" s="553"/>
      <c r="T83" s="553"/>
      <c r="U83" s="553"/>
      <c r="V83" s="554"/>
      <c r="W83" s="37" t="s">
        <v>69</v>
      </c>
      <c r="X83" s="547">
        <f>IFERROR(SUM(X80:X81),"0")</f>
        <v>21</v>
      </c>
      <c r="Y83" s="547">
        <f>IFERROR(SUM(Y80:Y81),"0")</f>
        <v>23.4</v>
      </c>
      <c r="Z83" s="37"/>
      <c r="AA83" s="548"/>
      <c r="AB83" s="548"/>
      <c r="AC83" s="548"/>
    </row>
    <row r="84" spans="1:68" ht="16.5" customHeight="1" x14ac:dyDescent="0.25">
      <c r="A84" s="576" t="s">
        <v>173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0"/>
      <c r="AB84" s="540"/>
      <c r="AC84" s="540"/>
    </row>
    <row r="85" spans="1:68" ht="14.25" customHeight="1" x14ac:dyDescent="0.25">
      <c r="A85" s="560" t="s">
        <v>102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1">
        <v>4680115881327</v>
      </c>
      <c r="E86" s="562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8"/>
      <c r="R86" s="558"/>
      <c r="S86" s="558"/>
      <c r="T86" s="559"/>
      <c r="U86" s="34"/>
      <c r="V86" s="34"/>
      <c r="W86" s="35" t="s">
        <v>69</v>
      </c>
      <c r="X86" s="545">
        <v>15</v>
      </c>
      <c r="Y86" s="546">
        <f>IFERROR(IF(X86="",0,CEILING((X86/$H86),1)*$H86),"")</f>
        <v>21.6</v>
      </c>
      <c r="Z86" s="36">
        <f>IFERROR(IF(Y86=0,"",ROUNDUP(Y86/H86,0)*0.01898),"")</f>
        <v>3.7960000000000001E-2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15.569444444444445</v>
      </c>
      <c r="BN86" s="64">
        <f>IFERROR(Y86*I86/H86,"0")</f>
        <v>22.42</v>
      </c>
      <c r="BO86" s="64">
        <f>IFERROR(1/J86*(X86/H86),"0")</f>
        <v>2.1701388888888888E-2</v>
      </c>
      <c r="BP86" s="64">
        <f>IFERROR(1/J86*(Y86/H86),"0")</f>
        <v>3.125E-2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61">
        <v>4680115887732</v>
      </c>
      <c r="E87" s="562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2" t="s">
        <v>180</v>
      </c>
      <c r="Q87" s="558"/>
      <c r="R87" s="558"/>
      <c r="S87" s="558"/>
      <c r="T87" s="559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61">
        <v>4680115881518</v>
      </c>
      <c r="E88" s="562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8"/>
      <c r="R88" s="558"/>
      <c r="S88" s="558"/>
      <c r="T88" s="559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61">
        <v>4680115881303</v>
      </c>
      <c r="E89" s="562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8"/>
      <c r="R89" s="558"/>
      <c r="S89" s="558"/>
      <c r="T89" s="559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77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78"/>
      <c r="P90" s="552" t="s">
        <v>75</v>
      </c>
      <c r="Q90" s="553"/>
      <c r="R90" s="553"/>
      <c r="S90" s="553"/>
      <c r="T90" s="553"/>
      <c r="U90" s="553"/>
      <c r="V90" s="554"/>
      <c r="W90" s="37" t="s">
        <v>76</v>
      </c>
      <c r="X90" s="547">
        <f>IFERROR(X86/H86,"0")+IFERROR(X87/H87,"0")+IFERROR(X88/H88,"0")+IFERROR(X89/H89,"0")</f>
        <v>1.3888888888888888</v>
      </c>
      <c r="Y90" s="547">
        <f>IFERROR(Y86/H86,"0")+IFERROR(Y87/H87,"0")+IFERROR(Y88/H88,"0")+IFERROR(Y89/H89,"0")</f>
        <v>2</v>
      </c>
      <c r="Z90" s="547">
        <f>IFERROR(IF(Z86="",0,Z86),"0")+IFERROR(IF(Z87="",0,Z87),"0")+IFERROR(IF(Z88="",0,Z88),"0")+IFERROR(IF(Z89="",0,Z89),"0")</f>
        <v>3.7960000000000001E-2</v>
      </c>
      <c r="AA90" s="548"/>
      <c r="AB90" s="548"/>
      <c r="AC90" s="548"/>
    </row>
    <row r="91" spans="1:68" x14ac:dyDescent="0.2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78"/>
      <c r="P91" s="552" t="s">
        <v>75</v>
      </c>
      <c r="Q91" s="553"/>
      <c r="R91" s="553"/>
      <c r="S91" s="553"/>
      <c r="T91" s="553"/>
      <c r="U91" s="553"/>
      <c r="V91" s="554"/>
      <c r="W91" s="37" t="s">
        <v>69</v>
      </c>
      <c r="X91" s="547">
        <f>IFERROR(SUM(X86:X89),"0")</f>
        <v>15</v>
      </c>
      <c r="Y91" s="547">
        <f>IFERROR(SUM(Y86:Y89),"0")</f>
        <v>21.6</v>
      </c>
      <c r="Z91" s="37"/>
      <c r="AA91" s="548"/>
      <c r="AB91" s="548"/>
      <c r="AC91" s="548"/>
    </row>
    <row r="92" spans="1:68" ht="14.25" customHeight="1" x14ac:dyDescent="0.25">
      <c r="A92" s="560" t="s">
        <v>77</v>
      </c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61">
        <v>4607091386967</v>
      </c>
      <c r="E93" s="562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61">
        <v>4680115884953</v>
      </c>
      <c r="E94" s="562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61">
        <v>4607091385731</v>
      </c>
      <c r="E95" s="562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8"/>
      <c r="R95" s="558"/>
      <c r="S95" s="558"/>
      <c r="T95" s="559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61">
        <v>4680115880894</v>
      </c>
      <c r="E96" s="562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6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8"/>
      <c r="R96" s="558"/>
      <c r="S96" s="558"/>
      <c r="T96" s="559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77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78"/>
      <c r="P97" s="552" t="s">
        <v>75</v>
      </c>
      <c r="Q97" s="553"/>
      <c r="R97" s="553"/>
      <c r="S97" s="553"/>
      <c r="T97" s="553"/>
      <c r="U97" s="553"/>
      <c r="V97" s="554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6"/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78"/>
      <c r="P98" s="552" t="s">
        <v>75</v>
      </c>
      <c r="Q98" s="553"/>
      <c r="R98" s="553"/>
      <c r="S98" s="553"/>
      <c r="T98" s="553"/>
      <c r="U98" s="553"/>
      <c r="V98" s="554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76" t="s">
        <v>198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0"/>
      <c r="AB99" s="540"/>
      <c r="AC99" s="540"/>
    </row>
    <row r="100" spans="1:68" ht="14.25" customHeight="1" x14ac:dyDescent="0.25">
      <c r="A100" s="560" t="s">
        <v>102</v>
      </c>
      <c r="B100" s="556"/>
      <c r="C100" s="556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61">
        <v>4680115882133</v>
      </c>
      <c r="E101" s="562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45">
        <v>42</v>
      </c>
      <c r="Y101" s="546">
        <f>IFERROR(IF(X101="",0,CEILING((X101/$H101),1)*$H101),"")</f>
        <v>43.2</v>
      </c>
      <c r="Z101" s="36">
        <f>IFERROR(IF(Y101=0,"",ROUNDUP(Y101/H101,0)*0.01898),"")</f>
        <v>7.5920000000000001E-2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43.594444444444449</v>
      </c>
      <c r="BN101" s="64">
        <f>IFERROR(Y101*I101/H101,"0")</f>
        <v>44.84</v>
      </c>
      <c r="BO101" s="64">
        <f>IFERROR(1/J101*(X101/H101),"0")</f>
        <v>6.0763888888888888E-2</v>
      </c>
      <c r="BP101" s="64">
        <f>IFERROR(1/J101*(Y101/H101),"0")</f>
        <v>6.25E-2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61">
        <v>4680115887718</v>
      </c>
      <c r="E102" s="562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630" t="s">
        <v>204</v>
      </c>
      <c r="Q102" s="558"/>
      <c r="R102" s="558"/>
      <c r="S102" s="558"/>
      <c r="T102" s="559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61">
        <v>4680115880269</v>
      </c>
      <c r="E103" s="562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61">
        <v>4680115880429</v>
      </c>
      <c r="E104" s="562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8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45">
        <v>23</v>
      </c>
      <c r="Y104" s="546">
        <f>IFERROR(IF(X104="",0,CEILING((X104/$H104),1)*$H104),"")</f>
        <v>27</v>
      </c>
      <c r="Z104" s="36">
        <f>IFERROR(IF(Y104=0,"",ROUNDUP(Y104/H104,0)*0.00902),"")</f>
        <v>5.4120000000000001E-2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23.971111111111114</v>
      </c>
      <c r="BN104" s="64">
        <f>IFERROR(Y104*I104/H104,"0")</f>
        <v>28.14</v>
      </c>
      <c r="BO104" s="64">
        <f>IFERROR(1/J104*(X104/H104),"0")</f>
        <v>3.8720538720538718E-2</v>
      </c>
      <c r="BP104" s="64">
        <f>IFERROR(1/J104*(Y104/H104),"0")</f>
        <v>4.5454545454545456E-2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61">
        <v>4680115881457</v>
      </c>
      <c r="E105" s="562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8"/>
      <c r="R105" s="558"/>
      <c r="S105" s="558"/>
      <c r="T105" s="559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77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78"/>
      <c r="P106" s="552" t="s">
        <v>75</v>
      </c>
      <c r="Q106" s="553"/>
      <c r="R106" s="553"/>
      <c r="S106" s="553"/>
      <c r="T106" s="553"/>
      <c r="U106" s="553"/>
      <c r="V106" s="554"/>
      <c r="W106" s="37" t="s">
        <v>76</v>
      </c>
      <c r="X106" s="547">
        <f>IFERROR(X101/H101,"0")+IFERROR(X102/H102,"0")+IFERROR(X103/H103,"0")+IFERROR(X104/H104,"0")+IFERROR(X105/H105,"0")</f>
        <v>9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0.13003999999999999</v>
      </c>
      <c r="AA106" s="548"/>
      <c r="AB106" s="548"/>
      <c r="AC106" s="548"/>
    </row>
    <row r="107" spans="1:68" x14ac:dyDescent="0.2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78"/>
      <c r="P107" s="552" t="s">
        <v>75</v>
      </c>
      <c r="Q107" s="553"/>
      <c r="R107" s="553"/>
      <c r="S107" s="553"/>
      <c r="T107" s="553"/>
      <c r="U107" s="553"/>
      <c r="V107" s="554"/>
      <c r="W107" s="37" t="s">
        <v>69</v>
      </c>
      <c r="X107" s="547">
        <f>IFERROR(SUM(X101:X105),"0")</f>
        <v>65</v>
      </c>
      <c r="Y107" s="547">
        <f>IFERROR(SUM(Y101:Y105),"0")</f>
        <v>70.2</v>
      </c>
      <c r="Z107" s="37"/>
      <c r="AA107" s="548"/>
      <c r="AB107" s="548"/>
      <c r="AC107" s="548"/>
    </row>
    <row r="108" spans="1:68" ht="14.25" customHeight="1" x14ac:dyDescent="0.25">
      <c r="A108" s="560" t="s">
        <v>138</v>
      </c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61">
        <v>4680115881488</v>
      </c>
      <c r="E109" s="562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61">
        <v>4680115887664</v>
      </c>
      <c r="E110" s="562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634" t="s">
        <v>218</v>
      </c>
      <c r="Q110" s="558"/>
      <c r="R110" s="558"/>
      <c r="S110" s="558"/>
      <c r="T110" s="559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61">
        <v>4680115882775</v>
      </c>
      <c r="E111" s="562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61">
        <v>4680115880658</v>
      </c>
      <c r="E112" s="562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6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8"/>
      <c r="R112" s="558"/>
      <c r="S112" s="558"/>
      <c r="T112" s="559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77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78"/>
      <c r="P113" s="552" t="s">
        <v>75</v>
      </c>
      <c r="Q113" s="553"/>
      <c r="R113" s="553"/>
      <c r="S113" s="553"/>
      <c r="T113" s="553"/>
      <c r="U113" s="553"/>
      <c r="V113" s="554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78"/>
      <c r="P114" s="552" t="s">
        <v>75</v>
      </c>
      <c r="Q114" s="553"/>
      <c r="R114" s="553"/>
      <c r="S114" s="553"/>
      <c r="T114" s="553"/>
      <c r="U114" s="553"/>
      <c r="V114" s="554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60" t="s">
        <v>77</v>
      </c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  <c r="O115" s="556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61">
        <v>4607091385168</v>
      </c>
      <c r="E116" s="562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45">
        <v>42</v>
      </c>
      <c r="Y116" s="546">
        <f>IFERROR(IF(X116="",0,CEILING((X116/$H116),1)*$H116),"")</f>
        <v>48.599999999999994</v>
      </c>
      <c r="Z116" s="36">
        <f>IFERROR(IF(Y116=0,"",ROUNDUP(Y116/H116,0)*0.01898),"")</f>
        <v>0.11388000000000001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44.53037037037037</v>
      </c>
      <c r="BN116" s="64">
        <f>IFERROR(Y116*I116/H116,"0")</f>
        <v>51.527999999999992</v>
      </c>
      <c r="BO116" s="64">
        <f>IFERROR(1/J116*(X116/H116),"0")</f>
        <v>8.1018518518518517E-2</v>
      </c>
      <c r="BP116" s="64">
        <f>IFERROR(1/J116*(Y116/H116),"0")</f>
        <v>9.375E-2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61">
        <v>4607091383256</v>
      </c>
      <c r="E117" s="562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61">
        <v>4607091385748</v>
      </c>
      <c r="E118" s="562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61">
        <v>4680115884533</v>
      </c>
      <c r="E119" s="562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7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8"/>
      <c r="R119" s="558"/>
      <c r="S119" s="558"/>
      <c r="T119" s="559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7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78"/>
      <c r="P120" s="552" t="s">
        <v>75</v>
      </c>
      <c r="Q120" s="553"/>
      <c r="R120" s="553"/>
      <c r="S120" s="553"/>
      <c r="T120" s="553"/>
      <c r="U120" s="553"/>
      <c r="V120" s="554"/>
      <c r="W120" s="37" t="s">
        <v>76</v>
      </c>
      <c r="X120" s="547">
        <f>IFERROR(X116/H116,"0")+IFERROR(X117/H117,"0")+IFERROR(X118/H118,"0")+IFERROR(X119/H119,"0")</f>
        <v>5.1851851851851851</v>
      </c>
      <c r="Y120" s="547">
        <f>IFERROR(Y116/H116,"0")+IFERROR(Y117/H117,"0")+IFERROR(Y118/H118,"0")+IFERROR(Y119/H119,"0")</f>
        <v>6</v>
      </c>
      <c r="Z120" s="547">
        <f>IFERROR(IF(Z116="",0,Z116),"0")+IFERROR(IF(Z117="",0,Z117),"0")+IFERROR(IF(Z118="",0,Z118),"0")+IFERROR(IF(Z119="",0,Z119),"0")</f>
        <v>0.11388000000000001</v>
      </c>
      <c r="AA120" s="548"/>
      <c r="AB120" s="548"/>
      <c r="AC120" s="548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78"/>
      <c r="P121" s="552" t="s">
        <v>75</v>
      </c>
      <c r="Q121" s="553"/>
      <c r="R121" s="553"/>
      <c r="S121" s="553"/>
      <c r="T121" s="553"/>
      <c r="U121" s="553"/>
      <c r="V121" s="554"/>
      <c r="W121" s="37" t="s">
        <v>69</v>
      </c>
      <c r="X121" s="547">
        <f>IFERROR(SUM(X116:X119),"0")</f>
        <v>42</v>
      </c>
      <c r="Y121" s="547">
        <f>IFERROR(SUM(Y116:Y119),"0")</f>
        <v>48.599999999999994</v>
      </c>
      <c r="Z121" s="37"/>
      <c r="AA121" s="548"/>
      <c r="AB121" s="548"/>
      <c r="AC121" s="548"/>
    </row>
    <row r="122" spans="1:68" ht="14.25" customHeight="1" x14ac:dyDescent="0.25">
      <c r="A122" s="560" t="s">
        <v>166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61">
        <v>4680115880238</v>
      </c>
      <c r="E123" s="562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8"/>
      <c r="R123" s="558"/>
      <c r="S123" s="558"/>
      <c r="T123" s="559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77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78"/>
      <c r="P124" s="552" t="s">
        <v>75</v>
      </c>
      <c r="Q124" s="553"/>
      <c r="R124" s="553"/>
      <c r="S124" s="553"/>
      <c r="T124" s="553"/>
      <c r="U124" s="553"/>
      <c r="V124" s="554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6"/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78"/>
      <c r="P125" s="552" t="s">
        <v>75</v>
      </c>
      <c r="Q125" s="553"/>
      <c r="R125" s="553"/>
      <c r="S125" s="553"/>
      <c r="T125" s="553"/>
      <c r="U125" s="553"/>
      <c r="V125" s="554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76" t="s">
        <v>237</v>
      </c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40"/>
      <c r="AB126" s="540"/>
      <c r="AC126" s="540"/>
    </row>
    <row r="127" spans="1:68" ht="14.25" customHeight="1" x14ac:dyDescent="0.25">
      <c r="A127" s="560" t="s">
        <v>102</v>
      </c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556"/>
      <c r="Z127" s="556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61">
        <v>4680115882577</v>
      </c>
      <c r="E128" s="562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60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8"/>
      <c r="R128" s="558"/>
      <c r="S128" s="558"/>
      <c r="T128" s="559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61">
        <v>4680115882577</v>
      </c>
      <c r="E129" s="562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8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8"/>
      <c r="R129" s="558"/>
      <c r="S129" s="558"/>
      <c r="T129" s="559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77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78"/>
      <c r="P130" s="552" t="s">
        <v>75</v>
      </c>
      <c r="Q130" s="553"/>
      <c r="R130" s="553"/>
      <c r="S130" s="553"/>
      <c r="T130" s="553"/>
      <c r="U130" s="553"/>
      <c r="V130" s="554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6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78"/>
      <c r="P131" s="552" t="s">
        <v>75</v>
      </c>
      <c r="Q131" s="553"/>
      <c r="R131" s="553"/>
      <c r="S131" s="553"/>
      <c r="T131" s="553"/>
      <c r="U131" s="553"/>
      <c r="V131" s="554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60" t="s">
        <v>64</v>
      </c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6"/>
      <c r="P132" s="556"/>
      <c r="Q132" s="556"/>
      <c r="R132" s="556"/>
      <c r="S132" s="556"/>
      <c r="T132" s="556"/>
      <c r="U132" s="556"/>
      <c r="V132" s="556"/>
      <c r="W132" s="556"/>
      <c r="X132" s="556"/>
      <c r="Y132" s="556"/>
      <c r="Z132" s="556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61">
        <v>4680115883444</v>
      </c>
      <c r="E133" s="562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61">
        <v>4680115883444</v>
      </c>
      <c r="E134" s="562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5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8"/>
      <c r="R134" s="558"/>
      <c r="S134" s="558"/>
      <c r="T134" s="559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77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78"/>
      <c r="P135" s="552" t="s">
        <v>75</v>
      </c>
      <c r="Q135" s="553"/>
      <c r="R135" s="553"/>
      <c r="S135" s="553"/>
      <c r="T135" s="553"/>
      <c r="U135" s="553"/>
      <c r="V135" s="554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6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78"/>
      <c r="P136" s="552" t="s">
        <v>75</v>
      </c>
      <c r="Q136" s="553"/>
      <c r="R136" s="553"/>
      <c r="S136" s="553"/>
      <c r="T136" s="553"/>
      <c r="U136" s="553"/>
      <c r="V136" s="554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60" t="s">
        <v>77</v>
      </c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6"/>
      <c r="P137" s="556"/>
      <c r="Q137" s="556"/>
      <c r="R137" s="556"/>
      <c r="S137" s="556"/>
      <c r="T137" s="556"/>
      <c r="U137" s="556"/>
      <c r="V137" s="556"/>
      <c r="W137" s="556"/>
      <c r="X137" s="556"/>
      <c r="Y137" s="556"/>
      <c r="Z137" s="556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61">
        <v>4680115882584</v>
      </c>
      <c r="E138" s="562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8"/>
      <c r="R138" s="558"/>
      <c r="S138" s="558"/>
      <c r="T138" s="559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61">
        <v>4680115882584</v>
      </c>
      <c r="E139" s="562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6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8"/>
      <c r="R139" s="558"/>
      <c r="S139" s="558"/>
      <c r="T139" s="559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77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78"/>
      <c r="P140" s="552" t="s">
        <v>75</v>
      </c>
      <c r="Q140" s="553"/>
      <c r="R140" s="553"/>
      <c r="S140" s="553"/>
      <c r="T140" s="553"/>
      <c r="U140" s="553"/>
      <c r="V140" s="554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6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78"/>
      <c r="P141" s="552" t="s">
        <v>75</v>
      </c>
      <c r="Q141" s="553"/>
      <c r="R141" s="553"/>
      <c r="S141" s="553"/>
      <c r="T141" s="553"/>
      <c r="U141" s="553"/>
      <c r="V141" s="554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76" t="s">
        <v>100</v>
      </c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40"/>
      <c r="AB142" s="540"/>
      <c r="AC142" s="540"/>
    </row>
    <row r="143" spans="1:68" ht="14.25" customHeight="1" x14ac:dyDescent="0.25">
      <c r="A143" s="560" t="s">
        <v>102</v>
      </c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6"/>
      <c r="P143" s="556"/>
      <c r="Q143" s="556"/>
      <c r="R143" s="556"/>
      <c r="S143" s="556"/>
      <c r="T143" s="556"/>
      <c r="U143" s="556"/>
      <c r="V143" s="556"/>
      <c r="W143" s="556"/>
      <c r="X143" s="556"/>
      <c r="Y143" s="556"/>
      <c r="Z143" s="556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61">
        <v>4680115887374</v>
      </c>
      <c r="E144" s="562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8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61">
        <v>4607091384604</v>
      </c>
      <c r="E145" s="562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8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8"/>
      <c r="R145" s="558"/>
      <c r="S145" s="558"/>
      <c r="T145" s="559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77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78"/>
      <c r="P146" s="552" t="s">
        <v>75</v>
      </c>
      <c r="Q146" s="553"/>
      <c r="R146" s="553"/>
      <c r="S146" s="553"/>
      <c r="T146" s="553"/>
      <c r="U146" s="553"/>
      <c r="V146" s="554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6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78"/>
      <c r="P147" s="552" t="s">
        <v>75</v>
      </c>
      <c r="Q147" s="553"/>
      <c r="R147" s="553"/>
      <c r="S147" s="553"/>
      <c r="T147" s="553"/>
      <c r="U147" s="553"/>
      <c r="V147" s="554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60" t="s">
        <v>64</v>
      </c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6"/>
      <c r="P148" s="556"/>
      <c r="Q148" s="556"/>
      <c r="R148" s="556"/>
      <c r="S148" s="556"/>
      <c r="T148" s="556"/>
      <c r="U148" s="556"/>
      <c r="V148" s="556"/>
      <c r="W148" s="556"/>
      <c r="X148" s="556"/>
      <c r="Y148" s="556"/>
      <c r="Z148" s="556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61">
        <v>4607091387667</v>
      </c>
      <c r="E149" s="562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58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61">
        <v>4607091387636</v>
      </c>
      <c r="E150" s="562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61">
        <v>4607091382426</v>
      </c>
      <c r="E151" s="562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6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8"/>
      <c r="R151" s="558"/>
      <c r="S151" s="558"/>
      <c r="T151" s="559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7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78"/>
      <c r="P152" s="552" t="s">
        <v>75</v>
      </c>
      <c r="Q152" s="553"/>
      <c r="R152" s="553"/>
      <c r="S152" s="553"/>
      <c r="T152" s="553"/>
      <c r="U152" s="553"/>
      <c r="V152" s="554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78"/>
      <c r="P153" s="552" t="s">
        <v>75</v>
      </c>
      <c r="Q153" s="553"/>
      <c r="R153" s="553"/>
      <c r="S153" s="553"/>
      <c r="T153" s="553"/>
      <c r="U153" s="553"/>
      <c r="V153" s="554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60" t="s">
        <v>77</v>
      </c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6"/>
      <c r="P154" s="556"/>
      <c r="Q154" s="556"/>
      <c r="R154" s="556"/>
      <c r="S154" s="556"/>
      <c r="T154" s="556"/>
      <c r="U154" s="556"/>
      <c r="V154" s="556"/>
      <c r="W154" s="556"/>
      <c r="X154" s="556"/>
      <c r="Y154" s="556"/>
      <c r="Z154" s="556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8"/>
      <c r="R155" s="558"/>
      <c r="S155" s="558"/>
      <c r="T155" s="559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7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78"/>
      <c r="P156" s="552" t="s">
        <v>75</v>
      </c>
      <c r="Q156" s="553"/>
      <c r="R156" s="553"/>
      <c r="S156" s="553"/>
      <c r="T156" s="553"/>
      <c r="U156" s="553"/>
      <c r="V156" s="554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6"/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78"/>
      <c r="P157" s="552" t="s">
        <v>75</v>
      </c>
      <c r="Q157" s="553"/>
      <c r="R157" s="553"/>
      <c r="S157" s="553"/>
      <c r="T157" s="553"/>
      <c r="U157" s="553"/>
      <c r="V157" s="554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86" t="s">
        <v>267</v>
      </c>
      <c r="B158" s="687"/>
      <c r="C158" s="687"/>
      <c r="D158" s="687"/>
      <c r="E158" s="687"/>
      <c r="F158" s="687"/>
      <c r="G158" s="687"/>
      <c r="H158" s="687"/>
      <c r="I158" s="687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  <c r="AA158" s="48"/>
      <c r="AB158" s="48"/>
      <c r="AC158" s="48"/>
    </row>
    <row r="159" spans="1:68" ht="16.5" customHeight="1" x14ac:dyDescent="0.25">
      <c r="A159" s="576" t="s">
        <v>268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40"/>
      <c r="AB159" s="540"/>
      <c r="AC159" s="540"/>
    </row>
    <row r="160" spans="1:68" ht="14.25" customHeight="1" x14ac:dyDescent="0.25">
      <c r="A160" s="560" t="s">
        <v>138</v>
      </c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8"/>
      <c r="R161" s="558"/>
      <c r="S161" s="558"/>
      <c r="T161" s="559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7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78"/>
      <c r="P162" s="552" t="s">
        <v>75</v>
      </c>
      <c r="Q162" s="553"/>
      <c r="R162" s="553"/>
      <c r="S162" s="553"/>
      <c r="T162" s="553"/>
      <c r="U162" s="553"/>
      <c r="V162" s="554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6"/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78"/>
      <c r="P163" s="552" t="s">
        <v>75</v>
      </c>
      <c r="Q163" s="553"/>
      <c r="R163" s="553"/>
      <c r="S163" s="553"/>
      <c r="T163" s="553"/>
      <c r="U163" s="553"/>
      <c r="V163" s="554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60" t="s">
        <v>64</v>
      </c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61">
        <v>4680115887565</v>
      </c>
      <c r="E165" s="562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8" t="s">
        <v>274</v>
      </c>
      <c r="Q165" s="558"/>
      <c r="R165" s="558"/>
      <c r="S165" s="558"/>
      <c r="T165" s="559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61">
        <v>4680115880993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8"/>
      <c r="R166" s="558"/>
      <c r="S166" s="558"/>
      <c r="T166" s="559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61">
        <v>4680115881761</v>
      </c>
      <c r="E167" s="562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8"/>
      <c r="R167" s="558"/>
      <c r="S167" s="558"/>
      <c r="T167" s="559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61">
        <v>4680115881563</v>
      </c>
      <c r="E168" s="562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8"/>
      <c r="R168" s="558"/>
      <c r="S168" s="558"/>
      <c r="T168" s="559"/>
      <c r="U168" s="34"/>
      <c r="V168" s="34"/>
      <c r="W168" s="35" t="s">
        <v>69</v>
      </c>
      <c r="X168" s="545">
        <v>21</v>
      </c>
      <c r="Y168" s="546">
        <f t="shared" si="5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21.95</v>
      </c>
      <c r="BN168" s="64">
        <f t="shared" si="7"/>
        <v>21.95</v>
      </c>
      <c r="BO168" s="64">
        <f t="shared" si="8"/>
        <v>3.787878787878788E-2</v>
      </c>
      <c r="BP168" s="64">
        <f t="shared" si="9"/>
        <v>3.787878787878788E-2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8"/>
      <c r="R169" s="558"/>
      <c r="S169" s="558"/>
      <c r="T169" s="559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8"/>
      <c r="R170" s="558"/>
      <c r="S170" s="558"/>
      <c r="T170" s="559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61">
        <v>4680115886537</v>
      </c>
      <c r="E172" s="562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61">
        <v>4680115887596</v>
      </c>
      <c r="E173" s="562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830" t="s">
        <v>299</v>
      </c>
      <c r="Q173" s="558"/>
      <c r="R173" s="558"/>
      <c r="S173" s="558"/>
      <c r="T173" s="559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61">
        <v>4680115881679</v>
      </c>
      <c r="E174" s="562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5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8"/>
      <c r="R174" s="558"/>
      <c r="S174" s="558"/>
      <c r="T174" s="559"/>
      <c r="U174" s="34"/>
      <c r="V174" s="34"/>
      <c r="W174" s="35" t="s">
        <v>69</v>
      </c>
      <c r="X174" s="545">
        <v>27</v>
      </c>
      <c r="Y174" s="546">
        <f t="shared" si="5"/>
        <v>27.3</v>
      </c>
      <c r="Z174" s="36">
        <f>IFERROR(IF(Y174=0,"",ROUNDUP(Y174/H174,0)*0.00502),"")</f>
        <v>6.5259999999999999E-2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28.285714285714288</v>
      </c>
      <c r="BN174" s="64">
        <f t="shared" si="7"/>
        <v>28.600000000000005</v>
      </c>
      <c r="BO174" s="64">
        <f t="shared" si="8"/>
        <v>5.4945054945054944E-2</v>
      </c>
      <c r="BP174" s="64">
        <f t="shared" si="9"/>
        <v>5.5555555555555559E-2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61">
        <v>4680115880191</v>
      </c>
      <c r="E175" s="562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61">
        <v>4680115883963</v>
      </c>
      <c r="E176" s="562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77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78"/>
      <c r="P177" s="552" t="s">
        <v>75</v>
      </c>
      <c r="Q177" s="553"/>
      <c r="R177" s="553"/>
      <c r="S177" s="553"/>
      <c r="T177" s="553"/>
      <c r="U177" s="553"/>
      <c r="V177" s="554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17.857142857142854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18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0.11036</v>
      </c>
      <c r="AA177" s="548"/>
      <c r="AB177" s="548"/>
      <c r="AC177" s="548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78"/>
      <c r="P178" s="552" t="s">
        <v>75</v>
      </c>
      <c r="Q178" s="553"/>
      <c r="R178" s="553"/>
      <c r="S178" s="553"/>
      <c r="T178" s="553"/>
      <c r="U178" s="553"/>
      <c r="V178" s="554"/>
      <c r="W178" s="37" t="s">
        <v>69</v>
      </c>
      <c r="X178" s="547">
        <f>IFERROR(SUM(X165:X176),"0")</f>
        <v>48</v>
      </c>
      <c r="Y178" s="547">
        <f>IFERROR(SUM(Y165:Y176),"0")</f>
        <v>48.3</v>
      </c>
      <c r="Z178" s="37"/>
      <c r="AA178" s="548"/>
      <c r="AB178" s="548"/>
      <c r="AC178" s="548"/>
    </row>
    <row r="179" spans="1:68" ht="14.25" customHeight="1" x14ac:dyDescent="0.25">
      <c r="A179" s="560" t="s">
        <v>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61">
        <v>4680115886780</v>
      </c>
      <c r="E180" s="562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61">
        <v>4680115886742</v>
      </c>
      <c r="E181" s="562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2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8"/>
      <c r="R181" s="558"/>
      <c r="S181" s="558"/>
      <c r="T181" s="559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61">
        <v>4680115886766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7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8"/>
      <c r="R182" s="558"/>
      <c r="S182" s="558"/>
      <c r="T182" s="559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77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78"/>
      <c r="P183" s="552" t="s">
        <v>75</v>
      </c>
      <c r="Q183" s="553"/>
      <c r="R183" s="553"/>
      <c r="S183" s="553"/>
      <c r="T183" s="553"/>
      <c r="U183" s="553"/>
      <c r="V183" s="554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6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78"/>
      <c r="P184" s="552" t="s">
        <v>75</v>
      </c>
      <c r="Q184" s="553"/>
      <c r="R184" s="553"/>
      <c r="S184" s="553"/>
      <c r="T184" s="553"/>
      <c r="U184" s="553"/>
      <c r="V184" s="554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60" t="s">
        <v>318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61">
        <v>4680115886797</v>
      </c>
      <c r="E186" s="562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77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78"/>
      <c r="P187" s="552" t="s">
        <v>75</v>
      </c>
      <c r="Q187" s="553"/>
      <c r="R187" s="553"/>
      <c r="S187" s="553"/>
      <c r="T187" s="553"/>
      <c r="U187" s="553"/>
      <c r="V187" s="554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78"/>
      <c r="P188" s="552" t="s">
        <v>75</v>
      </c>
      <c r="Q188" s="553"/>
      <c r="R188" s="553"/>
      <c r="S188" s="553"/>
      <c r="T188" s="553"/>
      <c r="U188" s="553"/>
      <c r="V188" s="554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76" t="s">
        <v>321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40"/>
      <c r="AB189" s="540"/>
      <c r="AC189" s="540"/>
    </row>
    <row r="190" spans="1:68" ht="14.25" customHeight="1" x14ac:dyDescent="0.25">
      <c r="A190" s="560" t="s">
        <v>102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61">
        <v>4680115881402</v>
      </c>
      <c r="E191" s="562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6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8"/>
      <c r="R191" s="558"/>
      <c r="S191" s="558"/>
      <c r="T191" s="559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61">
        <v>4680115881396</v>
      </c>
      <c r="E192" s="562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8"/>
      <c r="R192" s="558"/>
      <c r="S192" s="558"/>
      <c r="T192" s="559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7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78"/>
      <c r="P193" s="552" t="s">
        <v>75</v>
      </c>
      <c r="Q193" s="553"/>
      <c r="R193" s="553"/>
      <c r="S193" s="553"/>
      <c r="T193" s="553"/>
      <c r="U193" s="553"/>
      <c r="V193" s="554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78"/>
      <c r="P194" s="552" t="s">
        <v>75</v>
      </c>
      <c r="Q194" s="553"/>
      <c r="R194" s="553"/>
      <c r="S194" s="553"/>
      <c r="T194" s="553"/>
      <c r="U194" s="553"/>
      <c r="V194" s="554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60" t="s">
        <v>138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61">
        <v>4680115882935</v>
      </c>
      <c r="E196" s="562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8"/>
      <c r="R196" s="558"/>
      <c r="S196" s="558"/>
      <c r="T196" s="559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61">
        <v>4680115880764</v>
      </c>
      <c r="E197" s="562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8"/>
      <c r="R197" s="558"/>
      <c r="S197" s="558"/>
      <c r="T197" s="559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77"/>
      <c r="B198" s="556"/>
      <c r="C198" s="556"/>
      <c r="D198" s="556"/>
      <c r="E198" s="556"/>
      <c r="F198" s="556"/>
      <c r="G198" s="556"/>
      <c r="H198" s="556"/>
      <c r="I198" s="556"/>
      <c r="J198" s="556"/>
      <c r="K198" s="556"/>
      <c r="L198" s="556"/>
      <c r="M198" s="556"/>
      <c r="N198" s="556"/>
      <c r="O198" s="578"/>
      <c r="P198" s="552" t="s">
        <v>75</v>
      </c>
      <c r="Q198" s="553"/>
      <c r="R198" s="553"/>
      <c r="S198" s="553"/>
      <c r="T198" s="553"/>
      <c r="U198" s="553"/>
      <c r="V198" s="554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6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78"/>
      <c r="P199" s="552" t="s">
        <v>75</v>
      </c>
      <c r="Q199" s="553"/>
      <c r="R199" s="553"/>
      <c r="S199" s="553"/>
      <c r="T199" s="553"/>
      <c r="U199" s="553"/>
      <c r="V199" s="554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60" t="s">
        <v>64</v>
      </c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6"/>
      <c r="P200" s="556"/>
      <c r="Q200" s="556"/>
      <c r="R200" s="556"/>
      <c r="S200" s="556"/>
      <c r="T200" s="556"/>
      <c r="U200" s="556"/>
      <c r="V200" s="556"/>
      <c r="W200" s="556"/>
      <c r="X200" s="556"/>
      <c r="Y200" s="556"/>
      <c r="Z200" s="556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61">
        <v>4680115882683</v>
      </c>
      <c r="E201" s="562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6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8"/>
      <c r="R201" s="558"/>
      <c r="S201" s="558"/>
      <c r="T201" s="559"/>
      <c r="U201" s="34"/>
      <c r="V201" s="34"/>
      <c r="W201" s="35" t="s">
        <v>69</v>
      </c>
      <c r="X201" s="545">
        <v>88</v>
      </c>
      <c r="Y201" s="546">
        <f t="shared" ref="Y201:Y208" si="10">IFERROR(IF(X201="",0,CEILING((X201/$H201),1)*$H201),"")</f>
        <v>91.800000000000011</v>
      </c>
      <c r="Z201" s="36">
        <f>IFERROR(IF(Y201=0,"",ROUNDUP(Y201/H201,0)*0.00902),"")</f>
        <v>0.15334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91.096296296296288</v>
      </c>
      <c r="BN201" s="64">
        <f t="shared" ref="BN201:BN208" si="12">IFERROR(Y201*I201/H201,"0")</f>
        <v>95.03</v>
      </c>
      <c r="BO201" s="64">
        <f t="shared" ref="BO201:BO208" si="13">IFERROR(1/J201*(X201/H201),"0")</f>
        <v>0.12345679012345678</v>
      </c>
      <c r="BP201" s="64">
        <f t="shared" ref="BP201:BP208" si="14">IFERROR(1/J201*(Y201/H201),"0")</f>
        <v>0.12878787878787878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61">
        <v>4680115882690</v>
      </c>
      <c r="E202" s="562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8"/>
      <c r="R202" s="558"/>
      <c r="S202" s="558"/>
      <c r="T202" s="559"/>
      <c r="U202" s="34"/>
      <c r="V202" s="34"/>
      <c r="W202" s="35" t="s">
        <v>69</v>
      </c>
      <c r="X202" s="545">
        <v>77</v>
      </c>
      <c r="Y202" s="546">
        <f t="shared" si="10"/>
        <v>81</v>
      </c>
      <c r="Z202" s="36">
        <f>IFERROR(IF(Y202=0,"",ROUNDUP(Y202/H202,0)*0.00902),"")</f>
        <v>0.1353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79.709259259259255</v>
      </c>
      <c r="BN202" s="64">
        <f t="shared" si="12"/>
        <v>83.85</v>
      </c>
      <c r="BO202" s="64">
        <f t="shared" si="13"/>
        <v>0.10802469135802469</v>
      </c>
      <c r="BP202" s="64">
        <f t="shared" si="14"/>
        <v>0.11363636363636363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61">
        <v>4680115882669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3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8"/>
      <c r="R203" s="558"/>
      <c r="S203" s="558"/>
      <c r="T203" s="559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61">
        <v>4680115882676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8"/>
      <c r="R204" s="558"/>
      <c r="S204" s="558"/>
      <c r="T204" s="559"/>
      <c r="U204" s="34"/>
      <c r="V204" s="34"/>
      <c r="W204" s="35" t="s">
        <v>69</v>
      </c>
      <c r="X204" s="545">
        <v>56</v>
      </c>
      <c r="Y204" s="546">
        <f t="shared" si="10"/>
        <v>59.400000000000006</v>
      </c>
      <c r="Z204" s="36">
        <f>IFERROR(IF(Y204=0,"",ROUNDUP(Y204/H204,0)*0.00902),"")</f>
        <v>9.9220000000000003E-2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57.970370370370361</v>
      </c>
      <c r="BN204" s="64">
        <f t="shared" si="12"/>
        <v>61.49</v>
      </c>
      <c r="BO204" s="64">
        <f t="shared" si="13"/>
        <v>7.8563411896745233E-2</v>
      </c>
      <c r="BP204" s="64">
        <f t="shared" si="14"/>
        <v>8.3333333333333343E-2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61">
        <v>4680115884014</v>
      </c>
      <c r="E205" s="562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61">
        <v>4680115884007</v>
      </c>
      <c r="E206" s="562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6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45">
        <v>18</v>
      </c>
      <c r="Y206" s="546">
        <f t="shared" si="10"/>
        <v>18</v>
      </c>
      <c r="Z206" s="36">
        <f>IFERROR(IF(Y206=0,"",ROUNDUP(Y206/H206,0)*0.00502),"")</f>
        <v>5.0200000000000002E-2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18.999999999999996</v>
      </c>
      <c r="BN206" s="64">
        <f t="shared" si="12"/>
        <v>18.999999999999996</v>
      </c>
      <c r="BO206" s="64">
        <f t="shared" si="13"/>
        <v>4.2735042735042736E-2</v>
      </c>
      <c r="BP206" s="64">
        <f t="shared" si="14"/>
        <v>4.2735042735042736E-2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61">
        <v>4680115884038</v>
      </c>
      <c r="E207" s="562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6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61">
        <v>4680115884021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45">
        <v>23</v>
      </c>
      <c r="Y208" s="546">
        <f t="shared" si="10"/>
        <v>23.400000000000002</v>
      </c>
      <c r="Z208" s="36">
        <f>IFERROR(IF(Y208=0,"",ROUNDUP(Y208/H208,0)*0.00502),"")</f>
        <v>6.5259999999999999E-2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24.277777777777775</v>
      </c>
      <c r="BN208" s="64">
        <f t="shared" si="12"/>
        <v>24.7</v>
      </c>
      <c r="BO208" s="64">
        <f t="shared" si="13"/>
        <v>5.4605887939221276E-2</v>
      </c>
      <c r="BP208" s="64">
        <f t="shared" si="14"/>
        <v>5.5555555555555559E-2</v>
      </c>
    </row>
    <row r="209" spans="1:68" x14ac:dyDescent="0.2">
      <c r="A209" s="577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  <c r="L209" s="556"/>
      <c r="M209" s="556"/>
      <c r="N209" s="556"/>
      <c r="O209" s="578"/>
      <c r="P209" s="552" t="s">
        <v>75</v>
      </c>
      <c r="Q209" s="553"/>
      <c r="R209" s="553"/>
      <c r="S209" s="553"/>
      <c r="T209" s="553"/>
      <c r="U209" s="553"/>
      <c r="V209" s="554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63.703703703703702</v>
      </c>
      <c r="Y209" s="547">
        <f>IFERROR(Y201/H201,"0")+IFERROR(Y202/H202,"0")+IFERROR(Y203/H203,"0")+IFERROR(Y204/H204,"0")+IFERROR(Y205/H205,"0")+IFERROR(Y206/H206,"0")+IFERROR(Y207/H207,"0")+IFERROR(Y208/H208,"0")</f>
        <v>66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0.50331999999999999</v>
      </c>
      <c r="AA209" s="548"/>
      <c r="AB209" s="548"/>
      <c r="AC209" s="548"/>
    </row>
    <row r="210" spans="1:68" x14ac:dyDescent="0.2">
      <c r="A210" s="556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78"/>
      <c r="P210" s="552" t="s">
        <v>75</v>
      </c>
      <c r="Q210" s="553"/>
      <c r="R210" s="553"/>
      <c r="S210" s="553"/>
      <c r="T210" s="553"/>
      <c r="U210" s="553"/>
      <c r="V210" s="554"/>
      <c r="W210" s="37" t="s">
        <v>69</v>
      </c>
      <c r="X210" s="547">
        <f>IFERROR(SUM(X201:X208),"0")</f>
        <v>262</v>
      </c>
      <c r="Y210" s="547">
        <f>IFERROR(SUM(Y201:Y208),"0")</f>
        <v>273.60000000000002</v>
      </c>
      <c r="Z210" s="37"/>
      <c r="AA210" s="548"/>
      <c r="AB210" s="548"/>
      <c r="AC210" s="548"/>
    </row>
    <row r="211" spans="1:68" ht="14.25" customHeight="1" x14ac:dyDescent="0.25">
      <c r="A211" s="560" t="s">
        <v>77</v>
      </c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6"/>
      <c r="P211" s="556"/>
      <c r="Q211" s="556"/>
      <c r="R211" s="556"/>
      <c r="S211" s="556"/>
      <c r="T211" s="556"/>
      <c r="U211" s="556"/>
      <c r="V211" s="556"/>
      <c r="W211" s="556"/>
      <c r="X211" s="556"/>
      <c r="Y211" s="556"/>
      <c r="Z211" s="556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61">
        <v>4680115881594</v>
      </c>
      <c r="E212" s="562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61">
        <v>4680115881617</v>
      </c>
      <c r="E213" s="562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8"/>
      <c r="R213" s="558"/>
      <c r="S213" s="558"/>
      <c r="T213" s="559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61">
        <v>4680115880573</v>
      </c>
      <c r="E214" s="562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6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8"/>
      <c r="R214" s="558"/>
      <c r="S214" s="558"/>
      <c r="T214" s="559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61">
        <v>4680115882195</v>
      </c>
      <c r="E215" s="562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8"/>
      <c r="R215" s="558"/>
      <c r="S215" s="558"/>
      <c r="T215" s="559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61">
        <v>4680115882607</v>
      </c>
      <c r="E216" s="562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61">
        <v>4680115880092</v>
      </c>
      <c r="E217" s="562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6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8"/>
      <c r="R217" s="558"/>
      <c r="S217" s="558"/>
      <c r="T217" s="559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61">
        <v>4680115880221</v>
      </c>
      <c r="E218" s="562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5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61">
        <v>4680115880504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8"/>
      <c r="R219" s="558"/>
      <c r="S219" s="558"/>
      <c r="T219" s="559"/>
      <c r="U219" s="34"/>
      <c r="V219" s="34"/>
      <c r="W219" s="35" t="s">
        <v>69</v>
      </c>
      <c r="X219" s="545">
        <v>91</v>
      </c>
      <c r="Y219" s="546">
        <f t="shared" si="15"/>
        <v>91.2</v>
      </c>
      <c r="Z219" s="36">
        <f t="shared" si="20"/>
        <v>0.24738000000000002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100.55500000000001</v>
      </c>
      <c r="BN219" s="64">
        <f t="shared" si="17"/>
        <v>100.77600000000001</v>
      </c>
      <c r="BO219" s="64">
        <f t="shared" si="18"/>
        <v>0.20833333333333337</v>
      </c>
      <c r="BP219" s="64">
        <f t="shared" si="19"/>
        <v>0.2087912087912088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61">
        <v>4680115882164</v>
      </c>
      <c r="E220" s="562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45">
        <v>16</v>
      </c>
      <c r="Y220" s="546">
        <f t="shared" si="15"/>
        <v>16.8</v>
      </c>
      <c r="Z220" s="36">
        <f t="shared" si="20"/>
        <v>4.5569999999999999E-2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17.72</v>
      </c>
      <c r="BN220" s="64">
        <f t="shared" si="17"/>
        <v>18.606000000000002</v>
      </c>
      <c r="BO220" s="64">
        <f t="shared" si="18"/>
        <v>3.6630036630036632E-2</v>
      </c>
      <c r="BP220" s="64">
        <f t="shared" si="19"/>
        <v>3.8461538461538471E-2</v>
      </c>
    </row>
    <row r="221" spans="1:68" x14ac:dyDescent="0.2">
      <c r="A221" s="577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78"/>
      <c r="P221" s="552" t="s">
        <v>75</v>
      </c>
      <c r="Q221" s="553"/>
      <c r="R221" s="553"/>
      <c r="S221" s="553"/>
      <c r="T221" s="553"/>
      <c r="U221" s="553"/>
      <c r="V221" s="554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44.583333333333336</v>
      </c>
      <c r="Y221" s="547">
        <f>IFERROR(Y212/H212,"0")+IFERROR(Y213/H213,"0")+IFERROR(Y214/H214,"0")+IFERROR(Y215/H215,"0")+IFERROR(Y216/H216,"0")+IFERROR(Y217/H217,"0")+IFERROR(Y218/H218,"0")+IFERROR(Y219/H219,"0")+IFERROR(Y220/H220,"0")</f>
        <v>45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0.29295000000000004</v>
      </c>
      <c r="AA221" s="548"/>
      <c r="AB221" s="548"/>
      <c r="AC221" s="548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78"/>
      <c r="P222" s="552" t="s">
        <v>75</v>
      </c>
      <c r="Q222" s="553"/>
      <c r="R222" s="553"/>
      <c r="S222" s="553"/>
      <c r="T222" s="553"/>
      <c r="U222" s="553"/>
      <c r="V222" s="554"/>
      <c r="W222" s="37" t="s">
        <v>69</v>
      </c>
      <c r="X222" s="547">
        <f>IFERROR(SUM(X212:X220),"0")</f>
        <v>107</v>
      </c>
      <c r="Y222" s="547">
        <f>IFERROR(SUM(Y212:Y220),"0")</f>
        <v>108</v>
      </c>
      <c r="Z222" s="37"/>
      <c r="AA222" s="548"/>
      <c r="AB222" s="548"/>
      <c r="AC222" s="548"/>
    </row>
    <row r="223" spans="1:68" ht="14.25" customHeight="1" x14ac:dyDescent="0.25">
      <c r="A223" s="560" t="s">
        <v>166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61">
        <v>4680115880818</v>
      </c>
      <c r="E224" s="562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61">
        <v>4680115880801</v>
      </c>
      <c r="E225" s="562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8"/>
      <c r="R225" s="558"/>
      <c r="S225" s="558"/>
      <c r="T225" s="559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77"/>
      <c r="B226" s="556"/>
      <c r="C226" s="556"/>
      <c r="D226" s="556"/>
      <c r="E226" s="556"/>
      <c r="F226" s="556"/>
      <c r="G226" s="556"/>
      <c r="H226" s="556"/>
      <c r="I226" s="556"/>
      <c r="J226" s="556"/>
      <c r="K226" s="556"/>
      <c r="L226" s="556"/>
      <c r="M226" s="556"/>
      <c r="N226" s="556"/>
      <c r="O226" s="578"/>
      <c r="P226" s="552" t="s">
        <v>75</v>
      </c>
      <c r="Q226" s="553"/>
      <c r="R226" s="553"/>
      <c r="S226" s="553"/>
      <c r="T226" s="553"/>
      <c r="U226" s="553"/>
      <c r="V226" s="554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6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78"/>
      <c r="P227" s="552" t="s">
        <v>75</v>
      </c>
      <c r="Q227" s="553"/>
      <c r="R227" s="553"/>
      <c r="S227" s="553"/>
      <c r="T227" s="553"/>
      <c r="U227" s="553"/>
      <c r="V227" s="554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76" t="s">
        <v>380</v>
      </c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556"/>
      <c r="Z228" s="556"/>
      <c r="AA228" s="540"/>
      <c r="AB228" s="540"/>
      <c r="AC228" s="540"/>
    </row>
    <row r="229" spans="1:68" ht="14.25" customHeight="1" x14ac:dyDescent="0.25">
      <c r="A229" s="560" t="s">
        <v>102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61">
        <v>4680115884137</v>
      </c>
      <c r="E230" s="562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8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8"/>
      <c r="R230" s="558"/>
      <c r="S230" s="558"/>
      <c r="T230" s="559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61">
        <v>4680115884236</v>
      </c>
      <c r="E231" s="562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8"/>
      <c r="R231" s="558"/>
      <c r="S231" s="558"/>
      <c r="T231" s="559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61">
        <v>4680115884175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8"/>
      <c r="R232" s="558"/>
      <c r="S232" s="558"/>
      <c r="T232" s="559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61">
        <v>4680115884144</v>
      </c>
      <c r="E233" s="562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6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8"/>
      <c r="R233" s="558"/>
      <c r="S233" s="558"/>
      <c r="T233" s="559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61">
        <v>4680115884144</v>
      </c>
      <c r="E234" s="562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8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61">
        <v>4680115886551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6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61">
        <v>4680115887282</v>
      </c>
      <c r="E236" s="562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8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61">
        <v>4680115884205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8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61">
        <v>4680115884205</v>
      </c>
      <c r="E238" s="562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77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78"/>
      <c r="P239" s="552" t="s">
        <v>75</v>
      </c>
      <c r="Q239" s="553"/>
      <c r="R239" s="553"/>
      <c r="S239" s="553"/>
      <c r="T239" s="553"/>
      <c r="U239" s="553"/>
      <c r="V239" s="554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78"/>
      <c r="P240" s="552" t="s">
        <v>75</v>
      </c>
      <c r="Q240" s="553"/>
      <c r="R240" s="553"/>
      <c r="S240" s="553"/>
      <c r="T240" s="553"/>
      <c r="U240" s="553"/>
      <c r="V240" s="554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60" t="s">
        <v>138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61">
        <v>4680115885981</v>
      </c>
      <c r="E242" s="562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7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78"/>
      <c r="P243" s="552" t="s">
        <v>75</v>
      </c>
      <c r="Q243" s="553"/>
      <c r="R243" s="553"/>
      <c r="S243" s="553"/>
      <c r="T243" s="553"/>
      <c r="U243" s="553"/>
      <c r="V243" s="554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78"/>
      <c r="P244" s="552" t="s">
        <v>75</v>
      </c>
      <c r="Q244" s="553"/>
      <c r="R244" s="553"/>
      <c r="S244" s="553"/>
      <c r="T244" s="553"/>
      <c r="U244" s="553"/>
      <c r="V244" s="554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60" t="s">
        <v>404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61">
        <v>4680115886803</v>
      </c>
      <c r="E246" s="562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77"/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78"/>
      <c r="P247" s="552" t="s">
        <v>75</v>
      </c>
      <c r="Q247" s="553"/>
      <c r="R247" s="553"/>
      <c r="S247" s="553"/>
      <c r="T247" s="553"/>
      <c r="U247" s="553"/>
      <c r="V247" s="554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6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78"/>
      <c r="P248" s="552" t="s">
        <v>75</v>
      </c>
      <c r="Q248" s="553"/>
      <c r="R248" s="553"/>
      <c r="S248" s="553"/>
      <c r="T248" s="553"/>
      <c r="U248" s="553"/>
      <c r="V248" s="554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60" t="s">
        <v>408</v>
      </c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56"/>
      <c r="V249" s="556"/>
      <c r="W249" s="556"/>
      <c r="X249" s="556"/>
      <c r="Y249" s="556"/>
      <c r="Z249" s="556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61">
        <v>4680115886704</v>
      </c>
      <c r="E250" s="562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61">
        <v>4680115886681</v>
      </c>
      <c r="E251" s="562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8"/>
      <c r="R251" s="558"/>
      <c r="S251" s="558"/>
      <c r="T251" s="559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61">
        <v>4680115886735</v>
      </c>
      <c r="E252" s="562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8"/>
      <c r="R252" s="558"/>
      <c r="S252" s="558"/>
      <c r="T252" s="559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61">
        <v>4680115886728</v>
      </c>
      <c r="E253" s="562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1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8"/>
      <c r="R253" s="558"/>
      <c r="S253" s="558"/>
      <c r="T253" s="559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61">
        <v>4680115886711</v>
      </c>
      <c r="E254" s="562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77"/>
      <c r="B255" s="556"/>
      <c r="C255" s="556"/>
      <c r="D255" s="556"/>
      <c r="E255" s="556"/>
      <c r="F255" s="556"/>
      <c r="G255" s="556"/>
      <c r="H255" s="556"/>
      <c r="I255" s="556"/>
      <c r="J255" s="556"/>
      <c r="K255" s="556"/>
      <c r="L255" s="556"/>
      <c r="M255" s="556"/>
      <c r="N255" s="556"/>
      <c r="O255" s="578"/>
      <c r="P255" s="552" t="s">
        <v>75</v>
      </c>
      <c r="Q255" s="553"/>
      <c r="R255" s="553"/>
      <c r="S255" s="553"/>
      <c r="T255" s="553"/>
      <c r="U255" s="553"/>
      <c r="V255" s="554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6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78"/>
      <c r="P256" s="552" t="s">
        <v>75</v>
      </c>
      <c r="Q256" s="553"/>
      <c r="R256" s="553"/>
      <c r="S256" s="553"/>
      <c r="T256" s="553"/>
      <c r="U256" s="553"/>
      <c r="V256" s="554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76" t="s">
        <v>420</v>
      </c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6"/>
      <c r="P257" s="556"/>
      <c r="Q257" s="556"/>
      <c r="R257" s="556"/>
      <c r="S257" s="556"/>
      <c r="T257" s="556"/>
      <c r="U257" s="556"/>
      <c r="V257" s="556"/>
      <c r="W257" s="556"/>
      <c r="X257" s="556"/>
      <c r="Y257" s="556"/>
      <c r="Z257" s="556"/>
      <c r="AA257" s="540"/>
      <c r="AB257" s="540"/>
      <c r="AC257" s="540"/>
    </row>
    <row r="258" spans="1:68" ht="14.25" customHeight="1" x14ac:dyDescent="0.25">
      <c r="A258" s="560" t="s">
        <v>102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61">
        <v>4680115885837</v>
      </c>
      <c r="E259" s="562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8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8"/>
      <c r="R259" s="558"/>
      <c r="S259" s="558"/>
      <c r="T259" s="559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61">
        <v>4680115885851</v>
      </c>
      <c r="E260" s="562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8"/>
      <c r="R260" s="558"/>
      <c r="S260" s="558"/>
      <c r="T260" s="559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61">
        <v>4680115885806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8"/>
      <c r="R261" s="558"/>
      <c r="S261" s="558"/>
      <c r="T261" s="559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61">
        <v>4680115885844</v>
      </c>
      <c r="E262" s="562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5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8"/>
      <c r="R262" s="558"/>
      <c r="S262" s="558"/>
      <c r="T262" s="559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61">
        <v>4680115885820</v>
      </c>
      <c r="E263" s="562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77"/>
      <c r="B264" s="556"/>
      <c r="C264" s="556"/>
      <c r="D264" s="556"/>
      <c r="E264" s="556"/>
      <c r="F264" s="556"/>
      <c r="G264" s="556"/>
      <c r="H264" s="556"/>
      <c r="I264" s="556"/>
      <c r="J264" s="556"/>
      <c r="K264" s="556"/>
      <c r="L264" s="556"/>
      <c r="M264" s="556"/>
      <c r="N264" s="556"/>
      <c r="O264" s="578"/>
      <c r="P264" s="552" t="s">
        <v>75</v>
      </c>
      <c r="Q264" s="553"/>
      <c r="R264" s="553"/>
      <c r="S264" s="553"/>
      <c r="T264" s="553"/>
      <c r="U264" s="553"/>
      <c r="V264" s="554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6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78"/>
      <c r="P265" s="552" t="s">
        <v>75</v>
      </c>
      <c r="Q265" s="553"/>
      <c r="R265" s="553"/>
      <c r="S265" s="553"/>
      <c r="T265" s="553"/>
      <c r="U265" s="553"/>
      <c r="V265" s="554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76" t="s">
        <v>436</v>
      </c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6"/>
      <c r="P266" s="556"/>
      <c r="Q266" s="556"/>
      <c r="R266" s="556"/>
      <c r="S266" s="556"/>
      <c r="T266" s="556"/>
      <c r="U266" s="556"/>
      <c r="V266" s="556"/>
      <c r="W266" s="556"/>
      <c r="X266" s="556"/>
      <c r="Y266" s="556"/>
      <c r="Z266" s="556"/>
      <c r="AA266" s="540"/>
      <c r="AB266" s="540"/>
      <c r="AC266" s="540"/>
    </row>
    <row r="267" spans="1:68" ht="14.25" customHeight="1" x14ac:dyDescent="0.25">
      <c r="A267" s="560" t="s">
        <v>102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61">
        <v>4607091383423</v>
      </c>
      <c r="E268" s="562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8"/>
      <c r="R268" s="558"/>
      <c r="S268" s="558"/>
      <c r="T268" s="559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61">
        <v>4680115886957</v>
      </c>
      <c r="E269" s="562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8"/>
      <c r="R269" s="558"/>
      <c r="S269" s="558"/>
      <c r="T269" s="559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61">
        <v>4680115885660</v>
      </c>
      <c r="E270" s="562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8"/>
      <c r="R270" s="558"/>
      <c r="S270" s="558"/>
      <c r="T270" s="559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61">
        <v>4680115886773</v>
      </c>
      <c r="E271" s="562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83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8"/>
      <c r="R271" s="558"/>
      <c r="S271" s="558"/>
      <c r="T271" s="559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77"/>
      <c r="B272" s="556"/>
      <c r="C272" s="556"/>
      <c r="D272" s="556"/>
      <c r="E272" s="556"/>
      <c r="F272" s="556"/>
      <c r="G272" s="556"/>
      <c r="H272" s="556"/>
      <c r="I272" s="556"/>
      <c r="J272" s="556"/>
      <c r="K272" s="556"/>
      <c r="L272" s="556"/>
      <c r="M272" s="556"/>
      <c r="N272" s="556"/>
      <c r="O272" s="578"/>
      <c r="P272" s="552" t="s">
        <v>75</v>
      </c>
      <c r="Q272" s="553"/>
      <c r="R272" s="553"/>
      <c r="S272" s="553"/>
      <c r="T272" s="553"/>
      <c r="U272" s="553"/>
      <c r="V272" s="554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6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78"/>
      <c r="P273" s="552" t="s">
        <v>75</v>
      </c>
      <c r="Q273" s="553"/>
      <c r="R273" s="553"/>
      <c r="S273" s="553"/>
      <c r="T273" s="553"/>
      <c r="U273" s="553"/>
      <c r="V273" s="554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76" t="s">
        <v>447</v>
      </c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6"/>
      <c r="P274" s="556"/>
      <c r="Q274" s="556"/>
      <c r="R274" s="556"/>
      <c r="S274" s="556"/>
      <c r="T274" s="556"/>
      <c r="U274" s="556"/>
      <c r="V274" s="556"/>
      <c r="W274" s="556"/>
      <c r="X274" s="556"/>
      <c r="Y274" s="556"/>
      <c r="Z274" s="556"/>
      <c r="AA274" s="540"/>
      <c r="AB274" s="540"/>
      <c r="AC274" s="540"/>
    </row>
    <row r="275" spans="1:68" ht="14.25" customHeight="1" x14ac:dyDescent="0.25">
      <c r="A275" s="560" t="s">
        <v>77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61">
        <v>4680115886186</v>
      </c>
      <c r="E276" s="562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8"/>
      <c r="R276" s="558"/>
      <c r="S276" s="558"/>
      <c r="T276" s="559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61">
        <v>4680115881228</v>
      </c>
      <c r="E277" s="562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8"/>
      <c r="R277" s="558"/>
      <c r="S277" s="558"/>
      <c r="T277" s="559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61">
        <v>4680115881211</v>
      </c>
      <c r="E278" s="562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8"/>
      <c r="R278" s="558"/>
      <c r="S278" s="558"/>
      <c r="T278" s="559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77"/>
      <c r="B279" s="556"/>
      <c r="C279" s="556"/>
      <c r="D279" s="556"/>
      <c r="E279" s="556"/>
      <c r="F279" s="556"/>
      <c r="G279" s="556"/>
      <c r="H279" s="556"/>
      <c r="I279" s="556"/>
      <c r="J279" s="556"/>
      <c r="K279" s="556"/>
      <c r="L279" s="556"/>
      <c r="M279" s="556"/>
      <c r="N279" s="556"/>
      <c r="O279" s="578"/>
      <c r="P279" s="552" t="s">
        <v>75</v>
      </c>
      <c r="Q279" s="553"/>
      <c r="R279" s="553"/>
      <c r="S279" s="553"/>
      <c r="T279" s="553"/>
      <c r="U279" s="553"/>
      <c r="V279" s="554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6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78"/>
      <c r="P280" s="552" t="s">
        <v>75</v>
      </c>
      <c r="Q280" s="553"/>
      <c r="R280" s="553"/>
      <c r="S280" s="553"/>
      <c r="T280" s="553"/>
      <c r="U280" s="553"/>
      <c r="V280" s="554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76" t="s">
        <v>456</v>
      </c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6"/>
      <c r="P281" s="556"/>
      <c r="Q281" s="556"/>
      <c r="R281" s="556"/>
      <c r="S281" s="556"/>
      <c r="T281" s="556"/>
      <c r="U281" s="556"/>
      <c r="V281" s="556"/>
      <c r="W281" s="556"/>
      <c r="X281" s="556"/>
      <c r="Y281" s="556"/>
      <c r="Z281" s="556"/>
      <c r="AA281" s="540"/>
      <c r="AB281" s="540"/>
      <c r="AC281" s="540"/>
    </row>
    <row r="282" spans="1:68" ht="14.25" customHeight="1" x14ac:dyDescent="0.25">
      <c r="A282" s="560" t="s">
        <v>64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61">
        <v>4680115880344</v>
      </c>
      <c r="E283" s="562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8"/>
      <c r="R283" s="558"/>
      <c r="S283" s="558"/>
      <c r="T283" s="559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61">
        <v>4680115886919</v>
      </c>
      <c r="E284" s="562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8"/>
      <c r="R284" s="558"/>
      <c r="S284" s="558"/>
      <c r="T284" s="559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77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78"/>
      <c r="P285" s="552" t="s">
        <v>75</v>
      </c>
      <c r="Q285" s="553"/>
      <c r="R285" s="553"/>
      <c r="S285" s="553"/>
      <c r="T285" s="553"/>
      <c r="U285" s="553"/>
      <c r="V285" s="554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78"/>
      <c r="P286" s="552" t="s">
        <v>75</v>
      </c>
      <c r="Q286" s="553"/>
      <c r="R286" s="553"/>
      <c r="S286" s="553"/>
      <c r="T286" s="553"/>
      <c r="U286" s="553"/>
      <c r="V286" s="554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60" t="s">
        <v>77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61">
        <v>4680115884618</v>
      </c>
      <c r="E288" s="562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5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61">
        <v>4680115887114</v>
      </c>
      <c r="E289" s="562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7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8"/>
      <c r="R289" s="558"/>
      <c r="S289" s="558"/>
      <c r="T289" s="559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77"/>
      <c r="B290" s="556"/>
      <c r="C290" s="556"/>
      <c r="D290" s="556"/>
      <c r="E290" s="556"/>
      <c r="F290" s="556"/>
      <c r="G290" s="556"/>
      <c r="H290" s="556"/>
      <c r="I290" s="556"/>
      <c r="J290" s="556"/>
      <c r="K290" s="556"/>
      <c r="L290" s="556"/>
      <c r="M290" s="556"/>
      <c r="N290" s="556"/>
      <c r="O290" s="578"/>
      <c r="P290" s="552" t="s">
        <v>75</v>
      </c>
      <c r="Q290" s="553"/>
      <c r="R290" s="553"/>
      <c r="S290" s="553"/>
      <c r="T290" s="553"/>
      <c r="U290" s="553"/>
      <c r="V290" s="554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6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78"/>
      <c r="P291" s="552" t="s">
        <v>75</v>
      </c>
      <c r="Q291" s="553"/>
      <c r="R291" s="553"/>
      <c r="S291" s="553"/>
      <c r="T291" s="553"/>
      <c r="U291" s="553"/>
      <c r="V291" s="554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76" t="s">
        <v>469</v>
      </c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6"/>
      <c r="P292" s="556"/>
      <c r="Q292" s="556"/>
      <c r="R292" s="556"/>
      <c r="S292" s="556"/>
      <c r="T292" s="556"/>
      <c r="U292" s="556"/>
      <c r="V292" s="556"/>
      <c r="W292" s="556"/>
      <c r="X292" s="556"/>
      <c r="Y292" s="556"/>
      <c r="Z292" s="556"/>
      <c r="AA292" s="540"/>
      <c r="AB292" s="540"/>
      <c r="AC292" s="540"/>
    </row>
    <row r="293" spans="1:68" ht="14.25" customHeight="1" x14ac:dyDescent="0.25">
      <c r="A293" s="560" t="s">
        <v>102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61">
        <v>4680115885615</v>
      </c>
      <c r="E294" s="562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59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8"/>
      <c r="R294" s="558"/>
      <c r="S294" s="558"/>
      <c r="T294" s="559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61">
        <v>4680115885646</v>
      </c>
      <c r="E295" s="562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6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8"/>
      <c r="R295" s="558"/>
      <c r="S295" s="558"/>
      <c r="T295" s="559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61">
        <v>4680115885554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8"/>
      <c r="R296" s="558"/>
      <c r="S296" s="558"/>
      <c r="T296" s="559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61">
        <v>4680115885622</v>
      </c>
      <c r="E297" s="562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8"/>
      <c r="R297" s="558"/>
      <c r="S297" s="558"/>
      <c r="T297" s="559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61">
        <v>4680115885608</v>
      </c>
      <c r="E298" s="562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6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77"/>
      <c r="B299" s="556"/>
      <c r="C299" s="556"/>
      <c r="D299" s="556"/>
      <c r="E299" s="556"/>
      <c r="F299" s="556"/>
      <c r="G299" s="556"/>
      <c r="H299" s="556"/>
      <c r="I299" s="556"/>
      <c r="J299" s="556"/>
      <c r="K299" s="556"/>
      <c r="L299" s="556"/>
      <c r="M299" s="556"/>
      <c r="N299" s="556"/>
      <c r="O299" s="578"/>
      <c r="P299" s="552" t="s">
        <v>75</v>
      </c>
      <c r="Q299" s="553"/>
      <c r="R299" s="553"/>
      <c r="S299" s="553"/>
      <c r="T299" s="553"/>
      <c r="U299" s="553"/>
      <c r="V299" s="554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6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78"/>
      <c r="P300" s="552" t="s">
        <v>75</v>
      </c>
      <c r="Q300" s="553"/>
      <c r="R300" s="553"/>
      <c r="S300" s="553"/>
      <c r="T300" s="553"/>
      <c r="U300" s="553"/>
      <c r="V300" s="554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60" t="s">
        <v>64</v>
      </c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56"/>
      <c r="R301" s="556"/>
      <c r="S301" s="556"/>
      <c r="T301" s="556"/>
      <c r="U301" s="556"/>
      <c r="V301" s="556"/>
      <c r="W301" s="556"/>
      <c r="X301" s="556"/>
      <c r="Y301" s="556"/>
      <c r="Z301" s="556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61">
        <v>4607091387193</v>
      </c>
      <c r="E302" s="562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8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8"/>
      <c r="R302" s="558"/>
      <c r="S302" s="558"/>
      <c r="T302" s="559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61">
        <v>4607091387230</v>
      </c>
      <c r="E303" s="562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7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8"/>
      <c r="R303" s="558"/>
      <c r="S303" s="558"/>
      <c r="T303" s="559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61">
        <v>4607091387292</v>
      </c>
      <c r="E304" s="562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8"/>
      <c r="R304" s="558"/>
      <c r="S304" s="558"/>
      <c r="T304" s="559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61">
        <v>4607091387285</v>
      </c>
      <c r="E305" s="562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7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8"/>
      <c r="R305" s="558"/>
      <c r="S305" s="558"/>
      <c r="T305" s="559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61">
        <v>4607091389845</v>
      </c>
      <c r="E306" s="562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61">
        <v>4607091383836</v>
      </c>
      <c r="E307" s="562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77"/>
      <c r="B308" s="556"/>
      <c r="C308" s="556"/>
      <c r="D308" s="556"/>
      <c r="E308" s="556"/>
      <c r="F308" s="556"/>
      <c r="G308" s="556"/>
      <c r="H308" s="556"/>
      <c r="I308" s="556"/>
      <c r="J308" s="556"/>
      <c r="K308" s="556"/>
      <c r="L308" s="556"/>
      <c r="M308" s="556"/>
      <c r="N308" s="556"/>
      <c r="O308" s="578"/>
      <c r="P308" s="552" t="s">
        <v>75</v>
      </c>
      <c r="Q308" s="553"/>
      <c r="R308" s="553"/>
      <c r="S308" s="553"/>
      <c r="T308" s="553"/>
      <c r="U308" s="553"/>
      <c r="V308" s="554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6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78"/>
      <c r="P309" s="552" t="s">
        <v>75</v>
      </c>
      <c r="Q309" s="553"/>
      <c r="R309" s="553"/>
      <c r="S309" s="553"/>
      <c r="T309" s="553"/>
      <c r="U309" s="553"/>
      <c r="V309" s="554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60" t="s">
        <v>77</v>
      </c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6"/>
      <c r="P310" s="556"/>
      <c r="Q310" s="556"/>
      <c r="R310" s="556"/>
      <c r="S310" s="556"/>
      <c r="T310" s="556"/>
      <c r="U310" s="556"/>
      <c r="V310" s="556"/>
      <c r="W310" s="556"/>
      <c r="X310" s="556"/>
      <c r="Y310" s="556"/>
      <c r="Z310" s="556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61">
        <v>4607091387766</v>
      </c>
      <c r="E311" s="562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8"/>
      <c r="R311" s="558"/>
      <c r="S311" s="558"/>
      <c r="T311" s="559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61">
        <v>4607091387957</v>
      </c>
      <c r="E312" s="562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8"/>
      <c r="R312" s="558"/>
      <c r="S312" s="558"/>
      <c r="T312" s="559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61">
        <v>4607091387964</v>
      </c>
      <c r="E313" s="562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8"/>
      <c r="R313" s="558"/>
      <c r="S313" s="558"/>
      <c r="T313" s="559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61">
        <v>4680115884588</v>
      </c>
      <c r="E314" s="562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8"/>
      <c r="R314" s="558"/>
      <c r="S314" s="558"/>
      <c r="T314" s="559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77"/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78"/>
      <c r="P315" s="552" t="s">
        <v>75</v>
      </c>
      <c r="Q315" s="553"/>
      <c r="R315" s="553"/>
      <c r="S315" s="553"/>
      <c r="T315" s="553"/>
      <c r="U315" s="553"/>
      <c r="V315" s="554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6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78"/>
      <c r="P316" s="552" t="s">
        <v>75</v>
      </c>
      <c r="Q316" s="553"/>
      <c r="R316" s="553"/>
      <c r="S316" s="553"/>
      <c r="T316" s="553"/>
      <c r="U316" s="553"/>
      <c r="V316" s="554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60" t="s">
        <v>166</v>
      </c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56"/>
      <c r="R317" s="556"/>
      <c r="S317" s="556"/>
      <c r="T317" s="556"/>
      <c r="U317" s="556"/>
      <c r="V317" s="556"/>
      <c r="W317" s="556"/>
      <c r="X317" s="556"/>
      <c r="Y317" s="556"/>
      <c r="Z317" s="556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61">
        <v>4607091380880</v>
      </c>
      <c r="E318" s="562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61">
        <v>4607091384482</v>
      </c>
      <c r="E319" s="562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5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8"/>
      <c r="R319" s="558"/>
      <c r="S319" s="558"/>
      <c r="T319" s="559"/>
      <c r="U319" s="34"/>
      <c r="V319" s="34"/>
      <c r="W319" s="35" t="s">
        <v>69</v>
      </c>
      <c r="X319" s="545">
        <v>87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92.510000000000019</v>
      </c>
      <c r="BN319" s="64">
        <f>IFERROR(Y319*I319/H319,"0")</f>
        <v>99.528000000000006</v>
      </c>
      <c r="BO319" s="64">
        <f>IFERROR(1/J319*(X319/H319),"0")</f>
        <v>0.17427884615384615</v>
      </c>
      <c r="BP319" s="64">
        <f>IFERROR(1/J319*(Y319/H319),"0")</f>
        <v>0.1875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61">
        <v>4607091380897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6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8"/>
      <c r="R320" s="558"/>
      <c r="S320" s="558"/>
      <c r="T320" s="559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77"/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78"/>
      <c r="P321" s="552" t="s">
        <v>75</v>
      </c>
      <c r="Q321" s="553"/>
      <c r="R321" s="553"/>
      <c r="S321" s="553"/>
      <c r="T321" s="553"/>
      <c r="U321" s="553"/>
      <c r="V321" s="554"/>
      <c r="W321" s="37" t="s">
        <v>76</v>
      </c>
      <c r="X321" s="547">
        <f>IFERROR(X318/H318,"0")+IFERROR(X319/H319,"0")+IFERROR(X320/H320,"0")</f>
        <v>11.153846153846153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6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78"/>
      <c r="P322" s="552" t="s">
        <v>75</v>
      </c>
      <c r="Q322" s="553"/>
      <c r="R322" s="553"/>
      <c r="S322" s="553"/>
      <c r="T322" s="553"/>
      <c r="U322" s="553"/>
      <c r="V322" s="554"/>
      <c r="W322" s="37" t="s">
        <v>69</v>
      </c>
      <c r="X322" s="547">
        <f>IFERROR(SUM(X318:X320),"0")</f>
        <v>87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customHeight="1" x14ac:dyDescent="0.25">
      <c r="A323" s="560" t="s">
        <v>94</v>
      </c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56"/>
      <c r="R323" s="556"/>
      <c r="S323" s="556"/>
      <c r="T323" s="556"/>
      <c r="U323" s="556"/>
      <c r="V323" s="556"/>
      <c r="W323" s="556"/>
      <c r="X323" s="556"/>
      <c r="Y323" s="556"/>
      <c r="Z323" s="556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61">
        <v>4607091388381</v>
      </c>
      <c r="E324" s="562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8"/>
      <c r="R324" s="558"/>
      <c r="S324" s="558"/>
      <c r="T324" s="559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61">
        <v>4607091388374</v>
      </c>
      <c r="E325" s="562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68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8"/>
      <c r="R325" s="558"/>
      <c r="S325" s="558"/>
      <c r="T325" s="559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61">
        <v>4607091383102</v>
      </c>
      <c r="E326" s="562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8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8"/>
      <c r="R326" s="558"/>
      <c r="S326" s="558"/>
      <c r="T326" s="559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61">
        <v>4607091388404</v>
      </c>
      <c r="E327" s="562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6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8"/>
      <c r="R327" s="558"/>
      <c r="S327" s="558"/>
      <c r="T327" s="559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77"/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78"/>
      <c r="P328" s="552" t="s">
        <v>75</v>
      </c>
      <c r="Q328" s="553"/>
      <c r="R328" s="553"/>
      <c r="S328" s="553"/>
      <c r="T328" s="553"/>
      <c r="U328" s="553"/>
      <c r="V328" s="554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6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78"/>
      <c r="P329" s="552" t="s">
        <v>75</v>
      </c>
      <c r="Q329" s="553"/>
      <c r="R329" s="553"/>
      <c r="S329" s="553"/>
      <c r="T329" s="553"/>
      <c r="U329" s="553"/>
      <c r="V329" s="554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60" t="s">
        <v>532</v>
      </c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6"/>
      <c r="P330" s="556"/>
      <c r="Q330" s="556"/>
      <c r="R330" s="556"/>
      <c r="S330" s="556"/>
      <c r="T330" s="556"/>
      <c r="U330" s="556"/>
      <c r="V330" s="556"/>
      <c r="W330" s="556"/>
      <c r="X330" s="556"/>
      <c r="Y330" s="556"/>
      <c r="Z330" s="556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61">
        <v>4680115881808</v>
      </c>
      <c r="E331" s="562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8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8"/>
      <c r="R331" s="558"/>
      <c r="S331" s="558"/>
      <c r="T331" s="559"/>
      <c r="U331" s="34"/>
      <c r="V331" s="34"/>
      <c r="W331" s="35" t="s">
        <v>69</v>
      </c>
      <c r="X331" s="545">
        <v>1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1.1200000000000001</v>
      </c>
      <c r="BN331" s="64">
        <f>IFERROR(Y331*I331/H331,"0")</f>
        <v>2.2400000000000002</v>
      </c>
      <c r="BO331" s="64">
        <f>IFERROR(1/J331*(X331/H331),"0")</f>
        <v>2.1008403361344537E-3</v>
      </c>
      <c r="BP331" s="64">
        <f>IFERROR(1/J331*(Y331/H331),"0")</f>
        <v>4.2016806722689074E-3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61">
        <v>4680115881822</v>
      </c>
      <c r="E332" s="562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0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8"/>
      <c r="R332" s="558"/>
      <c r="S332" s="558"/>
      <c r="T332" s="559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61">
        <v>4680115880016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6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8"/>
      <c r="R333" s="558"/>
      <c r="S333" s="558"/>
      <c r="T333" s="559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77"/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78"/>
      <c r="P334" s="552" t="s">
        <v>75</v>
      </c>
      <c r="Q334" s="553"/>
      <c r="R334" s="553"/>
      <c r="S334" s="553"/>
      <c r="T334" s="553"/>
      <c r="U334" s="553"/>
      <c r="V334" s="554"/>
      <c r="W334" s="37" t="s">
        <v>76</v>
      </c>
      <c r="X334" s="547">
        <f>IFERROR(X331/H331,"0")+IFERROR(X332/H332,"0")+IFERROR(X333/H333,"0")</f>
        <v>0.5</v>
      </c>
      <c r="Y334" s="547">
        <f>IFERROR(Y331/H331,"0")+IFERROR(Y332/H332,"0")+IFERROR(Y333/H333,"0")</f>
        <v>1</v>
      </c>
      <c r="Z334" s="547">
        <f>IFERROR(IF(Z331="",0,Z331),"0")+IFERROR(IF(Z332="",0,Z332),"0")+IFERROR(IF(Z333="",0,Z333),"0")</f>
        <v>4.7400000000000003E-3</v>
      </c>
      <c r="AA334" s="548"/>
      <c r="AB334" s="548"/>
      <c r="AC334" s="548"/>
    </row>
    <row r="335" spans="1:68" x14ac:dyDescent="0.2">
      <c r="A335" s="556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78"/>
      <c r="P335" s="552" t="s">
        <v>75</v>
      </c>
      <c r="Q335" s="553"/>
      <c r="R335" s="553"/>
      <c r="S335" s="553"/>
      <c r="T335" s="553"/>
      <c r="U335" s="553"/>
      <c r="V335" s="554"/>
      <c r="W335" s="37" t="s">
        <v>69</v>
      </c>
      <c r="X335" s="547">
        <f>IFERROR(SUM(X331:X333),"0")</f>
        <v>1</v>
      </c>
      <c r="Y335" s="547">
        <f>IFERROR(SUM(Y331:Y333),"0")</f>
        <v>2</v>
      </c>
      <c r="Z335" s="37"/>
      <c r="AA335" s="548"/>
      <c r="AB335" s="548"/>
      <c r="AC335" s="548"/>
    </row>
    <row r="336" spans="1:68" ht="16.5" customHeight="1" x14ac:dyDescent="0.25">
      <c r="A336" s="576" t="s">
        <v>541</v>
      </c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6"/>
      <c r="P336" s="556"/>
      <c r="Q336" s="556"/>
      <c r="R336" s="556"/>
      <c r="S336" s="556"/>
      <c r="T336" s="556"/>
      <c r="U336" s="556"/>
      <c r="V336" s="556"/>
      <c r="W336" s="556"/>
      <c r="X336" s="556"/>
      <c r="Y336" s="556"/>
      <c r="Z336" s="556"/>
      <c r="AA336" s="540"/>
      <c r="AB336" s="540"/>
      <c r="AC336" s="540"/>
    </row>
    <row r="337" spans="1:68" ht="14.25" customHeight="1" x14ac:dyDescent="0.25">
      <c r="A337" s="560" t="s">
        <v>77</v>
      </c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61">
        <v>4607091387919</v>
      </c>
      <c r="E338" s="562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5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8"/>
      <c r="R338" s="558"/>
      <c r="S338" s="558"/>
      <c r="T338" s="559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61">
        <v>4680115883604</v>
      </c>
      <c r="E339" s="562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81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8"/>
      <c r="R339" s="558"/>
      <c r="S339" s="558"/>
      <c r="T339" s="559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61">
        <v>4680115883567</v>
      </c>
      <c r="E340" s="562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8"/>
      <c r="R340" s="558"/>
      <c r="S340" s="558"/>
      <c r="T340" s="559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77"/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78"/>
      <c r="P341" s="552" t="s">
        <v>75</v>
      </c>
      <c r="Q341" s="553"/>
      <c r="R341" s="553"/>
      <c r="S341" s="553"/>
      <c r="T341" s="553"/>
      <c r="U341" s="553"/>
      <c r="V341" s="554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6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78"/>
      <c r="P342" s="552" t="s">
        <v>75</v>
      </c>
      <c r="Q342" s="553"/>
      <c r="R342" s="553"/>
      <c r="S342" s="553"/>
      <c r="T342" s="553"/>
      <c r="U342" s="553"/>
      <c r="V342" s="554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686" t="s">
        <v>551</v>
      </c>
      <c r="B343" s="687"/>
      <c r="C343" s="687"/>
      <c r="D343" s="687"/>
      <c r="E343" s="687"/>
      <c r="F343" s="687"/>
      <c r="G343" s="687"/>
      <c r="H343" s="687"/>
      <c r="I343" s="687"/>
      <c r="J343" s="687"/>
      <c r="K343" s="687"/>
      <c r="L343" s="687"/>
      <c r="M343" s="687"/>
      <c r="N343" s="687"/>
      <c r="O343" s="687"/>
      <c r="P343" s="687"/>
      <c r="Q343" s="687"/>
      <c r="R343" s="687"/>
      <c r="S343" s="687"/>
      <c r="T343" s="687"/>
      <c r="U343" s="687"/>
      <c r="V343" s="687"/>
      <c r="W343" s="687"/>
      <c r="X343" s="687"/>
      <c r="Y343" s="687"/>
      <c r="Z343" s="687"/>
      <c r="AA343" s="48"/>
      <c r="AB343" s="48"/>
      <c r="AC343" s="48"/>
    </row>
    <row r="344" spans="1:68" ht="16.5" customHeight="1" x14ac:dyDescent="0.25">
      <c r="A344" s="576" t="s">
        <v>552</v>
      </c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6"/>
      <c r="P344" s="556"/>
      <c r="Q344" s="556"/>
      <c r="R344" s="556"/>
      <c r="S344" s="556"/>
      <c r="T344" s="556"/>
      <c r="U344" s="556"/>
      <c r="V344" s="556"/>
      <c r="W344" s="556"/>
      <c r="X344" s="556"/>
      <c r="Y344" s="556"/>
      <c r="Z344" s="556"/>
      <c r="AA344" s="540"/>
      <c r="AB344" s="540"/>
      <c r="AC344" s="540"/>
    </row>
    <row r="345" spans="1:68" ht="14.25" customHeight="1" x14ac:dyDescent="0.25">
      <c r="A345" s="560" t="s">
        <v>102</v>
      </c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61">
        <v>4680115884847</v>
      </c>
      <c r="E346" s="562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8"/>
      <c r="R346" s="558"/>
      <c r="S346" s="558"/>
      <c r="T346" s="559"/>
      <c r="U346" s="34"/>
      <c r="V346" s="34"/>
      <c r="W346" s="35" t="s">
        <v>69</v>
      </c>
      <c r="X346" s="545">
        <v>756</v>
      </c>
      <c r="Y346" s="546">
        <f t="shared" ref="Y346:Y352" si="31">IFERROR(IF(X346="",0,CEILING((X346/$H346),1)*$H346),"")</f>
        <v>765</v>
      </c>
      <c r="Z346" s="36">
        <f>IFERROR(IF(Y346=0,"",ROUNDUP(Y346/H346,0)*0.02175),"")</f>
        <v>1.1092499999999998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779.68799999999999</v>
      </c>
      <c r="BN346" s="64">
        <f t="shared" ref="BN346:BN352" si="33">IFERROR(Y346*I346/H346,"0")</f>
        <v>788.97</v>
      </c>
      <c r="BO346" s="64">
        <f t="shared" ref="BO346:BO352" si="34">IFERROR(1/J346*(X346/H346),"0")</f>
        <v>1.0499999999999998</v>
      </c>
      <c r="BP346" s="64">
        <f t="shared" ref="BP346:BP352" si="35">IFERROR(1/J346*(Y346/H346),"0")</f>
        <v>1.0625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61">
        <v>4680115884854</v>
      </c>
      <c r="E347" s="562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6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8"/>
      <c r="R347" s="558"/>
      <c r="S347" s="558"/>
      <c r="T347" s="559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61">
        <v>4680115884830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6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8"/>
      <c r="R348" s="558"/>
      <c r="S348" s="558"/>
      <c r="T348" s="559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61">
        <v>4680115887046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62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8"/>
      <c r="R349" s="558"/>
      <c r="S349" s="558"/>
      <c r="T349" s="559"/>
      <c r="U349" s="34"/>
      <c r="V349" s="34"/>
      <c r="W349" s="35" t="s">
        <v>69</v>
      </c>
      <c r="X349" s="545">
        <v>489</v>
      </c>
      <c r="Y349" s="546">
        <f t="shared" si="31"/>
        <v>495</v>
      </c>
      <c r="Z349" s="36">
        <f>IFERROR(IF(Y349=0,"",ROUNDUP(Y349/H349,0)*0.02175),"")</f>
        <v>0.71775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504.322</v>
      </c>
      <c r="BN349" s="64">
        <f t="shared" si="33"/>
        <v>510.51000000000005</v>
      </c>
      <c r="BO349" s="64">
        <f t="shared" si="34"/>
        <v>0.6791666666666667</v>
      </c>
      <c r="BP349" s="64">
        <f t="shared" si="35"/>
        <v>0.6875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61">
        <v>4680115882638</v>
      </c>
      <c r="E350" s="562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61">
        <v>4680115884922</v>
      </c>
      <c r="E351" s="562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7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8"/>
      <c r="R351" s="558"/>
      <c r="S351" s="558"/>
      <c r="T351" s="559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61">
        <v>4680115884861</v>
      </c>
      <c r="E352" s="562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7"/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78"/>
      <c r="P353" s="552" t="s">
        <v>75</v>
      </c>
      <c r="Q353" s="553"/>
      <c r="R353" s="553"/>
      <c r="S353" s="553"/>
      <c r="T353" s="553"/>
      <c r="U353" s="553"/>
      <c r="V353" s="554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83</v>
      </c>
      <c r="Y353" s="547">
        <f>IFERROR(Y346/H346,"0")+IFERROR(Y347/H347,"0")+IFERROR(Y348/H348,"0")+IFERROR(Y349/H349,"0")+IFERROR(Y350/H350,"0")+IFERROR(Y351/H351,"0")+IFERROR(Y352/H352,"0")</f>
        <v>84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1.827</v>
      </c>
      <c r="AA353" s="548"/>
      <c r="AB353" s="548"/>
      <c r="AC353" s="548"/>
    </row>
    <row r="354" spans="1:68" x14ac:dyDescent="0.2">
      <c r="A354" s="556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78"/>
      <c r="P354" s="552" t="s">
        <v>75</v>
      </c>
      <c r="Q354" s="553"/>
      <c r="R354" s="553"/>
      <c r="S354" s="553"/>
      <c r="T354" s="553"/>
      <c r="U354" s="553"/>
      <c r="V354" s="554"/>
      <c r="W354" s="37" t="s">
        <v>69</v>
      </c>
      <c r="X354" s="547">
        <f>IFERROR(SUM(X346:X352),"0")</f>
        <v>1245</v>
      </c>
      <c r="Y354" s="547">
        <f>IFERROR(SUM(Y346:Y352),"0")</f>
        <v>1260</v>
      </c>
      <c r="Z354" s="37"/>
      <c r="AA354" s="548"/>
      <c r="AB354" s="548"/>
      <c r="AC354" s="548"/>
    </row>
    <row r="355" spans="1:68" ht="14.25" customHeight="1" x14ac:dyDescent="0.25">
      <c r="A355" s="560" t="s">
        <v>138</v>
      </c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6"/>
      <c r="P355" s="556"/>
      <c r="Q355" s="556"/>
      <c r="R355" s="556"/>
      <c r="S355" s="556"/>
      <c r="T355" s="556"/>
      <c r="U355" s="556"/>
      <c r="V355" s="556"/>
      <c r="W355" s="556"/>
      <c r="X355" s="556"/>
      <c r="Y355" s="556"/>
      <c r="Z355" s="556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61">
        <v>4607091383980</v>
      </c>
      <c r="E356" s="562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8"/>
      <c r="R356" s="558"/>
      <c r="S356" s="558"/>
      <c r="T356" s="559"/>
      <c r="U356" s="34"/>
      <c r="V356" s="34"/>
      <c r="W356" s="35" t="s">
        <v>69</v>
      </c>
      <c r="X356" s="545">
        <v>403</v>
      </c>
      <c r="Y356" s="546">
        <f>IFERROR(IF(X356="",0,CEILING((X356/$H356),1)*$H356),"")</f>
        <v>405</v>
      </c>
      <c r="Z356" s="36">
        <f>IFERROR(IF(Y356=0,"",ROUNDUP(Y356/H356,0)*0.02175),"")</f>
        <v>0.58724999999999994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415.6273333333333</v>
      </c>
      <c r="BN356" s="64">
        <f>IFERROR(Y356*I356/H356,"0")</f>
        <v>417.69</v>
      </c>
      <c r="BO356" s="64">
        <f>IFERROR(1/J356*(X356/H356),"0")</f>
        <v>0.55972222222222223</v>
      </c>
      <c r="BP356" s="64">
        <f>IFERROR(1/J356*(Y356/H356),"0")</f>
        <v>0.5625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61">
        <v>4607091384178</v>
      </c>
      <c r="E357" s="562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6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8"/>
      <c r="R357" s="558"/>
      <c r="S357" s="558"/>
      <c r="T357" s="559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77"/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78"/>
      <c r="P358" s="552" t="s">
        <v>75</v>
      </c>
      <c r="Q358" s="553"/>
      <c r="R358" s="553"/>
      <c r="S358" s="553"/>
      <c r="T358" s="553"/>
      <c r="U358" s="553"/>
      <c r="V358" s="554"/>
      <c r="W358" s="37" t="s">
        <v>76</v>
      </c>
      <c r="X358" s="547">
        <f>IFERROR(X356/H356,"0")+IFERROR(X357/H357,"0")</f>
        <v>26.866666666666667</v>
      </c>
      <c r="Y358" s="547">
        <f>IFERROR(Y356/H356,"0")+IFERROR(Y357/H357,"0")</f>
        <v>27</v>
      </c>
      <c r="Z358" s="547">
        <f>IFERROR(IF(Z356="",0,Z356),"0")+IFERROR(IF(Z357="",0,Z357),"0")</f>
        <v>0.58724999999999994</v>
      </c>
      <c r="AA358" s="548"/>
      <c r="AB358" s="548"/>
      <c r="AC358" s="548"/>
    </row>
    <row r="359" spans="1:68" x14ac:dyDescent="0.2">
      <c r="A359" s="556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78"/>
      <c r="P359" s="552" t="s">
        <v>75</v>
      </c>
      <c r="Q359" s="553"/>
      <c r="R359" s="553"/>
      <c r="S359" s="553"/>
      <c r="T359" s="553"/>
      <c r="U359" s="553"/>
      <c r="V359" s="554"/>
      <c r="W359" s="37" t="s">
        <v>69</v>
      </c>
      <c r="X359" s="547">
        <f>IFERROR(SUM(X356:X357),"0")</f>
        <v>403</v>
      </c>
      <c r="Y359" s="547">
        <f>IFERROR(SUM(Y356:Y357),"0")</f>
        <v>405</v>
      </c>
      <c r="Z359" s="37"/>
      <c r="AA359" s="548"/>
      <c r="AB359" s="548"/>
      <c r="AC359" s="548"/>
    </row>
    <row r="360" spans="1:68" ht="14.25" customHeight="1" x14ac:dyDescent="0.25">
      <c r="A360" s="560" t="s">
        <v>77</v>
      </c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6"/>
      <c r="P360" s="556"/>
      <c r="Q360" s="556"/>
      <c r="R360" s="556"/>
      <c r="S360" s="556"/>
      <c r="T360" s="556"/>
      <c r="U360" s="556"/>
      <c r="V360" s="556"/>
      <c r="W360" s="556"/>
      <c r="X360" s="556"/>
      <c r="Y360" s="556"/>
      <c r="Z360" s="556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61">
        <v>4607091383928</v>
      </c>
      <c r="E361" s="562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8"/>
      <c r="R361" s="558"/>
      <c r="S361" s="558"/>
      <c r="T361" s="559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61">
        <v>4607091384260</v>
      </c>
      <c r="E362" s="562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6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8"/>
      <c r="R362" s="558"/>
      <c r="S362" s="558"/>
      <c r="T362" s="559"/>
      <c r="U362" s="34"/>
      <c r="V362" s="34"/>
      <c r="W362" s="35" t="s">
        <v>69</v>
      </c>
      <c r="X362" s="545">
        <v>49</v>
      </c>
      <c r="Y362" s="546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51.689555555555557</v>
      </c>
      <c r="BN362" s="64">
        <f>IFERROR(Y362*I362/H362,"0")</f>
        <v>56.963999999999992</v>
      </c>
      <c r="BO362" s="64">
        <f>IFERROR(1/J362*(X362/H362),"0")</f>
        <v>8.5069444444444448E-2</v>
      </c>
      <c r="BP362" s="64">
        <f>IFERROR(1/J362*(Y362/H362),"0")</f>
        <v>9.375E-2</v>
      </c>
    </row>
    <row r="363" spans="1:68" x14ac:dyDescent="0.2">
      <c r="A363" s="577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78"/>
      <c r="P363" s="552" t="s">
        <v>75</v>
      </c>
      <c r="Q363" s="553"/>
      <c r="R363" s="553"/>
      <c r="S363" s="553"/>
      <c r="T363" s="553"/>
      <c r="U363" s="553"/>
      <c r="V363" s="554"/>
      <c r="W363" s="37" t="s">
        <v>76</v>
      </c>
      <c r="X363" s="547">
        <f>IFERROR(X361/H361,"0")+IFERROR(X362/H362,"0")</f>
        <v>5.4444444444444446</v>
      </c>
      <c r="Y363" s="547">
        <f>IFERROR(Y361/H361,"0")+IFERROR(Y362/H362,"0")</f>
        <v>6</v>
      </c>
      <c r="Z363" s="547">
        <f>IFERROR(IF(Z361="",0,Z361),"0")+IFERROR(IF(Z362="",0,Z362),"0")</f>
        <v>0.11388000000000001</v>
      </c>
      <c r="AA363" s="548"/>
      <c r="AB363" s="548"/>
      <c r="AC363" s="548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78"/>
      <c r="P364" s="552" t="s">
        <v>75</v>
      </c>
      <c r="Q364" s="553"/>
      <c r="R364" s="553"/>
      <c r="S364" s="553"/>
      <c r="T364" s="553"/>
      <c r="U364" s="553"/>
      <c r="V364" s="554"/>
      <c r="W364" s="37" t="s">
        <v>69</v>
      </c>
      <c r="X364" s="547">
        <f>IFERROR(SUM(X361:X362),"0")</f>
        <v>49</v>
      </c>
      <c r="Y364" s="547">
        <f>IFERROR(SUM(Y361:Y362),"0")</f>
        <v>54</v>
      </c>
      <c r="Z364" s="37"/>
      <c r="AA364" s="548"/>
      <c r="AB364" s="548"/>
      <c r="AC364" s="548"/>
    </row>
    <row r="365" spans="1:68" ht="14.25" customHeight="1" x14ac:dyDescent="0.25">
      <c r="A365" s="560" t="s">
        <v>166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61">
        <v>4607091384673</v>
      </c>
      <c r="E366" s="562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77"/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78"/>
      <c r="P367" s="552" t="s">
        <v>75</v>
      </c>
      <c r="Q367" s="553"/>
      <c r="R367" s="553"/>
      <c r="S367" s="553"/>
      <c r="T367" s="553"/>
      <c r="U367" s="553"/>
      <c r="V367" s="554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6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78"/>
      <c r="P368" s="552" t="s">
        <v>75</v>
      </c>
      <c r="Q368" s="553"/>
      <c r="R368" s="553"/>
      <c r="S368" s="553"/>
      <c r="T368" s="553"/>
      <c r="U368" s="553"/>
      <c r="V368" s="554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76" t="s">
        <v>587</v>
      </c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6"/>
      <c r="P369" s="556"/>
      <c r="Q369" s="556"/>
      <c r="R369" s="556"/>
      <c r="S369" s="556"/>
      <c r="T369" s="556"/>
      <c r="U369" s="556"/>
      <c r="V369" s="556"/>
      <c r="W369" s="556"/>
      <c r="X369" s="556"/>
      <c r="Y369" s="556"/>
      <c r="Z369" s="556"/>
      <c r="AA369" s="540"/>
      <c r="AB369" s="540"/>
      <c r="AC369" s="540"/>
    </row>
    <row r="370" spans="1:68" ht="14.25" customHeight="1" x14ac:dyDescent="0.25">
      <c r="A370" s="560" t="s">
        <v>102</v>
      </c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61">
        <v>4680115884885</v>
      </c>
      <c r="E371" s="562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7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8"/>
      <c r="R371" s="558"/>
      <c r="S371" s="558"/>
      <c r="T371" s="559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61">
        <v>4680115884908</v>
      </c>
      <c r="E372" s="562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8"/>
      <c r="R372" s="558"/>
      <c r="S372" s="558"/>
      <c r="T372" s="559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77"/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78"/>
      <c r="P373" s="552" t="s">
        <v>75</v>
      </c>
      <c r="Q373" s="553"/>
      <c r="R373" s="553"/>
      <c r="S373" s="553"/>
      <c r="T373" s="553"/>
      <c r="U373" s="553"/>
      <c r="V373" s="554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6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78"/>
      <c r="P374" s="552" t="s">
        <v>75</v>
      </c>
      <c r="Q374" s="553"/>
      <c r="R374" s="553"/>
      <c r="S374" s="553"/>
      <c r="T374" s="553"/>
      <c r="U374" s="553"/>
      <c r="V374" s="554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60" t="s">
        <v>64</v>
      </c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  <c r="P375" s="556"/>
      <c r="Q375" s="556"/>
      <c r="R375" s="556"/>
      <c r="S375" s="556"/>
      <c r="T375" s="556"/>
      <c r="U375" s="556"/>
      <c r="V375" s="556"/>
      <c r="W375" s="556"/>
      <c r="X375" s="556"/>
      <c r="Y375" s="556"/>
      <c r="Z375" s="556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61">
        <v>4607091384802</v>
      </c>
      <c r="E376" s="562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78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8"/>
      <c r="R376" s="558"/>
      <c r="S376" s="558"/>
      <c r="T376" s="559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61">
        <v>4607091384802</v>
      </c>
      <c r="E377" s="562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8"/>
      <c r="R377" s="558"/>
      <c r="S377" s="558"/>
      <c r="T377" s="559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77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78"/>
      <c r="P378" s="552" t="s">
        <v>75</v>
      </c>
      <c r="Q378" s="553"/>
      <c r="R378" s="553"/>
      <c r="S378" s="553"/>
      <c r="T378" s="553"/>
      <c r="U378" s="553"/>
      <c r="V378" s="554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78"/>
      <c r="P379" s="552" t="s">
        <v>75</v>
      </c>
      <c r="Q379" s="553"/>
      <c r="R379" s="553"/>
      <c r="S379" s="553"/>
      <c r="T379" s="553"/>
      <c r="U379" s="553"/>
      <c r="V379" s="554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60" t="s">
        <v>77</v>
      </c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61">
        <v>4607091384246</v>
      </c>
      <c r="E381" s="562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45">
        <v>222</v>
      </c>
      <c r="Y381" s="546">
        <f>IFERROR(IF(X381="",0,CEILING((X381/$H381),1)*$H381),"")</f>
        <v>225</v>
      </c>
      <c r="Z381" s="36">
        <f>IFERROR(IF(Y381=0,"",ROUNDUP(Y381/H381,0)*0.01898),"")</f>
        <v>0.47450000000000003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234.18533333333335</v>
      </c>
      <c r="BN381" s="64">
        <f>IFERROR(Y381*I381/H381,"0")</f>
        <v>237.35000000000002</v>
      </c>
      <c r="BO381" s="64">
        <f>IFERROR(1/J381*(X381/H381),"0")</f>
        <v>0.38541666666666669</v>
      </c>
      <c r="BP381" s="64">
        <f>IFERROR(1/J381*(Y381/H381),"0")</f>
        <v>0.390625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61">
        <v>4607091384253</v>
      </c>
      <c r="E382" s="562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8"/>
      <c r="R382" s="558"/>
      <c r="S382" s="558"/>
      <c r="T382" s="559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61">
        <v>4607091384253</v>
      </c>
      <c r="E383" s="562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8"/>
      <c r="R383" s="558"/>
      <c r="S383" s="558"/>
      <c r="T383" s="559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77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78"/>
      <c r="P384" s="552" t="s">
        <v>75</v>
      </c>
      <c r="Q384" s="553"/>
      <c r="R384" s="553"/>
      <c r="S384" s="553"/>
      <c r="T384" s="553"/>
      <c r="U384" s="553"/>
      <c r="V384" s="554"/>
      <c r="W384" s="37" t="s">
        <v>76</v>
      </c>
      <c r="X384" s="547">
        <f>IFERROR(X381/H381,"0")+IFERROR(X382/H382,"0")+IFERROR(X383/H383,"0")</f>
        <v>24.666666666666668</v>
      </c>
      <c r="Y384" s="547">
        <f>IFERROR(Y381/H381,"0")+IFERROR(Y382/H382,"0")+IFERROR(Y383/H383,"0")</f>
        <v>25</v>
      </c>
      <c r="Z384" s="547">
        <f>IFERROR(IF(Z381="",0,Z381),"0")+IFERROR(IF(Z382="",0,Z382),"0")+IFERROR(IF(Z383="",0,Z383),"0")</f>
        <v>0.47450000000000003</v>
      </c>
      <c r="AA384" s="548"/>
      <c r="AB384" s="548"/>
      <c r="AC384" s="548"/>
    </row>
    <row r="385" spans="1:68" x14ac:dyDescent="0.2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78"/>
      <c r="P385" s="552" t="s">
        <v>75</v>
      </c>
      <c r="Q385" s="553"/>
      <c r="R385" s="553"/>
      <c r="S385" s="553"/>
      <c r="T385" s="553"/>
      <c r="U385" s="553"/>
      <c r="V385" s="554"/>
      <c r="W385" s="37" t="s">
        <v>69</v>
      </c>
      <c r="X385" s="547">
        <f>IFERROR(SUM(X381:X383),"0")</f>
        <v>222</v>
      </c>
      <c r="Y385" s="547">
        <f>IFERROR(SUM(Y381:Y383),"0")</f>
        <v>225</v>
      </c>
      <c r="Z385" s="37"/>
      <c r="AA385" s="548"/>
      <c r="AB385" s="548"/>
      <c r="AC385" s="548"/>
    </row>
    <row r="386" spans="1:68" ht="27.75" customHeight="1" x14ac:dyDescent="0.2">
      <c r="A386" s="686" t="s">
        <v>605</v>
      </c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7"/>
      <c r="P386" s="687"/>
      <c r="Q386" s="687"/>
      <c r="R386" s="687"/>
      <c r="S386" s="687"/>
      <c r="T386" s="687"/>
      <c r="U386" s="687"/>
      <c r="V386" s="687"/>
      <c r="W386" s="687"/>
      <c r="X386" s="687"/>
      <c r="Y386" s="687"/>
      <c r="Z386" s="687"/>
      <c r="AA386" s="48"/>
      <c r="AB386" s="48"/>
      <c r="AC386" s="48"/>
    </row>
    <row r="387" spans="1:68" ht="16.5" customHeight="1" x14ac:dyDescent="0.25">
      <c r="A387" s="576" t="s">
        <v>606</v>
      </c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40"/>
      <c r="AB387" s="540"/>
      <c r="AC387" s="540"/>
    </row>
    <row r="388" spans="1:68" ht="14.25" customHeight="1" x14ac:dyDescent="0.25">
      <c r="A388" s="560" t="s">
        <v>64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61">
        <v>4680115886100</v>
      </c>
      <c r="E389" s="562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8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8"/>
      <c r="R389" s="558"/>
      <c r="S389" s="558"/>
      <c r="T389" s="559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61">
        <v>4680115886117</v>
      </c>
      <c r="E390" s="562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68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8"/>
      <c r="R390" s="558"/>
      <c r="S390" s="558"/>
      <c r="T390" s="559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61">
        <v>4680115886124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8"/>
      <c r="R391" s="558"/>
      <c r="S391" s="558"/>
      <c r="T391" s="559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61">
        <v>4680115883147</v>
      </c>
      <c r="E392" s="562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8"/>
      <c r="R392" s="558"/>
      <c r="S392" s="558"/>
      <c r="T392" s="559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61">
        <v>4607091384338</v>
      </c>
      <c r="E393" s="562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8"/>
      <c r="R393" s="558"/>
      <c r="S393" s="558"/>
      <c r="T393" s="559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61">
        <v>4607091389524</v>
      </c>
      <c r="E394" s="562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8"/>
      <c r="R394" s="558"/>
      <c r="S394" s="558"/>
      <c r="T394" s="559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61">
        <v>4680115883161</v>
      </c>
      <c r="E395" s="562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61">
        <v>4607091389531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8"/>
      <c r="R396" s="558"/>
      <c r="S396" s="558"/>
      <c r="T396" s="559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61">
        <v>4607091384345</v>
      </c>
      <c r="E397" s="562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77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78"/>
      <c r="P398" s="552" t="s">
        <v>75</v>
      </c>
      <c r="Q398" s="553"/>
      <c r="R398" s="553"/>
      <c r="S398" s="553"/>
      <c r="T398" s="553"/>
      <c r="U398" s="553"/>
      <c r="V398" s="554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78"/>
      <c r="P399" s="552" t="s">
        <v>75</v>
      </c>
      <c r="Q399" s="553"/>
      <c r="R399" s="553"/>
      <c r="S399" s="553"/>
      <c r="T399" s="553"/>
      <c r="U399" s="553"/>
      <c r="V399" s="554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60" t="s">
        <v>77</v>
      </c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61">
        <v>4607091384352</v>
      </c>
      <c r="E401" s="562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61">
        <v>4607091389654</v>
      </c>
      <c r="E402" s="562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8"/>
      <c r="R402" s="558"/>
      <c r="S402" s="558"/>
      <c r="T402" s="559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77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78"/>
      <c r="P403" s="552" t="s">
        <v>75</v>
      </c>
      <c r="Q403" s="553"/>
      <c r="R403" s="553"/>
      <c r="S403" s="553"/>
      <c r="T403" s="553"/>
      <c r="U403" s="553"/>
      <c r="V403" s="554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78"/>
      <c r="P404" s="552" t="s">
        <v>75</v>
      </c>
      <c r="Q404" s="553"/>
      <c r="R404" s="553"/>
      <c r="S404" s="553"/>
      <c r="T404" s="553"/>
      <c r="U404" s="553"/>
      <c r="V404" s="554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76" t="s">
        <v>637</v>
      </c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40"/>
      <c r="AB405" s="540"/>
      <c r="AC405" s="540"/>
    </row>
    <row r="406" spans="1:68" ht="14.25" customHeight="1" x14ac:dyDescent="0.25">
      <c r="A406" s="560" t="s">
        <v>138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61">
        <v>4680115885240</v>
      </c>
      <c r="E407" s="562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8"/>
      <c r="R407" s="558"/>
      <c r="S407" s="558"/>
      <c r="T407" s="559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77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78"/>
      <c r="P408" s="552" t="s">
        <v>75</v>
      </c>
      <c r="Q408" s="553"/>
      <c r="R408" s="553"/>
      <c r="S408" s="553"/>
      <c r="T408" s="553"/>
      <c r="U408" s="553"/>
      <c r="V408" s="554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78"/>
      <c r="P409" s="552" t="s">
        <v>75</v>
      </c>
      <c r="Q409" s="553"/>
      <c r="R409" s="553"/>
      <c r="S409" s="553"/>
      <c r="T409" s="553"/>
      <c r="U409" s="553"/>
      <c r="V409" s="554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60" t="s">
        <v>64</v>
      </c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61">
        <v>4680115886094</v>
      </c>
      <c r="E411" s="562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7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61">
        <v>4607091389425</v>
      </c>
      <c r="E412" s="562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8"/>
      <c r="R412" s="558"/>
      <c r="S412" s="558"/>
      <c r="T412" s="559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61">
        <v>4680115880771</v>
      </c>
      <c r="E413" s="562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8"/>
      <c r="R413" s="558"/>
      <c r="S413" s="558"/>
      <c r="T413" s="559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61">
        <v>4607091389500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8"/>
      <c r="R414" s="558"/>
      <c r="S414" s="558"/>
      <c r="T414" s="559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77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78"/>
      <c r="P415" s="552" t="s">
        <v>75</v>
      </c>
      <c r="Q415" s="553"/>
      <c r="R415" s="553"/>
      <c r="S415" s="553"/>
      <c r="T415" s="553"/>
      <c r="U415" s="553"/>
      <c r="V415" s="554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78"/>
      <c r="P416" s="552" t="s">
        <v>75</v>
      </c>
      <c r="Q416" s="553"/>
      <c r="R416" s="553"/>
      <c r="S416" s="553"/>
      <c r="T416" s="553"/>
      <c r="U416" s="553"/>
      <c r="V416" s="554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76" t="s">
        <v>652</v>
      </c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40"/>
      <c r="AB417" s="540"/>
      <c r="AC417" s="540"/>
    </row>
    <row r="418" spans="1:68" ht="14.25" customHeight="1" x14ac:dyDescent="0.25">
      <c r="A418" s="560" t="s">
        <v>64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61">
        <v>4680115885110</v>
      </c>
      <c r="E419" s="562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5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8"/>
      <c r="R419" s="558"/>
      <c r="S419" s="558"/>
      <c r="T419" s="559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7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78"/>
      <c r="P420" s="552" t="s">
        <v>75</v>
      </c>
      <c r="Q420" s="553"/>
      <c r="R420" s="553"/>
      <c r="S420" s="553"/>
      <c r="T420" s="553"/>
      <c r="U420" s="553"/>
      <c r="V420" s="554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78"/>
      <c r="P421" s="552" t="s">
        <v>75</v>
      </c>
      <c r="Q421" s="553"/>
      <c r="R421" s="553"/>
      <c r="S421" s="553"/>
      <c r="T421" s="553"/>
      <c r="U421" s="553"/>
      <c r="V421" s="554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686" t="s">
        <v>656</v>
      </c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7"/>
      <c r="P422" s="687"/>
      <c r="Q422" s="687"/>
      <c r="R422" s="687"/>
      <c r="S422" s="687"/>
      <c r="T422" s="687"/>
      <c r="U422" s="687"/>
      <c r="V422" s="687"/>
      <c r="W422" s="687"/>
      <c r="X422" s="687"/>
      <c r="Y422" s="687"/>
      <c r="Z422" s="687"/>
      <c r="AA422" s="48"/>
      <c r="AB422" s="48"/>
      <c r="AC422" s="48"/>
    </row>
    <row r="423" spans="1:68" ht="16.5" customHeight="1" x14ac:dyDescent="0.25">
      <c r="A423" s="576" t="s">
        <v>656</v>
      </c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40"/>
      <c r="AB423" s="540"/>
      <c r="AC423" s="540"/>
    </row>
    <row r="424" spans="1:68" ht="14.25" customHeight="1" x14ac:dyDescent="0.25">
      <c r="A424" s="560" t="s">
        <v>102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61">
        <v>4607091389067</v>
      </c>
      <c r="E425" s="562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8"/>
      <c r="R425" s="558"/>
      <c r="S425" s="558"/>
      <c r="T425" s="559"/>
      <c r="U425" s="34"/>
      <c r="V425" s="34"/>
      <c r="W425" s="35" t="s">
        <v>69</v>
      </c>
      <c r="X425" s="545">
        <v>49</v>
      </c>
      <c r="Y425" s="546">
        <f t="shared" ref="Y425:Y436" si="42">IFERROR(IF(X425="",0,CEILING((X425/$H425),1)*$H425),"")</f>
        <v>52.800000000000004</v>
      </c>
      <c r="Z425" s="36">
        <f t="shared" ref="Z425:Z431" si="43">IFERROR(IF(Y425=0,"",ROUNDUP(Y425/H425,0)*0.01196),"")</f>
        <v>0.1196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52.248106060606062</v>
      </c>
      <c r="BN425" s="64">
        <f t="shared" ref="BN425:BN436" si="45">IFERROR(Y425*I425/H425,"0")</f>
        <v>56.3</v>
      </c>
      <c r="BO425" s="64">
        <f t="shared" ref="BO425:BO436" si="46">IFERROR(1/J425*(X425/H425),"0")</f>
        <v>8.9233682983682977E-2</v>
      </c>
      <c r="BP425" s="64">
        <f t="shared" ref="BP425:BP436" si="47">IFERROR(1/J425*(Y425/H425),"0")</f>
        <v>9.6153846153846159E-2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61">
        <v>4607091383522</v>
      </c>
      <c r="E426" s="562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8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8"/>
      <c r="R426" s="558"/>
      <c r="S426" s="558"/>
      <c r="T426" s="559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61">
        <v>4607091383522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58" t="s">
        <v>663</v>
      </c>
      <c r="Q427" s="558"/>
      <c r="R427" s="558"/>
      <c r="S427" s="558"/>
      <c r="T427" s="559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61">
        <v>4680115885271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8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8"/>
      <c r="R428" s="558"/>
      <c r="S428" s="558"/>
      <c r="T428" s="559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61">
        <v>4680115885226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7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8"/>
      <c r="R429" s="558"/>
      <c r="S429" s="558"/>
      <c r="T429" s="559"/>
      <c r="U429" s="34"/>
      <c r="V429" s="34"/>
      <c r="W429" s="35" t="s">
        <v>69</v>
      </c>
      <c r="X429" s="545">
        <v>30</v>
      </c>
      <c r="Y429" s="546">
        <f t="shared" si="42"/>
        <v>31.68</v>
      </c>
      <c r="Z429" s="36">
        <f t="shared" si="43"/>
        <v>7.1760000000000004E-2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31.988636363636363</v>
      </c>
      <c r="BN429" s="64">
        <f t="shared" si="45"/>
        <v>33.779999999999994</v>
      </c>
      <c r="BO429" s="64">
        <f t="shared" si="46"/>
        <v>5.4632867132867136E-2</v>
      </c>
      <c r="BP429" s="64">
        <f t="shared" si="47"/>
        <v>5.7692307692307696E-2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61">
        <v>4680115884502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8"/>
      <c r="R430" s="558"/>
      <c r="S430" s="558"/>
      <c r="T430" s="559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61">
        <v>4607091389104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7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8"/>
      <c r="R431" s="558"/>
      <c r="S431" s="558"/>
      <c r="T431" s="559"/>
      <c r="U431" s="34"/>
      <c r="V431" s="34"/>
      <c r="W431" s="35" t="s">
        <v>69</v>
      </c>
      <c r="X431" s="545">
        <v>143</v>
      </c>
      <c r="Y431" s="546">
        <f t="shared" si="42"/>
        <v>147.84</v>
      </c>
      <c r="Z431" s="36">
        <f t="shared" si="43"/>
        <v>0.33488000000000001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152.47916666666666</v>
      </c>
      <c r="BN431" s="64">
        <f t="shared" si="45"/>
        <v>157.63999999999999</v>
      </c>
      <c r="BO431" s="64">
        <f t="shared" si="46"/>
        <v>0.26041666666666669</v>
      </c>
      <c r="BP431" s="64">
        <f t="shared" si="47"/>
        <v>0.26923076923076927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61">
        <v>4680115886391</v>
      </c>
      <c r="E432" s="562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8"/>
      <c r="R432" s="558"/>
      <c r="S432" s="558"/>
      <c r="T432" s="559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61">
        <v>4680115880603</v>
      </c>
      <c r="E433" s="562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5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61">
        <v>4680115882782</v>
      </c>
      <c r="E434" s="562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59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61">
        <v>4680115885479</v>
      </c>
      <c r="E435" s="562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61">
        <v>4607091389982</v>
      </c>
      <c r="E436" s="562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8"/>
      <c r="R436" s="558"/>
      <c r="S436" s="558"/>
      <c r="T436" s="559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77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78"/>
      <c r="P437" s="552" t="s">
        <v>75</v>
      </c>
      <c r="Q437" s="553"/>
      <c r="R437" s="553"/>
      <c r="S437" s="553"/>
      <c r="T437" s="553"/>
      <c r="U437" s="553"/>
      <c r="V437" s="554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42.045454545454547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44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0.52624000000000004</v>
      </c>
      <c r="AA437" s="548"/>
      <c r="AB437" s="548"/>
      <c r="AC437" s="548"/>
    </row>
    <row r="438" spans="1:68" x14ac:dyDescent="0.2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78"/>
      <c r="P438" s="552" t="s">
        <v>75</v>
      </c>
      <c r="Q438" s="553"/>
      <c r="R438" s="553"/>
      <c r="S438" s="553"/>
      <c r="T438" s="553"/>
      <c r="U438" s="553"/>
      <c r="V438" s="554"/>
      <c r="W438" s="37" t="s">
        <v>69</v>
      </c>
      <c r="X438" s="547">
        <f>IFERROR(SUM(X425:X436),"0")</f>
        <v>222</v>
      </c>
      <c r="Y438" s="547">
        <f>IFERROR(SUM(Y425:Y436),"0")</f>
        <v>232.32</v>
      </c>
      <c r="Z438" s="37"/>
      <c r="AA438" s="548"/>
      <c r="AB438" s="548"/>
      <c r="AC438" s="548"/>
    </row>
    <row r="439" spans="1:68" ht="14.25" customHeight="1" x14ac:dyDescent="0.25">
      <c r="A439" s="560" t="s">
        <v>138</v>
      </c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61">
        <v>4607091388930</v>
      </c>
      <c r="E440" s="562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8"/>
      <c r="R440" s="558"/>
      <c r="S440" s="558"/>
      <c r="T440" s="559"/>
      <c r="U440" s="34"/>
      <c r="V440" s="34"/>
      <c r="W440" s="35" t="s">
        <v>69</v>
      </c>
      <c r="X440" s="545">
        <v>98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104.49621212121212</v>
      </c>
      <c r="BN440" s="64">
        <f>IFERROR(Y440*I440/H440,"0")</f>
        <v>106.97</v>
      </c>
      <c r="BO440" s="64">
        <f>IFERROR(1/J440*(X440/H440),"0")</f>
        <v>0.17846736596736595</v>
      </c>
      <c r="BP440" s="64">
        <f>IFERROR(1/J440*(Y440/H440),"0")</f>
        <v>0.18269230769230771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61">
        <v>4680115886407</v>
      </c>
      <c r="E441" s="562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8"/>
      <c r="R441" s="558"/>
      <c r="S441" s="558"/>
      <c r="T441" s="559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61">
        <v>4680115880054</v>
      </c>
      <c r="E442" s="562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7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8"/>
      <c r="R442" s="558"/>
      <c r="S442" s="558"/>
      <c r="T442" s="559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7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78"/>
      <c r="P443" s="552" t="s">
        <v>75</v>
      </c>
      <c r="Q443" s="553"/>
      <c r="R443" s="553"/>
      <c r="S443" s="553"/>
      <c r="T443" s="553"/>
      <c r="U443" s="553"/>
      <c r="V443" s="554"/>
      <c r="W443" s="37" t="s">
        <v>76</v>
      </c>
      <c r="X443" s="547">
        <f>IFERROR(X440/H440,"0")+IFERROR(X441/H441,"0")+IFERROR(X442/H442,"0")</f>
        <v>18.560606060606059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78"/>
      <c r="P444" s="552" t="s">
        <v>75</v>
      </c>
      <c r="Q444" s="553"/>
      <c r="R444" s="553"/>
      <c r="S444" s="553"/>
      <c r="T444" s="553"/>
      <c r="U444" s="553"/>
      <c r="V444" s="554"/>
      <c r="W444" s="37" t="s">
        <v>69</v>
      </c>
      <c r="X444" s="547">
        <f>IFERROR(SUM(X440:X442),"0")</f>
        <v>98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customHeight="1" x14ac:dyDescent="0.25">
      <c r="A445" s="560" t="s">
        <v>64</v>
      </c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61">
        <v>4680115883116</v>
      </c>
      <c r="E446" s="562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61">
        <v>4680115883093</v>
      </c>
      <c r="E447" s="562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8"/>
      <c r="R447" s="558"/>
      <c r="S447" s="558"/>
      <c r="T447" s="559"/>
      <c r="U447" s="34"/>
      <c r="V447" s="34"/>
      <c r="W447" s="35" t="s">
        <v>69</v>
      </c>
      <c r="X447" s="545">
        <v>19</v>
      </c>
      <c r="Y447" s="546">
        <f t="shared" si="48"/>
        <v>21.12</v>
      </c>
      <c r="Z447" s="36">
        <f>IFERROR(IF(Y447=0,"",ROUNDUP(Y447/H447,0)*0.01196),"")</f>
        <v>4.7840000000000001E-2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20.259469696969695</v>
      </c>
      <c r="BN447" s="64">
        <f t="shared" si="50"/>
        <v>22.52</v>
      </c>
      <c r="BO447" s="64">
        <f t="shared" si="51"/>
        <v>3.4600815850815848E-2</v>
      </c>
      <c r="BP447" s="64">
        <f t="shared" si="52"/>
        <v>3.8461538461538464E-2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61">
        <v>4680115883109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6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8"/>
      <c r="R448" s="558"/>
      <c r="S448" s="558"/>
      <c r="T448" s="559"/>
      <c r="U448" s="34"/>
      <c r="V448" s="34"/>
      <c r="W448" s="35" t="s">
        <v>69</v>
      </c>
      <c r="X448" s="545">
        <v>119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126.88825757575758</v>
      </c>
      <c r="BN448" s="64">
        <f t="shared" si="50"/>
        <v>129.49</v>
      </c>
      <c r="BO448" s="64">
        <f t="shared" si="51"/>
        <v>0.21671037296037296</v>
      </c>
      <c r="BP448" s="64">
        <f t="shared" si="52"/>
        <v>0.22115384615384617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61">
        <v>4680115882072</v>
      </c>
      <c r="E449" s="562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8"/>
      <c r="R449" s="558"/>
      <c r="S449" s="558"/>
      <c r="T449" s="559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61">
        <v>4680115882102</v>
      </c>
      <c r="E450" s="562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8"/>
      <c r="R450" s="558"/>
      <c r="S450" s="558"/>
      <c r="T450" s="559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61">
        <v>4680115882096</v>
      </c>
      <c r="E451" s="562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8"/>
      <c r="R451" s="558"/>
      <c r="S451" s="558"/>
      <c r="T451" s="559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77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78"/>
      <c r="P452" s="552" t="s">
        <v>75</v>
      </c>
      <c r="Q452" s="553"/>
      <c r="R452" s="553"/>
      <c r="S452" s="553"/>
      <c r="T452" s="553"/>
      <c r="U452" s="553"/>
      <c r="V452" s="554"/>
      <c r="W452" s="37" t="s">
        <v>76</v>
      </c>
      <c r="X452" s="547">
        <f>IFERROR(X446/H446,"0")+IFERROR(X447/H447,"0")+IFERROR(X448/H448,"0")+IFERROR(X449/H449,"0")+IFERROR(X450/H450,"0")+IFERROR(X451/H451,"0")</f>
        <v>26.136363636363633</v>
      </c>
      <c r="Y452" s="547">
        <f>IFERROR(Y446/H446,"0")+IFERROR(Y447/H447,"0")+IFERROR(Y448/H448,"0")+IFERROR(Y449/H449,"0")+IFERROR(Y450/H450,"0")+IFERROR(Y451/H451,"0")</f>
        <v>27</v>
      </c>
      <c r="Z452" s="547">
        <f>IFERROR(IF(Z446="",0,Z446),"0")+IFERROR(IF(Z447="",0,Z447),"0")+IFERROR(IF(Z448="",0,Z448),"0")+IFERROR(IF(Z449="",0,Z449),"0")+IFERROR(IF(Z450="",0,Z450),"0")+IFERROR(IF(Z451="",0,Z451),"0")</f>
        <v>0.32291999999999998</v>
      </c>
      <c r="AA452" s="548"/>
      <c r="AB452" s="548"/>
      <c r="AC452" s="548"/>
    </row>
    <row r="453" spans="1:68" x14ac:dyDescent="0.2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78"/>
      <c r="P453" s="552" t="s">
        <v>75</v>
      </c>
      <c r="Q453" s="553"/>
      <c r="R453" s="553"/>
      <c r="S453" s="553"/>
      <c r="T453" s="553"/>
      <c r="U453" s="553"/>
      <c r="V453" s="554"/>
      <c r="W453" s="37" t="s">
        <v>69</v>
      </c>
      <c r="X453" s="547">
        <f>IFERROR(SUM(X446:X451),"0")</f>
        <v>138</v>
      </c>
      <c r="Y453" s="547">
        <f>IFERROR(SUM(Y446:Y451),"0")</f>
        <v>142.56</v>
      </c>
      <c r="Z453" s="37"/>
      <c r="AA453" s="548"/>
      <c r="AB453" s="548"/>
      <c r="AC453" s="548"/>
    </row>
    <row r="454" spans="1:68" ht="14.25" customHeight="1" x14ac:dyDescent="0.25">
      <c r="A454" s="560" t="s">
        <v>77</v>
      </c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6"/>
      <c r="P454" s="556"/>
      <c r="Q454" s="556"/>
      <c r="R454" s="556"/>
      <c r="S454" s="556"/>
      <c r="T454" s="556"/>
      <c r="U454" s="556"/>
      <c r="V454" s="556"/>
      <c r="W454" s="556"/>
      <c r="X454" s="556"/>
      <c r="Y454" s="556"/>
      <c r="Z454" s="556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61">
        <v>4680115883536</v>
      </c>
      <c r="E455" s="562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8"/>
      <c r="R455" s="558"/>
      <c r="S455" s="558"/>
      <c r="T455" s="559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77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78"/>
      <c r="P456" s="552" t="s">
        <v>75</v>
      </c>
      <c r="Q456" s="553"/>
      <c r="R456" s="553"/>
      <c r="S456" s="553"/>
      <c r="T456" s="553"/>
      <c r="U456" s="553"/>
      <c r="V456" s="554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6"/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78"/>
      <c r="P457" s="552" t="s">
        <v>75</v>
      </c>
      <c r="Q457" s="553"/>
      <c r="R457" s="553"/>
      <c r="S457" s="553"/>
      <c r="T457" s="553"/>
      <c r="U457" s="553"/>
      <c r="V457" s="554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686" t="s">
        <v>712</v>
      </c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7"/>
      <c r="P458" s="687"/>
      <c r="Q458" s="687"/>
      <c r="R458" s="687"/>
      <c r="S458" s="687"/>
      <c r="T458" s="687"/>
      <c r="U458" s="687"/>
      <c r="V458" s="687"/>
      <c r="W458" s="687"/>
      <c r="X458" s="687"/>
      <c r="Y458" s="687"/>
      <c r="Z458" s="687"/>
      <c r="AA458" s="48"/>
      <c r="AB458" s="48"/>
      <c r="AC458" s="48"/>
    </row>
    <row r="459" spans="1:68" ht="16.5" customHeight="1" x14ac:dyDescent="0.25">
      <c r="A459" s="576" t="s">
        <v>712</v>
      </c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40"/>
      <c r="AB459" s="540"/>
      <c r="AC459" s="540"/>
    </row>
    <row r="460" spans="1:68" ht="14.25" customHeight="1" x14ac:dyDescent="0.25">
      <c r="A460" s="560" t="s">
        <v>102</v>
      </c>
      <c r="B460" s="556"/>
      <c r="C460" s="556"/>
      <c r="D460" s="556"/>
      <c r="E460" s="556"/>
      <c r="F460" s="556"/>
      <c r="G460" s="556"/>
      <c r="H460" s="556"/>
      <c r="I460" s="556"/>
      <c r="J460" s="556"/>
      <c r="K460" s="556"/>
      <c r="L460" s="556"/>
      <c r="M460" s="556"/>
      <c r="N460" s="556"/>
      <c r="O460" s="556"/>
      <c r="P460" s="556"/>
      <c r="Q460" s="556"/>
      <c r="R460" s="556"/>
      <c r="S460" s="556"/>
      <c r="T460" s="556"/>
      <c r="U460" s="556"/>
      <c r="V460" s="556"/>
      <c r="W460" s="556"/>
      <c r="X460" s="556"/>
      <c r="Y460" s="556"/>
      <c r="Z460" s="556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61">
        <v>4640242181011</v>
      </c>
      <c r="E461" s="562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8"/>
      <c r="R461" s="558"/>
      <c r="S461" s="558"/>
      <c r="T461" s="559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61">
        <v>4640242180441</v>
      </c>
      <c r="E462" s="562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6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8"/>
      <c r="R462" s="558"/>
      <c r="S462" s="558"/>
      <c r="T462" s="559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61">
        <v>4640242180564</v>
      </c>
      <c r="E463" s="562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64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8"/>
      <c r="R463" s="558"/>
      <c r="S463" s="558"/>
      <c r="T463" s="559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61">
        <v>4640242181189</v>
      </c>
      <c r="E464" s="562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80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8"/>
      <c r="R464" s="558"/>
      <c r="S464" s="558"/>
      <c r="T464" s="559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77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78"/>
      <c r="P465" s="552" t="s">
        <v>75</v>
      </c>
      <c r="Q465" s="553"/>
      <c r="R465" s="553"/>
      <c r="S465" s="553"/>
      <c r="T465" s="553"/>
      <c r="U465" s="553"/>
      <c r="V465" s="554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6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78"/>
      <c r="P466" s="552" t="s">
        <v>75</v>
      </c>
      <c r="Q466" s="553"/>
      <c r="R466" s="553"/>
      <c r="S466" s="553"/>
      <c r="T466" s="553"/>
      <c r="U466" s="553"/>
      <c r="V466" s="554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60" t="s">
        <v>138</v>
      </c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6"/>
      <c r="P467" s="556"/>
      <c r="Q467" s="556"/>
      <c r="R467" s="556"/>
      <c r="S467" s="556"/>
      <c r="T467" s="556"/>
      <c r="U467" s="556"/>
      <c r="V467" s="556"/>
      <c r="W467" s="556"/>
      <c r="X467" s="556"/>
      <c r="Y467" s="556"/>
      <c r="Z467" s="556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61">
        <v>4640242180519</v>
      </c>
      <c r="E468" s="562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8"/>
      <c r="R468" s="558"/>
      <c r="S468" s="558"/>
      <c r="T468" s="559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61">
        <v>4640242180526</v>
      </c>
      <c r="E469" s="562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8"/>
      <c r="R469" s="558"/>
      <c r="S469" s="558"/>
      <c r="T469" s="559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7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78"/>
      <c r="P470" s="552" t="s">
        <v>75</v>
      </c>
      <c r="Q470" s="553"/>
      <c r="R470" s="553"/>
      <c r="S470" s="553"/>
      <c r="T470" s="553"/>
      <c r="U470" s="553"/>
      <c r="V470" s="554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78"/>
      <c r="P471" s="552" t="s">
        <v>75</v>
      </c>
      <c r="Q471" s="553"/>
      <c r="R471" s="553"/>
      <c r="S471" s="553"/>
      <c r="T471" s="553"/>
      <c r="U471" s="553"/>
      <c r="V471" s="554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60" t="s">
        <v>64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61">
        <v>4640242180816</v>
      </c>
      <c r="E473" s="562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84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8"/>
      <c r="R473" s="558"/>
      <c r="S473" s="558"/>
      <c r="T473" s="559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61">
        <v>4640242180595</v>
      </c>
      <c r="E474" s="562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81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8"/>
      <c r="R474" s="558"/>
      <c r="S474" s="558"/>
      <c r="T474" s="559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7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78"/>
      <c r="P475" s="552" t="s">
        <v>75</v>
      </c>
      <c r="Q475" s="553"/>
      <c r="R475" s="553"/>
      <c r="S475" s="553"/>
      <c r="T475" s="553"/>
      <c r="U475" s="553"/>
      <c r="V475" s="554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78"/>
      <c r="P476" s="552" t="s">
        <v>75</v>
      </c>
      <c r="Q476" s="553"/>
      <c r="R476" s="553"/>
      <c r="S476" s="553"/>
      <c r="T476" s="553"/>
      <c r="U476" s="553"/>
      <c r="V476" s="554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60" t="s">
        <v>77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61">
        <v>4640242180533</v>
      </c>
      <c r="E478" s="562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6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45">
        <v>51</v>
      </c>
      <c r="Y478" s="546">
        <f>IFERROR(IF(X478="",0,CEILING((X478/$H478),1)*$H478),"")</f>
        <v>54</v>
      </c>
      <c r="Z478" s="36">
        <f>IFERROR(IF(Y478=0,"",ROUNDUP(Y478/H478,0)*0.01898),"")</f>
        <v>0.11388000000000001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53.79933333333333</v>
      </c>
      <c r="BN478" s="64">
        <f>IFERROR(Y478*I478/H478,"0")</f>
        <v>56.963999999999992</v>
      </c>
      <c r="BO478" s="64">
        <f>IFERROR(1/J478*(X478/H478),"0")</f>
        <v>8.8541666666666671E-2</v>
      </c>
      <c r="BP478" s="64">
        <f>IFERROR(1/J478*(Y478/H478),"0")</f>
        <v>9.375E-2</v>
      </c>
    </row>
    <row r="479" spans="1:68" x14ac:dyDescent="0.2">
      <c r="A479" s="577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78"/>
      <c r="P479" s="552" t="s">
        <v>75</v>
      </c>
      <c r="Q479" s="553"/>
      <c r="R479" s="553"/>
      <c r="S479" s="553"/>
      <c r="T479" s="553"/>
      <c r="U479" s="553"/>
      <c r="V479" s="554"/>
      <c r="W479" s="37" t="s">
        <v>76</v>
      </c>
      <c r="X479" s="547">
        <f>IFERROR(X478/H478,"0")</f>
        <v>5.666666666666667</v>
      </c>
      <c r="Y479" s="547">
        <f>IFERROR(Y478/H478,"0")</f>
        <v>6</v>
      </c>
      <c r="Z479" s="547">
        <f>IFERROR(IF(Z478="",0,Z478),"0")</f>
        <v>0.11388000000000001</v>
      </c>
      <c r="AA479" s="548"/>
      <c r="AB479" s="548"/>
      <c r="AC479" s="548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78"/>
      <c r="P480" s="552" t="s">
        <v>75</v>
      </c>
      <c r="Q480" s="553"/>
      <c r="R480" s="553"/>
      <c r="S480" s="553"/>
      <c r="T480" s="553"/>
      <c r="U480" s="553"/>
      <c r="V480" s="554"/>
      <c r="W480" s="37" t="s">
        <v>69</v>
      </c>
      <c r="X480" s="547">
        <f>IFERROR(SUM(X478:X478),"0")</f>
        <v>51</v>
      </c>
      <c r="Y480" s="547">
        <f>IFERROR(SUM(Y478:Y478),"0")</f>
        <v>54</v>
      </c>
      <c r="Z480" s="37"/>
      <c r="AA480" s="548"/>
      <c r="AB480" s="548"/>
      <c r="AC480" s="548"/>
    </row>
    <row r="481" spans="1:68" ht="14.25" customHeight="1" x14ac:dyDescent="0.25">
      <c r="A481" s="560" t="s">
        <v>166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61">
        <v>4640242180120</v>
      </c>
      <c r="E482" s="562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4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61">
        <v>4640242180137</v>
      </c>
      <c r="E483" s="562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65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8"/>
      <c r="R483" s="558"/>
      <c r="S483" s="558"/>
      <c r="T483" s="559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7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78"/>
      <c r="P484" s="552" t="s">
        <v>75</v>
      </c>
      <c r="Q484" s="553"/>
      <c r="R484" s="553"/>
      <c r="S484" s="553"/>
      <c r="T484" s="553"/>
      <c r="U484" s="553"/>
      <c r="V484" s="554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78"/>
      <c r="P485" s="552" t="s">
        <v>75</v>
      </c>
      <c r="Q485" s="553"/>
      <c r="R485" s="553"/>
      <c r="S485" s="553"/>
      <c r="T485" s="553"/>
      <c r="U485" s="553"/>
      <c r="V485" s="554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76" t="s">
        <v>745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40"/>
      <c r="AB486" s="540"/>
      <c r="AC486" s="540"/>
    </row>
    <row r="487" spans="1:68" ht="14.25" customHeight="1" x14ac:dyDescent="0.25">
      <c r="A487" s="560" t="s">
        <v>138</v>
      </c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61">
        <v>4640242180090</v>
      </c>
      <c r="E488" s="562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64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8"/>
      <c r="R488" s="558"/>
      <c r="S488" s="558"/>
      <c r="T488" s="559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7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78"/>
      <c r="P489" s="552" t="s">
        <v>75</v>
      </c>
      <c r="Q489" s="553"/>
      <c r="R489" s="553"/>
      <c r="S489" s="553"/>
      <c r="T489" s="553"/>
      <c r="U489" s="553"/>
      <c r="V489" s="554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78"/>
      <c r="P490" s="552" t="s">
        <v>75</v>
      </c>
      <c r="Q490" s="553"/>
      <c r="R490" s="553"/>
      <c r="S490" s="553"/>
      <c r="T490" s="553"/>
      <c r="U490" s="553"/>
      <c r="V490" s="554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5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86"/>
      <c r="P491" s="549" t="s">
        <v>749</v>
      </c>
      <c r="Q491" s="550"/>
      <c r="R491" s="550"/>
      <c r="S491" s="550"/>
      <c r="T491" s="550"/>
      <c r="U491" s="550"/>
      <c r="V491" s="55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3150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3236.5000000000005</v>
      </c>
      <c r="Z491" s="37"/>
      <c r="AA491" s="548"/>
      <c r="AB491" s="548"/>
      <c r="AC491" s="548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86"/>
      <c r="P492" s="549" t="s">
        <v>750</v>
      </c>
      <c r="Q492" s="550"/>
      <c r="R492" s="550"/>
      <c r="S492" s="550"/>
      <c r="T492" s="550"/>
      <c r="U492" s="550"/>
      <c r="V492" s="551"/>
      <c r="W492" s="37" t="s">
        <v>69</v>
      </c>
      <c r="X492" s="547">
        <f>IFERROR(SUM(BM22:BM488),"0")</f>
        <v>3289.4350385540383</v>
      </c>
      <c r="Y492" s="547">
        <f>IFERROR(SUM(BN22:BN488),"0")</f>
        <v>3380.2759999999998</v>
      </c>
      <c r="Z492" s="37"/>
      <c r="AA492" s="548"/>
      <c r="AB492" s="548"/>
      <c r="AC492" s="548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86"/>
      <c r="P493" s="549" t="s">
        <v>751</v>
      </c>
      <c r="Q493" s="550"/>
      <c r="R493" s="550"/>
      <c r="S493" s="550"/>
      <c r="T493" s="550"/>
      <c r="U493" s="550"/>
      <c r="V493" s="551"/>
      <c r="W493" s="37" t="s">
        <v>752</v>
      </c>
      <c r="X493" s="38">
        <f>ROUNDUP(SUM(BO22:BO488),0)</f>
        <v>5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86"/>
      <c r="P494" s="549" t="s">
        <v>753</v>
      </c>
      <c r="Q494" s="550"/>
      <c r="R494" s="550"/>
      <c r="S494" s="550"/>
      <c r="T494" s="550"/>
      <c r="U494" s="550"/>
      <c r="V494" s="551"/>
      <c r="W494" s="37" t="s">
        <v>69</v>
      </c>
      <c r="X494" s="547">
        <f>GrossWeightTotal+PalletQtyTotal*25</f>
        <v>3414.4350385540383</v>
      </c>
      <c r="Y494" s="547">
        <f>GrossWeightTotalR+PalletQtyTotalR*25</f>
        <v>3530.2759999999998</v>
      </c>
      <c r="Z494" s="37"/>
      <c r="AA494" s="548"/>
      <c r="AB494" s="548"/>
      <c r="AC494" s="548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86"/>
      <c r="P495" s="549" t="s">
        <v>754</v>
      </c>
      <c r="Q495" s="550"/>
      <c r="R495" s="550"/>
      <c r="S495" s="550"/>
      <c r="T495" s="550"/>
      <c r="U495" s="550"/>
      <c r="V495" s="55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408.45127650127654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421</v>
      </c>
      <c r="Z495" s="37"/>
      <c r="AA495" s="548"/>
      <c r="AB495" s="548"/>
      <c r="AC495" s="548"/>
    </row>
    <row r="496" spans="1:68" ht="14.25" customHeight="1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86"/>
      <c r="P496" s="549" t="s">
        <v>755</v>
      </c>
      <c r="Q496" s="550"/>
      <c r="R496" s="550"/>
      <c r="S496" s="550"/>
      <c r="T496" s="550"/>
      <c r="U496" s="550"/>
      <c r="V496" s="55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5.8512599999999999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2" t="s">
        <v>100</v>
      </c>
      <c r="D498" s="763"/>
      <c r="E498" s="763"/>
      <c r="F498" s="763"/>
      <c r="G498" s="763"/>
      <c r="H498" s="764"/>
      <c r="I498" s="572" t="s">
        <v>267</v>
      </c>
      <c r="J498" s="763"/>
      <c r="K498" s="763"/>
      <c r="L498" s="763"/>
      <c r="M498" s="763"/>
      <c r="N498" s="763"/>
      <c r="O498" s="763"/>
      <c r="P498" s="763"/>
      <c r="Q498" s="763"/>
      <c r="R498" s="764"/>
      <c r="S498" s="572" t="s">
        <v>551</v>
      </c>
      <c r="T498" s="764"/>
      <c r="U498" s="572" t="s">
        <v>605</v>
      </c>
      <c r="V498" s="763"/>
      <c r="W498" s="764"/>
      <c r="X498" s="542" t="s">
        <v>656</v>
      </c>
      <c r="Y498" s="572" t="s">
        <v>712</v>
      </c>
      <c r="Z498" s="764"/>
      <c r="AB498" s="52"/>
      <c r="AC498" s="52"/>
      <c r="AF498" s="543"/>
    </row>
    <row r="499" spans="1:32" ht="14.25" customHeight="1" thickTop="1" x14ac:dyDescent="0.2">
      <c r="A499" s="587" t="s">
        <v>758</v>
      </c>
      <c r="B499" s="572" t="s">
        <v>63</v>
      </c>
      <c r="C499" s="572" t="s">
        <v>101</v>
      </c>
      <c r="D499" s="572" t="s">
        <v>119</v>
      </c>
      <c r="E499" s="572" t="s">
        <v>173</v>
      </c>
      <c r="F499" s="572" t="s">
        <v>198</v>
      </c>
      <c r="G499" s="572" t="s">
        <v>237</v>
      </c>
      <c r="H499" s="572" t="s">
        <v>100</v>
      </c>
      <c r="I499" s="572" t="s">
        <v>268</v>
      </c>
      <c r="J499" s="572" t="s">
        <v>321</v>
      </c>
      <c r="K499" s="572" t="s">
        <v>380</v>
      </c>
      <c r="L499" s="572" t="s">
        <v>420</v>
      </c>
      <c r="M499" s="572" t="s">
        <v>436</v>
      </c>
      <c r="N499" s="543"/>
      <c r="O499" s="572" t="s">
        <v>447</v>
      </c>
      <c r="P499" s="572" t="s">
        <v>456</v>
      </c>
      <c r="Q499" s="572" t="s">
        <v>469</v>
      </c>
      <c r="R499" s="572" t="s">
        <v>541</v>
      </c>
      <c r="S499" s="572" t="s">
        <v>552</v>
      </c>
      <c r="T499" s="572" t="s">
        <v>587</v>
      </c>
      <c r="U499" s="572" t="s">
        <v>606</v>
      </c>
      <c r="V499" s="572" t="s">
        <v>637</v>
      </c>
      <c r="W499" s="572" t="s">
        <v>652</v>
      </c>
      <c r="X499" s="572" t="s">
        <v>656</v>
      </c>
      <c r="Y499" s="572" t="s">
        <v>712</v>
      </c>
      <c r="Z499" s="572" t="s">
        <v>745</v>
      </c>
      <c r="AB499" s="52"/>
      <c r="AC499" s="52"/>
      <c r="AF499" s="543"/>
    </row>
    <row r="500" spans="1:32" ht="13.5" customHeight="1" thickBot="1" x14ac:dyDescent="0.25">
      <c r="A500" s="588"/>
      <c r="B500" s="573"/>
      <c r="C500" s="573"/>
      <c r="D500" s="573"/>
      <c r="E500" s="573"/>
      <c r="F500" s="573"/>
      <c r="G500" s="573"/>
      <c r="H500" s="573"/>
      <c r="I500" s="573"/>
      <c r="J500" s="573"/>
      <c r="K500" s="573"/>
      <c r="L500" s="573"/>
      <c r="M500" s="573"/>
      <c r="N500" s="543"/>
      <c r="O500" s="573"/>
      <c r="P500" s="573"/>
      <c r="Q500" s="573"/>
      <c r="R500" s="573"/>
      <c r="S500" s="573"/>
      <c r="T500" s="573"/>
      <c r="U500" s="573"/>
      <c r="V500" s="573"/>
      <c r="W500" s="573"/>
      <c r="X500" s="573"/>
      <c r="Y500" s="573"/>
      <c r="Z500" s="573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23.4</v>
      </c>
      <c r="E501" s="46">
        <f>IFERROR(Y86*1,"0")+IFERROR(Y87*1,"0")+IFERROR(Y88*1,"0")+IFERROR(Y89*1,"0")+IFERROR(Y93*1,"0")+IFERROR(Y94*1,"0")+IFERROR(Y95*1,"0")+IFERROR(Y96*1,"0")</f>
        <v>21.6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118.8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48.3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381.6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95.6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1719</v>
      </c>
      <c r="T501" s="46">
        <f>IFERROR(Y371*1,"0")+IFERROR(Y372*1,"0")+IFERROR(Y376*1,"0")+IFERROR(Y377*1,"0")+IFERROR(Y381*1,"0")+IFERROR(Y382*1,"0")+IFERROR(Y383*1,"0")</f>
        <v>225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475.2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54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P429:T42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253:E253"/>
    <mergeCell ref="D53:E53"/>
    <mergeCell ref="P86:T86"/>
    <mergeCell ref="P213:T213"/>
    <mergeCell ref="D134:E134"/>
    <mergeCell ref="P73:T7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P444:V444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A475:O476"/>
    <mergeCell ref="D413:E413"/>
    <mergeCell ref="A226:O227"/>
    <mergeCell ref="D217:E217"/>
    <mergeCell ref="P476:V476"/>
    <mergeCell ref="D269:E269"/>
    <mergeCell ref="D296:E296"/>
    <mergeCell ref="P448:T448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P495:V495"/>
    <mergeCell ref="A127:Z127"/>
    <mergeCell ref="P239:V239"/>
    <mergeCell ref="A257:Z25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