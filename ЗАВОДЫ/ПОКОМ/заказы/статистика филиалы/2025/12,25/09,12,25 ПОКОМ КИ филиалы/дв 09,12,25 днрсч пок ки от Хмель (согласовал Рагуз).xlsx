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09,12,25 ПОКОМ КИ филиалы\"/>
    </mc:Choice>
  </mc:AlternateContent>
  <xr:revisionPtr revIDLastSave="0" documentId="13_ncr:1_{1119760D-C973-450C-A063-AE2745DADB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Sheet!$A$3:$AM$94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7" i="1" l="1"/>
  <c r="AN8" i="1"/>
  <c r="AN9" i="1"/>
  <c r="AN10" i="1"/>
  <c r="AN11" i="1"/>
  <c r="AN12" i="1"/>
  <c r="AN13" i="1"/>
  <c r="AN17" i="1"/>
  <c r="AN18" i="1"/>
  <c r="AN19" i="1"/>
  <c r="AN23" i="1"/>
  <c r="AN25" i="1"/>
  <c r="AN26" i="1"/>
  <c r="AN27" i="1"/>
  <c r="AN28" i="1"/>
  <c r="AN29" i="1"/>
  <c r="AN30" i="1"/>
  <c r="AN31" i="1"/>
  <c r="AN32" i="1"/>
  <c r="AN33" i="1"/>
  <c r="AN35" i="1"/>
  <c r="AN36" i="1"/>
  <c r="AN37" i="1"/>
  <c r="AN39" i="1"/>
  <c r="AN40" i="1"/>
  <c r="AN41" i="1"/>
  <c r="AN42" i="1"/>
  <c r="AN43" i="1"/>
  <c r="AN44" i="1"/>
  <c r="AN45" i="1"/>
  <c r="AN46" i="1"/>
  <c r="AN48" i="1"/>
  <c r="AN50" i="1"/>
  <c r="AN51" i="1"/>
  <c r="AN52" i="1"/>
  <c r="AN53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6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6" i="1"/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6" i="1"/>
  <c r="R5" i="1" l="1"/>
  <c r="U69" i="1"/>
  <c r="W69" i="1" s="1"/>
  <c r="U66" i="1"/>
  <c r="W66" i="1" s="1"/>
  <c r="U9" i="1"/>
  <c r="W9" i="1" s="1"/>
  <c r="U11" i="1"/>
  <c r="W11" i="1" s="1"/>
  <c r="U18" i="1"/>
  <c r="W18" i="1" s="1"/>
  <c r="U19" i="1"/>
  <c r="W19" i="1" s="1"/>
  <c r="U21" i="1"/>
  <c r="W21" i="1" s="1"/>
  <c r="U23" i="1"/>
  <c r="W23" i="1" s="1"/>
  <c r="U25" i="1"/>
  <c r="W25" i="1" s="1"/>
  <c r="U26" i="1"/>
  <c r="W26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5" i="1"/>
  <c r="W35" i="1" s="1"/>
  <c r="U36" i="1"/>
  <c r="W36" i="1" s="1"/>
  <c r="U37" i="1"/>
  <c r="W37" i="1" s="1"/>
  <c r="U38" i="1"/>
  <c r="U39" i="1"/>
  <c r="W39" i="1" s="1"/>
  <c r="U41" i="1"/>
  <c r="W41" i="1" s="1"/>
  <c r="U42" i="1"/>
  <c r="W42" i="1" s="1"/>
  <c r="U48" i="1"/>
  <c r="W48" i="1" s="1"/>
  <c r="U49" i="1"/>
  <c r="W49" i="1" s="1"/>
  <c r="U56" i="1"/>
  <c r="W56" i="1" s="1"/>
  <c r="U58" i="1"/>
  <c r="W58" i="1" s="1"/>
  <c r="U59" i="1"/>
  <c r="W59" i="1" s="1"/>
  <c r="U63" i="1"/>
  <c r="W63" i="1" s="1"/>
  <c r="U67" i="1"/>
  <c r="W67" i="1" s="1"/>
  <c r="U68" i="1"/>
  <c r="W68" i="1" s="1"/>
  <c r="U70" i="1"/>
  <c r="W70" i="1" s="1"/>
  <c r="U71" i="1"/>
  <c r="W71" i="1" s="1"/>
  <c r="U72" i="1"/>
  <c r="W72" i="1" s="1"/>
  <c r="U73" i="1"/>
  <c r="W73" i="1" s="1"/>
  <c r="U74" i="1"/>
  <c r="U75" i="1"/>
  <c r="W75" i="1" s="1"/>
  <c r="U76" i="1"/>
  <c r="W76" i="1" s="1"/>
  <c r="U77" i="1"/>
  <c r="W77" i="1" s="1"/>
  <c r="U78" i="1"/>
  <c r="W78" i="1" s="1"/>
  <c r="U84" i="1"/>
  <c r="W84" i="1" s="1"/>
  <c r="U85" i="1"/>
  <c r="W85" i="1" s="1"/>
  <c r="U86" i="1"/>
  <c r="W86" i="1" s="1"/>
  <c r="U88" i="1"/>
  <c r="W88" i="1" s="1"/>
  <c r="U92" i="1"/>
  <c r="W92" i="1" s="1"/>
  <c r="U94" i="1"/>
  <c r="W94" i="1" s="1"/>
  <c r="U6" i="1"/>
  <c r="W6" i="1" s="1"/>
  <c r="AM18" i="1" l="1"/>
  <c r="AM26" i="1"/>
  <c r="AM28" i="1"/>
  <c r="AM30" i="1"/>
  <c r="AM32" i="1"/>
  <c r="AM36" i="1"/>
  <c r="AM42" i="1"/>
  <c r="AM48" i="1"/>
  <c r="AM56" i="1"/>
  <c r="AM58" i="1"/>
  <c r="AM66" i="1"/>
  <c r="AM68" i="1"/>
  <c r="AM70" i="1"/>
  <c r="AM72" i="1"/>
  <c r="AM76" i="1"/>
  <c r="AM78" i="1"/>
  <c r="AM84" i="1"/>
  <c r="AM86" i="1"/>
  <c r="AM88" i="1"/>
  <c r="AM92" i="1"/>
  <c r="AM94" i="1"/>
  <c r="AM9" i="1"/>
  <c r="AM11" i="1"/>
  <c r="AM19" i="1"/>
  <c r="AM21" i="1"/>
  <c r="AM23" i="1"/>
  <c r="AM25" i="1"/>
  <c r="AM29" i="1"/>
  <c r="AM31" i="1"/>
  <c r="AM33" i="1"/>
  <c r="AM35" i="1"/>
  <c r="AM37" i="1"/>
  <c r="AM39" i="1"/>
  <c r="AM41" i="1"/>
  <c r="AM49" i="1"/>
  <c r="AM59" i="1"/>
  <c r="AM63" i="1"/>
  <c r="AM67" i="1"/>
  <c r="AM69" i="1"/>
  <c r="AM71" i="1"/>
  <c r="AM73" i="1"/>
  <c r="AM75" i="1"/>
  <c r="AM77" i="1"/>
  <c r="AM85" i="1"/>
  <c r="AM6" i="1"/>
  <c r="AA5" i="1" l="1"/>
  <c r="M7" i="1"/>
  <c r="S7" i="1" s="1"/>
  <c r="T7" i="1" s="1"/>
  <c r="U7" i="1" s="1"/>
  <c r="M8" i="1"/>
  <c r="S8" i="1" s="1"/>
  <c r="T8" i="1" s="1"/>
  <c r="U8" i="1" s="1"/>
  <c r="W8" i="1" s="1"/>
  <c r="M9" i="1"/>
  <c r="S9" i="1" s="1"/>
  <c r="AB9" i="1" s="1"/>
  <c r="M10" i="1"/>
  <c r="S10" i="1" s="1"/>
  <c r="T10" i="1" s="1"/>
  <c r="U10" i="1" s="1"/>
  <c r="W10" i="1" s="1"/>
  <c r="M11" i="1"/>
  <c r="S11" i="1" s="1"/>
  <c r="AB11" i="1" s="1"/>
  <c r="M12" i="1"/>
  <c r="S12" i="1" s="1"/>
  <c r="M13" i="1"/>
  <c r="S13" i="1" s="1"/>
  <c r="T13" i="1" s="1"/>
  <c r="U13" i="1" s="1"/>
  <c r="W13" i="1" s="1"/>
  <c r="M14" i="1"/>
  <c r="S14" i="1" s="1"/>
  <c r="M15" i="1"/>
  <c r="S15" i="1" s="1"/>
  <c r="M16" i="1"/>
  <c r="S16" i="1" s="1"/>
  <c r="M17" i="1"/>
  <c r="S17" i="1" s="1"/>
  <c r="T17" i="1" s="1"/>
  <c r="U17" i="1" s="1"/>
  <c r="W17" i="1" s="1"/>
  <c r="M18" i="1"/>
  <c r="S18" i="1" s="1"/>
  <c r="AB18" i="1" s="1"/>
  <c r="M19" i="1"/>
  <c r="S19" i="1" s="1"/>
  <c r="AB19" i="1" s="1"/>
  <c r="M20" i="1"/>
  <c r="S20" i="1" s="1"/>
  <c r="M21" i="1"/>
  <c r="S21" i="1" s="1"/>
  <c r="M22" i="1"/>
  <c r="S22" i="1" s="1"/>
  <c r="M23" i="1"/>
  <c r="S23" i="1" s="1"/>
  <c r="AB23" i="1" s="1"/>
  <c r="M24" i="1"/>
  <c r="S24" i="1" s="1"/>
  <c r="M25" i="1"/>
  <c r="S25" i="1" s="1"/>
  <c r="AB25" i="1" s="1"/>
  <c r="M26" i="1"/>
  <c r="S26" i="1" s="1"/>
  <c r="AB26" i="1" s="1"/>
  <c r="M27" i="1"/>
  <c r="S27" i="1" s="1"/>
  <c r="M28" i="1"/>
  <c r="S28" i="1" s="1"/>
  <c r="AB28" i="1" s="1"/>
  <c r="M29" i="1"/>
  <c r="S29" i="1" s="1"/>
  <c r="AB29" i="1" s="1"/>
  <c r="M30" i="1"/>
  <c r="S30" i="1" s="1"/>
  <c r="AB30" i="1" s="1"/>
  <c r="M31" i="1"/>
  <c r="S31" i="1" s="1"/>
  <c r="AB31" i="1" s="1"/>
  <c r="M32" i="1"/>
  <c r="S32" i="1" s="1"/>
  <c r="AB32" i="1" s="1"/>
  <c r="M33" i="1"/>
  <c r="S33" i="1" s="1"/>
  <c r="AB33" i="1" s="1"/>
  <c r="M34" i="1"/>
  <c r="S34" i="1" s="1"/>
  <c r="M35" i="1"/>
  <c r="S35" i="1" s="1"/>
  <c r="AB35" i="1" s="1"/>
  <c r="M36" i="1"/>
  <c r="S36" i="1" s="1"/>
  <c r="AB36" i="1" s="1"/>
  <c r="M37" i="1"/>
  <c r="S37" i="1" s="1"/>
  <c r="AB37" i="1" s="1"/>
  <c r="M38" i="1"/>
  <c r="S38" i="1" s="1"/>
  <c r="X38" i="1" s="1"/>
  <c r="AN38" i="1" s="1"/>
  <c r="M39" i="1"/>
  <c r="S39" i="1" s="1"/>
  <c r="AB39" i="1" s="1"/>
  <c r="M40" i="1"/>
  <c r="S40" i="1" s="1"/>
  <c r="T40" i="1" s="1"/>
  <c r="U40" i="1" s="1"/>
  <c r="W40" i="1" s="1"/>
  <c r="M41" i="1"/>
  <c r="S41" i="1" s="1"/>
  <c r="AB41" i="1" s="1"/>
  <c r="M42" i="1"/>
  <c r="S42" i="1" s="1"/>
  <c r="AB42" i="1" s="1"/>
  <c r="M43" i="1"/>
  <c r="S43" i="1" s="1"/>
  <c r="T43" i="1" s="1"/>
  <c r="U43" i="1" s="1"/>
  <c r="W43" i="1" s="1"/>
  <c r="M44" i="1"/>
  <c r="S44" i="1" s="1"/>
  <c r="M45" i="1"/>
  <c r="S45" i="1" s="1"/>
  <c r="T45" i="1" s="1"/>
  <c r="U45" i="1" s="1"/>
  <c r="W45" i="1" s="1"/>
  <c r="M46" i="1"/>
  <c r="S46" i="1" s="1"/>
  <c r="M47" i="1"/>
  <c r="S47" i="1" s="1"/>
  <c r="X47" i="1" s="1"/>
  <c r="AN47" i="1" s="1"/>
  <c r="M48" i="1"/>
  <c r="S48" i="1" s="1"/>
  <c r="AB48" i="1" s="1"/>
  <c r="M49" i="1"/>
  <c r="S49" i="1" s="1"/>
  <c r="M50" i="1"/>
  <c r="S50" i="1" s="1"/>
  <c r="T50" i="1" s="1"/>
  <c r="U50" i="1" s="1"/>
  <c r="W50" i="1" s="1"/>
  <c r="M51" i="1"/>
  <c r="S51" i="1" s="1"/>
  <c r="T51" i="1" s="1"/>
  <c r="U51" i="1" s="1"/>
  <c r="W51" i="1" s="1"/>
  <c r="M52" i="1"/>
  <c r="S52" i="1" s="1"/>
  <c r="M53" i="1"/>
  <c r="S53" i="1" s="1"/>
  <c r="M54" i="1"/>
  <c r="S54" i="1" s="1"/>
  <c r="M55" i="1"/>
  <c r="S55" i="1" s="1"/>
  <c r="M56" i="1"/>
  <c r="S56" i="1" s="1"/>
  <c r="AB56" i="1" s="1"/>
  <c r="M57" i="1"/>
  <c r="S57" i="1" s="1"/>
  <c r="M58" i="1"/>
  <c r="S58" i="1" s="1"/>
  <c r="AB58" i="1" s="1"/>
  <c r="M59" i="1"/>
  <c r="S59" i="1" s="1"/>
  <c r="AB59" i="1" s="1"/>
  <c r="M60" i="1"/>
  <c r="S60" i="1" s="1"/>
  <c r="T60" i="1" s="1"/>
  <c r="U60" i="1" s="1"/>
  <c r="W60" i="1" s="1"/>
  <c r="M61" i="1"/>
  <c r="S61" i="1" s="1"/>
  <c r="T61" i="1" s="1"/>
  <c r="U61" i="1" s="1"/>
  <c r="W61" i="1" s="1"/>
  <c r="M62" i="1"/>
  <c r="S62" i="1" s="1"/>
  <c r="M63" i="1"/>
  <c r="S63" i="1" s="1"/>
  <c r="AB63" i="1" s="1"/>
  <c r="M64" i="1"/>
  <c r="S64" i="1" s="1"/>
  <c r="M65" i="1"/>
  <c r="S65" i="1" s="1"/>
  <c r="T65" i="1" s="1"/>
  <c r="U65" i="1" s="1"/>
  <c r="W65" i="1" s="1"/>
  <c r="M66" i="1"/>
  <c r="S66" i="1" s="1"/>
  <c r="AB66" i="1" s="1"/>
  <c r="M67" i="1"/>
  <c r="S67" i="1" s="1"/>
  <c r="AB67" i="1" s="1"/>
  <c r="M68" i="1"/>
  <c r="S68" i="1" s="1"/>
  <c r="AB68" i="1" s="1"/>
  <c r="M69" i="1"/>
  <c r="S69" i="1" s="1"/>
  <c r="AB69" i="1" s="1"/>
  <c r="M70" i="1"/>
  <c r="S70" i="1" s="1"/>
  <c r="AB70" i="1" s="1"/>
  <c r="M71" i="1"/>
  <c r="S71" i="1" s="1"/>
  <c r="AB71" i="1" s="1"/>
  <c r="M72" i="1"/>
  <c r="S72" i="1" s="1"/>
  <c r="AB72" i="1" s="1"/>
  <c r="M73" i="1"/>
  <c r="S73" i="1" s="1"/>
  <c r="AB73" i="1" s="1"/>
  <c r="M74" i="1"/>
  <c r="S74" i="1" s="1"/>
  <c r="X74" i="1" s="1"/>
  <c r="AN74" i="1" s="1"/>
  <c r="M75" i="1"/>
  <c r="S75" i="1" s="1"/>
  <c r="M76" i="1"/>
  <c r="S76" i="1" s="1"/>
  <c r="AB76" i="1" s="1"/>
  <c r="M77" i="1"/>
  <c r="S77" i="1" s="1"/>
  <c r="M78" i="1"/>
  <c r="S78" i="1" s="1"/>
  <c r="AB78" i="1" s="1"/>
  <c r="M79" i="1"/>
  <c r="S79" i="1" s="1"/>
  <c r="M80" i="1"/>
  <c r="S80" i="1" s="1"/>
  <c r="M81" i="1"/>
  <c r="S81" i="1" s="1"/>
  <c r="M82" i="1"/>
  <c r="S82" i="1" s="1"/>
  <c r="M83" i="1"/>
  <c r="S83" i="1" s="1"/>
  <c r="M84" i="1"/>
  <c r="S84" i="1" s="1"/>
  <c r="AB84" i="1" s="1"/>
  <c r="M85" i="1"/>
  <c r="S85" i="1" s="1"/>
  <c r="AB85" i="1" s="1"/>
  <c r="M86" i="1"/>
  <c r="S86" i="1" s="1"/>
  <c r="AB86" i="1" s="1"/>
  <c r="M87" i="1"/>
  <c r="S87" i="1" s="1"/>
  <c r="M88" i="1"/>
  <c r="S88" i="1" s="1"/>
  <c r="AB88" i="1" s="1"/>
  <c r="M89" i="1"/>
  <c r="S89" i="1" s="1"/>
  <c r="T89" i="1" s="1"/>
  <c r="U89" i="1" s="1"/>
  <c r="W89" i="1" s="1"/>
  <c r="M90" i="1"/>
  <c r="S90" i="1" s="1"/>
  <c r="M91" i="1"/>
  <c r="S91" i="1" s="1"/>
  <c r="T91" i="1" s="1"/>
  <c r="U91" i="1" s="1"/>
  <c r="W91" i="1" s="1"/>
  <c r="M92" i="1"/>
  <c r="S92" i="1" s="1"/>
  <c r="M93" i="1"/>
  <c r="S93" i="1" s="1"/>
  <c r="AC93" i="1" s="1"/>
  <c r="M94" i="1"/>
  <c r="S94" i="1" s="1"/>
  <c r="M6" i="1"/>
  <c r="S6" i="1" s="1"/>
  <c r="AB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Q5" i="1"/>
  <c r="P5" i="1"/>
  <c r="O5" i="1"/>
  <c r="N5" i="1"/>
  <c r="K5" i="1"/>
  <c r="F5" i="1"/>
  <c r="E5" i="1"/>
  <c r="AB77" i="1" l="1"/>
  <c r="X77" i="1"/>
  <c r="AN77" i="1" s="1"/>
  <c r="AB75" i="1"/>
  <c r="X75" i="1"/>
  <c r="AN75" i="1" s="1"/>
  <c r="AB49" i="1"/>
  <c r="X49" i="1"/>
  <c r="AN49" i="1" s="1"/>
  <c r="AB21" i="1"/>
  <c r="X21" i="1"/>
  <c r="AN21" i="1" s="1"/>
  <c r="V15" i="1"/>
  <c r="X15" i="1"/>
  <c r="V54" i="1"/>
  <c r="X54" i="1"/>
  <c r="AN54" i="1" s="1"/>
  <c r="V34" i="1"/>
  <c r="X34" i="1"/>
  <c r="AN34" i="1" s="1"/>
  <c r="V24" i="1"/>
  <c r="X24" i="1"/>
  <c r="AN24" i="1" s="1"/>
  <c r="V22" i="1"/>
  <c r="X22" i="1"/>
  <c r="AN22" i="1" s="1"/>
  <c r="V20" i="1"/>
  <c r="X20" i="1"/>
  <c r="AN20" i="1" s="1"/>
  <c r="V16" i="1"/>
  <c r="X16" i="1"/>
  <c r="AN16" i="1" s="1"/>
  <c r="V14" i="1"/>
  <c r="X14" i="1"/>
  <c r="AN14" i="1" s="1"/>
  <c r="V74" i="1"/>
  <c r="W74" i="1" s="1"/>
  <c r="AM74" i="1" s="1"/>
  <c r="V38" i="1"/>
  <c r="W38" i="1" s="1"/>
  <c r="AM38" i="1" s="1"/>
  <c r="T47" i="1"/>
  <c r="U47" i="1" s="1"/>
  <c r="V47" i="1"/>
  <c r="AC94" i="1"/>
  <c r="AB94" i="1"/>
  <c r="AC92" i="1"/>
  <c r="AB92" i="1"/>
  <c r="AB60" i="1"/>
  <c r="AM60" i="1"/>
  <c r="AM50" i="1"/>
  <c r="AB50" i="1"/>
  <c r="AB40" i="1"/>
  <c r="AM40" i="1"/>
  <c r="AM10" i="1"/>
  <c r="AB10" i="1"/>
  <c r="AB8" i="1"/>
  <c r="AM8" i="1"/>
  <c r="AM91" i="1"/>
  <c r="AB91" i="1"/>
  <c r="AM89" i="1"/>
  <c r="AB89" i="1"/>
  <c r="AM65" i="1"/>
  <c r="AB65" i="1"/>
  <c r="AM61" i="1"/>
  <c r="AB61" i="1"/>
  <c r="AM51" i="1"/>
  <c r="AB51" i="1"/>
  <c r="AM45" i="1"/>
  <c r="AB45" i="1"/>
  <c r="AM43" i="1"/>
  <c r="AB43" i="1"/>
  <c r="AM17" i="1"/>
  <c r="AB17" i="1"/>
  <c r="AM13" i="1"/>
  <c r="AB13" i="1"/>
  <c r="W7" i="1"/>
  <c r="T27" i="1"/>
  <c r="U27" i="1" s="1"/>
  <c r="W27" i="1" s="1"/>
  <c r="T87" i="1"/>
  <c r="U87" i="1" s="1"/>
  <c r="W87" i="1" s="1"/>
  <c r="T46" i="1"/>
  <c r="U46" i="1" s="1"/>
  <c r="W46" i="1" s="1"/>
  <c r="T44" i="1"/>
  <c r="U44" i="1" s="1"/>
  <c r="W44" i="1" s="1"/>
  <c r="T34" i="1"/>
  <c r="U34" i="1" s="1"/>
  <c r="W34" i="1" s="1"/>
  <c r="T24" i="1"/>
  <c r="U24" i="1" s="1"/>
  <c r="W24" i="1" s="1"/>
  <c r="T22" i="1"/>
  <c r="U22" i="1" s="1"/>
  <c r="W22" i="1" s="1"/>
  <c r="T20" i="1"/>
  <c r="U20" i="1" s="1"/>
  <c r="W20" i="1" s="1"/>
  <c r="T12" i="1"/>
  <c r="U12" i="1" s="1"/>
  <c r="W12" i="1" s="1"/>
  <c r="T16" i="1"/>
  <c r="U16" i="1" s="1"/>
  <c r="W16" i="1" s="1"/>
  <c r="T52" i="1"/>
  <c r="U52" i="1" s="1"/>
  <c r="W52" i="1" s="1"/>
  <c r="T64" i="1"/>
  <c r="U64" i="1" s="1"/>
  <c r="W64" i="1" s="1"/>
  <c r="T80" i="1"/>
  <c r="U80" i="1" s="1"/>
  <c r="W80" i="1" s="1"/>
  <c r="T90" i="1"/>
  <c r="U90" i="1" s="1"/>
  <c r="W90" i="1" s="1"/>
  <c r="T14" i="1"/>
  <c r="U14" i="1" s="1"/>
  <c r="W14" i="1" s="1"/>
  <c r="T54" i="1"/>
  <c r="U54" i="1" s="1"/>
  <c r="W54" i="1" s="1"/>
  <c r="T62" i="1"/>
  <c r="U62" i="1" s="1"/>
  <c r="W62" i="1" s="1"/>
  <c r="T82" i="1"/>
  <c r="U82" i="1" s="1"/>
  <c r="W82" i="1" s="1"/>
  <c r="T15" i="1"/>
  <c r="U15" i="1" s="1"/>
  <c r="W15" i="1" s="1"/>
  <c r="T53" i="1"/>
  <c r="U53" i="1" s="1"/>
  <c r="W53" i="1" s="1"/>
  <c r="T55" i="1"/>
  <c r="U55" i="1" s="1"/>
  <c r="W55" i="1" s="1"/>
  <c r="T57" i="1"/>
  <c r="U57" i="1" s="1"/>
  <c r="W57" i="1" s="1"/>
  <c r="T79" i="1"/>
  <c r="U79" i="1" s="1"/>
  <c r="W79" i="1" s="1"/>
  <c r="T81" i="1"/>
  <c r="U81" i="1" s="1"/>
  <c r="W81" i="1" s="1"/>
  <c r="T83" i="1"/>
  <c r="U83" i="1" s="1"/>
  <c r="W83" i="1" s="1"/>
  <c r="T93" i="1"/>
  <c r="U93" i="1" s="1"/>
  <c r="W93" i="1" s="1"/>
  <c r="AC6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L5" i="1"/>
  <c r="M5" i="1"/>
  <c r="S5" i="1"/>
  <c r="X5" i="1" l="1"/>
  <c r="AN15" i="1"/>
  <c r="AN5" i="1" s="1"/>
  <c r="AN1" i="1" s="1"/>
  <c r="W47" i="1"/>
  <c r="W5" i="1" s="1"/>
  <c r="V5" i="1"/>
  <c r="AB38" i="1"/>
  <c r="AB74" i="1"/>
  <c r="AM93" i="1"/>
  <c r="AB93" i="1"/>
  <c r="AM81" i="1"/>
  <c r="AB81" i="1"/>
  <c r="AM57" i="1"/>
  <c r="AB57" i="1"/>
  <c r="AM53" i="1"/>
  <c r="AB53" i="1"/>
  <c r="AM82" i="1"/>
  <c r="AB82" i="1"/>
  <c r="AM54" i="1"/>
  <c r="AB54" i="1"/>
  <c r="AM90" i="1"/>
  <c r="AB90" i="1"/>
  <c r="AB64" i="1"/>
  <c r="AM64" i="1"/>
  <c r="AB16" i="1"/>
  <c r="AM16" i="1"/>
  <c r="AB20" i="1"/>
  <c r="AM20" i="1"/>
  <c r="AB24" i="1"/>
  <c r="AM24" i="1"/>
  <c r="AB44" i="1"/>
  <c r="AM44" i="1"/>
  <c r="AM87" i="1"/>
  <c r="AB87" i="1"/>
  <c r="U5" i="1"/>
  <c r="AM83" i="1"/>
  <c r="AB83" i="1"/>
  <c r="AM79" i="1"/>
  <c r="AB79" i="1"/>
  <c r="AM55" i="1"/>
  <c r="AB55" i="1"/>
  <c r="AM15" i="1"/>
  <c r="AB15" i="1"/>
  <c r="AM62" i="1"/>
  <c r="AB62" i="1"/>
  <c r="AM14" i="1"/>
  <c r="AB14" i="1"/>
  <c r="AB80" i="1"/>
  <c r="AM80" i="1"/>
  <c r="AB52" i="1"/>
  <c r="AM52" i="1"/>
  <c r="AB12" i="1"/>
  <c r="AM12" i="1"/>
  <c r="AM22" i="1"/>
  <c r="AB22" i="1"/>
  <c r="AM34" i="1"/>
  <c r="AB34" i="1"/>
  <c r="AM46" i="1"/>
  <c r="AB46" i="1"/>
  <c r="AM27" i="1"/>
  <c r="AB27" i="1"/>
  <c r="AM7" i="1"/>
  <c r="AB7" i="1"/>
  <c r="T5" i="1"/>
  <c r="AB47" i="1" l="1"/>
  <c r="AM47" i="1"/>
  <c r="AM5" i="1" s="1"/>
</calcChain>
</file>

<file path=xl/sharedStrings.xml><?xml version="1.0" encoding="utf-8"?>
<sst xmlns="http://schemas.openxmlformats.org/spreadsheetml/2006/main" count="371" uniqueCount="156">
  <si>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</si>
  <si>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</si>
  <si>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</si>
  <si>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</si>
  <si>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</si>
  <si>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</si>
  <si>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</si>
  <si>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</si>
  <si>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</si>
  <si>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</si>
  <si>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</si>
  <si>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</si>
  <si>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</si>
  <si>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</si>
  <si>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</si>
  <si>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</si>
  <si>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</si>
  <si>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</si>
  <si>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</si>
  <si>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</si>
  <si>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</si>
  <si>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</si>
  <si>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</si>
  <si>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</si>
  <si>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</si>
  <si>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Бутырин(06,12)</t>
  </si>
  <si>
    <t>07,12,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</si>
  <si>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</si>
  <si>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</si>
  <si>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</si>
  <si>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</si>
  <si>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</si>
  <si>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</si>
  <si>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</si>
  <si>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</si>
  <si>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</si>
  <si>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</si>
  <si>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</si>
  <si>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</si>
  <si>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</si>
  <si>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</si>
  <si>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</si>
  <si>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</si>
  <si>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</si>
  <si>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</si>
  <si>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</si>
  <si>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</si>
  <si>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</si>
  <si>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</si>
  <si>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</si>
  <si>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</si>
  <si>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</si>
  <si>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</si>
  <si>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</si>
  <si>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</si>
  <si>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</si>
  <si>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</si>
  <si>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</si>
  <si>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</si>
  <si>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</si>
  <si>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</si>
  <si>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</si>
  <si>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</si>
  <si>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</si>
  <si>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</si>
  <si>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</si>
  <si>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</si>
  <si>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</si>
  <si>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</si>
  <si>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</si>
  <si>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</si>
  <si>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</si>
  <si>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</si>
  <si>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</si>
  <si>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</si>
  <si>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</si>
  <si>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</si>
  <si>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</si>
  <si>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</si>
  <si>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</si>
  <si>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</si>
  <si>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</si>
  <si>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</si>
  <si>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</si>
  <si>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</si>
  <si>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</si>
  <si>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</si>
  <si>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</si>
  <si>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</si>
  <si>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</si>
  <si>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</si>
  <si>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</si>
  <si>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</si>
  <si>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</si>
  <si>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</si>
  <si>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</si>
  <si>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</si>
  <si>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</si>
  <si>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</si>
  <si>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</si>
  <si>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</si>
  <si>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</si>
  <si>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</si>
  <si>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</si>
  <si>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</si>
  <si>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</si>
  <si>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</si>
  <si>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</si>
  <si>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</si>
  <si>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</si>
  <si>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</si>
  <si>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</si>
  <si>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</si>
  <si>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</si>
  <si>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</si>
  <si>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</si>
  <si>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</si>
  <si>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</si>
  <si>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</si>
  <si>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</si>
  <si>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</si>
  <si>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</si>
  <si>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</si>
  <si>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</si>
  <si>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</si>
  <si>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</si>
  <si>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</si>
  <si>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</si>
  <si>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</si>
  <si>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</si>
  <si>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</si>
  <si>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</si>
  <si>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</si>
  <si>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</si>
  <si>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</si>
  <si>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</si>
  <si>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</si>
  <si>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</si>
  <si>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</si>
  <si>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</si>
  <si>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</si>
  <si>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</si>
  <si>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</si>
  <si>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</si>
  <si>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t>05,12,25 списание 29кг (сроки) / нет в бланке</t>
  </si>
  <si>
    <t>нужно увеличить продажи</t>
  </si>
  <si>
    <t>нужно увеличить продажи / 23,06,25 в уценку 6кг / 22,04,25 в уценку 34 кг / 25,01,25 в уценку 108кг</t>
  </si>
  <si>
    <t>до машины</t>
  </si>
  <si>
    <t xml:space="preserve"> сети </t>
  </si>
  <si>
    <t xml:space="preserve">сети </t>
  </si>
  <si>
    <t>с учетом ТК</t>
  </si>
  <si>
    <t>ВНИМАНИЕ / матрица</t>
  </si>
  <si>
    <t>заказ</t>
  </si>
  <si>
    <t>Бутырин(13,12)</t>
  </si>
  <si>
    <t>13,12,(1)</t>
  </si>
  <si>
    <t>13,12,(2)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</si>
</sst>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0" borderId="1" xfId="1" applyNumberFormat="1" applyFont="1"/>
    <xf numFmtId="164" fontId="1" fillId="5" borderId="2" xfId="1" applyNumberFormat="1" applyFill="1" applyBorder="1"/>
    <xf numFmtId="164" fontId="5" fillId="5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9,12,25%20&#1083;&#1075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2,25/08,12,25%20&#1041;&#1091;&#1090;&#1099;&#1088;&#1080;&#1085;%20&#1085;&#1072;%20&#1087;&#1086;&#1075;&#1088;&#1091;&#1079;&#1082;&#1091;%20&#1089;%20&#1092;&#1080;&#1083;&#1080;&#1072;&#1083;&#1072;&#1084;&#1080;%2013,12,25/&#1041;&#1091;&#1090;&#1099;&#1088;&#1080;&#1085;%20&#1044;.&#1042;%2016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L5">
            <v>4210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1849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84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139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100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128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118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275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68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55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100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88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205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180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91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91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127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6" sqref="Z6"/>
    </sheetView>
  </sheetViews>
  <sheetFormatPr defaultRowHeight="15" x14ac:dyDescent="0.25"/>
  <cols>
    <col min="1" max="1" width="36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7" width="7" customWidth="1"/>
    <col min="18" max="18" width="7" style="23" customWidth="1"/>
    <col min="19" max="20" width="7" customWidth="1"/>
    <col min="21" max="24" width="7" style="23" customWidth="1"/>
    <col min="25" max="25" width="7" customWidth="1"/>
    <col min="26" max="26" width="9.140625" customWidth="1"/>
    <col min="27" max="27" width="7" customWidth="1"/>
    <col min="28" max="29" width="5" customWidth="1"/>
    <col min="30" max="37" width="6" customWidth="1"/>
    <col min="38" max="38" width="14.7109375" customWidth="1"/>
    <col min="39" max="40" width="7" customWidth="1"/>
    <col min="41" max="54" width="3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4">
        <v>2.5</v>
      </c>
      <c r="W1" s="1"/>
      <c r="X1" s="24">
        <v>1.55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AN5+[1]Sheet!$AL$5</f>
        <v>8627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150</v>
      </c>
      <c r="V3" s="3" t="s">
        <v>147</v>
      </c>
      <c r="W3" s="3" t="s">
        <v>152</v>
      </c>
      <c r="X3" s="3" t="s">
        <v>152</v>
      </c>
      <c r="Y3" s="7" t="s">
        <v>17</v>
      </c>
      <c r="Z3" s="7" t="s">
        <v>18</v>
      </c>
      <c r="AA3" s="10" t="s">
        <v>143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153</v>
      </c>
      <c r="S4" s="1" t="s">
        <v>27</v>
      </c>
      <c r="T4" s="1"/>
      <c r="U4" s="1"/>
      <c r="V4" s="1"/>
      <c r="W4" s="1" t="s">
        <v>154</v>
      </c>
      <c r="X4" s="1" t="s">
        <v>155</v>
      </c>
      <c r="Y4" s="1"/>
      <c r="Z4" s="1"/>
      <c r="AA4" s="1"/>
      <c r="AB4" s="1"/>
      <c r="AC4" s="1"/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/>
      <c r="AM4" s="1" t="s">
        <v>154</v>
      </c>
      <c r="AN4" s="1" t="s">
        <v>155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SUM(E6:E498)</f>
        <v>39420.487000000001</v>
      </c>
      <c r="F5" s="4">
        <f>SUM(F6:F498)</f>
        <v>40799.389999999992</v>
      </c>
      <c r="G5" s="8"/>
      <c r="H5" s="1"/>
      <c r="I5" s="1"/>
      <c r="J5" s="1"/>
      <c r="K5" s="4">
        <f t="shared" ref="K5:AA5" si="0">SUM(K6:K498)</f>
        <v>46760.900999999991</v>
      </c>
      <c r="L5" s="4">
        <f t="shared" si="0"/>
        <v>-7340.4139999999979</v>
      </c>
      <c r="M5" s="4">
        <f t="shared" si="0"/>
        <v>34232.627999999997</v>
      </c>
      <c r="N5" s="4">
        <f t="shared" si="0"/>
        <v>5187.8589999999995</v>
      </c>
      <c r="O5" s="4">
        <f t="shared" si="0"/>
        <v>9514.952019999997</v>
      </c>
      <c r="P5" s="4">
        <f t="shared" si="0"/>
        <v>2175</v>
      </c>
      <c r="Q5" s="4">
        <f t="shared" si="0"/>
        <v>13097.884460000007</v>
      </c>
      <c r="R5" s="4">
        <f t="shared" ref="R5" si="1">SUM(R6:R498)</f>
        <v>1849</v>
      </c>
      <c r="S5" s="4">
        <f t="shared" si="0"/>
        <v>6846.5255999999999</v>
      </c>
      <c r="T5" s="4">
        <f t="shared" si="0"/>
        <v>12388.855244000004</v>
      </c>
      <c r="U5" s="4">
        <f t="shared" si="0"/>
        <v>12588.855244000004</v>
      </c>
      <c r="V5" s="4">
        <f t="shared" si="0"/>
        <v>6028.1625000000013</v>
      </c>
      <c r="W5" s="4">
        <f t="shared" si="0"/>
        <v>18617.017744000001</v>
      </c>
      <c r="X5" s="4">
        <f t="shared" ref="X5" si="2">SUM(X6:X498)</f>
        <v>4537.3072499999989</v>
      </c>
      <c r="Y5" s="4">
        <f t="shared" si="0"/>
        <v>200</v>
      </c>
      <c r="Z5" s="1"/>
      <c r="AA5" s="4">
        <f t="shared" si="0"/>
        <v>0</v>
      </c>
      <c r="AB5" s="1"/>
      <c r="AC5" s="1"/>
      <c r="AD5" s="4">
        <f t="shared" ref="AD5:AK5" si="3">SUM(AD6:AD498)</f>
        <v>6312.9053999999996</v>
      </c>
      <c r="AE5" s="4">
        <f t="shared" si="3"/>
        <v>5752.2629999999999</v>
      </c>
      <c r="AF5" s="4">
        <f t="shared" si="3"/>
        <v>6866.8038000000015</v>
      </c>
      <c r="AG5" s="4">
        <f t="shared" si="3"/>
        <v>6386.0083999999988</v>
      </c>
      <c r="AH5" s="4">
        <f t="shared" si="3"/>
        <v>6783.7095999999992</v>
      </c>
      <c r="AI5" s="4">
        <f t="shared" si="3"/>
        <v>7266.0890000000036</v>
      </c>
      <c r="AJ5" s="4">
        <f t="shared" si="3"/>
        <v>6579.0063999999984</v>
      </c>
      <c r="AK5" s="4">
        <f t="shared" si="3"/>
        <v>6916.0947999999989</v>
      </c>
      <c r="AL5" s="1"/>
      <c r="AM5" s="4">
        <f>SUM(AM6:AM498)</f>
        <v>17074</v>
      </c>
      <c r="AN5" s="4">
        <f>SUM(AN6:AN498)</f>
        <v>4417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36</v>
      </c>
      <c r="B6" s="1" t="s">
        <v>37</v>
      </c>
      <c r="C6" s="1">
        <v>50.610999999999997</v>
      </c>
      <c r="D6" s="1">
        <v>80.421000000000006</v>
      </c>
      <c r="E6" s="1">
        <v>105.86499999999999</v>
      </c>
      <c r="F6" s="1">
        <v>11.218999999999999</v>
      </c>
      <c r="G6" s="8">
        <v>1</v>
      </c>
      <c r="H6" s="1">
        <v>50</v>
      </c>
      <c r="I6" s="1" t="s">
        <v>38</v>
      </c>
      <c r="J6" s="1"/>
      <c r="K6" s="1">
        <v>351</v>
      </c>
      <c r="L6" s="1">
        <f t="shared" ref="L6:L37" si="4">E6-K6</f>
        <v>-245.13499999999999</v>
      </c>
      <c r="M6" s="1">
        <f>E6-N6</f>
        <v>105.86499999999999</v>
      </c>
      <c r="N6" s="1"/>
      <c r="O6" s="1">
        <v>429.85716000000002</v>
      </c>
      <c r="P6" s="1">
        <v>0</v>
      </c>
      <c r="Q6" s="1">
        <v>282.87736000000012</v>
      </c>
      <c r="R6" s="1">
        <f>IFERROR(VLOOKUP(A6,[2]Sheet!$A:$D,4,0),0)</f>
        <v>0</v>
      </c>
      <c r="S6" s="1">
        <f>M6/5</f>
        <v>21.172999999999998</v>
      </c>
      <c r="T6" s="5"/>
      <c r="U6" s="5">
        <f>T6</f>
        <v>0</v>
      </c>
      <c r="V6" s="5"/>
      <c r="W6" s="5">
        <f>V6+U6</f>
        <v>0</v>
      </c>
      <c r="X6" s="5"/>
      <c r="Y6" s="5"/>
      <c r="Z6" s="1"/>
      <c r="AA6" s="1"/>
      <c r="AB6" s="1">
        <f>(F6+O6+Q6+W6)/S6</f>
        <v>34.192297737684797</v>
      </c>
      <c r="AC6" s="1">
        <f>(F6+O6+Q6)/S6</f>
        <v>34.192297737684797</v>
      </c>
      <c r="AD6" s="1">
        <v>57.832000000000008</v>
      </c>
      <c r="AE6" s="1">
        <v>49.332799999999999</v>
      </c>
      <c r="AF6" s="1">
        <v>31.3186</v>
      </c>
      <c r="AG6" s="1">
        <v>41.005799999999986</v>
      </c>
      <c r="AH6" s="1">
        <v>51.827199999999991</v>
      </c>
      <c r="AI6" s="1">
        <v>36.511000000000003</v>
      </c>
      <c r="AJ6" s="1">
        <v>40.831000000000003</v>
      </c>
      <c r="AK6" s="1">
        <v>68.038399999999996</v>
      </c>
      <c r="AL6" s="1"/>
      <c r="AM6" s="1">
        <f>ROUND(G6*W6,0)</f>
        <v>0</v>
      </c>
      <c r="AN6" s="1">
        <f>ROUND(G6*X6,0)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39</v>
      </c>
      <c r="B7" s="1" t="s">
        <v>37</v>
      </c>
      <c r="C7" s="1">
        <v>196.99799999999999</v>
      </c>
      <c r="D7" s="1">
        <v>373.32400000000001</v>
      </c>
      <c r="E7" s="1">
        <v>326.84899999999999</v>
      </c>
      <c r="F7" s="1">
        <v>89.747</v>
      </c>
      <c r="G7" s="8">
        <v>1</v>
      </c>
      <c r="H7" s="1">
        <v>45</v>
      </c>
      <c r="I7" s="1" t="s">
        <v>38</v>
      </c>
      <c r="J7" s="1"/>
      <c r="K7" s="1">
        <v>473.94200000000001</v>
      </c>
      <c r="L7" s="1">
        <f t="shared" si="4"/>
        <v>-147.09300000000002</v>
      </c>
      <c r="M7" s="1">
        <f t="shared" ref="M7:M70" si="5">E7-N7</f>
        <v>175.88899999999998</v>
      </c>
      <c r="N7" s="1">
        <v>150.96</v>
      </c>
      <c r="O7" s="1">
        <v>0</v>
      </c>
      <c r="P7" s="1">
        <v>122</v>
      </c>
      <c r="Q7" s="1">
        <v>142.02900000000011</v>
      </c>
      <c r="R7" s="1">
        <f>IFERROR(VLOOKUP(A7,[2]Sheet!$A:$D,4,0),0)</f>
        <v>84</v>
      </c>
      <c r="S7" s="1">
        <f t="shared" ref="S7:S70" si="6">M7/5</f>
        <v>35.177799999999998</v>
      </c>
      <c r="T7" s="5">
        <f>10*S7-Q7-O7-F7</f>
        <v>120.00199999999985</v>
      </c>
      <c r="U7" s="5">
        <f t="shared" ref="U7:U70" si="7">T7</f>
        <v>120.00199999999985</v>
      </c>
      <c r="V7" s="5"/>
      <c r="W7" s="5">
        <f t="shared" ref="W7:W70" si="8">V7+U7</f>
        <v>120.00199999999985</v>
      </c>
      <c r="X7" s="5"/>
      <c r="Y7" s="5"/>
      <c r="Z7" s="1"/>
      <c r="AA7" s="1"/>
      <c r="AB7" s="1">
        <f t="shared" ref="AB7:AB70" si="9">(F7+O7+Q7+W7)/S7</f>
        <v>10</v>
      </c>
      <c r="AC7" s="1">
        <f t="shared" ref="AC7:AC70" si="10">(F7+O7+Q7)/S7</f>
        <v>6.588700828363347</v>
      </c>
      <c r="AD7" s="1">
        <v>28.428999999999998</v>
      </c>
      <c r="AE7" s="1">
        <v>22.7546</v>
      </c>
      <c r="AF7" s="1">
        <v>28.552800000000001</v>
      </c>
      <c r="AG7" s="1">
        <v>28.0106</v>
      </c>
      <c r="AH7" s="1">
        <v>30.247199999999999</v>
      </c>
      <c r="AI7" s="1">
        <v>30.461200000000002</v>
      </c>
      <c r="AJ7" s="1">
        <v>35.405799999999999</v>
      </c>
      <c r="AK7" s="1">
        <v>27.854800000000001</v>
      </c>
      <c r="AL7" s="1"/>
      <c r="AM7" s="1">
        <f t="shared" ref="AM7:AM70" si="11">ROUND(G7*W7,0)</f>
        <v>120</v>
      </c>
      <c r="AN7" s="1">
        <f t="shared" ref="AN7:AN70" si="12">ROUND(G7*X7,0)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37</v>
      </c>
      <c r="C8" s="1">
        <v>371.06900000000002</v>
      </c>
      <c r="D8" s="1">
        <v>1298.7750000000001</v>
      </c>
      <c r="E8" s="1">
        <v>890.77</v>
      </c>
      <c r="F8" s="1">
        <v>504.11200000000002</v>
      </c>
      <c r="G8" s="8">
        <v>1</v>
      </c>
      <c r="H8" s="1">
        <v>45</v>
      </c>
      <c r="I8" s="1" t="s">
        <v>38</v>
      </c>
      <c r="J8" s="1"/>
      <c r="K8" s="1">
        <v>1111.2529999999999</v>
      </c>
      <c r="L8" s="1">
        <f t="shared" si="4"/>
        <v>-220.48299999999995</v>
      </c>
      <c r="M8" s="1">
        <f t="shared" si="5"/>
        <v>613.30600000000004</v>
      </c>
      <c r="N8" s="1">
        <v>277.464</v>
      </c>
      <c r="O8" s="1">
        <v>0</v>
      </c>
      <c r="P8" s="1">
        <v>126</v>
      </c>
      <c r="Q8" s="1">
        <v>102.46709</v>
      </c>
      <c r="R8" s="1">
        <f>IFERROR(VLOOKUP(A8,[2]Sheet!$A:$D,4,0),0)</f>
        <v>139</v>
      </c>
      <c r="S8" s="1">
        <f t="shared" si="6"/>
        <v>122.66120000000001</v>
      </c>
      <c r="T8" s="5">
        <f t="shared" ref="T8:T10" si="13">10*S8-Q8-O8-F8</f>
        <v>620.0329099999999</v>
      </c>
      <c r="U8" s="5">
        <f t="shared" si="7"/>
        <v>620.0329099999999</v>
      </c>
      <c r="V8" s="5"/>
      <c r="W8" s="5">
        <f t="shared" si="8"/>
        <v>620.0329099999999</v>
      </c>
      <c r="X8" s="5"/>
      <c r="Y8" s="5"/>
      <c r="Z8" s="1"/>
      <c r="AA8" s="1"/>
      <c r="AB8" s="1">
        <f t="shared" si="9"/>
        <v>10</v>
      </c>
      <c r="AC8" s="1">
        <f t="shared" si="10"/>
        <v>4.9451586157643987</v>
      </c>
      <c r="AD8" s="1">
        <v>92.555399999999992</v>
      </c>
      <c r="AE8" s="1">
        <v>83.119</v>
      </c>
      <c r="AF8" s="1">
        <v>114.33620000000001</v>
      </c>
      <c r="AG8" s="1">
        <v>107.63379999999999</v>
      </c>
      <c r="AH8" s="1">
        <v>124.9104</v>
      </c>
      <c r="AI8" s="1">
        <v>127.4502</v>
      </c>
      <c r="AJ8" s="1">
        <v>106.184</v>
      </c>
      <c r="AK8" s="1">
        <v>88.690399999999997</v>
      </c>
      <c r="AL8" s="1"/>
      <c r="AM8" s="1">
        <f t="shared" si="11"/>
        <v>620</v>
      </c>
      <c r="AN8" s="1">
        <f t="shared" si="12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41</v>
      </c>
      <c r="B9" s="1" t="s">
        <v>42</v>
      </c>
      <c r="C9" s="1">
        <v>751</v>
      </c>
      <c r="D9" s="1">
        <v>1579</v>
      </c>
      <c r="E9" s="1">
        <v>837</v>
      </c>
      <c r="F9" s="1">
        <v>1371</v>
      </c>
      <c r="G9" s="8">
        <v>0.45</v>
      </c>
      <c r="H9" s="1">
        <v>45</v>
      </c>
      <c r="I9" s="1" t="s">
        <v>38</v>
      </c>
      <c r="J9" s="1"/>
      <c r="K9" s="1">
        <v>912</v>
      </c>
      <c r="L9" s="1">
        <f t="shared" si="4"/>
        <v>-75</v>
      </c>
      <c r="M9" s="1">
        <f t="shared" si="5"/>
        <v>783</v>
      </c>
      <c r="N9" s="1">
        <v>54</v>
      </c>
      <c r="O9" s="1">
        <v>328.4</v>
      </c>
      <c r="P9" s="1">
        <v>0</v>
      </c>
      <c r="Q9" s="1">
        <v>0</v>
      </c>
      <c r="R9" s="1">
        <f>IFERROR(VLOOKUP(A9,[2]Sheet!$A:$D,4,0),0)</f>
        <v>0</v>
      </c>
      <c r="S9" s="1">
        <f t="shared" si="6"/>
        <v>156.6</v>
      </c>
      <c r="T9" s="5"/>
      <c r="U9" s="5">
        <f t="shared" si="7"/>
        <v>0</v>
      </c>
      <c r="V9" s="5"/>
      <c r="W9" s="5">
        <f t="shared" si="8"/>
        <v>0</v>
      </c>
      <c r="X9" s="5"/>
      <c r="Y9" s="5"/>
      <c r="Z9" s="1"/>
      <c r="AA9" s="1"/>
      <c r="AB9" s="1">
        <f t="shared" si="9"/>
        <v>10.851851851851853</v>
      </c>
      <c r="AC9" s="1">
        <f t="shared" si="10"/>
        <v>10.851851851851853</v>
      </c>
      <c r="AD9" s="1">
        <v>144.6</v>
      </c>
      <c r="AE9" s="1">
        <v>164.2</v>
      </c>
      <c r="AF9" s="1">
        <v>172.6</v>
      </c>
      <c r="AG9" s="1">
        <v>146.6</v>
      </c>
      <c r="AH9" s="1">
        <v>141</v>
      </c>
      <c r="AI9" s="1">
        <v>133.80000000000001</v>
      </c>
      <c r="AJ9" s="1">
        <v>135.4</v>
      </c>
      <c r="AK9" s="1">
        <v>130</v>
      </c>
      <c r="AL9" s="1" t="s">
        <v>43</v>
      </c>
      <c r="AM9" s="1">
        <f t="shared" si="11"/>
        <v>0</v>
      </c>
      <c r="AN9" s="1">
        <f t="shared" si="12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44</v>
      </c>
      <c r="B10" s="1" t="s">
        <v>42</v>
      </c>
      <c r="C10" s="1">
        <v>1839</v>
      </c>
      <c r="D10" s="1">
        <v>1765</v>
      </c>
      <c r="E10" s="1">
        <v>1342</v>
      </c>
      <c r="F10" s="1">
        <v>2041</v>
      </c>
      <c r="G10" s="8">
        <v>0.45</v>
      </c>
      <c r="H10" s="1">
        <v>45</v>
      </c>
      <c r="I10" s="1" t="s">
        <v>38</v>
      </c>
      <c r="J10" s="1"/>
      <c r="K10" s="1">
        <v>1460</v>
      </c>
      <c r="L10" s="1">
        <f t="shared" si="4"/>
        <v>-118</v>
      </c>
      <c r="M10" s="1">
        <f t="shared" si="5"/>
        <v>1246</v>
      </c>
      <c r="N10" s="1">
        <v>96</v>
      </c>
      <c r="O10" s="1">
        <v>240.4</v>
      </c>
      <c r="P10" s="1">
        <v>0</v>
      </c>
      <c r="Q10" s="1">
        <v>0</v>
      </c>
      <c r="R10" s="1">
        <f>IFERROR(VLOOKUP(A10,[2]Sheet!$A:$D,4,0),0)</f>
        <v>0</v>
      </c>
      <c r="S10" s="1">
        <f t="shared" si="6"/>
        <v>249.2</v>
      </c>
      <c r="T10" s="5">
        <f t="shared" si="13"/>
        <v>210.59999999999991</v>
      </c>
      <c r="U10" s="5">
        <f t="shared" si="7"/>
        <v>210.59999999999991</v>
      </c>
      <c r="V10" s="5"/>
      <c r="W10" s="5">
        <f t="shared" si="8"/>
        <v>210.59999999999991</v>
      </c>
      <c r="X10" s="5"/>
      <c r="Y10" s="5"/>
      <c r="Z10" s="1"/>
      <c r="AA10" s="1"/>
      <c r="AB10" s="1">
        <f t="shared" si="9"/>
        <v>10</v>
      </c>
      <c r="AC10" s="1">
        <f t="shared" si="10"/>
        <v>9.1548956661316225</v>
      </c>
      <c r="AD10" s="1">
        <v>219.4</v>
      </c>
      <c r="AE10" s="1">
        <v>240.4</v>
      </c>
      <c r="AF10" s="1">
        <v>272.39999999999998</v>
      </c>
      <c r="AG10" s="1">
        <v>258.2</v>
      </c>
      <c r="AH10" s="1">
        <v>335.8</v>
      </c>
      <c r="AI10" s="1">
        <v>416.4</v>
      </c>
      <c r="AJ10" s="1">
        <v>388.6</v>
      </c>
      <c r="AK10" s="1">
        <v>393.6</v>
      </c>
      <c r="AL10" s="1" t="s">
        <v>43</v>
      </c>
      <c r="AM10" s="1">
        <f t="shared" si="11"/>
        <v>95</v>
      </c>
      <c r="AN10" s="1">
        <f t="shared" si="12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45</v>
      </c>
      <c r="B11" s="1" t="s">
        <v>42</v>
      </c>
      <c r="C11" s="1">
        <v>111</v>
      </c>
      <c r="D11" s="1">
        <v>30</v>
      </c>
      <c r="E11" s="1">
        <v>69</v>
      </c>
      <c r="F11" s="1">
        <v>71</v>
      </c>
      <c r="G11" s="8">
        <v>0.17</v>
      </c>
      <c r="H11" s="1">
        <v>180</v>
      </c>
      <c r="I11" s="1" t="s">
        <v>38</v>
      </c>
      <c r="J11" s="1"/>
      <c r="K11" s="1">
        <v>70</v>
      </c>
      <c r="L11" s="1">
        <f t="shared" si="4"/>
        <v>-1</v>
      </c>
      <c r="M11" s="1">
        <f t="shared" si="5"/>
        <v>69</v>
      </c>
      <c r="N11" s="1"/>
      <c r="O11" s="1">
        <v>10.600000000000019</v>
      </c>
      <c r="P11" s="1">
        <v>0</v>
      </c>
      <c r="Q11" s="1">
        <v>77.400000000000034</v>
      </c>
      <c r="R11" s="1">
        <f>IFERROR(VLOOKUP(A11,[2]Sheet!$A:$D,4,0),0)</f>
        <v>0</v>
      </c>
      <c r="S11" s="1">
        <f t="shared" si="6"/>
        <v>13.8</v>
      </c>
      <c r="T11" s="5"/>
      <c r="U11" s="5">
        <f t="shared" si="7"/>
        <v>0</v>
      </c>
      <c r="V11" s="5"/>
      <c r="W11" s="5">
        <f t="shared" si="8"/>
        <v>0</v>
      </c>
      <c r="X11" s="5"/>
      <c r="Y11" s="5"/>
      <c r="Z11" s="1"/>
      <c r="AA11" s="1"/>
      <c r="AB11" s="1">
        <f t="shared" si="9"/>
        <v>11.521739130434787</v>
      </c>
      <c r="AC11" s="1">
        <f t="shared" si="10"/>
        <v>11.521739130434787</v>
      </c>
      <c r="AD11" s="1">
        <v>14.8</v>
      </c>
      <c r="AE11" s="1">
        <v>13.2</v>
      </c>
      <c r="AF11" s="1">
        <v>13.6</v>
      </c>
      <c r="AG11" s="1">
        <v>16</v>
      </c>
      <c r="AH11" s="1">
        <v>14.2</v>
      </c>
      <c r="AI11" s="1">
        <v>11</v>
      </c>
      <c r="AJ11" s="1">
        <v>9.6</v>
      </c>
      <c r="AK11" s="1">
        <v>9</v>
      </c>
      <c r="AL11" s="1" t="s">
        <v>43</v>
      </c>
      <c r="AM11" s="1">
        <f t="shared" si="11"/>
        <v>0</v>
      </c>
      <c r="AN11" s="1">
        <f t="shared" si="12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46</v>
      </c>
      <c r="B12" s="1" t="s">
        <v>42</v>
      </c>
      <c r="C12" s="1">
        <v>49</v>
      </c>
      <c r="D12" s="1"/>
      <c r="E12" s="1">
        <v>36</v>
      </c>
      <c r="F12" s="1">
        <v>10</v>
      </c>
      <c r="G12" s="8">
        <v>0.3</v>
      </c>
      <c r="H12" s="1">
        <v>40</v>
      </c>
      <c r="I12" s="1" t="s">
        <v>38</v>
      </c>
      <c r="J12" s="1"/>
      <c r="K12" s="1">
        <v>40</v>
      </c>
      <c r="L12" s="1">
        <f t="shared" si="4"/>
        <v>-4</v>
      </c>
      <c r="M12" s="1">
        <f t="shared" si="5"/>
        <v>36</v>
      </c>
      <c r="N12" s="1"/>
      <c r="O12" s="1">
        <v>0</v>
      </c>
      <c r="P12" s="1">
        <v>0</v>
      </c>
      <c r="Q12" s="1">
        <v>40.199999999999989</v>
      </c>
      <c r="R12" s="1">
        <f>IFERROR(VLOOKUP(A12,[2]Sheet!$A:$D,4,0),0)</f>
        <v>0</v>
      </c>
      <c r="S12" s="1">
        <f t="shared" si="6"/>
        <v>7.2</v>
      </c>
      <c r="T12" s="5">
        <f t="shared" ref="T12:T16" si="14">11*S12-Q12-O12-F12</f>
        <v>29.000000000000014</v>
      </c>
      <c r="U12" s="5">
        <f t="shared" si="7"/>
        <v>29.000000000000014</v>
      </c>
      <c r="V12" s="5"/>
      <c r="W12" s="5">
        <f t="shared" si="8"/>
        <v>29.000000000000014</v>
      </c>
      <c r="X12" s="5"/>
      <c r="Y12" s="5"/>
      <c r="Z12" s="1"/>
      <c r="AA12" s="1"/>
      <c r="AB12" s="1">
        <f t="shared" si="9"/>
        <v>11</v>
      </c>
      <c r="AC12" s="1">
        <f t="shared" si="10"/>
        <v>6.9722222222222205</v>
      </c>
      <c r="AD12" s="1">
        <v>5.6</v>
      </c>
      <c r="AE12" s="1">
        <v>2</v>
      </c>
      <c r="AF12" s="1">
        <v>1.4</v>
      </c>
      <c r="AG12" s="1">
        <v>3</v>
      </c>
      <c r="AH12" s="1">
        <v>4.5999999999999996</v>
      </c>
      <c r="AI12" s="1">
        <v>3.4</v>
      </c>
      <c r="AJ12" s="1">
        <v>2.4</v>
      </c>
      <c r="AK12" s="1">
        <v>1.8</v>
      </c>
      <c r="AL12" s="1"/>
      <c r="AM12" s="1">
        <f t="shared" si="11"/>
        <v>9</v>
      </c>
      <c r="AN12" s="1">
        <f t="shared" si="12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47</v>
      </c>
      <c r="B13" s="1" t="s">
        <v>42</v>
      </c>
      <c r="C13" s="1">
        <v>120</v>
      </c>
      <c r="D13" s="1">
        <v>240</v>
      </c>
      <c r="E13" s="1">
        <v>273</v>
      </c>
      <c r="F13" s="1">
        <v>72</v>
      </c>
      <c r="G13" s="8">
        <v>0.17</v>
      </c>
      <c r="H13" s="1">
        <v>180</v>
      </c>
      <c r="I13" s="1" t="s">
        <v>38</v>
      </c>
      <c r="J13" s="1"/>
      <c r="K13" s="1">
        <v>288</v>
      </c>
      <c r="L13" s="1">
        <f t="shared" si="4"/>
        <v>-15</v>
      </c>
      <c r="M13" s="1">
        <f t="shared" si="5"/>
        <v>198</v>
      </c>
      <c r="N13" s="1">
        <v>75</v>
      </c>
      <c r="O13" s="1">
        <v>0</v>
      </c>
      <c r="P13" s="1">
        <v>0</v>
      </c>
      <c r="Q13" s="1">
        <v>51.599999999999987</v>
      </c>
      <c r="R13" s="1">
        <f>IFERROR(VLOOKUP(A13,[2]Sheet!$A:$D,4,0),0)</f>
        <v>0</v>
      </c>
      <c r="S13" s="1">
        <f t="shared" si="6"/>
        <v>39.6</v>
      </c>
      <c r="T13" s="5">
        <f>9*S13-Q13-O13-F13</f>
        <v>232.80000000000007</v>
      </c>
      <c r="U13" s="5">
        <f t="shared" si="7"/>
        <v>232.80000000000007</v>
      </c>
      <c r="V13" s="5"/>
      <c r="W13" s="5">
        <f t="shared" si="8"/>
        <v>232.80000000000007</v>
      </c>
      <c r="X13" s="5"/>
      <c r="Y13" s="5"/>
      <c r="Z13" s="1"/>
      <c r="AA13" s="1"/>
      <c r="AB13" s="1">
        <f t="shared" si="9"/>
        <v>9.0000000000000018</v>
      </c>
      <c r="AC13" s="1">
        <f t="shared" si="10"/>
        <v>3.1212121212121211</v>
      </c>
      <c r="AD13" s="1">
        <v>23</v>
      </c>
      <c r="AE13" s="1">
        <v>24.8</v>
      </c>
      <c r="AF13" s="1">
        <v>33.799999999999997</v>
      </c>
      <c r="AG13" s="1">
        <v>26.2</v>
      </c>
      <c r="AH13" s="1">
        <v>20.8</v>
      </c>
      <c r="AI13" s="1">
        <v>18.600000000000001</v>
      </c>
      <c r="AJ13" s="1">
        <v>22.4</v>
      </c>
      <c r="AK13" s="1">
        <v>20.6</v>
      </c>
      <c r="AL13" s="1"/>
      <c r="AM13" s="1">
        <f t="shared" si="11"/>
        <v>40</v>
      </c>
      <c r="AN13" s="1">
        <f t="shared" si="12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48</v>
      </c>
      <c r="B14" s="1" t="s">
        <v>37</v>
      </c>
      <c r="C14" s="1">
        <v>2583.4369999999999</v>
      </c>
      <c r="D14" s="1">
        <v>2209.2719999999999</v>
      </c>
      <c r="E14" s="1">
        <v>2073.4270000000001</v>
      </c>
      <c r="F14" s="1">
        <v>2257.6579999999999</v>
      </c>
      <c r="G14" s="8">
        <v>1</v>
      </c>
      <c r="H14" s="1">
        <v>55</v>
      </c>
      <c r="I14" s="1" t="s">
        <v>38</v>
      </c>
      <c r="J14" s="1"/>
      <c r="K14" s="1">
        <v>2316.36</v>
      </c>
      <c r="L14" s="1">
        <f t="shared" si="4"/>
        <v>-242.93299999999999</v>
      </c>
      <c r="M14" s="1">
        <f t="shared" si="5"/>
        <v>1973.3050000000001</v>
      </c>
      <c r="N14" s="1">
        <v>100.122</v>
      </c>
      <c r="O14" s="1">
        <v>0</v>
      </c>
      <c r="P14" s="1">
        <v>149</v>
      </c>
      <c r="Q14" s="1">
        <v>563.20830799999953</v>
      </c>
      <c r="R14" s="1">
        <f>IFERROR(VLOOKUP(A14,[2]Sheet!$A:$D,4,0),0)</f>
        <v>100</v>
      </c>
      <c r="S14" s="1">
        <f t="shared" si="6"/>
        <v>394.661</v>
      </c>
      <c r="T14" s="5">
        <f t="shared" si="14"/>
        <v>1520.4046920000005</v>
      </c>
      <c r="U14" s="5">
        <f t="shared" si="7"/>
        <v>1520.4046920000005</v>
      </c>
      <c r="V14" s="5">
        <f>$V$1*S14</f>
        <v>986.65250000000003</v>
      </c>
      <c r="W14" s="5">
        <f t="shared" si="8"/>
        <v>2507.0571920000007</v>
      </c>
      <c r="X14" s="5">
        <f>$X$1*S14</f>
        <v>611.72455000000002</v>
      </c>
      <c r="Y14" s="5"/>
      <c r="Z14" s="1"/>
      <c r="AA14" s="1"/>
      <c r="AB14" s="1">
        <f t="shared" si="9"/>
        <v>13.500000000000002</v>
      </c>
      <c r="AC14" s="1">
        <f t="shared" si="10"/>
        <v>7.1475679329855231</v>
      </c>
      <c r="AD14" s="1">
        <v>323.76679999999999</v>
      </c>
      <c r="AE14" s="1">
        <v>244.8562</v>
      </c>
      <c r="AF14" s="1">
        <v>340.5652</v>
      </c>
      <c r="AG14" s="1">
        <v>343.31139999999999</v>
      </c>
      <c r="AH14" s="1">
        <v>303.4008</v>
      </c>
      <c r="AI14" s="1">
        <v>324.76</v>
      </c>
      <c r="AJ14" s="1">
        <v>289.77679999999998</v>
      </c>
      <c r="AK14" s="1">
        <v>288.3716</v>
      </c>
      <c r="AL14" s="1" t="s">
        <v>49</v>
      </c>
      <c r="AM14" s="1">
        <f t="shared" si="11"/>
        <v>2507</v>
      </c>
      <c r="AN14" s="1">
        <f t="shared" si="12"/>
        <v>612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50</v>
      </c>
      <c r="B15" s="1" t="s">
        <v>37</v>
      </c>
      <c r="C15" s="1">
        <v>1721.08</v>
      </c>
      <c r="D15" s="1">
        <v>3169.46</v>
      </c>
      <c r="E15" s="1">
        <v>2141.136</v>
      </c>
      <c r="F15" s="1">
        <v>2195.817</v>
      </c>
      <c r="G15" s="8">
        <v>1</v>
      </c>
      <c r="H15" s="1">
        <v>50</v>
      </c>
      <c r="I15" s="1" t="s">
        <v>38</v>
      </c>
      <c r="J15" s="1"/>
      <c r="K15" s="1">
        <v>2364.4749999999999</v>
      </c>
      <c r="L15" s="1">
        <f t="shared" si="4"/>
        <v>-223.33899999999994</v>
      </c>
      <c r="M15" s="1">
        <f t="shared" si="5"/>
        <v>1991.2179999999998</v>
      </c>
      <c r="N15" s="1">
        <v>149.91800000000001</v>
      </c>
      <c r="O15" s="1">
        <v>976.95299999999986</v>
      </c>
      <c r="P15" s="1">
        <v>143</v>
      </c>
      <c r="Q15" s="1">
        <v>256.82569200000188</v>
      </c>
      <c r="R15" s="1">
        <f>IFERROR(VLOOKUP(A15,[2]Sheet!$A:$D,4,0),0)</f>
        <v>128</v>
      </c>
      <c r="S15" s="1">
        <f t="shared" si="6"/>
        <v>398.24359999999996</v>
      </c>
      <c r="T15" s="5">
        <f t="shared" si="14"/>
        <v>951.08390799999734</v>
      </c>
      <c r="U15" s="5">
        <f t="shared" si="7"/>
        <v>951.08390799999734</v>
      </c>
      <c r="V15" s="5">
        <f t="shared" ref="V15:V16" si="15">$V$1*S15</f>
        <v>995.60899999999992</v>
      </c>
      <c r="W15" s="5">
        <f t="shared" si="8"/>
        <v>1946.6929079999973</v>
      </c>
      <c r="X15" s="5">
        <f t="shared" ref="X15:X16" si="16">$X$1*S15</f>
        <v>617.27757999999994</v>
      </c>
      <c r="Y15" s="5"/>
      <c r="Z15" s="1"/>
      <c r="AA15" s="1"/>
      <c r="AB15" s="1">
        <f t="shared" si="9"/>
        <v>13.499999999999998</v>
      </c>
      <c r="AC15" s="1">
        <f t="shared" si="10"/>
        <v>8.6118036598704961</v>
      </c>
      <c r="AD15" s="1">
        <v>378.39319999999998</v>
      </c>
      <c r="AE15" s="1">
        <v>325.65100000000001</v>
      </c>
      <c r="AF15" s="1">
        <v>355.86079999999998</v>
      </c>
      <c r="AG15" s="1">
        <v>327.43279999999999</v>
      </c>
      <c r="AH15" s="1">
        <v>320.59660000000002</v>
      </c>
      <c r="AI15" s="1">
        <v>356.32499999999999</v>
      </c>
      <c r="AJ15" s="1">
        <v>329.22059999999999</v>
      </c>
      <c r="AK15" s="1">
        <v>334.84500000000003</v>
      </c>
      <c r="AL15" s="1" t="s">
        <v>49</v>
      </c>
      <c r="AM15" s="1">
        <f t="shared" si="11"/>
        <v>1947</v>
      </c>
      <c r="AN15" s="1">
        <f t="shared" si="12"/>
        <v>617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51</v>
      </c>
      <c r="B16" s="1" t="s">
        <v>37</v>
      </c>
      <c r="C16" s="1">
        <v>282.38099999999997</v>
      </c>
      <c r="D16" s="1">
        <v>197.864</v>
      </c>
      <c r="E16" s="1">
        <v>209.80500000000001</v>
      </c>
      <c r="F16" s="1">
        <v>203.48699999999999</v>
      </c>
      <c r="G16" s="8">
        <v>1</v>
      </c>
      <c r="H16" s="1">
        <v>60</v>
      </c>
      <c r="I16" s="1" t="s">
        <v>38</v>
      </c>
      <c r="J16" s="1"/>
      <c r="K16" s="1">
        <v>247.44800000000001</v>
      </c>
      <c r="L16" s="1">
        <f t="shared" si="4"/>
        <v>-37.643000000000001</v>
      </c>
      <c r="M16" s="1">
        <f t="shared" si="5"/>
        <v>178.107</v>
      </c>
      <c r="N16" s="1">
        <v>31.698</v>
      </c>
      <c r="O16" s="1">
        <v>0</v>
      </c>
      <c r="P16" s="1">
        <v>0</v>
      </c>
      <c r="Q16" s="1">
        <v>41.353199999999987</v>
      </c>
      <c r="R16" s="1">
        <f>IFERROR(VLOOKUP(A16,[2]Sheet!$A:$D,4,0),0)</f>
        <v>0</v>
      </c>
      <c r="S16" s="1">
        <f t="shared" si="6"/>
        <v>35.621400000000001</v>
      </c>
      <c r="T16" s="5">
        <f t="shared" si="14"/>
        <v>146.99520000000004</v>
      </c>
      <c r="U16" s="5">
        <f t="shared" si="7"/>
        <v>146.99520000000004</v>
      </c>
      <c r="V16" s="5">
        <f t="shared" si="15"/>
        <v>89.0535</v>
      </c>
      <c r="W16" s="5">
        <f t="shared" si="8"/>
        <v>236.04870000000005</v>
      </c>
      <c r="X16" s="5">
        <f t="shared" si="16"/>
        <v>55.213170000000005</v>
      </c>
      <c r="Y16" s="5"/>
      <c r="Z16" s="1"/>
      <c r="AA16" s="1"/>
      <c r="AB16" s="1">
        <f t="shared" si="9"/>
        <v>13.5</v>
      </c>
      <c r="AC16" s="1">
        <f t="shared" si="10"/>
        <v>6.8734019437753702</v>
      </c>
      <c r="AD16" s="1">
        <v>30.276199999999999</v>
      </c>
      <c r="AE16" s="1">
        <v>27.043199999999999</v>
      </c>
      <c r="AF16" s="1">
        <v>37.480800000000002</v>
      </c>
      <c r="AG16" s="1">
        <v>35.740400000000001</v>
      </c>
      <c r="AH16" s="1">
        <v>24.6844</v>
      </c>
      <c r="AI16" s="1">
        <v>33.172999999999988</v>
      </c>
      <c r="AJ16" s="1">
        <v>36.040999999999997</v>
      </c>
      <c r="AK16" s="1">
        <v>29.628399999999999</v>
      </c>
      <c r="AL16" s="1"/>
      <c r="AM16" s="1">
        <f t="shared" si="11"/>
        <v>236</v>
      </c>
      <c r="AN16" s="1">
        <f t="shared" si="12"/>
        <v>55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52</v>
      </c>
      <c r="B17" s="1" t="s">
        <v>37</v>
      </c>
      <c r="C17" s="1">
        <v>1090.56</v>
      </c>
      <c r="D17" s="1">
        <v>960.23900000000003</v>
      </c>
      <c r="E17" s="1">
        <v>1251.5360000000001</v>
      </c>
      <c r="F17" s="1">
        <v>450.55</v>
      </c>
      <c r="G17" s="8">
        <v>1</v>
      </c>
      <c r="H17" s="1">
        <v>60</v>
      </c>
      <c r="I17" s="1" t="s">
        <v>38</v>
      </c>
      <c r="J17" s="1"/>
      <c r="K17" s="1">
        <v>1583.4770000000001</v>
      </c>
      <c r="L17" s="1">
        <f t="shared" si="4"/>
        <v>-331.94100000000003</v>
      </c>
      <c r="M17" s="1">
        <f t="shared" si="5"/>
        <v>1101.241</v>
      </c>
      <c r="N17" s="1">
        <v>150.29499999999999</v>
      </c>
      <c r="O17" s="1">
        <v>0</v>
      </c>
      <c r="P17" s="1">
        <v>124</v>
      </c>
      <c r="Q17" s="1">
        <v>179.90344599999969</v>
      </c>
      <c r="R17" s="1">
        <f>IFERROR(VLOOKUP(A17,[2]Sheet!$A:$D,4,0),0)</f>
        <v>118</v>
      </c>
      <c r="S17" s="1">
        <f t="shared" si="6"/>
        <v>220.2482</v>
      </c>
      <c r="T17" s="5">
        <f>9*S17-Q17-O17-F17</f>
        <v>1351.7803540000002</v>
      </c>
      <c r="U17" s="5">
        <f t="shared" si="7"/>
        <v>1351.7803540000002</v>
      </c>
      <c r="V17" s="5"/>
      <c r="W17" s="5">
        <f t="shared" si="8"/>
        <v>1351.7803540000002</v>
      </c>
      <c r="X17" s="5"/>
      <c r="Y17" s="5"/>
      <c r="Z17" s="1"/>
      <c r="AA17" s="1"/>
      <c r="AB17" s="1">
        <f t="shared" si="9"/>
        <v>9</v>
      </c>
      <c r="AC17" s="1">
        <f t="shared" si="10"/>
        <v>2.8624680973556185</v>
      </c>
      <c r="AD17" s="1">
        <v>120.8116</v>
      </c>
      <c r="AE17" s="1">
        <v>94.181799999999996</v>
      </c>
      <c r="AF17" s="1">
        <v>120.8854</v>
      </c>
      <c r="AG17" s="1">
        <v>123.5022</v>
      </c>
      <c r="AH17" s="1">
        <v>119.4024</v>
      </c>
      <c r="AI17" s="1">
        <v>147.22900000000001</v>
      </c>
      <c r="AJ17" s="1">
        <v>133.0924</v>
      </c>
      <c r="AK17" s="1">
        <v>110.7876</v>
      </c>
      <c r="AL17" s="1"/>
      <c r="AM17" s="1">
        <f t="shared" si="11"/>
        <v>1352</v>
      </c>
      <c r="AN17" s="1">
        <f t="shared" si="12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5" t="s">
        <v>53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4"/>
        <v>0</v>
      </c>
      <c r="M18" s="15">
        <f t="shared" si="5"/>
        <v>0</v>
      </c>
      <c r="N18" s="15"/>
      <c r="O18" s="15">
        <v>0</v>
      </c>
      <c r="P18" s="15">
        <v>0</v>
      </c>
      <c r="Q18" s="15">
        <v>0</v>
      </c>
      <c r="R18" s="1">
        <f>IFERROR(VLOOKUP(A18,[2]Sheet!$A:$D,4,0),0)</f>
        <v>0</v>
      </c>
      <c r="S18" s="15">
        <f t="shared" si="6"/>
        <v>0</v>
      </c>
      <c r="T18" s="17"/>
      <c r="U18" s="5">
        <f t="shared" si="7"/>
        <v>0</v>
      </c>
      <c r="V18" s="17"/>
      <c r="W18" s="5">
        <f t="shared" si="8"/>
        <v>0</v>
      </c>
      <c r="X18" s="5"/>
      <c r="Y18" s="17"/>
      <c r="Z18" s="15"/>
      <c r="AA18" s="15"/>
      <c r="AB18" s="1" t="e">
        <f t="shared" si="9"/>
        <v>#DIV/0!</v>
      </c>
      <c r="AC18" s="15" t="e">
        <f t="shared" si="10"/>
        <v>#DIV/0!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54</v>
      </c>
      <c r="AM18" s="1">
        <f t="shared" si="11"/>
        <v>0</v>
      </c>
      <c r="AN18" s="1">
        <f t="shared" si="12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55</v>
      </c>
      <c r="B19" s="1" t="s">
        <v>37</v>
      </c>
      <c r="C19" s="1">
        <v>20.6</v>
      </c>
      <c r="D19" s="1"/>
      <c r="E19" s="1">
        <v>3.9969999999999999</v>
      </c>
      <c r="F19" s="1">
        <v>16.603000000000002</v>
      </c>
      <c r="G19" s="8">
        <v>1</v>
      </c>
      <c r="H19" s="1">
        <v>180</v>
      </c>
      <c r="I19" s="1" t="s">
        <v>38</v>
      </c>
      <c r="J19" s="1"/>
      <c r="K19" s="1">
        <v>3.4</v>
      </c>
      <c r="L19" s="1">
        <f t="shared" si="4"/>
        <v>0.59699999999999998</v>
      </c>
      <c r="M19" s="1">
        <f t="shared" si="5"/>
        <v>3.9969999999999999</v>
      </c>
      <c r="N19" s="1"/>
      <c r="O19" s="1">
        <v>0</v>
      </c>
      <c r="P19" s="1">
        <v>0</v>
      </c>
      <c r="Q19" s="1">
        <v>0</v>
      </c>
      <c r="R19" s="1">
        <f>IFERROR(VLOOKUP(A19,[2]Sheet!$A:$D,4,0),0)</f>
        <v>0</v>
      </c>
      <c r="S19" s="1">
        <f t="shared" si="6"/>
        <v>0.7994</v>
      </c>
      <c r="T19" s="5"/>
      <c r="U19" s="5">
        <f t="shared" si="7"/>
        <v>0</v>
      </c>
      <c r="V19" s="5"/>
      <c r="W19" s="5">
        <f t="shared" si="8"/>
        <v>0</v>
      </c>
      <c r="X19" s="5"/>
      <c r="Y19" s="5"/>
      <c r="Z19" s="1"/>
      <c r="AA19" s="1"/>
      <c r="AB19" s="1">
        <f t="shared" si="9"/>
        <v>20.769326995246438</v>
      </c>
      <c r="AC19" s="1">
        <f t="shared" si="10"/>
        <v>20.769326995246438</v>
      </c>
      <c r="AD19" s="1">
        <v>0.95459999999999989</v>
      </c>
      <c r="AE19" s="1">
        <v>0.47639999999999999</v>
      </c>
      <c r="AF19" s="1">
        <v>0.63159999999999994</v>
      </c>
      <c r="AG19" s="1">
        <v>0.62739999999999996</v>
      </c>
      <c r="AH19" s="1">
        <v>0.72399999999999998</v>
      </c>
      <c r="AI19" s="1">
        <v>0.80120000000000002</v>
      </c>
      <c r="AJ19" s="1">
        <v>0.55959999999999999</v>
      </c>
      <c r="AK19" s="1">
        <v>0.40360000000000001</v>
      </c>
      <c r="AL19" s="21" t="s">
        <v>145</v>
      </c>
      <c r="AM19" s="1">
        <f t="shared" si="11"/>
        <v>0</v>
      </c>
      <c r="AN19" s="1">
        <f t="shared" si="12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57</v>
      </c>
      <c r="B20" s="1" t="s">
        <v>37</v>
      </c>
      <c r="C20" s="1">
        <v>3833.8809999999999</v>
      </c>
      <c r="D20" s="1">
        <v>4803.7969999999996</v>
      </c>
      <c r="E20" s="1">
        <v>3017.9839999999999</v>
      </c>
      <c r="F20" s="1">
        <v>5132.1329999999998</v>
      </c>
      <c r="G20" s="8">
        <v>1</v>
      </c>
      <c r="H20" s="1">
        <v>60</v>
      </c>
      <c r="I20" s="1" t="s">
        <v>38</v>
      </c>
      <c r="J20" s="1"/>
      <c r="K20" s="1">
        <v>3290.71</v>
      </c>
      <c r="L20" s="1">
        <f t="shared" si="4"/>
        <v>-272.72600000000011</v>
      </c>
      <c r="M20" s="1">
        <f t="shared" si="5"/>
        <v>2535.674</v>
      </c>
      <c r="N20" s="1">
        <v>482.31</v>
      </c>
      <c r="O20" s="1">
        <v>0</v>
      </c>
      <c r="P20" s="1">
        <v>307</v>
      </c>
      <c r="Q20" s="1">
        <v>0</v>
      </c>
      <c r="R20" s="1">
        <f>IFERROR(VLOOKUP(A20,[2]Sheet!$A:$D,4,0),0)</f>
        <v>275</v>
      </c>
      <c r="S20" s="1">
        <f t="shared" si="6"/>
        <v>507.13479999999998</v>
      </c>
      <c r="T20" s="5">
        <f t="shared" ref="T20:T24" si="17">11*S20-Q20-O20-F20</f>
        <v>446.34979999999996</v>
      </c>
      <c r="U20" s="5">
        <f t="shared" si="7"/>
        <v>446.34979999999996</v>
      </c>
      <c r="V20" s="5">
        <f>$V$1*S20</f>
        <v>1267.837</v>
      </c>
      <c r="W20" s="5">
        <f t="shared" si="8"/>
        <v>1714.1867999999999</v>
      </c>
      <c r="X20" s="5">
        <f t="shared" ref="X20:X22" si="18">$X$1*S20</f>
        <v>786.05894000000001</v>
      </c>
      <c r="Y20" s="5"/>
      <c r="Z20" s="1"/>
      <c r="AA20" s="1"/>
      <c r="AB20" s="1">
        <f t="shared" si="9"/>
        <v>13.499999999999998</v>
      </c>
      <c r="AC20" s="1">
        <f t="shared" si="10"/>
        <v>10.119859650727973</v>
      </c>
      <c r="AD20" s="1">
        <v>444.26359999999988</v>
      </c>
      <c r="AE20" s="1">
        <v>462.14479999999998</v>
      </c>
      <c r="AF20" s="1">
        <v>598.63080000000002</v>
      </c>
      <c r="AG20" s="1">
        <v>533.14740000000006</v>
      </c>
      <c r="AH20" s="1">
        <v>493.63819999999998</v>
      </c>
      <c r="AI20" s="1">
        <v>556.68439999999998</v>
      </c>
      <c r="AJ20" s="1">
        <v>507.28480000000002</v>
      </c>
      <c r="AK20" s="1">
        <v>484.88119999999998</v>
      </c>
      <c r="AL20" s="1" t="s">
        <v>49</v>
      </c>
      <c r="AM20" s="1">
        <f t="shared" si="11"/>
        <v>1714</v>
      </c>
      <c r="AN20" s="1">
        <f t="shared" si="12"/>
        <v>786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58</v>
      </c>
      <c r="B21" s="1" t="s">
        <v>37</v>
      </c>
      <c r="C21" s="1">
        <v>994.93200000000002</v>
      </c>
      <c r="D21" s="1">
        <v>704.56500000000005</v>
      </c>
      <c r="E21" s="1">
        <v>555.31399999999996</v>
      </c>
      <c r="F21" s="1">
        <v>976.202</v>
      </c>
      <c r="G21" s="8">
        <v>1</v>
      </c>
      <c r="H21" s="1">
        <v>60</v>
      </c>
      <c r="I21" s="1" t="s">
        <v>38</v>
      </c>
      <c r="J21" s="1"/>
      <c r="K21" s="1">
        <v>687.99</v>
      </c>
      <c r="L21" s="1">
        <f t="shared" si="4"/>
        <v>-132.67600000000004</v>
      </c>
      <c r="M21" s="1">
        <f t="shared" si="5"/>
        <v>407.49399999999997</v>
      </c>
      <c r="N21" s="1">
        <v>147.82</v>
      </c>
      <c r="O21" s="1">
        <v>0</v>
      </c>
      <c r="P21" s="1">
        <v>79</v>
      </c>
      <c r="Q21" s="1">
        <v>0</v>
      </c>
      <c r="R21" s="1">
        <f>IFERROR(VLOOKUP(A21,[2]Sheet!$A:$D,4,0),0)</f>
        <v>68</v>
      </c>
      <c r="S21" s="1">
        <f t="shared" si="6"/>
        <v>81.498799999999989</v>
      </c>
      <c r="T21" s="5"/>
      <c r="U21" s="5">
        <f t="shared" si="7"/>
        <v>0</v>
      </c>
      <c r="V21" s="5"/>
      <c r="W21" s="5">
        <f t="shared" si="8"/>
        <v>0</v>
      </c>
      <c r="X21" s="5">
        <f t="shared" si="18"/>
        <v>126.32313999999998</v>
      </c>
      <c r="Y21" s="5"/>
      <c r="Z21" s="1"/>
      <c r="AA21" s="1"/>
      <c r="AB21" s="1">
        <f t="shared" si="9"/>
        <v>11.97811501519041</v>
      </c>
      <c r="AC21" s="1">
        <f t="shared" si="10"/>
        <v>11.97811501519041</v>
      </c>
      <c r="AD21" s="1">
        <v>75.505799999999994</v>
      </c>
      <c r="AE21" s="1">
        <v>81.349599999999995</v>
      </c>
      <c r="AF21" s="1">
        <v>107.3248</v>
      </c>
      <c r="AG21" s="1">
        <v>103.1934</v>
      </c>
      <c r="AH21" s="1">
        <v>71.532799999999995</v>
      </c>
      <c r="AI21" s="1">
        <v>82.011799999999994</v>
      </c>
      <c r="AJ21" s="1">
        <v>89.286000000000016</v>
      </c>
      <c r="AK21" s="1">
        <v>88.266199999999998</v>
      </c>
      <c r="AL21" s="1"/>
      <c r="AM21" s="1">
        <f t="shared" si="11"/>
        <v>0</v>
      </c>
      <c r="AN21" s="1">
        <f t="shared" si="12"/>
        <v>126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59</v>
      </c>
      <c r="B22" s="1" t="s">
        <v>37</v>
      </c>
      <c r="C22" s="1">
        <v>863.83799999999997</v>
      </c>
      <c r="D22" s="1">
        <v>917.48299999999995</v>
      </c>
      <c r="E22" s="1">
        <v>650.70799999999997</v>
      </c>
      <c r="F22" s="1">
        <v>1026.287</v>
      </c>
      <c r="G22" s="8">
        <v>1</v>
      </c>
      <c r="H22" s="1">
        <v>60</v>
      </c>
      <c r="I22" s="1" t="s">
        <v>38</v>
      </c>
      <c r="J22" s="1"/>
      <c r="K22" s="1">
        <v>717.16499999999996</v>
      </c>
      <c r="L22" s="1">
        <f t="shared" si="4"/>
        <v>-66.456999999999994</v>
      </c>
      <c r="M22" s="1">
        <f t="shared" si="5"/>
        <v>619.005</v>
      </c>
      <c r="N22" s="1">
        <v>31.702999999999999</v>
      </c>
      <c r="O22" s="1">
        <v>102.5826</v>
      </c>
      <c r="P22" s="1">
        <v>70</v>
      </c>
      <c r="Q22" s="1">
        <v>69.047730000000001</v>
      </c>
      <c r="R22" s="1">
        <f>IFERROR(VLOOKUP(A22,[2]Sheet!$A:$D,4,0),0)</f>
        <v>55</v>
      </c>
      <c r="S22" s="1">
        <f t="shared" si="6"/>
        <v>123.801</v>
      </c>
      <c r="T22" s="5">
        <f t="shared" si="17"/>
        <v>163.89366999999993</v>
      </c>
      <c r="U22" s="5">
        <f t="shared" si="7"/>
        <v>163.89366999999993</v>
      </c>
      <c r="V22" s="5">
        <f>$V$1*S22</f>
        <v>309.5025</v>
      </c>
      <c r="W22" s="5">
        <f t="shared" si="8"/>
        <v>473.39616999999993</v>
      </c>
      <c r="X22" s="5">
        <f t="shared" si="18"/>
        <v>191.89155</v>
      </c>
      <c r="Y22" s="5"/>
      <c r="Z22" s="1"/>
      <c r="AA22" s="1"/>
      <c r="AB22" s="1">
        <f t="shared" si="9"/>
        <v>13.5</v>
      </c>
      <c r="AC22" s="1">
        <f t="shared" si="10"/>
        <v>9.6761522927924659</v>
      </c>
      <c r="AD22" s="1">
        <v>113.193</v>
      </c>
      <c r="AE22" s="1">
        <v>102.5826</v>
      </c>
      <c r="AF22" s="1">
        <v>127.6872</v>
      </c>
      <c r="AG22" s="1">
        <v>124.87260000000001</v>
      </c>
      <c r="AH22" s="1">
        <v>107.78579999999999</v>
      </c>
      <c r="AI22" s="1">
        <v>108.6494</v>
      </c>
      <c r="AJ22" s="1">
        <v>97.132800000000003</v>
      </c>
      <c r="AK22" s="1">
        <v>101.2252</v>
      </c>
      <c r="AL22" s="1"/>
      <c r="AM22" s="1">
        <f t="shared" si="11"/>
        <v>473</v>
      </c>
      <c r="AN22" s="1">
        <f t="shared" si="12"/>
        <v>192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60</v>
      </c>
      <c r="B23" s="1" t="s">
        <v>37</v>
      </c>
      <c r="C23" s="1">
        <v>30.504000000000001</v>
      </c>
      <c r="D23" s="1"/>
      <c r="E23" s="1">
        <v>4.9260000000000002</v>
      </c>
      <c r="F23" s="1">
        <v>25.577999999999999</v>
      </c>
      <c r="G23" s="8">
        <v>1</v>
      </c>
      <c r="H23" s="1">
        <v>180</v>
      </c>
      <c r="I23" s="1" t="s">
        <v>38</v>
      </c>
      <c r="J23" s="1"/>
      <c r="K23" s="1">
        <v>4.8099999999999996</v>
      </c>
      <c r="L23" s="1">
        <f t="shared" si="4"/>
        <v>0.11600000000000055</v>
      </c>
      <c r="M23" s="1">
        <f t="shared" si="5"/>
        <v>4.9260000000000002</v>
      </c>
      <c r="N23" s="1"/>
      <c r="O23" s="1">
        <v>0</v>
      </c>
      <c r="P23" s="1">
        <v>0</v>
      </c>
      <c r="Q23" s="1">
        <v>0</v>
      </c>
      <c r="R23" s="1">
        <f>IFERROR(VLOOKUP(A23,[2]Sheet!$A:$D,4,0),0)</f>
        <v>0</v>
      </c>
      <c r="S23" s="1">
        <f t="shared" si="6"/>
        <v>0.98520000000000008</v>
      </c>
      <c r="T23" s="5"/>
      <c r="U23" s="5">
        <f t="shared" si="7"/>
        <v>0</v>
      </c>
      <c r="V23" s="5"/>
      <c r="W23" s="5">
        <f t="shared" si="8"/>
        <v>0</v>
      </c>
      <c r="X23" s="5"/>
      <c r="Y23" s="5"/>
      <c r="Z23" s="1"/>
      <c r="AA23" s="1"/>
      <c r="AB23" s="1">
        <f t="shared" si="9"/>
        <v>25.962241169305724</v>
      </c>
      <c r="AC23" s="1">
        <f t="shared" si="10"/>
        <v>25.962241169305724</v>
      </c>
      <c r="AD23" s="1">
        <v>1.1292</v>
      </c>
      <c r="AE23" s="1">
        <v>0.56580000000000008</v>
      </c>
      <c r="AF23" s="1">
        <v>1.0658000000000001</v>
      </c>
      <c r="AG23" s="1">
        <v>0.92880000000000007</v>
      </c>
      <c r="AH23" s="1">
        <v>2.3759999999999999</v>
      </c>
      <c r="AI23" s="1">
        <v>2.4468000000000001</v>
      </c>
      <c r="AJ23" s="1">
        <v>0.501</v>
      </c>
      <c r="AK23" s="1">
        <v>0.57279999999999998</v>
      </c>
      <c r="AL23" s="21" t="s">
        <v>145</v>
      </c>
      <c r="AM23" s="1">
        <f t="shared" si="11"/>
        <v>0</v>
      </c>
      <c r="AN23" s="1">
        <f t="shared" si="12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61</v>
      </c>
      <c r="B24" s="1" t="s">
        <v>37</v>
      </c>
      <c r="C24" s="1">
        <v>1508.9190000000001</v>
      </c>
      <c r="D24" s="1">
        <v>2136.5940000000001</v>
      </c>
      <c r="E24" s="1">
        <v>1675.1120000000001</v>
      </c>
      <c r="F24" s="1">
        <v>1575.876</v>
      </c>
      <c r="G24" s="8">
        <v>1</v>
      </c>
      <c r="H24" s="1">
        <v>60</v>
      </c>
      <c r="I24" s="1" t="s">
        <v>38</v>
      </c>
      <c r="J24" s="1"/>
      <c r="K24" s="1">
        <v>1960.5740000000001</v>
      </c>
      <c r="L24" s="1">
        <f t="shared" si="4"/>
        <v>-285.46199999999999</v>
      </c>
      <c r="M24" s="1">
        <f t="shared" si="5"/>
        <v>1575.0360000000001</v>
      </c>
      <c r="N24" s="1">
        <v>100.07599999999999</v>
      </c>
      <c r="O24" s="1">
        <v>0</v>
      </c>
      <c r="P24" s="1">
        <v>103</v>
      </c>
      <c r="Q24" s="1">
        <v>747.56423800000107</v>
      </c>
      <c r="R24" s="1">
        <f>IFERROR(VLOOKUP(A24,[2]Sheet!$A:$D,4,0),0)</f>
        <v>100</v>
      </c>
      <c r="S24" s="1">
        <f t="shared" si="6"/>
        <v>315.00720000000001</v>
      </c>
      <c r="T24" s="5">
        <f t="shared" si="17"/>
        <v>1141.6389619999993</v>
      </c>
      <c r="U24" s="5">
        <f t="shared" si="7"/>
        <v>1141.6389619999993</v>
      </c>
      <c r="V24" s="5">
        <f>$V$1*S24</f>
        <v>787.51800000000003</v>
      </c>
      <c r="W24" s="5">
        <f t="shared" si="8"/>
        <v>1929.1569619999993</v>
      </c>
      <c r="X24" s="5">
        <f>$X$1*S24</f>
        <v>488.26116000000002</v>
      </c>
      <c r="Y24" s="5"/>
      <c r="Z24" s="1"/>
      <c r="AA24" s="1"/>
      <c r="AB24" s="1">
        <f t="shared" si="9"/>
        <v>13.5</v>
      </c>
      <c r="AC24" s="1">
        <f t="shared" si="10"/>
        <v>7.3758321651060701</v>
      </c>
      <c r="AD24" s="1">
        <v>251.37479999999999</v>
      </c>
      <c r="AE24" s="1">
        <v>179.57560000000001</v>
      </c>
      <c r="AF24" s="1">
        <v>251.23220000000001</v>
      </c>
      <c r="AG24" s="1">
        <v>230.3176</v>
      </c>
      <c r="AH24" s="1">
        <v>201.70679999999999</v>
      </c>
      <c r="AI24" s="1">
        <v>217.13900000000001</v>
      </c>
      <c r="AJ24" s="1">
        <v>209.31739999999999</v>
      </c>
      <c r="AK24" s="1">
        <v>211.536</v>
      </c>
      <c r="AL24" s="1" t="s">
        <v>49</v>
      </c>
      <c r="AM24" s="1">
        <f t="shared" si="11"/>
        <v>1929</v>
      </c>
      <c r="AN24" s="1">
        <f t="shared" si="12"/>
        <v>488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5" t="s">
        <v>62</v>
      </c>
      <c r="B25" s="15" t="s">
        <v>37</v>
      </c>
      <c r="C25" s="15"/>
      <c r="D25" s="15"/>
      <c r="E25" s="15"/>
      <c r="F25" s="15"/>
      <c r="G25" s="16">
        <v>0</v>
      </c>
      <c r="H25" s="15">
        <v>30</v>
      </c>
      <c r="I25" s="15" t="s">
        <v>38</v>
      </c>
      <c r="J25" s="15"/>
      <c r="K25" s="15"/>
      <c r="L25" s="15">
        <f t="shared" si="4"/>
        <v>0</v>
      </c>
      <c r="M25" s="15">
        <f t="shared" si="5"/>
        <v>0</v>
      </c>
      <c r="N25" s="15"/>
      <c r="O25" s="15">
        <v>0</v>
      </c>
      <c r="P25" s="15">
        <v>0</v>
      </c>
      <c r="Q25" s="15">
        <v>0</v>
      </c>
      <c r="R25" s="1">
        <f>IFERROR(VLOOKUP(A25,[2]Sheet!$A:$D,4,0),0)</f>
        <v>0</v>
      </c>
      <c r="S25" s="15">
        <f t="shared" si="6"/>
        <v>0</v>
      </c>
      <c r="T25" s="17"/>
      <c r="U25" s="5">
        <f t="shared" si="7"/>
        <v>0</v>
      </c>
      <c r="V25" s="17"/>
      <c r="W25" s="5">
        <f t="shared" si="8"/>
        <v>0</v>
      </c>
      <c r="X25" s="5"/>
      <c r="Y25" s="17"/>
      <c r="Z25" s="15"/>
      <c r="AA25" s="15"/>
      <c r="AB25" s="1" t="e">
        <f t="shared" si="9"/>
        <v>#DIV/0!</v>
      </c>
      <c r="AC25" s="15" t="e">
        <f t="shared" si="10"/>
        <v>#DIV/0!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54</v>
      </c>
      <c r="AM25" s="1">
        <f t="shared" si="11"/>
        <v>0</v>
      </c>
      <c r="AN25" s="1">
        <f t="shared" si="1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5" t="s">
        <v>63</v>
      </c>
      <c r="B26" s="15" t="s">
        <v>37</v>
      </c>
      <c r="C26" s="15"/>
      <c r="D26" s="15"/>
      <c r="E26" s="15"/>
      <c r="F26" s="15"/>
      <c r="G26" s="16">
        <v>0</v>
      </c>
      <c r="H26" s="15">
        <v>30</v>
      </c>
      <c r="I26" s="15" t="s">
        <v>38</v>
      </c>
      <c r="J26" s="15"/>
      <c r="K26" s="15"/>
      <c r="L26" s="15">
        <f t="shared" si="4"/>
        <v>0</v>
      </c>
      <c r="M26" s="15">
        <f t="shared" si="5"/>
        <v>0</v>
      </c>
      <c r="N26" s="15"/>
      <c r="O26" s="15">
        <v>0</v>
      </c>
      <c r="P26" s="15">
        <v>0</v>
      </c>
      <c r="Q26" s="15">
        <v>0</v>
      </c>
      <c r="R26" s="1">
        <f>IFERROR(VLOOKUP(A26,[2]Sheet!$A:$D,4,0),0)</f>
        <v>0</v>
      </c>
      <c r="S26" s="15">
        <f t="shared" si="6"/>
        <v>0</v>
      </c>
      <c r="T26" s="17"/>
      <c r="U26" s="5">
        <f t="shared" si="7"/>
        <v>0</v>
      </c>
      <c r="V26" s="17"/>
      <c r="W26" s="5">
        <f t="shared" si="8"/>
        <v>0</v>
      </c>
      <c r="X26" s="5"/>
      <c r="Y26" s="17"/>
      <c r="Z26" s="15"/>
      <c r="AA26" s="15"/>
      <c r="AB26" s="1" t="e">
        <f t="shared" si="9"/>
        <v>#DIV/0!</v>
      </c>
      <c r="AC26" s="15" t="e">
        <f t="shared" si="10"/>
        <v>#DIV/0!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54</v>
      </c>
      <c r="AM26" s="1">
        <f t="shared" si="11"/>
        <v>0</v>
      </c>
      <c r="AN26" s="1">
        <f t="shared" si="12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64</v>
      </c>
      <c r="B27" s="1" t="s">
        <v>37</v>
      </c>
      <c r="C27" s="1">
        <v>704.471</v>
      </c>
      <c r="D27" s="1">
        <v>968.87599999999998</v>
      </c>
      <c r="E27" s="1">
        <v>1100.096</v>
      </c>
      <c r="F27" s="1">
        <v>243.69900000000001</v>
      </c>
      <c r="G27" s="8">
        <v>1</v>
      </c>
      <c r="H27" s="1">
        <v>30</v>
      </c>
      <c r="I27" s="1" t="s">
        <v>38</v>
      </c>
      <c r="J27" s="1"/>
      <c r="K27" s="1">
        <v>1351.646</v>
      </c>
      <c r="L27" s="1">
        <f t="shared" si="4"/>
        <v>-251.54999999999995</v>
      </c>
      <c r="M27" s="1">
        <f t="shared" si="5"/>
        <v>1021.352</v>
      </c>
      <c r="N27" s="1">
        <v>78.744</v>
      </c>
      <c r="O27" s="1">
        <v>147.04860000000019</v>
      </c>
      <c r="P27" s="1">
        <v>114</v>
      </c>
      <c r="Q27" s="1">
        <v>811.75639999999964</v>
      </c>
      <c r="R27" s="1">
        <f>IFERROR(VLOOKUP(A27,[2]Sheet!$A:$D,4,0),0)</f>
        <v>88</v>
      </c>
      <c r="S27" s="1">
        <f t="shared" si="6"/>
        <v>204.2704</v>
      </c>
      <c r="T27" s="5">
        <f>10*S27-Q27-O27-F27</f>
        <v>840.20000000000027</v>
      </c>
      <c r="U27" s="5">
        <f t="shared" si="7"/>
        <v>840.20000000000027</v>
      </c>
      <c r="V27" s="5"/>
      <c r="W27" s="5">
        <f t="shared" si="8"/>
        <v>840.20000000000027</v>
      </c>
      <c r="X27" s="5"/>
      <c r="Y27" s="5"/>
      <c r="Z27" s="1"/>
      <c r="AA27" s="1"/>
      <c r="AB27" s="1">
        <f t="shared" si="9"/>
        <v>10.000000000000002</v>
      </c>
      <c r="AC27" s="1">
        <f t="shared" si="10"/>
        <v>5.8868245227894</v>
      </c>
      <c r="AD27" s="1">
        <v>155.9264</v>
      </c>
      <c r="AE27" s="1">
        <v>116.1802</v>
      </c>
      <c r="AF27" s="1">
        <v>143.58860000000001</v>
      </c>
      <c r="AG27" s="1">
        <v>147.16900000000001</v>
      </c>
      <c r="AH27" s="1">
        <v>145.21</v>
      </c>
      <c r="AI27" s="1">
        <v>137.3604</v>
      </c>
      <c r="AJ27" s="1">
        <v>156.0812</v>
      </c>
      <c r="AK27" s="1">
        <v>138.68039999999999</v>
      </c>
      <c r="AL27" s="1" t="s">
        <v>49</v>
      </c>
      <c r="AM27" s="1">
        <f t="shared" si="11"/>
        <v>840</v>
      </c>
      <c r="AN27" s="1">
        <f t="shared" si="12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4"/>
        <v>0</v>
      </c>
      <c r="M28" s="15">
        <f t="shared" si="5"/>
        <v>0</v>
      </c>
      <c r="N28" s="15"/>
      <c r="O28" s="15">
        <v>0</v>
      </c>
      <c r="P28" s="15">
        <v>0</v>
      </c>
      <c r="Q28" s="15">
        <v>0</v>
      </c>
      <c r="R28" s="1">
        <f>IFERROR(VLOOKUP(A28,[2]Sheet!$A:$D,4,0),0)</f>
        <v>0</v>
      </c>
      <c r="S28" s="15">
        <f t="shared" si="6"/>
        <v>0</v>
      </c>
      <c r="T28" s="17"/>
      <c r="U28" s="5">
        <f t="shared" si="7"/>
        <v>0</v>
      </c>
      <c r="V28" s="17"/>
      <c r="W28" s="5">
        <f t="shared" si="8"/>
        <v>0</v>
      </c>
      <c r="X28" s="5"/>
      <c r="Y28" s="17"/>
      <c r="Z28" s="15"/>
      <c r="AA28" s="15"/>
      <c r="AB28" s="1" t="e">
        <f t="shared" si="9"/>
        <v>#DIV/0!</v>
      </c>
      <c r="AC28" s="15" t="e">
        <f t="shared" si="10"/>
        <v>#DIV/0!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54</v>
      </c>
      <c r="AM28" s="1">
        <f t="shared" si="11"/>
        <v>0</v>
      </c>
      <c r="AN28" s="1">
        <f t="shared" si="12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5" t="s">
        <v>66</v>
      </c>
      <c r="B29" s="15" t="s">
        <v>37</v>
      </c>
      <c r="C29" s="15"/>
      <c r="D29" s="15"/>
      <c r="E29" s="15"/>
      <c r="F29" s="15"/>
      <c r="G29" s="16">
        <v>0</v>
      </c>
      <c r="H29" s="15">
        <v>40</v>
      </c>
      <c r="I29" s="15" t="s">
        <v>38</v>
      </c>
      <c r="J29" s="15"/>
      <c r="K29" s="15"/>
      <c r="L29" s="15">
        <f t="shared" si="4"/>
        <v>0</v>
      </c>
      <c r="M29" s="15">
        <f t="shared" si="5"/>
        <v>0</v>
      </c>
      <c r="N29" s="15"/>
      <c r="O29" s="15">
        <v>0</v>
      </c>
      <c r="P29" s="15">
        <v>0</v>
      </c>
      <c r="Q29" s="15">
        <v>0</v>
      </c>
      <c r="R29" s="1">
        <f>IFERROR(VLOOKUP(A29,[2]Sheet!$A:$D,4,0),0)</f>
        <v>0</v>
      </c>
      <c r="S29" s="15">
        <f t="shared" si="6"/>
        <v>0</v>
      </c>
      <c r="T29" s="17"/>
      <c r="U29" s="5">
        <f t="shared" si="7"/>
        <v>0</v>
      </c>
      <c r="V29" s="17"/>
      <c r="W29" s="5">
        <f t="shared" si="8"/>
        <v>0</v>
      </c>
      <c r="X29" s="5"/>
      <c r="Y29" s="17"/>
      <c r="Z29" s="15"/>
      <c r="AA29" s="15"/>
      <c r="AB29" s="1" t="e">
        <f t="shared" si="9"/>
        <v>#DIV/0!</v>
      </c>
      <c r="AC29" s="15" t="e">
        <f t="shared" si="10"/>
        <v>#DIV/0!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54</v>
      </c>
      <c r="AM29" s="1">
        <f t="shared" si="11"/>
        <v>0</v>
      </c>
      <c r="AN29" s="1">
        <f t="shared" si="12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5" t="s">
        <v>67</v>
      </c>
      <c r="B30" s="15" t="s">
        <v>37</v>
      </c>
      <c r="C30" s="15"/>
      <c r="D30" s="15"/>
      <c r="E30" s="15"/>
      <c r="F30" s="15"/>
      <c r="G30" s="16">
        <v>0</v>
      </c>
      <c r="H30" s="15">
        <v>30</v>
      </c>
      <c r="I30" s="15" t="s">
        <v>38</v>
      </c>
      <c r="J30" s="15"/>
      <c r="K30" s="15"/>
      <c r="L30" s="15">
        <f t="shared" si="4"/>
        <v>0</v>
      </c>
      <c r="M30" s="15">
        <f t="shared" si="5"/>
        <v>0</v>
      </c>
      <c r="N30" s="15"/>
      <c r="O30" s="15">
        <v>0</v>
      </c>
      <c r="P30" s="15">
        <v>0</v>
      </c>
      <c r="Q30" s="15">
        <v>0</v>
      </c>
      <c r="R30" s="1">
        <f>IFERROR(VLOOKUP(A30,[2]Sheet!$A:$D,4,0),0)</f>
        <v>0</v>
      </c>
      <c r="S30" s="15">
        <f t="shared" si="6"/>
        <v>0</v>
      </c>
      <c r="T30" s="17"/>
      <c r="U30" s="5">
        <f t="shared" si="7"/>
        <v>0</v>
      </c>
      <c r="V30" s="17"/>
      <c r="W30" s="5">
        <f t="shared" si="8"/>
        <v>0</v>
      </c>
      <c r="X30" s="5"/>
      <c r="Y30" s="17"/>
      <c r="Z30" s="15"/>
      <c r="AA30" s="15"/>
      <c r="AB30" s="1" t="e">
        <f t="shared" si="9"/>
        <v>#DIV/0!</v>
      </c>
      <c r="AC30" s="15" t="e">
        <f t="shared" si="10"/>
        <v>#DIV/0!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54</v>
      </c>
      <c r="AM30" s="1">
        <f t="shared" si="11"/>
        <v>0</v>
      </c>
      <c r="AN30" s="1">
        <f t="shared" si="12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5" t="s">
        <v>68</v>
      </c>
      <c r="B31" s="15" t="s">
        <v>37</v>
      </c>
      <c r="C31" s="15"/>
      <c r="D31" s="15"/>
      <c r="E31" s="15"/>
      <c r="F31" s="15"/>
      <c r="G31" s="16">
        <v>0</v>
      </c>
      <c r="H31" s="15">
        <v>50</v>
      </c>
      <c r="I31" s="15" t="s">
        <v>38</v>
      </c>
      <c r="J31" s="15"/>
      <c r="K31" s="15"/>
      <c r="L31" s="15">
        <f t="shared" si="4"/>
        <v>0</v>
      </c>
      <c r="M31" s="15">
        <f t="shared" si="5"/>
        <v>0</v>
      </c>
      <c r="N31" s="15"/>
      <c r="O31" s="15">
        <v>0</v>
      </c>
      <c r="P31" s="15">
        <v>0</v>
      </c>
      <c r="Q31" s="15">
        <v>0</v>
      </c>
      <c r="R31" s="1">
        <f>IFERROR(VLOOKUP(A31,[2]Sheet!$A:$D,4,0),0)</f>
        <v>0</v>
      </c>
      <c r="S31" s="15">
        <f t="shared" si="6"/>
        <v>0</v>
      </c>
      <c r="T31" s="17"/>
      <c r="U31" s="5">
        <f t="shared" si="7"/>
        <v>0</v>
      </c>
      <c r="V31" s="17"/>
      <c r="W31" s="5">
        <f t="shared" si="8"/>
        <v>0</v>
      </c>
      <c r="X31" s="5"/>
      <c r="Y31" s="17"/>
      <c r="Z31" s="15"/>
      <c r="AA31" s="15"/>
      <c r="AB31" s="1" t="e">
        <f t="shared" si="9"/>
        <v>#DIV/0!</v>
      </c>
      <c r="AC31" s="15" t="e">
        <f t="shared" si="10"/>
        <v>#DIV/0!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54</v>
      </c>
      <c r="AM31" s="1">
        <f t="shared" si="11"/>
        <v>0</v>
      </c>
      <c r="AN31" s="1">
        <f t="shared" si="12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69</v>
      </c>
      <c r="B32" s="1" t="s">
        <v>37</v>
      </c>
      <c r="C32" s="1">
        <v>25.952999999999999</v>
      </c>
      <c r="D32" s="1">
        <v>0.89</v>
      </c>
      <c r="E32" s="1">
        <v>8.0229999999999997</v>
      </c>
      <c r="F32" s="1">
        <v>17.045999999999999</v>
      </c>
      <c r="G32" s="8">
        <v>1</v>
      </c>
      <c r="H32" s="1">
        <v>50</v>
      </c>
      <c r="I32" s="1" t="s">
        <v>38</v>
      </c>
      <c r="J32" s="1"/>
      <c r="K32" s="1">
        <v>8.6</v>
      </c>
      <c r="L32" s="1">
        <f t="shared" si="4"/>
        <v>-0.57699999999999996</v>
      </c>
      <c r="M32" s="1">
        <f t="shared" si="5"/>
        <v>8.0229999999999997</v>
      </c>
      <c r="N32" s="1"/>
      <c r="O32" s="1">
        <v>0</v>
      </c>
      <c r="P32" s="1">
        <v>0</v>
      </c>
      <c r="Q32" s="1">
        <v>0</v>
      </c>
      <c r="R32" s="1">
        <f>IFERROR(VLOOKUP(A32,[2]Sheet!$A:$D,4,0),0)</f>
        <v>0</v>
      </c>
      <c r="S32" s="1">
        <f t="shared" si="6"/>
        <v>1.6046</v>
      </c>
      <c r="T32" s="5"/>
      <c r="U32" s="5">
        <f t="shared" si="7"/>
        <v>0</v>
      </c>
      <c r="V32" s="5"/>
      <c r="W32" s="5">
        <f t="shared" si="8"/>
        <v>0</v>
      </c>
      <c r="X32" s="5"/>
      <c r="Y32" s="5"/>
      <c r="Z32" s="1"/>
      <c r="AA32" s="1"/>
      <c r="AB32" s="1">
        <f t="shared" si="9"/>
        <v>10.623208276205908</v>
      </c>
      <c r="AC32" s="1">
        <f t="shared" si="10"/>
        <v>10.623208276205908</v>
      </c>
      <c r="AD32" s="1">
        <v>0.71699999999999997</v>
      </c>
      <c r="AE32" s="1">
        <v>0.53520000000000001</v>
      </c>
      <c r="AF32" s="1">
        <v>1.073</v>
      </c>
      <c r="AG32" s="1">
        <v>1.974</v>
      </c>
      <c r="AH32" s="1">
        <v>1.6204000000000001</v>
      </c>
      <c r="AI32" s="1">
        <v>1.2534000000000001</v>
      </c>
      <c r="AJ32" s="1">
        <v>1.5980000000000001</v>
      </c>
      <c r="AK32" s="1">
        <v>1.0651999999999999</v>
      </c>
      <c r="AL32" s="21" t="s">
        <v>146</v>
      </c>
      <c r="AM32" s="1">
        <f t="shared" si="11"/>
        <v>0</v>
      </c>
      <c r="AN32" s="1">
        <f t="shared" si="12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70</v>
      </c>
      <c r="B33" s="1" t="s">
        <v>42</v>
      </c>
      <c r="C33" s="1">
        <v>1330</v>
      </c>
      <c r="D33" s="1">
        <v>2708</v>
      </c>
      <c r="E33" s="1">
        <v>1631</v>
      </c>
      <c r="F33" s="1">
        <v>1916</v>
      </c>
      <c r="G33" s="8">
        <v>0.4</v>
      </c>
      <c r="H33" s="1">
        <v>45</v>
      </c>
      <c r="I33" s="1" t="s">
        <v>38</v>
      </c>
      <c r="J33" s="1"/>
      <c r="K33" s="1">
        <v>2080</v>
      </c>
      <c r="L33" s="1">
        <f t="shared" si="4"/>
        <v>-449</v>
      </c>
      <c r="M33" s="1">
        <f t="shared" si="5"/>
        <v>1193</v>
      </c>
      <c r="N33" s="1">
        <v>438</v>
      </c>
      <c r="O33" s="1">
        <v>480</v>
      </c>
      <c r="P33" s="1">
        <v>247</v>
      </c>
      <c r="Q33" s="1">
        <v>0</v>
      </c>
      <c r="R33" s="1">
        <f>IFERROR(VLOOKUP(A33,[2]Sheet!$A:$D,4,0),0)</f>
        <v>205</v>
      </c>
      <c r="S33" s="1">
        <f t="shared" si="6"/>
        <v>238.6</v>
      </c>
      <c r="T33" s="5"/>
      <c r="U33" s="5">
        <f t="shared" si="7"/>
        <v>0</v>
      </c>
      <c r="V33" s="5"/>
      <c r="W33" s="5">
        <f t="shared" si="8"/>
        <v>0</v>
      </c>
      <c r="X33" s="5"/>
      <c r="Y33" s="5"/>
      <c r="Z33" s="1"/>
      <c r="AA33" s="1"/>
      <c r="AB33" s="1">
        <f t="shared" si="9"/>
        <v>10.041911148365465</v>
      </c>
      <c r="AC33" s="1">
        <f t="shared" si="10"/>
        <v>10.041911148365465</v>
      </c>
      <c r="AD33" s="1">
        <v>223.8</v>
      </c>
      <c r="AE33" s="1">
        <v>240</v>
      </c>
      <c r="AF33" s="1">
        <v>250.8</v>
      </c>
      <c r="AG33" s="1">
        <v>231.8</v>
      </c>
      <c r="AH33" s="1">
        <v>246.8</v>
      </c>
      <c r="AI33" s="1">
        <v>260.8</v>
      </c>
      <c r="AJ33" s="1">
        <v>219.2</v>
      </c>
      <c r="AK33" s="1">
        <v>195.2</v>
      </c>
      <c r="AL33" s="1" t="s">
        <v>71</v>
      </c>
      <c r="AM33" s="1">
        <f t="shared" si="11"/>
        <v>0</v>
      </c>
      <c r="AN33" s="1">
        <f t="shared" si="12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72</v>
      </c>
      <c r="B34" s="1" t="s">
        <v>42</v>
      </c>
      <c r="C34" s="1">
        <v>728</v>
      </c>
      <c r="D34" s="1">
        <v>57</v>
      </c>
      <c r="E34" s="1">
        <v>303</v>
      </c>
      <c r="F34" s="1">
        <v>425</v>
      </c>
      <c r="G34" s="8">
        <v>0.45</v>
      </c>
      <c r="H34" s="1">
        <v>50</v>
      </c>
      <c r="I34" s="1" t="s">
        <v>38</v>
      </c>
      <c r="J34" s="1"/>
      <c r="K34" s="1">
        <v>359</v>
      </c>
      <c r="L34" s="1">
        <f t="shared" si="4"/>
        <v>-56</v>
      </c>
      <c r="M34" s="1">
        <f t="shared" si="5"/>
        <v>253</v>
      </c>
      <c r="N34" s="1">
        <v>50</v>
      </c>
      <c r="O34" s="1">
        <v>0</v>
      </c>
      <c r="P34" s="1">
        <v>0</v>
      </c>
      <c r="Q34" s="1">
        <v>52.599999999999909</v>
      </c>
      <c r="R34" s="1">
        <f>IFERROR(VLOOKUP(A34,[2]Sheet!$A:$D,4,0),0)</f>
        <v>0</v>
      </c>
      <c r="S34" s="1">
        <f t="shared" si="6"/>
        <v>50.6</v>
      </c>
      <c r="T34" s="5">
        <f t="shared" ref="T34:T47" si="19">11*S34-Q34-O34-F34</f>
        <v>79.000000000000114</v>
      </c>
      <c r="U34" s="5">
        <f t="shared" si="7"/>
        <v>79.000000000000114</v>
      </c>
      <c r="V34" s="5">
        <f>$V$1*S34</f>
        <v>126.5</v>
      </c>
      <c r="W34" s="5">
        <f t="shared" si="8"/>
        <v>205.50000000000011</v>
      </c>
      <c r="X34" s="5">
        <f>$X$1*S34</f>
        <v>78.430000000000007</v>
      </c>
      <c r="Y34" s="5"/>
      <c r="Z34" s="1"/>
      <c r="AA34" s="1"/>
      <c r="AB34" s="1">
        <f t="shared" si="9"/>
        <v>13.5</v>
      </c>
      <c r="AC34" s="1">
        <f t="shared" si="10"/>
        <v>9.4387351778656114</v>
      </c>
      <c r="AD34" s="1">
        <v>53.8</v>
      </c>
      <c r="AE34" s="1">
        <v>52</v>
      </c>
      <c r="AF34" s="1">
        <v>53.4</v>
      </c>
      <c r="AG34" s="1">
        <v>52</v>
      </c>
      <c r="AH34" s="1">
        <v>86</v>
      </c>
      <c r="AI34" s="1">
        <v>132.4</v>
      </c>
      <c r="AJ34" s="1">
        <v>154.6</v>
      </c>
      <c r="AK34" s="1">
        <v>196.6</v>
      </c>
      <c r="AL34" s="1" t="s">
        <v>43</v>
      </c>
      <c r="AM34" s="1">
        <f t="shared" si="11"/>
        <v>92</v>
      </c>
      <c r="AN34" s="1">
        <f t="shared" si="12"/>
        <v>35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73</v>
      </c>
      <c r="B35" s="1" t="s">
        <v>42</v>
      </c>
      <c r="C35" s="1">
        <v>2018</v>
      </c>
      <c r="D35" s="1">
        <v>1727</v>
      </c>
      <c r="E35" s="1">
        <v>1287</v>
      </c>
      <c r="F35" s="1">
        <v>2012</v>
      </c>
      <c r="G35" s="8">
        <v>0.4</v>
      </c>
      <c r="H35" s="1">
        <v>45</v>
      </c>
      <c r="I35" s="1" t="s">
        <v>38</v>
      </c>
      <c r="J35" s="1"/>
      <c r="K35" s="1">
        <v>1658</v>
      </c>
      <c r="L35" s="1">
        <f t="shared" si="4"/>
        <v>-371</v>
      </c>
      <c r="M35" s="1">
        <f t="shared" si="5"/>
        <v>1287</v>
      </c>
      <c r="N35" s="1"/>
      <c r="O35" s="1">
        <v>752.40000000000009</v>
      </c>
      <c r="P35" s="1">
        <v>202</v>
      </c>
      <c r="Q35" s="1">
        <v>0</v>
      </c>
      <c r="R35" s="1">
        <f>IFERROR(VLOOKUP(A35,[2]Sheet!$A:$D,4,0),0)</f>
        <v>180</v>
      </c>
      <c r="S35" s="1">
        <f t="shared" si="6"/>
        <v>257.39999999999998</v>
      </c>
      <c r="T35" s="5"/>
      <c r="U35" s="5">
        <f t="shared" si="7"/>
        <v>0</v>
      </c>
      <c r="V35" s="5"/>
      <c r="W35" s="5">
        <f t="shared" si="8"/>
        <v>0</v>
      </c>
      <c r="X35" s="5"/>
      <c r="Y35" s="5"/>
      <c r="Z35" s="1"/>
      <c r="AA35" s="1"/>
      <c r="AB35" s="1">
        <f t="shared" si="9"/>
        <v>10.739704739704742</v>
      </c>
      <c r="AC35" s="1">
        <f t="shared" si="10"/>
        <v>10.739704739704742</v>
      </c>
      <c r="AD35" s="1">
        <v>270</v>
      </c>
      <c r="AE35" s="1">
        <v>250.8</v>
      </c>
      <c r="AF35" s="1">
        <v>238.8</v>
      </c>
      <c r="AG35" s="1">
        <v>264.2</v>
      </c>
      <c r="AH35" s="1">
        <v>235.8</v>
      </c>
      <c r="AI35" s="1">
        <v>260.8</v>
      </c>
      <c r="AJ35" s="1">
        <v>218.2</v>
      </c>
      <c r="AK35" s="1">
        <v>259.60000000000002</v>
      </c>
      <c r="AL35" s="1"/>
      <c r="AM35" s="1">
        <f t="shared" si="11"/>
        <v>0</v>
      </c>
      <c r="AN35" s="1">
        <f t="shared" si="12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74</v>
      </c>
      <c r="B36" s="1" t="s">
        <v>42</v>
      </c>
      <c r="C36" s="1">
        <v>60</v>
      </c>
      <c r="D36" s="1">
        <v>174</v>
      </c>
      <c r="E36" s="1">
        <v>63</v>
      </c>
      <c r="F36" s="1">
        <v>146</v>
      </c>
      <c r="G36" s="8">
        <v>0.4</v>
      </c>
      <c r="H36" s="1">
        <v>40</v>
      </c>
      <c r="I36" s="1" t="s">
        <v>38</v>
      </c>
      <c r="J36" s="1"/>
      <c r="K36" s="1">
        <v>128</v>
      </c>
      <c r="L36" s="1">
        <f t="shared" si="4"/>
        <v>-65</v>
      </c>
      <c r="M36" s="1">
        <f t="shared" si="5"/>
        <v>63</v>
      </c>
      <c r="N36" s="1"/>
      <c r="O36" s="1">
        <v>0</v>
      </c>
      <c r="P36" s="1">
        <v>0</v>
      </c>
      <c r="Q36" s="1">
        <v>50</v>
      </c>
      <c r="R36" s="1">
        <f>IFERROR(VLOOKUP(A36,[2]Sheet!$A:$D,4,0),0)</f>
        <v>0</v>
      </c>
      <c r="S36" s="1">
        <f t="shared" si="6"/>
        <v>12.6</v>
      </c>
      <c r="T36" s="5"/>
      <c r="U36" s="5">
        <f t="shared" si="7"/>
        <v>0</v>
      </c>
      <c r="V36" s="5"/>
      <c r="W36" s="5">
        <f t="shared" si="8"/>
        <v>0</v>
      </c>
      <c r="X36" s="5"/>
      <c r="Y36" s="5"/>
      <c r="Z36" s="1"/>
      <c r="AA36" s="1"/>
      <c r="AB36" s="1">
        <f t="shared" si="9"/>
        <v>15.555555555555555</v>
      </c>
      <c r="AC36" s="1">
        <f t="shared" si="10"/>
        <v>15.555555555555555</v>
      </c>
      <c r="AD36" s="1">
        <v>10.4</v>
      </c>
      <c r="AE36" s="1">
        <v>17</v>
      </c>
      <c r="AF36" s="1">
        <v>20.6</v>
      </c>
      <c r="AG36" s="1">
        <v>12.6</v>
      </c>
      <c r="AH36" s="1">
        <v>15.4</v>
      </c>
      <c r="AI36" s="1">
        <v>19</v>
      </c>
      <c r="AJ36" s="1">
        <v>9.1999999999999993</v>
      </c>
      <c r="AK36" s="1">
        <v>0</v>
      </c>
      <c r="AL36" s="1" t="s">
        <v>75</v>
      </c>
      <c r="AM36" s="1">
        <f t="shared" si="11"/>
        <v>0</v>
      </c>
      <c r="AN36" s="1">
        <f t="shared" si="12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76</v>
      </c>
      <c r="B37" s="1" t="s">
        <v>37</v>
      </c>
      <c r="C37" s="1">
        <v>275.00099999999998</v>
      </c>
      <c r="D37" s="1">
        <v>794.42200000000003</v>
      </c>
      <c r="E37" s="1">
        <v>290.51299999999998</v>
      </c>
      <c r="F37" s="1">
        <v>562.74</v>
      </c>
      <c r="G37" s="8">
        <v>1</v>
      </c>
      <c r="H37" s="1">
        <v>45</v>
      </c>
      <c r="I37" s="1" t="s">
        <v>38</v>
      </c>
      <c r="J37" s="1"/>
      <c r="K37" s="1">
        <v>381.31799999999998</v>
      </c>
      <c r="L37" s="1">
        <f t="shared" si="4"/>
        <v>-90.805000000000007</v>
      </c>
      <c r="M37" s="1">
        <f t="shared" si="5"/>
        <v>290.51299999999998</v>
      </c>
      <c r="N37" s="1"/>
      <c r="O37" s="1">
        <v>510.52217999999999</v>
      </c>
      <c r="P37" s="1">
        <v>0</v>
      </c>
      <c r="Q37" s="1">
        <v>0</v>
      </c>
      <c r="R37" s="1">
        <f>IFERROR(VLOOKUP(A37,[2]Sheet!$A:$D,4,0),0)</f>
        <v>0</v>
      </c>
      <c r="S37" s="1">
        <f t="shared" si="6"/>
        <v>58.102599999999995</v>
      </c>
      <c r="T37" s="5"/>
      <c r="U37" s="5">
        <f t="shared" si="7"/>
        <v>0</v>
      </c>
      <c r="V37" s="5"/>
      <c r="W37" s="5">
        <f t="shared" si="8"/>
        <v>0</v>
      </c>
      <c r="X37" s="5"/>
      <c r="Y37" s="5"/>
      <c r="Z37" s="1"/>
      <c r="AA37" s="1"/>
      <c r="AB37" s="1">
        <f t="shared" si="9"/>
        <v>18.471844289240067</v>
      </c>
      <c r="AC37" s="1">
        <f t="shared" si="10"/>
        <v>18.471844289240067</v>
      </c>
      <c r="AD37" s="1">
        <v>74.066200000000009</v>
      </c>
      <c r="AE37" s="1">
        <v>96.037400000000005</v>
      </c>
      <c r="AF37" s="1">
        <v>76.811599999999999</v>
      </c>
      <c r="AG37" s="1">
        <v>61.268600000000013</v>
      </c>
      <c r="AH37" s="1">
        <v>76.885999999999996</v>
      </c>
      <c r="AI37" s="1">
        <v>77.734999999999999</v>
      </c>
      <c r="AJ37" s="1">
        <v>41.408200000000001</v>
      </c>
      <c r="AK37" s="1">
        <v>57.390799999999999</v>
      </c>
      <c r="AL37" s="1"/>
      <c r="AM37" s="1">
        <f t="shared" si="11"/>
        <v>0</v>
      </c>
      <c r="AN37" s="1">
        <f t="shared" si="12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77</v>
      </c>
      <c r="B38" s="1" t="s">
        <v>42</v>
      </c>
      <c r="C38" s="1">
        <v>172</v>
      </c>
      <c r="D38" s="1">
        <v>80</v>
      </c>
      <c r="E38" s="1">
        <v>161</v>
      </c>
      <c r="F38" s="1">
        <v>91</v>
      </c>
      <c r="G38" s="8">
        <v>0.1</v>
      </c>
      <c r="H38" s="1">
        <v>730</v>
      </c>
      <c r="I38" s="1" t="s">
        <v>38</v>
      </c>
      <c r="J38" s="1"/>
      <c r="K38" s="1">
        <v>166</v>
      </c>
      <c r="L38" s="1">
        <f t="shared" ref="L38:L69" si="20">E38-K38</f>
        <v>-5</v>
      </c>
      <c r="M38" s="1">
        <f t="shared" si="5"/>
        <v>161</v>
      </c>
      <c r="N38" s="1"/>
      <c r="O38" s="1">
        <v>95.20000000000006</v>
      </c>
      <c r="P38" s="1">
        <v>0</v>
      </c>
      <c r="Q38" s="1">
        <v>164.8000000000001</v>
      </c>
      <c r="R38" s="1">
        <f>IFERROR(VLOOKUP(A38,[2]Sheet!$A:$D,4,0),0)</f>
        <v>0</v>
      </c>
      <c r="S38" s="1">
        <f t="shared" si="6"/>
        <v>32.200000000000003</v>
      </c>
      <c r="T38" s="5"/>
      <c r="U38" s="5">
        <f t="shared" si="7"/>
        <v>0</v>
      </c>
      <c r="V38" s="5">
        <f>$V$1*S38</f>
        <v>80.5</v>
      </c>
      <c r="W38" s="5">
        <f t="shared" si="8"/>
        <v>80.5</v>
      </c>
      <c r="X38" s="5">
        <f>$X$1*S38</f>
        <v>49.910000000000004</v>
      </c>
      <c r="Y38" s="5"/>
      <c r="Z38" s="1"/>
      <c r="AA38" s="1"/>
      <c r="AB38" s="1">
        <f t="shared" si="9"/>
        <v>13.400621118012424</v>
      </c>
      <c r="AC38" s="1">
        <f t="shared" si="10"/>
        <v>10.900621118012426</v>
      </c>
      <c r="AD38" s="1">
        <v>34.6</v>
      </c>
      <c r="AE38" s="1">
        <v>28.2</v>
      </c>
      <c r="AF38" s="1">
        <v>27.6</v>
      </c>
      <c r="AG38" s="1">
        <v>28.6</v>
      </c>
      <c r="AH38" s="1">
        <v>31.2</v>
      </c>
      <c r="AI38" s="1">
        <v>31.8</v>
      </c>
      <c r="AJ38" s="1">
        <v>28.6</v>
      </c>
      <c r="AK38" s="1">
        <v>32.6</v>
      </c>
      <c r="AL38" s="1"/>
      <c r="AM38" s="1">
        <f t="shared" si="11"/>
        <v>8</v>
      </c>
      <c r="AN38" s="1">
        <f t="shared" si="12"/>
        <v>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78</v>
      </c>
      <c r="B39" s="1" t="s">
        <v>42</v>
      </c>
      <c r="C39" s="1">
        <v>156</v>
      </c>
      <c r="D39" s="1">
        <v>486</v>
      </c>
      <c r="E39" s="1">
        <v>178</v>
      </c>
      <c r="F39" s="1">
        <v>274</v>
      </c>
      <c r="G39" s="8">
        <v>0.35</v>
      </c>
      <c r="H39" s="1">
        <v>40</v>
      </c>
      <c r="I39" s="1" t="s">
        <v>38</v>
      </c>
      <c r="J39" s="1"/>
      <c r="K39" s="1">
        <v>317</v>
      </c>
      <c r="L39" s="1">
        <f t="shared" si="20"/>
        <v>-139</v>
      </c>
      <c r="M39" s="1">
        <f t="shared" si="5"/>
        <v>172</v>
      </c>
      <c r="N39" s="1">
        <v>6</v>
      </c>
      <c r="O39" s="1">
        <v>167.4000000000002</v>
      </c>
      <c r="P39" s="1">
        <v>0</v>
      </c>
      <c r="Q39" s="1">
        <v>116.8</v>
      </c>
      <c r="R39" s="1">
        <f>IFERROR(VLOOKUP(A39,[2]Sheet!$A:$D,4,0),0)</f>
        <v>0</v>
      </c>
      <c r="S39" s="1">
        <f t="shared" si="6"/>
        <v>34.4</v>
      </c>
      <c r="T39" s="5"/>
      <c r="U39" s="5">
        <f t="shared" si="7"/>
        <v>0</v>
      </c>
      <c r="V39" s="5"/>
      <c r="W39" s="5">
        <f t="shared" si="8"/>
        <v>0</v>
      </c>
      <c r="X39" s="5"/>
      <c r="Y39" s="5"/>
      <c r="Z39" s="1"/>
      <c r="AA39" s="1"/>
      <c r="AB39" s="1">
        <f t="shared" si="9"/>
        <v>16.226744186046517</v>
      </c>
      <c r="AC39" s="1">
        <f t="shared" si="10"/>
        <v>16.226744186046517</v>
      </c>
      <c r="AD39" s="1">
        <v>51</v>
      </c>
      <c r="AE39" s="1">
        <v>48.6</v>
      </c>
      <c r="AF39" s="1">
        <v>46.8</v>
      </c>
      <c r="AG39" s="1">
        <v>36.200000000000003</v>
      </c>
      <c r="AH39" s="1">
        <v>37.200000000000003</v>
      </c>
      <c r="AI39" s="1">
        <v>39</v>
      </c>
      <c r="AJ39" s="1">
        <v>33</v>
      </c>
      <c r="AK39" s="1">
        <v>35.211599999999997</v>
      </c>
      <c r="AL39" s="1"/>
      <c r="AM39" s="1">
        <f t="shared" si="11"/>
        <v>0</v>
      </c>
      <c r="AN39" s="1">
        <f t="shared" si="12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79</v>
      </c>
      <c r="B40" s="1" t="s">
        <v>37</v>
      </c>
      <c r="C40" s="1">
        <v>53.741999999999997</v>
      </c>
      <c r="D40" s="1">
        <v>31.893000000000001</v>
      </c>
      <c r="E40" s="1">
        <v>54.183999999999997</v>
      </c>
      <c r="F40" s="1">
        <v>29.256</v>
      </c>
      <c r="G40" s="8">
        <v>1</v>
      </c>
      <c r="H40" s="1">
        <v>40</v>
      </c>
      <c r="I40" s="1" t="s">
        <v>38</v>
      </c>
      <c r="J40" s="1"/>
      <c r="K40" s="1">
        <v>55.7</v>
      </c>
      <c r="L40" s="1">
        <f t="shared" si="20"/>
        <v>-1.5160000000000053</v>
      </c>
      <c r="M40" s="1">
        <f t="shared" si="5"/>
        <v>54.183999999999997</v>
      </c>
      <c r="N40" s="1"/>
      <c r="O40" s="1">
        <v>0</v>
      </c>
      <c r="P40" s="1">
        <v>0</v>
      </c>
      <c r="Q40" s="1">
        <v>17.15100000000001</v>
      </c>
      <c r="R40" s="1">
        <f>IFERROR(VLOOKUP(A40,[2]Sheet!$A:$D,4,0),0)</f>
        <v>0</v>
      </c>
      <c r="S40" s="1">
        <f t="shared" si="6"/>
        <v>10.8368</v>
      </c>
      <c r="T40" s="5">
        <f>10*S40-Q40-O40-F40</f>
        <v>61.960999999999984</v>
      </c>
      <c r="U40" s="5">
        <f t="shared" si="7"/>
        <v>61.960999999999984</v>
      </c>
      <c r="V40" s="5"/>
      <c r="W40" s="5">
        <f t="shared" si="8"/>
        <v>61.960999999999984</v>
      </c>
      <c r="X40" s="5"/>
      <c r="Y40" s="5"/>
      <c r="Z40" s="1"/>
      <c r="AA40" s="1"/>
      <c r="AB40" s="1">
        <f t="shared" si="9"/>
        <v>10</v>
      </c>
      <c r="AC40" s="1">
        <f t="shared" si="10"/>
        <v>4.282352724051381</v>
      </c>
      <c r="AD40" s="1">
        <v>6.8138000000000014</v>
      </c>
      <c r="AE40" s="1">
        <v>6.9438000000000004</v>
      </c>
      <c r="AF40" s="1">
        <v>7.7876000000000003</v>
      </c>
      <c r="AG40" s="1">
        <v>7.6316000000000006</v>
      </c>
      <c r="AH40" s="1">
        <v>6.4818000000000016</v>
      </c>
      <c r="AI40" s="1">
        <v>8.1997999999999998</v>
      </c>
      <c r="AJ40" s="1">
        <v>8.4890000000000008</v>
      </c>
      <c r="AK40" s="1">
        <v>5.4808000000000003</v>
      </c>
      <c r="AL40" s="1"/>
      <c r="AM40" s="1">
        <f t="shared" si="11"/>
        <v>62</v>
      </c>
      <c r="AN40" s="1">
        <f t="shared" si="12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80</v>
      </c>
      <c r="B41" s="1" t="s">
        <v>42</v>
      </c>
      <c r="C41" s="1">
        <v>244</v>
      </c>
      <c r="D41" s="1">
        <v>526</v>
      </c>
      <c r="E41" s="1">
        <v>343</v>
      </c>
      <c r="F41" s="1">
        <v>159</v>
      </c>
      <c r="G41" s="8">
        <v>0.4</v>
      </c>
      <c r="H41" s="1">
        <v>40</v>
      </c>
      <c r="I41" s="1" t="s">
        <v>38</v>
      </c>
      <c r="J41" s="1"/>
      <c r="K41" s="1">
        <v>487</v>
      </c>
      <c r="L41" s="1">
        <f t="shared" si="20"/>
        <v>-144</v>
      </c>
      <c r="M41" s="1">
        <f t="shared" si="5"/>
        <v>211</v>
      </c>
      <c r="N41" s="1">
        <v>132</v>
      </c>
      <c r="O41" s="1">
        <v>0</v>
      </c>
      <c r="P41" s="1">
        <v>124</v>
      </c>
      <c r="Q41" s="1">
        <v>274.00000000000023</v>
      </c>
      <c r="R41" s="1">
        <f>IFERROR(VLOOKUP(A41,[2]Sheet!$A:$D,4,0),0)</f>
        <v>91</v>
      </c>
      <c r="S41" s="1">
        <f t="shared" si="6"/>
        <v>42.2</v>
      </c>
      <c r="T41" s="5"/>
      <c r="U41" s="5">
        <f t="shared" si="7"/>
        <v>0</v>
      </c>
      <c r="V41" s="5"/>
      <c r="W41" s="5">
        <f t="shared" si="8"/>
        <v>0</v>
      </c>
      <c r="X41" s="5"/>
      <c r="Y41" s="5"/>
      <c r="Z41" s="1"/>
      <c r="AA41" s="1"/>
      <c r="AB41" s="1">
        <f t="shared" si="9"/>
        <v>10.26066350710901</v>
      </c>
      <c r="AC41" s="1">
        <f t="shared" si="10"/>
        <v>10.26066350710901</v>
      </c>
      <c r="AD41" s="1">
        <v>42.4</v>
      </c>
      <c r="AE41" s="1">
        <v>28</v>
      </c>
      <c r="AF41" s="1">
        <v>36.4</v>
      </c>
      <c r="AG41" s="1">
        <v>34.6</v>
      </c>
      <c r="AH41" s="1">
        <v>28.4</v>
      </c>
      <c r="AI41" s="1">
        <v>31.8</v>
      </c>
      <c r="AJ41" s="1">
        <v>35.200000000000003</v>
      </c>
      <c r="AK41" s="1">
        <v>30</v>
      </c>
      <c r="AL41" s="1"/>
      <c r="AM41" s="1">
        <f t="shared" si="11"/>
        <v>0</v>
      </c>
      <c r="AN41" s="1">
        <f t="shared" si="12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81</v>
      </c>
      <c r="B42" s="1" t="s">
        <v>42</v>
      </c>
      <c r="C42" s="1">
        <v>958</v>
      </c>
      <c r="D42" s="1">
        <v>750</v>
      </c>
      <c r="E42" s="1">
        <v>498</v>
      </c>
      <c r="F42" s="1">
        <v>605</v>
      </c>
      <c r="G42" s="8">
        <v>0.4</v>
      </c>
      <c r="H42" s="1">
        <v>45</v>
      </c>
      <c r="I42" s="1" t="s">
        <v>38</v>
      </c>
      <c r="J42" s="1"/>
      <c r="K42" s="1">
        <v>638</v>
      </c>
      <c r="L42" s="1">
        <f t="shared" si="20"/>
        <v>-140</v>
      </c>
      <c r="M42" s="1">
        <f t="shared" si="5"/>
        <v>360</v>
      </c>
      <c r="N42" s="1">
        <v>138</v>
      </c>
      <c r="O42" s="1">
        <v>145.6</v>
      </c>
      <c r="P42" s="1">
        <v>138</v>
      </c>
      <c r="Q42" s="1">
        <v>0</v>
      </c>
      <c r="R42" s="1">
        <f>IFERROR(VLOOKUP(A42,[2]Sheet!$A:$D,4,0),0)</f>
        <v>91</v>
      </c>
      <c r="S42" s="1">
        <f t="shared" si="6"/>
        <v>72</v>
      </c>
      <c r="T42" s="5"/>
      <c r="U42" s="5">
        <f t="shared" si="7"/>
        <v>0</v>
      </c>
      <c r="V42" s="5"/>
      <c r="W42" s="5">
        <f t="shared" si="8"/>
        <v>0</v>
      </c>
      <c r="X42" s="5"/>
      <c r="Y42" s="5"/>
      <c r="Z42" s="1"/>
      <c r="AA42" s="1"/>
      <c r="AB42" s="1">
        <f t="shared" si="9"/>
        <v>10.425000000000001</v>
      </c>
      <c r="AC42" s="1">
        <f t="shared" si="10"/>
        <v>10.425000000000001</v>
      </c>
      <c r="AD42" s="1">
        <v>66</v>
      </c>
      <c r="AE42" s="1">
        <v>72.8</v>
      </c>
      <c r="AF42" s="1">
        <v>72.599999999999994</v>
      </c>
      <c r="AG42" s="1">
        <v>97.8</v>
      </c>
      <c r="AH42" s="1">
        <v>65.8</v>
      </c>
      <c r="AI42" s="1">
        <v>84.6</v>
      </c>
      <c r="AJ42" s="1">
        <v>83.4</v>
      </c>
      <c r="AK42" s="1">
        <v>83.6</v>
      </c>
      <c r="AL42" s="1" t="s">
        <v>43</v>
      </c>
      <c r="AM42" s="1">
        <f t="shared" si="11"/>
        <v>0</v>
      </c>
      <c r="AN42" s="1">
        <f t="shared" si="12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82</v>
      </c>
      <c r="B43" s="1" t="s">
        <v>37</v>
      </c>
      <c r="C43" s="1">
        <v>102.646</v>
      </c>
      <c r="D43" s="1">
        <v>28.311</v>
      </c>
      <c r="E43" s="1">
        <v>102.834</v>
      </c>
      <c r="F43" s="1">
        <v>-2.351</v>
      </c>
      <c r="G43" s="8">
        <v>1</v>
      </c>
      <c r="H43" s="1">
        <v>40</v>
      </c>
      <c r="I43" s="1" t="s">
        <v>38</v>
      </c>
      <c r="J43" s="1"/>
      <c r="K43" s="1">
        <v>132.28399999999999</v>
      </c>
      <c r="L43" s="1">
        <f t="shared" si="20"/>
        <v>-29.449999999999989</v>
      </c>
      <c r="M43" s="1">
        <f t="shared" si="5"/>
        <v>91.95</v>
      </c>
      <c r="N43" s="1">
        <v>10.884</v>
      </c>
      <c r="O43" s="1">
        <v>37.502799999999993</v>
      </c>
      <c r="P43" s="1">
        <v>0</v>
      </c>
      <c r="Q43" s="1">
        <v>139.60839999999999</v>
      </c>
      <c r="R43" s="1">
        <f>IFERROR(VLOOKUP(A43,[2]Sheet!$A:$D,4,0),0)</f>
        <v>0</v>
      </c>
      <c r="S43" s="1">
        <f t="shared" si="6"/>
        <v>18.39</v>
      </c>
      <c r="T43" s="5">
        <f t="shared" si="19"/>
        <v>27.529800000000037</v>
      </c>
      <c r="U43" s="5">
        <f t="shared" si="7"/>
        <v>27.529800000000037</v>
      </c>
      <c r="V43" s="5"/>
      <c r="W43" s="5">
        <f t="shared" si="8"/>
        <v>27.529800000000037</v>
      </c>
      <c r="X43" s="5"/>
      <c r="Y43" s="5"/>
      <c r="Z43" s="1"/>
      <c r="AA43" s="1"/>
      <c r="AB43" s="1">
        <f t="shared" si="9"/>
        <v>11</v>
      </c>
      <c r="AC43" s="1">
        <f t="shared" si="10"/>
        <v>9.5030016313213697</v>
      </c>
      <c r="AD43" s="1">
        <v>23.522400000000001</v>
      </c>
      <c r="AE43" s="1">
        <v>12.7408</v>
      </c>
      <c r="AF43" s="1">
        <v>11.8408</v>
      </c>
      <c r="AG43" s="1">
        <v>19.4712</v>
      </c>
      <c r="AH43" s="1">
        <v>18.616</v>
      </c>
      <c r="AI43" s="1">
        <v>17.1266</v>
      </c>
      <c r="AJ43" s="1">
        <v>18.4694</v>
      </c>
      <c r="AK43" s="1">
        <v>16.678000000000001</v>
      </c>
      <c r="AL43" s="1"/>
      <c r="AM43" s="1">
        <f t="shared" si="11"/>
        <v>28</v>
      </c>
      <c r="AN43" s="1">
        <f t="shared" si="12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83</v>
      </c>
      <c r="B44" s="1" t="s">
        <v>42</v>
      </c>
      <c r="C44" s="1">
        <v>677</v>
      </c>
      <c r="D44" s="1">
        <v>806</v>
      </c>
      <c r="E44" s="1">
        <v>604</v>
      </c>
      <c r="F44" s="1">
        <v>578</v>
      </c>
      <c r="G44" s="8">
        <v>0.35</v>
      </c>
      <c r="H44" s="1">
        <v>40</v>
      </c>
      <c r="I44" s="1" t="s">
        <v>38</v>
      </c>
      <c r="J44" s="1"/>
      <c r="K44" s="1">
        <v>630</v>
      </c>
      <c r="L44" s="1">
        <f t="shared" si="20"/>
        <v>-26</v>
      </c>
      <c r="M44" s="1">
        <f t="shared" si="5"/>
        <v>586</v>
      </c>
      <c r="N44" s="1">
        <v>18</v>
      </c>
      <c r="O44" s="1">
        <v>0</v>
      </c>
      <c r="P44" s="1">
        <v>0</v>
      </c>
      <c r="Q44" s="1">
        <v>350</v>
      </c>
      <c r="R44" s="1">
        <f>IFERROR(VLOOKUP(A44,[2]Sheet!$A:$D,4,0),0)</f>
        <v>0</v>
      </c>
      <c r="S44" s="1">
        <f t="shared" si="6"/>
        <v>117.2</v>
      </c>
      <c r="T44" s="5">
        <f t="shared" si="19"/>
        <v>361.20000000000005</v>
      </c>
      <c r="U44" s="5">
        <f t="shared" si="7"/>
        <v>361.20000000000005</v>
      </c>
      <c r="V44" s="5"/>
      <c r="W44" s="5">
        <f t="shared" si="8"/>
        <v>361.20000000000005</v>
      </c>
      <c r="X44" s="5"/>
      <c r="Y44" s="5"/>
      <c r="Z44" s="1"/>
      <c r="AA44" s="1"/>
      <c r="AB44" s="1">
        <f t="shared" si="9"/>
        <v>11</v>
      </c>
      <c r="AC44" s="1">
        <f t="shared" si="10"/>
        <v>7.9180887372013649</v>
      </c>
      <c r="AD44" s="1">
        <v>97.4</v>
      </c>
      <c r="AE44" s="1">
        <v>102.6</v>
      </c>
      <c r="AF44" s="1">
        <v>122</v>
      </c>
      <c r="AG44" s="1">
        <v>112.2</v>
      </c>
      <c r="AH44" s="1">
        <v>101.6</v>
      </c>
      <c r="AI44" s="1">
        <v>104.2</v>
      </c>
      <c r="AJ44" s="1">
        <v>94</v>
      </c>
      <c r="AK44" s="1">
        <v>97</v>
      </c>
      <c r="AL44" s="1" t="s">
        <v>49</v>
      </c>
      <c r="AM44" s="1">
        <f t="shared" si="11"/>
        <v>126</v>
      </c>
      <c r="AN44" s="1">
        <f t="shared" si="12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84</v>
      </c>
      <c r="B45" s="1" t="s">
        <v>42</v>
      </c>
      <c r="C45" s="1">
        <v>484</v>
      </c>
      <c r="D45" s="1">
        <v>298</v>
      </c>
      <c r="E45" s="1">
        <v>473</v>
      </c>
      <c r="F45" s="1">
        <v>238</v>
      </c>
      <c r="G45" s="8">
        <v>0.4</v>
      </c>
      <c r="H45" s="1">
        <v>40</v>
      </c>
      <c r="I45" s="1" t="s">
        <v>38</v>
      </c>
      <c r="J45" s="1"/>
      <c r="K45" s="1">
        <v>526</v>
      </c>
      <c r="L45" s="1">
        <f t="shared" si="20"/>
        <v>-53</v>
      </c>
      <c r="M45" s="1">
        <f t="shared" si="5"/>
        <v>431</v>
      </c>
      <c r="N45" s="1">
        <v>42</v>
      </c>
      <c r="O45" s="1">
        <v>63.2</v>
      </c>
      <c r="P45" s="1">
        <v>0</v>
      </c>
      <c r="Q45" s="1">
        <v>508.60000000000008</v>
      </c>
      <c r="R45" s="1">
        <f>IFERROR(VLOOKUP(A45,[2]Sheet!$A:$D,4,0),0)</f>
        <v>0</v>
      </c>
      <c r="S45" s="1">
        <f t="shared" si="6"/>
        <v>86.2</v>
      </c>
      <c r="T45" s="5">
        <f>10*S45-Q45-O45-F45</f>
        <v>52.199999999999932</v>
      </c>
      <c r="U45" s="5">
        <f t="shared" si="7"/>
        <v>52.199999999999932</v>
      </c>
      <c r="V45" s="5"/>
      <c r="W45" s="5">
        <f t="shared" si="8"/>
        <v>52.199999999999932</v>
      </c>
      <c r="X45" s="5"/>
      <c r="Y45" s="5"/>
      <c r="Z45" s="1"/>
      <c r="AA45" s="1"/>
      <c r="AB45" s="1">
        <f t="shared" si="9"/>
        <v>10</v>
      </c>
      <c r="AC45" s="1">
        <f t="shared" si="10"/>
        <v>9.3944315545243633</v>
      </c>
      <c r="AD45" s="1">
        <v>82.2</v>
      </c>
      <c r="AE45" s="1">
        <v>63.2</v>
      </c>
      <c r="AF45" s="1">
        <v>63.8</v>
      </c>
      <c r="AG45" s="1">
        <v>59.6</v>
      </c>
      <c r="AH45" s="1">
        <v>71.8</v>
      </c>
      <c r="AI45" s="1">
        <v>79.400000000000006</v>
      </c>
      <c r="AJ45" s="1">
        <v>71.8</v>
      </c>
      <c r="AK45" s="1">
        <v>63.2</v>
      </c>
      <c r="AL45" s="1" t="s">
        <v>43</v>
      </c>
      <c r="AM45" s="1">
        <f t="shared" si="11"/>
        <v>21</v>
      </c>
      <c r="AN45" s="1">
        <f t="shared" si="12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85</v>
      </c>
      <c r="B46" s="1" t="s">
        <v>37</v>
      </c>
      <c r="C46" s="1">
        <v>99.686000000000007</v>
      </c>
      <c r="D46" s="1">
        <v>130.44</v>
      </c>
      <c r="E46" s="1">
        <v>148.12700000000001</v>
      </c>
      <c r="F46" s="1">
        <v>14.762</v>
      </c>
      <c r="G46" s="8">
        <v>1</v>
      </c>
      <c r="H46" s="1">
        <v>50</v>
      </c>
      <c r="I46" s="1" t="s">
        <v>38</v>
      </c>
      <c r="J46" s="1"/>
      <c r="K46" s="1">
        <v>226.93899999999999</v>
      </c>
      <c r="L46" s="1">
        <f t="shared" si="20"/>
        <v>-78.811999999999983</v>
      </c>
      <c r="M46" s="1">
        <f t="shared" si="5"/>
        <v>105.078</v>
      </c>
      <c r="N46" s="1">
        <v>43.048999999999999</v>
      </c>
      <c r="O46" s="1">
        <v>0</v>
      </c>
      <c r="P46" s="1">
        <v>0</v>
      </c>
      <c r="Q46" s="1">
        <v>95.40160000000003</v>
      </c>
      <c r="R46" s="1">
        <f>IFERROR(VLOOKUP(A46,[2]Sheet!$A:$D,4,0),0)</f>
        <v>0</v>
      </c>
      <c r="S46" s="1">
        <f t="shared" si="6"/>
        <v>21.015599999999999</v>
      </c>
      <c r="T46" s="5">
        <f t="shared" si="19"/>
        <v>121.00799999999995</v>
      </c>
      <c r="U46" s="5">
        <f t="shared" si="7"/>
        <v>121.00799999999995</v>
      </c>
      <c r="V46" s="5"/>
      <c r="W46" s="5">
        <f t="shared" si="8"/>
        <v>121.00799999999995</v>
      </c>
      <c r="X46" s="5"/>
      <c r="Y46" s="5"/>
      <c r="Z46" s="1"/>
      <c r="AA46" s="1"/>
      <c r="AB46" s="1">
        <f t="shared" si="9"/>
        <v>11</v>
      </c>
      <c r="AC46" s="1">
        <f t="shared" si="10"/>
        <v>5.241991663335809</v>
      </c>
      <c r="AD46" s="1">
        <v>17.166</v>
      </c>
      <c r="AE46" s="1">
        <v>13.372400000000001</v>
      </c>
      <c r="AF46" s="1">
        <v>16.836600000000001</v>
      </c>
      <c r="AG46" s="1">
        <v>15.747999999999999</v>
      </c>
      <c r="AH46" s="1">
        <v>14.630800000000001</v>
      </c>
      <c r="AI46" s="1">
        <v>17.389399999999998</v>
      </c>
      <c r="AJ46" s="1">
        <v>14.558400000000001</v>
      </c>
      <c r="AK46" s="1">
        <v>12.037000000000001</v>
      </c>
      <c r="AL46" s="1"/>
      <c r="AM46" s="1">
        <f t="shared" si="11"/>
        <v>121</v>
      </c>
      <c r="AN46" s="1">
        <f t="shared" si="12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86</v>
      </c>
      <c r="B47" s="1" t="s">
        <v>37</v>
      </c>
      <c r="C47" s="1">
        <v>624.90899999999999</v>
      </c>
      <c r="D47" s="1">
        <v>1738.8789999999999</v>
      </c>
      <c r="E47" s="1">
        <v>1210.4829999999999</v>
      </c>
      <c r="F47" s="1">
        <v>669.69799999999998</v>
      </c>
      <c r="G47" s="8">
        <v>1</v>
      </c>
      <c r="H47" s="1">
        <v>50</v>
      </c>
      <c r="I47" s="1" t="s">
        <v>38</v>
      </c>
      <c r="J47" s="1"/>
      <c r="K47" s="1">
        <v>1833.7809999999999</v>
      </c>
      <c r="L47" s="1">
        <f t="shared" si="20"/>
        <v>-623.298</v>
      </c>
      <c r="M47" s="1">
        <f t="shared" si="5"/>
        <v>498.18099999999993</v>
      </c>
      <c r="N47" s="1">
        <v>712.30200000000002</v>
      </c>
      <c r="O47" s="1">
        <v>0</v>
      </c>
      <c r="P47" s="1">
        <v>0</v>
      </c>
      <c r="Q47" s="1">
        <v>0</v>
      </c>
      <c r="R47" s="1">
        <f>IFERROR(VLOOKUP(A47,[2]Sheet!$A:$D,4,0),0)</f>
        <v>0</v>
      </c>
      <c r="S47" s="1">
        <f t="shared" si="6"/>
        <v>99.636199999999988</v>
      </c>
      <c r="T47" s="5">
        <f t="shared" si="19"/>
        <v>426.30019999999979</v>
      </c>
      <c r="U47" s="5">
        <f t="shared" si="7"/>
        <v>426.30019999999979</v>
      </c>
      <c r="V47" s="5">
        <f>$V$1*S47</f>
        <v>249.09049999999996</v>
      </c>
      <c r="W47" s="5">
        <f t="shared" si="8"/>
        <v>675.3906999999997</v>
      </c>
      <c r="X47" s="5">
        <f>$X$1*S47</f>
        <v>154.43610999999999</v>
      </c>
      <c r="Y47" s="5"/>
      <c r="Z47" s="1"/>
      <c r="AA47" s="1"/>
      <c r="AB47" s="1">
        <f t="shared" si="9"/>
        <v>13.5</v>
      </c>
      <c r="AC47" s="1">
        <f t="shared" si="10"/>
        <v>6.7214325716958303</v>
      </c>
      <c r="AD47" s="1">
        <v>44.864999999999988</v>
      </c>
      <c r="AE47" s="1">
        <v>26.1844</v>
      </c>
      <c r="AF47" s="1">
        <v>110.61839999999999</v>
      </c>
      <c r="AG47" s="1">
        <v>105.82640000000001</v>
      </c>
      <c r="AH47" s="1">
        <v>53.627800000000001</v>
      </c>
      <c r="AI47" s="1">
        <v>76.497199999999992</v>
      </c>
      <c r="AJ47" s="1">
        <v>104.42659999999999</v>
      </c>
      <c r="AK47" s="1">
        <v>57.78779999999999</v>
      </c>
      <c r="AL47" s="1"/>
      <c r="AM47" s="1">
        <f t="shared" si="11"/>
        <v>675</v>
      </c>
      <c r="AN47" s="1">
        <f t="shared" si="12"/>
        <v>154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5" t="s">
        <v>87</v>
      </c>
      <c r="B48" s="15" t="s">
        <v>37</v>
      </c>
      <c r="C48" s="15"/>
      <c r="D48" s="15"/>
      <c r="E48" s="15"/>
      <c r="F48" s="15"/>
      <c r="G48" s="16">
        <v>0</v>
      </c>
      <c r="H48" s="15">
        <v>40</v>
      </c>
      <c r="I48" s="15" t="s">
        <v>38</v>
      </c>
      <c r="J48" s="15"/>
      <c r="K48" s="15"/>
      <c r="L48" s="15">
        <f t="shared" si="20"/>
        <v>0</v>
      </c>
      <c r="M48" s="15">
        <f t="shared" si="5"/>
        <v>0</v>
      </c>
      <c r="N48" s="15"/>
      <c r="O48" s="15">
        <v>0</v>
      </c>
      <c r="P48" s="15">
        <v>0</v>
      </c>
      <c r="Q48" s="15">
        <v>0</v>
      </c>
      <c r="R48" s="1">
        <f>IFERROR(VLOOKUP(A48,[2]Sheet!$A:$D,4,0),0)</f>
        <v>0</v>
      </c>
      <c r="S48" s="15">
        <f t="shared" si="6"/>
        <v>0</v>
      </c>
      <c r="T48" s="17"/>
      <c r="U48" s="5">
        <f t="shared" si="7"/>
        <v>0</v>
      </c>
      <c r="V48" s="17"/>
      <c r="W48" s="5">
        <f t="shared" si="8"/>
        <v>0</v>
      </c>
      <c r="X48" s="5"/>
      <c r="Y48" s="17"/>
      <c r="Z48" s="15"/>
      <c r="AA48" s="15"/>
      <c r="AB48" s="1" t="e">
        <f t="shared" si="9"/>
        <v>#DIV/0!</v>
      </c>
      <c r="AC48" s="15" t="e">
        <f t="shared" si="10"/>
        <v>#DIV/0!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54</v>
      </c>
      <c r="AM48" s="1">
        <f t="shared" si="11"/>
        <v>0</v>
      </c>
      <c r="AN48" s="1">
        <f t="shared" si="12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88</v>
      </c>
      <c r="B49" s="1" t="s">
        <v>42</v>
      </c>
      <c r="C49" s="1">
        <v>188</v>
      </c>
      <c r="D49" s="1">
        <v>187</v>
      </c>
      <c r="E49" s="1">
        <v>197</v>
      </c>
      <c r="F49" s="1">
        <v>141</v>
      </c>
      <c r="G49" s="8">
        <v>0.45</v>
      </c>
      <c r="H49" s="1">
        <v>50</v>
      </c>
      <c r="I49" s="1" t="s">
        <v>38</v>
      </c>
      <c r="J49" s="1"/>
      <c r="K49" s="1">
        <v>233</v>
      </c>
      <c r="L49" s="1">
        <f t="shared" si="20"/>
        <v>-36</v>
      </c>
      <c r="M49" s="1">
        <f t="shared" si="5"/>
        <v>177</v>
      </c>
      <c r="N49" s="1">
        <v>20</v>
      </c>
      <c r="O49" s="1">
        <v>44.599999999999987</v>
      </c>
      <c r="P49" s="1">
        <v>0</v>
      </c>
      <c r="Q49" s="1">
        <v>300</v>
      </c>
      <c r="R49" s="1">
        <f>IFERROR(VLOOKUP(A49,[2]Sheet!$A:$D,4,0),0)</f>
        <v>0</v>
      </c>
      <c r="S49" s="1">
        <f t="shared" si="6"/>
        <v>35.4</v>
      </c>
      <c r="T49" s="5"/>
      <c r="U49" s="5">
        <f t="shared" si="7"/>
        <v>0</v>
      </c>
      <c r="V49" s="5"/>
      <c r="W49" s="5">
        <f t="shared" si="8"/>
        <v>0</v>
      </c>
      <c r="X49" s="5">
        <f>$X$1*S49</f>
        <v>54.87</v>
      </c>
      <c r="Y49" s="5"/>
      <c r="Z49" s="1"/>
      <c r="AA49" s="1"/>
      <c r="AB49" s="1">
        <f t="shared" si="9"/>
        <v>13.717514124293787</v>
      </c>
      <c r="AC49" s="1">
        <f t="shared" si="10"/>
        <v>13.717514124293787</v>
      </c>
      <c r="AD49" s="1">
        <v>32.799999999999997</v>
      </c>
      <c r="AE49" s="1">
        <v>31.4</v>
      </c>
      <c r="AF49" s="1">
        <v>35</v>
      </c>
      <c r="AG49" s="1">
        <v>33.4</v>
      </c>
      <c r="AH49" s="1">
        <v>29.8</v>
      </c>
      <c r="AI49" s="1">
        <v>33</v>
      </c>
      <c r="AJ49" s="1">
        <v>38.4</v>
      </c>
      <c r="AK49" s="1">
        <v>29</v>
      </c>
      <c r="AL49" s="1" t="s">
        <v>43</v>
      </c>
      <c r="AM49" s="1">
        <f t="shared" si="11"/>
        <v>0</v>
      </c>
      <c r="AN49" s="1">
        <f t="shared" si="12"/>
        <v>25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89</v>
      </c>
      <c r="B50" s="1" t="s">
        <v>42</v>
      </c>
      <c r="C50" s="1">
        <v>86</v>
      </c>
      <c r="D50" s="1">
        <v>43</v>
      </c>
      <c r="E50" s="1">
        <v>63</v>
      </c>
      <c r="F50" s="1">
        <v>60</v>
      </c>
      <c r="G50" s="8">
        <v>0.4</v>
      </c>
      <c r="H50" s="1">
        <v>40</v>
      </c>
      <c r="I50" s="1" t="s">
        <v>38</v>
      </c>
      <c r="J50" s="1"/>
      <c r="K50" s="1">
        <v>68</v>
      </c>
      <c r="L50" s="1">
        <f t="shared" si="20"/>
        <v>-5</v>
      </c>
      <c r="M50" s="1">
        <f t="shared" si="5"/>
        <v>63</v>
      </c>
      <c r="N50" s="1"/>
      <c r="O50" s="1">
        <v>0</v>
      </c>
      <c r="P50" s="1">
        <v>0</v>
      </c>
      <c r="Q50" s="1">
        <v>60.800000000000011</v>
      </c>
      <c r="R50" s="1">
        <f>IFERROR(VLOOKUP(A50,[2]Sheet!$A:$D,4,0),0)</f>
        <v>0</v>
      </c>
      <c r="S50" s="1">
        <f t="shared" si="6"/>
        <v>12.6</v>
      </c>
      <c r="T50" s="5">
        <f t="shared" ref="T50:T51" si="21">10*S50-Q50-O50-F50</f>
        <v>5.1999999999999886</v>
      </c>
      <c r="U50" s="5">
        <f t="shared" si="7"/>
        <v>5.1999999999999886</v>
      </c>
      <c r="V50" s="5"/>
      <c r="W50" s="5">
        <f t="shared" si="8"/>
        <v>5.1999999999999886</v>
      </c>
      <c r="X50" s="5"/>
      <c r="Y50" s="5"/>
      <c r="Z50" s="1"/>
      <c r="AA50" s="1"/>
      <c r="AB50" s="1">
        <f t="shared" si="9"/>
        <v>10</v>
      </c>
      <c r="AC50" s="1">
        <f t="shared" si="10"/>
        <v>9.5873015873015888</v>
      </c>
      <c r="AD50" s="1">
        <v>12.4</v>
      </c>
      <c r="AE50" s="1">
        <v>11</v>
      </c>
      <c r="AF50" s="1">
        <v>12.8</v>
      </c>
      <c r="AG50" s="1">
        <v>13</v>
      </c>
      <c r="AH50" s="1">
        <v>11.2</v>
      </c>
      <c r="AI50" s="1">
        <v>8.6</v>
      </c>
      <c r="AJ50" s="1">
        <v>8.1999999999999993</v>
      </c>
      <c r="AK50" s="1">
        <v>14.6</v>
      </c>
      <c r="AL50" s="1"/>
      <c r="AM50" s="1">
        <f t="shared" si="11"/>
        <v>2</v>
      </c>
      <c r="AN50" s="1">
        <f t="shared" si="12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90</v>
      </c>
      <c r="B51" s="1" t="s">
        <v>42</v>
      </c>
      <c r="C51" s="1">
        <v>105</v>
      </c>
      <c r="D51" s="1">
        <v>56</v>
      </c>
      <c r="E51" s="1">
        <v>85</v>
      </c>
      <c r="F51" s="1">
        <v>61</v>
      </c>
      <c r="G51" s="8">
        <v>0.4</v>
      </c>
      <c r="H51" s="1">
        <v>40</v>
      </c>
      <c r="I51" s="1" t="s">
        <v>38</v>
      </c>
      <c r="J51" s="1"/>
      <c r="K51" s="1">
        <v>89</v>
      </c>
      <c r="L51" s="1">
        <f t="shared" si="20"/>
        <v>-4</v>
      </c>
      <c r="M51" s="1">
        <f t="shared" si="5"/>
        <v>85</v>
      </c>
      <c r="N51" s="1"/>
      <c r="O51" s="1">
        <v>36.800000000000011</v>
      </c>
      <c r="P51" s="1">
        <v>0</v>
      </c>
      <c r="Q51" s="1">
        <v>65.999999999999972</v>
      </c>
      <c r="R51" s="1">
        <f>IFERROR(VLOOKUP(A51,[2]Sheet!$A:$D,4,0),0)</f>
        <v>0</v>
      </c>
      <c r="S51" s="1">
        <f t="shared" si="6"/>
        <v>17</v>
      </c>
      <c r="T51" s="5">
        <f t="shared" si="21"/>
        <v>6.2000000000000171</v>
      </c>
      <c r="U51" s="5">
        <f t="shared" si="7"/>
        <v>6.2000000000000171</v>
      </c>
      <c r="V51" s="5"/>
      <c r="W51" s="5">
        <f t="shared" si="8"/>
        <v>6.2000000000000171</v>
      </c>
      <c r="X51" s="5"/>
      <c r="Y51" s="5"/>
      <c r="Z51" s="1"/>
      <c r="AA51" s="1"/>
      <c r="AB51" s="1">
        <f t="shared" si="9"/>
        <v>10</v>
      </c>
      <c r="AC51" s="1">
        <f t="shared" si="10"/>
        <v>9.6352941176470583</v>
      </c>
      <c r="AD51" s="1">
        <v>16.399999999999999</v>
      </c>
      <c r="AE51" s="1">
        <v>16.8</v>
      </c>
      <c r="AF51" s="1">
        <v>19</v>
      </c>
      <c r="AG51" s="1">
        <v>19</v>
      </c>
      <c r="AH51" s="1">
        <v>23.8</v>
      </c>
      <c r="AI51" s="1">
        <v>20.399999999999999</v>
      </c>
      <c r="AJ51" s="1">
        <v>9.6</v>
      </c>
      <c r="AK51" s="1">
        <v>17.399999999999999</v>
      </c>
      <c r="AL51" s="1" t="s">
        <v>91</v>
      </c>
      <c r="AM51" s="1">
        <f t="shared" si="11"/>
        <v>2</v>
      </c>
      <c r="AN51" s="1">
        <f t="shared" si="12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92</v>
      </c>
      <c r="B52" s="1" t="s">
        <v>37</v>
      </c>
      <c r="C52" s="1">
        <v>-8.0960000000000001</v>
      </c>
      <c r="D52" s="1">
        <v>262.17700000000002</v>
      </c>
      <c r="E52" s="1">
        <v>118.938</v>
      </c>
      <c r="F52" s="1">
        <v>98.174999999999997</v>
      </c>
      <c r="G52" s="8">
        <v>1</v>
      </c>
      <c r="H52" s="1">
        <v>50</v>
      </c>
      <c r="I52" s="1" t="s">
        <v>38</v>
      </c>
      <c r="J52" s="1"/>
      <c r="K52" s="1">
        <v>153.03299999999999</v>
      </c>
      <c r="L52" s="1">
        <f t="shared" si="20"/>
        <v>-34.094999999999985</v>
      </c>
      <c r="M52" s="1">
        <f t="shared" si="5"/>
        <v>97.405000000000001</v>
      </c>
      <c r="N52" s="1">
        <v>21.533000000000001</v>
      </c>
      <c r="O52" s="1">
        <v>110.1322000000001</v>
      </c>
      <c r="P52" s="1">
        <v>0</v>
      </c>
      <c r="Q52" s="1">
        <v>0</v>
      </c>
      <c r="R52" s="1">
        <f>IFERROR(VLOOKUP(A52,[2]Sheet!$A:$D,4,0),0)</f>
        <v>0</v>
      </c>
      <c r="S52" s="1">
        <f t="shared" si="6"/>
        <v>19.481000000000002</v>
      </c>
      <c r="T52" s="5">
        <f t="shared" ref="T52:T64" si="22">11*S52-Q52-O52-F52</f>
        <v>5.9837999999999312</v>
      </c>
      <c r="U52" s="5">
        <f t="shared" si="7"/>
        <v>5.9837999999999312</v>
      </c>
      <c r="V52" s="5"/>
      <c r="W52" s="5">
        <f t="shared" si="8"/>
        <v>5.9837999999999312</v>
      </c>
      <c r="X52" s="5"/>
      <c r="Y52" s="5"/>
      <c r="Z52" s="1"/>
      <c r="AA52" s="1"/>
      <c r="AB52" s="1">
        <f t="shared" si="9"/>
        <v>10.999999999999998</v>
      </c>
      <c r="AC52" s="1">
        <f t="shared" si="10"/>
        <v>10.692839176633646</v>
      </c>
      <c r="AD52" s="1">
        <v>17.349799999999998</v>
      </c>
      <c r="AE52" s="1">
        <v>27.253599999999999</v>
      </c>
      <c r="AF52" s="1">
        <v>33.127000000000002</v>
      </c>
      <c r="AG52" s="1">
        <v>25.907599999999999</v>
      </c>
      <c r="AH52" s="1">
        <v>23.498799999999999</v>
      </c>
      <c r="AI52" s="1">
        <v>44.981200000000001</v>
      </c>
      <c r="AJ52" s="1">
        <v>31.518799999999999</v>
      </c>
      <c r="AK52" s="1">
        <v>16.065999999999999</v>
      </c>
      <c r="AL52" s="1"/>
      <c r="AM52" s="1">
        <f t="shared" si="11"/>
        <v>6</v>
      </c>
      <c r="AN52" s="1">
        <f t="shared" si="12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93</v>
      </c>
      <c r="B53" s="1" t="s">
        <v>42</v>
      </c>
      <c r="C53" s="1">
        <v>147</v>
      </c>
      <c r="D53" s="1"/>
      <c r="E53" s="1">
        <v>119</v>
      </c>
      <c r="F53" s="1">
        <v>28</v>
      </c>
      <c r="G53" s="8">
        <v>0.1</v>
      </c>
      <c r="H53" s="1">
        <v>730</v>
      </c>
      <c r="I53" s="1" t="s">
        <v>38</v>
      </c>
      <c r="J53" s="1"/>
      <c r="K53" s="1">
        <v>119</v>
      </c>
      <c r="L53" s="1">
        <f t="shared" si="20"/>
        <v>0</v>
      </c>
      <c r="M53" s="1">
        <f t="shared" si="5"/>
        <v>119</v>
      </c>
      <c r="N53" s="1"/>
      <c r="O53" s="1">
        <v>129</v>
      </c>
      <c r="P53" s="1">
        <v>0</v>
      </c>
      <c r="Q53" s="1">
        <v>76</v>
      </c>
      <c r="R53" s="1">
        <f>IFERROR(VLOOKUP(A53,[2]Sheet!$A:$D,4,0),0)</f>
        <v>0</v>
      </c>
      <c r="S53" s="1">
        <f t="shared" si="6"/>
        <v>23.8</v>
      </c>
      <c r="T53" s="5">
        <f t="shared" si="22"/>
        <v>28.800000000000011</v>
      </c>
      <c r="U53" s="5">
        <f t="shared" si="7"/>
        <v>28.800000000000011</v>
      </c>
      <c r="V53" s="5"/>
      <c r="W53" s="5">
        <f t="shared" si="8"/>
        <v>28.800000000000011</v>
      </c>
      <c r="X53" s="5"/>
      <c r="Y53" s="5"/>
      <c r="Z53" s="1"/>
      <c r="AA53" s="1"/>
      <c r="AB53" s="1">
        <f t="shared" si="9"/>
        <v>11</v>
      </c>
      <c r="AC53" s="1">
        <f t="shared" si="10"/>
        <v>9.7899159663865536</v>
      </c>
      <c r="AD53" s="1">
        <v>25</v>
      </c>
      <c r="AE53" s="1">
        <v>23</v>
      </c>
      <c r="AF53" s="1">
        <v>17.8</v>
      </c>
      <c r="AG53" s="1">
        <v>19.399999999999999</v>
      </c>
      <c r="AH53" s="1">
        <v>25.2</v>
      </c>
      <c r="AI53" s="1">
        <v>24</v>
      </c>
      <c r="AJ53" s="1">
        <v>21.4</v>
      </c>
      <c r="AK53" s="1">
        <v>25</v>
      </c>
      <c r="AL53" s="1"/>
      <c r="AM53" s="1">
        <f t="shared" si="11"/>
        <v>3</v>
      </c>
      <c r="AN53" s="1">
        <f t="shared" si="1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94</v>
      </c>
      <c r="B54" s="1" t="s">
        <v>37</v>
      </c>
      <c r="C54" s="1">
        <v>224.602</v>
      </c>
      <c r="D54" s="1">
        <v>997.47199999999998</v>
      </c>
      <c r="E54" s="1">
        <v>605.97400000000005</v>
      </c>
      <c r="F54" s="1">
        <v>377.84500000000003</v>
      </c>
      <c r="G54" s="8">
        <v>1</v>
      </c>
      <c r="H54" s="1">
        <v>50</v>
      </c>
      <c r="I54" s="1" t="s">
        <v>38</v>
      </c>
      <c r="J54" s="1"/>
      <c r="K54" s="1">
        <v>796.73</v>
      </c>
      <c r="L54" s="1">
        <f t="shared" si="20"/>
        <v>-190.75599999999997</v>
      </c>
      <c r="M54" s="1">
        <f t="shared" si="5"/>
        <v>573.923</v>
      </c>
      <c r="N54" s="1">
        <v>32.051000000000002</v>
      </c>
      <c r="O54" s="1">
        <v>65.553399999999982</v>
      </c>
      <c r="P54" s="1">
        <v>0</v>
      </c>
      <c r="Q54" s="1">
        <v>573.64445200000034</v>
      </c>
      <c r="R54" s="1">
        <f>IFERROR(VLOOKUP(A54,[2]Sheet!$A:$D,4,0),0)</f>
        <v>0</v>
      </c>
      <c r="S54" s="1">
        <f t="shared" si="6"/>
        <v>114.7846</v>
      </c>
      <c r="T54" s="5">
        <f t="shared" si="22"/>
        <v>245.58774799999958</v>
      </c>
      <c r="U54" s="5">
        <f t="shared" si="7"/>
        <v>245.58774799999958</v>
      </c>
      <c r="V54" s="5">
        <f>$V$1*S54</f>
        <v>286.9615</v>
      </c>
      <c r="W54" s="5">
        <f t="shared" si="8"/>
        <v>532.54924799999958</v>
      </c>
      <c r="X54" s="5">
        <f>$X$1*S54</f>
        <v>177.91613000000001</v>
      </c>
      <c r="Y54" s="5"/>
      <c r="Z54" s="1"/>
      <c r="AA54" s="1"/>
      <c r="AB54" s="1">
        <f t="shared" si="9"/>
        <v>13.499999999999998</v>
      </c>
      <c r="AC54" s="1">
        <f t="shared" si="10"/>
        <v>8.8604468892168491</v>
      </c>
      <c r="AD54" s="1">
        <v>101.64019999999999</v>
      </c>
      <c r="AE54" s="1">
        <v>65.553399999999982</v>
      </c>
      <c r="AF54" s="1">
        <v>91.80019999999999</v>
      </c>
      <c r="AG54" s="1">
        <v>77.473200000000006</v>
      </c>
      <c r="AH54" s="1">
        <v>85.9816</v>
      </c>
      <c r="AI54" s="1">
        <v>88.577799999999996</v>
      </c>
      <c r="AJ54" s="1">
        <v>77.871799999999993</v>
      </c>
      <c r="AK54" s="1">
        <v>85.628999999999991</v>
      </c>
      <c r="AL54" s="1"/>
      <c r="AM54" s="1">
        <f t="shared" si="11"/>
        <v>533</v>
      </c>
      <c r="AN54" s="1">
        <f t="shared" si="12"/>
        <v>178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95</v>
      </c>
      <c r="B55" s="1" t="s">
        <v>37</v>
      </c>
      <c r="C55" s="1">
        <v>21.616</v>
      </c>
      <c r="D55" s="1">
        <v>58.228999999999999</v>
      </c>
      <c r="E55" s="1">
        <v>45.988999999999997</v>
      </c>
      <c r="F55" s="1">
        <v>8.1039999999999992</v>
      </c>
      <c r="G55" s="8">
        <v>1</v>
      </c>
      <c r="H55" s="1">
        <v>50</v>
      </c>
      <c r="I55" s="1" t="s">
        <v>38</v>
      </c>
      <c r="J55" s="1"/>
      <c r="K55" s="1">
        <v>81.197000000000003</v>
      </c>
      <c r="L55" s="1">
        <f t="shared" si="20"/>
        <v>-35.208000000000006</v>
      </c>
      <c r="M55" s="1">
        <f t="shared" si="5"/>
        <v>35.122</v>
      </c>
      <c r="N55" s="1">
        <v>10.867000000000001</v>
      </c>
      <c r="O55" s="1">
        <v>34.030799999999992</v>
      </c>
      <c r="P55" s="1">
        <v>0</v>
      </c>
      <c r="Q55" s="1">
        <v>4.2609999999999904</v>
      </c>
      <c r="R55" s="1">
        <f>IFERROR(VLOOKUP(A55,[2]Sheet!$A:$D,4,0),0)</f>
        <v>0</v>
      </c>
      <c r="S55" s="1">
        <f t="shared" si="6"/>
        <v>7.0244</v>
      </c>
      <c r="T55" s="5">
        <f t="shared" si="22"/>
        <v>30.872600000000013</v>
      </c>
      <c r="U55" s="5">
        <f t="shared" si="7"/>
        <v>30.872600000000013</v>
      </c>
      <c r="V55" s="5"/>
      <c r="W55" s="5">
        <f t="shared" si="8"/>
        <v>30.872600000000013</v>
      </c>
      <c r="X55" s="5"/>
      <c r="Y55" s="5"/>
      <c r="Z55" s="1"/>
      <c r="AA55" s="1"/>
      <c r="AB55" s="1">
        <f t="shared" si="9"/>
        <v>10.999999999999998</v>
      </c>
      <c r="AC55" s="1">
        <f t="shared" si="10"/>
        <v>6.6049484653493504</v>
      </c>
      <c r="AD55" s="1">
        <v>6.4551999999999996</v>
      </c>
      <c r="AE55" s="1">
        <v>7.2674000000000003</v>
      </c>
      <c r="AF55" s="1">
        <v>5.3938000000000006</v>
      </c>
      <c r="AG55" s="1">
        <v>4.0502000000000002</v>
      </c>
      <c r="AH55" s="1">
        <v>6.4906000000000006</v>
      </c>
      <c r="AI55" s="1">
        <v>6.5042</v>
      </c>
      <c r="AJ55" s="1">
        <v>2.1112000000000002</v>
      </c>
      <c r="AK55" s="1">
        <v>5.3954000000000004</v>
      </c>
      <c r="AL55" s="1" t="s">
        <v>96</v>
      </c>
      <c r="AM55" s="1">
        <f t="shared" si="11"/>
        <v>31</v>
      </c>
      <c r="AN55" s="1">
        <f t="shared" si="12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97</v>
      </c>
      <c r="B56" s="1" t="s">
        <v>42</v>
      </c>
      <c r="C56" s="1">
        <v>107</v>
      </c>
      <c r="D56" s="1">
        <v>100</v>
      </c>
      <c r="E56" s="1">
        <v>118</v>
      </c>
      <c r="F56" s="1">
        <v>89</v>
      </c>
      <c r="G56" s="8">
        <v>0.1</v>
      </c>
      <c r="H56" s="1">
        <v>730</v>
      </c>
      <c r="I56" s="1" t="s">
        <v>38</v>
      </c>
      <c r="J56" s="1"/>
      <c r="K56" s="1">
        <v>118</v>
      </c>
      <c r="L56" s="1">
        <f t="shared" si="20"/>
        <v>0</v>
      </c>
      <c r="M56" s="1">
        <f t="shared" si="5"/>
        <v>118</v>
      </c>
      <c r="N56" s="1"/>
      <c r="O56" s="1">
        <v>136.99999999999989</v>
      </c>
      <c r="P56" s="1">
        <v>0</v>
      </c>
      <c r="Q56" s="1">
        <v>36.199999999999989</v>
      </c>
      <c r="R56" s="1">
        <f>IFERROR(VLOOKUP(A56,[2]Sheet!$A:$D,4,0),0)</f>
        <v>0</v>
      </c>
      <c r="S56" s="1">
        <f t="shared" si="6"/>
        <v>23.6</v>
      </c>
      <c r="T56" s="5"/>
      <c r="U56" s="5">
        <f t="shared" si="7"/>
        <v>0</v>
      </c>
      <c r="V56" s="5"/>
      <c r="W56" s="5">
        <f t="shared" si="8"/>
        <v>0</v>
      </c>
      <c r="X56" s="5"/>
      <c r="Y56" s="5"/>
      <c r="Z56" s="1"/>
      <c r="AA56" s="1"/>
      <c r="AB56" s="1">
        <f t="shared" si="9"/>
        <v>11.110169491525419</v>
      </c>
      <c r="AC56" s="1">
        <f t="shared" si="10"/>
        <v>11.110169491525419</v>
      </c>
      <c r="AD56" s="1">
        <v>26.2</v>
      </c>
      <c r="AE56" s="1">
        <v>27.6</v>
      </c>
      <c r="AF56" s="1">
        <v>22.6</v>
      </c>
      <c r="AG56" s="1">
        <v>22.2</v>
      </c>
      <c r="AH56" s="1">
        <v>23.6</v>
      </c>
      <c r="AI56" s="1">
        <v>22.6</v>
      </c>
      <c r="AJ56" s="1">
        <v>24.8</v>
      </c>
      <c r="AK56" s="1">
        <v>29.6</v>
      </c>
      <c r="AL56" s="1"/>
      <c r="AM56" s="1">
        <f t="shared" si="11"/>
        <v>0</v>
      </c>
      <c r="AN56" s="1">
        <f t="shared" si="12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98</v>
      </c>
      <c r="B57" s="1" t="s">
        <v>42</v>
      </c>
      <c r="C57" s="1">
        <v>162</v>
      </c>
      <c r="D57" s="1">
        <v>191</v>
      </c>
      <c r="E57" s="1">
        <v>110</v>
      </c>
      <c r="F57" s="1">
        <v>212</v>
      </c>
      <c r="G57" s="8">
        <v>0.4</v>
      </c>
      <c r="H57" s="1">
        <v>50</v>
      </c>
      <c r="I57" s="1" t="s">
        <v>38</v>
      </c>
      <c r="J57" s="1"/>
      <c r="K57" s="1">
        <v>130</v>
      </c>
      <c r="L57" s="1">
        <f t="shared" si="20"/>
        <v>-20</v>
      </c>
      <c r="M57" s="1">
        <f t="shared" si="5"/>
        <v>110</v>
      </c>
      <c r="N57" s="1"/>
      <c r="O57" s="1">
        <v>0</v>
      </c>
      <c r="P57" s="1">
        <v>0</v>
      </c>
      <c r="Q57" s="1">
        <v>23.599999999999969</v>
      </c>
      <c r="R57" s="1">
        <f>IFERROR(VLOOKUP(A57,[2]Sheet!$A:$D,4,0),0)</f>
        <v>0</v>
      </c>
      <c r="S57" s="1">
        <f t="shared" si="6"/>
        <v>22</v>
      </c>
      <c r="T57" s="5">
        <f t="shared" si="22"/>
        <v>6.4000000000000341</v>
      </c>
      <c r="U57" s="5">
        <f t="shared" si="7"/>
        <v>6.4000000000000341</v>
      </c>
      <c r="V57" s="5"/>
      <c r="W57" s="5">
        <f t="shared" si="8"/>
        <v>6.4000000000000341</v>
      </c>
      <c r="X57" s="5"/>
      <c r="Y57" s="5"/>
      <c r="Z57" s="1"/>
      <c r="AA57" s="1"/>
      <c r="AB57" s="1">
        <f t="shared" si="9"/>
        <v>11</v>
      </c>
      <c r="AC57" s="1">
        <f t="shared" si="10"/>
        <v>10.709090909090907</v>
      </c>
      <c r="AD57" s="1">
        <v>25.4</v>
      </c>
      <c r="AE57" s="1">
        <v>27.4</v>
      </c>
      <c r="AF57" s="1">
        <v>33.6</v>
      </c>
      <c r="AG57" s="1">
        <v>26</v>
      </c>
      <c r="AH57" s="1">
        <v>33.799999999999997</v>
      </c>
      <c r="AI57" s="1">
        <v>30</v>
      </c>
      <c r="AJ57" s="1">
        <v>18.8</v>
      </c>
      <c r="AK57" s="1">
        <v>30.8</v>
      </c>
      <c r="AL57" s="1"/>
      <c r="AM57" s="1">
        <f t="shared" si="11"/>
        <v>3</v>
      </c>
      <c r="AN57" s="1">
        <f t="shared" si="12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99</v>
      </c>
      <c r="B58" s="1" t="s">
        <v>37</v>
      </c>
      <c r="C58" s="1">
        <v>62.762</v>
      </c>
      <c r="D58" s="1"/>
      <c r="E58" s="1">
        <v>34.527000000000001</v>
      </c>
      <c r="F58" s="1">
        <v>28.234999999999999</v>
      </c>
      <c r="G58" s="8">
        <v>1</v>
      </c>
      <c r="H58" s="1">
        <v>40</v>
      </c>
      <c r="I58" s="1" t="s">
        <v>38</v>
      </c>
      <c r="J58" s="1"/>
      <c r="K58" s="1">
        <v>38.200000000000003</v>
      </c>
      <c r="L58" s="1">
        <f t="shared" si="20"/>
        <v>-3.6730000000000018</v>
      </c>
      <c r="M58" s="1">
        <f t="shared" si="5"/>
        <v>34.527000000000001</v>
      </c>
      <c r="N58" s="1"/>
      <c r="O58" s="1">
        <v>0</v>
      </c>
      <c r="P58" s="1">
        <v>0</v>
      </c>
      <c r="Q58" s="1">
        <v>60</v>
      </c>
      <c r="R58" s="1">
        <f>IFERROR(VLOOKUP(A58,[2]Sheet!$A:$D,4,0),0)</f>
        <v>0</v>
      </c>
      <c r="S58" s="1">
        <f t="shared" si="6"/>
        <v>6.9054000000000002</v>
      </c>
      <c r="T58" s="5"/>
      <c r="U58" s="5">
        <f t="shared" si="7"/>
        <v>0</v>
      </c>
      <c r="V58" s="5"/>
      <c r="W58" s="5">
        <f t="shared" si="8"/>
        <v>0</v>
      </c>
      <c r="X58" s="5"/>
      <c r="Y58" s="5"/>
      <c r="Z58" s="1"/>
      <c r="AA58" s="1"/>
      <c r="AB58" s="1">
        <f t="shared" si="9"/>
        <v>12.777681234975526</v>
      </c>
      <c r="AC58" s="1">
        <f t="shared" si="10"/>
        <v>12.777681234975526</v>
      </c>
      <c r="AD58" s="1">
        <v>6.2113999999999994</v>
      </c>
      <c r="AE58" s="1">
        <v>4.8975999999999997</v>
      </c>
      <c r="AF58" s="1">
        <v>6.1856000000000009</v>
      </c>
      <c r="AG58" s="1">
        <v>10.2956</v>
      </c>
      <c r="AH58" s="1">
        <v>1.349</v>
      </c>
      <c r="AI58" s="1">
        <v>6.6890000000000001</v>
      </c>
      <c r="AJ58" s="1">
        <v>6.6890000000000001</v>
      </c>
      <c r="AK58" s="1">
        <v>0</v>
      </c>
      <c r="AL58" s="1" t="s">
        <v>75</v>
      </c>
      <c r="AM58" s="1">
        <f t="shared" si="11"/>
        <v>0</v>
      </c>
      <c r="AN58" s="1">
        <f t="shared" si="12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100</v>
      </c>
      <c r="B59" s="1" t="s">
        <v>37</v>
      </c>
      <c r="C59" s="1">
        <v>27.565000000000001</v>
      </c>
      <c r="D59" s="1"/>
      <c r="E59" s="1">
        <v>24.776</v>
      </c>
      <c r="F59" s="1">
        <v>2.7890000000000001</v>
      </c>
      <c r="G59" s="8">
        <v>1</v>
      </c>
      <c r="H59" s="1">
        <v>40</v>
      </c>
      <c r="I59" s="1" t="s">
        <v>38</v>
      </c>
      <c r="J59" s="1"/>
      <c r="K59" s="1">
        <v>25.2</v>
      </c>
      <c r="L59" s="1">
        <f t="shared" si="20"/>
        <v>-0.42399999999999949</v>
      </c>
      <c r="M59" s="1">
        <f t="shared" si="5"/>
        <v>24.776</v>
      </c>
      <c r="N59" s="1"/>
      <c r="O59" s="1">
        <v>5.6725999999999992</v>
      </c>
      <c r="P59" s="1">
        <v>0</v>
      </c>
      <c r="Q59" s="1">
        <v>60</v>
      </c>
      <c r="R59" s="1">
        <f>IFERROR(VLOOKUP(A59,[2]Sheet!$A:$D,4,0),0)</f>
        <v>0</v>
      </c>
      <c r="S59" s="1">
        <f t="shared" si="6"/>
        <v>4.9551999999999996</v>
      </c>
      <c r="T59" s="5"/>
      <c r="U59" s="5">
        <f t="shared" si="7"/>
        <v>0</v>
      </c>
      <c r="V59" s="5"/>
      <c r="W59" s="5">
        <f t="shared" si="8"/>
        <v>0</v>
      </c>
      <c r="X59" s="5"/>
      <c r="Y59" s="5"/>
      <c r="Z59" s="1"/>
      <c r="AA59" s="1"/>
      <c r="AB59" s="1">
        <f t="shared" si="9"/>
        <v>13.816112366806589</v>
      </c>
      <c r="AC59" s="1">
        <f t="shared" si="10"/>
        <v>13.816112366806589</v>
      </c>
      <c r="AD59" s="1">
        <v>5.2279999999999998</v>
      </c>
      <c r="AE59" s="1">
        <v>3.0215999999999998</v>
      </c>
      <c r="AF59" s="1">
        <v>1.9358</v>
      </c>
      <c r="AG59" s="1">
        <v>1.9308000000000001</v>
      </c>
      <c r="AH59" s="1">
        <v>1.0986</v>
      </c>
      <c r="AI59" s="1">
        <v>5.2514000000000003</v>
      </c>
      <c r="AJ59" s="1">
        <v>4.9763999999999999</v>
      </c>
      <c r="AK59" s="1">
        <v>0</v>
      </c>
      <c r="AL59" s="1"/>
      <c r="AM59" s="1">
        <f t="shared" si="11"/>
        <v>0</v>
      </c>
      <c r="AN59" s="1">
        <f t="shared" si="12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101</v>
      </c>
      <c r="B60" s="1" t="s">
        <v>42</v>
      </c>
      <c r="C60" s="1">
        <v>647</v>
      </c>
      <c r="D60" s="1">
        <v>530</v>
      </c>
      <c r="E60" s="1">
        <v>746</v>
      </c>
      <c r="F60" s="1">
        <v>5</v>
      </c>
      <c r="G60" s="8">
        <v>0.4</v>
      </c>
      <c r="H60" s="1">
        <v>40</v>
      </c>
      <c r="I60" s="1" t="s">
        <v>38</v>
      </c>
      <c r="J60" s="1"/>
      <c r="K60" s="1">
        <v>940</v>
      </c>
      <c r="L60" s="1">
        <f t="shared" si="20"/>
        <v>-194</v>
      </c>
      <c r="M60" s="1">
        <f t="shared" si="5"/>
        <v>746</v>
      </c>
      <c r="N60" s="1"/>
      <c r="O60" s="1">
        <v>546.79999999999973</v>
      </c>
      <c r="P60" s="1">
        <v>0</v>
      </c>
      <c r="Q60" s="1">
        <v>558.79999999999973</v>
      </c>
      <c r="R60" s="1">
        <f>IFERROR(VLOOKUP(A60,[2]Sheet!$A:$D,4,0),0)</f>
        <v>0</v>
      </c>
      <c r="S60" s="1">
        <f t="shared" si="6"/>
        <v>149.19999999999999</v>
      </c>
      <c r="T60" s="5">
        <f t="shared" ref="T60:T61" si="23">10*S60-Q60-O60-F60</f>
        <v>381.40000000000055</v>
      </c>
      <c r="U60" s="5">
        <f t="shared" si="7"/>
        <v>381.40000000000055</v>
      </c>
      <c r="V60" s="5"/>
      <c r="W60" s="5">
        <f t="shared" si="8"/>
        <v>381.40000000000055</v>
      </c>
      <c r="X60" s="5"/>
      <c r="Y60" s="5"/>
      <c r="Z60" s="1"/>
      <c r="AA60" s="1"/>
      <c r="AB60" s="1">
        <f t="shared" si="9"/>
        <v>10</v>
      </c>
      <c r="AC60" s="1">
        <f t="shared" si="10"/>
        <v>7.4436997319034823</v>
      </c>
      <c r="AD60" s="1">
        <v>132.6</v>
      </c>
      <c r="AE60" s="1">
        <v>109.2</v>
      </c>
      <c r="AF60" s="1">
        <v>108.4</v>
      </c>
      <c r="AG60" s="1">
        <v>128.19999999999999</v>
      </c>
      <c r="AH60" s="1">
        <v>117.8</v>
      </c>
      <c r="AI60" s="1">
        <v>125.6</v>
      </c>
      <c r="AJ60" s="1">
        <v>123</v>
      </c>
      <c r="AK60" s="1">
        <v>112</v>
      </c>
      <c r="AL60" s="1"/>
      <c r="AM60" s="1">
        <f t="shared" si="11"/>
        <v>153</v>
      </c>
      <c r="AN60" s="1">
        <f t="shared" si="12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102</v>
      </c>
      <c r="B61" s="1" t="s">
        <v>42</v>
      </c>
      <c r="C61" s="1">
        <v>441</v>
      </c>
      <c r="D61" s="1">
        <v>475</v>
      </c>
      <c r="E61" s="1">
        <v>560</v>
      </c>
      <c r="F61" s="1">
        <v>65</v>
      </c>
      <c r="G61" s="8">
        <v>0.4</v>
      </c>
      <c r="H61" s="1">
        <v>40</v>
      </c>
      <c r="I61" s="1" t="s">
        <v>38</v>
      </c>
      <c r="J61" s="1"/>
      <c r="K61" s="1">
        <v>652</v>
      </c>
      <c r="L61" s="1">
        <f t="shared" si="20"/>
        <v>-92</v>
      </c>
      <c r="M61" s="1">
        <f t="shared" si="5"/>
        <v>560</v>
      </c>
      <c r="N61" s="1"/>
      <c r="O61" s="1">
        <v>355.19999999999982</v>
      </c>
      <c r="P61" s="1">
        <v>0</v>
      </c>
      <c r="Q61" s="1">
        <v>343.40000000000009</v>
      </c>
      <c r="R61" s="1">
        <f>IFERROR(VLOOKUP(A61,[2]Sheet!$A:$D,4,0),0)</f>
        <v>0</v>
      </c>
      <c r="S61" s="1">
        <f t="shared" si="6"/>
        <v>112</v>
      </c>
      <c r="T61" s="5">
        <f t="shared" si="23"/>
        <v>356.40000000000009</v>
      </c>
      <c r="U61" s="5">
        <f t="shared" si="7"/>
        <v>356.40000000000009</v>
      </c>
      <c r="V61" s="5"/>
      <c r="W61" s="5">
        <f t="shared" si="8"/>
        <v>356.40000000000009</v>
      </c>
      <c r="X61" s="5"/>
      <c r="Y61" s="5"/>
      <c r="Z61" s="1"/>
      <c r="AA61" s="1"/>
      <c r="AB61" s="1">
        <f t="shared" si="9"/>
        <v>10</v>
      </c>
      <c r="AC61" s="1">
        <f t="shared" si="10"/>
        <v>6.8178571428571422</v>
      </c>
      <c r="AD61" s="1">
        <v>91.2</v>
      </c>
      <c r="AE61" s="1">
        <v>82</v>
      </c>
      <c r="AF61" s="1">
        <v>82.2</v>
      </c>
      <c r="AG61" s="1">
        <v>90</v>
      </c>
      <c r="AH61" s="1">
        <v>89</v>
      </c>
      <c r="AI61" s="1">
        <v>104.6</v>
      </c>
      <c r="AJ61" s="1">
        <v>96.2</v>
      </c>
      <c r="AK61" s="1">
        <v>83</v>
      </c>
      <c r="AL61" s="1"/>
      <c r="AM61" s="1">
        <f t="shared" si="11"/>
        <v>143</v>
      </c>
      <c r="AN61" s="1">
        <f t="shared" si="12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103</v>
      </c>
      <c r="B62" s="1" t="s">
        <v>37</v>
      </c>
      <c r="C62" s="1">
        <v>484.14</v>
      </c>
      <c r="D62" s="1">
        <v>852.41899999999998</v>
      </c>
      <c r="E62" s="1">
        <v>740.56500000000005</v>
      </c>
      <c r="F62" s="1">
        <v>86.221999999999994</v>
      </c>
      <c r="G62" s="8">
        <v>1</v>
      </c>
      <c r="H62" s="1">
        <v>40</v>
      </c>
      <c r="I62" s="1" t="s">
        <v>38</v>
      </c>
      <c r="J62" s="1"/>
      <c r="K62" s="1">
        <v>1069.6389999999999</v>
      </c>
      <c r="L62" s="1">
        <f t="shared" si="20"/>
        <v>-329.07399999999984</v>
      </c>
      <c r="M62" s="1">
        <f t="shared" si="5"/>
        <v>718.8610000000001</v>
      </c>
      <c r="N62" s="1">
        <v>21.704000000000001</v>
      </c>
      <c r="O62" s="1">
        <v>760.22579999999948</v>
      </c>
      <c r="P62" s="1">
        <v>0</v>
      </c>
      <c r="Q62" s="1">
        <v>494.95720000000051</v>
      </c>
      <c r="R62" s="1">
        <f>IFERROR(VLOOKUP(A62,[2]Sheet!$A:$D,4,0),0)</f>
        <v>0</v>
      </c>
      <c r="S62" s="1">
        <f t="shared" si="6"/>
        <v>143.77220000000003</v>
      </c>
      <c r="T62" s="5">
        <f t="shared" si="22"/>
        <v>240.08920000000035</v>
      </c>
      <c r="U62" s="5">
        <f t="shared" si="7"/>
        <v>240.08920000000035</v>
      </c>
      <c r="V62" s="5"/>
      <c r="W62" s="5">
        <f t="shared" si="8"/>
        <v>240.08920000000035</v>
      </c>
      <c r="X62" s="5"/>
      <c r="Y62" s="5"/>
      <c r="Z62" s="1"/>
      <c r="AA62" s="1"/>
      <c r="AB62" s="1">
        <f t="shared" si="9"/>
        <v>11</v>
      </c>
      <c r="AC62" s="1">
        <f t="shared" si="10"/>
        <v>9.3300721558131521</v>
      </c>
      <c r="AD62" s="1">
        <v>147.16999999999999</v>
      </c>
      <c r="AE62" s="1">
        <v>132.55840000000001</v>
      </c>
      <c r="AF62" s="1">
        <v>118.876</v>
      </c>
      <c r="AG62" s="1">
        <v>86.885599999999997</v>
      </c>
      <c r="AH62" s="1">
        <v>134.798</v>
      </c>
      <c r="AI62" s="1">
        <v>142.23079999999999</v>
      </c>
      <c r="AJ62" s="1">
        <v>134.5926</v>
      </c>
      <c r="AK62" s="1">
        <v>123.28319999999999</v>
      </c>
      <c r="AL62" s="1"/>
      <c r="AM62" s="1">
        <f t="shared" si="11"/>
        <v>240</v>
      </c>
      <c r="AN62" s="1">
        <f t="shared" si="12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104</v>
      </c>
      <c r="B63" s="1" t="s">
        <v>37</v>
      </c>
      <c r="C63" s="1">
        <v>94.811999999999998</v>
      </c>
      <c r="D63" s="1">
        <v>89.128</v>
      </c>
      <c r="E63" s="1">
        <v>142.16200000000001</v>
      </c>
      <c r="F63" s="1">
        <v>0.65300000000000002</v>
      </c>
      <c r="G63" s="8">
        <v>1</v>
      </c>
      <c r="H63" s="1">
        <v>40</v>
      </c>
      <c r="I63" s="1" t="s">
        <v>38</v>
      </c>
      <c r="J63" s="1"/>
      <c r="K63" s="1">
        <v>274.50799999999998</v>
      </c>
      <c r="L63" s="1">
        <f t="shared" si="20"/>
        <v>-132.34599999999998</v>
      </c>
      <c r="M63" s="1">
        <f t="shared" si="5"/>
        <v>103.754</v>
      </c>
      <c r="N63" s="1">
        <v>38.408000000000001</v>
      </c>
      <c r="O63" s="1">
        <v>280.33100000000002</v>
      </c>
      <c r="P63" s="1">
        <v>0</v>
      </c>
      <c r="Q63" s="1">
        <v>172.35100000000011</v>
      </c>
      <c r="R63" s="1">
        <f>IFERROR(VLOOKUP(A63,[2]Sheet!$A:$D,4,0),0)</f>
        <v>0</v>
      </c>
      <c r="S63" s="1">
        <f t="shared" si="6"/>
        <v>20.750800000000002</v>
      </c>
      <c r="T63" s="5"/>
      <c r="U63" s="5">
        <f t="shared" si="7"/>
        <v>0</v>
      </c>
      <c r="V63" s="5"/>
      <c r="W63" s="5">
        <f t="shared" si="8"/>
        <v>0</v>
      </c>
      <c r="X63" s="5"/>
      <c r="Y63" s="5"/>
      <c r="Z63" s="1"/>
      <c r="AA63" s="1"/>
      <c r="AB63" s="1">
        <f t="shared" si="9"/>
        <v>21.846627599899769</v>
      </c>
      <c r="AC63" s="1">
        <f t="shared" si="10"/>
        <v>21.846627599899769</v>
      </c>
      <c r="AD63" s="1">
        <v>39.793799999999997</v>
      </c>
      <c r="AE63" s="1">
        <v>35.145799999999987</v>
      </c>
      <c r="AF63" s="1">
        <v>28.92</v>
      </c>
      <c r="AG63" s="1">
        <v>35.021999999999998</v>
      </c>
      <c r="AH63" s="1">
        <v>38.9268</v>
      </c>
      <c r="AI63" s="1">
        <v>41.825000000000003</v>
      </c>
      <c r="AJ63" s="1">
        <v>31.602799999999998</v>
      </c>
      <c r="AK63" s="1">
        <v>52.027199999999993</v>
      </c>
      <c r="AL63" s="1"/>
      <c r="AM63" s="1">
        <f t="shared" si="11"/>
        <v>0</v>
      </c>
      <c r="AN63" s="1">
        <f t="shared" si="12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105</v>
      </c>
      <c r="B64" s="1" t="s">
        <v>37</v>
      </c>
      <c r="C64" s="1">
        <v>39.802</v>
      </c>
      <c r="D64" s="1">
        <v>431.37400000000002</v>
      </c>
      <c r="E64" s="1">
        <v>296.19600000000003</v>
      </c>
      <c r="F64" s="1">
        <v>1.6919999999999999</v>
      </c>
      <c r="G64" s="8">
        <v>1</v>
      </c>
      <c r="H64" s="1">
        <v>40</v>
      </c>
      <c r="I64" s="1" t="s">
        <v>38</v>
      </c>
      <c r="J64" s="1"/>
      <c r="K64" s="1">
        <v>515.18700000000001</v>
      </c>
      <c r="L64" s="1">
        <f t="shared" si="20"/>
        <v>-218.99099999999999</v>
      </c>
      <c r="M64" s="1">
        <f t="shared" si="5"/>
        <v>129.10900000000004</v>
      </c>
      <c r="N64" s="1">
        <v>167.08699999999999</v>
      </c>
      <c r="O64" s="1">
        <v>135.57480000000001</v>
      </c>
      <c r="P64" s="1">
        <v>0</v>
      </c>
      <c r="Q64" s="1">
        <v>11.427399999999871</v>
      </c>
      <c r="R64" s="1">
        <f>IFERROR(VLOOKUP(A64,[2]Sheet!$A:$D,4,0),0)</f>
        <v>0</v>
      </c>
      <c r="S64" s="1">
        <f t="shared" si="6"/>
        <v>25.821800000000007</v>
      </c>
      <c r="T64" s="5">
        <f t="shared" si="22"/>
        <v>135.34560000000019</v>
      </c>
      <c r="U64" s="5">
        <f t="shared" si="7"/>
        <v>135.34560000000019</v>
      </c>
      <c r="V64" s="5"/>
      <c r="W64" s="5">
        <f t="shared" si="8"/>
        <v>135.34560000000019</v>
      </c>
      <c r="X64" s="5"/>
      <c r="Y64" s="5"/>
      <c r="Z64" s="1"/>
      <c r="AA64" s="1"/>
      <c r="AB64" s="1">
        <f t="shared" si="9"/>
        <v>11</v>
      </c>
      <c r="AC64" s="1">
        <f t="shared" si="10"/>
        <v>5.7584753967577722</v>
      </c>
      <c r="AD64" s="1">
        <v>32.968800000000002</v>
      </c>
      <c r="AE64" s="1">
        <v>35.78860000000001</v>
      </c>
      <c r="AF64" s="1">
        <v>48.407200000000003</v>
      </c>
      <c r="AG64" s="1">
        <v>42.871199999999988</v>
      </c>
      <c r="AH64" s="1">
        <v>60.671799999999998</v>
      </c>
      <c r="AI64" s="1">
        <v>72.136400000000009</v>
      </c>
      <c r="AJ64" s="1">
        <v>81.566000000000003</v>
      </c>
      <c r="AK64" s="1">
        <v>95.064999999999998</v>
      </c>
      <c r="AL64" s="1"/>
      <c r="AM64" s="1">
        <f t="shared" si="11"/>
        <v>135</v>
      </c>
      <c r="AN64" s="1">
        <f t="shared" si="12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106</v>
      </c>
      <c r="B65" s="1" t="s">
        <v>37</v>
      </c>
      <c r="C65" s="1">
        <v>71.835999999999999</v>
      </c>
      <c r="D65" s="1">
        <v>38.47</v>
      </c>
      <c r="E65" s="1">
        <v>80.275999999999996</v>
      </c>
      <c r="F65" s="1">
        <v>26.350999999999999</v>
      </c>
      <c r="G65" s="8">
        <v>1</v>
      </c>
      <c r="H65" s="1">
        <v>30</v>
      </c>
      <c r="I65" s="1" t="s">
        <v>38</v>
      </c>
      <c r="J65" s="1"/>
      <c r="K65" s="1">
        <v>85.975999999999999</v>
      </c>
      <c r="L65" s="1">
        <f t="shared" si="20"/>
        <v>-5.7000000000000028</v>
      </c>
      <c r="M65" s="1">
        <f t="shared" si="5"/>
        <v>80.275999999999996</v>
      </c>
      <c r="N65" s="1"/>
      <c r="O65" s="1">
        <v>4</v>
      </c>
      <c r="P65" s="1">
        <v>0</v>
      </c>
      <c r="Q65" s="1">
        <v>60.969199999999987</v>
      </c>
      <c r="R65" s="1">
        <f>IFERROR(VLOOKUP(A65,[2]Sheet!$A:$D,4,0),0)</f>
        <v>0</v>
      </c>
      <c r="S65" s="1">
        <f t="shared" si="6"/>
        <v>16.055199999999999</v>
      </c>
      <c r="T65" s="5">
        <f>10*S65-Q65-O65-F65</f>
        <v>69.231800000000007</v>
      </c>
      <c r="U65" s="5">
        <f t="shared" si="7"/>
        <v>69.231800000000007</v>
      </c>
      <c r="V65" s="5"/>
      <c r="W65" s="5">
        <f t="shared" si="8"/>
        <v>69.231800000000007</v>
      </c>
      <c r="X65" s="5"/>
      <c r="Y65" s="5"/>
      <c r="Z65" s="1"/>
      <c r="AA65" s="1"/>
      <c r="AB65" s="1">
        <f t="shared" si="9"/>
        <v>10</v>
      </c>
      <c r="AC65" s="1">
        <f t="shared" si="10"/>
        <v>5.6878892819771778</v>
      </c>
      <c r="AD65" s="1">
        <v>11.606999999999999</v>
      </c>
      <c r="AE65" s="1">
        <v>9.7897999999999996</v>
      </c>
      <c r="AF65" s="1">
        <v>10.714600000000001</v>
      </c>
      <c r="AG65" s="1">
        <v>10.331799999999999</v>
      </c>
      <c r="AH65" s="1">
        <v>9.1194000000000006</v>
      </c>
      <c r="AI65" s="1">
        <v>10.2104</v>
      </c>
      <c r="AJ65" s="1">
        <v>11.2958</v>
      </c>
      <c r="AK65" s="1">
        <v>9.4171999999999993</v>
      </c>
      <c r="AL65" s="1"/>
      <c r="AM65" s="1">
        <f t="shared" si="11"/>
        <v>69</v>
      </c>
      <c r="AN65" s="1">
        <f t="shared" si="12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107</v>
      </c>
      <c r="B66" s="1" t="s">
        <v>42</v>
      </c>
      <c r="C66" s="1">
        <v>161</v>
      </c>
      <c r="D66" s="1">
        <v>88</v>
      </c>
      <c r="E66" s="1">
        <v>91</v>
      </c>
      <c r="F66" s="1">
        <v>109</v>
      </c>
      <c r="G66" s="8">
        <v>0.6</v>
      </c>
      <c r="H66" s="1">
        <v>60</v>
      </c>
      <c r="I66" s="1" t="s">
        <v>151</v>
      </c>
      <c r="J66" s="1"/>
      <c r="K66" s="1">
        <v>91</v>
      </c>
      <c r="L66" s="1">
        <f t="shared" si="20"/>
        <v>0</v>
      </c>
      <c r="M66" s="1">
        <f t="shared" si="5"/>
        <v>91</v>
      </c>
      <c r="N66" s="1"/>
      <c r="O66" s="1">
        <v>0</v>
      </c>
      <c r="P66" s="1">
        <v>0</v>
      </c>
      <c r="Q66" s="1">
        <v>200</v>
      </c>
      <c r="R66" s="1">
        <f>IFERROR(VLOOKUP(A66,[2]Sheet!$A:$D,4,0),0)</f>
        <v>0</v>
      </c>
      <c r="S66" s="1">
        <f t="shared" si="6"/>
        <v>18.2</v>
      </c>
      <c r="T66" s="5"/>
      <c r="U66" s="5">
        <f>Y66</f>
        <v>100</v>
      </c>
      <c r="V66" s="5"/>
      <c r="W66" s="5">
        <f t="shared" si="8"/>
        <v>100</v>
      </c>
      <c r="X66" s="5"/>
      <c r="Y66" s="5">
        <v>100</v>
      </c>
      <c r="Z66" s="1" t="s">
        <v>148</v>
      </c>
      <c r="AA66" s="1"/>
      <c r="AB66" s="1">
        <f t="shared" si="9"/>
        <v>22.472527472527474</v>
      </c>
      <c r="AC66" s="1">
        <f t="shared" si="10"/>
        <v>16.978021978021978</v>
      </c>
      <c r="AD66" s="1">
        <v>16.2</v>
      </c>
      <c r="AE66" s="1">
        <v>15.6</v>
      </c>
      <c r="AF66" s="1">
        <v>19.399999999999999</v>
      </c>
      <c r="AG66" s="1">
        <v>21.4</v>
      </c>
      <c r="AH66" s="1">
        <v>21.4</v>
      </c>
      <c r="AI66" s="1">
        <v>14.4</v>
      </c>
      <c r="AJ66" s="1">
        <v>15.4</v>
      </c>
      <c r="AK66" s="1">
        <v>16.399999999999999</v>
      </c>
      <c r="AL66" s="1" t="s">
        <v>43</v>
      </c>
      <c r="AM66" s="1">
        <f t="shared" si="11"/>
        <v>60</v>
      </c>
      <c r="AN66" s="1">
        <f t="shared" si="12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5" t="s">
        <v>108</v>
      </c>
      <c r="B67" s="15" t="s">
        <v>42</v>
      </c>
      <c r="C67" s="15"/>
      <c r="D67" s="15"/>
      <c r="E67" s="15"/>
      <c r="F67" s="15"/>
      <c r="G67" s="16">
        <v>0</v>
      </c>
      <c r="H67" s="15">
        <v>50</v>
      </c>
      <c r="I67" s="15" t="s">
        <v>38</v>
      </c>
      <c r="J67" s="15"/>
      <c r="K67" s="15"/>
      <c r="L67" s="15">
        <f t="shared" si="20"/>
        <v>0</v>
      </c>
      <c r="M67" s="15">
        <f t="shared" si="5"/>
        <v>0</v>
      </c>
      <c r="N67" s="15"/>
      <c r="O67" s="15">
        <v>0</v>
      </c>
      <c r="P67" s="15">
        <v>0</v>
      </c>
      <c r="Q67" s="15">
        <v>0</v>
      </c>
      <c r="R67" s="1">
        <f>IFERROR(VLOOKUP(A67,[2]Sheet!$A:$D,4,0),0)</f>
        <v>0</v>
      </c>
      <c r="S67" s="15">
        <f t="shared" si="6"/>
        <v>0</v>
      </c>
      <c r="T67" s="17"/>
      <c r="U67" s="5">
        <f t="shared" si="7"/>
        <v>0</v>
      </c>
      <c r="V67" s="17"/>
      <c r="W67" s="5">
        <f t="shared" si="8"/>
        <v>0</v>
      </c>
      <c r="X67" s="5"/>
      <c r="Y67" s="17"/>
      <c r="Z67" s="15"/>
      <c r="AA67" s="15"/>
      <c r="AB67" s="1" t="e">
        <f t="shared" si="9"/>
        <v>#DIV/0!</v>
      </c>
      <c r="AC67" s="15" t="e">
        <f t="shared" si="10"/>
        <v>#DIV/0!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54</v>
      </c>
      <c r="AM67" s="1">
        <f t="shared" si="11"/>
        <v>0</v>
      </c>
      <c r="AN67" s="1">
        <f t="shared" si="12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5" t="s">
        <v>109</v>
      </c>
      <c r="B68" s="15" t="s">
        <v>42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20"/>
        <v>0</v>
      </c>
      <c r="M68" s="15">
        <f t="shared" si="5"/>
        <v>0</v>
      </c>
      <c r="N68" s="15"/>
      <c r="O68" s="15">
        <v>0</v>
      </c>
      <c r="P68" s="15">
        <v>0</v>
      </c>
      <c r="Q68" s="15">
        <v>0</v>
      </c>
      <c r="R68" s="1">
        <f>IFERROR(VLOOKUP(A68,[2]Sheet!$A:$D,4,0),0)</f>
        <v>0</v>
      </c>
      <c r="S68" s="15">
        <f t="shared" si="6"/>
        <v>0</v>
      </c>
      <c r="T68" s="17"/>
      <c r="U68" s="5">
        <f t="shared" si="7"/>
        <v>0</v>
      </c>
      <c r="V68" s="17"/>
      <c r="W68" s="5">
        <f t="shared" si="8"/>
        <v>0</v>
      </c>
      <c r="X68" s="5"/>
      <c r="Y68" s="17"/>
      <c r="Z68" s="15"/>
      <c r="AA68" s="15"/>
      <c r="AB68" s="1" t="e">
        <f t="shared" si="9"/>
        <v>#DIV/0!</v>
      </c>
      <c r="AC68" s="15" t="e">
        <f t="shared" si="10"/>
        <v>#DIV/0!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54</v>
      </c>
      <c r="AM68" s="1">
        <f t="shared" si="11"/>
        <v>0</v>
      </c>
      <c r="AN68" s="1">
        <f t="shared" si="12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110</v>
      </c>
      <c r="B69" s="1" t="s">
        <v>42</v>
      </c>
      <c r="C69" s="1">
        <v>117</v>
      </c>
      <c r="D69" s="1">
        <v>17</v>
      </c>
      <c r="E69" s="1">
        <v>80</v>
      </c>
      <c r="F69" s="1">
        <v>45</v>
      </c>
      <c r="G69" s="8">
        <v>0.6</v>
      </c>
      <c r="H69" s="1">
        <v>55</v>
      </c>
      <c r="I69" s="1" t="s">
        <v>151</v>
      </c>
      <c r="J69" s="1"/>
      <c r="K69" s="1">
        <v>80</v>
      </c>
      <c r="L69" s="1">
        <f t="shared" si="20"/>
        <v>0</v>
      </c>
      <c r="M69" s="1">
        <f t="shared" si="5"/>
        <v>80</v>
      </c>
      <c r="N69" s="1"/>
      <c r="O69" s="1">
        <v>0</v>
      </c>
      <c r="P69" s="1">
        <v>0</v>
      </c>
      <c r="Q69" s="1">
        <v>200</v>
      </c>
      <c r="R69" s="1">
        <f>IFERROR(VLOOKUP(A69,[2]Sheet!$A:$D,4,0),0)</f>
        <v>0</v>
      </c>
      <c r="S69" s="1">
        <f t="shared" si="6"/>
        <v>16</v>
      </c>
      <c r="T69" s="5"/>
      <c r="U69" s="5">
        <f>Y69</f>
        <v>100</v>
      </c>
      <c r="V69" s="5"/>
      <c r="W69" s="5">
        <f t="shared" si="8"/>
        <v>100</v>
      </c>
      <c r="X69" s="5"/>
      <c r="Y69" s="5">
        <v>100</v>
      </c>
      <c r="Z69" s="1" t="s">
        <v>149</v>
      </c>
      <c r="AA69" s="1"/>
      <c r="AB69" s="1">
        <f t="shared" si="9"/>
        <v>21.5625</v>
      </c>
      <c r="AC69" s="1">
        <f t="shared" si="10"/>
        <v>15.3125</v>
      </c>
      <c r="AD69" s="1">
        <v>12.4</v>
      </c>
      <c r="AE69" s="1">
        <v>10</v>
      </c>
      <c r="AF69" s="1">
        <v>10.6</v>
      </c>
      <c r="AG69" s="1">
        <v>15.2</v>
      </c>
      <c r="AH69" s="1">
        <v>16.399999999999999</v>
      </c>
      <c r="AI69" s="1">
        <v>9.4</v>
      </c>
      <c r="AJ69" s="1">
        <v>7.2</v>
      </c>
      <c r="AK69" s="1">
        <v>8.6</v>
      </c>
      <c r="AL69" s="1"/>
      <c r="AM69" s="1">
        <f t="shared" si="11"/>
        <v>60</v>
      </c>
      <c r="AN69" s="1">
        <f t="shared" si="12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5" t="s">
        <v>111</v>
      </c>
      <c r="B70" s="15" t="s">
        <v>42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24">E70-K70</f>
        <v>0</v>
      </c>
      <c r="M70" s="15">
        <f t="shared" si="5"/>
        <v>0</v>
      </c>
      <c r="N70" s="15"/>
      <c r="O70" s="15">
        <v>0</v>
      </c>
      <c r="P70" s="15">
        <v>0</v>
      </c>
      <c r="Q70" s="15">
        <v>0</v>
      </c>
      <c r="R70" s="1">
        <f>IFERROR(VLOOKUP(A70,[2]Sheet!$A:$D,4,0),0)</f>
        <v>0</v>
      </c>
      <c r="S70" s="15">
        <f t="shared" si="6"/>
        <v>0</v>
      </c>
      <c r="T70" s="17"/>
      <c r="U70" s="5">
        <f t="shared" si="7"/>
        <v>0</v>
      </c>
      <c r="V70" s="17"/>
      <c r="W70" s="5">
        <f t="shared" si="8"/>
        <v>0</v>
      </c>
      <c r="X70" s="5"/>
      <c r="Y70" s="17"/>
      <c r="Z70" s="15"/>
      <c r="AA70" s="15"/>
      <c r="AB70" s="1" t="e">
        <f t="shared" si="9"/>
        <v>#DIV/0!</v>
      </c>
      <c r="AC70" s="15" t="e">
        <f t="shared" si="10"/>
        <v>#DIV/0!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112</v>
      </c>
      <c r="AM70" s="1">
        <f t="shared" si="11"/>
        <v>0</v>
      </c>
      <c r="AN70" s="1">
        <f t="shared" si="12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113</v>
      </c>
      <c r="B71" s="1" t="s">
        <v>42</v>
      </c>
      <c r="C71" s="1">
        <v>76</v>
      </c>
      <c r="D71" s="1">
        <v>49</v>
      </c>
      <c r="E71" s="1">
        <v>42</v>
      </c>
      <c r="F71" s="1">
        <v>82</v>
      </c>
      <c r="G71" s="8">
        <v>0.4</v>
      </c>
      <c r="H71" s="1">
        <v>50</v>
      </c>
      <c r="I71" s="1" t="s">
        <v>38</v>
      </c>
      <c r="J71" s="1"/>
      <c r="K71" s="1">
        <v>42</v>
      </c>
      <c r="L71" s="1">
        <f t="shared" si="24"/>
        <v>0</v>
      </c>
      <c r="M71" s="1">
        <f t="shared" ref="M71:M94" si="25">E71-N71</f>
        <v>42</v>
      </c>
      <c r="N71" s="1"/>
      <c r="O71" s="1">
        <v>12</v>
      </c>
      <c r="P71" s="1">
        <v>0</v>
      </c>
      <c r="Q71" s="1">
        <v>0</v>
      </c>
      <c r="R71" s="1">
        <f>IFERROR(VLOOKUP(A71,[2]Sheet!$A:$D,4,0),0)</f>
        <v>0</v>
      </c>
      <c r="S71" s="1">
        <f t="shared" ref="S71:S94" si="26">M71/5</f>
        <v>8.4</v>
      </c>
      <c r="T71" s="5"/>
      <c r="U71" s="5">
        <f t="shared" ref="U71:U94" si="27">T71</f>
        <v>0</v>
      </c>
      <c r="V71" s="5"/>
      <c r="W71" s="5">
        <f t="shared" ref="W71:W94" si="28">V71+U71</f>
        <v>0</v>
      </c>
      <c r="X71" s="5"/>
      <c r="Y71" s="5"/>
      <c r="Z71" s="1"/>
      <c r="AA71" s="1"/>
      <c r="AB71" s="1">
        <f t="shared" ref="AB71:AB94" si="29">(F71+O71+Q71+W71)/S71</f>
        <v>11.19047619047619</v>
      </c>
      <c r="AC71" s="1">
        <f t="shared" ref="AC71:AC94" si="30">(F71+O71+Q71)/S71</f>
        <v>11.19047619047619</v>
      </c>
      <c r="AD71" s="1">
        <v>7.4</v>
      </c>
      <c r="AE71" s="1">
        <v>12</v>
      </c>
      <c r="AF71" s="1">
        <v>12</v>
      </c>
      <c r="AG71" s="1">
        <v>9</v>
      </c>
      <c r="AH71" s="1">
        <v>13.4</v>
      </c>
      <c r="AI71" s="1">
        <v>11</v>
      </c>
      <c r="AJ71" s="1">
        <v>6.2</v>
      </c>
      <c r="AK71" s="1">
        <v>8.8000000000000007</v>
      </c>
      <c r="AL71" s="1" t="s">
        <v>43</v>
      </c>
      <c r="AM71" s="1">
        <f t="shared" ref="AM71:AM94" si="31">ROUND(G71*W71,0)</f>
        <v>0</v>
      </c>
      <c r="AN71" s="1">
        <f t="shared" ref="AN71:AN94" si="32">ROUND(G71*X71,0)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5" t="s">
        <v>114</v>
      </c>
      <c r="B72" s="15" t="s">
        <v>42</v>
      </c>
      <c r="C72" s="15"/>
      <c r="D72" s="15"/>
      <c r="E72" s="15"/>
      <c r="F72" s="15"/>
      <c r="G72" s="16">
        <v>0</v>
      </c>
      <c r="H72" s="15">
        <v>55</v>
      </c>
      <c r="I72" s="15" t="s">
        <v>38</v>
      </c>
      <c r="J72" s="15"/>
      <c r="K72" s="15"/>
      <c r="L72" s="15">
        <f t="shared" si="24"/>
        <v>0</v>
      </c>
      <c r="M72" s="15">
        <f t="shared" si="25"/>
        <v>0</v>
      </c>
      <c r="N72" s="15"/>
      <c r="O72" s="15">
        <v>0</v>
      </c>
      <c r="P72" s="15">
        <v>0</v>
      </c>
      <c r="Q72" s="15">
        <v>0</v>
      </c>
      <c r="R72" s="1">
        <f>IFERROR(VLOOKUP(A72,[2]Sheet!$A:$D,4,0),0)</f>
        <v>0</v>
      </c>
      <c r="S72" s="15">
        <f t="shared" si="26"/>
        <v>0</v>
      </c>
      <c r="T72" s="17"/>
      <c r="U72" s="5">
        <f t="shared" si="27"/>
        <v>0</v>
      </c>
      <c r="V72" s="17"/>
      <c r="W72" s="5">
        <f t="shared" si="28"/>
        <v>0</v>
      </c>
      <c r="X72" s="5"/>
      <c r="Y72" s="17"/>
      <c r="Z72" s="15"/>
      <c r="AA72" s="15"/>
      <c r="AB72" s="1" t="e">
        <f t="shared" si="29"/>
        <v>#DIV/0!</v>
      </c>
      <c r="AC72" s="15" t="e">
        <f t="shared" si="30"/>
        <v>#DIV/0!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115</v>
      </c>
      <c r="AM72" s="1">
        <f t="shared" si="31"/>
        <v>0</v>
      </c>
      <c r="AN72" s="1">
        <f t="shared" si="32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116</v>
      </c>
      <c r="B73" s="1" t="s">
        <v>37</v>
      </c>
      <c r="C73" s="1">
        <v>31.532</v>
      </c>
      <c r="D73" s="1"/>
      <c r="E73" s="1">
        <v>5.75</v>
      </c>
      <c r="F73" s="1">
        <v>25.782</v>
      </c>
      <c r="G73" s="8">
        <v>1</v>
      </c>
      <c r="H73" s="1">
        <v>55</v>
      </c>
      <c r="I73" s="1" t="s">
        <v>38</v>
      </c>
      <c r="J73" s="1"/>
      <c r="K73" s="1">
        <v>5.5</v>
      </c>
      <c r="L73" s="1">
        <f t="shared" si="24"/>
        <v>0.25</v>
      </c>
      <c r="M73" s="1">
        <f t="shared" si="25"/>
        <v>5.75</v>
      </c>
      <c r="N73" s="1"/>
      <c r="O73" s="1">
        <v>0</v>
      </c>
      <c r="P73" s="1">
        <v>0</v>
      </c>
      <c r="Q73" s="1">
        <v>0</v>
      </c>
      <c r="R73" s="1">
        <f>IFERROR(VLOOKUP(A73,[2]Sheet!$A:$D,4,0),0)</f>
        <v>0</v>
      </c>
      <c r="S73" s="1">
        <f t="shared" si="26"/>
        <v>1.1499999999999999</v>
      </c>
      <c r="T73" s="5"/>
      <c r="U73" s="5">
        <f t="shared" si="27"/>
        <v>0</v>
      </c>
      <c r="V73" s="5"/>
      <c r="W73" s="5">
        <f t="shared" si="28"/>
        <v>0</v>
      </c>
      <c r="X73" s="5"/>
      <c r="Y73" s="5"/>
      <c r="Z73" s="1"/>
      <c r="AA73" s="1"/>
      <c r="AB73" s="1">
        <f t="shared" si="29"/>
        <v>22.419130434782609</v>
      </c>
      <c r="AC73" s="1">
        <f t="shared" si="30"/>
        <v>22.419130434782609</v>
      </c>
      <c r="AD73" s="1">
        <v>0.28799999999999998</v>
      </c>
      <c r="AE73" s="1">
        <v>0.86720000000000008</v>
      </c>
      <c r="AF73" s="1">
        <v>2.3111999999999999</v>
      </c>
      <c r="AG73" s="1">
        <v>2.8879999999999999</v>
      </c>
      <c r="AH73" s="1">
        <v>2.5996000000000001</v>
      </c>
      <c r="AI73" s="1">
        <v>1.7298</v>
      </c>
      <c r="AJ73" s="1">
        <v>2.2995999999999999</v>
      </c>
      <c r="AK73" s="1">
        <v>1.7254</v>
      </c>
      <c r="AL73" s="22" t="s">
        <v>56</v>
      </c>
      <c r="AM73" s="1">
        <f t="shared" si="31"/>
        <v>0</v>
      </c>
      <c r="AN73" s="1">
        <f t="shared" si="32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117</v>
      </c>
      <c r="B74" s="1" t="s">
        <v>37</v>
      </c>
      <c r="C74" s="1">
        <v>2386.0369999999998</v>
      </c>
      <c r="D74" s="1">
        <v>3455.7809999999999</v>
      </c>
      <c r="E74" s="1">
        <v>1866.576</v>
      </c>
      <c r="F74" s="1">
        <v>3741.5390000000002</v>
      </c>
      <c r="G74" s="8">
        <v>1</v>
      </c>
      <c r="H74" s="1">
        <v>60</v>
      </c>
      <c r="I74" s="1" t="s">
        <v>38</v>
      </c>
      <c r="J74" s="1"/>
      <c r="K74" s="1">
        <v>1956.28</v>
      </c>
      <c r="L74" s="1">
        <f t="shared" si="24"/>
        <v>-89.703999999999951</v>
      </c>
      <c r="M74" s="1">
        <f t="shared" si="25"/>
        <v>1697.876</v>
      </c>
      <c r="N74" s="1">
        <v>168.7</v>
      </c>
      <c r="O74" s="1">
        <v>0</v>
      </c>
      <c r="P74" s="1">
        <v>0</v>
      </c>
      <c r="Q74" s="1">
        <v>0</v>
      </c>
      <c r="R74" s="1">
        <f>IFERROR(VLOOKUP(A74,[2]Sheet!$A:$D,4,0),0)</f>
        <v>0</v>
      </c>
      <c r="S74" s="1">
        <f t="shared" si="26"/>
        <v>339.5752</v>
      </c>
      <c r="T74" s="5"/>
      <c r="U74" s="5">
        <f t="shared" si="27"/>
        <v>0</v>
      </c>
      <c r="V74" s="5">
        <f>$V$1*S74</f>
        <v>848.93799999999999</v>
      </c>
      <c r="W74" s="5">
        <f t="shared" si="28"/>
        <v>848.93799999999999</v>
      </c>
      <c r="X74" s="5">
        <f t="shared" ref="X74:X75" si="33">$X$1*S74</f>
        <v>526.34155999999996</v>
      </c>
      <c r="Y74" s="5"/>
      <c r="Z74" s="1"/>
      <c r="AA74" s="1"/>
      <c r="AB74" s="1">
        <f t="shared" si="29"/>
        <v>13.518292855308632</v>
      </c>
      <c r="AC74" s="1">
        <f t="shared" si="30"/>
        <v>11.018292855308633</v>
      </c>
      <c r="AD74" s="1">
        <v>281.68239999999997</v>
      </c>
      <c r="AE74" s="1">
        <v>292.14519999999999</v>
      </c>
      <c r="AF74" s="1">
        <v>426.10300000000001</v>
      </c>
      <c r="AG74" s="1">
        <v>356.89120000000003</v>
      </c>
      <c r="AH74" s="1">
        <v>449.74619999999999</v>
      </c>
      <c r="AI74" s="1">
        <v>438.57800000000009</v>
      </c>
      <c r="AJ74" s="1">
        <v>343.56400000000002</v>
      </c>
      <c r="AK74" s="1">
        <v>445.36980000000011</v>
      </c>
      <c r="AL74" s="18" t="s">
        <v>49</v>
      </c>
      <c r="AM74" s="1">
        <f t="shared" si="31"/>
        <v>849</v>
      </c>
      <c r="AN74" s="1">
        <f t="shared" si="32"/>
        <v>526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118</v>
      </c>
      <c r="B75" s="1" t="s">
        <v>37</v>
      </c>
      <c r="C75" s="1">
        <v>1566.105</v>
      </c>
      <c r="D75" s="1">
        <v>414.05599999999998</v>
      </c>
      <c r="E75" s="1">
        <v>637.56200000000001</v>
      </c>
      <c r="F75" s="1">
        <v>1197.596</v>
      </c>
      <c r="G75" s="8">
        <v>1</v>
      </c>
      <c r="H75" s="1">
        <v>60</v>
      </c>
      <c r="I75" s="1" t="s">
        <v>38</v>
      </c>
      <c r="J75" s="1"/>
      <c r="K75" s="1">
        <v>776.31100000000004</v>
      </c>
      <c r="L75" s="1">
        <f t="shared" si="24"/>
        <v>-138.74900000000002</v>
      </c>
      <c r="M75" s="1">
        <f t="shared" si="25"/>
        <v>501.31600000000003</v>
      </c>
      <c r="N75" s="1">
        <v>136.24600000000001</v>
      </c>
      <c r="O75" s="1">
        <v>0</v>
      </c>
      <c r="P75" s="1">
        <v>0</v>
      </c>
      <c r="Q75" s="1">
        <v>69.666514000000006</v>
      </c>
      <c r="R75" s="1">
        <f>IFERROR(VLOOKUP(A75,[2]Sheet!$A:$D,4,0),0)</f>
        <v>0</v>
      </c>
      <c r="S75" s="1">
        <f t="shared" si="26"/>
        <v>100.26320000000001</v>
      </c>
      <c r="T75" s="5"/>
      <c r="U75" s="5">
        <f t="shared" si="27"/>
        <v>0</v>
      </c>
      <c r="V75" s="5"/>
      <c r="W75" s="5">
        <f t="shared" si="28"/>
        <v>0</v>
      </c>
      <c r="X75" s="5">
        <f t="shared" si="33"/>
        <v>155.40796000000003</v>
      </c>
      <c r="Y75" s="5"/>
      <c r="Z75" s="1"/>
      <c r="AA75" s="1"/>
      <c r="AB75" s="1">
        <f t="shared" si="29"/>
        <v>12.639358348825889</v>
      </c>
      <c r="AC75" s="1">
        <f t="shared" si="30"/>
        <v>12.639358348825889</v>
      </c>
      <c r="AD75" s="1">
        <v>114.20740000000001</v>
      </c>
      <c r="AE75" s="1">
        <v>92.879800000000003</v>
      </c>
      <c r="AF75" s="1">
        <v>145.39879999999999</v>
      </c>
      <c r="AG75" s="1">
        <v>123.854</v>
      </c>
      <c r="AH75" s="1">
        <v>217.0934</v>
      </c>
      <c r="AI75" s="1">
        <v>212.60059999999999</v>
      </c>
      <c r="AJ75" s="1">
        <v>128.0436</v>
      </c>
      <c r="AK75" s="1">
        <v>281.48399999999998</v>
      </c>
      <c r="AL75" s="1"/>
      <c r="AM75" s="1">
        <f t="shared" si="31"/>
        <v>0</v>
      </c>
      <c r="AN75" s="1">
        <f t="shared" si="32"/>
        <v>155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119</v>
      </c>
      <c r="B76" s="1" t="s">
        <v>37</v>
      </c>
      <c r="C76" s="1">
        <v>579.60299999999995</v>
      </c>
      <c r="D76" s="1">
        <v>1936.366</v>
      </c>
      <c r="E76" s="1">
        <v>1317.106</v>
      </c>
      <c r="F76" s="1">
        <v>317.80099999999999</v>
      </c>
      <c r="G76" s="8">
        <v>1</v>
      </c>
      <c r="H76" s="1">
        <v>60</v>
      </c>
      <c r="I76" s="1" t="s">
        <v>38</v>
      </c>
      <c r="J76" s="1"/>
      <c r="K76" s="1">
        <v>1743.4860000000001</v>
      </c>
      <c r="L76" s="1">
        <f t="shared" si="24"/>
        <v>-426.38000000000011</v>
      </c>
      <c r="M76" s="1">
        <f t="shared" si="25"/>
        <v>1093.0720000000001</v>
      </c>
      <c r="N76" s="1">
        <v>224.03399999999999</v>
      </c>
      <c r="O76" s="1">
        <v>974.11228000000074</v>
      </c>
      <c r="P76" s="1">
        <v>0</v>
      </c>
      <c r="Q76" s="1">
        <v>1943.03963</v>
      </c>
      <c r="R76" s="1">
        <f>IFERROR(VLOOKUP(A76,[2]Sheet!$A:$D,4,0),0)</f>
        <v>0</v>
      </c>
      <c r="S76" s="1">
        <f t="shared" si="26"/>
        <v>218.61440000000002</v>
      </c>
      <c r="T76" s="5"/>
      <c r="U76" s="5">
        <f t="shared" si="27"/>
        <v>0</v>
      </c>
      <c r="V76" s="5"/>
      <c r="W76" s="5">
        <f t="shared" si="28"/>
        <v>0</v>
      </c>
      <c r="X76" s="5"/>
      <c r="Y76" s="5"/>
      <c r="Z76" s="1"/>
      <c r="AA76" s="1"/>
      <c r="AB76" s="1">
        <f t="shared" si="29"/>
        <v>14.797528936794651</v>
      </c>
      <c r="AC76" s="1">
        <f t="shared" si="30"/>
        <v>14.797528936794651</v>
      </c>
      <c r="AD76" s="1">
        <v>337.26299999999998</v>
      </c>
      <c r="AE76" s="1">
        <v>184.1644</v>
      </c>
      <c r="AF76" s="1">
        <v>188.6756</v>
      </c>
      <c r="AG76" s="1">
        <v>191.93440000000001</v>
      </c>
      <c r="AH76" s="1">
        <v>222.18899999999999</v>
      </c>
      <c r="AI76" s="1">
        <v>257.75979999999998</v>
      </c>
      <c r="AJ76" s="1">
        <v>241.37219999999999</v>
      </c>
      <c r="AK76" s="1">
        <v>245.13919999999999</v>
      </c>
      <c r="AL76" s="1" t="s">
        <v>120</v>
      </c>
      <c r="AM76" s="1">
        <f t="shared" si="31"/>
        <v>0</v>
      </c>
      <c r="AN76" s="1">
        <f t="shared" si="32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121</v>
      </c>
      <c r="B77" s="1" t="s">
        <v>37</v>
      </c>
      <c r="C77" s="1">
        <v>3068.7750000000001</v>
      </c>
      <c r="D77" s="1">
        <v>3138.2020000000002</v>
      </c>
      <c r="E77" s="1">
        <v>2023.354</v>
      </c>
      <c r="F77" s="1">
        <v>3534.3580000000002</v>
      </c>
      <c r="G77" s="8">
        <v>1</v>
      </c>
      <c r="H77" s="1">
        <v>60</v>
      </c>
      <c r="I77" s="1" t="s">
        <v>38</v>
      </c>
      <c r="J77" s="1"/>
      <c r="K77" s="1">
        <v>2479.4119999999998</v>
      </c>
      <c r="L77" s="1">
        <f t="shared" si="24"/>
        <v>-456.05799999999977</v>
      </c>
      <c r="M77" s="1">
        <f t="shared" si="25"/>
        <v>1494.3400000000001</v>
      </c>
      <c r="N77" s="1">
        <v>529.01400000000001</v>
      </c>
      <c r="O77" s="1">
        <v>0</v>
      </c>
      <c r="P77" s="1">
        <v>127</v>
      </c>
      <c r="Q77" s="1">
        <v>0</v>
      </c>
      <c r="R77" s="1">
        <f>IFERROR(VLOOKUP(A77,[2]Sheet!$A:$D,4,0),0)</f>
        <v>127</v>
      </c>
      <c r="S77" s="1">
        <f t="shared" si="26"/>
        <v>298.86800000000005</v>
      </c>
      <c r="T77" s="5"/>
      <c r="U77" s="5">
        <f t="shared" si="27"/>
        <v>0</v>
      </c>
      <c r="V77" s="5"/>
      <c r="W77" s="5">
        <f t="shared" si="28"/>
        <v>0</v>
      </c>
      <c r="X77" s="5">
        <f>$X$1*S77</f>
        <v>463.24540000000007</v>
      </c>
      <c r="Y77" s="5"/>
      <c r="Z77" s="1"/>
      <c r="AA77" s="1"/>
      <c r="AB77" s="1">
        <f t="shared" si="29"/>
        <v>11.825816079339372</v>
      </c>
      <c r="AC77" s="1">
        <f t="shared" si="30"/>
        <v>11.825816079339372</v>
      </c>
      <c r="AD77" s="1">
        <v>282.35520000000002</v>
      </c>
      <c r="AE77" s="1">
        <v>298.19860000000011</v>
      </c>
      <c r="AF77" s="1">
        <v>418.76859999999999</v>
      </c>
      <c r="AG77" s="1">
        <v>363.77280000000002</v>
      </c>
      <c r="AH77" s="1">
        <v>424.80040000000002</v>
      </c>
      <c r="AI77" s="1">
        <v>503.06060000000002</v>
      </c>
      <c r="AJ77" s="1">
        <v>405.0668</v>
      </c>
      <c r="AK77" s="1">
        <v>491.63380000000001</v>
      </c>
      <c r="AL77" s="18" t="s">
        <v>49</v>
      </c>
      <c r="AM77" s="1">
        <f t="shared" si="31"/>
        <v>0</v>
      </c>
      <c r="AN77" s="1">
        <f t="shared" si="32"/>
        <v>463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122</v>
      </c>
      <c r="B78" s="1" t="s">
        <v>37</v>
      </c>
      <c r="C78" s="1">
        <v>179.614</v>
      </c>
      <c r="D78" s="1">
        <v>12.148</v>
      </c>
      <c r="E78" s="1">
        <v>12.148</v>
      </c>
      <c r="F78" s="1">
        <v>145.703</v>
      </c>
      <c r="G78" s="8">
        <v>1</v>
      </c>
      <c r="H78" s="1">
        <v>60</v>
      </c>
      <c r="I78" s="1" t="s">
        <v>38</v>
      </c>
      <c r="J78" s="1"/>
      <c r="K78" s="1">
        <v>24.148</v>
      </c>
      <c r="L78" s="1">
        <f t="shared" si="24"/>
        <v>-12</v>
      </c>
      <c r="M78" s="1">
        <f t="shared" si="25"/>
        <v>0</v>
      </c>
      <c r="N78" s="1">
        <v>12.148</v>
      </c>
      <c r="O78" s="1">
        <v>0</v>
      </c>
      <c r="P78" s="1">
        <v>0</v>
      </c>
      <c r="Q78" s="1">
        <v>0</v>
      </c>
      <c r="R78" s="1">
        <f>IFERROR(VLOOKUP(A78,[2]Sheet!$A:$D,4,0),0)</f>
        <v>0</v>
      </c>
      <c r="S78" s="1">
        <f t="shared" si="26"/>
        <v>0</v>
      </c>
      <c r="T78" s="5"/>
      <c r="U78" s="5">
        <f t="shared" si="27"/>
        <v>0</v>
      </c>
      <c r="V78" s="5"/>
      <c r="W78" s="5">
        <f t="shared" si="28"/>
        <v>0</v>
      </c>
      <c r="X78" s="5"/>
      <c r="Y78" s="5"/>
      <c r="Z78" s="1"/>
      <c r="AA78" s="1"/>
      <c r="AB78" s="1" t="e">
        <f t="shared" si="29"/>
        <v>#DIV/0!</v>
      </c>
      <c r="AC78" s="1" t="e">
        <f t="shared" si="30"/>
        <v>#DIV/0!</v>
      </c>
      <c r="AD78" s="1">
        <v>0</v>
      </c>
      <c r="AE78" s="1">
        <v>0</v>
      </c>
      <c r="AF78" s="1">
        <v>2.3967999999999998</v>
      </c>
      <c r="AG78" s="1">
        <v>0</v>
      </c>
      <c r="AH78" s="1">
        <v>2.4283999999999999</v>
      </c>
      <c r="AI78" s="1">
        <v>0</v>
      </c>
      <c r="AJ78" s="1">
        <v>5.8215999999999992</v>
      </c>
      <c r="AK78" s="1">
        <v>1.2829999999999999</v>
      </c>
      <c r="AL78" s="22" t="s">
        <v>56</v>
      </c>
      <c r="AM78" s="1">
        <f t="shared" si="31"/>
        <v>0</v>
      </c>
      <c r="AN78" s="1">
        <f t="shared" si="32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123</v>
      </c>
      <c r="B79" s="1" t="s">
        <v>42</v>
      </c>
      <c r="C79" s="1">
        <v>92</v>
      </c>
      <c r="D79" s="1">
        <v>87</v>
      </c>
      <c r="E79" s="1">
        <v>113</v>
      </c>
      <c r="F79" s="1">
        <v>32</v>
      </c>
      <c r="G79" s="8">
        <v>0.3</v>
      </c>
      <c r="H79" s="1">
        <v>40</v>
      </c>
      <c r="I79" s="1" t="s">
        <v>38</v>
      </c>
      <c r="J79" s="1"/>
      <c r="K79" s="1">
        <v>114</v>
      </c>
      <c r="L79" s="1">
        <f t="shared" si="24"/>
        <v>-1</v>
      </c>
      <c r="M79" s="1">
        <f t="shared" si="25"/>
        <v>113</v>
      </c>
      <c r="N79" s="1"/>
      <c r="O79" s="1">
        <v>56.400000000000091</v>
      </c>
      <c r="P79" s="1">
        <v>0</v>
      </c>
      <c r="Q79" s="1">
        <v>106.6</v>
      </c>
      <c r="R79" s="1">
        <f>IFERROR(VLOOKUP(A79,[2]Sheet!$A:$D,4,0),0)</f>
        <v>0</v>
      </c>
      <c r="S79" s="1">
        <f t="shared" si="26"/>
        <v>22.6</v>
      </c>
      <c r="T79" s="5">
        <f t="shared" ref="T79:T83" si="34">11*S79-Q79-O79-F79</f>
        <v>53.599999999999937</v>
      </c>
      <c r="U79" s="5">
        <f t="shared" si="27"/>
        <v>53.599999999999937</v>
      </c>
      <c r="V79" s="5"/>
      <c r="W79" s="5">
        <f t="shared" si="28"/>
        <v>53.599999999999937</v>
      </c>
      <c r="X79" s="5"/>
      <c r="Y79" s="5"/>
      <c r="Z79" s="1"/>
      <c r="AA79" s="1"/>
      <c r="AB79" s="1">
        <f t="shared" si="29"/>
        <v>11</v>
      </c>
      <c r="AC79" s="1">
        <f t="shared" si="30"/>
        <v>8.628318584070799</v>
      </c>
      <c r="AD79" s="1">
        <v>20.6</v>
      </c>
      <c r="AE79" s="1">
        <v>17.600000000000001</v>
      </c>
      <c r="AF79" s="1">
        <v>16.2</v>
      </c>
      <c r="AG79" s="1">
        <v>16.600000000000001</v>
      </c>
      <c r="AH79" s="1">
        <v>18</v>
      </c>
      <c r="AI79" s="1">
        <v>18.600000000000001</v>
      </c>
      <c r="AJ79" s="1">
        <v>16.2</v>
      </c>
      <c r="AK79" s="1">
        <v>16.2</v>
      </c>
      <c r="AL79" s="1"/>
      <c r="AM79" s="1">
        <f t="shared" si="31"/>
        <v>16</v>
      </c>
      <c r="AN79" s="1">
        <f t="shared" si="32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124</v>
      </c>
      <c r="B80" s="1" t="s">
        <v>42</v>
      </c>
      <c r="C80" s="1">
        <v>86</v>
      </c>
      <c r="D80" s="1">
        <v>104</v>
      </c>
      <c r="E80" s="1">
        <v>56</v>
      </c>
      <c r="F80" s="1">
        <v>100</v>
      </c>
      <c r="G80" s="8">
        <v>7.0000000000000007E-2</v>
      </c>
      <c r="H80" s="1">
        <v>90</v>
      </c>
      <c r="I80" s="1" t="s">
        <v>38</v>
      </c>
      <c r="J80" s="1"/>
      <c r="K80" s="1">
        <v>56</v>
      </c>
      <c r="L80" s="1">
        <f t="shared" si="24"/>
        <v>0</v>
      </c>
      <c r="M80" s="1">
        <f t="shared" si="25"/>
        <v>56</v>
      </c>
      <c r="N80" s="1"/>
      <c r="O80" s="1">
        <v>0</v>
      </c>
      <c r="P80" s="1">
        <v>0</v>
      </c>
      <c r="Q80" s="1">
        <v>0</v>
      </c>
      <c r="R80" s="1">
        <f>IFERROR(VLOOKUP(A80,[2]Sheet!$A:$D,4,0),0)</f>
        <v>0</v>
      </c>
      <c r="S80" s="1">
        <f t="shared" si="26"/>
        <v>11.2</v>
      </c>
      <c r="T80" s="5">
        <f t="shared" si="34"/>
        <v>23.199999999999989</v>
      </c>
      <c r="U80" s="5">
        <f t="shared" si="27"/>
        <v>23.199999999999989</v>
      </c>
      <c r="V80" s="5"/>
      <c r="W80" s="5">
        <f t="shared" si="28"/>
        <v>23.199999999999989</v>
      </c>
      <c r="X80" s="5"/>
      <c r="Y80" s="5"/>
      <c r="Z80" s="1"/>
      <c r="AA80" s="1"/>
      <c r="AB80" s="1">
        <f t="shared" si="29"/>
        <v>11</v>
      </c>
      <c r="AC80" s="1">
        <f t="shared" si="30"/>
        <v>8.9285714285714288</v>
      </c>
      <c r="AD80" s="1">
        <v>8</v>
      </c>
      <c r="AE80" s="1">
        <v>9</v>
      </c>
      <c r="AF80" s="1">
        <v>12.6</v>
      </c>
      <c r="AG80" s="1">
        <v>10.8</v>
      </c>
      <c r="AH80" s="1">
        <v>12</v>
      </c>
      <c r="AI80" s="1">
        <v>13</v>
      </c>
      <c r="AJ80" s="1">
        <v>12</v>
      </c>
      <c r="AK80" s="1">
        <v>14.4</v>
      </c>
      <c r="AL80" s="1"/>
      <c r="AM80" s="1">
        <f t="shared" si="31"/>
        <v>2</v>
      </c>
      <c r="AN80" s="1">
        <f t="shared" si="32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125</v>
      </c>
      <c r="B81" s="1" t="s">
        <v>42</v>
      </c>
      <c r="C81" s="1">
        <v>151</v>
      </c>
      <c r="D81" s="1">
        <v>2</v>
      </c>
      <c r="E81" s="1">
        <v>52</v>
      </c>
      <c r="F81" s="1">
        <v>97</v>
      </c>
      <c r="G81" s="8">
        <v>7.0000000000000007E-2</v>
      </c>
      <c r="H81" s="1">
        <v>90</v>
      </c>
      <c r="I81" s="1" t="s">
        <v>38</v>
      </c>
      <c r="J81" s="1"/>
      <c r="K81" s="1">
        <v>52</v>
      </c>
      <c r="L81" s="1">
        <f t="shared" si="24"/>
        <v>0</v>
      </c>
      <c r="M81" s="1">
        <f t="shared" si="25"/>
        <v>52</v>
      </c>
      <c r="N81" s="1"/>
      <c r="O81" s="1">
        <v>0</v>
      </c>
      <c r="P81" s="1">
        <v>0</v>
      </c>
      <c r="Q81" s="1">
        <v>0</v>
      </c>
      <c r="R81" s="1">
        <f>IFERROR(VLOOKUP(A81,[2]Sheet!$A:$D,4,0),0)</f>
        <v>0</v>
      </c>
      <c r="S81" s="1">
        <f t="shared" si="26"/>
        <v>10.4</v>
      </c>
      <c r="T81" s="5">
        <f t="shared" si="34"/>
        <v>17.400000000000006</v>
      </c>
      <c r="U81" s="5">
        <f t="shared" si="27"/>
        <v>17.400000000000006</v>
      </c>
      <c r="V81" s="5"/>
      <c r="W81" s="5">
        <f t="shared" si="28"/>
        <v>17.400000000000006</v>
      </c>
      <c r="X81" s="5"/>
      <c r="Y81" s="5"/>
      <c r="Z81" s="1"/>
      <c r="AA81" s="1"/>
      <c r="AB81" s="1">
        <f t="shared" si="29"/>
        <v>11</v>
      </c>
      <c r="AC81" s="1">
        <f t="shared" si="30"/>
        <v>9.3269230769230766</v>
      </c>
      <c r="AD81" s="1">
        <v>8.4</v>
      </c>
      <c r="AE81" s="1">
        <v>10.8</v>
      </c>
      <c r="AF81" s="1">
        <v>13</v>
      </c>
      <c r="AG81" s="1">
        <v>12.2</v>
      </c>
      <c r="AH81" s="1">
        <v>18</v>
      </c>
      <c r="AI81" s="1">
        <v>19.600000000000001</v>
      </c>
      <c r="AJ81" s="1">
        <v>14.4</v>
      </c>
      <c r="AK81" s="1">
        <v>18</v>
      </c>
      <c r="AL81" s="1"/>
      <c r="AM81" s="1">
        <f t="shared" si="31"/>
        <v>1</v>
      </c>
      <c r="AN81" s="1">
        <f t="shared" si="32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126</v>
      </c>
      <c r="B82" s="1" t="s">
        <v>42</v>
      </c>
      <c r="C82" s="1">
        <v>98</v>
      </c>
      <c r="D82" s="1">
        <v>2</v>
      </c>
      <c r="E82" s="1">
        <v>54</v>
      </c>
      <c r="F82" s="1">
        <v>45</v>
      </c>
      <c r="G82" s="8">
        <v>7.0000000000000007E-2</v>
      </c>
      <c r="H82" s="1">
        <v>90</v>
      </c>
      <c r="I82" s="1" t="s">
        <v>38</v>
      </c>
      <c r="J82" s="1"/>
      <c r="K82" s="1">
        <v>54</v>
      </c>
      <c r="L82" s="1">
        <f t="shared" si="24"/>
        <v>0</v>
      </c>
      <c r="M82" s="1">
        <f t="shared" si="25"/>
        <v>54</v>
      </c>
      <c r="N82" s="1"/>
      <c r="O82" s="1">
        <v>16.400000000000009</v>
      </c>
      <c r="P82" s="1">
        <v>0</v>
      </c>
      <c r="Q82" s="1">
        <v>27.999999999999989</v>
      </c>
      <c r="R82" s="1">
        <f>IFERROR(VLOOKUP(A82,[2]Sheet!$A:$D,4,0),0)</f>
        <v>0</v>
      </c>
      <c r="S82" s="1">
        <f t="shared" si="26"/>
        <v>10.8</v>
      </c>
      <c r="T82" s="5">
        <f t="shared" si="34"/>
        <v>29.40000000000002</v>
      </c>
      <c r="U82" s="5">
        <f t="shared" si="27"/>
        <v>29.40000000000002</v>
      </c>
      <c r="V82" s="5"/>
      <c r="W82" s="5">
        <f t="shared" si="28"/>
        <v>29.40000000000002</v>
      </c>
      <c r="X82" s="5"/>
      <c r="Y82" s="5"/>
      <c r="Z82" s="1"/>
      <c r="AA82" s="1"/>
      <c r="AB82" s="1">
        <f t="shared" si="29"/>
        <v>11</v>
      </c>
      <c r="AC82" s="1">
        <f t="shared" si="30"/>
        <v>8.2777777777777768</v>
      </c>
      <c r="AD82" s="1">
        <v>10.199999999999999</v>
      </c>
      <c r="AE82" s="1">
        <v>10.4</v>
      </c>
      <c r="AF82" s="1">
        <v>9</v>
      </c>
      <c r="AG82" s="1">
        <v>8.8000000000000007</v>
      </c>
      <c r="AH82" s="1">
        <v>12</v>
      </c>
      <c r="AI82" s="1">
        <v>13.6</v>
      </c>
      <c r="AJ82" s="1">
        <v>12.6</v>
      </c>
      <c r="AK82" s="1">
        <v>13.4</v>
      </c>
      <c r="AL82" s="1"/>
      <c r="AM82" s="1">
        <f t="shared" si="31"/>
        <v>2</v>
      </c>
      <c r="AN82" s="1">
        <f t="shared" si="32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127</v>
      </c>
      <c r="B83" s="1" t="s">
        <v>42</v>
      </c>
      <c r="C83" s="1">
        <v>94</v>
      </c>
      <c r="D83" s="1">
        <v>1</v>
      </c>
      <c r="E83" s="1">
        <v>39</v>
      </c>
      <c r="F83" s="1">
        <v>55</v>
      </c>
      <c r="G83" s="8">
        <v>0.05</v>
      </c>
      <c r="H83" s="1">
        <v>90</v>
      </c>
      <c r="I83" s="1" t="s">
        <v>38</v>
      </c>
      <c r="J83" s="1"/>
      <c r="K83" s="1">
        <v>39</v>
      </c>
      <c r="L83" s="1">
        <f t="shared" si="24"/>
        <v>0</v>
      </c>
      <c r="M83" s="1">
        <f t="shared" si="25"/>
        <v>39</v>
      </c>
      <c r="N83" s="1"/>
      <c r="O83" s="1">
        <v>10</v>
      </c>
      <c r="P83" s="1">
        <v>0</v>
      </c>
      <c r="Q83" s="1">
        <v>0</v>
      </c>
      <c r="R83" s="1">
        <f>IFERROR(VLOOKUP(A83,[2]Sheet!$A:$D,4,0),0)</f>
        <v>0</v>
      </c>
      <c r="S83" s="1">
        <f t="shared" si="26"/>
        <v>7.8</v>
      </c>
      <c r="T83" s="5">
        <f t="shared" si="34"/>
        <v>20.799999999999997</v>
      </c>
      <c r="U83" s="5">
        <f t="shared" si="27"/>
        <v>20.799999999999997</v>
      </c>
      <c r="V83" s="5"/>
      <c r="W83" s="5">
        <f t="shared" si="28"/>
        <v>20.799999999999997</v>
      </c>
      <c r="X83" s="5"/>
      <c r="Y83" s="5"/>
      <c r="Z83" s="1"/>
      <c r="AA83" s="1"/>
      <c r="AB83" s="1">
        <f t="shared" si="29"/>
        <v>11</v>
      </c>
      <c r="AC83" s="1">
        <f t="shared" si="30"/>
        <v>8.3333333333333339</v>
      </c>
      <c r="AD83" s="1">
        <v>7.8</v>
      </c>
      <c r="AE83" s="1">
        <v>9.4</v>
      </c>
      <c r="AF83" s="1">
        <v>10</v>
      </c>
      <c r="AG83" s="1">
        <v>9</v>
      </c>
      <c r="AH83" s="1">
        <v>10.199999999999999</v>
      </c>
      <c r="AI83" s="1">
        <v>11.4</v>
      </c>
      <c r="AJ83" s="1">
        <v>13</v>
      </c>
      <c r="AK83" s="1">
        <v>15.6</v>
      </c>
      <c r="AL83" s="1"/>
      <c r="AM83" s="1">
        <f t="shared" si="31"/>
        <v>1</v>
      </c>
      <c r="AN83" s="1">
        <f t="shared" si="32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128</v>
      </c>
      <c r="B84" s="1" t="s">
        <v>42</v>
      </c>
      <c r="C84" s="1">
        <v>109</v>
      </c>
      <c r="D84" s="1">
        <v>36</v>
      </c>
      <c r="E84" s="1">
        <v>41</v>
      </c>
      <c r="F84" s="1">
        <v>104</v>
      </c>
      <c r="G84" s="8">
        <v>0.05</v>
      </c>
      <c r="H84" s="1">
        <v>90</v>
      </c>
      <c r="I84" s="1" t="s">
        <v>38</v>
      </c>
      <c r="J84" s="1"/>
      <c r="K84" s="1">
        <v>41</v>
      </c>
      <c r="L84" s="1">
        <f t="shared" si="24"/>
        <v>0</v>
      </c>
      <c r="M84" s="1">
        <f t="shared" si="25"/>
        <v>41</v>
      </c>
      <c r="N84" s="1"/>
      <c r="O84" s="1">
        <v>0</v>
      </c>
      <c r="P84" s="1">
        <v>0</v>
      </c>
      <c r="Q84" s="1">
        <v>0</v>
      </c>
      <c r="R84" s="1">
        <f>IFERROR(VLOOKUP(A84,[2]Sheet!$A:$D,4,0),0)</f>
        <v>0</v>
      </c>
      <c r="S84" s="1">
        <f t="shared" si="26"/>
        <v>8.1999999999999993</v>
      </c>
      <c r="T84" s="5"/>
      <c r="U84" s="5">
        <f t="shared" si="27"/>
        <v>0</v>
      </c>
      <c r="V84" s="5"/>
      <c r="W84" s="5">
        <f t="shared" si="28"/>
        <v>0</v>
      </c>
      <c r="X84" s="5"/>
      <c r="Y84" s="5"/>
      <c r="Z84" s="1"/>
      <c r="AA84" s="1"/>
      <c r="AB84" s="1">
        <f t="shared" si="29"/>
        <v>12.682926829268293</v>
      </c>
      <c r="AC84" s="1">
        <f t="shared" si="30"/>
        <v>12.682926829268293</v>
      </c>
      <c r="AD84" s="1">
        <v>6.6</v>
      </c>
      <c r="AE84" s="1">
        <v>8.4</v>
      </c>
      <c r="AF84" s="1">
        <v>11.8</v>
      </c>
      <c r="AG84" s="1">
        <v>11</v>
      </c>
      <c r="AH84" s="1">
        <v>11.8</v>
      </c>
      <c r="AI84" s="1">
        <v>12.6</v>
      </c>
      <c r="AJ84" s="1">
        <v>12.8</v>
      </c>
      <c r="AK84" s="1">
        <v>12.6</v>
      </c>
      <c r="AL84" s="1"/>
      <c r="AM84" s="1">
        <f t="shared" si="31"/>
        <v>0</v>
      </c>
      <c r="AN84" s="1">
        <f t="shared" si="32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129</v>
      </c>
      <c r="B85" s="1" t="s">
        <v>42</v>
      </c>
      <c r="C85" s="1">
        <v>85</v>
      </c>
      <c r="D85" s="1">
        <v>36</v>
      </c>
      <c r="E85" s="1">
        <v>35</v>
      </c>
      <c r="F85" s="1">
        <v>86</v>
      </c>
      <c r="G85" s="8">
        <v>5.5E-2</v>
      </c>
      <c r="H85" s="1">
        <v>90</v>
      </c>
      <c r="I85" s="1" t="s">
        <v>38</v>
      </c>
      <c r="J85" s="1"/>
      <c r="K85" s="1">
        <v>35</v>
      </c>
      <c r="L85" s="1">
        <f t="shared" si="24"/>
        <v>0</v>
      </c>
      <c r="M85" s="1">
        <f t="shared" si="25"/>
        <v>35</v>
      </c>
      <c r="N85" s="1"/>
      <c r="O85" s="1">
        <v>0</v>
      </c>
      <c r="P85" s="1">
        <v>0</v>
      </c>
      <c r="Q85" s="1">
        <v>0</v>
      </c>
      <c r="R85" s="1">
        <f>IFERROR(VLOOKUP(A85,[2]Sheet!$A:$D,4,0),0)</f>
        <v>0</v>
      </c>
      <c r="S85" s="1">
        <f t="shared" si="26"/>
        <v>7</v>
      </c>
      <c r="T85" s="5"/>
      <c r="U85" s="5">
        <f t="shared" si="27"/>
        <v>0</v>
      </c>
      <c r="V85" s="5"/>
      <c r="W85" s="5">
        <f t="shared" si="28"/>
        <v>0</v>
      </c>
      <c r="X85" s="5"/>
      <c r="Y85" s="5"/>
      <c r="Z85" s="1"/>
      <c r="AA85" s="1"/>
      <c r="AB85" s="1">
        <f t="shared" si="29"/>
        <v>12.285714285714286</v>
      </c>
      <c r="AC85" s="1">
        <f t="shared" si="30"/>
        <v>12.285714285714286</v>
      </c>
      <c r="AD85" s="1">
        <v>6.8</v>
      </c>
      <c r="AE85" s="1">
        <v>6.8</v>
      </c>
      <c r="AF85" s="1">
        <v>10.199999999999999</v>
      </c>
      <c r="AG85" s="1">
        <v>8.1999999999999993</v>
      </c>
      <c r="AH85" s="1">
        <v>6.6</v>
      </c>
      <c r="AI85" s="1">
        <v>7.8</v>
      </c>
      <c r="AJ85" s="1">
        <v>10.6</v>
      </c>
      <c r="AK85" s="1">
        <v>11</v>
      </c>
      <c r="AL85" s="1"/>
      <c r="AM85" s="1">
        <f t="shared" si="31"/>
        <v>0</v>
      </c>
      <c r="AN85" s="1">
        <f t="shared" si="32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2" t="s">
        <v>130</v>
      </c>
      <c r="B86" s="12" t="s">
        <v>42</v>
      </c>
      <c r="C86" s="12">
        <v>14</v>
      </c>
      <c r="D86" s="12"/>
      <c r="E86" s="12">
        <v>1</v>
      </c>
      <c r="F86" s="12">
        <v>11</v>
      </c>
      <c r="G86" s="13">
        <v>0</v>
      </c>
      <c r="H86" s="12">
        <v>120</v>
      </c>
      <c r="I86" s="12" t="s">
        <v>131</v>
      </c>
      <c r="J86" s="12"/>
      <c r="K86" s="12">
        <v>3</v>
      </c>
      <c r="L86" s="12">
        <f t="shared" si="24"/>
        <v>-2</v>
      </c>
      <c r="M86" s="12">
        <f t="shared" si="25"/>
        <v>1</v>
      </c>
      <c r="N86" s="12"/>
      <c r="O86" s="12">
        <v>0</v>
      </c>
      <c r="P86" s="12">
        <v>0</v>
      </c>
      <c r="Q86" s="12">
        <v>0</v>
      </c>
      <c r="R86" s="1">
        <f>IFERROR(VLOOKUP(A86,[2]Sheet!$A:$D,4,0),0)</f>
        <v>0</v>
      </c>
      <c r="S86" s="12">
        <f t="shared" si="26"/>
        <v>0.2</v>
      </c>
      <c r="T86" s="14"/>
      <c r="U86" s="5">
        <f t="shared" si="27"/>
        <v>0</v>
      </c>
      <c r="V86" s="14"/>
      <c r="W86" s="5">
        <f t="shared" si="28"/>
        <v>0</v>
      </c>
      <c r="X86" s="5"/>
      <c r="Y86" s="14"/>
      <c r="Z86" s="12"/>
      <c r="AA86" s="12"/>
      <c r="AB86" s="1">
        <f t="shared" si="29"/>
        <v>55</v>
      </c>
      <c r="AC86" s="12">
        <f t="shared" si="30"/>
        <v>55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0.6</v>
      </c>
      <c r="AJ86" s="12">
        <v>0.6</v>
      </c>
      <c r="AK86" s="12">
        <v>0</v>
      </c>
      <c r="AL86" s="12"/>
      <c r="AM86" s="1">
        <f t="shared" si="31"/>
        <v>0</v>
      </c>
      <c r="AN86" s="1">
        <f t="shared" si="32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132</v>
      </c>
      <c r="B87" s="1" t="s">
        <v>37</v>
      </c>
      <c r="C87" s="1">
        <v>3944.4830000000002</v>
      </c>
      <c r="D87" s="1">
        <v>4909.4399999999996</v>
      </c>
      <c r="E87" s="1">
        <v>4524.5020000000004</v>
      </c>
      <c r="F87" s="1">
        <v>3436.5790000000002</v>
      </c>
      <c r="G87" s="8">
        <v>1</v>
      </c>
      <c r="H87" s="1">
        <v>40</v>
      </c>
      <c r="I87" s="1" t="s">
        <v>38</v>
      </c>
      <c r="J87" s="1"/>
      <c r="K87" s="1">
        <v>4470.0219999999999</v>
      </c>
      <c r="L87" s="1">
        <f t="shared" si="24"/>
        <v>54.480000000000473</v>
      </c>
      <c r="M87" s="1">
        <f t="shared" si="25"/>
        <v>4234.7800000000007</v>
      </c>
      <c r="N87" s="1">
        <v>289.72199999999998</v>
      </c>
      <c r="O87" s="1">
        <v>1123.4527999999971</v>
      </c>
      <c r="P87" s="1">
        <v>0</v>
      </c>
      <c r="Q87" s="1">
        <v>2279.8556000000008</v>
      </c>
      <c r="R87" s="1">
        <f>IFERROR(VLOOKUP(A87,[2]Sheet!$A:$D,4,0),0)</f>
        <v>0</v>
      </c>
      <c r="S87" s="1">
        <f t="shared" si="26"/>
        <v>846.95600000000013</v>
      </c>
      <c r="T87" s="5">
        <f>10*S87-Q87-O87-F87</f>
        <v>1629.6726000000031</v>
      </c>
      <c r="U87" s="5">
        <f t="shared" si="27"/>
        <v>1629.6726000000031</v>
      </c>
      <c r="V87" s="5"/>
      <c r="W87" s="5">
        <f t="shared" si="28"/>
        <v>1629.6726000000031</v>
      </c>
      <c r="X87" s="5"/>
      <c r="Y87" s="5"/>
      <c r="Z87" s="1"/>
      <c r="AA87" s="1"/>
      <c r="AB87" s="1">
        <f t="shared" si="29"/>
        <v>10</v>
      </c>
      <c r="AC87" s="1">
        <f t="shared" si="30"/>
        <v>8.0758473875856556</v>
      </c>
      <c r="AD87" s="1">
        <v>799.82920000000013</v>
      </c>
      <c r="AE87" s="1">
        <v>752.95440000000008</v>
      </c>
      <c r="AF87" s="1">
        <v>892.5472000000002</v>
      </c>
      <c r="AG87" s="1">
        <v>763.92160000000001</v>
      </c>
      <c r="AH87" s="1">
        <v>926.77520000000004</v>
      </c>
      <c r="AI87" s="1">
        <v>871.38319999999987</v>
      </c>
      <c r="AJ87" s="1">
        <v>808.63199999999995</v>
      </c>
      <c r="AK87" s="1">
        <v>837.73419999999987</v>
      </c>
      <c r="AL87" s="1" t="s">
        <v>49</v>
      </c>
      <c r="AM87" s="1">
        <f t="shared" si="31"/>
        <v>1630</v>
      </c>
      <c r="AN87" s="1">
        <f t="shared" si="32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1" t="s">
        <v>133</v>
      </c>
      <c r="B88" s="1" t="s">
        <v>37</v>
      </c>
      <c r="C88" s="1">
        <v>28.74</v>
      </c>
      <c r="D88" s="1"/>
      <c r="E88" s="1"/>
      <c r="F88" s="1">
        <v>-1.6E-2</v>
      </c>
      <c r="G88" s="8">
        <v>1</v>
      </c>
      <c r="H88" s="1">
        <v>60</v>
      </c>
      <c r="I88" s="1" t="s">
        <v>38</v>
      </c>
      <c r="J88" s="1"/>
      <c r="K88" s="1">
        <v>8</v>
      </c>
      <c r="L88" s="1">
        <f t="shared" si="24"/>
        <v>-8</v>
      </c>
      <c r="M88" s="1">
        <f t="shared" si="25"/>
        <v>0</v>
      </c>
      <c r="N88" s="1"/>
      <c r="O88" s="1">
        <v>0</v>
      </c>
      <c r="P88" s="1">
        <v>0</v>
      </c>
      <c r="Q88" s="11"/>
      <c r="R88" s="1">
        <f>IFERROR(VLOOKUP(A88,[2]Sheet!$A:$D,4,0),0)</f>
        <v>0</v>
      </c>
      <c r="S88" s="1">
        <f t="shared" si="26"/>
        <v>0</v>
      </c>
      <c r="T88" s="19">
        <v>4</v>
      </c>
      <c r="U88" s="5">
        <f t="shared" si="27"/>
        <v>4</v>
      </c>
      <c r="V88" s="19"/>
      <c r="W88" s="5">
        <f t="shared" si="28"/>
        <v>4</v>
      </c>
      <c r="X88" s="5"/>
      <c r="Y88" s="5"/>
      <c r="Z88" s="1"/>
      <c r="AA88" s="1"/>
      <c r="AB88" s="1" t="e">
        <f t="shared" si="29"/>
        <v>#DIV/0!</v>
      </c>
      <c r="AC88" s="1" t="e">
        <f t="shared" si="30"/>
        <v>#DIV/0!</v>
      </c>
      <c r="AD88" s="1">
        <v>0.72300000000000009</v>
      </c>
      <c r="AE88" s="1">
        <v>1.7996000000000001</v>
      </c>
      <c r="AF88" s="1">
        <v>1.4376</v>
      </c>
      <c r="AG88" s="1">
        <v>2.16</v>
      </c>
      <c r="AH88" s="1">
        <v>3.5950000000000002</v>
      </c>
      <c r="AI88" s="1">
        <v>2.875</v>
      </c>
      <c r="AJ88" s="1">
        <v>1.7969999999999999</v>
      </c>
      <c r="AK88" s="1">
        <v>1.4372</v>
      </c>
      <c r="AL88" s="20" t="s">
        <v>144</v>
      </c>
      <c r="AM88" s="1">
        <f t="shared" si="31"/>
        <v>4</v>
      </c>
      <c r="AN88" s="1">
        <f t="shared" si="32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134</v>
      </c>
      <c r="B89" s="1" t="s">
        <v>42</v>
      </c>
      <c r="C89" s="1">
        <v>235</v>
      </c>
      <c r="D89" s="1">
        <v>135</v>
      </c>
      <c r="E89" s="1">
        <v>185</v>
      </c>
      <c r="F89" s="1">
        <v>176</v>
      </c>
      <c r="G89" s="8">
        <v>0.3</v>
      </c>
      <c r="H89" s="1">
        <v>40</v>
      </c>
      <c r="I89" s="1" t="s">
        <v>38</v>
      </c>
      <c r="J89" s="1"/>
      <c r="K89" s="1">
        <v>190</v>
      </c>
      <c r="L89" s="1">
        <f t="shared" si="24"/>
        <v>-5</v>
      </c>
      <c r="M89" s="1">
        <f t="shared" si="25"/>
        <v>185</v>
      </c>
      <c r="N89" s="1"/>
      <c r="O89" s="1">
        <v>94.800000000000011</v>
      </c>
      <c r="P89" s="1">
        <v>0</v>
      </c>
      <c r="Q89" s="1">
        <v>59.599999999999973</v>
      </c>
      <c r="R89" s="1">
        <f>IFERROR(VLOOKUP(A89,[2]Sheet!$A:$D,4,0),0)</f>
        <v>0</v>
      </c>
      <c r="S89" s="1">
        <f t="shared" si="26"/>
        <v>37</v>
      </c>
      <c r="T89" s="5">
        <f t="shared" ref="T89:T93" si="35">11*S89-Q89-O89-F89</f>
        <v>76.600000000000023</v>
      </c>
      <c r="U89" s="5">
        <f t="shared" si="27"/>
        <v>76.600000000000023</v>
      </c>
      <c r="V89" s="5"/>
      <c r="W89" s="5">
        <f t="shared" si="28"/>
        <v>76.600000000000023</v>
      </c>
      <c r="X89" s="5"/>
      <c r="Y89" s="5"/>
      <c r="Z89" s="1"/>
      <c r="AA89" s="1"/>
      <c r="AB89" s="1">
        <f t="shared" si="29"/>
        <v>11</v>
      </c>
      <c r="AC89" s="1">
        <f t="shared" si="30"/>
        <v>8.9297297297297291</v>
      </c>
      <c r="AD89" s="1">
        <v>36.799999999999997</v>
      </c>
      <c r="AE89" s="1">
        <v>38</v>
      </c>
      <c r="AF89" s="1">
        <v>39</v>
      </c>
      <c r="AG89" s="1">
        <v>38.6</v>
      </c>
      <c r="AH89" s="1">
        <v>36.6</v>
      </c>
      <c r="AI89" s="1">
        <v>34.4</v>
      </c>
      <c r="AJ89" s="1">
        <v>33.6</v>
      </c>
      <c r="AK89" s="1">
        <v>35</v>
      </c>
      <c r="AL89" s="1"/>
      <c r="AM89" s="1">
        <f t="shared" si="31"/>
        <v>23</v>
      </c>
      <c r="AN89" s="1">
        <f t="shared" si="32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135</v>
      </c>
      <c r="B90" s="1" t="s">
        <v>42</v>
      </c>
      <c r="C90" s="1">
        <v>96</v>
      </c>
      <c r="D90" s="1">
        <v>90</v>
      </c>
      <c r="E90" s="1">
        <v>111</v>
      </c>
      <c r="F90" s="1">
        <v>60</v>
      </c>
      <c r="G90" s="8">
        <v>0.3</v>
      </c>
      <c r="H90" s="1">
        <v>40</v>
      </c>
      <c r="I90" s="1" t="s">
        <v>38</v>
      </c>
      <c r="J90" s="1"/>
      <c r="K90" s="1">
        <v>125</v>
      </c>
      <c r="L90" s="1">
        <f t="shared" si="24"/>
        <v>-14</v>
      </c>
      <c r="M90" s="1">
        <f t="shared" si="25"/>
        <v>111</v>
      </c>
      <c r="N90" s="1"/>
      <c r="O90" s="1">
        <v>75.999999999999986</v>
      </c>
      <c r="P90" s="1">
        <v>0</v>
      </c>
      <c r="Q90" s="1">
        <v>83</v>
      </c>
      <c r="R90" s="1">
        <f>IFERROR(VLOOKUP(A90,[2]Sheet!$A:$D,4,0),0)</f>
        <v>0</v>
      </c>
      <c r="S90" s="1">
        <f t="shared" si="26"/>
        <v>22.2</v>
      </c>
      <c r="T90" s="5">
        <f t="shared" si="35"/>
        <v>25.200000000000003</v>
      </c>
      <c r="U90" s="5">
        <f t="shared" si="27"/>
        <v>25.200000000000003</v>
      </c>
      <c r="V90" s="5"/>
      <c r="W90" s="5">
        <f t="shared" si="28"/>
        <v>25.200000000000003</v>
      </c>
      <c r="X90" s="5"/>
      <c r="Y90" s="5"/>
      <c r="Z90" s="1"/>
      <c r="AA90" s="1"/>
      <c r="AB90" s="1">
        <f t="shared" si="29"/>
        <v>11</v>
      </c>
      <c r="AC90" s="1">
        <f t="shared" si="30"/>
        <v>9.8648648648648649</v>
      </c>
      <c r="AD90" s="1">
        <v>22.8</v>
      </c>
      <c r="AE90" s="1">
        <v>20.8</v>
      </c>
      <c r="AF90" s="1">
        <v>18.8</v>
      </c>
      <c r="AG90" s="1">
        <v>17.2</v>
      </c>
      <c r="AH90" s="1">
        <v>20</v>
      </c>
      <c r="AI90" s="1">
        <v>21.2</v>
      </c>
      <c r="AJ90" s="1">
        <v>19.600000000000001</v>
      </c>
      <c r="AK90" s="1">
        <v>19.399999999999999</v>
      </c>
      <c r="AL90" s="1" t="s">
        <v>136</v>
      </c>
      <c r="AM90" s="1">
        <f t="shared" si="31"/>
        <v>8</v>
      </c>
      <c r="AN90" s="1">
        <f t="shared" si="32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137</v>
      </c>
      <c r="B91" s="1" t="s">
        <v>37</v>
      </c>
      <c r="C91" s="1">
        <v>55.63</v>
      </c>
      <c r="D91" s="1">
        <v>54.63</v>
      </c>
      <c r="E91" s="1">
        <v>73.397000000000006</v>
      </c>
      <c r="F91" s="1">
        <v>36.863</v>
      </c>
      <c r="G91" s="8">
        <v>1</v>
      </c>
      <c r="H91" s="1">
        <v>50</v>
      </c>
      <c r="I91" s="1" t="s">
        <v>38</v>
      </c>
      <c r="J91" s="1"/>
      <c r="K91" s="1">
        <v>69.2</v>
      </c>
      <c r="L91" s="1">
        <f t="shared" si="24"/>
        <v>4.1970000000000027</v>
      </c>
      <c r="M91" s="1">
        <f t="shared" si="25"/>
        <v>73.397000000000006</v>
      </c>
      <c r="N91" s="1"/>
      <c r="O91" s="1">
        <v>0</v>
      </c>
      <c r="P91" s="1">
        <v>0</v>
      </c>
      <c r="Q91" s="1">
        <v>46.118999999999957</v>
      </c>
      <c r="R91" s="1">
        <f>IFERROR(VLOOKUP(A91,[2]Sheet!$A:$D,4,0),0)</f>
        <v>0</v>
      </c>
      <c r="S91" s="1">
        <f t="shared" si="26"/>
        <v>14.679400000000001</v>
      </c>
      <c r="T91" s="5">
        <f t="shared" si="35"/>
        <v>78.49140000000007</v>
      </c>
      <c r="U91" s="5">
        <f t="shared" si="27"/>
        <v>78.49140000000007</v>
      </c>
      <c r="V91" s="5"/>
      <c r="W91" s="5">
        <f t="shared" si="28"/>
        <v>78.49140000000007</v>
      </c>
      <c r="X91" s="5"/>
      <c r="Y91" s="5"/>
      <c r="Z91" s="1"/>
      <c r="AA91" s="1"/>
      <c r="AB91" s="1">
        <f t="shared" si="29"/>
        <v>11.000000000000002</v>
      </c>
      <c r="AC91" s="1">
        <f t="shared" si="30"/>
        <v>5.652955842881858</v>
      </c>
      <c r="AD91" s="1">
        <v>10.170999999999999</v>
      </c>
      <c r="AE91" s="1">
        <v>7.35</v>
      </c>
      <c r="AF91" s="1">
        <v>9.4760000000000009</v>
      </c>
      <c r="AG91" s="1">
        <v>8.6053999999999995</v>
      </c>
      <c r="AH91" s="1">
        <v>5.0423999999999998</v>
      </c>
      <c r="AI91" s="1">
        <v>2.6920000000000002</v>
      </c>
      <c r="AJ91" s="1">
        <v>4.3211999999999993</v>
      </c>
      <c r="AK91" s="1">
        <v>7.9724000000000022</v>
      </c>
      <c r="AL91" s="1"/>
      <c r="AM91" s="1">
        <f t="shared" si="31"/>
        <v>78</v>
      </c>
      <c r="AN91" s="1">
        <f t="shared" si="32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138</v>
      </c>
      <c r="B92" s="1" t="s">
        <v>42</v>
      </c>
      <c r="C92" s="1">
        <v>33</v>
      </c>
      <c r="D92" s="1">
        <v>12</v>
      </c>
      <c r="E92" s="1">
        <v>28</v>
      </c>
      <c r="F92" s="1">
        <v>17</v>
      </c>
      <c r="G92" s="8">
        <v>0.3</v>
      </c>
      <c r="H92" s="1">
        <v>40</v>
      </c>
      <c r="I92" s="1" t="s">
        <v>38</v>
      </c>
      <c r="J92" s="1"/>
      <c r="K92" s="1">
        <v>28</v>
      </c>
      <c r="L92" s="1">
        <f t="shared" si="24"/>
        <v>0</v>
      </c>
      <c r="M92" s="1">
        <f t="shared" si="25"/>
        <v>28</v>
      </c>
      <c r="N92" s="1"/>
      <c r="O92" s="1">
        <v>19.2</v>
      </c>
      <c r="P92" s="1">
        <v>0</v>
      </c>
      <c r="Q92" s="1">
        <v>44.399999999999991</v>
      </c>
      <c r="R92" s="1">
        <f>IFERROR(VLOOKUP(A92,[2]Sheet!$A:$D,4,0),0)</f>
        <v>0</v>
      </c>
      <c r="S92" s="1">
        <f t="shared" si="26"/>
        <v>5.6</v>
      </c>
      <c r="T92" s="5"/>
      <c r="U92" s="5">
        <f t="shared" si="27"/>
        <v>0</v>
      </c>
      <c r="V92" s="5"/>
      <c r="W92" s="5">
        <f t="shared" si="28"/>
        <v>0</v>
      </c>
      <c r="X92" s="5"/>
      <c r="Y92" s="5"/>
      <c r="Z92" s="1"/>
      <c r="AA92" s="1"/>
      <c r="AB92" s="1">
        <f t="shared" si="29"/>
        <v>14.392857142857142</v>
      </c>
      <c r="AC92" s="1">
        <f t="shared" si="30"/>
        <v>14.392857142857142</v>
      </c>
      <c r="AD92" s="1">
        <v>7.6</v>
      </c>
      <c r="AE92" s="1">
        <v>5.8</v>
      </c>
      <c r="AF92" s="1">
        <v>3.8</v>
      </c>
      <c r="AG92" s="1">
        <v>3</v>
      </c>
      <c r="AH92" s="1">
        <v>3.4</v>
      </c>
      <c r="AI92" s="1">
        <v>5</v>
      </c>
      <c r="AJ92" s="1">
        <v>4.4000000000000004</v>
      </c>
      <c r="AK92" s="1">
        <v>2.8</v>
      </c>
      <c r="AL92" s="1"/>
      <c r="AM92" s="1">
        <f t="shared" si="31"/>
        <v>0</v>
      </c>
      <c r="AN92" s="1">
        <f t="shared" si="32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139</v>
      </c>
      <c r="B93" s="1" t="s">
        <v>42</v>
      </c>
      <c r="C93" s="1">
        <v>72</v>
      </c>
      <c r="D93" s="1">
        <v>1</v>
      </c>
      <c r="E93" s="1">
        <v>25</v>
      </c>
      <c r="F93" s="1">
        <v>44</v>
      </c>
      <c r="G93" s="8">
        <v>0.12</v>
      </c>
      <c r="H93" s="1">
        <v>45</v>
      </c>
      <c r="I93" s="1" t="s">
        <v>38</v>
      </c>
      <c r="J93" s="1"/>
      <c r="K93" s="1">
        <v>28</v>
      </c>
      <c r="L93" s="1">
        <f t="shared" si="24"/>
        <v>-3</v>
      </c>
      <c r="M93" s="1">
        <f t="shared" si="25"/>
        <v>25</v>
      </c>
      <c r="N93" s="1"/>
      <c r="O93" s="1">
        <v>0</v>
      </c>
      <c r="P93" s="1">
        <v>0</v>
      </c>
      <c r="Q93" s="1">
        <v>0</v>
      </c>
      <c r="R93" s="1">
        <f>IFERROR(VLOOKUP(A93,[2]Sheet!$A:$D,4,0),0)</f>
        <v>0</v>
      </c>
      <c r="S93" s="1">
        <f t="shared" si="26"/>
        <v>5</v>
      </c>
      <c r="T93" s="5">
        <f t="shared" si="35"/>
        <v>11</v>
      </c>
      <c r="U93" s="5">
        <f t="shared" si="27"/>
        <v>11</v>
      </c>
      <c r="V93" s="5"/>
      <c r="W93" s="5">
        <f t="shared" si="28"/>
        <v>11</v>
      </c>
      <c r="X93" s="5"/>
      <c r="Y93" s="5"/>
      <c r="Z93" s="1"/>
      <c r="AA93" s="1"/>
      <c r="AB93" s="1">
        <f t="shared" si="29"/>
        <v>11</v>
      </c>
      <c r="AC93" s="1">
        <f t="shared" si="30"/>
        <v>8.8000000000000007</v>
      </c>
      <c r="AD93" s="1">
        <v>3.8</v>
      </c>
      <c r="AE93" s="1">
        <v>4.2</v>
      </c>
      <c r="AF93" s="1">
        <v>5.8</v>
      </c>
      <c r="AG93" s="1">
        <v>6.6</v>
      </c>
      <c r="AH93" s="1">
        <v>7.2</v>
      </c>
      <c r="AI93" s="1">
        <v>9.4</v>
      </c>
      <c r="AJ93" s="1">
        <v>11.6</v>
      </c>
      <c r="AK93" s="1">
        <v>9.6</v>
      </c>
      <c r="AL93" s="1" t="s">
        <v>140</v>
      </c>
      <c r="AM93" s="1">
        <f t="shared" si="31"/>
        <v>1</v>
      </c>
      <c r="AN93" s="1">
        <f t="shared" si="32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1" t="s">
        <v>141</v>
      </c>
      <c r="B94" s="1" t="s">
        <v>37</v>
      </c>
      <c r="C94" s="1"/>
      <c r="D94" s="1"/>
      <c r="E94" s="1"/>
      <c r="F94" s="1"/>
      <c r="G94" s="8">
        <v>1</v>
      </c>
      <c r="H94" s="1">
        <v>180</v>
      </c>
      <c r="I94" s="1" t="s">
        <v>38</v>
      </c>
      <c r="J94" s="1"/>
      <c r="K94" s="1"/>
      <c r="L94" s="1">
        <f t="shared" si="24"/>
        <v>0</v>
      </c>
      <c r="M94" s="1">
        <f t="shared" si="25"/>
        <v>0</v>
      </c>
      <c r="N94" s="1"/>
      <c r="O94" s="1"/>
      <c r="P94" s="1">
        <v>0</v>
      </c>
      <c r="Q94" s="11"/>
      <c r="R94" s="1">
        <f>IFERROR(VLOOKUP(A94,[2]Sheet!$A:$D,4,0),0)</f>
        <v>0</v>
      </c>
      <c r="S94" s="1">
        <f t="shared" si="26"/>
        <v>0</v>
      </c>
      <c r="T94" s="19">
        <v>4</v>
      </c>
      <c r="U94" s="5">
        <f t="shared" si="27"/>
        <v>4</v>
      </c>
      <c r="V94" s="19"/>
      <c r="W94" s="5">
        <f t="shared" si="28"/>
        <v>4</v>
      </c>
      <c r="X94" s="5"/>
      <c r="Y94" s="5"/>
      <c r="Z94" s="1"/>
      <c r="AA94" s="1"/>
      <c r="AB94" s="1" t="e">
        <f t="shared" si="29"/>
        <v>#DIV/0!</v>
      </c>
      <c r="AC94" s="1" t="e">
        <f t="shared" si="30"/>
        <v>#DIV/0!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1" t="s">
        <v>142</v>
      </c>
      <c r="AM94" s="1">
        <f t="shared" si="31"/>
        <v>4</v>
      </c>
      <c r="AN94" s="1">
        <f t="shared" si="32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</sheetData>
  <autoFilter ref="A3:AM94" xr:uid="{4E8DF351-25F2-4F6D-A29F-68D426CAFAF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2025-12-09T08:42:33Z</dcterms:created>
  <dcterms:modified xsi:type="dcterms:W3CDTF">2025-12-17T09:23:15Z</dcterms:modified>
</cp:coreProperties>
</file>