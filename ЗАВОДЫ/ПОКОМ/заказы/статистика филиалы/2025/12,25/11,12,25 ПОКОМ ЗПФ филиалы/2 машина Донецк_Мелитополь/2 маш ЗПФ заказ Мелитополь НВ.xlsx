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730D7383-3947-4CFB-8CFE-E5C15B2FB1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3" i="1" l="1"/>
  <c r="X273" i="1"/>
  <c r="A283" i="1"/>
  <c r="Y270" i="1"/>
  <c r="C283" i="1" s="1"/>
  <c r="B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<sst xmlns="http://schemas.openxmlformats.org/spreadsheetml/2006/main" count="1222" uniqueCount="394">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</sst>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14</v>
      </c>
      <c r="Y41" s="270">
        <f>IFERROR(SUM(Y39:Y40),"0")</f>
        <v>14</v>
      </c>
      <c r="Z41" s="270">
        <f>IFERROR(IF(Z39="",0,Z39),"0")+IFERROR(IF(Z40="",0,Z40),"0")</f>
        <v>0.13174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21</v>
      </c>
      <c r="Y42" s="270">
        <f>IFERROR(SUMPRODUCT(Y39:Y40*H39:H40),"0")</f>
        <v>21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24</v>
      </c>
      <c r="Y55" s="26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24</v>
      </c>
      <c r="Y56" s="270">
        <f>IFERROR(SUM(Y52:Y55),"0")</f>
        <v>24</v>
      </c>
      <c r="Z56" s="270">
        <f>IFERROR(IF(Z52="",0,Z52),"0")+IFERROR(IF(Z53="",0,Z53),"0")+IFERROR(IF(Z54="",0,Z54),"0")+IFERROR(IF(Z55="",0,Z55),"0")</f>
        <v>0.372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168</v>
      </c>
      <c r="Y57" s="270">
        <f>IFERROR(SUMPRODUCT(Y52:Y55*H52:H55),"0")</f>
        <v>168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146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132</v>
      </c>
      <c r="Y81" s="269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132</v>
      </c>
      <c r="Y82" s="270">
        <f>IFERROR(SUM(Y80:Y81),"0")</f>
        <v>132</v>
      </c>
      <c r="Z82" s="270">
        <f>IFERROR(IF(Z80="",0,Z80),"0")+IFERROR(IF(Z81="",0,Z81),"0")</f>
        <v>1.1431199999999999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660</v>
      </c>
      <c r="Y83" s="270">
        <f>IFERROR(SUMPRODUCT(Y80:Y81*H80:H81),"0")</f>
        <v>660</v>
      </c>
      <c r="Z83" s="37"/>
      <c r="AA83" s="271"/>
      <c r="AB83" s="271"/>
      <c r="AC83" s="271"/>
    </row>
    <row r="84" spans="1:68" ht="16.5" customHeight="1" x14ac:dyDescent="0.25">
      <c r="A84" s="284" t="s">
        <v>153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157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158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14</v>
      </c>
      <c r="Y93" s="270">
        <f>IFERROR(SUM(Y91:Y92),"0")</f>
        <v>14</v>
      </c>
      <c r="Z93" s="270">
        <f>IFERROR(IF(Z91="",0,Z91),"0")+IFERROR(IF(Z92="",0,Z92),"0")</f>
        <v>0.25031999999999999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50.4</v>
      </c>
      <c r="Y94" s="270">
        <f>IFERROR(SUMPRODUCT(Y91:Y92*H91:H92),"0")</f>
        <v>50.4</v>
      </c>
      <c r="Z94" s="37"/>
      <c r="AA94" s="271"/>
      <c r="AB94" s="271"/>
      <c r="AC94" s="271"/>
    </row>
    <row r="95" spans="1:68" ht="16.5" customHeight="1" x14ac:dyDescent="0.25">
      <c r="A95" s="284" t="s">
        <v>165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98</v>
      </c>
      <c r="Y100" s="269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154</v>
      </c>
      <c r="Y103" s="270">
        <f>IFERROR(SUM(Y97:Y102),"0")</f>
        <v>154</v>
      </c>
      <c r="Z103" s="270">
        <f>IFERROR(IF(Z97="",0,Z97),"0")+IFERROR(IF(Z98="",0,Z98),"0")+IFERROR(IF(Z99="",0,Z99),"0")+IFERROR(IF(Z100="",0,Z100),"0")+IFERROR(IF(Z101="",0,Z101),"0")+IFERROR(IF(Z102="",0,Z102),"0")</f>
        <v>2.75352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456.96000000000004</v>
      </c>
      <c r="Y104" s="270">
        <f>IFERROR(SUMPRODUCT(Y97:Y102*H97:H102),"0")</f>
        <v>456.96000000000004</v>
      </c>
      <c r="Z104" s="37"/>
      <c r="AA104" s="271"/>
      <c r="AB104" s="271"/>
      <c r="AC104" s="271"/>
    </row>
    <row r="105" spans="1:68" ht="16.5" customHeight="1" x14ac:dyDescent="0.25">
      <c r="A105" s="284" t="s">
        <v>180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186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36</v>
      </c>
      <c r="Y116" s="269">
        <f t="shared" si="12"/>
        <v>36</v>
      </c>
      <c r="Z116" s="36">
        <f t="shared" si="13"/>
        <v>0.55800000000000005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72</v>
      </c>
      <c r="Y119" s="269">
        <f t="shared" si="12"/>
        <v>72</v>
      </c>
      <c r="Z119" s="36">
        <f t="shared" si="13"/>
        <v>1.1160000000000001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120</v>
      </c>
      <c r="Y121" s="270">
        <f>IFERROR(SUM(Y113:Y120),"0")</f>
        <v>120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1.86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840</v>
      </c>
      <c r="Y122" s="270">
        <f>IFERROR(SUMPRODUCT(Y113:Y120*H113:H120),"0")</f>
        <v>840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14</v>
      </c>
      <c r="Y124" s="269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14</v>
      </c>
      <c r="Y125" s="270">
        <f>IFERROR(SUM(Y124:Y124),"0")</f>
        <v>14</v>
      </c>
      <c r="Z125" s="270">
        <f>IFERROR(IF(Z124="",0,Z124),"0")</f>
        <v>0.25031999999999999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36.96</v>
      </c>
      <c r="Y126" s="270">
        <f>IFERROR(SUMPRODUCT(Y124:Y124*H124:H124),"0")</f>
        <v>36.96</v>
      </c>
      <c r="Z126" s="37"/>
      <c r="AA126" s="271"/>
      <c r="AB126" s="271"/>
      <c r="AC126" s="271"/>
    </row>
    <row r="127" spans="1:68" ht="14.25" customHeight="1" x14ac:dyDescent="0.25">
      <c r="A127" s="305" t="s">
        <v>211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215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28</v>
      </c>
      <c r="Y133" s="269">
        <f>IFERROR(IF(X133="","",X133),"")</f>
        <v>28</v>
      </c>
      <c r="Z133" s="36">
        <f>IFERROR(IF(X133="","",X133*0.01788),"")</f>
        <v>0.50063999999999997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103.70079999999999</v>
      </c>
      <c r="BN133" s="67">
        <f>IFERROR(Y133*I133,"0")</f>
        <v>103.70079999999999</v>
      </c>
      <c r="BO133" s="67">
        <f>IFERROR(X133/J133,"0")</f>
        <v>0.4</v>
      </c>
      <c r="BP133" s="67">
        <f>IFERROR(Y133/J133,"0")</f>
        <v>0.4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98</v>
      </c>
      <c r="Y135" s="270">
        <f>IFERROR(SUM(Y133:Y134),"0")</f>
        <v>98</v>
      </c>
      <c r="Z135" s="270">
        <f>IFERROR(IF(Z133="",0,Z133),"0")+IFERROR(IF(Z134="",0,Z134),"0")</f>
        <v>1.75224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294</v>
      </c>
      <c r="Y136" s="270">
        <f>IFERROR(SUMPRODUCT(Y133:Y134*H133:H134),"0")</f>
        <v>294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14</v>
      </c>
      <c r="Y145" s="269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14</v>
      </c>
      <c r="Y147" s="270">
        <f>IFERROR(SUM(Y145:Y146),"0")</f>
        <v>14</v>
      </c>
      <c r="Z147" s="270">
        <f>IFERROR(IF(Z145="",0,Z145),"0")+IFERROR(IF(Z146="",0,Z146),"0")</f>
        <v>0.25031999999999999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33.6</v>
      </c>
      <c r="Y148" s="270">
        <f>IFERROR(SUMPRODUCT(Y145:Y146*H145:H146),"0")</f>
        <v>33.6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211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264</v>
      </c>
      <c r="Y173" s="269">
        <f>IFERROR(IF(X173="","",X173),"")</f>
        <v>264</v>
      </c>
      <c r="Z173" s="36">
        <f>IFERROR(IF(X173="","",X173*0.00866),"")</f>
        <v>2.2862399999999998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1376.2847999999999</v>
      </c>
      <c r="BN173" s="67">
        <f>IFERROR(Y173*I173,"0")</f>
        <v>1376.2847999999999</v>
      </c>
      <c r="BO173" s="67">
        <f>IFERROR(X173/J173,"0")</f>
        <v>1.8333333333333333</v>
      </c>
      <c r="BP173" s="67">
        <f>IFERROR(Y173/J173,"0")</f>
        <v>1.8333333333333333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264</v>
      </c>
      <c r="Y174" s="270">
        <f>IFERROR(SUM(Y172:Y173),"0")</f>
        <v>264</v>
      </c>
      <c r="Z174" s="270">
        <f>IFERROR(IF(Z172="",0,Z172),"0")+IFERROR(IF(Z173="",0,Z173),"0")</f>
        <v>2.2862399999999998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1320</v>
      </c>
      <c r="Y175" s="270">
        <f>IFERROR(SUMPRODUCT(Y172:Y173*H172:H173),"0")</f>
        <v>1320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28</v>
      </c>
      <c r="Y180" s="269">
        <f>IFERROR(IF(X180="","",X180),"")</f>
        <v>28</v>
      </c>
      <c r="Z180" s="36">
        <f>IFERROR(IF(X180="","",X180*0.01788),"")</f>
        <v>0.50063999999999997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94.864000000000004</v>
      </c>
      <c r="BN180" s="67">
        <f>IFERROR(Y180*I180,"0")</f>
        <v>94.864000000000004</v>
      </c>
      <c r="BO180" s="67">
        <f>IFERROR(X180/J180,"0")</f>
        <v>0.4</v>
      </c>
      <c r="BP180" s="67">
        <f>IFERROR(Y180/J180,"0")</f>
        <v>0.4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70</v>
      </c>
      <c r="Y182" s="270">
        <f>IFERROR(SUM(Y179:Y181),"0")</f>
        <v>70</v>
      </c>
      <c r="Z182" s="270">
        <f>IFERROR(IF(Z179="",0,Z179),"0")+IFERROR(IF(Z180="",0,Z180),"0")+IFERROR(IF(Z181="",0,Z181),"0")</f>
        <v>1.2515999999999998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210</v>
      </c>
      <c r="Y183" s="270">
        <f>IFERROR(SUMPRODUCT(Y179:Y181*H179:H181),"0")</f>
        <v>210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14</v>
      </c>
      <c r="Y191" s="269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41.72</v>
      </c>
      <c r="BN191" s="67">
        <f>IFERROR(Y191*I191,"0")</f>
        <v>41.72</v>
      </c>
      <c r="BO191" s="67">
        <f>IFERROR(X191/J191,"0")</f>
        <v>0.2</v>
      </c>
      <c r="BP191" s="67">
        <f>IFERROR(Y191/J191,"0")</f>
        <v>0.2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14</v>
      </c>
      <c r="Y192" s="270">
        <f>IFERROR(SUM(Y191:Y191),"0")</f>
        <v>14</v>
      </c>
      <c r="Z192" s="270">
        <f>IFERROR(IF(Z191="",0,Z191),"0")</f>
        <v>0.25031999999999999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38.64</v>
      </c>
      <c r="Y193" s="270">
        <f>IFERROR(SUMPRODUCT(Y191:Y191*H191:H191),"0")</f>
        <v>38.64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72</v>
      </c>
      <c r="Y204" s="269">
        <f>IFERROR(IF(X204="","",X204),"")</f>
        <v>72</v>
      </c>
      <c r="Z204" s="36">
        <f>IFERROR(IF(X204="","",X204*0.0155),"")</f>
        <v>1.1160000000000001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376.56000000000006</v>
      </c>
      <c r="BN204" s="67">
        <f>IFERROR(Y204*I204,"0")</f>
        <v>376.56000000000006</v>
      </c>
      <c r="BO204" s="67">
        <f>IFERROR(X204/J204,"0")</f>
        <v>0.8571428571428571</v>
      </c>
      <c r="BP204" s="67">
        <f>IFERROR(Y204/J204,"0")</f>
        <v>0.8571428571428571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72</v>
      </c>
      <c r="Y205" s="270">
        <f>IFERROR(SUM(Y204:Y204),"0")</f>
        <v>72</v>
      </c>
      <c r="Z205" s="270">
        <f>IFERROR(IF(Z204="",0,Z204),"0")</f>
        <v>1.1160000000000001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360</v>
      </c>
      <c r="Y206" s="270">
        <f>IFERROR(SUMPRODUCT(Y204:Y204*H204:H204),"0")</f>
        <v>360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96</v>
      </c>
      <c r="Y226" s="269">
        <f>IFERROR(IF(X226="","",X226),"")</f>
        <v>96</v>
      </c>
      <c r="Z226" s="36">
        <f>IFERROR(IF(X226="","",X226*0.0155),"")</f>
        <v>1.488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505.15199999999993</v>
      </c>
      <c r="BN226" s="67">
        <f>IFERROR(Y226*I226,"0")</f>
        <v>505.15199999999993</v>
      </c>
      <c r="BO226" s="67">
        <f>IFERROR(X226/J226,"0")</f>
        <v>1.1428571428571428</v>
      </c>
      <c r="BP226" s="67">
        <f>IFERROR(Y226/J226,"0")</f>
        <v>1.1428571428571428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96</v>
      </c>
      <c r="Y227" s="270">
        <f>IFERROR(SUM(Y226:Y226),"0")</f>
        <v>96</v>
      </c>
      <c r="Z227" s="270">
        <f>IFERROR(IF(Z226="",0,Z226),"0")</f>
        <v>1.488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480</v>
      </c>
      <c r="Y228" s="270">
        <f>IFERROR(SUMPRODUCT(Y226:Y226*H226:H226),"0")</f>
        <v>480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48</v>
      </c>
      <c r="Y243" s="269">
        <f>IFERROR(IF(X243="","",X243),"")</f>
        <v>48</v>
      </c>
      <c r="Z243" s="36">
        <f>IFERROR(IF(X243="","",X243*0.0155),"")</f>
        <v>0.74399999999999999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349.44</v>
      </c>
      <c r="BN243" s="67">
        <f>IFERROR(Y243*I243,"0")</f>
        <v>349.44</v>
      </c>
      <c r="BO243" s="67">
        <f>IFERROR(X243/J243,"0")</f>
        <v>0.5714285714285714</v>
      </c>
      <c r="BP243" s="67">
        <f>IFERROR(Y243/J243,"0")</f>
        <v>0.5714285714285714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48</v>
      </c>
      <c r="Y244" s="270">
        <f>IFERROR(SUM(Y242:Y243),"0")</f>
        <v>48</v>
      </c>
      <c r="Z244" s="270">
        <f>IFERROR(IF(Z242="",0,Z242),"0")+IFERROR(IF(Z243="",0,Z243),"0")</f>
        <v>0.74399999999999999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336</v>
      </c>
      <c r="Y245" s="270">
        <f>IFERROR(SUMPRODUCT(Y242:Y243*H242:H243),"0")</f>
        <v>336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96</v>
      </c>
      <c r="Y247" s="269">
        <f>IFERROR(IF(X247="","",X247),"")</f>
        <v>96</v>
      </c>
      <c r="Z247" s="36">
        <f>IFERROR(IF(X247="","",X247*0.0155),"")</f>
        <v>1.488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600.96</v>
      </c>
      <c r="BN247" s="67">
        <f>IFERROR(Y247*I247,"0")</f>
        <v>600.96</v>
      </c>
      <c r="BO247" s="67">
        <f>IFERROR(X247/J247,"0")</f>
        <v>1.1428571428571428</v>
      </c>
      <c r="BP247" s="67">
        <f>IFERROR(Y247/J247,"0")</f>
        <v>1.1428571428571428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96</v>
      </c>
      <c r="Y249" s="270">
        <f>IFERROR(SUM(Y247:Y248),"0")</f>
        <v>96</v>
      </c>
      <c r="Z249" s="270">
        <f>IFERROR(IF(Z247="",0,Z247),"0")+IFERROR(IF(Z248="",0,Z248),"0")</f>
        <v>1.488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576</v>
      </c>
      <c r="Y250" s="270">
        <f>IFERROR(SUMPRODUCT(Y247:Y248*H247:H248),"0")</f>
        <v>576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204</v>
      </c>
      <c r="Y253" s="269">
        <f>IFERROR(IF(X253="","",X253),"")</f>
        <v>204</v>
      </c>
      <c r="Z253" s="36">
        <f>IFERROR(IF(X253="","",X253*0.0155),"")</f>
        <v>3.1619999999999999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1067.94</v>
      </c>
      <c r="BN253" s="67">
        <f>IFERROR(Y253*I253,"0")</f>
        <v>1067.94</v>
      </c>
      <c r="BO253" s="67">
        <f>IFERROR(X253/J253,"0")</f>
        <v>2.4285714285714284</v>
      </c>
      <c r="BP253" s="67">
        <f>IFERROR(Y253/J253,"0")</f>
        <v>2.4285714285714284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204</v>
      </c>
      <c r="Y255" s="270">
        <f>IFERROR(SUM(Y252:Y254),"0")</f>
        <v>204</v>
      </c>
      <c r="Z255" s="270">
        <f>IFERROR(IF(Z252="",0,Z252),"0")+IFERROR(IF(Z253="",0,Z253),"0")+IFERROR(IF(Z254="",0,Z254),"0")</f>
        <v>3.1619999999999999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1020</v>
      </c>
      <c r="Y256" s="270">
        <f>IFERROR(SUMPRODUCT(Y252:Y254*H252:H254),"0")</f>
        <v>1020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112</v>
      </c>
      <c r="Y259" s="269">
        <f t="shared" si="18"/>
        <v>112</v>
      </c>
      <c r="Z259" s="36">
        <f>IFERROR(IF(X259="","",X259*0.00936),"")</f>
        <v>1.0483199999999999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435.904</v>
      </c>
      <c r="BN259" s="67">
        <f t="shared" si="20"/>
        <v>435.904</v>
      </c>
      <c r="BO259" s="67">
        <f t="shared" si="21"/>
        <v>0.88888888888888884</v>
      </c>
      <c r="BP259" s="67">
        <f t="shared" si="22"/>
        <v>0.88888888888888884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28</v>
      </c>
      <c r="Y261" s="269">
        <f t="shared" si="18"/>
        <v>28</v>
      </c>
      <c r="Z261" s="36">
        <f t="shared" ref="Z261:Z266" si="23">IFERROR(IF(X261="","",X261*0.00936),"")</f>
        <v>0.26207999999999998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89.376000000000005</v>
      </c>
      <c r="BN261" s="67">
        <f t="shared" si="20"/>
        <v>89.376000000000005</v>
      </c>
      <c r="BO261" s="67">
        <f t="shared" si="21"/>
        <v>0.22222222222222221</v>
      </c>
      <c r="BP261" s="67">
        <f t="shared" si="22"/>
        <v>0.22222222222222221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152</v>
      </c>
      <c r="Y268" s="270">
        <f>IFERROR(SUM(Y258:Y267),"0")</f>
        <v>152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1.4964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564.40000000000009</v>
      </c>
      <c r="Y269" s="270">
        <f>IFERROR(SUMPRODUCT(Y258:Y267*H258:H267),"0")</f>
        <v>564.40000000000009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7854.0400000000009</v>
      </c>
      <c r="Y270" s="270">
        <f>IFERROR(Y29+Y35+Y42+Y49+Y57+Y62+Y66+Y71+Y77+Y83+Y88+Y94+Y104+Y110+Y122+Y126+Y130+Y136+Y142+Y148+Y153+Y158+Y163+Y168+Y175+Y183+Y187+Y193+Y201+Y206+Y211+Y216+Y222+Y228+Y234+Y238+Y245+Y250+Y256+Y269,"0")</f>
        <v>7854.0400000000009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8445.0491999999995</v>
      </c>
      <c r="Y271" s="270">
        <f>IFERROR(SUM(BN22:BN267),"0")</f>
        <v>8445.0491999999995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19</v>
      </c>
      <c r="Y272" s="38">
        <f>ROUNDUP(SUM(BP22:BP267),0)</f>
        <v>19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8920.0491999999995</v>
      </c>
      <c r="Y273" s="270">
        <f>GrossWeightTotalR+PalletQtyTotalR*25</f>
        <v>8920.0491999999995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1736</v>
      </c>
      <c r="Y274" s="270">
        <f>IFERROR(Y28+Y34+Y41+Y48+Y56+Y61+Y65+Y70+Y76+Y82+Y87+Y93+Y103+Y109+Y121+Y125+Y129+Y135+Y141+Y147+Y152+Y157+Y162+Y167+Y174+Y182+Y186+Y192+Y200+Y205+Y210+Y215+Y221+Y227+Y233+Y237+Y244+Y249+Y255+Y268,"0")</f>
        <v>1736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23.946380000000001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146</v>
      </c>
      <c r="I278" s="289" t="s">
        <v>153</v>
      </c>
      <c r="J278" s="289" t="s">
        <v>157</v>
      </c>
      <c r="K278" s="289" t="s">
        <v>165</v>
      </c>
      <c r="L278" s="289" t="s">
        <v>180</v>
      </c>
      <c r="M278" s="289" t="s">
        <v>186</v>
      </c>
      <c r="N278" s="266"/>
      <c r="O278" s="289" t="s">
        <v>215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21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168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660</v>
      </c>
      <c r="I280" s="46">
        <f>IFERROR(X86*H86,"0")</f>
        <v>0</v>
      </c>
      <c r="J280" s="46">
        <f>IFERROR(X91*H91,"0")+IFERROR(X92*H92,"0")</f>
        <v>50.4</v>
      </c>
      <c r="K280" s="46">
        <f>IFERROR(X97*H97,"0")+IFERROR(X98*H98,"0")+IFERROR(X99*H99,"0")+IFERROR(X100*H100,"0")+IFERROR(X101*H101,"0")+IFERROR(X102*H102,"0")</f>
        <v>456.96000000000004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876.96</v>
      </c>
      <c r="N280" s="266"/>
      <c r="O280" s="46">
        <f>IFERROR(X133*H133,"0")+IFERROR(X134*H134,"0")</f>
        <v>294</v>
      </c>
      <c r="P280" s="46">
        <f>IFERROR(X139*H139,"0")+IFERROR(X140*H140,"0")</f>
        <v>126</v>
      </c>
      <c r="Q280" s="46">
        <f>IFERROR(X145*H145,"0")+IFERROR(X146*H146,"0")</f>
        <v>33.6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1320</v>
      </c>
      <c r="W280" s="46">
        <f>IFERROR(X179*H179,"0")+IFERROR(X180*H180,"0")+IFERROR(X181*H181,"0")+IFERROR(X185*H185,"0")</f>
        <v>210</v>
      </c>
      <c r="X280" s="46">
        <f>IFERROR(X191*H191,"0")+IFERROR(X195*H195,"0")+IFERROR(X196*H196,"0")+IFERROR(X197*H197,"0")+IFERROR(X198*H198,"0")+IFERROR(X199*H199,"0")</f>
        <v>72.240000000000009</v>
      </c>
      <c r="Y280" s="46">
        <f>IFERROR(X204*H204,"0")</f>
        <v>360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480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2496.4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4298.3999999999996</v>
      </c>
      <c r="B283" s="60">
        <f>SUMPRODUCT(--(BB:BB="ПГП"),--(W:W="кор"),H:H,Y:Y)+SUMPRODUCT(--(BB:BB="ПГП"),--(W:W="кг"),Y:Y)</f>
        <v>3555.64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2025-12-12T09:16:29Z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