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4E84D358-854B-49ED-BC4B-120D39C8379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Y269" i="1" s="1"/>
  <c r="P259" i="1"/>
  <c r="BP258" i="1"/>
  <c r="BO258" i="1"/>
  <c r="BN258" i="1"/>
  <c r="BM258" i="1"/>
  <c r="Z258" i="1"/>
  <c r="Z268" i="1" s="1"/>
  <c r="Y258" i="1"/>
  <c r="Y268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Y245" i="1"/>
  <c r="X245" i="1"/>
  <c r="Z244" i="1"/>
  <c r="X244" i="1"/>
  <c r="BO243" i="1"/>
  <c r="BM243" i="1"/>
  <c r="Z243" i="1"/>
  <c r="Y243" i="1"/>
  <c r="P243" i="1"/>
  <c r="BP242" i="1"/>
  <c r="BO242" i="1"/>
  <c r="BN242" i="1"/>
  <c r="BM242" i="1"/>
  <c r="Z242" i="1"/>
  <c r="Y242" i="1"/>
  <c r="Y244" i="1" s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1" i="1"/>
  <c r="X211" i="1"/>
  <c r="Z210" i="1"/>
  <c r="X210" i="1"/>
  <c r="BO209" i="1"/>
  <c r="BM209" i="1"/>
  <c r="Z209" i="1"/>
  <c r="Y209" i="1"/>
  <c r="P209" i="1"/>
  <c r="X206" i="1"/>
  <c r="Z205" i="1"/>
  <c r="X205" i="1"/>
  <c r="BO204" i="1"/>
  <c r="BM204" i="1"/>
  <c r="Z204" i="1"/>
  <c r="Y204" i="1"/>
  <c r="P204" i="1"/>
  <c r="X201" i="1"/>
  <c r="Z200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Y201" i="1" s="1"/>
  <c r="P195" i="1"/>
  <c r="X193" i="1"/>
  <c r="Z192" i="1"/>
  <c r="X192" i="1"/>
  <c r="BO191" i="1"/>
  <c r="BM191" i="1"/>
  <c r="Z191" i="1"/>
  <c r="Y191" i="1"/>
  <c r="P191" i="1"/>
  <c r="Y187" i="1"/>
  <c r="X187" i="1"/>
  <c r="Z186" i="1"/>
  <c r="X186" i="1"/>
  <c r="BO185" i="1"/>
  <c r="BM185" i="1"/>
  <c r="Z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X163" i="1"/>
  <c r="Z162" i="1"/>
  <c r="X162" i="1"/>
  <c r="BO161" i="1"/>
  <c r="BM161" i="1"/>
  <c r="Z161" i="1"/>
  <c r="Y161" i="1"/>
  <c r="Y163" i="1" s="1"/>
  <c r="P161" i="1"/>
  <c r="X158" i="1"/>
  <c r="Z157" i="1"/>
  <c r="X157" i="1"/>
  <c r="BO156" i="1"/>
  <c r="BM156" i="1"/>
  <c r="Z156" i="1"/>
  <c r="Y156" i="1"/>
  <c r="P156" i="1"/>
  <c r="X153" i="1"/>
  <c r="Z152" i="1"/>
  <c r="X152" i="1"/>
  <c r="BO151" i="1"/>
  <c r="BM151" i="1"/>
  <c r="Z151" i="1"/>
  <c r="Y151" i="1"/>
  <c r="Y153" i="1" s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Y147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Z141" i="1" s="1"/>
  <c r="Y139" i="1"/>
  <c r="Y142" i="1" s="1"/>
  <c r="P139" i="1"/>
  <c r="X136" i="1"/>
  <c r="X135" i="1"/>
  <c r="BO134" i="1"/>
  <c r="BN134" i="1"/>
  <c r="BM134" i="1"/>
  <c r="Z134" i="1"/>
  <c r="Y134" i="1"/>
  <c r="BP134" i="1" s="1"/>
  <c r="P134" i="1"/>
  <c r="BO133" i="1"/>
  <c r="BM133" i="1"/>
  <c r="Z133" i="1"/>
  <c r="Z135" i="1" s="1"/>
  <c r="Y133" i="1"/>
  <c r="Y135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N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N114" i="1"/>
  <c r="BM114" i="1"/>
  <c r="Z114" i="1"/>
  <c r="Y114" i="1"/>
  <c r="BP114" i="1" s="1"/>
  <c r="P114" i="1"/>
  <c r="BO113" i="1"/>
  <c r="BM113" i="1"/>
  <c r="Z113" i="1"/>
  <c r="Z121" i="1" s="1"/>
  <c r="Y113" i="1"/>
  <c r="Y122" i="1" s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Z109" i="1" s="1"/>
  <c r="Y107" i="1"/>
  <c r="Y109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Z93" i="1" s="1"/>
  <c r="Y91" i="1"/>
  <c r="Y93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Y76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0" i="1" s="1"/>
  <c r="P68" i="1"/>
  <c r="X66" i="1"/>
  <c r="Z65" i="1"/>
  <c r="X65" i="1"/>
  <c r="BO64" i="1"/>
  <c r="BM64" i="1"/>
  <c r="Z64" i="1"/>
  <c r="Y64" i="1"/>
  <c r="Y66" i="1" s="1"/>
  <c r="P64" i="1"/>
  <c r="X62" i="1"/>
  <c r="Z61" i="1"/>
  <c r="X61" i="1"/>
  <c r="BO60" i="1"/>
  <c r="BM60" i="1"/>
  <c r="Z60" i="1"/>
  <c r="Y60" i="1"/>
  <c r="Y62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Y57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Y48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1" i="1" s="1"/>
  <c r="P39" i="1"/>
  <c r="X35" i="1"/>
  <c r="X34" i="1"/>
  <c r="BO33" i="1"/>
  <c r="BM33" i="1"/>
  <c r="Z33" i="1"/>
  <c r="Y33" i="1"/>
  <c r="Y35" i="1" s="1"/>
  <c r="P33" i="1"/>
  <c r="BP32" i="1"/>
  <c r="BO32" i="1"/>
  <c r="BN32" i="1"/>
  <c r="BM32" i="1"/>
  <c r="Z32" i="1"/>
  <c r="Z34" i="1" s="1"/>
  <c r="Y32" i="1"/>
  <c r="Y34" i="1" s="1"/>
  <c r="P32" i="1"/>
  <c r="X29" i="1"/>
  <c r="X270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72" i="1" s="1"/>
  <c r="BM22" i="1"/>
  <c r="X271" i="1" s="1"/>
  <c r="X273" i="1" s="1"/>
  <c r="Z22" i="1"/>
  <c r="Z28" i="1" s="1"/>
  <c r="Y22" i="1"/>
  <c r="Y28" i="1" s="1"/>
  <c r="P22" i="1"/>
  <c r="H10" i="1"/>
  <c r="A9" i="1"/>
  <c r="A10" i="1" s="1"/>
  <c r="D7" i="1"/>
  <c r="Q6" i="1"/>
  <c r="P2" i="1"/>
  <c r="F9" i="1" l="1"/>
  <c r="J9" i="1"/>
  <c r="F10" i="1"/>
  <c r="BN22" i="1"/>
  <c r="BP22" i="1"/>
  <c r="BN24" i="1"/>
  <c r="BN26" i="1"/>
  <c r="X274" i="1"/>
  <c r="Y29" i="1"/>
  <c r="BN33" i="1"/>
  <c r="BP33" i="1"/>
  <c r="BN39" i="1"/>
  <c r="BP39" i="1"/>
  <c r="Y42" i="1"/>
  <c r="BN46" i="1"/>
  <c r="BP46" i="1"/>
  <c r="BN53" i="1"/>
  <c r="BN55" i="1"/>
  <c r="Y56" i="1"/>
  <c r="Y274" i="1" s="1"/>
  <c r="BN60" i="1"/>
  <c r="BP60" i="1"/>
  <c r="Y61" i="1"/>
  <c r="BN64" i="1"/>
  <c r="BP64" i="1"/>
  <c r="Y65" i="1"/>
  <c r="BN68" i="1"/>
  <c r="BP68" i="1"/>
  <c r="Y71" i="1"/>
  <c r="BN74" i="1"/>
  <c r="Y77" i="1"/>
  <c r="BN81" i="1"/>
  <c r="Y82" i="1"/>
  <c r="BN86" i="1"/>
  <c r="BP86" i="1"/>
  <c r="Y87" i="1"/>
  <c r="BN91" i="1"/>
  <c r="BP91" i="1"/>
  <c r="Y94" i="1"/>
  <c r="BN98" i="1"/>
  <c r="BN100" i="1"/>
  <c r="BN102" i="1"/>
  <c r="Y103" i="1"/>
  <c r="BN107" i="1"/>
  <c r="BP107" i="1"/>
  <c r="Y110" i="1"/>
  <c r="BN118" i="1"/>
  <c r="BN120" i="1"/>
  <c r="Y121" i="1"/>
  <c r="BN124" i="1"/>
  <c r="BP124" i="1"/>
  <c r="Y125" i="1"/>
  <c r="BN128" i="1"/>
  <c r="BP128" i="1"/>
  <c r="Y129" i="1"/>
  <c r="BN133" i="1"/>
  <c r="BP133" i="1"/>
  <c r="Y136" i="1"/>
  <c r="BN140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49" i="1"/>
  <c r="Y256" i="1"/>
  <c r="H9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9" i="1"/>
  <c r="BP139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Z275" i="1" s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1" i="1" l="1"/>
  <c r="Y270" i="1"/>
  <c r="Y272" i="1"/>
  <c r="Y273" i="1" l="1"/>
  <c r="C283" i="1" s="1"/>
  <c r="A283" i="1"/>
  <c r="B283" i="1" l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<sst xmlns="http://schemas.openxmlformats.org/spreadsheetml/2006/main" count="1222" uniqueCount="394">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</sst>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62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0</v>
      </c>
      <c r="Y39" s="269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0</v>
      </c>
      <c r="Y41" s="270">
        <f>IFERROR(SUM(Y39:Y40),"0")</f>
        <v>0</v>
      </c>
      <c r="Z41" s="270">
        <f>IFERROR(IF(Z39="",0,Z39),"0")+IFERROR(IF(Z40="",0,Z40),"0")</f>
        <v>0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0</v>
      </c>
      <c r="Y42" s="270">
        <f>IFERROR(SUMPRODUCT(Y39:Y40*H39:H40),"0")</f>
        <v>0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0</v>
      </c>
      <c r="Y48" s="270">
        <f>IFERROR(SUM(Y45:Y47),"0")</f>
        <v>0</v>
      </c>
      <c r="Z48" s="270">
        <f>IFERROR(IF(Z45="",0,Z45),"0")+IFERROR(IF(Z46="",0,Z46),"0")+IFERROR(IF(Z47="",0,Z47),"0")</f>
        <v>0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0</v>
      </c>
      <c r="Y49" s="270">
        <f>IFERROR(SUMPRODUCT(Y45:Y47*H45:H47),"0")</f>
        <v>0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0</v>
      </c>
      <c r="Y56" s="270">
        <f>IFERROR(SUM(Y52:Y55),"0")</f>
        <v>0</v>
      </c>
      <c r="Z56" s="270">
        <f>IFERROR(IF(Z52="",0,Z52),"0")+IFERROR(IF(Z53="",0,Z53),"0")+IFERROR(IF(Z54="",0,Z54),"0")+IFERROR(IF(Z55="",0,Z55),"0")</f>
        <v>0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0</v>
      </c>
      <c r="Y57" s="270">
        <f>IFERROR(SUMPRODUCT(Y52:Y55*H52:H55),"0")</f>
        <v>0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0</v>
      </c>
      <c r="Y81" s="269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0</v>
      </c>
      <c r="Y82" s="270">
        <f>IFERROR(SUM(Y80:Y81),"0")</f>
        <v>0</v>
      </c>
      <c r="Z82" s="270">
        <f>IFERROR(IF(Z80="",0,Z80),"0")+IFERROR(IF(Z81="",0,Z81),"0")</f>
        <v>0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0</v>
      </c>
      <c r="Y83" s="270">
        <f>IFERROR(SUMPRODUCT(Y80:Y81*H80:H81),"0")</f>
        <v>0</v>
      </c>
      <c r="Z83" s="37"/>
      <c r="AA83" s="271"/>
      <c r="AB83" s="271"/>
      <c r="AC83" s="271"/>
    </row>
    <row r="84" spans="1:68" ht="16.5" customHeight="1" x14ac:dyDescent="0.25">
      <c r="A84" s="284" t="s">
        <v>151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customHeight="1" x14ac:dyDescent="0.25">
      <c r="A89" s="284" t="s">
        <v>155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156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0</v>
      </c>
      <c r="Y91" s="269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0</v>
      </c>
      <c r="Y92" s="269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0</v>
      </c>
      <c r="Y93" s="270">
        <f>IFERROR(SUM(Y91:Y92),"0")</f>
        <v>0</v>
      </c>
      <c r="Z93" s="270">
        <f>IFERROR(IF(Z91="",0,Z91),"0")+IFERROR(IF(Z92="",0,Z92),"0")</f>
        <v>0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0</v>
      </c>
      <c r="Y94" s="270">
        <f>IFERROR(SUMPRODUCT(Y91:Y92*H91:H92),"0")</f>
        <v>0</v>
      </c>
      <c r="Z94" s="37"/>
      <c r="AA94" s="271"/>
      <c r="AB94" s="271"/>
      <c r="AC94" s="271"/>
    </row>
    <row r="95" spans="1:68" ht="16.5" customHeight="1" x14ac:dyDescent="0.25">
      <c r="A95" s="284" t="s">
        <v>163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0</v>
      </c>
      <c r="Y97" s="269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0</v>
      </c>
      <c r="Y98" s="269">
        <f t="shared" si="6"/>
        <v>0</v>
      </c>
      <c r="Z98" s="36">
        <f t="shared" si="7"/>
        <v>0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0</v>
      </c>
      <c r="Y100" s="269">
        <f t="shared" si="6"/>
        <v>0</v>
      </c>
      <c r="Z100" s="36">
        <f t="shared" si="7"/>
        <v>0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0</v>
      </c>
      <c r="Y103" s="270">
        <f>IFERROR(SUM(Y97:Y102),"0")</f>
        <v>0</v>
      </c>
      <c r="Z103" s="270">
        <f>IFERROR(IF(Z97="",0,Z97),"0")+IFERROR(IF(Z98="",0,Z98),"0")+IFERROR(IF(Z99="",0,Z99),"0")+IFERROR(IF(Z100="",0,Z100),"0")+IFERROR(IF(Z101="",0,Z101),"0")+IFERROR(IF(Z102="",0,Z102),"0")</f>
        <v>0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0</v>
      </c>
      <c r="Y104" s="270">
        <f>IFERROR(SUMPRODUCT(Y97:Y102*H97:H102),"0")</f>
        <v>0</v>
      </c>
      <c r="Z104" s="37"/>
      <c r="AA104" s="271"/>
      <c r="AB104" s="271"/>
      <c r="AC104" s="271"/>
    </row>
    <row r="105" spans="1:68" ht="16.5" customHeight="1" x14ac:dyDescent="0.25">
      <c r="A105" s="284" t="s">
        <v>178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customHeight="1" x14ac:dyDescent="0.25">
      <c r="A111" s="284" t="s">
        <v>184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185</v>
      </c>
      <c r="B113" s="54" t="s">
        <v>186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0</v>
      </c>
      <c r="Y116" s="269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0</v>
      </c>
      <c r="Y119" s="269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0</v>
      </c>
      <c r="Y121" s="270">
        <f>IFERROR(SUM(Y113:Y120),"0")</f>
        <v>0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0</v>
      </c>
      <c r="Y122" s="270">
        <f>IFERROR(SUMPRODUCT(Y113:Y120*H113:H120),"0")</f>
        <v>0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customHeight="1" x14ac:dyDescent="0.25">
      <c r="A127" s="305" t="s">
        <v>209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213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0</v>
      </c>
      <c r="Y135" s="270">
        <f>IFERROR(SUM(Y133:Y134),"0")</f>
        <v>0</v>
      </c>
      <c r="Z135" s="270">
        <f>IFERROR(IF(Z133="",0,Z133),"0")+IFERROR(IF(Z134="",0,Z134),"0")</f>
        <v>0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0</v>
      </c>
      <c r="Y136" s="270">
        <f>IFERROR(SUMPRODUCT(Y133:Y134*H133:H134),"0")</f>
        <v>0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0</v>
      </c>
      <c r="Y141" s="270">
        <f>IFERROR(SUM(Y139:Y140),"0")</f>
        <v>0</v>
      </c>
      <c r="Z141" s="270">
        <f>IFERROR(IF(Z139="",0,Z139),"0")+IFERROR(IF(Z140="",0,Z140),"0")</f>
        <v>0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0</v>
      </c>
      <c r="Y142" s="270">
        <f>IFERROR(SUMPRODUCT(Y139:Y140*H139:H140),"0")</f>
        <v>0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0</v>
      </c>
      <c r="Y147" s="270">
        <f>IFERROR(SUM(Y145:Y146),"0")</f>
        <v>0</v>
      </c>
      <c r="Z147" s="270">
        <f>IFERROR(IF(Z145="",0,Z145),"0")+IFERROR(IF(Z146="",0,Z146),"0")</f>
        <v>0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0</v>
      </c>
      <c r="Y148" s="270">
        <f>IFERROR(SUMPRODUCT(Y145:Y146*H145:H146),"0")</f>
        <v>0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209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0</v>
      </c>
      <c r="Y166" s="269">
        <f>IFERROR(IF(X166="","",X166),"")</f>
        <v>0</v>
      </c>
      <c r="Z166" s="36">
        <f>IFERROR(IF(X166="","",X166*0.00941),"")</f>
        <v>0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0</v>
      </c>
      <c r="Y167" s="270">
        <f>IFERROR(SUM(Y166:Y166),"0")</f>
        <v>0</v>
      </c>
      <c r="Z167" s="270">
        <f>IFERROR(IF(Z166="",0,Z166),"0")</f>
        <v>0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0</v>
      </c>
      <c r="Y168" s="270">
        <f>IFERROR(SUMPRODUCT(Y166:Y166*H166:H166),"0")</f>
        <v>0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0</v>
      </c>
      <c r="Y182" s="270">
        <f>IFERROR(SUM(Y179:Y181),"0")</f>
        <v>0</v>
      </c>
      <c r="Z182" s="270">
        <f>IFERROR(IF(Z179="",0,Z179),"0")+IFERROR(IF(Z180="",0,Z180),"0")+IFERROR(IF(Z181="",0,Z181),"0")</f>
        <v>0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0</v>
      </c>
      <c r="Y183" s="270">
        <f>IFERROR(SUMPRODUCT(Y179:Y181*H179:H181),"0")</f>
        <v>0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0</v>
      </c>
      <c r="Y249" s="270">
        <f>IFERROR(SUM(Y247:Y248),"0")</f>
        <v>0</v>
      </c>
      <c r="Z249" s="270">
        <f>IFERROR(IF(Z247="",0,Z247),"0")+IFERROR(IF(Z248="",0,Z248),"0")</f>
        <v>0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0</v>
      </c>
      <c r="Y250" s="270">
        <f>IFERROR(SUMPRODUCT(Y247:Y248*H247:H248),"0")</f>
        <v>0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252</v>
      </c>
      <c r="Y259" s="269">
        <f t="shared" si="18"/>
        <v>252</v>
      </c>
      <c r="Z259" s="36">
        <f>IFERROR(IF(X259="","",X259*0.00936),"")</f>
        <v>2.3587199999999999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980.78399999999999</v>
      </c>
      <c r="BN259" s="67">
        <f t="shared" si="20"/>
        <v>980.78399999999999</v>
      </c>
      <c r="BO259" s="67">
        <f t="shared" si="21"/>
        <v>2</v>
      </c>
      <c r="BP259" s="67">
        <f t="shared" si="22"/>
        <v>2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96</v>
      </c>
      <c r="Y260" s="269">
        <f t="shared" si="18"/>
        <v>96</v>
      </c>
      <c r="Z260" s="36">
        <f>IFERROR(IF(X260="","",X260*0.0155),"")</f>
        <v>1.488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550.56000000000006</v>
      </c>
      <c r="BN260" s="67">
        <f t="shared" si="20"/>
        <v>550.56000000000006</v>
      </c>
      <c r="BO260" s="67">
        <f t="shared" si="21"/>
        <v>1.1428571428571428</v>
      </c>
      <c r="BP260" s="67">
        <f t="shared" si="22"/>
        <v>1.1428571428571428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56</v>
      </c>
      <c r="Y261" s="269">
        <f t="shared" si="18"/>
        <v>56</v>
      </c>
      <c r="Z261" s="36">
        <f t="shared" ref="Z261:Z266" si="23">IFERROR(IF(X261="","",X261*0.00936),"")</f>
        <v>0.52415999999999996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178.75200000000001</v>
      </c>
      <c r="BN261" s="67">
        <f t="shared" si="20"/>
        <v>178.75200000000001</v>
      </c>
      <c r="BO261" s="67">
        <f t="shared" si="21"/>
        <v>0.44444444444444442</v>
      </c>
      <c r="BP261" s="67">
        <f t="shared" si="22"/>
        <v>0.44444444444444442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630</v>
      </c>
      <c r="Y262" s="269">
        <f t="shared" si="18"/>
        <v>630</v>
      </c>
      <c r="Z262" s="36">
        <f t="shared" si="23"/>
        <v>5.8967999999999998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2451.96</v>
      </c>
      <c r="BN262" s="67">
        <f t="shared" si="20"/>
        <v>2451.96</v>
      </c>
      <c r="BO262" s="67">
        <f t="shared" si="21"/>
        <v>5</v>
      </c>
      <c r="BP262" s="67">
        <f t="shared" si="22"/>
        <v>5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14</v>
      </c>
      <c r="Y263" s="269">
        <f t="shared" si="18"/>
        <v>14</v>
      </c>
      <c r="Z263" s="36">
        <f t="shared" si="23"/>
        <v>0.13103999999999999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54.488</v>
      </c>
      <c r="BN263" s="67">
        <f t="shared" si="20"/>
        <v>54.488</v>
      </c>
      <c r="BO263" s="67">
        <f t="shared" si="21"/>
        <v>0.1111111111111111</v>
      </c>
      <c r="BP263" s="67">
        <f t="shared" si="22"/>
        <v>0.1111111111111111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1048</v>
      </c>
      <c r="Y268" s="270">
        <f>IFERROR(SUM(Y258:Y267),"0")</f>
        <v>1048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10.398719999999999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4011.2000000000003</v>
      </c>
      <c r="Y269" s="270">
        <f>IFERROR(SUMPRODUCT(Y258:Y267*H258:H267),"0")</f>
        <v>4011.2000000000003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4011.2000000000003</v>
      </c>
      <c r="Y270" s="270">
        <f>IFERROR(Y29+Y35+Y42+Y49+Y57+Y62+Y66+Y71+Y77+Y83+Y88+Y94+Y104+Y110+Y122+Y126+Y130+Y136+Y142+Y148+Y153+Y158+Y163+Y168+Y175+Y183+Y187+Y193+Y201+Y206+Y211+Y216+Y222+Y228+Y234+Y238+Y245+Y250+Y256+Y269,"0")</f>
        <v>4011.2000000000003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4216.5440000000008</v>
      </c>
      <c r="Y271" s="270">
        <f>IFERROR(SUM(BN22:BN267),"0")</f>
        <v>4216.5440000000008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9</v>
      </c>
      <c r="Y272" s="38">
        <f>ROUNDUP(SUM(BP22:BP267),0)</f>
        <v>9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4441.5440000000008</v>
      </c>
      <c r="Y273" s="270">
        <f>GrossWeightTotalR+PalletQtyTotalR*25</f>
        <v>4441.5440000000008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1048</v>
      </c>
      <c r="Y274" s="270">
        <f>IFERROR(Y28+Y34+Y41+Y48+Y56+Y61+Y65+Y70+Y76+Y82+Y87+Y93+Y103+Y109+Y121+Y125+Y129+Y135+Y141+Y147+Y152+Y157+Y162+Y167+Y174+Y182+Y186+Y192+Y200+Y205+Y210+Y215+Y221+Y227+Y233+Y237+Y244+Y249+Y255+Y268,"0")</f>
        <v>1048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10.398719999999999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144</v>
      </c>
      <c r="I278" s="289" t="s">
        <v>151</v>
      </c>
      <c r="J278" s="289" t="s">
        <v>155</v>
      </c>
      <c r="K278" s="289" t="s">
        <v>163</v>
      </c>
      <c r="L278" s="289" t="s">
        <v>178</v>
      </c>
      <c r="M278" s="289" t="s">
        <v>184</v>
      </c>
      <c r="N278" s="266"/>
      <c r="O278" s="289" t="s">
        <v>213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0</v>
      </c>
      <c r="E280" s="46">
        <f>IFERROR(X45*H45,"0")+IFERROR(X46*H46,"0")+IFERROR(X47*H47,"0")</f>
        <v>0</v>
      </c>
      <c r="F280" s="46">
        <f>IFERROR(X52*H52,"0")+IFERROR(X53*H53,"0")+IFERROR(X54*H54,"0")+IFERROR(X55*H55,"0")</f>
        <v>0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0</v>
      </c>
      <c r="I280" s="46">
        <f>IFERROR(X86*H86,"0")</f>
        <v>0</v>
      </c>
      <c r="J280" s="46">
        <f>IFERROR(X91*H91,"0")+IFERROR(X92*H92,"0")</f>
        <v>0</v>
      </c>
      <c r="K280" s="46">
        <f>IFERROR(X97*H97,"0")+IFERROR(X98*H98,"0")+IFERROR(X99*H99,"0")+IFERROR(X100*H100,"0")+IFERROR(X101*H101,"0")+IFERROR(X102*H102,"0")</f>
        <v>0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0</v>
      </c>
      <c r="N280" s="266"/>
      <c r="O280" s="46">
        <f>IFERROR(X133*H133,"0")+IFERROR(X134*H134,"0")</f>
        <v>0</v>
      </c>
      <c r="P280" s="46">
        <f>IFERROR(X139*H139,"0")+IFERROR(X140*H140,"0")</f>
        <v>0</v>
      </c>
      <c r="Q280" s="46">
        <f>IFERROR(X145*H145,"0")+IFERROR(X146*H146,"0")</f>
        <v>0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0</v>
      </c>
      <c r="V280" s="46">
        <f>IFERROR(X172*H172,"0")+IFERROR(X173*H173,"0")</f>
        <v>0</v>
      </c>
      <c r="W280" s="46">
        <f>IFERROR(X179*H179,"0")+IFERROR(X180*H180,"0")+IFERROR(X181*H181,"0")+IFERROR(X185*H185,"0")</f>
        <v>0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4011.2000000000003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0</v>
      </c>
      <c r="B283" s="60">
        <f>SUMPRODUCT(--(BB:BB="ПГП"),--(W:W="кор"),H:H,Y:Y)+SUMPRODUCT(--(BB:BB="ПГП"),--(W:W="кг"),Y:Y)</f>
        <v>4011.2000000000003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2025-12-12T07:26:47Z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