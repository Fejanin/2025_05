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Ber\"/>
    </mc:Choice>
  </mc:AlternateContent>
  <xr:revisionPtr revIDLastSave="0" documentId="13_ncr:1_{863B0E8F-0BC5-4C59-AF2B-7DED261F19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Y245" i="1" s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Y206" i="1" s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Y193" i="1" s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Y168" i="1" s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Y158" i="1" s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Y148" i="1" s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Y136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1" i="1" s="1"/>
  <c r="P113" i="1"/>
  <c r="X110" i="1"/>
  <c r="X109" i="1"/>
  <c r="BO108" i="1"/>
  <c r="BM108" i="1"/>
  <c r="Z108" i="1"/>
  <c r="Y108" i="1"/>
  <c r="Y110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3" i="1" s="1"/>
  <c r="P97" i="1"/>
  <c r="X94" i="1"/>
  <c r="X93" i="1"/>
  <c r="BO92" i="1"/>
  <c r="BM92" i="1"/>
  <c r="Z92" i="1"/>
  <c r="Y92" i="1"/>
  <c r="Y94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2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7" i="1" s="1"/>
  <c r="P73" i="1"/>
  <c r="X71" i="1"/>
  <c r="X70" i="1"/>
  <c r="BO69" i="1"/>
  <c r="BM69" i="1"/>
  <c r="Z69" i="1"/>
  <c r="Y69" i="1"/>
  <c r="Y71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6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9" i="1" s="1"/>
  <c r="P45" i="1"/>
  <c r="X42" i="1"/>
  <c r="X41" i="1"/>
  <c r="BO40" i="1"/>
  <c r="BM40" i="1"/>
  <c r="Z40" i="1"/>
  <c r="Y40" i="1"/>
  <c r="Y42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4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Y29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H9" i="1" l="1"/>
  <c r="X271" i="1"/>
  <c r="X272" i="1"/>
  <c r="BN23" i="1"/>
  <c r="Y271" i="1" s="1"/>
  <c r="Y273" i="1" s="1"/>
  <c r="BP23" i="1"/>
  <c r="Y272" i="1" s="1"/>
  <c r="BN25" i="1"/>
  <c r="BN27" i="1"/>
  <c r="X270" i="1"/>
  <c r="BN32" i="1"/>
  <c r="BP32" i="1"/>
  <c r="Y35" i="1"/>
  <c r="Y270" i="1" s="1"/>
  <c r="BN40" i="1"/>
  <c r="BP40" i="1"/>
  <c r="BN45" i="1"/>
  <c r="BP45" i="1"/>
  <c r="BN47" i="1"/>
  <c r="Y48" i="1"/>
  <c r="Y274" i="1" s="1"/>
  <c r="BN52" i="1"/>
  <c r="BP52" i="1"/>
  <c r="BN54" i="1"/>
  <c r="Y57" i="1"/>
  <c r="BN69" i="1"/>
  <c r="BP69" i="1"/>
  <c r="BN73" i="1"/>
  <c r="BP73" i="1"/>
  <c r="BN75" i="1"/>
  <c r="Y76" i="1"/>
  <c r="BN80" i="1"/>
  <c r="BP80" i="1"/>
  <c r="Y83" i="1"/>
  <c r="BN92" i="1"/>
  <c r="BP92" i="1"/>
  <c r="BN97" i="1"/>
  <c r="BP97" i="1"/>
  <c r="BN99" i="1"/>
  <c r="BN101" i="1"/>
  <c r="Y104" i="1"/>
  <c r="BN108" i="1"/>
  <c r="BP108" i="1"/>
  <c r="BN113" i="1"/>
  <c r="BP113" i="1"/>
  <c r="BN115" i="1"/>
  <c r="BN117" i="1"/>
  <c r="BN119" i="1"/>
  <c r="Y122" i="1"/>
  <c r="BN134" i="1"/>
  <c r="BP134" i="1"/>
  <c r="Z141" i="1"/>
  <c r="Z275" i="1" s="1"/>
  <c r="BN139" i="1"/>
  <c r="BP139" i="1"/>
  <c r="Y147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Z215" i="1"/>
  <c r="Y244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C283" i="1" l="1"/>
  <c r="B283" i="1"/>
  <c r="A283" i="1"/>
  <c r="X27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<sst xmlns="http://schemas.openxmlformats.org/spreadsheetml/2006/main" count="1222" uniqueCount="394">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</sst>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56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14</v>
      </c>
      <c r="Y41" s="270">
        <f>IFERROR(SUM(Y39:Y40),"0")</f>
        <v>14</v>
      </c>
      <c r="Z41" s="270">
        <f>IFERROR(IF(Z39="",0,Z39),"0")+IFERROR(IF(Z40="",0,Z40),"0")</f>
        <v>0.13174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21</v>
      </c>
      <c r="Y42" s="270">
        <f>IFERROR(SUMPRODUCT(Y39:Y40*H39:H40),"0")</f>
        <v>21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12</v>
      </c>
      <c r="Y45" s="269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48</v>
      </c>
      <c r="Y81" s="269">
        <f>IFERROR(IF(X81="","",X81),"")</f>
        <v>48</v>
      </c>
      <c r="Z81" s="36">
        <f>IFERROR(IF(X81="","",X81*0.00866),"")</f>
        <v>0.41567999999999994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250.23359999999997</v>
      </c>
      <c r="BN81" s="67">
        <f>IFERROR(Y81*I81,"0")</f>
        <v>250.23359999999997</v>
      </c>
      <c r="BO81" s="67">
        <f>IFERROR(X81/J81,"0")</f>
        <v>0.33333333333333331</v>
      </c>
      <c r="BP81" s="67">
        <f>IFERROR(Y81/J81,"0")</f>
        <v>0.33333333333333331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48</v>
      </c>
      <c r="Y82" s="270">
        <f>IFERROR(SUM(Y80:Y81),"0")</f>
        <v>48</v>
      </c>
      <c r="Z82" s="270">
        <f>IFERROR(IF(Z80="",0,Z80),"0")+IFERROR(IF(Z81="",0,Z81),"0")</f>
        <v>0.41567999999999994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240</v>
      </c>
      <c r="Y83" s="270">
        <f>IFERROR(SUMPRODUCT(Y80:Y81*H80:H81),"0")</f>
        <v>240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42</v>
      </c>
      <c r="Y93" s="270">
        <f>IFERROR(SUM(Y91:Y92),"0")</f>
        <v>42</v>
      </c>
      <c r="Z93" s="270">
        <f>IFERROR(IF(Z91="",0,Z91),"0")+IFERROR(IF(Z92="",0,Z92),"0")</f>
        <v>0.75095999999999996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151.20000000000002</v>
      </c>
      <c r="Y94" s="270">
        <f>IFERROR(SUMPRODUCT(Y91:Y92*H91:H92),"0")</f>
        <v>151.20000000000002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14</v>
      </c>
      <c r="Y100" s="269">
        <f t="shared" si="6"/>
        <v>14</v>
      </c>
      <c r="Z100" s="36">
        <f t="shared" si="7"/>
        <v>0.25031999999999999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50.170400000000001</v>
      </c>
      <c r="BN100" s="67">
        <f t="shared" si="9"/>
        <v>50.170400000000001</v>
      </c>
      <c r="BO100" s="67">
        <f t="shared" si="10"/>
        <v>0.2</v>
      </c>
      <c r="BP100" s="67">
        <f t="shared" si="11"/>
        <v>0.2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42</v>
      </c>
      <c r="Y103" s="270">
        <f>IFERROR(SUM(Y97:Y102),"0")</f>
        <v>42</v>
      </c>
      <c r="Z103" s="270">
        <f>IFERROR(IF(Z97="",0,Z97),"0")+IFERROR(IF(Z98="",0,Z98),"0")+IFERROR(IF(Z99="",0,Z99),"0")+IFERROR(IF(Z100="",0,Z100),"0")+IFERROR(IF(Z101="",0,Z101),"0")+IFERROR(IF(Z102="",0,Z102),"0")</f>
        <v>0.75095999999999996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139.44</v>
      </c>
      <c r="Y104" s="270">
        <f>IFERROR(SUMPRODUCT(Y97:Y102*H97:H102),"0")</f>
        <v>139.44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0.13103999999999999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30.240000000000002</v>
      </c>
      <c r="Y110" s="270">
        <f>IFERROR(SUMPRODUCT(Y107:Y108*H107:H108),"0")</f>
        <v>30.240000000000002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14</v>
      </c>
      <c r="Y141" s="270">
        <f>IFERROR(SUM(Y139:Y140),"0")</f>
        <v>14</v>
      </c>
      <c r="Z141" s="270">
        <f>IFERROR(IF(Z139="",0,Z139),"0")+IFERROR(IF(Z140="",0,Z140),"0")</f>
        <v>0.25031999999999999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42</v>
      </c>
      <c r="Y142" s="270">
        <f>IFERROR(SUMPRODUCT(Y139:Y140*H139:H140),"0")</f>
        <v>42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156</v>
      </c>
      <c r="Y173" s="269">
        <f>IFERROR(IF(X173="","",X173),"")</f>
        <v>156</v>
      </c>
      <c r="Z173" s="36">
        <f>IFERROR(IF(X173="","",X173*0.00866),"")</f>
        <v>1.3509599999999999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813.25919999999996</v>
      </c>
      <c r="BN173" s="67">
        <f>IFERROR(Y173*I173,"0")</f>
        <v>813.25919999999996</v>
      </c>
      <c r="BO173" s="67">
        <f>IFERROR(X173/J173,"0")</f>
        <v>1.0833333333333333</v>
      </c>
      <c r="BP173" s="67">
        <f>IFERROR(Y173/J173,"0")</f>
        <v>1.0833333333333333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156</v>
      </c>
      <c r="Y174" s="270">
        <f>IFERROR(SUM(Y172:Y173),"0")</f>
        <v>156</v>
      </c>
      <c r="Z174" s="270">
        <f>IFERROR(IF(Z172="",0,Z172),"0")+IFERROR(IF(Z173="",0,Z173),"0")</f>
        <v>1.3509599999999999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780</v>
      </c>
      <c r="Y175" s="270">
        <f>IFERROR(SUMPRODUCT(Y172:Y173*H172:H173),"0")</f>
        <v>780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42</v>
      </c>
      <c r="Y180" s="269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42</v>
      </c>
      <c r="Y182" s="270">
        <f>IFERROR(SUM(Y179:Y181),"0")</f>
        <v>42</v>
      </c>
      <c r="Z182" s="270">
        <f>IFERROR(IF(Z179="",0,Z179),"0")+IFERROR(IF(Z180="",0,Z180),"0")+IFERROR(IF(Z181="",0,Z181),"0")</f>
        <v>0.75095999999999996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126</v>
      </c>
      <c r="Y183" s="270">
        <f>IFERROR(SUMPRODUCT(Y179:Y181*H179:H181),"0")</f>
        <v>126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60</v>
      </c>
      <c r="Y204" s="269">
        <f>IFERROR(IF(X204="","",X204),"")</f>
        <v>60</v>
      </c>
      <c r="Z204" s="36">
        <f>IFERROR(IF(X204="","",X204*0.0155),"")</f>
        <v>0.92999999999999994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313.8</v>
      </c>
      <c r="BN204" s="67">
        <f>IFERROR(Y204*I204,"0")</f>
        <v>313.8</v>
      </c>
      <c r="BO204" s="67">
        <f>IFERROR(X204/J204,"0")</f>
        <v>0.7142857142857143</v>
      </c>
      <c r="BP204" s="67">
        <f>IFERROR(Y204/J204,"0")</f>
        <v>0.7142857142857143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60</v>
      </c>
      <c r="Y205" s="270">
        <f>IFERROR(SUM(Y204:Y204),"0")</f>
        <v>60</v>
      </c>
      <c r="Z205" s="270">
        <f>IFERROR(IF(Z204="",0,Z204),"0")</f>
        <v>0.92999999999999994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300</v>
      </c>
      <c r="Y206" s="270">
        <f>IFERROR(SUMPRODUCT(Y204:Y204*H204:H204),"0")</f>
        <v>300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24</v>
      </c>
      <c r="Y226" s="269">
        <f>IFERROR(IF(X226="","",X226),"")</f>
        <v>24</v>
      </c>
      <c r="Z226" s="36">
        <f>IFERROR(IF(X226="","",X226*0.0155),"")</f>
        <v>0.372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126.28799999999998</v>
      </c>
      <c r="BN226" s="67">
        <f>IFERROR(Y226*I226,"0")</f>
        <v>126.28799999999998</v>
      </c>
      <c r="BO226" s="67">
        <f>IFERROR(X226/J226,"0")</f>
        <v>0.2857142857142857</v>
      </c>
      <c r="BP226" s="67">
        <f>IFERROR(Y226/J226,"0")</f>
        <v>0.2857142857142857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24</v>
      </c>
      <c r="Y227" s="270">
        <f>IFERROR(SUM(Y226:Y226),"0")</f>
        <v>24</v>
      </c>
      <c r="Z227" s="270">
        <f>IFERROR(IF(Z226="",0,Z226),"0")</f>
        <v>0.372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120</v>
      </c>
      <c r="Y228" s="270">
        <f>IFERROR(SUMPRODUCT(Y226:Y226*H226:H226),"0")</f>
        <v>120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48</v>
      </c>
      <c r="Y243" s="269">
        <f>IFERROR(IF(X243="","",X243),"")</f>
        <v>48</v>
      </c>
      <c r="Z243" s="36">
        <f>IFERROR(IF(X243="","",X243*0.0155),"")</f>
        <v>0.74399999999999999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349.44</v>
      </c>
      <c r="BN243" s="67">
        <f>IFERROR(Y243*I243,"0")</f>
        <v>349.44</v>
      </c>
      <c r="BO243" s="67">
        <f>IFERROR(X243/J243,"0")</f>
        <v>0.5714285714285714</v>
      </c>
      <c r="BP243" s="67">
        <f>IFERROR(Y243/J243,"0")</f>
        <v>0.5714285714285714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48</v>
      </c>
      <c r="Y244" s="270">
        <f>IFERROR(SUM(Y242:Y243),"0")</f>
        <v>48</v>
      </c>
      <c r="Z244" s="270">
        <f>IFERROR(IF(Z242="",0,Z242),"0")+IFERROR(IF(Z243="",0,Z243),"0")</f>
        <v>0.74399999999999999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336</v>
      </c>
      <c r="Y245" s="270">
        <f>IFERROR(SUMPRODUCT(Y242:Y243*H242:H243),"0")</f>
        <v>336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120</v>
      </c>
      <c r="Y253" s="269">
        <f>IFERROR(IF(X253="","",X253),"")</f>
        <v>120</v>
      </c>
      <c r="Z253" s="36">
        <f>IFERROR(IF(X253="","",X253*0.0155),"")</f>
        <v>1.8599999999999999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628.20000000000005</v>
      </c>
      <c r="BN253" s="67">
        <f>IFERROR(Y253*I253,"0")</f>
        <v>628.20000000000005</v>
      </c>
      <c r="BO253" s="67">
        <f>IFERROR(X253/J253,"0")</f>
        <v>1.4285714285714286</v>
      </c>
      <c r="BP253" s="67">
        <f>IFERROR(Y253/J253,"0")</f>
        <v>1.4285714285714286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120</v>
      </c>
      <c r="Y255" s="270">
        <f>IFERROR(SUM(Y252:Y254),"0")</f>
        <v>120</v>
      </c>
      <c r="Z255" s="270">
        <f>IFERROR(IF(Z252="",0,Z252),"0")+IFERROR(IF(Z253="",0,Z253),"0")+IFERROR(IF(Z254="",0,Z254),"0")</f>
        <v>1.8599999999999999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600</v>
      </c>
      <c r="Y256" s="270">
        <f>IFERROR(SUMPRODUCT(Y252:Y254*H252:H254),"0")</f>
        <v>600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14</v>
      </c>
      <c r="Y259" s="269">
        <f t="shared" si="18"/>
        <v>14</v>
      </c>
      <c r="Z259" s="36">
        <f>IFERROR(IF(X259="","",X259*0.00936),"")</f>
        <v>0.13103999999999999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12</v>
      </c>
      <c r="Y260" s="269">
        <f t="shared" si="18"/>
        <v>12</v>
      </c>
      <c r="Z260" s="36">
        <f>IFERROR(IF(X260="","",X260*0.0155),"")</f>
        <v>0.186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68.820000000000007</v>
      </c>
      <c r="BN260" s="67">
        <f t="shared" si="20"/>
        <v>68.820000000000007</v>
      </c>
      <c r="BO260" s="67">
        <f t="shared" si="21"/>
        <v>0.14285714285714285</v>
      </c>
      <c r="BP260" s="67">
        <f t="shared" si="22"/>
        <v>0.14285714285714285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40</v>
      </c>
      <c r="Y268" s="270">
        <f>IFERROR(SUM(Y258:Y267),"0")</f>
        <v>40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0.44807999999999998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159.80000000000001</v>
      </c>
      <c r="Y269" s="270">
        <f>IFERROR(SUMPRODUCT(Y258:Y267*H258:H267),"0")</f>
        <v>159.80000000000001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3180.08</v>
      </c>
      <c r="Y270" s="270">
        <f>IFERROR(Y29+Y35+Y42+Y49+Y57+Y62+Y66+Y71+Y77+Y83+Y88+Y94+Y104+Y110+Y122+Y126+Y130+Y136+Y142+Y148+Y153+Y158+Y163+Y168+Y175+Y183+Y187+Y193+Y201+Y206+Y211+Y216+Y222+Y228+Y234+Y238+Y245+Y250+Y256+Y269,"0")</f>
        <v>3180.08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3391.1476000000002</v>
      </c>
      <c r="Y271" s="270">
        <f>IFERROR(SUM(BN22:BN267),"0")</f>
        <v>3391.1476000000002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8</v>
      </c>
      <c r="Y272" s="38">
        <f>ROUNDUP(SUM(BP22:BP267),0)</f>
        <v>8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3591.1476000000002</v>
      </c>
      <c r="Y273" s="270">
        <f>GrossWeightTotalR+PalletQtyTotalR*25</f>
        <v>3591.1476000000002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688</v>
      </c>
      <c r="Y274" s="270">
        <f>IFERROR(Y28+Y34+Y41+Y48+Y56+Y61+Y65+Y70+Y76+Y82+Y87+Y93+Y103+Y109+Y121+Y125+Y129+Y135+Y141+Y147+Y152+Y157+Y162+Y167+Y174+Y182+Y186+Y192+Y200+Y205+Y210+Y215+Y221+Y227+Y233+Y237+Y244+Y249+Y255+Y268,"0")</f>
        <v>688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9.2586999999999975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21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240</v>
      </c>
      <c r="I280" s="46">
        <f>IFERROR(X86*H86,"0")</f>
        <v>0</v>
      </c>
      <c r="J280" s="46">
        <f>IFERROR(X91*H91,"0")+IFERROR(X92*H92,"0")</f>
        <v>151.20000000000002</v>
      </c>
      <c r="K280" s="46">
        <f>IFERROR(X97*H97,"0")+IFERROR(X98*H98,"0")+IFERROR(X99*H99,"0")+IFERROR(X100*H100,"0")+IFERROR(X101*H101,"0")+IFERROR(X102*H102,"0")</f>
        <v>139.44</v>
      </c>
      <c r="L280" s="46">
        <f>IFERROR(X107*H107,"0")+IFERROR(X108*H108,"0")</f>
        <v>30.240000000000002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0</v>
      </c>
      <c r="P280" s="46">
        <f>IFERROR(X139*H139,"0")+IFERROR(X140*H140,"0")</f>
        <v>42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780</v>
      </c>
      <c r="W280" s="46">
        <f>IFERROR(X179*H179,"0")+IFERROR(X180*H180,"0")+IFERROR(X181*H181,"0")+IFERROR(X185*H185,"0")</f>
        <v>126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300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120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1095.8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1910.4</v>
      </c>
      <c r="B283" s="60">
        <f>SUMPRODUCT(--(BB:BB="ПГП"),--(W:W="кор"),H:H,Y:Y)+SUMPRODUCT(--(BB:BB="ПГП"),--(W:W="кг"),Y:Y)</f>
        <v>1269.68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2025-12-12T09:19:30Z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