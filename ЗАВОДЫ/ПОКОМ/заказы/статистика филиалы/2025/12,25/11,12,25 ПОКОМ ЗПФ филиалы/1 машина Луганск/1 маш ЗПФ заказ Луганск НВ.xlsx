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17CC56AF-DE26-4283-8B0E-8FCE9DB64E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Y271" i="1"/>
  <c r="X271" i="1"/>
  <c r="Z270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Y270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57" i="1" s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Z251" i="1" s="1"/>
  <c r="Y249" i="1"/>
  <c r="P249" i="1"/>
  <c r="X247" i="1"/>
  <c r="X246" i="1"/>
  <c r="BO245" i="1"/>
  <c r="BM245" i="1"/>
  <c r="Z245" i="1"/>
  <c r="Y245" i="1"/>
  <c r="P245" i="1"/>
  <c r="BP244" i="1"/>
  <c r="BO244" i="1"/>
  <c r="BN244" i="1"/>
  <c r="BM244" i="1"/>
  <c r="Z244" i="1"/>
  <c r="Z246" i="1" s="1"/>
  <c r="Y244" i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3" i="1"/>
  <c r="X213" i="1"/>
  <c r="Z212" i="1"/>
  <c r="X212" i="1"/>
  <c r="BO211" i="1"/>
  <c r="BM211" i="1"/>
  <c r="Z211" i="1"/>
  <c r="Y211" i="1"/>
  <c r="P211" i="1"/>
  <c r="X208" i="1"/>
  <c r="Z207" i="1"/>
  <c r="X207" i="1"/>
  <c r="BO206" i="1"/>
  <c r="BM206" i="1"/>
  <c r="Z206" i="1"/>
  <c r="Y206" i="1"/>
  <c r="P206" i="1"/>
  <c r="Y203" i="1"/>
  <c r="X203" i="1"/>
  <c r="Z202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X195" i="1"/>
  <c r="Z194" i="1"/>
  <c r="X194" i="1"/>
  <c r="BO193" i="1"/>
  <c r="BM193" i="1"/>
  <c r="Z193" i="1"/>
  <c r="Y193" i="1"/>
  <c r="P193" i="1"/>
  <c r="Y189" i="1"/>
  <c r="X189" i="1"/>
  <c r="Z188" i="1"/>
  <c r="X188" i="1"/>
  <c r="BO187" i="1"/>
  <c r="BM187" i="1"/>
  <c r="Z187" i="1"/>
  <c r="Y187" i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Y185" i="1" s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Z176" i="1" s="1"/>
  <c r="Y174" i="1"/>
  <c r="P174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Z159" i="1"/>
  <c r="X159" i="1"/>
  <c r="BO158" i="1"/>
  <c r="BM158" i="1"/>
  <c r="Z158" i="1"/>
  <c r="Y158" i="1"/>
  <c r="P158" i="1"/>
  <c r="Y155" i="1"/>
  <c r="X155" i="1"/>
  <c r="Z154" i="1"/>
  <c r="X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Y144" i="1" s="1"/>
  <c r="P141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Y137" i="1" s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Y128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Y122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Z110" i="1" s="1"/>
  <c r="Y108" i="1"/>
  <c r="Y111" i="1" s="1"/>
  <c r="P108" i="1"/>
  <c r="X105" i="1"/>
  <c r="X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Z104" i="1" s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6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6" i="1" s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Y273" i="1" s="1"/>
  <c r="BN25" i="1"/>
  <c r="BN27" i="1"/>
  <c r="X272" i="1"/>
  <c r="BN32" i="1"/>
  <c r="BP32" i="1"/>
  <c r="Y274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Z277" i="1" s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C285" i="1" l="1"/>
  <c r="Y275" i="1"/>
  <c r="A285" i="1"/>
  <c r="X275" i="1"/>
  <c r="B285" i="1"/>
  <c r="Y272" i="1"/>
</calcChain>
</file>

<file path=xl/sharedStrings.xml><?xml version="1.0" encoding="utf-8"?>
<sst xmlns="http://schemas.openxmlformats.org/spreadsheetml/2006/main" count="1240" uniqueCount="398">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</sst>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64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0" t="s">
        <v>0</v>
      </c>
      <c r="E1" s="299"/>
      <c r="F1" s="299"/>
      <c r="G1" s="12" t="s">
        <v>1</v>
      </c>
      <c r="H1" s="320" t="s">
        <v>2</v>
      </c>
      <c r="I1" s="299"/>
      <c r="J1" s="299"/>
      <c r="K1" s="299"/>
      <c r="L1" s="299"/>
      <c r="M1" s="299"/>
      <c r="N1" s="299"/>
      <c r="O1" s="299"/>
      <c r="P1" s="299"/>
      <c r="Q1" s="299"/>
      <c r="R1" s="298" t="s">
        <v>3</v>
      </c>
      <c r="S1" s="299"/>
      <c r="T1" s="2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1" t="s">
        <v>7</v>
      </c>
      <c r="B5" s="322"/>
      <c r="C5" s="323"/>
      <c r="D5" s="325"/>
      <c r="E5" s="326"/>
      <c r="F5" s="444" t="s">
        <v>8</v>
      </c>
      <c r="G5" s="323"/>
      <c r="H5" s="325"/>
      <c r="I5" s="417"/>
      <c r="J5" s="417"/>
      <c r="K5" s="417"/>
      <c r="L5" s="417"/>
      <c r="M5" s="326"/>
      <c r="N5" s="61"/>
      <c r="P5" s="24" t="s">
        <v>9</v>
      </c>
      <c r="Q5" s="449">
        <v>45999</v>
      </c>
      <c r="R5" s="350"/>
      <c r="T5" s="372" t="s">
        <v>10</v>
      </c>
      <c r="U5" s="373"/>
      <c r="V5" s="374" t="s">
        <v>11</v>
      </c>
      <c r="W5" s="350"/>
      <c r="AB5" s="51"/>
      <c r="AC5" s="51"/>
      <c r="AD5" s="51"/>
      <c r="AE5" s="51"/>
    </row>
    <row r="6" spans="1:32" s="266" customFormat="1" ht="24" customHeight="1" x14ac:dyDescent="0.2">
      <c r="A6" s="351" t="s">
        <v>12</v>
      </c>
      <c r="B6" s="322"/>
      <c r="C6" s="323"/>
      <c r="D6" s="419" t="s">
        <v>13</v>
      </c>
      <c r="E6" s="420"/>
      <c r="F6" s="420"/>
      <c r="G6" s="420"/>
      <c r="H6" s="420"/>
      <c r="I6" s="420"/>
      <c r="J6" s="420"/>
      <c r="K6" s="420"/>
      <c r="L6" s="420"/>
      <c r="M6" s="350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77"/>
      <c r="T6" s="377" t="s">
        <v>15</v>
      </c>
      <c r="U6" s="373"/>
      <c r="V6" s="404" t="s">
        <v>16</v>
      </c>
      <c r="W6" s="305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90"/>
      <c r="U7" s="373"/>
      <c r="V7" s="405"/>
      <c r="W7" s="406"/>
      <c r="AB7" s="51"/>
      <c r="AC7" s="51"/>
      <c r="AD7" s="51"/>
      <c r="AE7" s="51"/>
    </row>
    <row r="8" spans="1:32" s="266" customFormat="1" ht="25.5" customHeight="1" x14ac:dyDescent="0.2">
      <c r="A8" s="462" t="s">
        <v>17</v>
      </c>
      <c r="B8" s="283"/>
      <c r="C8" s="284"/>
      <c r="D8" s="315" t="s">
        <v>18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19</v>
      </c>
      <c r="Q8" s="357">
        <v>0.41666666666666669</v>
      </c>
      <c r="R8" s="311"/>
      <c r="T8" s="290"/>
      <c r="U8" s="373"/>
      <c r="V8" s="405"/>
      <c r="W8" s="406"/>
      <c r="AB8" s="51"/>
      <c r="AC8" s="51"/>
      <c r="AD8" s="51"/>
      <c r="AE8" s="51"/>
    </row>
    <row r="9" spans="1:32" s="266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0"/>
      <c r="E9" s="286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5" t="str">
        <f>IF(AND($A$9="Тип доверенности/получателя при получении в адресе перегруза:",$D$9="Разовая доверенность"),"Введите ФИО","")</f>
        <v/>
      </c>
      <c r="I9" s="286"/>
      <c r="J9" s="2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6"/>
      <c r="L9" s="286"/>
      <c r="M9" s="286"/>
      <c r="N9" s="264"/>
      <c r="P9" s="26" t="s">
        <v>20</v>
      </c>
      <c r="Q9" s="347"/>
      <c r="R9" s="348"/>
      <c r="T9" s="290"/>
      <c r="U9" s="373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0"/>
      <c r="E10" s="286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5"/>
      <c r="P10" s="26" t="s">
        <v>21</v>
      </c>
      <c r="Q10" s="378"/>
      <c r="R10" s="379"/>
      <c r="U10" s="24" t="s">
        <v>22</v>
      </c>
      <c r="V10" s="304" t="s">
        <v>23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7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69" t="s">
        <v>28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3"/>
      <c r="N12" s="65"/>
      <c r="P12" s="24" t="s">
        <v>29</v>
      </c>
      <c r="Q12" s="357"/>
      <c r="R12" s="311"/>
      <c r="S12" s="23"/>
      <c r="U12" s="24"/>
      <c r="V12" s="299"/>
      <c r="W12" s="290"/>
      <c r="AB12" s="51"/>
      <c r="AC12" s="51"/>
      <c r="AD12" s="51"/>
      <c r="AE12" s="51"/>
    </row>
    <row r="13" spans="1:32" s="266" customFormat="1" ht="23.25" customHeight="1" x14ac:dyDescent="0.2">
      <c r="A13" s="369" t="s">
        <v>30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3"/>
      <c r="N13" s="65"/>
      <c r="O13" s="26"/>
      <c r="P13" s="26" t="s">
        <v>31</v>
      </c>
      <c r="Q13" s="427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69" t="s">
        <v>32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90" t="s">
        <v>33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3"/>
      <c r="N15" s="66"/>
      <c r="P15" s="366" t="s">
        <v>34</v>
      </c>
      <c r="Q15" s="299"/>
      <c r="R15" s="299"/>
      <c r="S15" s="299"/>
      <c r="T15" s="2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35</v>
      </c>
      <c r="B17" s="301" t="s">
        <v>36</v>
      </c>
      <c r="C17" s="359" t="s">
        <v>37</v>
      </c>
      <c r="D17" s="301" t="s">
        <v>38</v>
      </c>
      <c r="E17" s="340"/>
      <c r="F17" s="301" t="s">
        <v>39</v>
      </c>
      <c r="G17" s="301" t="s">
        <v>40</v>
      </c>
      <c r="H17" s="301" t="s">
        <v>41</v>
      </c>
      <c r="I17" s="301" t="s">
        <v>42</v>
      </c>
      <c r="J17" s="301" t="s">
        <v>43</v>
      </c>
      <c r="K17" s="301" t="s">
        <v>44</v>
      </c>
      <c r="L17" s="301" t="s">
        <v>45</v>
      </c>
      <c r="M17" s="301" t="s">
        <v>46</v>
      </c>
      <c r="N17" s="301" t="s">
        <v>47</v>
      </c>
      <c r="O17" s="301" t="s">
        <v>48</v>
      </c>
      <c r="P17" s="301" t="s">
        <v>49</v>
      </c>
      <c r="Q17" s="339"/>
      <c r="R17" s="339"/>
      <c r="S17" s="339"/>
      <c r="T17" s="340"/>
      <c r="U17" s="459" t="s">
        <v>50</v>
      </c>
      <c r="V17" s="323"/>
      <c r="W17" s="301" t="s">
        <v>51</v>
      </c>
      <c r="X17" s="301" t="s">
        <v>52</v>
      </c>
      <c r="Y17" s="460" t="s">
        <v>53</v>
      </c>
      <c r="Z17" s="415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02"/>
      <c r="B18" s="302"/>
      <c r="C18" s="302"/>
      <c r="D18" s="341"/>
      <c r="E18" s="343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1"/>
      <c r="Q18" s="342"/>
      <c r="R18" s="342"/>
      <c r="S18" s="342"/>
      <c r="T18" s="343"/>
      <c r="U18" s="70" t="s">
        <v>60</v>
      </c>
      <c r="V18" s="70" t="s">
        <v>61</v>
      </c>
      <c r="W18" s="302"/>
      <c r="X18" s="302"/>
      <c r="Y18" s="461"/>
      <c r="Z18" s="416"/>
      <c r="AA18" s="398"/>
      <c r="AB18" s="398"/>
      <c r="AC18" s="398"/>
      <c r="AD18" s="441"/>
      <c r="AE18" s="442"/>
      <c r="AF18" s="443"/>
      <c r="AG18" s="69"/>
      <c r="BD18" s="68"/>
    </row>
    <row r="19" spans="1:68" ht="27.75" customHeight="1" x14ac:dyDescent="0.2">
      <c r="A19" s="287" t="s">
        <v>62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48"/>
      <c r="AB19" s="48"/>
      <c r="AC19" s="48"/>
    </row>
    <row r="20" spans="1:68" ht="16.5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customHeight="1" x14ac:dyDescent="0.25">
      <c r="A21" s="293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8"/>
      <c r="AB21" s="268"/>
      <c r="AC21" s="268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4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5"/>
      <c r="P28" s="282" t="s">
        <v>82</v>
      </c>
      <c r="Q28" s="283"/>
      <c r="R28" s="283"/>
      <c r="S28" s="283"/>
      <c r="T28" s="283"/>
      <c r="U28" s="283"/>
      <c r="V28" s="284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5"/>
      <c r="P29" s="282" t="s">
        <v>82</v>
      </c>
      <c r="Q29" s="283"/>
      <c r="R29" s="283"/>
      <c r="S29" s="283"/>
      <c r="T29" s="283"/>
      <c r="U29" s="283"/>
      <c r="V29" s="284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customHeight="1" x14ac:dyDescent="0.25">
      <c r="A31" s="293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8"/>
      <c r="AB31" s="268"/>
      <c r="AC31" s="268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4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5"/>
      <c r="P34" s="282" t="s">
        <v>82</v>
      </c>
      <c r="Q34" s="283"/>
      <c r="R34" s="283"/>
      <c r="S34" s="283"/>
      <c r="T34" s="283"/>
      <c r="U34" s="283"/>
      <c r="V34" s="284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5"/>
      <c r="P35" s="282" t="s">
        <v>82</v>
      </c>
      <c r="Q35" s="283"/>
      <c r="R35" s="283"/>
      <c r="S35" s="283"/>
      <c r="T35" s="283"/>
      <c r="U35" s="283"/>
      <c r="V35" s="284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7" t="s">
        <v>90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48"/>
      <c r="AB36" s="48"/>
      <c r="AC36" s="48"/>
    </row>
    <row r="37" spans="1:68" ht="16.5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customHeight="1" x14ac:dyDescent="0.25">
      <c r="A38" s="293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84</v>
      </c>
      <c r="Y39" s="273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154</v>
      </c>
      <c r="Y40" s="273">
        <f>IFERROR(IF(X40="","",X40),"")</f>
        <v>154</v>
      </c>
      <c r="Z40" s="36">
        <f>IFERROR(IF(X40="","",X40*0.00941),"")</f>
        <v>1.4491400000000001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295.9572</v>
      </c>
      <c r="BN40" s="67">
        <f>IFERROR(Y40*I40,"0")</f>
        <v>295.9572</v>
      </c>
      <c r="BO40" s="67">
        <f>IFERROR(X40/J40,"0")</f>
        <v>1.1000000000000001</v>
      </c>
      <c r="BP40" s="67">
        <f>IFERROR(Y40/J40,"0")</f>
        <v>1.1000000000000001</v>
      </c>
    </row>
    <row r="41" spans="1:68" x14ac:dyDescent="0.2">
      <c r="A41" s="294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5"/>
      <c r="P41" s="282" t="s">
        <v>82</v>
      </c>
      <c r="Q41" s="283"/>
      <c r="R41" s="283"/>
      <c r="S41" s="283"/>
      <c r="T41" s="283"/>
      <c r="U41" s="283"/>
      <c r="V41" s="284"/>
      <c r="W41" s="37" t="s">
        <v>69</v>
      </c>
      <c r="X41" s="274">
        <f>IFERROR(SUM(X39:X40),"0")</f>
        <v>238</v>
      </c>
      <c r="Y41" s="274">
        <f>IFERROR(SUM(Y39:Y40),"0")</f>
        <v>238</v>
      </c>
      <c r="Z41" s="274">
        <f>IFERROR(IF(Z39="",0,Z39),"0")+IFERROR(IF(Z40="",0,Z40),"0")</f>
        <v>2.2395800000000001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5"/>
      <c r="P42" s="282" t="s">
        <v>82</v>
      </c>
      <c r="Q42" s="283"/>
      <c r="R42" s="283"/>
      <c r="S42" s="283"/>
      <c r="T42" s="283"/>
      <c r="U42" s="283"/>
      <c r="V42" s="284"/>
      <c r="W42" s="37" t="s">
        <v>83</v>
      </c>
      <c r="X42" s="274">
        <f>IFERROR(SUMPRODUCT(X39:X40*H39:H40),"0")</f>
        <v>357</v>
      </c>
      <c r="Y42" s="274">
        <f>IFERROR(SUMPRODUCT(Y39:Y40*H39:H40),"0")</f>
        <v>357</v>
      </c>
      <c r="Z42" s="37"/>
      <c r="AA42" s="275"/>
      <c r="AB42" s="275"/>
      <c r="AC42" s="275"/>
    </row>
    <row r="43" spans="1:68" ht="16.5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customHeight="1" x14ac:dyDescent="0.25">
      <c r="A44" s="293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36</v>
      </c>
      <c r="Y45" s="273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24</v>
      </c>
      <c r="Y46" s="273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12</v>
      </c>
      <c r="Y47" s="273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4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5"/>
      <c r="P48" s="282" t="s">
        <v>82</v>
      </c>
      <c r="Q48" s="283"/>
      <c r="R48" s="283"/>
      <c r="S48" s="283"/>
      <c r="T48" s="283"/>
      <c r="U48" s="283"/>
      <c r="V48" s="284"/>
      <c r="W48" s="37" t="s">
        <v>69</v>
      </c>
      <c r="X48" s="274">
        <f>IFERROR(SUM(X45:X47),"0")</f>
        <v>72</v>
      </c>
      <c r="Y48" s="274">
        <f>IFERROR(SUM(Y45:Y47),"0")</f>
        <v>72</v>
      </c>
      <c r="Z48" s="274">
        <f>IFERROR(IF(Z45="",0,Z45),"0")+IFERROR(IF(Z46="",0,Z46),"0")+IFERROR(IF(Z47="",0,Z47),"0")</f>
        <v>1.1160000000000001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5"/>
      <c r="P49" s="282" t="s">
        <v>82</v>
      </c>
      <c r="Q49" s="283"/>
      <c r="R49" s="283"/>
      <c r="S49" s="283"/>
      <c r="T49" s="283"/>
      <c r="U49" s="283"/>
      <c r="V49" s="284"/>
      <c r="W49" s="37" t="s">
        <v>83</v>
      </c>
      <c r="X49" s="274">
        <f>IFERROR(SUMPRODUCT(X45:X47*H45:H47),"0")</f>
        <v>403.2</v>
      </c>
      <c r="Y49" s="274">
        <f>IFERROR(SUMPRODUCT(Y45:Y47*H45:H47),"0")</f>
        <v>403.2</v>
      </c>
      <c r="Z49" s="37"/>
      <c r="AA49" s="275"/>
      <c r="AB49" s="275"/>
      <c r="AC49" s="275"/>
    </row>
    <row r="50" spans="1:68" ht="16.5" customHeight="1" x14ac:dyDescent="0.25">
      <c r="A50" s="289" t="s">
        <v>112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customHeight="1" x14ac:dyDescent="0.25">
      <c r="A51" s="293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60</v>
      </c>
      <c r="Y52" s="273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84</v>
      </c>
      <c r="Y53" s="273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12</v>
      </c>
      <c r="Y55" s="273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4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5"/>
      <c r="P56" s="282" t="s">
        <v>82</v>
      </c>
      <c r="Q56" s="283"/>
      <c r="R56" s="283"/>
      <c r="S56" s="283"/>
      <c r="T56" s="283"/>
      <c r="U56" s="283"/>
      <c r="V56" s="284"/>
      <c r="W56" s="37" t="s">
        <v>69</v>
      </c>
      <c r="X56" s="274">
        <f>IFERROR(SUM(X52:X55),"0")</f>
        <v>156</v>
      </c>
      <c r="Y56" s="274">
        <f>IFERROR(SUM(Y52:Y55),"0")</f>
        <v>156</v>
      </c>
      <c r="Z56" s="274">
        <f>IFERROR(IF(Z52="",0,Z52),"0")+IFERROR(IF(Z53="",0,Z53),"0")+IFERROR(IF(Z54="",0,Z54),"0")+IFERROR(IF(Z55="",0,Z55),"0")</f>
        <v>2.4180000000000001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5"/>
      <c r="P57" s="282" t="s">
        <v>82</v>
      </c>
      <c r="Q57" s="283"/>
      <c r="R57" s="283"/>
      <c r="S57" s="283"/>
      <c r="T57" s="283"/>
      <c r="U57" s="283"/>
      <c r="V57" s="284"/>
      <c r="W57" s="37" t="s">
        <v>83</v>
      </c>
      <c r="X57" s="274">
        <f>IFERROR(SUMPRODUCT(X52:X55*H52:H55),"0")</f>
        <v>1092</v>
      </c>
      <c r="Y57" s="274">
        <f>IFERROR(SUMPRODUCT(Y52:Y55*H52:H55),"0")</f>
        <v>1092</v>
      </c>
      <c r="Z57" s="37"/>
      <c r="AA57" s="275"/>
      <c r="AB57" s="275"/>
      <c r="AC57" s="275"/>
    </row>
    <row r="58" spans="1:68" ht="16.5" customHeight="1" x14ac:dyDescent="0.25">
      <c r="A58" s="289" t="s">
        <v>123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customHeight="1" x14ac:dyDescent="0.25">
      <c r="A59" s="293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8"/>
      <c r="AB59" s="268"/>
      <c r="AC59" s="268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4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5"/>
      <c r="P61" s="282" t="s">
        <v>82</v>
      </c>
      <c r="Q61" s="283"/>
      <c r="R61" s="283"/>
      <c r="S61" s="283"/>
      <c r="T61" s="283"/>
      <c r="U61" s="283"/>
      <c r="V61" s="284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5"/>
      <c r="P62" s="282" t="s">
        <v>82</v>
      </c>
      <c r="Q62" s="283"/>
      <c r="R62" s="283"/>
      <c r="S62" s="283"/>
      <c r="T62" s="283"/>
      <c r="U62" s="283"/>
      <c r="V62" s="284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293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8"/>
      <c r="AB63" s="268"/>
      <c r="AC63" s="268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4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5"/>
      <c r="P65" s="282" t="s">
        <v>82</v>
      </c>
      <c r="Q65" s="283"/>
      <c r="R65" s="283"/>
      <c r="S65" s="283"/>
      <c r="T65" s="283"/>
      <c r="U65" s="283"/>
      <c r="V65" s="284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5"/>
      <c r="P66" s="282" t="s">
        <v>82</v>
      </c>
      <c r="Q66" s="283"/>
      <c r="R66" s="283"/>
      <c r="S66" s="283"/>
      <c r="T66" s="283"/>
      <c r="U66" s="283"/>
      <c r="V66" s="284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293" t="s">
        <v>130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8"/>
      <c r="AB67" s="268"/>
      <c r="AC67" s="268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5"/>
      <c r="P70" s="282" t="s">
        <v>82</v>
      </c>
      <c r="Q70" s="283"/>
      <c r="R70" s="283"/>
      <c r="S70" s="283"/>
      <c r="T70" s="283"/>
      <c r="U70" s="283"/>
      <c r="V70" s="284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5"/>
      <c r="P71" s="282" t="s">
        <v>82</v>
      </c>
      <c r="Q71" s="283"/>
      <c r="R71" s="283"/>
      <c r="S71" s="283"/>
      <c r="T71" s="283"/>
      <c r="U71" s="283"/>
      <c r="V71" s="284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293" t="s">
        <v>136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8"/>
      <c r="AB72" s="268"/>
      <c r="AC72" s="268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7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4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5"/>
      <c r="P76" s="282" t="s">
        <v>82</v>
      </c>
      <c r="Q76" s="283"/>
      <c r="R76" s="283"/>
      <c r="S76" s="283"/>
      <c r="T76" s="283"/>
      <c r="U76" s="283"/>
      <c r="V76" s="284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5"/>
      <c r="P77" s="282" t="s">
        <v>82</v>
      </c>
      <c r="Q77" s="283"/>
      <c r="R77" s="283"/>
      <c r="S77" s="283"/>
      <c r="T77" s="283"/>
      <c r="U77" s="283"/>
      <c r="V77" s="284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customHeight="1" x14ac:dyDescent="0.25">
      <c r="A78" s="289" t="s">
        <v>144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customHeight="1" x14ac:dyDescent="0.25">
      <c r="A79" s="293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8"/>
      <c r="AB79" s="268"/>
      <c r="AC79" s="268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168</v>
      </c>
      <c r="Y81" s="273">
        <f>IFERROR(IF(X81="","",X81),"")</f>
        <v>168</v>
      </c>
      <c r="Z81" s="36">
        <f>IFERROR(IF(X81="","",X81*0.00866),"")</f>
        <v>1.45488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875.81759999999997</v>
      </c>
      <c r="BN81" s="67">
        <f>IFERROR(Y81*I81,"0")</f>
        <v>875.81759999999997</v>
      </c>
      <c r="BO81" s="67">
        <f>IFERROR(X81/J81,"0")</f>
        <v>1.1666666666666667</v>
      </c>
      <c r="BP81" s="67">
        <f>IFERROR(Y81/J81,"0")</f>
        <v>1.1666666666666667</v>
      </c>
    </row>
    <row r="82" spans="1:68" x14ac:dyDescent="0.2">
      <c r="A82" s="294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5"/>
      <c r="P82" s="282" t="s">
        <v>82</v>
      </c>
      <c r="Q82" s="283"/>
      <c r="R82" s="283"/>
      <c r="S82" s="283"/>
      <c r="T82" s="283"/>
      <c r="U82" s="283"/>
      <c r="V82" s="284"/>
      <c r="W82" s="37" t="s">
        <v>69</v>
      </c>
      <c r="X82" s="274">
        <f>IFERROR(SUM(X80:X81),"0")</f>
        <v>168</v>
      </c>
      <c r="Y82" s="274">
        <f>IFERROR(SUM(Y80:Y81),"0")</f>
        <v>168</v>
      </c>
      <c r="Z82" s="274">
        <f>IFERROR(IF(Z80="",0,Z80),"0")+IFERROR(IF(Z81="",0,Z81),"0")</f>
        <v>1.45488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5"/>
      <c r="P83" s="282" t="s">
        <v>82</v>
      </c>
      <c r="Q83" s="283"/>
      <c r="R83" s="283"/>
      <c r="S83" s="283"/>
      <c r="T83" s="283"/>
      <c r="U83" s="283"/>
      <c r="V83" s="284"/>
      <c r="W83" s="37" t="s">
        <v>83</v>
      </c>
      <c r="X83" s="274">
        <f>IFERROR(SUMPRODUCT(X80:X81*H80:H81),"0")</f>
        <v>840</v>
      </c>
      <c r="Y83" s="274">
        <f>IFERROR(SUMPRODUCT(Y80:Y81*H80:H81),"0")</f>
        <v>840</v>
      </c>
      <c r="Z83" s="37"/>
      <c r="AA83" s="275"/>
      <c r="AB83" s="275"/>
      <c r="AC83" s="275"/>
    </row>
    <row r="84" spans="1:68" ht="16.5" customHeight="1" x14ac:dyDescent="0.25">
      <c r="A84" s="289" t="s">
        <v>151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customHeight="1" x14ac:dyDescent="0.25">
      <c r="A85" s="293" t="s">
        <v>136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4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5"/>
      <c r="P87" s="282" t="s">
        <v>82</v>
      </c>
      <c r="Q87" s="283"/>
      <c r="R87" s="283"/>
      <c r="S87" s="283"/>
      <c r="T87" s="283"/>
      <c r="U87" s="283"/>
      <c r="V87" s="284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5"/>
      <c r="P88" s="282" t="s">
        <v>82</v>
      </c>
      <c r="Q88" s="283"/>
      <c r="R88" s="283"/>
      <c r="S88" s="283"/>
      <c r="T88" s="283"/>
      <c r="U88" s="283"/>
      <c r="V88" s="284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customHeight="1" x14ac:dyDescent="0.25">
      <c r="A89" s="289" t="s">
        <v>155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customHeight="1" x14ac:dyDescent="0.25">
      <c r="A90" s="293" t="s">
        <v>156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0</v>
      </c>
      <c r="Y91" s="273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94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5"/>
      <c r="P93" s="282" t="s">
        <v>82</v>
      </c>
      <c r="Q93" s="283"/>
      <c r="R93" s="283"/>
      <c r="S93" s="283"/>
      <c r="T93" s="283"/>
      <c r="U93" s="283"/>
      <c r="V93" s="284"/>
      <c r="W93" s="37" t="s">
        <v>69</v>
      </c>
      <c r="X93" s="274">
        <f>IFERROR(SUM(X91:X92),"0")</f>
        <v>0</v>
      </c>
      <c r="Y93" s="274">
        <f>IFERROR(SUM(Y91:Y92),"0")</f>
        <v>0</v>
      </c>
      <c r="Z93" s="274">
        <f>IFERROR(IF(Z91="",0,Z91),"0")+IFERROR(IF(Z92="",0,Z92),"0")</f>
        <v>0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5"/>
      <c r="P94" s="282" t="s">
        <v>82</v>
      </c>
      <c r="Q94" s="283"/>
      <c r="R94" s="283"/>
      <c r="S94" s="283"/>
      <c r="T94" s="283"/>
      <c r="U94" s="283"/>
      <c r="V94" s="284"/>
      <c r="W94" s="37" t="s">
        <v>83</v>
      </c>
      <c r="X94" s="274">
        <f>IFERROR(SUMPRODUCT(X91:X92*H91:H92),"0")</f>
        <v>0</v>
      </c>
      <c r="Y94" s="274">
        <f>IFERROR(SUMPRODUCT(Y91:Y92*H91:H92),"0")</f>
        <v>0</v>
      </c>
      <c r="Z94" s="37"/>
      <c r="AA94" s="275"/>
      <c r="AB94" s="275"/>
      <c r="AC94" s="275"/>
    </row>
    <row r="95" spans="1:68" ht="16.5" customHeight="1" x14ac:dyDescent="0.25">
      <c r="A95" s="289" t="s">
        <v>163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customHeight="1" x14ac:dyDescent="0.25">
      <c r="A96" s="293" t="s">
        <v>136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14</v>
      </c>
      <c r="Y97" s="273">
        <f t="shared" ref="Y97:Y103" si="6">IFERROR(IF(X97="","",X97),"")</f>
        <v>14</v>
      </c>
      <c r="Z97" s="36">
        <f t="shared" ref="Z97:Z103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50.170400000000001</v>
      </c>
      <c r="BN97" s="67">
        <f t="shared" ref="BN97:BN103" si="9">IFERROR(Y97*I97,"0")</f>
        <v>50.170400000000001</v>
      </c>
      <c r="BO97" s="67">
        <f t="shared" ref="BO97:BO103" si="10">IFERROR(X97/J97,"0")</f>
        <v>0.2</v>
      </c>
      <c r="BP97" s="67">
        <f t="shared" ref="BP97:BP103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168</v>
      </c>
      <c r="Y98" s="273">
        <f t="shared" si="6"/>
        <v>168</v>
      </c>
      <c r="Z98" s="36">
        <f t="shared" si="7"/>
        <v>3.0038399999999998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602.04480000000001</v>
      </c>
      <c r="BN98" s="67">
        <f t="shared" si="9"/>
        <v>602.04480000000001</v>
      </c>
      <c r="BO98" s="67">
        <f t="shared" si="10"/>
        <v>2.4</v>
      </c>
      <c r="BP98" s="67">
        <f t="shared" si="11"/>
        <v>2.4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14</v>
      </c>
      <c r="Y99" s="273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154</v>
      </c>
      <c r="Y100" s="273">
        <f t="shared" si="6"/>
        <v>154</v>
      </c>
      <c r="Z100" s="36">
        <f t="shared" si="7"/>
        <v>2.75352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551.87440000000004</v>
      </c>
      <c r="BN100" s="67">
        <f t="shared" si="9"/>
        <v>551.87440000000004</v>
      </c>
      <c r="BO100" s="67">
        <f t="shared" si="10"/>
        <v>2.2000000000000002</v>
      </c>
      <c r="BP100" s="67">
        <f t="shared" si="11"/>
        <v>2.2000000000000002</v>
      </c>
    </row>
    <row r="101" spans="1:68" ht="27" customHeight="1" x14ac:dyDescent="0.25">
      <c r="A101" s="54" t="s">
        <v>171</v>
      </c>
      <c r="B101" s="54" t="s">
        <v>173</v>
      </c>
      <c r="C101" s="31">
        <v>4301135818</v>
      </c>
      <c r="D101" s="276">
        <v>4620207491010</v>
      </c>
      <c r="E101" s="277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6">
        <v>4607111035028</v>
      </c>
      <c r="E102" s="277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6">
        <v>4607111036407</v>
      </c>
      <c r="E103" s="277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79"/>
      <c r="R103" s="279"/>
      <c r="S103" s="279"/>
      <c r="T103" s="280"/>
      <c r="U103" s="34"/>
      <c r="V103" s="34"/>
      <c r="W103" s="35" t="s">
        <v>69</v>
      </c>
      <c r="X103" s="272">
        <v>14</v>
      </c>
      <c r="Y103" s="273">
        <f t="shared" si="6"/>
        <v>14</v>
      </c>
      <c r="Z103" s="36">
        <f t="shared" si="7"/>
        <v>0.25031999999999999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63.408800000000006</v>
      </c>
      <c r="BN103" s="67">
        <f t="shared" si="9"/>
        <v>63.408800000000006</v>
      </c>
      <c r="BO103" s="67">
        <f t="shared" si="10"/>
        <v>0.2</v>
      </c>
      <c r="BP103" s="67">
        <f t="shared" si="11"/>
        <v>0.2</v>
      </c>
    </row>
    <row r="104" spans="1:68" x14ac:dyDescent="0.2">
      <c r="A104" s="294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5"/>
      <c r="P104" s="282" t="s">
        <v>82</v>
      </c>
      <c r="Q104" s="283"/>
      <c r="R104" s="283"/>
      <c r="S104" s="283"/>
      <c r="T104" s="283"/>
      <c r="U104" s="283"/>
      <c r="V104" s="284"/>
      <c r="W104" s="37" t="s">
        <v>69</v>
      </c>
      <c r="X104" s="274">
        <f>IFERROR(SUM(X97:X103),"0")</f>
        <v>364</v>
      </c>
      <c r="Y104" s="274">
        <f>IFERROR(SUM(Y97:Y103),"0")</f>
        <v>364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6.5083199999999994</v>
      </c>
      <c r="AA104" s="275"/>
      <c r="AB104" s="275"/>
      <c r="AC104" s="275"/>
    </row>
    <row r="105" spans="1:68" x14ac:dyDescent="0.2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5"/>
      <c r="P105" s="282" t="s">
        <v>82</v>
      </c>
      <c r="Q105" s="283"/>
      <c r="R105" s="283"/>
      <c r="S105" s="283"/>
      <c r="T105" s="283"/>
      <c r="U105" s="283"/>
      <c r="V105" s="284"/>
      <c r="W105" s="37" t="s">
        <v>83</v>
      </c>
      <c r="X105" s="274">
        <f>IFERROR(SUMPRODUCT(X97:X103*H97:H103),"0")</f>
        <v>1066.8</v>
      </c>
      <c r="Y105" s="274">
        <f>IFERROR(SUMPRODUCT(Y97:Y103*H97:H103),"0")</f>
        <v>1066.8</v>
      </c>
      <c r="Z105" s="37"/>
      <c r="AA105" s="275"/>
      <c r="AB105" s="275"/>
      <c r="AC105" s="275"/>
    </row>
    <row r="106" spans="1:68" ht="16.5" customHeight="1" x14ac:dyDescent="0.25">
      <c r="A106" s="289" t="s">
        <v>179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7"/>
      <c r="AB106" s="267"/>
      <c r="AC106" s="267"/>
    </row>
    <row r="107" spans="1:68" ht="14.25" customHeight="1" x14ac:dyDescent="0.25">
      <c r="A107" s="293" t="s">
        <v>130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6">
        <v>4607025784012</v>
      </c>
      <c r="E108" s="277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28</v>
      </c>
      <c r="Y108" s="273">
        <f>IFERROR(IF(X108="","",X108),"")</f>
        <v>28</v>
      </c>
      <c r="Z108" s="36">
        <f>IFERROR(IF(X108="","",X108*0.00936),"")</f>
        <v>0.26207999999999998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69.753600000000006</v>
      </c>
      <c r="BN108" s="67">
        <f>IFERROR(Y108*I108,"0")</f>
        <v>69.753600000000006</v>
      </c>
      <c r="BO108" s="67">
        <f>IFERROR(X108/J108,"0")</f>
        <v>0.22222222222222221</v>
      </c>
      <c r="BP108" s="67">
        <f>IFERROR(Y108/J108,"0")</f>
        <v>0.22222222222222221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6">
        <v>4607025784319</v>
      </c>
      <c r="E109" s="277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79"/>
      <c r="R109" s="279"/>
      <c r="S109" s="279"/>
      <c r="T109" s="280"/>
      <c r="U109" s="34"/>
      <c r="V109" s="34"/>
      <c r="W109" s="35" t="s">
        <v>69</v>
      </c>
      <c r="X109" s="272">
        <v>70</v>
      </c>
      <c r="Y109" s="273">
        <f>IFERROR(IF(X109="","",X109),"")</f>
        <v>70</v>
      </c>
      <c r="Z109" s="36">
        <f>IFERROR(IF(X109="","",X109*0.01788),"")</f>
        <v>1.2516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297.08</v>
      </c>
      <c r="BN109" s="67">
        <f>IFERROR(Y109*I109,"0")</f>
        <v>297.08</v>
      </c>
      <c r="BO109" s="67">
        <f>IFERROR(X109/J109,"0")</f>
        <v>1</v>
      </c>
      <c r="BP109" s="67">
        <f>IFERROR(Y109/J109,"0")</f>
        <v>1</v>
      </c>
    </row>
    <row r="110" spans="1:68" x14ac:dyDescent="0.2">
      <c r="A110" s="294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5"/>
      <c r="P110" s="282" t="s">
        <v>82</v>
      </c>
      <c r="Q110" s="283"/>
      <c r="R110" s="283"/>
      <c r="S110" s="283"/>
      <c r="T110" s="283"/>
      <c r="U110" s="283"/>
      <c r="V110" s="284"/>
      <c r="W110" s="37" t="s">
        <v>69</v>
      </c>
      <c r="X110" s="274">
        <f>IFERROR(SUM(X108:X109),"0")</f>
        <v>98</v>
      </c>
      <c r="Y110" s="274">
        <f>IFERROR(SUM(Y108:Y109),"0")</f>
        <v>98</v>
      </c>
      <c r="Z110" s="274">
        <f>IFERROR(IF(Z108="",0,Z108),"0")+IFERROR(IF(Z109="",0,Z109),"0")</f>
        <v>1.5136799999999999</v>
      </c>
      <c r="AA110" s="275"/>
      <c r="AB110" s="275"/>
      <c r="AC110" s="275"/>
    </row>
    <row r="111" spans="1:68" x14ac:dyDescent="0.2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5"/>
      <c r="P111" s="282" t="s">
        <v>82</v>
      </c>
      <c r="Q111" s="283"/>
      <c r="R111" s="283"/>
      <c r="S111" s="283"/>
      <c r="T111" s="283"/>
      <c r="U111" s="283"/>
      <c r="V111" s="284"/>
      <c r="W111" s="37" t="s">
        <v>83</v>
      </c>
      <c r="X111" s="274">
        <f>IFERROR(SUMPRODUCT(X108:X109*H108:H109),"0")</f>
        <v>312.48</v>
      </c>
      <c r="Y111" s="274">
        <f>IFERROR(SUMPRODUCT(Y108:Y109*H108:H109),"0")</f>
        <v>312.48</v>
      </c>
      <c r="Z111" s="37"/>
      <c r="AA111" s="275"/>
      <c r="AB111" s="275"/>
      <c r="AC111" s="275"/>
    </row>
    <row r="112" spans="1:68" ht="16.5" customHeight="1" x14ac:dyDescent="0.25">
      <c r="A112" s="289" t="s">
        <v>185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7"/>
      <c r="AB112" s="267"/>
      <c r="AC112" s="267"/>
    </row>
    <row r="113" spans="1:68" ht="14.25" customHeight="1" x14ac:dyDescent="0.25">
      <c r="A113" s="293" t="s">
        <v>63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68"/>
      <c r="AB113" s="268"/>
      <c r="AC113" s="268"/>
    </row>
    <row r="114" spans="1:68" ht="27" customHeight="1" x14ac:dyDescent="0.25">
      <c r="A114" s="54" t="s">
        <v>186</v>
      </c>
      <c r="B114" s="54" t="s">
        <v>187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6">
        <v>4620207491157</v>
      </c>
      <c r="E115" s="277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76">
        <v>4607111039262</v>
      </c>
      <c r="E116" s="277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36</v>
      </c>
      <c r="Y116" s="273">
        <f t="shared" si="12"/>
        <v>36</v>
      </c>
      <c r="Z116" s="36">
        <f t="shared" si="13"/>
        <v>0.55800000000000005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6">
        <v>4607111039248</v>
      </c>
      <c r="E117" s="277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96</v>
      </c>
      <c r="Y117" s="273">
        <f t="shared" si="12"/>
        <v>96</v>
      </c>
      <c r="Z117" s="36">
        <f t="shared" si="13"/>
        <v>1.488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700.8</v>
      </c>
      <c r="BN117" s="67">
        <f t="shared" si="15"/>
        <v>700.8</v>
      </c>
      <c r="BO117" s="67">
        <f t="shared" si="16"/>
        <v>1.1428571428571428</v>
      </c>
      <c r="BP117" s="67">
        <f t="shared" si="17"/>
        <v>1.1428571428571428</v>
      </c>
    </row>
    <row r="118" spans="1:68" ht="27" customHeight="1" x14ac:dyDescent="0.25">
      <c r="A118" s="54" t="s">
        <v>197</v>
      </c>
      <c r="B118" s="54" t="s">
        <v>198</v>
      </c>
      <c r="C118" s="31">
        <v>4301070979</v>
      </c>
      <c r="D118" s="276">
        <v>4607111037145</v>
      </c>
      <c r="E118" s="277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76">
        <v>4607111039293</v>
      </c>
      <c r="E119" s="277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24</v>
      </c>
      <c r="Y119" s="273">
        <f t="shared" si="12"/>
        <v>24</v>
      </c>
      <c r="Z119" s="36">
        <f t="shared" si="13"/>
        <v>0.372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161.2704</v>
      </c>
      <c r="BN119" s="67">
        <f t="shared" si="15"/>
        <v>161.2704</v>
      </c>
      <c r="BO119" s="67">
        <f t="shared" si="16"/>
        <v>0.2857142857142857</v>
      </c>
      <c r="BP119" s="67">
        <f t="shared" si="17"/>
        <v>0.2857142857142857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6">
        <v>4607111039279</v>
      </c>
      <c r="E120" s="277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180</v>
      </c>
      <c r="Y120" s="273">
        <f t="shared" si="12"/>
        <v>180</v>
      </c>
      <c r="Z120" s="36">
        <f t="shared" si="13"/>
        <v>2.79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1314</v>
      </c>
      <c r="BN120" s="67">
        <f t="shared" si="15"/>
        <v>1314</v>
      </c>
      <c r="BO120" s="67">
        <f t="shared" si="16"/>
        <v>2.1428571428571428</v>
      </c>
      <c r="BP120" s="67">
        <f t="shared" si="17"/>
        <v>2.1428571428571428</v>
      </c>
    </row>
    <row r="121" spans="1:68" ht="27" customHeight="1" x14ac:dyDescent="0.25">
      <c r="A121" s="54" t="s">
        <v>204</v>
      </c>
      <c r="B121" s="54" t="s">
        <v>205</v>
      </c>
      <c r="C121" s="31">
        <v>4301070978</v>
      </c>
      <c r="D121" s="276">
        <v>4607111037435</v>
      </c>
      <c r="E121" s="277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79"/>
      <c r="R121" s="279"/>
      <c r="S121" s="279"/>
      <c r="T121" s="280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94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5"/>
      <c r="P122" s="282" t="s">
        <v>82</v>
      </c>
      <c r="Q122" s="283"/>
      <c r="R122" s="283"/>
      <c r="S122" s="283"/>
      <c r="T122" s="283"/>
      <c r="U122" s="283"/>
      <c r="V122" s="284"/>
      <c r="W122" s="37" t="s">
        <v>69</v>
      </c>
      <c r="X122" s="274">
        <f>IFERROR(SUM(X114:X121),"0")</f>
        <v>336</v>
      </c>
      <c r="Y122" s="274">
        <f>IFERROR(SUM(Y114:Y121),"0")</f>
        <v>336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5.2080000000000002</v>
      </c>
      <c r="AA122" s="275"/>
      <c r="AB122" s="275"/>
      <c r="AC122" s="275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5"/>
      <c r="P123" s="282" t="s">
        <v>82</v>
      </c>
      <c r="Q123" s="283"/>
      <c r="R123" s="283"/>
      <c r="S123" s="283"/>
      <c r="T123" s="283"/>
      <c r="U123" s="283"/>
      <c r="V123" s="284"/>
      <c r="W123" s="37" t="s">
        <v>83</v>
      </c>
      <c r="X123" s="274">
        <f>IFERROR(SUMPRODUCT(X114:X121*H114:H121),"0")</f>
        <v>2316</v>
      </c>
      <c r="Y123" s="274">
        <f>IFERROR(SUMPRODUCT(Y114:Y121*H114:H121),"0")</f>
        <v>2316</v>
      </c>
      <c r="Z123" s="37"/>
      <c r="AA123" s="275"/>
      <c r="AB123" s="275"/>
      <c r="AC123" s="275"/>
    </row>
    <row r="124" spans="1:68" ht="14.25" customHeight="1" x14ac:dyDescent="0.25">
      <c r="A124" s="293" t="s">
        <v>136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68"/>
      <c r="AB124" s="268"/>
      <c r="AC124" s="268"/>
    </row>
    <row r="125" spans="1:68" ht="27" customHeight="1" x14ac:dyDescent="0.25">
      <c r="A125" s="54" t="s">
        <v>207</v>
      </c>
      <c r="B125" s="54" t="s">
        <v>208</v>
      </c>
      <c r="C125" s="31">
        <v>4301135670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42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6">
        <v>4620207490983</v>
      </c>
      <c r="E126" s="277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79"/>
      <c r="R126" s="279"/>
      <c r="S126" s="279"/>
      <c r="T126" s="280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294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5"/>
      <c r="P127" s="282" t="s">
        <v>82</v>
      </c>
      <c r="Q127" s="283"/>
      <c r="R127" s="283"/>
      <c r="S127" s="283"/>
      <c r="T127" s="283"/>
      <c r="U127" s="283"/>
      <c r="V127" s="284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x14ac:dyDescent="0.2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5"/>
      <c r="P128" s="282" t="s">
        <v>82</v>
      </c>
      <c r="Q128" s="283"/>
      <c r="R128" s="283"/>
      <c r="S128" s="283"/>
      <c r="T128" s="283"/>
      <c r="U128" s="283"/>
      <c r="V128" s="284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customHeight="1" x14ac:dyDescent="0.25">
      <c r="A129" s="293" t="s">
        <v>213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68"/>
      <c r="AB129" s="268"/>
      <c r="AC129" s="268"/>
    </row>
    <row r="130" spans="1:68" ht="27" customHeight="1" x14ac:dyDescent="0.25">
      <c r="A130" s="54" t="s">
        <v>214</v>
      </c>
      <c r="B130" s="54" t="s">
        <v>215</v>
      </c>
      <c r="C130" s="31">
        <v>4301071094</v>
      </c>
      <c r="D130" s="276">
        <v>4620207491140</v>
      </c>
      <c r="E130" s="277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79"/>
      <c r="R130" s="279"/>
      <c r="S130" s="279"/>
      <c r="T130" s="280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x14ac:dyDescent="0.2">
      <c r="A131" s="294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5"/>
      <c r="P131" s="282" t="s">
        <v>82</v>
      </c>
      <c r="Q131" s="283"/>
      <c r="R131" s="283"/>
      <c r="S131" s="283"/>
      <c r="T131" s="283"/>
      <c r="U131" s="283"/>
      <c r="V131" s="284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x14ac:dyDescent="0.2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5"/>
      <c r="P132" s="282" t="s">
        <v>82</v>
      </c>
      <c r="Q132" s="283"/>
      <c r="R132" s="283"/>
      <c r="S132" s="283"/>
      <c r="T132" s="283"/>
      <c r="U132" s="283"/>
      <c r="V132" s="284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customHeight="1" x14ac:dyDescent="0.25">
      <c r="A133" s="289" t="s">
        <v>217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7"/>
      <c r="AB133" s="267"/>
      <c r="AC133" s="267"/>
    </row>
    <row r="134" spans="1:68" ht="14.25" customHeight="1" x14ac:dyDescent="0.25">
      <c r="A134" s="293" t="s">
        <v>136</v>
      </c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6">
        <v>4607111034014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224</v>
      </c>
      <c r="Y135" s="273">
        <f>IFERROR(IF(X135="","",X135),"")</f>
        <v>224</v>
      </c>
      <c r="Z135" s="36">
        <f>IFERROR(IF(X135="","",X135*0.01788),"")</f>
        <v>4.0051199999999998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829.60639999999989</v>
      </c>
      <c r="BN135" s="67">
        <f>IFERROR(Y135*I135,"0")</f>
        <v>829.60639999999989</v>
      </c>
      <c r="BO135" s="67">
        <f>IFERROR(X135/J135,"0")</f>
        <v>3.2</v>
      </c>
      <c r="BP135" s="67">
        <f>IFERROR(Y135/J135,"0")</f>
        <v>3.2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6">
        <v>4607111033994</v>
      </c>
      <c r="E136" s="277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79"/>
      <c r="R136" s="279"/>
      <c r="S136" s="279"/>
      <c r="T136" s="280"/>
      <c r="U136" s="34"/>
      <c r="V136" s="34"/>
      <c r="W136" s="35" t="s">
        <v>69</v>
      </c>
      <c r="X136" s="272">
        <v>224</v>
      </c>
      <c r="Y136" s="273">
        <f>IFERROR(IF(X136="","",X136),"")</f>
        <v>224</v>
      </c>
      <c r="Z136" s="36">
        <f>IFERROR(IF(X136="","",X136*0.01788),"")</f>
        <v>4.0051199999999998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829.60639999999989</v>
      </c>
      <c r="BN136" s="67">
        <f>IFERROR(Y136*I136,"0")</f>
        <v>829.60639999999989</v>
      </c>
      <c r="BO136" s="67">
        <f>IFERROR(X136/J136,"0")</f>
        <v>3.2</v>
      </c>
      <c r="BP136" s="67">
        <f>IFERROR(Y136/J136,"0")</f>
        <v>3.2</v>
      </c>
    </row>
    <row r="137" spans="1:68" x14ac:dyDescent="0.2">
      <c r="A137" s="294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5"/>
      <c r="P137" s="282" t="s">
        <v>82</v>
      </c>
      <c r="Q137" s="283"/>
      <c r="R137" s="283"/>
      <c r="S137" s="283"/>
      <c r="T137" s="283"/>
      <c r="U137" s="283"/>
      <c r="V137" s="284"/>
      <c r="W137" s="37" t="s">
        <v>69</v>
      </c>
      <c r="X137" s="274">
        <f>IFERROR(SUM(X135:X136),"0")</f>
        <v>448</v>
      </c>
      <c r="Y137" s="274">
        <f>IFERROR(SUM(Y135:Y136),"0")</f>
        <v>448</v>
      </c>
      <c r="Z137" s="274">
        <f>IFERROR(IF(Z135="",0,Z135),"0")+IFERROR(IF(Z136="",0,Z136),"0")</f>
        <v>8.0102399999999996</v>
      </c>
      <c r="AA137" s="275"/>
      <c r="AB137" s="275"/>
      <c r="AC137" s="275"/>
    </row>
    <row r="138" spans="1:68" x14ac:dyDescent="0.2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5"/>
      <c r="P138" s="282" t="s">
        <v>82</v>
      </c>
      <c r="Q138" s="283"/>
      <c r="R138" s="283"/>
      <c r="S138" s="283"/>
      <c r="T138" s="283"/>
      <c r="U138" s="283"/>
      <c r="V138" s="284"/>
      <c r="W138" s="37" t="s">
        <v>83</v>
      </c>
      <c r="X138" s="274">
        <f>IFERROR(SUMPRODUCT(X135:X136*H135:H136),"0")</f>
        <v>1344</v>
      </c>
      <c r="Y138" s="274">
        <f>IFERROR(SUMPRODUCT(Y135:Y136*H135:H136),"0")</f>
        <v>1344</v>
      </c>
      <c r="Z138" s="37"/>
      <c r="AA138" s="275"/>
      <c r="AB138" s="275"/>
      <c r="AC138" s="275"/>
    </row>
    <row r="139" spans="1:68" ht="16.5" customHeight="1" x14ac:dyDescent="0.25">
      <c r="A139" s="289" t="s">
        <v>225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7"/>
      <c r="AB139" s="267"/>
      <c r="AC139" s="267"/>
    </row>
    <row r="140" spans="1:68" ht="14.25" customHeight="1" x14ac:dyDescent="0.25">
      <c r="A140" s="293" t="s">
        <v>136</v>
      </c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6">
        <v>4607111039095</v>
      </c>
      <c r="E141" s="277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6">
        <v>4607111034199</v>
      </c>
      <c r="E142" s="277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79"/>
      <c r="R142" s="279"/>
      <c r="S142" s="279"/>
      <c r="T142" s="280"/>
      <c r="U142" s="34"/>
      <c r="V142" s="34"/>
      <c r="W142" s="35" t="s">
        <v>69</v>
      </c>
      <c r="X142" s="272">
        <v>0</v>
      </c>
      <c r="Y142" s="273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x14ac:dyDescent="0.2">
      <c r="A143" s="294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5"/>
      <c r="P143" s="282" t="s">
        <v>82</v>
      </c>
      <c r="Q143" s="283"/>
      <c r="R143" s="283"/>
      <c r="S143" s="283"/>
      <c r="T143" s="283"/>
      <c r="U143" s="283"/>
      <c r="V143" s="284"/>
      <c r="W143" s="37" t="s">
        <v>69</v>
      </c>
      <c r="X143" s="274">
        <f>IFERROR(SUM(X141:X142),"0")</f>
        <v>0</v>
      </c>
      <c r="Y143" s="274">
        <f>IFERROR(SUM(Y141:Y142),"0")</f>
        <v>0</v>
      </c>
      <c r="Z143" s="274">
        <f>IFERROR(IF(Z141="",0,Z141),"0")+IFERROR(IF(Z142="",0,Z142),"0")</f>
        <v>0</v>
      </c>
      <c r="AA143" s="275"/>
      <c r="AB143" s="275"/>
      <c r="AC143" s="275"/>
    </row>
    <row r="144" spans="1:68" x14ac:dyDescent="0.2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5"/>
      <c r="P144" s="282" t="s">
        <v>82</v>
      </c>
      <c r="Q144" s="283"/>
      <c r="R144" s="283"/>
      <c r="S144" s="283"/>
      <c r="T144" s="283"/>
      <c r="U144" s="283"/>
      <c r="V144" s="284"/>
      <c r="W144" s="37" t="s">
        <v>83</v>
      </c>
      <c r="X144" s="274">
        <f>IFERROR(SUMPRODUCT(X141:X142*H141:H142),"0")</f>
        <v>0</v>
      </c>
      <c r="Y144" s="274">
        <f>IFERROR(SUMPRODUCT(Y141:Y142*H141:H142),"0")</f>
        <v>0</v>
      </c>
      <c r="Z144" s="37"/>
      <c r="AA144" s="275"/>
      <c r="AB144" s="275"/>
      <c r="AC144" s="275"/>
    </row>
    <row r="145" spans="1:68" ht="16.5" customHeight="1" x14ac:dyDescent="0.25">
      <c r="A145" s="289" t="s">
        <v>232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7"/>
      <c r="AB145" s="267"/>
      <c r="AC145" s="267"/>
    </row>
    <row r="146" spans="1:68" ht="14.25" customHeight="1" x14ac:dyDescent="0.25">
      <c r="A146" s="293" t="s">
        <v>136</v>
      </c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6">
        <v>4620207490914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3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14</v>
      </c>
      <c r="Y147" s="273">
        <f>IFERROR(IF(X147="","",X147),"")</f>
        <v>14</v>
      </c>
      <c r="Z147" s="36">
        <f>IFERROR(IF(X147="","",X147*0.01788),"")</f>
        <v>0.25031999999999999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37.520000000000003</v>
      </c>
      <c r="BN147" s="67">
        <f>IFERROR(Y147*I147,"0")</f>
        <v>37.520000000000003</v>
      </c>
      <c r="BO147" s="67">
        <f>IFERROR(X147/J147,"0")</f>
        <v>0.2</v>
      </c>
      <c r="BP147" s="67">
        <f>IFERROR(Y147/J147,"0")</f>
        <v>0.2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6">
        <v>4620207490853</v>
      </c>
      <c r="E148" s="277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2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79"/>
      <c r="R148" s="279"/>
      <c r="S148" s="279"/>
      <c r="T148" s="280"/>
      <c r="U148" s="34"/>
      <c r="V148" s="34"/>
      <c r="W148" s="35" t="s">
        <v>69</v>
      </c>
      <c r="X148" s="272">
        <v>98</v>
      </c>
      <c r="Y148" s="273">
        <f>IFERROR(IF(X148="","",X148),"")</f>
        <v>98</v>
      </c>
      <c r="Z148" s="36">
        <f>IFERROR(IF(X148="","",X148*0.01788),"")</f>
        <v>1.75224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262.64000000000004</v>
      </c>
      <c r="BN148" s="67">
        <f>IFERROR(Y148*I148,"0")</f>
        <v>262.64000000000004</v>
      </c>
      <c r="BO148" s="67">
        <f>IFERROR(X148/J148,"0")</f>
        <v>1.4</v>
      </c>
      <c r="BP148" s="67">
        <f>IFERROR(Y148/J148,"0")</f>
        <v>1.4</v>
      </c>
    </row>
    <row r="149" spans="1:68" x14ac:dyDescent="0.2">
      <c r="A149" s="294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5"/>
      <c r="P149" s="282" t="s">
        <v>82</v>
      </c>
      <c r="Q149" s="283"/>
      <c r="R149" s="283"/>
      <c r="S149" s="283"/>
      <c r="T149" s="283"/>
      <c r="U149" s="283"/>
      <c r="V149" s="284"/>
      <c r="W149" s="37" t="s">
        <v>69</v>
      </c>
      <c r="X149" s="274">
        <f>IFERROR(SUM(X147:X148),"0")</f>
        <v>112</v>
      </c>
      <c r="Y149" s="274">
        <f>IFERROR(SUM(Y147:Y148),"0")</f>
        <v>112</v>
      </c>
      <c r="Z149" s="274">
        <f>IFERROR(IF(Z147="",0,Z147),"0")+IFERROR(IF(Z148="",0,Z148),"0")</f>
        <v>2.0025599999999999</v>
      </c>
      <c r="AA149" s="275"/>
      <c r="AB149" s="275"/>
      <c r="AC149" s="275"/>
    </row>
    <row r="150" spans="1:68" x14ac:dyDescent="0.2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5"/>
      <c r="P150" s="282" t="s">
        <v>82</v>
      </c>
      <c r="Q150" s="283"/>
      <c r="R150" s="283"/>
      <c r="S150" s="283"/>
      <c r="T150" s="283"/>
      <c r="U150" s="283"/>
      <c r="V150" s="284"/>
      <c r="W150" s="37" t="s">
        <v>83</v>
      </c>
      <c r="X150" s="274">
        <f>IFERROR(SUMPRODUCT(X147:X148*H147:H148),"0")</f>
        <v>268.8</v>
      </c>
      <c r="Y150" s="274">
        <f>IFERROR(SUMPRODUCT(Y147:Y148*H147:H148),"0")</f>
        <v>268.8</v>
      </c>
      <c r="Z150" s="37"/>
      <c r="AA150" s="275"/>
      <c r="AB150" s="275"/>
      <c r="AC150" s="275"/>
    </row>
    <row r="151" spans="1:68" ht="16.5" customHeight="1" x14ac:dyDescent="0.25">
      <c r="A151" s="289" t="s">
        <v>237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7"/>
      <c r="AB151" s="267"/>
      <c r="AC151" s="267"/>
    </row>
    <row r="152" spans="1:68" ht="14.25" customHeight="1" x14ac:dyDescent="0.25">
      <c r="A152" s="293" t="s">
        <v>136</v>
      </c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76">
        <v>4607111035806</v>
      </c>
      <c r="E153" s="277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79"/>
      <c r="R153" s="279"/>
      <c r="S153" s="279"/>
      <c r="T153" s="280"/>
      <c r="U153" s="34"/>
      <c r="V153" s="34"/>
      <c r="W153" s="35" t="s">
        <v>69</v>
      </c>
      <c r="X153" s="272">
        <v>42</v>
      </c>
      <c r="Y153" s="273">
        <f>IFERROR(IF(X153="","",X153),"")</f>
        <v>42</v>
      </c>
      <c r="Z153" s="36">
        <f>IFERROR(IF(X153="","",X153*0.01788),"")</f>
        <v>0.75095999999999996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155.55119999999999</v>
      </c>
      <c r="BN153" s="67">
        <f>IFERROR(Y153*I153,"0")</f>
        <v>155.55119999999999</v>
      </c>
      <c r="BO153" s="67">
        <f>IFERROR(X153/J153,"0")</f>
        <v>0.6</v>
      </c>
      <c r="BP153" s="67">
        <f>IFERROR(Y153/J153,"0")</f>
        <v>0.6</v>
      </c>
    </row>
    <row r="154" spans="1:68" x14ac:dyDescent="0.2">
      <c r="A154" s="294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5"/>
      <c r="P154" s="282" t="s">
        <v>82</v>
      </c>
      <c r="Q154" s="283"/>
      <c r="R154" s="283"/>
      <c r="S154" s="283"/>
      <c r="T154" s="283"/>
      <c r="U154" s="283"/>
      <c r="V154" s="284"/>
      <c r="W154" s="37" t="s">
        <v>69</v>
      </c>
      <c r="X154" s="274">
        <f>IFERROR(SUM(X153:X153),"0")</f>
        <v>42</v>
      </c>
      <c r="Y154" s="274">
        <f>IFERROR(SUM(Y153:Y153),"0")</f>
        <v>42</v>
      </c>
      <c r="Z154" s="274">
        <f>IFERROR(IF(Z153="",0,Z153),"0")</f>
        <v>0.75095999999999996</v>
      </c>
      <c r="AA154" s="275"/>
      <c r="AB154" s="275"/>
      <c r="AC154" s="275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5"/>
      <c r="P155" s="282" t="s">
        <v>82</v>
      </c>
      <c r="Q155" s="283"/>
      <c r="R155" s="283"/>
      <c r="S155" s="283"/>
      <c r="T155" s="283"/>
      <c r="U155" s="283"/>
      <c r="V155" s="284"/>
      <c r="W155" s="37" t="s">
        <v>83</v>
      </c>
      <c r="X155" s="274">
        <f>IFERROR(SUMPRODUCT(X153:X153*H153:H153),"0")</f>
        <v>126</v>
      </c>
      <c r="Y155" s="274">
        <f>IFERROR(SUMPRODUCT(Y153:Y153*H153:H153),"0")</f>
        <v>126</v>
      </c>
      <c r="Z155" s="37"/>
      <c r="AA155" s="275"/>
      <c r="AB155" s="275"/>
      <c r="AC155" s="275"/>
    </row>
    <row r="156" spans="1:68" ht="16.5" customHeight="1" x14ac:dyDescent="0.25">
      <c r="A156" s="289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7"/>
      <c r="AB156" s="267"/>
      <c r="AC156" s="267"/>
    </row>
    <row r="157" spans="1:68" ht="14.25" customHeight="1" x14ac:dyDescent="0.25">
      <c r="A157" s="293" t="s">
        <v>136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76">
        <v>4607111039613</v>
      </c>
      <c r="E158" s="277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79"/>
      <c r="R158" s="279"/>
      <c r="S158" s="279"/>
      <c r="T158" s="280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94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5"/>
      <c r="P159" s="282" t="s">
        <v>82</v>
      </c>
      <c r="Q159" s="283"/>
      <c r="R159" s="283"/>
      <c r="S159" s="283"/>
      <c r="T159" s="283"/>
      <c r="U159" s="283"/>
      <c r="V159" s="284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5"/>
      <c r="P160" s="282" t="s">
        <v>82</v>
      </c>
      <c r="Q160" s="283"/>
      <c r="R160" s="283"/>
      <c r="S160" s="283"/>
      <c r="T160" s="283"/>
      <c r="U160" s="283"/>
      <c r="V160" s="284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customHeight="1" x14ac:dyDescent="0.25">
      <c r="A161" s="289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7"/>
      <c r="AB161" s="267"/>
      <c r="AC161" s="267"/>
    </row>
    <row r="162" spans="1:68" ht="14.25" customHeight="1" x14ac:dyDescent="0.25">
      <c r="A162" s="293" t="s">
        <v>213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6">
        <v>4607111035646</v>
      </c>
      <c r="E163" s="277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7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79"/>
      <c r="R163" s="279"/>
      <c r="S163" s="279"/>
      <c r="T163" s="280"/>
      <c r="U163" s="34"/>
      <c r="V163" s="34"/>
      <c r="W163" s="35" t="s">
        <v>69</v>
      </c>
      <c r="X163" s="272">
        <v>30</v>
      </c>
      <c r="Y163" s="273">
        <f>IFERROR(IF(X163="","",X163),"")</f>
        <v>30</v>
      </c>
      <c r="Z163" s="36">
        <f>IFERROR(IF(X163="","",X163*0.01157),"")</f>
        <v>0.34710000000000002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63.6</v>
      </c>
      <c r="BN163" s="67">
        <f>IFERROR(Y163*I163,"0")</f>
        <v>63.6</v>
      </c>
      <c r="BO163" s="67">
        <f>IFERROR(X163/J163,"0")</f>
        <v>0.41666666666666669</v>
      </c>
      <c r="BP163" s="67">
        <f>IFERROR(Y163/J163,"0")</f>
        <v>0.41666666666666669</v>
      </c>
    </row>
    <row r="164" spans="1:68" x14ac:dyDescent="0.2">
      <c r="A164" s="294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5"/>
      <c r="P164" s="282" t="s">
        <v>82</v>
      </c>
      <c r="Q164" s="283"/>
      <c r="R164" s="283"/>
      <c r="S164" s="283"/>
      <c r="T164" s="283"/>
      <c r="U164" s="283"/>
      <c r="V164" s="284"/>
      <c r="W164" s="37" t="s">
        <v>69</v>
      </c>
      <c r="X164" s="274">
        <f>IFERROR(SUM(X163:X163),"0")</f>
        <v>30</v>
      </c>
      <c r="Y164" s="274">
        <f>IFERROR(SUM(Y163:Y163),"0")</f>
        <v>30</v>
      </c>
      <c r="Z164" s="274">
        <f>IFERROR(IF(Z163="",0,Z163),"0")</f>
        <v>0.34710000000000002</v>
      </c>
      <c r="AA164" s="275"/>
      <c r="AB164" s="275"/>
      <c r="AC164" s="275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5"/>
      <c r="P165" s="282" t="s">
        <v>82</v>
      </c>
      <c r="Q165" s="283"/>
      <c r="R165" s="283"/>
      <c r="S165" s="283"/>
      <c r="T165" s="283"/>
      <c r="U165" s="283"/>
      <c r="V165" s="284"/>
      <c r="W165" s="37" t="s">
        <v>83</v>
      </c>
      <c r="X165" s="274">
        <f>IFERROR(SUMPRODUCT(X163:X163*H163:H163),"0")</f>
        <v>48</v>
      </c>
      <c r="Y165" s="274">
        <f>IFERROR(SUMPRODUCT(Y163:Y163*H163:H163),"0")</f>
        <v>48</v>
      </c>
      <c r="Z165" s="37"/>
      <c r="AA165" s="275"/>
      <c r="AB165" s="275"/>
      <c r="AC165" s="275"/>
    </row>
    <row r="166" spans="1:68" ht="16.5" customHeight="1" x14ac:dyDescent="0.25">
      <c r="A166" s="289" t="s">
        <v>249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7"/>
      <c r="AB166" s="267"/>
      <c r="AC166" s="267"/>
    </row>
    <row r="167" spans="1:68" ht="14.25" customHeight="1" x14ac:dyDescent="0.25">
      <c r="A167" s="293" t="s">
        <v>136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6">
        <v>4607111036568</v>
      </c>
      <c r="E168" s="277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79"/>
      <c r="R168" s="279"/>
      <c r="S168" s="279"/>
      <c r="T168" s="280"/>
      <c r="U168" s="34"/>
      <c r="V168" s="34"/>
      <c r="W168" s="35" t="s">
        <v>69</v>
      </c>
      <c r="X168" s="272">
        <v>0</v>
      </c>
      <c r="Y168" s="273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4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5"/>
      <c r="P169" s="282" t="s">
        <v>82</v>
      </c>
      <c r="Q169" s="283"/>
      <c r="R169" s="283"/>
      <c r="S169" s="283"/>
      <c r="T169" s="283"/>
      <c r="U169" s="283"/>
      <c r="V169" s="284"/>
      <c r="W169" s="37" t="s">
        <v>69</v>
      </c>
      <c r="X169" s="274">
        <f>IFERROR(SUM(X168:X168),"0")</f>
        <v>0</v>
      </c>
      <c r="Y169" s="274">
        <f>IFERROR(SUM(Y168:Y168),"0")</f>
        <v>0</v>
      </c>
      <c r="Z169" s="274">
        <f>IFERROR(IF(Z168="",0,Z168),"0")</f>
        <v>0</v>
      </c>
      <c r="AA169" s="275"/>
      <c r="AB169" s="275"/>
      <c r="AC169" s="275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5"/>
      <c r="P170" s="282" t="s">
        <v>82</v>
      </c>
      <c r="Q170" s="283"/>
      <c r="R170" s="283"/>
      <c r="S170" s="283"/>
      <c r="T170" s="283"/>
      <c r="U170" s="283"/>
      <c r="V170" s="284"/>
      <c r="W170" s="37" t="s">
        <v>83</v>
      </c>
      <c r="X170" s="274">
        <f>IFERROR(SUMPRODUCT(X168:X168*H168:H168),"0")</f>
        <v>0</v>
      </c>
      <c r="Y170" s="274">
        <f>IFERROR(SUMPRODUCT(Y168:Y168*H168:H168),"0")</f>
        <v>0</v>
      </c>
      <c r="Z170" s="37"/>
      <c r="AA170" s="275"/>
      <c r="AB170" s="275"/>
      <c r="AC170" s="275"/>
    </row>
    <row r="171" spans="1:68" ht="27.75" customHeight="1" x14ac:dyDescent="0.2">
      <c r="A171" s="287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48"/>
      <c r="AB171" s="48"/>
      <c r="AC171" s="48"/>
    </row>
    <row r="172" spans="1:68" ht="16.5" customHeight="1" x14ac:dyDescent="0.25">
      <c r="A172" s="289" t="s">
        <v>254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7"/>
      <c r="AB172" s="267"/>
      <c r="AC172" s="267"/>
    </row>
    <row r="173" spans="1:68" ht="14.25" customHeight="1" x14ac:dyDescent="0.25">
      <c r="A173" s="293" t="s">
        <v>63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68"/>
      <c r="AB173" s="268"/>
      <c r="AC173" s="268"/>
    </row>
    <row r="174" spans="1:68" ht="16.5" customHeight="1" x14ac:dyDescent="0.25">
      <c r="A174" s="54" t="s">
        <v>255</v>
      </c>
      <c r="B174" s="54" t="s">
        <v>256</v>
      </c>
      <c r="C174" s="31">
        <v>4301071062</v>
      </c>
      <c r="D174" s="276">
        <v>4607111036384</v>
      </c>
      <c r="E174" s="277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6">
        <v>4607111036216</v>
      </c>
      <c r="E175" s="277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79"/>
      <c r="R175" s="279"/>
      <c r="S175" s="279"/>
      <c r="T175" s="280"/>
      <c r="U175" s="34"/>
      <c r="V175" s="34"/>
      <c r="W175" s="35" t="s">
        <v>69</v>
      </c>
      <c r="X175" s="272">
        <v>72</v>
      </c>
      <c r="Y175" s="273">
        <f>IFERROR(IF(X175="","",X175),"")</f>
        <v>72</v>
      </c>
      <c r="Z175" s="36">
        <f>IFERROR(IF(X175="","",X175*0.00866),"")</f>
        <v>0.62351999999999996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375.35039999999998</v>
      </c>
      <c r="BN175" s="67">
        <f>IFERROR(Y175*I175,"0")</f>
        <v>375.35039999999998</v>
      </c>
      <c r="BO175" s="67">
        <f>IFERROR(X175/J175,"0")</f>
        <v>0.5</v>
      </c>
      <c r="BP175" s="67">
        <f>IFERROR(Y175/J175,"0")</f>
        <v>0.5</v>
      </c>
    </row>
    <row r="176" spans="1:68" x14ac:dyDescent="0.2">
      <c r="A176" s="294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5"/>
      <c r="P176" s="282" t="s">
        <v>82</v>
      </c>
      <c r="Q176" s="283"/>
      <c r="R176" s="283"/>
      <c r="S176" s="283"/>
      <c r="T176" s="283"/>
      <c r="U176" s="283"/>
      <c r="V176" s="284"/>
      <c r="W176" s="37" t="s">
        <v>69</v>
      </c>
      <c r="X176" s="274">
        <f>IFERROR(SUM(X174:X175),"0")</f>
        <v>72</v>
      </c>
      <c r="Y176" s="274">
        <f>IFERROR(SUM(Y174:Y175),"0")</f>
        <v>72</v>
      </c>
      <c r="Z176" s="274">
        <f>IFERROR(IF(Z174="",0,Z174),"0")+IFERROR(IF(Z175="",0,Z175),"0")</f>
        <v>0.62351999999999996</v>
      </c>
      <c r="AA176" s="275"/>
      <c r="AB176" s="275"/>
      <c r="AC176" s="275"/>
    </row>
    <row r="177" spans="1:68" x14ac:dyDescent="0.2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5"/>
      <c r="P177" s="282" t="s">
        <v>82</v>
      </c>
      <c r="Q177" s="283"/>
      <c r="R177" s="283"/>
      <c r="S177" s="283"/>
      <c r="T177" s="283"/>
      <c r="U177" s="283"/>
      <c r="V177" s="284"/>
      <c r="W177" s="37" t="s">
        <v>83</v>
      </c>
      <c r="X177" s="274">
        <f>IFERROR(SUMPRODUCT(X174:X175*H174:H175),"0")</f>
        <v>360</v>
      </c>
      <c r="Y177" s="274">
        <f>IFERROR(SUMPRODUCT(Y174:Y175*H174:H175),"0")</f>
        <v>360</v>
      </c>
      <c r="Z177" s="37"/>
      <c r="AA177" s="275"/>
      <c r="AB177" s="275"/>
      <c r="AC177" s="275"/>
    </row>
    <row r="178" spans="1:68" ht="27.75" customHeight="1" x14ac:dyDescent="0.2">
      <c r="A178" s="287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48"/>
      <c r="AB178" s="48"/>
      <c r="AC178" s="48"/>
    </row>
    <row r="179" spans="1:68" ht="16.5" customHeight="1" x14ac:dyDescent="0.25">
      <c r="A179" s="289" t="s">
        <v>262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7"/>
      <c r="AB179" s="267"/>
      <c r="AC179" s="267"/>
    </row>
    <row r="180" spans="1:68" ht="14.25" customHeight="1" x14ac:dyDescent="0.25">
      <c r="A180" s="293" t="s">
        <v>92</v>
      </c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6">
        <v>4607111035691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0</v>
      </c>
      <c r="Y181" s="273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6">
        <v>4607111035721</v>
      </c>
      <c r="E182" s="277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56</v>
      </c>
      <c r="Y182" s="273">
        <f>IFERROR(IF(X182="","",X182),"")</f>
        <v>56</v>
      </c>
      <c r="Z182" s="36">
        <f>IFERROR(IF(X182="","",X182*0.01788),"")</f>
        <v>1.0012799999999999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189.72800000000001</v>
      </c>
      <c r="BN182" s="67">
        <f>IFERROR(Y182*I182,"0")</f>
        <v>189.72800000000001</v>
      </c>
      <c r="BO182" s="67">
        <f>IFERROR(X182/J182,"0")</f>
        <v>0.8</v>
      </c>
      <c r="BP182" s="67">
        <f>IFERROR(Y182/J182,"0")</f>
        <v>0.8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6">
        <v>4607111038487</v>
      </c>
      <c r="E183" s="277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79"/>
      <c r="R183" s="279"/>
      <c r="S183" s="279"/>
      <c r="T183" s="280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94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5"/>
      <c r="P184" s="282" t="s">
        <v>82</v>
      </c>
      <c r="Q184" s="283"/>
      <c r="R184" s="283"/>
      <c r="S184" s="283"/>
      <c r="T184" s="283"/>
      <c r="U184" s="283"/>
      <c r="V184" s="284"/>
      <c r="W184" s="37" t="s">
        <v>69</v>
      </c>
      <c r="X184" s="274">
        <f>IFERROR(SUM(X181:X183),"0")</f>
        <v>70</v>
      </c>
      <c r="Y184" s="274">
        <f>IFERROR(SUM(Y181:Y183),"0")</f>
        <v>70</v>
      </c>
      <c r="Z184" s="274">
        <f>IFERROR(IF(Z181="",0,Z181),"0")+IFERROR(IF(Z182="",0,Z182),"0")+IFERROR(IF(Z183="",0,Z183),"0")</f>
        <v>1.2515999999999998</v>
      </c>
      <c r="AA184" s="275"/>
      <c r="AB184" s="275"/>
      <c r="AC184" s="275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5"/>
      <c r="P185" s="282" t="s">
        <v>82</v>
      </c>
      <c r="Q185" s="283"/>
      <c r="R185" s="283"/>
      <c r="S185" s="283"/>
      <c r="T185" s="283"/>
      <c r="U185" s="283"/>
      <c r="V185" s="284"/>
      <c r="W185" s="37" t="s">
        <v>83</v>
      </c>
      <c r="X185" s="274">
        <f>IFERROR(SUMPRODUCT(X181:X183*H181:H183),"0")</f>
        <v>210</v>
      </c>
      <c r="Y185" s="274">
        <f>IFERROR(SUMPRODUCT(Y181:Y183*H181:H183),"0")</f>
        <v>210</v>
      </c>
      <c r="Z185" s="37"/>
      <c r="AA185" s="275"/>
      <c r="AB185" s="275"/>
      <c r="AC185" s="275"/>
    </row>
    <row r="186" spans="1:68" ht="14.25" customHeight="1" x14ac:dyDescent="0.25">
      <c r="A186" s="293" t="s">
        <v>272</v>
      </c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  <c r="AA186" s="268"/>
      <c r="AB186" s="268"/>
      <c r="AC186" s="268"/>
    </row>
    <row r="187" spans="1:68" ht="27" customHeight="1" x14ac:dyDescent="0.25">
      <c r="A187" s="54" t="s">
        <v>273</v>
      </c>
      <c r="B187" s="54" t="s">
        <v>274</v>
      </c>
      <c r="C187" s="31">
        <v>4301051855</v>
      </c>
      <c r="D187" s="276">
        <v>4680115885875</v>
      </c>
      <c r="E187" s="277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5" t="s">
        <v>277</v>
      </c>
      <c r="Q187" s="279"/>
      <c r="R187" s="279"/>
      <c r="S187" s="279"/>
      <c r="T187" s="280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4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5"/>
      <c r="P188" s="282" t="s">
        <v>82</v>
      </c>
      <c r="Q188" s="283"/>
      <c r="R188" s="283"/>
      <c r="S188" s="283"/>
      <c r="T188" s="283"/>
      <c r="U188" s="283"/>
      <c r="V188" s="284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x14ac:dyDescent="0.2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5"/>
      <c r="P189" s="282" t="s">
        <v>82</v>
      </c>
      <c r="Q189" s="283"/>
      <c r="R189" s="283"/>
      <c r="S189" s="283"/>
      <c r="T189" s="283"/>
      <c r="U189" s="283"/>
      <c r="V189" s="284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customHeight="1" x14ac:dyDescent="0.2">
      <c r="A190" s="287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48"/>
      <c r="AB190" s="48"/>
      <c r="AC190" s="48"/>
    </row>
    <row r="191" spans="1:68" ht="16.5" customHeight="1" x14ac:dyDescent="0.25">
      <c r="A191" s="289" t="s">
        <v>281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7"/>
      <c r="AB191" s="267"/>
      <c r="AC191" s="267"/>
    </row>
    <row r="192" spans="1:68" ht="14.25" customHeight="1" x14ac:dyDescent="0.25">
      <c r="A192" s="293" t="s">
        <v>92</v>
      </c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6">
        <v>4620207491133</v>
      </c>
      <c r="E193" s="277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9"/>
      <c r="R193" s="279"/>
      <c r="S193" s="279"/>
      <c r="T193" s="280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4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5"/>
      <c r="P194" s="282" t="s">
        <v>82</v>
      </c>
      <c r="Q194" s="283"/>
      <c r="R194" s="283"/>
      <c r="S194" s="283"/>
      <c r="T194" s="283"/>
      <c r="U194" s="283"/>
      <c r="V194" s="284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5"/>
      <c r="P195" s="282" t="s">
        <v>82</v>
      </c>
      <c r="Q195" s="283"/>
      <c r="R195" s="283"/>
      <c r="S195" s="283"/>
      <c r="T195" s="283"/>
      <c r="U195" s="283"/>
      <c r="V195" s="284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customHeight="1" x14ac:dyDescent="0.25">
      <c r="A196" s="293" t="s">
        <v>136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76">
        <v>4620207491188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6">
        <v>4620207490198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291</v>
      </c>
      <c r="B199" s="54" t="s">
        <v>292</v>
      </c>
      <c r="C199" s="31">
        <v>4301135829</v>
      </c>
      <c r="D199" s="276">
        <v>4620207490235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5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4301135697</v>
      </c>
      <c r="D200" s="276">
        <v>4620207490259</v>
      </c>
      <c r="E200" s="277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296</v>
      </c>
      <c r="B201" s="54" t="s">
        <v>297</v>
      </c>
      <c r="C201" s="31">
        <v>4301135681</v>
      </c>
      <c r="D201" s="276">
        <v>4620207490143</v>
      </c>
      <c r="E201" s="277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42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9"/>
      <c r="R201" s="279"/>
      <c r="S201" s="279"/>
      <c r="T201" s="280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94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5"/>
      <c r="P202" s="282" t="s">
        <v>82</v>
      </c>
      <c r="Q202" s="283"/>
      <c r="R202" s="283"/>
      <c r="S202" s="283"/>
      <c r="T202" s="283"/>
      <c r="U202" s="283"/>
      <c r="V202" s="284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x14ac:dyDescent="0.2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5"/>
      <c r="P203" s="282" t="s">
        <v>82</v>
      </c>
      <c r="Q203" s="283"/>
      <c r="R203" s="283"/>
      <c r="S203" s="283"/>
      <c r="T203" s="283"/>
      <c r="U203" s="283"/>
      <c r="V203" s="284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customHeight="1" x14ac:dyDescent="0.25">
      <c r="A204" s="289" t="s">
        <v>299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7"/>
      <c r="AB204" s="267"/>
      <c r="AC204" s="267"/>
    </row>
    <row r="205" spans="1:68" ht="14.25" customHeight="1" x14ac:dyDescent="0.25">
      <c r="A205" s="293" t="s">
        <v>63</v>
      </c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6">
        <v>4620207491096</v>
      </c>
      <c r="E206" s="277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9"/>
      <c r="R206" s="279"/>
      <c r="S206" s="279"/>
      <c r="T206" s="280"/>
      <c r="U206" s="34"/>
      <c r="V206" s="34"/>
      <c r="W206" s="35" t="s">
        <v>69</v>
      </c>
      <c r="X206" s="272">
        <v>48</v>
      </c>
      <c r="Y206" s="273">
        <f>IFERROR(IF(X206="","",X206),"")</f>
        <v>48</v>
      </c>
      <c r="Z206" s="36">
        <f>IFERROR(IF(X206="","",X206*0.0155),"")</f>
        <v>0.74399999999999999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251.04000000000002</v>
      </c>
      <c r="BN206" s="67">
        <f>IFERROR(Y206*I206,"0")</f>
        <v>251.04000000000002</v>
      </c>
      <c r="BO206" s="67">
        <f>IFERROR(X206/J206,"0")</f>
        <v>0.5714285714285714</v>
      </c>
      <c r="BP206" s="67">
        <f>IFERROR(Y206/J206,"0")</f>
        <v>0.5714285714285714</v>
      </c>
    </row>
    <row r="207" spans="1:68" x14ac:dyDescent="0.2">
      <c r="A207" s="294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5"/>
      <c r="P207" s="282" t="s">
        <v>82</v>
      </c>
      <c r="Q207" s="283"/>
      <c r="R207" s="283"/>
      <c r="S207" s="283"/>
      <c r="T207" s="283"/>
      <c r="U207" s="283"/>
      <c r="V207" s="284"/>
      <c r="W207" s="37" t="s">
        <v>69</v>
      </c>
      <c r="X207" s="274">
        <f>IFERROR(SUM(X206:X206),"0")</f>
        <v>48</v>
      </c>
      <c r="Y207" s="274">
        <f>IFERROR(SUM(Y206:Y206),"0")</f>
        <v>48</v>
      </c>
      <c r="Z207" s="274">
        <f>IFERROR(IF(Z206="",0,Z206),"0")</f>
        <v>0.74399999999999999</v>
      </c>
      <c r="AA207" s="275"/>
      <c r="AB207" s="275"/>
      <c r="AC207" s="275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5"/>
      <c r="P208" s="282" t="s">
        <v>82</v>
      </c>
      <c r="Q208" s="283"/>
      <c r="R208" s="283"/>
      <c r="S208" s="283"/>
      <c r="T208" s="283"/>
      <c r="U208" s="283"/>
      <c r="V208" s="284"/>
      <c r="W208" s="37" t="s">
        <v>83</v>
      </c>
      <c r="X208" s="274">
        <f>IFERROR(SUMPRODUCT(X206:X206*H206:H206),"0")</f>
        <v>240</v>
      </c>
      <c r="Y208" s="274">
        <f>IFERROR(SUMPRODUCT(Y206:Y206*H206:H206),"0")</f>
        <v>240</v>
      </c>
      <c r="Z208" s="37"/>
      <c r="AA208" s="275"/>
      <c r="AB208" s="275"/>
      <c r="AC208" s="275"/>
    </row>
    <row r="209" spans="1:68" ht="16.5" customHeight="1" x14ac:dyDescent="0.25">
      <c r="A209" s="289" t="s">
        <v>303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7"/>
      <c r="AB209" s="267"/>
      <c r="AC209" s="267"/>
    </row>
    <row r="210" spans="1:68" ht="14.25" customHeight="1" x14ac:dyDescent="0.25">
      <c r="A210" s="293" t="s">
        <v>63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68"/>
      <c r="AB210" s="268"/>
      <c r="AC210" s="268"/>
    </row>
    <row r="211" spans="1:68" ht="27" customHeight="1" x14ac:dyDescent="0.25">
      <c r="A211" s="54" t="s">
        <v>304</v>
      </c>
      <c r="B211" s="54" t="s">
        <v>305</v>
      </c>
      <c r="C211" s="31">
        <v>4301071093</v>
      </c>
      <c r="D211" s="276">
        <v>4620207490709</v>
      </c>
      <c r="E211" s="277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79"/>
      <c r="R211" s="279"/>
      <c r="S211" s="279"/>
      <c r="T211" s="280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4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5"/>
      <c r="P212" s="282" t="s">
        <v>82</v>
      </c>
      <c r="Q212" s="283"/>
      <c r="R212" s="283"/>
      <c r="S212" s="283"/>
      <c r="T212" s="283"/>
      <c r="U212" s="283"/>
      <c r="V212" s="284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5"/>
      <c r="P213" s="282" t="s">
        <v>82</v>
      </c>
      <c r="Q213" s="283"/>
      <c r="R213" s="283"/>
      <c r="S213" s="283"/>
      <c r="T213" s="283"/>
      <c r="U213" s="283"/>
      <c r="V213" s="284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customHeight="1" x14ac:dyDescent="0.25">
      <c r="A214" s="293" t="s">
        <v>136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8"/>
      <c r="AB214" s="268"/>
      <c r="AC214" s="268"/>
    </row>
    <row r="215" spans="1:68" ht="27" customHeight="1" x14ac:dyDescent="0.25">
      <c r="A215" s="54" t="s">
        <v>307</v>
      </c>
      <c r="B215" s="54" t="s">
        <v>308</v>
      </c>
      <c r="C215" s="31">
        <v>4301135691</v>
      </c>
      <c r="D215" s="276">
        <v>4620207490549</v>
      </c>
      <c r="E215" s="277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customHeight="1" x14ac:dyDescent="0.25">
      <c r="A216" s="54" t="s">
        <v>310</v>
      </c>
      <c r="B216" s="54" t="s">
        <v>311</v>
      </c>
      <c r="C216" s="31">
        <v>4301135694</v>
      </c>
      <c r="D216" s="276">
        <v>4620207490501</v>
      </c>
      <c r="E216" s="277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79"/>
      <c r="R216" s="279"/>
      <c r="S216" s="279"/>
      <c r="T216" s="280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4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5"/>
      <c r="P217" s="282" t="s">
        <v>82</v>
      </c>
      <c r="Q217" s="283"/>
      <c r="R217" s="283"/>
      <c r="S217" s="283"/>
      <c r="T217" s="283"/>
      <c r="U217" s="283"/>
      <c r="V217" s="284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5"/>
      <c r="P218" s="282" t="s">
        <v>82</v>
      </c>
      <c r="Q218" s="283"/>
      <c r="R218" s="283"/>
      <c r="S218" s="283"/>
      <c r="T218" s="283"/>
      <c r="U218" s="283"/>
      <c r="V218" s="284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customHeight="1" x14ac:dyDescent="0.2">
      <c r="A219" s="287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48"/>
      <c r="AB219" s="48"/>
      <c r="AC219" s="48"/>
    </row>
    <row r="220" spans="1:68" ht="16.5" customHeight="1" x14ac:dyDescent="0.25">
      <c r="A220" s="289" t="s">
        <v>313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67"/>
      <c r="AB220" s="267"/>
      <c r="AC220" s="267"/>
    </row>
    <row r="221" spans="1:68" ht="14.25" customHeight="1" x14ac:dyDescent="0.25">
      <c r="A221" s="293" t="s">
        <v>63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68"/>
      <c r="AB221" s="268"/>
      <c r="AC221" s="268"/>
    </row>
    <row r="222" spans="1:68" ht="27" customHeight="1" x14ac:dyDescent="0.25">
      <c r="A222" s="54" t="s">
        <v>314</v>
      </c>
      <c r="B222" s="54" t="s">
        <v>315</v>
      </c>
      <c r="C222" s="31">
        <v>4301071036</v>
      </c>
      <c r="D222" s="276">
        <v>4607111036162</v>
      </c>
      <c r="E222" s="277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1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9"/>
      <c r="R222" s="279"/>
      <c r="S222" s="279"/>
      <c r="T222" s="280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4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5"/>
      <c r="P223" s="282" t="s">
        <v>82</v>
      </c>
      <c r="Q223" s="283"/>
      <c r="R223" s="283"/>
      <c r="S223" s="283"/>
      <c r="T223" s="283"/>
      <c r="U223" s="283"/>
      <c r="V223" s="284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5"/>
      <c r="P224" s="282" t="s">
        <v>82</v>
      </c>
      <c r="Q224" s="283"/>
      <c r="R224" s="283"/>
      <c r="S224" s="283"/>
      <c r="T224" s="283"/>
      <c r="U224" s="283"/>
      <c r="V224" s="284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customHeight="1" x14ac:dyDescent="0.2">
      <c r="A225" s="287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48"/>
      <c r="AB225" s="48"/>
      <c r="AC225" s="48"/>
    </row>
    <row r="226" spans="1:68" ht="16.5" customHeight="1" x14ac:dyDescent="0.25">
      <c r="A226" s="289" t="s">
        <v>318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67"/>
      <c r="AB226" s="267"/>
      <c r="AC226" s="267"/>
    </row>
    <row r="227" spans="1:68" ht="14.25" customHeight="1" x14ac:dyDescent="0.25">
      <c r="A227" s="293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68"/>
      <c r="AB227" s="268"/>
      <c r="AC227" s="268"/>
    </row>
    <row r="228" spans="1:68" ht="27" customHeight="1" x14ac:dyDescent="0.25">
      <c r="A228" s="54" t="s">
        <v>319</v>
      </c>
      <c r="B228" s="54" t="s">
        <v>320</v>
      </c>
      <c r="C228" s="31">
        <v>4301071029</v>
      </c>
      <c r="D228" s="276">
        <v>4607111035899</v>
      </c>
      <c r="E228" s="277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9"/>
      <c r="R228" s="279"/>
      <c r="S228" s="279"/>
      <c r="T228" s="280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4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5"/>
      <c r="P229" s="282" t="s">
        <v>82</v>
      </c>
      <c r="Q229" s="283"/>
      <c r="R229" s="283"/>
      <c r="S229" s="283"/>
      <c r="T229" s="283"/>
      <c r="U229" s="283"/>
      <c r="V229" s="284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5"/>
      <c r="P230" s="282" t="s">
        <v>82</v>
      </c>
      <c r="Q230" s="283"/>
      <c r="R230" s="283"/>
      <c r="S230" s="283"/>
      <c r="T230" s="283"/>
      <c r="U230" s="283"/>
      <c r="V230" s="284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customHeight="1" x14ac:dyDescent="0.2">
      <c r="A231" s="287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48"/>
      <c r="AB231" s="48"/>
      <c r="AC231" s="48"/>
    </row>
    <row r="232" spans="1:68" ht="16.5" customHeight="1" x14ac:dyDescent="0.25">
      <c r="A232" s="289" t="s">
        <v>322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67"/>
      <c r="AB232" s="267"/>
      <c r="AC232" s="267"/>
    </row>
    <row r="233" spans="1:68" ht="14.25" customHeight="1" x14ac:dyDescent="0.25">
      <c r="A233" s="293" t="s">
        <v>323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68"/>
      <c r="AB233" s="268"/>
      <c r="AC233" s="268"/>
    </row>
    <row r="234" spans="1:68" ht="27" customHeight="1" x14ac:dyDescent="0.25">
      <c r="A234" s="54" t="s">
        <v>324</v>
      </c>
      <c r="B234" s="54" t="s">
        <v>325</v>
      </c>
      <c r="C234" s="31">
        <v>4301133004</v>
      </c>
      <c r="D234" s="276">
        <v>4607111039774</v>
      </c>
      <c r="E234" s="277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4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5"/>
      <c r="P235" s="282" t="s">
        <v>82</v>
      </c>
      <c r="Q235" s="283"/>
      <c r="R235" s="283"/>
      <c r="S235" s="283"/>
      <c r="T235" s="283"/>
      <c r="U235" s="283"/>
      <c r="V235" s="284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5"/>
      <c r="P236" s="282" t="s">
        <v>82</v>
      </c>
      <c r="Q236" s="283"/>
      <c r="R236" s="283"/>
      <c r="S236" s="283"/>
      <c r="T236" s="283"/>
      <c r="U236" s="283"/>
      <c r="V236" s="284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customHeight="1" x14ac:dyDescent="0.25">
      <c r="A237" s="293" t="s">
        <v>136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8"/>
      <c r="AB237" s="268"/>
      <c r="AC237" s="268"/>
    </row>
    <row r="238" spans="1:68" ht="37.5" customHeight="1" x14ac:dyDescent="0.25">
      <c r="A238" s="54" t="s">
        <v>327</v>
      </c>
      <c r="B238" s="54" t="s">
        <v>328</v>
      </c>
      <c r="C238" s="31">
        <v>4301135400</v>
      </c>
      <c r="D238" s="276">
        <v>4607111039361</v>
      </c>
      <c r="E238" s="277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4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5"/>
      <c r="P239" s="282" t="s">
        <v>82</v>
      </c>
      <c r="Q239" s="283"/>
      <c r="R239" s="283"/>
      <c r="S239" s="283"/>
      <c r="T239" s="283"/>
      <c r="U239" s="283"/>
      <c r="V239" s="284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5"/>
      <c r="P240" s="282" t="s">
        <v>82</v>
      </c>
      <c r="Q240" s="283"/>
      <c r="R240" s="283"/>
      <c r="S240" s="283"/>
      <c r="T240" s="283"/>
      <c r="U240" s="283"/>
      <c r="V240" s="284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customHeight="1" x14ac:dyDescent="0.2">
      <c r="A241" s="287" t="s">
        <v>329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48"/>
      <c r="AB241" s="48"/>
      <c r="AC241" s="48"/>
    </row>
    <row r="242" spans="1:68" ht="16.5" customHeight="1" x14ac:dyDescent="0.25">
      <c r="A242" s="289" t="s">
        <v>329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67"/>
      <c r="AB242" s="267"/>
      <c r="AC242" s="267"/>
    </row>
    <row r="243" spans="1:68" ht="14.25" customHeight="1" x14ac:dyDescent="0.25">
      <c r="A243" s="293" t="s">
        <v>63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68"/>
      <c r="AB243" s="268"/>
      <c r="AC243" s="268"/>
    </row>
    <row r="244" spans="1:68" ht="27" customHeight="1" x14ac:dyDescent="0.25">
      <c r="A244" s="54" t="s">
        <v>330</v>
      </c>
      <c r="B244" s="54" t="s">
        <v>331</v>
      </c>
      <c r="C244" s="31">
        <v>4301071014</v>
      </c>
      <c r="D244" s="276">
        <v>4640242181264</v>
      </c>
      <c r="E244" s="277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9"/>
      <c r="R244" s="279"/>
      <c r="S244" s="279"/>
      <c r="T244" s="280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6">
        <v>4640242181325</v>
      </c>
      <c r="E245" s="277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8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9"/>
      <c r="R245" s="279"/>
      <c r="S245" s="279"/>
      <c r="T245" s="280"/>
      <c r="U245" s="34"/>
      <c r="V245" s="34"/>
      <c r="W245" s="35" t="s">
        <v>69</v>
      </c>
      <c r="X245" s="272">
        <v>12</v>
      </c>
      <c r="Y245" s="273">
        <f>IFERROR(IF(X245="","",X245),"")</f>
        <v>12</v>
      </c>
      <c r="Z245" s="36">
        <f>IFERROR(IF(X245="","",X245*0.0155),"")</f>
        <v>0.186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87.36</v>
      </c>
      <c r="BN245" s="67">
        <f>IFERROR(Y245*I245,"0")</f>
        <v>87.36</v>
      </c>
      <c r="BO245" s="67">
        <f>IFERROR(X245/J245,"0")</f>
        <v>0.14285714285714285</v>
      </c>
      <c r="BP245" s="67">
        <f>IFERROR(Y245/J245,"0")</f>
        <v>0.14285714285714285</v>
      </c>
    </row>
    <row r="246" spans="1:68" x14ac:dyDescent="0.2">
      <c r="A246" s="294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5"/>
      <c r="P246" s="282" t="s">
        <v>82</v>
      </c>
      <c r="Q246" s="283"/>
      <c r="R246" s="283"/>
      <c r="S246" s="283"/>
      <c r="T246" s="283"/>
      <c r="U246" s="283"/>
      <c r="V246" s="284"/>
      <c r="W246" s="37" t="s">
        <v>69</v>
      </c>
      <c r="X246" s="274">
        <f>IFERROR(SUM(X244:X245),"0")</f>
        <v>12</v>
      </c>
      <c r="Y246" s="274">
        <f>IFERROR(SUM(Y244:Y245),"0")</f>
        <v>12</v>
      </c>
      <c r="Z246" s="274">
        <f>IFERROR(IF(Z244="",0,Z244),"0")+IFERROR(IF(Z245="",0,Z245),"0")</f>
        <v>0.186</v>
      </c>
      <c r="AA246" s="275"/>
      <c r="AB246" s="275"/>
      <c r="AC246" s="275"/>
    </row>
    <row r="247" spans="1:68" x14ac:dyDescent="0.2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5"/>
      <c r="P247" s="282" t="s">
        <v>82</v>
      </c>
      <c r="Q247" s="283"/>
      <c r="R247" s="283"/>
      <c r="S247" s="283"/>
      <c r="T247" s="283"/>
      <c r="U247" s="283"/>
      <c r="V247" s="284"/>
      <c r="W247" s="37" t="s">
        <v>83</v>
      </c>
      <c r="X247" s="274">
        <f>IFERROR(SUMPRODUCT(X244:X245*H244:H245),"0")</f>
        <v>84</v>
      </c>
      <c r="Y247" s="274">
        <f>IFERROR(SUMPRODUCT(Y244:Y245*H244:H245),"0")</f>
        <v>84</v>
      </c>
      <c r="Z247" s="37"/>
      <c r="AA247" s="275"/>
      <c r="AB247" s="275"/>
      <c r="AC247" s="275"/>
    </row>
    <row r="248" spans="1:68" ht="14.25" customHeight="1" x14ac:dyDescent="0.25">
      <c r="A248" s="293" t="s">
        <v>92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6">
        <v>4640242180397</v>
      </c>
      <c r="E249" s="277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84</v>
      </c>
      <c r="Y249" s="273">
        <f>IFERROR(IF(X249="","",X249),"")</f>
        <v>84</v>
      </c>
      <c r="Z249" s="36">
        <f>IFERROR(IF(X249="","",X249*0.0155),"")</f>
        <v>1.302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525.84</v>
      </c>
      <c r="BN249" s="67">
        <f>IFERROR(Y249*I249,"0")</f>
        <v>525.84</v>
      </c>
      <c r="BO249" s="67">
        <f>IFERROR(X249/J249,"0")</f>
        <v>1</v>
      </c>
      <c r="BP249" s="67">
        <f>IFERROR(Y249/J249,"0")</f>
        <v>1</v>
      </c>
    </row>
    <row r="250" spans="1:68" ht="27" customHeight="1" x14ac:dyDescent="0.25">
      <c r="A250" s="54" t="s">
        <v>338</v>
      </c>
      <c r="B250" s="54" t="s">
        <v>339</v>
      </c>
      <c r="C250" s="31">
        <v>4301132104</v>
      </c>
      <c r="D250" s="276">
        <v>4640242181219</v>
      </c>
      <c r="E250" s="277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4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79"/>
      <c r="R250" s="279"/>
      <c r="S250" s="279"/>
      <c r="T250" s="280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4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5"/>
      <c r="P251" s="282" t="s">
        <v>82</v>
      </c>
      <c r="Q251" s="283"/>
      <c r="R251" s="283"/>
      <c r="S251" s="283"/>
      <c r="T251" s="283"/>
      <c r="U251" s="283"/>
      <c r="V251" s="284"/>
      <c r="W251" s="37" t="s">
        <v>69</v>
      </c>
      <c r="X251" s="274">
        <f>IFERROR(SUM(X249:X250),"0")</f>
        <v>84</v>
      </c>
      <c r="Y251" s="274">
        <f>IFERROR(SUM(Y249:Y250),"0")</f>
        <v>84</v>
      </c>
      <c r="Z251" s="274">
        <f>IFERROR(IF(Z249="",0,Z249),"0")+IFERROR(IF(Z250="",0,Z250),"0")</f>
        <v>1.302</v>
      </c>
      <c r="AA251" s="275"/>
      <c r="AB251" s="275"/>
      <c r="AC251" s="275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5"/>
      <c r="P252" s="282" t="s">
        <v>82</v>
      </c>
      <c r="Q252" s="283"/>
      <c r="R252" s="283"/>
      <c r="S252" s="283"/>
      <c r="T252" s="283"/>
      <c r="U252" s="283"/>
      <c r="V252" s="284"/>
      <c r="W252" s="37" t="s">
        <v>83</v>
      </c>
      <c r="X252" s="274">
        <f>IFERROR(SUMPRODUCT(X249:X250*H249:H250),"0")</f>
        <v>504</v>
      </c>
      <c r="Y252" s="274">
        <f>IFERROR(SUMPRODUCT(Y249:Y250*H249:H250),"0")</f>
        <v>504</v>
      </c>
      <c r="Z252" s="37"/>
      <c r="AA252" s="275"/>
      <c r="AB252" s="275"/>
      <c r="AC252" s="275"/>
    </row>
    <row r="253" spans="1:68" ht="14.25" customHeight="1" x14ac:dyDescent="0.25">
      <c r="A253" s="293" t="s">
        <v>130</v>
      </c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90"/>
      <c r="Q253" s="290"/>
      <c r="R253" s="290"/>
      <c r="S253" s="290"/>
      <c r="T253" s="290"/>
      <c r="U253" s="290"/>
      <c r="V253" s="290"/>
      <c r="W253" s="290"/>
      <c r="X253" s="290"/>
      <c r="Y253" s="290"/>
      <c r="Z253" s="290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6">
        <v>4640242180304</v>
      </c>
      <c r="E254" s="277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40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6">
        <v>4640242180236</v>
      </c>
      <c r="E255" s="277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79"/>
      <c r="R255" s="279"/>
      <c r="S255" s="279"/>
      <c r="T255" s="280"/>
      <c r="U255" s="34"/>
      <c r="V255" s="34"/>
      <c r="W255" s="35" t="s">
        <v>69</v>
      </c>
      <c r="X255" s="272">
        <v>84</v>
      </c>
      <c r="Y255" s="273">
        <f>IFERROR(IF(X255="","",X255),"")</f>
        <v>84</v>
      </c>
      <c r="Z255" s="36">
        <f>IFERROR(IF(X255="","",X255*0.0155),"")</f>
        <v>1.302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439.74</v>
      </c>
      <c r="BN255" s="67">
        <f>IFERROR(Y255*I255,"0")</f>
        <v>439.74</v>
      </c>
      <c r="BO255" s="67">
        <f>IFERROR(X255/J255,"0")</f>
        <v>1</v>
      </c>
      <c r="BP255" s="67">
        <f>IFERROR(Y255/J255,"0")</f>
        <v>1</v>
      </c>
    </row>
    <row r="256" spans="1:68" ht="27" customHeight="1" x14ac:dyDescent="0.25">
      <c r="A256" s="54" t="s">
        <v>345</v>
      </c>
      <c r="B256" s="54" t="s">
        <v>346</v>
      </c>
      <c r="C256" s="31">
        <v>4301136052</v>
      </c>
      <c r="D256" s="276">
        <v>4640242180410</v>
      </c>
      <c r="E256" s="277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79"/>
      <c r="R256" s="279"/>
      <c r="S256" s="279"/>
      <c r="T256" s="280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94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5"/>
      <c r="P257" s="282" t="s">
        <v>82</v>
      </c>
      <c r="Q257" s="283"/>
      <c r="R257" s="283"/>
      <c r="S257" s="283"/>
      <c r="T257" s="283"/>
      <c r="U257" s="283"/>
      <c r="V257" s="284"/>
      <c r="W257" s="37" t="s">
        <v>69</v>
      </c>
      <c r="X257" s="274">
        <f>IFERROR(SUM(X254:X256),"0")</f>
        <v>84</v>
      </c>
      <c r="Y257" s="274">
        <f>IFERROR(SUM(Y254:Y256),"0")</f>
        <v>84</v>
      </c>
      <c r="Z257" s="274">
        <f>IFERROR(IF(Z254="",0,Z254),"0")+IFERROR(IF(Z255="",0,Z255),"0")+IFERROR(IF(Z256="",0,Z256),"0")</f>
        <v>1.302</v>
      </c>
      <c r="AA257" s="275"/>
      <c r="AB257" s="275"/>
      <c r="AC257" s="275"/>
    </row>
    <row r="258" spans="1:68" x14ac:dyDescent="0.2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5"/>
      <c r="P258" s="282" t="s">
        <v>82</v>
      </c>
      <c r="Q258" s="283"/>
      <c r="R258" s="283"/>
      <c r="S258" s="283"/>
      <c r="T258" s="283"/>
      <c r="U258" s="283"/>
      <c r="V258" s="284"/>
      <c r="W258" s="37" t="s">
        <v>83</v>
      </c>
      <c r="X258" s="274">
        <f>IFERROR(SUMPRODUCT(X254:X256*H254:H256),"0")</f>
        <v>420</v>
      </c>
      <c r="Y258" s="274">
        <f>IFERROR(SUMPRODUCT(Y254:Y256*H254:H256),"0")</f>
        <v>420</v>
      </c>
      <c r="Z258" s="37"/>
      <c r="AA258" s="275"/>
      <c r="AB258" s="275"/>
      <c r="AC258" s="275"/>
    </row>
    <row r="259" spans="1:68" ht="14.25" customHeight="1" x14ac:dyDescent="0.25">
      <c r="A259" s="293" t="s">
        <v>136</v>
      </c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90"/>
      <c r="Q259" s="290"/>
      <c r="R259" s="290"/>
      <c r="S259" s="290"/>
      <c r="T259" s="290"/>
      <c r="U259" s="290"/>
      <c r="V259" s="290"/>
      <c r="W259" s="290"/>
      <c r="X259" s="290"/>
      <c r="Y259" s="290"/>
      <c r="Z259" s="290"/>
      <c r="AA259" s="268"/>
      <c r="AB259" s="268"/>
      <c r="AC259" s="268"/>
    </row>
    <row r="260" spans="1:68" ht="37.5" customHeight="1" x14ac:dyDescent="0.25">
      <c r="A260" s="54" t="s">
        <v>347</v>
      </c>
      <c r="B260" s="54" t="s">
        <v>348</v>
      </c>
      <c r="C260" s="31">
        <v>4301135504</v>
      </c>
      <c r="D260" s="276">
        <v>4640242181554</v>
      </c>
      <c r="E260" s="277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6">
        <v>4640242181561</v>
      </c>
      <c r="E261" s="277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79"/>
      <c r="R261" s="279"/>
      <c r="S261" s="279"/>
      <c r="T261" s="280"/>
      <c r="U261" s="34"/>
      <c r="V261" s="34"/>
      <c r="W261" s="35" t="s">
        <v>69</v>
      </c>
      <c r="X261" s="272">
        <v>98</v>
      </c>
      <c r="Y261" s="273">
        <f t="shared" si="18"/>
        <v>98</v>
      </c>
      <c r="Z261" s="36">
        <f>IFERROR(IF(X261="","",X261*0.00936),"")</f>
        <v>0.91727999999999998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381.416</v>
      </c>
      <c r="BN261" s="67">
        <f t="shared" si="20"/>
        <v>381.416</v>
      </c>
      <c r="BO261" s="67">
        <f t="shared" si="21"/>
        <v>0.77777777777777779</v>
      </c>
      <c r="BP261" s="67">
        <f t="shared" si="22"/>
        <v>0.77777777777777779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6">
        <v>4640242181424</v>
      </c>
      <c r="E262" s="277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79"/>
      <c r="R262" s="279"/>
      <c r="S262" s="279"/>
      <c r="T262" s="280"/>
      <c r="U262" s="34"/>
      <c r="V262" s="34"/>
      <c r="W262" s="35" t="s">
        <v>69</v>
      </c>
      <c r="X262" s="272">
        <v>0</v>
      </c>
      <c r="Y262" s="273">
        <f t="shared" si="18"/>
        <v>0</v>
      </c>
      <c r="Z262" s="36">
        <f>IFERROR(IF(X262="","",X262*0.0155),"")</f>
        <v>0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6">
        <v>4640242181523</v>
      </c>
      <c r="E263" s="277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79"/>
      <c r="R263" s="279"/>
      <c r="S263" s="279"/>
      <c r="T263" s="280"/>
      <c r="U263" s="34"/>
      <c r="V263" s="34"/>
      <c r="W263" s="35" t="s">
        <v>69</v>
      </c>
      <c r="X263" s="272">
        <v>98</v>
      </c>
      <c r="Y263" s="273">
        <f t="shared" si="18"/>
        <v>98</v>
      </c>
      <c r="Z263" s="36">
        <f t="shared" ref="Z263:Z268" si="23">IFERROR(IF(X263="","",X263*0.00936),"")</f>
        <v>0.91727999999999998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312.81600000000003</v>
      </c>
      <c r="BN263" s="67">
        <f t="shared" si="20"/>
        <v>312.81600000000003</v>
      </c>
      <c r="BO263" s="67">
        <f t="shared" si="21"/>
        <v>0.77777777777777779</v>
      </c>
      <c r="BP263" s="67">
        <f t="shared" si="22"/>
        <v>0.77777777777777779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6">
        <v>4640242181486</v>
      </c>
      <c r="E264" s="277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56</v>
      </c>
      <c r="Y264" s="273">
        <f t="shared" si="18"/>
        <v>56</v>
      </c>
      <c r="Z264" s="36">
        <f t="shared" si="23"/>
        <v>0.52415999999999996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217.952</v>
      </c>
      <c r="BN264" s="67">
        <f t="shared" si="20"/>
        <v>217.952</v>
      </c>
      <c r="BO264" s="67">
        <f t="shared" si="21"/>
        <v>0.44444444444444442</v>
      </c>
      <c r="BP264" s="67">
        <f t="shared" si="22"/>
        <v>0.44444444444444442</v>
      </c>
    </row>
    <row r="265" spans="1:68" ht="37.5" customHeight="1" x14ac:dyDescent="0.25">
      <c r="A265" s="54" t="s">
        <v>359</v>
      </c>
      <c r="B265" s="54" t="s">
        <v>360</v>
      </c>
      <c r="C265" s="31">
        <v>4301135402</v>
      </c>
      <c r="D265" s="276">
        <v>4640242181493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361</v>
      </c>
      <c r="B266" s="54" t="s">
        <v>362</v>
      </c>
      <c r="C266" s="31">
        <v>4301135403</v>
      </c>
      <c r="D266" s="276">
        <v>4640242181509</v>
      </c>
      <c r="E266" s="277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4301135304</v>
      </c>
      <c r="D267" s="276">
        <v>4640242181240</v>
      </c>
      <c r="E267" s="277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365</v>
      </c>
      <c r="B268" s="54" t="s">
        <v>366</v>
      </c>
      <c r="C268" s="31">
        <v>4301135610</v>
      </c>
      <c r="D268" s="276">
        <v>4640242181318</v>
      </c>
      <c r="E268" s="277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367</v>
      </c>
      <c r="B269" s="54" t="s">
        <v>368</v>
      </c>
      <c r="C269" s="31">
        <v>4301135306</v>
      </c>
      <c r="D269" s="276">
        <v>4640242181387</v>
      </c>
      <c r="E269" s="277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2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94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5"/>
      <c r="P270" s="282" t="s">
        <v>82</v>
      </c>
      <c r="Q270" s="283"/>
      <c r="R270" s="283"/>
      <c r="S270" s="283"/>
      <c r="T270" s="283"/>
      <c r="U270" s="283"/>
      <c r="V270" s="284"/>
      <c r="W270" s="37" t="s">
        <v>69</v>
      </c>
      <c r="X270" s="274">
        <f>IFERROR(SUM(X260:X269),"0")</f>
        <v>252</v>
      </c>
      <c r="Y270" s="274">
        <f>IFERROR(SUM(Y260:Y269),"0")</f>
        <v>252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2.3587199999999999</v>
      </c>
      <c r="AA270" s="275"/>
      <c r="AB270" s="275"/>
      <c r="AC270" s="275"/>
    </row>
    <row r="271" spans="1:68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82" t="s">
        <v>82</v>
      </c>
      <c r="Q271" s="283"/>
      <c r="R271" s="283"/>
      <c r="S271" s="283"/>
      <c r="T271" s="283"/>
      <c r="U271" s="283"/>
      <c r="V271" s="284"/>
      <c r="W271" s="37" t="s">
        <v>83</v>
      </c>
      <c r="X271" s="274">
        <f>IFERROR(SUMPRODUCT(X260:X269*H260:H269),"0")</f>
        <v>863.80000000000007</v>
      </c>
      <c r="Y271" s="274">
        <f>IFERROR(SUMPRODUCT(Y260:Y269*H260:H269),"0")</f>
        <v>863.80000000000007</v>
      </c>
      <c r="Z271" s="37"/>
      <c r="AA271" s="275"/>
      <c r="AB271" s="275"/>
      <c r="AC271" s="275"/>
    </row>
    <row r="272" spans="1:68" ht="15" customHeight="1" x14ac:dyDescent="0.2">
      <c r="A272" s="436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373"/>
      <c r="P272" s="321" t="s">
        <v>369</v>
      </c>
      <c r="Q272" s="322"/>
      <c r="R272" s="322"/>
      <c r="S272" s="322"/>
      <c r="T272" s="322"/>
      <c r="U272" s="322"/>
      <c r="V272" s="323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10992.880000000001</v>
      </c>
      <c r="Y272" s="274">
        <f>IFERROR(Y29+Y35+Y42+Y49+Y57+Y62+Y66+Y71+Y77+Y83+Y88+Y94+Y105+Y111+Y123+Y128+Y132+Y138+Y144+Y150+Y155+Y160+Y165+Y170+Y177+Y185+Y189+Y195+Y203+Y208+Y213+Y218+Y224+Y230+Y236+Y240+Y247+Y252+Y258+Y271,"0")</f>
        <v>10992.880000000001</v>
      </c>
      <c r="Z272" s="37"/>
      <c r="AA272" s="275"/>
      <c r="AB272" s="275"/>
      <c r="AC272" s="275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373"/>
      <c r="P273" s="321" t="s">
        <v>370</v>
      </c>
      <c r="Q273" s="322"/>
      <c r="R273" s="322"/>
      <c r="S273" s="322"/>
      <c r="T273" s="322"/>
      <c r="U273" s="322"/>
      <c r="V273" s="323"/>
      <c r="W273" s="37" t="s">
        <v>83</v>
      </c>
      <c r="X273" s="274">
        <f>IFERROR(SUM(BM22:BM269),"0")</f>
        <v>12157.9092</v>
      </c>
      <c r="Y273" s="274">
        <f>IFERROR(SUM(BN22:BN269),"0")</f>
        <v>12157.9092</v>
      </c>
      <c r="Z273" s="37"/>
      <c r="AA273" s="275"/>
      <c r="AB273" s="275"/>
      <c r="AC273" s="275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373"/>
      <c r="P274" s="321" t="s">
        <v>371</v>
      </c>
      <c r="Q274" s="322"/>
      <c r="R274" s="322"/>
      <c r="S274" s="322"/>
      <c r="T274" s="322"/>
      <c r="U274" s="322"/>
      <c r="V274" s="323"/>
      <c r="W274" s="37" t="s">
        <v>372</v>
      </c>
      <c r="X274" s="38">
        <f>ROUNDUP(SUM(BO22:BO269),0)</f>
        <v>32</v>
      </c>
      <c r="Y274" s="38">
        <f>ROUNDUP(SUM(BP22:BP269),0)</f>
        <v>32</v>
      </c>
      <c r="Z274" s="37"/>
      <c r="AA274" s="275"/>
      <c r="AB274" s="275"/>
      <c r="AC274" s="275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373"/>
      <c r="P275" s="321" t="s">
        <v>373</v>
      </c>
      <c r="Q275" s="322"/>
      <c r="R275" s="322"/>
      <c r="S275" s="322"/>
      <c r="T275" s="322"/>
      <c r="U275" s="322"/>
      <c r="V275" s="323"/>
      <c r="W275" s="37" t="s">
        <v>83</v>
      </c>
      <c r="X275" s="274">
        <f>GrossWeightTotal+PalletQtyTotal*25</f>
        <v>12957.9092</v>
      </c>
      <c r="Y275" s="274">
        <f>GrossWeightTotalR+PalletQtyTotalR*25</f>
        <v>12957.9092</v>
      </c>
      <c r="Z275" s="37"/>
      <c r="AA275" s="275"/>
      <c r="AB275" s="275"/>
      <c r="AC275" s="275"/>
    </row>
    <row r="276" spans="1:32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373"/>
      <c r="P276" s="321" t="s">
        <v>374</v>
      </c>
      <c r="Q276" s="322"/>
      <c r="R276" s="322"/>
      <c r="S276" s="322"/>
      <c r="T276" s="322"/>
      <c r="U276" s="322"/>
      <c r="V276" s="323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2712</v>
      </c>
      <c r="Y276" s="274">
        <f>IFERROR(Y28+Y34+Y41+Y48+Y56+Y61+Y65+Y70+Y76+Y82+Y87+Y93+Y104+Y110+Y122+Y127+Y131+Y137+Y143+Y149+Y154+Y159+Y164+Y169+Y176+Y184+Y188+Y194+Y202+Y207+Y212+Y217+Y223+Y229+Y235+Y239+Y246+Y251+Y257+Y270,"0")</f>
        <v>2712</v>
      </c>
      <c r="Z276" s="37"/>
      <c r="AA276" s="275"/>
      <c r="AB276" s="275"/>
      <c r="AC276" s="275"/>
    </row>
    <row r="277" spans="1:32" ht="14.25" customHeight="1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373"/>
      <c r="P277" s="321" t="s">
        <v>375</v>
      </c>
      <c r="Q277" s="322"/>
      <c r="R277" s="322"/>
      <c r="S277" s="322"/>
      <c r="T277" s="322"/>
      <c r="U277" s="322"/>
      <c r="V277" s="323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39.773479999999992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291" t="s">
        <v>62</v>
      </c>
      <c r="C279" s="329"/>
      <c r="D279" s="291" t="s">
        <v>90</v>
      </c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9"/>
      <c r="V279" s="269" t="s">
        <v>253</v>
      </c>
      <c r="W279" s="269" t="s">
        <v>261</v>
      </c>
      <c r="X279" s="291" t="s">
        <v>280</v>
      </c>
      <c r="Y279" s="328"/>
      <c r="Z279" s="329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81" t="s">
        <v>378</v>
      </c>
      <c r="B280" s="291" t="s">
        <v>62</v>
      </c>
      <c r="C280" s="291" t="s">
        <v>84</v>
      </c>
      <c r="D280" s="291" t="s">
        <v>91</v>
      </c>
      <c r="E280" s="291" t="s">
        <v>102</v>
      </c>
      <c r="F280" s="291" t="s">
        <v>112</v>
      </c>
      <c r="G280" s="291" t="s">
        <v>123</v>
      </c>
      <c r="H280" s="291" t="s">
        <v>144</v>
      </c>
      <c r="I280" s="291" t="s">
        <v>151</v>
      </c>
      <c r="J280" s="291" t="s">
        <v>155</v>
      </c>
      <c r="K280" s="291" t="s">
        <v>163</v>
      </c>
      <c r="L280" s="291" t="s">
        <v>179</v>
      </c>
      <c r="M280" s="291" t="s">
        <v>185</v>
      </c>
      <c r="N280" s="270"/>
      <c r="O280" s="291" t="s">
        <v>217</v>
      </c>
      <c r="P280" s="291" t="s">
        <v>225</v>
      </c>
      <c r="Q280" s="291" t="s">
        <v>232</v>
      </c>
      <c r="R280" s="291" t="s">
        <v>237</v>
      </c>
      <c r="S280" s="291" t="s">
        <v>241</v>
      </c>
      <c r="T280" s="291" t="s">
        <v>244</v>
      </c>
      <c r="U280" s="291" t="s">
        <v>249</v>
      </c>
      <c r="V280" s="291" t="s">
        <v>254</v>
      </c>
      <c r="W280" s="291" t="s">
        <v>262</v>
      </c>
      <c r="X280" s="291" t="s">
        <v>281</v>
      </c>
      <c r="Y280" s="291" t="s">
        <v>299</v>
      </c>
      <c r="Z280" s="291" t="s">
        <v>303</v>
      </c>
      <c r="AA280" s="291" t="s">
        <v>313</v>
      </c>
      <c r="AB280" s="291" t="s">
        <v>318</v>
      </c>
      <c r="AC280" s="291" t="s">
        <v>322</v>
      </c>
      <c r="AD280" s="291" t="s">
        <v>329</v>
      </c>
      <c r="AF280" s="270"/>
    </row>
    <row r="281" spans="1:32" ht="13.5" customHeight="1" thickBot="1" x14ac:dyDescent="0.25">
      <c r="A281" s="38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70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86.4</v>
      </c>
      <c r="C282" s="46">
        <f>IFERROR(X32*H32,"0")+IFERROR(X33*H33,"0")</f>
        <v>0</v>
      </c>
      <c r="D282" s="46">
        <f>IFERROR(X39*H39,"0")+IFERROR(X40*H40,"0")</f>
        <v>357</v>
      </c>
      <c r="E282" s="46">
        <f>IFERROR(X45*H45,"0")+IFERROR(X46*H46,"0")+IFERROR(X47*H47,"0")</f>
        <v>403.2</v>
      </c>
      <c r="F282" s="46">
        <f>IFERROR(X52*H52,"0")+IFERROR(X53*H53,"0")+IFERROR(X54*H54,"0")+IFERROR(X55*H55,"0")</f>
        <v>1092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840</v>
      </c>
      <c r="I282" s="46">
        <f>IFERROR(X86*H86,"0")</f>
        <v>50.4</v>
      </c>
      <c r="J282" s="46">
        <f>IFERROR(X91*H91,"0")+IFERROR(X92*H92,"0")</f>
        <v>0</v>
      </c>
      <c r="K282" s="46">
        <f>IFERROR(X97*H97,"0")+IFERROR(X98*H98,"0")+IFERROR(X99*H99,"0")+IFERROR(X100*H100,"0")+IFERROR(X101*H101,"0")+IFERROR(X102*H102,"0")+IFERROR(X103*H103,"0")</f>
        <v>1066.8</v>
      </c>
      <c r="L282" s="46">
        <f>IFERROR(X108*H108,"0")+IFERROR(X109*H109,"0")</f>
        <v>312.48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2316</v>
      </c>
      <c r="N282" s="270"/>
      <c r="O282" s="46">
        <f>IFERROR(X135*H135,"0")+IFERROR(X136*H136,"0")</f>
        <v>1344</v>
      </c>
      <c r="P282" s="46">
        <f>IFERROR(X141*H141,"0")+IFERROR(X142*H142,"0")</f>
        <v>0</v>
      </c>
      <c r="Q282" s="46">
        <f>IFERROR(X147*H147,"0")+IFERROR(X148*H148,"0")</f>
        <v>268.8</v>
      </c>
      <c r="R282" s="46">
        <f>IFERROR(X153*H153,"0")</f>
        <v>126</v>
      </c>
      <c r="S282" s="46">
        <f>IFERROR(X158*H158,"0")</f>
        <v>0</v>
      </c>
      <c r="T282" s="46">
        <f>IFERROR(X163*H163,"0")</f>
        <v>48</v>
      </c>
      <c r="U282" s="46">
        <f>IFERROR(X168*H168,"0")</f>
        <v>0</v>
      </c>
      <c r="V282" s="46">
        <f>IFERROR(X174*H174,"0")+IFERROR(X175*H175,"0")</f>
        <v>360</v>
      </c>
      <c r="W282" s="46">
        <f>IFERROR(X181*H181,"0")+IFERROR(X182*H182,"0")+IFERROR(X183*H183,"0")+IFERROR(X187*H187,"0")</f>
        <v>210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240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1871.8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5421.6</v>
      </c>
      <c r="B285" s="60">
        <f>SUMPRODUCT(--(BB:BB="ПГП"),--(W:W="кор"),H:H,Y:Y)+SUMPRODUCT(--(BB:BB="ПГП"),--(W:W="кг"),Y:Y)</f>
        <v>5571.28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O17:O18"/>
    <mergeCell ref="P131:V131"/>
    <mergeCell ref="P258:V258"/>
    <mergeCell ref="A248:Z248"/>
    <mergeCell ref="P223:V223"/>
    <mergeCell ref="P102:T102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Y17:Y18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F280:F281"/>
    <mergeCell ref="P256:T25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236:V236"/>
    <mergeCell ref="Q280:Q281"/>
    <mergeCell ref="P80:T80"/>
    <mergeCell ref="Z17:Z18"/>
    <mergeCell ref="P29:V29"/>
    <mergeCell ref="P271:V271"/>
    <mergeCell ref="P94:V94"/>
    <mergeCell ref="A90:Z90"/>
    <mergeCell ref="D279:U279"/>
    <mergeCell ref="P269:T269"/>
    <mergeCell ref="P280:P281"/>
    <mergeCell ref="Y280:Y281"/>
    <mergeCell ref="A227:Z227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A6:C6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P15:T16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P265:T265"/>
    <mergeCell ref="D8:M8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116:T116"/>
    <mergeCell ref="P32:T32"/>
    <mergeCell ref="P103:T103"/>
    <mergeCell ref="P268:T268"/>
    <mergeCell ref="P97:T97"/>
    <mergeCell ref="D211:E211"/>
    <mergeCell ref="P168:T168"/>
    <mergeCell ref="D141:E141"/>
    <mergeCell ref="A48:O49"/>
    <mergeCell ref="P176:V176"/>
    <mergeCell ref="D135:E135"/>
    <mergeCell ref="A246:O247"/>
    <mergeCell ref="A151:Z151"/>
    <mergeCell ref="P234:T234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D81:E81"/>
    <mergeCell ref="P203:V203"/>
    <mergeCell ref="D182:E182"/>
    <mergeCell ref="A14:M14"/>
    <mergeCell ref="D109:E109"/>
    <mergeCell ref="P163:T163"/>
    <mergeCell ref="P213:V213"/>
    <mergeCell ref="A186:Z186"/>
    <mergeCell ref="P165:V165"/>
    <mergeCell ref="A9:C9"/>
    <mergeCell ref="D215:E215"/>
    <mergeCell ref="P194:V194"/>
    <mergeCell ref="A233:Z233"/>
    <mergeCell ref="M17:M18"/>
    <mergeCell ref="L280:L281"/>
    <mergeCell ref="A205:Z205"/>
    <mergeCell ref="D263:E263"/>
    <mergeCell ref="A70:O71"/>
    <mergeCell ref="D238:E238"/>
    <mergeCell ref="P86:T86"/>
    <mergeCell ref="P249:T249"/>
    <mergeCell ref="A87:O88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35:V235"/>
    <mergeCell ref="P207:V207"/>
    <mergeCell ref="P81:T81"/>
    <mergeCell ref="V10:W10"/>
    <mergeCell ref="A124:Z124"/>
    <mergeCell ref="D60:E60"/>
    <mergeCell ref="P244:T244"/>
    <mergeCell ref="P73:T73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W17:W18"/>
    <mergeCell ref="P217:V21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2025-12-12T09:10:20Z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