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671A56F-6FEA-4BE8-8A91-0B5E324388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Y24" i="1" l="1"/>
  <c r="Y32" i="1"/>
  <c r="Y44" i="1"/>
  <c r="Y59" i="1"/>
  <c r="Y65" i="1"/>
  <c r="Y70" i="1"/>
  <c r="BP74" i="1"/>
  <c r="BN74" i="1"/>
  <c r="Z74" i="1"/>
  <c r="Z77" i="1" s="1"/>
  <c r="Z89" i="1"/>
  <c r="BP87" i="1"/>
  <c r="BN87" i="1"/>
  <c r="Z87" i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9" i="1" l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496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<sst xmlns="http://schemas.openxmlformats.org/spreadsheetml/2006/main" count="2352" uniqueCount="768">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</sst>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250</v>
      </c>
      <c r="Y53" s="546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23.148148148148145</v>
      </c>
      <c r="Y58" s="547">
        <f>IFERROR(Y52/H52,"0")+IFERROR(Y53/H53,"0")+IFERROR(Y54/H54,"0")+IFERROR(Y55/H55,"0")+IFERROR(Y56/H56,"0")+IFERROR(Y57/H57,"0")</f>
        <v>24.000000000000004</v>
      </c>
      <c r="Z58" s="547">
        <f>IFERROR(IF(Z52="",0,Z52),"0")+IFERROR(IF(Z53="",0,Z53),"0")+IFERROR(IF(Z54="",0,Z54),"0")+IFERROR(IF(Z55="",0,Z55),"0")+IFERROR(IF(Z56="",0,Z56),"0")+IFERROR(IF(Z57="",0,Z57),"0")</f>
        <v>0.45552000000000004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250</v>
      </c>
      <c r="Y59" s="547">
        <f>IFERROR(SUM(Y52:Y57),"0")</f>
        <v>259.20000000000005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100</v>
      </c>
      <c r="Y92" s="54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600</v>
      </c>
      <c r="Y94" s="546">
        <f>IFERROR(IF(X94="",0,CEILING((X94/$H94),1)*$H94),"")</f>
        <v>602.1</v>
      </c>
      <c r="Z94" s="36">
        <f>IFERROR(IF(Y94=0,"",ROUNDUP(Y94/H94,0)*0.00651),"")</f>
        <v>1.45173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656</v>
      </c>
      <c r="BN94" s="64">
        <f>IFERROR(Y94*I94/H94,"0")</f>
        <v>658.29599999999994</v>
      </c>
      <c r="BO94" s="64">
        <f>IFERROR(1/J94*(X94/H94),"0")</f>
        <v>1.2210012210012209</v>
      </c>
      <c r="BP94" s="64">
        <f>IFERROR(1/J94*(Y94/H94),"0")</f>
        <v>1.2252747252747254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100</v>
      </c>
      <c r="Y95" s="546">
        <f>IFERROR(IF(X95="",0,CEILING((X95/$H95),1)*$H95),"")</f>
        <v>100.98</v>
      </c>
      <c r="Z95" s="36">
        <f>IFERROR(IF(Y95=0,"",ROUNDUP(Y95/H95,0)*0.00651),"")</f>
        <v>0.33201000000000003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113.03030303030303</v>
      </c>
      <c r="BN95" s="64">
        <f>IFERROR(Y95*I95/H95,"0")</f>
        <v>114.13800000000001</v>
      </c>
      <c r="BO95" s="64">
        <f>IFERROR(1/J95*(X95/H95),"0")</f>
        <v>0.2775002775002775</v>
      </c>
      <c r="BP95" s="64">
        <f>IFERROR(1/J95*(Y95/H95),"0")</f>
        <v>0.28021978021978022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285.07295173961836</v>
      </c>
      <c r="Y96" s="547">
        <f>IFERROR(Y92/H92,"0")+IFERROR(Y93/H93,"0")+IFERROR(Y94/H94,"0")+IFERROR(Y95/H95,"0")</f>
        <v>287</v>
      </c>
      <c r="Z96" s="547">
        <f>IFERROR(IF(Z92="",0,Z92),"0")+IFERROR(IF(Z93="",0,Z93),"0")+IFERROR(IF(Z94="",0,Z94),"0")+IFERROR(IF(Z95="",0,Z95),"0")</f>
        <v>2.0304799999999998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800</v>
      </c>
      <c r="Y97" s="547">
        <f>IFERROR(SUM(Y92:Y95),"0")</f>
        <v>808.38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100</v>
      </c>
      <c r="Y101" s="546">
        <f>IFERROR(IF(X101="",0,CEILING((X101/$H101),1)*$H101),"")</f>
        <v>101.25</v>
      </c>
      <c r="Z101" s="36">
        <f>IFERROR(IF(Y101=0,"",ROUNDUP(Y101/H101,0)*0.00902),"")</f>
        <v>0.24354000000000001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105.06666666666666</v>
      </c>
      <c r="BN101" s="64">
        <f>IFERROR(Y101*I101/H101,"0")</f>
        <v>106.38000000000001</v>
      </c>
      <c r="BO101" s="64">
        <f>IFERROR(1/J101*(X101/H101),"0")</f>
        <v>0.20202020202020204</v>
      </c>
      <c r="BP101" s="64">
        <f>IFERROR(1/J101*(Y101/H101),"0")</f>
        <v>0.20454545454545456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26.666666666666668</v>
      </c>
      <c r="Y104" s="547">
        <f>IFERROR(Y100/H100,"0")+IFERROR(Y101/H101,"0")+IFERROR(Y102/H102,"0")+IFERROR(Y103/H103,"0")</f>
        <v>27</v>
      </c>
      <c r="Z104" s="547">
        <f>IFERROR(IF(Z100="",0,Z100),"0")+IFERROR(IF(Z101="",0,Z101),"0")+IFERROR(IF(Z102="",0,Z102),"0")+IFERROR(IF(Z103="",0,Z103),"0")</f>
        <v>0.24354000000000001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100</v>
      </c>
      <c r="Y105" s="547">
        <f>IFERROR(SUM(Y100:Y103),"0")</f>
        <v>101.25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50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51.898148148148145</v>
      </c>
      <c r="BN107" s="64">
        <f>IFERROR(Y107*I107/H107,"0")</f>
        <v>56.05</v>
      </c>
      <c r="BO107" s="64">
        <f>IFERROR(1/J107*(X107/H107),"0")</f>
        <v>7.2337962962962965E-2</v>
      </c>
      <c r="BP107" s="64">
        <f>IFERROR(1/J107*(Y107/H107),"0")</f>
        <v>7.8125E-2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4.6296296296296298</v>
      </c>
      <c r="Y110" s="547">
        <f>IFERROR(Y107/H107,"0")+IFERROR(Y108/H108,"0")+IFERROR(Y109/H109,"0")</f>
        <v>5</v>
      </c>
      <c r="Z110" s="547">
        <f>IFERROR(IF(Z107="",0,Z107),"0")+IFERROR(IF(Z108="",0,Z108),"0")+IFERROR(IF(Z109="",0,Z109),"0")</f>
        <v>9.4899999999999998E-2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50</v>
      </c>
      <c r="Y111" s="547">
        <f>IFERROR(SUM(Y107:Y109),"0")</f>
        <v>54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400</v>
      </c>
      <c r="Y113" s="546">
        <f>IFERROR(IF(X113="",0,CEILING((X113/$H113),1)*$H113),"")</f>
        <v>405</v>
      </c>
      <c r="Z113" s="36">
        <f>IFERROR(IF(Y113=0,"",ROUNDUP(Y113/H113,0)*0.01898),"")</f>
        <v>0.94900000000000007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424.09876543209879</v>
      </c>
      <c r="BN113" s="64">
        <f>IFERROR(Y113*I113/H113,"0")</f>
        <v>429.4</v>
      </c>
      <c r="BO113" s="64">
        <f>IFERROR(1/J113*(X113/H113),"0")</f>
        <v>0.77160493827160492</v>
      </c>
      <c r="BP113" s="64">
        <f>IFERROR(1/J113*(Y113/H113),"0")</f>
        <v>0.78125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400</v>
      </c>
      <c r="Y115" s="546">
        <f>IFERROR(IF(X115="",0,CEILING((X115/$H115),1)*$H115),"")</f>
        <v>402.3</v>
      </c>
      <c r="Z115" s="36">
        <f>IFERROR(IF(Y115=0,"",ROUNDUP(Y115/H115,0)*0.00651),"")</f>
        <v>0.96999000000000002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437.33333333333331</v>
      </c>
      <c r="BN115" s="64">
        <f>IFERROR(Y115*I115/H115,"0")</f>
        <v>439.84799999999996</v>
      </c>
      <c r="BO115" s="64">
        <f>IFERROR(1/J115*(X115/H115),"0")</f>
        <v>0.81400081400081403</v>
      </c>
      <c r="BP115" s="64">
        <f>IFERROR(1/J115*(Y115/H115),"0")</f>
        <v>0.81868131868131877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197.53086419753086</v>
      </c>
      <c r="Y117" s="547">
        <f>IFERROR(Y113/H113,"0")+IFERROR(Y114/H114,"0")+IFERROR(Y115/H115,"0")+IFERROR(Y116/H116,"0")</f>
        <v>199</v>
      </c>
      <c r="Z117" s="547">
        <f>IFERROR(IF(Z113="",0,Z113),"0")+IFERROR(IF(Z114="",0,Z114),"0")+IFERROR(IF(Z115="",0,Z115),"0")+IFERROR(IF(Z116="",0,Z116),"0")</f>
        <v>1.91899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800</v>
      </c>
      <c r="Y118" s="547">
        <f>IFERROR(SUM(Y113:Y116),"0")</f>
        <v>807.3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300</v>
      </c>
      <c r="Y126" s="546">
        <f>IFERROR(IF(X126="",0,CEILING((X126/$H126),1)*$H126),"")</f>
        <v>300.8</v>
      </c>
      <c r="Z126" s="36">
        <f>IFERROR(IF(Y126=0,"",ROUNDUP(Y126/H126,0)*0.00651),"")</f>
        <v>0.61194000000000004</v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316.875</v>
      </c>
      <c r="BN126" s="64">
        <f>IFERROR(Y126*I126/H126,"0")</f>
        <v>317.71999999999997</v>
      </c>
      <c r="BO126" s="64">
        <f>IFERROR(1/J126*(X126/H126),"0")</f>
        <v>0.51510989010989017</v>
      </c>
      <c r="BP126" s="64">
        <f>IFERROR(1/J126*(Y126/H126),"0")</f>
        <v>0.51648351648351654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93.75</v>
      </c>
      <c r="Y127" s="547">
        <f>IFERROR(Y125/H125,"0")+IFERROR(Y126/H126,"0")</f>
        <v>94</v>
      </c>
      <c r="Z127" s="547">
        <f>IFERROR(IF(Z125="",0,Z125),"0")+IFERROR(IF(Z126="",0,Z126),"0")</f>
        <v>0.61194000000000004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300</v>
      </c>
      <c r="Y128" s="547">
        <f>IFERROR(SUM(Y125:Y126),"0")</f>
        <v>300.8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300</v>
      </c>
      <c r="Y131" s="546">
        <f>IFERROR(IF(X131="",0,CEILING((X131/$H131),1)*$H131),"")</f>
        <v>302.39999999999998</v>
      </c>
      <c r="Z131" s="36">
        <f>IFERROR(IF(Y131=0,"",ROUNDUP(Y131/H131,0)*0.00651),"")</f>
        <v>0.70308000000000004</v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328.71428571428572</v>
      </c>
      <c r="BN131" s="64">
        <f>IFERROR(Y131*I131/H131,"0")</f>
        <v>331.34399999999999</v>
      </c>
      <c r="BO131" s="64">
        <f>IFERROR(1/J131*(X131/H131),"0")</f>
        <v>0.58869701726844592</v>
      </c>
      <c r="BP131" s="64">
        <f>IFERROR(1/J131*(Y131/H131),"0")</f>
        <v>0.59340659340659341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107.14285714285715</v>
      </c>
      <c r="Y132" s="547">
        <f>IFERROR(Y130/H130,"0")+IFERROR(Y131/H131,"0")</f>
        <v>108</v>
      </c>
      <c r="Z132" s="547">
        <f>IFERROR(IF(Z130="",0,Z130),"0")+IFERROR(IF(Z131="",0,Z131),"0")</f>
        <v>0.70308000000000004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300</v>
      </c>
      <c r="Y133" s="547">
        <f>IFERROR(SUM(Y130:Y131),"0")</f>
        <v>302.39999999999998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150</v>
      </c>
      <c r="Y196" s="546">
        <f t="shared" ref="Y196:Y203" si="10">IFERROR(IF(X196="",0,CEILING((X196/$H196),1)*$H196),"")</f>
        <v>151.20000000000002</v>
      </c>
      <c r="Z196" s="36">
        <f>IFERROR(IF(Y196=0,"",ROUNDUP(Y196/H196,0)*0.00902),"")</f>
        <v>0.25256000000000001</v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155.27777777777777</v>
      </c>
      <c r="BN196" s="64">
        <f t="shared" ref="BN196:BN203" si="12">IFERROR(Y196*I196/H196,"0")</f>
        <v>156.52000000000001</v>
      </c>
      <c r="BO196" s="64">
        <f t="shared" ref="BO196:BO203" si="13">IFERROR(1/J196*(X196/H196),"0")</f>
        <v>0.21043771043771042</v>
      </c>
      <c r="BP196" s="64">
        <f t="shared" ref="BP196:BP203" si="14">IFERROR(1/J196*(Y196/H196),"0")</f>
        <v>0.21212121212121213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150</v>
      </c>
      <c r="Y197" s="546">
        <f t="shared" si="10"/>
        <v>151.20000000000002</v>
      </c>
      <c r="Z197" s="36">
        <f>IFERROR(IF(Y197=0,"",ROUNDUP(Y197/H197,0)*0.00902),"")</f>
        <v>0.25256000000000001</v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155.27777777777777</v>
      </c>
      <c r="BN197" s="64">
        <f t="shared" si="12"/>
        <v>156.52000000000001</v>
      </c>
      <c r="BO197" s="64">
        <f t="shared" si="13"/>
        <v>0.21043771043771042</v>
      </c>
      <c r="BP197" s="64">
        <f t="shared" si="14"/>
        <v>0.21212121212121213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300</v>
      </c>
      <c r="Y198" s="546">
        <f t="shared" si="10"/>
        <v>302.40000000000003</v>
      </c>
      <c r="Z198" s="36">
        <f>IFERROR(IF(Y198=0,"",ROUNDUP(Y198/H198,0)*0.00902),"")</f>
        <v>0.50512000000000001</v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310.55555555555554</v>
      </c>
      <c r="BN198" s="64">
        <f t="shared" si="12"/>
        <v>313.04000000000002</v>
      </c>
      <c r="BO198" s="64">
        <f t="shared" si="13"/>
        <v>0.42087542087542085</v>
      </c>
      <c r="BP198" s="64">
        <f t="shared" si="14"/>
        <v>0.42424242424242425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100</v>
      </c>
      <c r="Y199" s="546">
        <f t="shared" si="10"/>
        <v>102.60000000000001</v>
      </c>
      <c r="Z199" s="36">
        <f>IFERROR(IF(Y199=0,"",ROUNDUP(Y199/H199,0)*0.00902),"")</f>
        <v>0.17138</v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103.5185185185185</v>
      </c>
      <c r="BN199" s="64">
        <f t="shared" si="12"/>
        <v>106.21</v>
      </c>
      <c r="BO199" s="64">
        <f t="shared" si="13"/>
        <v>0.14029180695847362</v>
      </c>
      <c r="BP199" s="64">
        <f t="shared" si="14"/>
        <v>0.14393939393939395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129.62962962962962</v>
      </c>
      <c r="Y204" s="547">
        <f>IFERROR(Y196/H196,"0")+IFERROR(Y197/H197,"0")+IFERROR(Y198/H198,"0")+IFERROR(Y199/H199,"0")+IFERROR(Y200/H200,"0")+IFERROR(Y201/H201,"0")+IFERROR(Y202/H202,"0")+IFERROR(Y203/H203,"0")</f>
        <v>131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1.1816200000000001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700</v>
      </c>
      <c r="Y205" s="547">
        <f>IFERROR(SUM(Y196:Y203),"0")</f>
        <v>707.40000000000009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100</v>
      </c>
      <c r="Y207" s="546">
        <f t="shared" ref="Y207:Y215" si="15">IFERROR(IF(X207="",0,CEILING((X207/$H207),1)*$H207),"")</f>
        <v>105.3</v>
      </c>
      <c r="Z207" s="36">
        <f>IFERROR(IF(Y207=0,"",ROUNDUP(Y207/H207,0)*0.01898),"")</f>
        <v>0.24674000000000001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106.09876543209877</v>
      </c>
      <c r="BN207" s="64">
        <f t="shared" ref="BN207:BN215" si="17">IFERROR(Y207*I207/H207,"0")</f>
        <v>111.72199999999999</v>
      </c>
      <c r="BO207" s="64">
        <f t="shared" ref="BO207:BO215" si="18">IFERROR(1/J207*(X207/H207),"0")</f>
        <v>0.19290123456790123</v>
      </c>
      <c r="BP207" s="64">
        <f t="shared" ref="BP207:BP215" si="19">IFERROR(1/J207*(Y207/H207),"0")</f>
        <v>0.203125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120</v>
      </c>
      <c r="Y209" s="546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500</v>
      </c>
      <c r="Y212" s="546">
        <f t="shared" si="15"/>
        <v>501.59999999999997</v>
      </c>
      <c r="Z212" s="36">
        <f t="shared" si="20"/>
        <v>1.36059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552.5</v>
      </c>
      <c r="BN212" s="64">
        <f t="shared" si="17"/>
        <v>554.26800000000003</v>
      </c>
      <c r="BO212" s="64">
        <f t="shared" si="18"/>
        <v>1.1446886446886448</v>
      </c>
      <c r="BP212" s="64">
        <f t="shared" si="19"/>
        <v>1.1483516483516485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500</v>
      </c>
      <c r="Y213" s="546">
        <f t="shared" si="15"/>
        <v>501.59999999999997</v>
      </c>
      <c r="Z213" s="36">
        <f t="shared" si="20"/>
        <v>1.36059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552.5</v>
      </c>
      <c r="BN213" s="64">
        <f t="shared" si="17"/>
        <v>554.26800000000003</v>
      </c>
      <c r="BO213" s="64">
        <f t="shared" si="18"/>
        <v>1.1446886446886448</v>
      </c>
      <c r="BP213" s="64">
        <f t="shared" si="19"/>
        <v>1.1483516483516485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100</v>
      </c>
      <c r="Y214" s="546">
        <f t="shared" si="15"/>
        <v>100.8</v>
      </c>
      <c r="Z214" s="36">
        <f t="shared" si="20"/>
        <v>0.27342</v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110.5</v>
      </c>
      <c r="BN214" s="64">
        <f t="shared" si="17"/>
        <v>111.384</v>
      </c>
      <c r="BO214" s="64">
        <f t="shared" si="18"/>
        <v>0.22893772893772898</v>
      </c>
      <c r="BP214" s="64">
        <f t="shared" si="19"/>
        <v>0.23076923076923078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100</v>
      </c>
      <c r="Y215" s="546">
        <f t="shared" si="15"/>
        <v>100.8</v>
      </c>
      <c r="Z215" s="36">
        <f t="shared" si="20"/>
        <v>0.27342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110.75000000000001</v>
      </c>
      <c r="BN215" s="64">
        <f t="shared" si="17"/>
        <v>111.63600000000001</v>
      </c>
      <c r="BO215" s="64">
        <f t="shared" si="18"/>
        <v>0.22893772893772898</v>
      </c>
      <c r="BP215" s="64">
        <f t="shared" si="19"/>
        <v>0.23076923076923078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526.13878246062154</v>
      </c>
      <c r="Y216" s="547">
        <f>IFERROR(Y207/H207,"0")+IFERROR(Y208/H208,"0")+IFERROR(Y209/H209,"0")+IFERROR(Y210/H210,"0")+IFERROR(Y211/H211,"0")+IFERROR(Y212/H212,"0")+IFERROR(Y213/H213,"0")+IFERROR(Y214/H214,"0")+IFERROR(Y215/H215,"0")</f>
        <v>529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3.7804799999999998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1420</v>
      </c>
      <c r="Y217" s="547">
        <f>IFERROR(SUM(Y207:Y215),"0")</f>
        <v>1431.8999999999999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150</v>
      </c>
      <c r="Y316" s="546">
        <f>IFERROR(IF(X316="",0,CEILING((X316/$H316),1)*$H316),"")</f>
        <v>156</v>
      </c>
      <c r="Z316" s="36">
        <f>IFERROR(IF(Y316=0,"",ROUNDUP(Y316/H316,0)*0.01898),"")</f>
        <v>0.37959999999999999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159.50000000000003</v>
      </c>
      <c r="BN316" s="64">
        <f>IFERROR(Y316*I316/H316,"0")</f>
        <v>165.88</v>
      </c>
      <c r="BO316" s="64">
        <f>IFERROR(1/J316*(X316/H316),"0")</f>
        <v>0.30048076923076922</v>
      </c>
      <c r="BP316" s="64">
        <f>IFERROR(1/J316*(Y316/H316),"0")</f>
        <v>0.3125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19.23076923076923</v>
      </c>
      <c r="Y318" s="547">
        <f>IFERROR(Y315/H315,"0")+IFERROR(Y316/H316,"0")+IFERROR(Y317/H317,"0")</f>
        <v>20</v>
      </c>
      <c r="Z318" s="547">
        <f>IFERROR(IF(Z315="",0,Z315),"0")+IFERROR(IF(Z316="",0,Z316),"0")+IFERROR(IF(Z317="",0,Z317),"0")</f>
        <v>0.37959999999999999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150</v>
      </c>
      <c r="Y319" s="547">
        <f>IFERROR(SUM(Y315:Y317),"0")</f>
        <v>156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200</v>
      </c>
      <c r="Y343" s="546">
        <f t="shared" ref="Y343:Y349" si="36">IFERROR(IF(X343="",0,CEILING((X343/$H343),1)*$H343),"")</f>
        <v>210</v>
      </c>
      <c r="Z343" s="36">
        <f>IFERROR(IF(Y343=0,"",ROUNDUP(Y343/H343,0)*0.02175),"")</f>
        <v>0.30449999999999999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206.26666666666668</v>
      </c>
      <c r="BN343" s="64">
        <f t="shared" ref="BN343:BN349" si="38">IFERROR(Y343*I343/H343,"0")</f>
        <v>216.58</v>
      </c>
      <c r="BO343" s="64">
        <f t="shared" ref="BO343:BO349" si="39">IFERROR(1/J343*(X343/H343),"0")</f>
        <v>0.27777777777777779</v>
      </c>
      <c r="BP343" s="64">
        <f t="shared" ref="BP343:BP349" si="40">IFERROR(1/J343*(Y343/H343),"0")</f>
        <v>0.29166666666666663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13.333333333333334</v>
      </c>
      <c r="Y350" s="547">
        <f>IFERROR(Y343/H343,"0")+IFERROR(Y344/H344,"0")+IFERROR(Y345/H345,"0")+IFERROR(Y346/H346,"0")+IFERROR(Y347/H347,"0")+IFERROR(Y348/H348,"0")+IFERROR(Y349/H349,"0")</f>
        <v>14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200</v>
      </c>
      <c r="Y351" s="547">
        <f>IFERROR(SUM(Y343:Y349),"0")</f>
        <v>210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100</v>
      </c>
      <c r="Y363" s="546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11.111111111111111</v>
      </c>
      <c r="Y364" s="547">
        <f>IFERROR(Y363/H363,"0")</f>
        <v>12</v>
      </c>
      <c r="Z364" s="547">
        <f>IFERROR(IF(Z363="",0,Z363),"0")</f>
        <v>0.22776000000000002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100</v>
      </c>
      <c r="Y365" s="547">
        <f>IFERROR(SUM(Y363:Y363),"0")</f>
        <v>108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200</v>
      </c>
      <c r="Y379" s="546">
        <f>IFERROR(IF(X379="",0,CEILING((X379/$H379),1)*$H379),"")</f>
        <v>201.6</v>
      </c>
      <c r="Z379" s="36">
        <f>IFERROR(IF(Y379=0,"",ROUNDUP(Y379/H379,0)*0.00651),"")</f>
        <v>0.54683999999999999</v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222.00000000000003</v>
      </c>
      <c r="BN379" s="64">
        <f>IFERROR(Y379*I379/H379,"0")</f>
        <v>223.77600000000001</v>
      </c>
      <c r="BO379" s="64">
        <f>IFERROR(1/J379*(X379/H379),"0")</f>
        <v>0.45787545787545797</v>
      </c>
      <c r="BP379" s="64">
        <f>IFERROR(1/J379*(Y379/H379),"0")</f>
        <v>0.46153846153846156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83.333333333333343</v>
      </c>
      <c r="Y381" s="547">
        <f>IFERROR(Y378/H378,"0")+IFERROR(Y379/H379,"0")+IFERROR(Y380/H380,"0")</f>
        <v>84</v>
      </c>
      <c r="Z381" s="547">
        <f>IFERROR(IF(Z378="",0,Z378),"0")+IFERROR(IF(Z379="",0,Z379),"0")+IFERROR(IF(Z380="",0,Z380),"0")</f>
        <v>0.54683999999999999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200</v>
      </c>
      <c r="Y382" s="547">
        <f>IFERROR(SUM(Y378:Y380),"0")</f>
        <v>201.6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5370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5448.2300000000005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5775.653752218408</v>
      </c>
      <c r="Y492" s="547">
        <f>IFERROR(SUM(BN22:BN488),"0")</f>
        <v>5858.3859999999995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6050.653752218408</v>
      </c>
      <c r="Y494" s="547">
        <f>GrossWeightTotalR+PalletQtyTotalR*25</f>
        <v>6133.3859999999995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1520.7180766232489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1534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12.47925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259.20000000000005</v>
      </c>
      <c r="E501" s="46">
        <f>IFERROR(Y86*1,"0")+IFERROR(Y87*1,"0")+IFERROR(Y88*1,"0")+IFERROR(Y92*1,"0")+IFERROR(Y93*1,"0")+IFERROR(Y94*1,"0")+IFERROR(Y95*1,"0")</f>
        <v>808.38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962.55</v>
      </c>
      <c r="G501" s="46">
        <f>IFERROR(Y125*1,"0")+IFERROR(Y126*1,"0")+IFERROR(Y130*1,"0")+IFERROR(Y131*1,"0")+IFERROR(Y135*1,"0")+IFERROR(Y136*1,"0")</f>
        <v>603.20000000000005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2139.2999999999997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156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318</v>
      </c>
      <c r="T501" s="46">
        <f>IFERROR(Y368*1,"0")+IFERROR(Y369*1,"0")+IFERROR(Y373*1,"0")+IFERROR(Y374*1,"0")+IFERROR(Y378*1,"0")+IFERROR(Y379*1,"0")+IFERROR(Y380*1,"0")</f>
        <v>201.6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