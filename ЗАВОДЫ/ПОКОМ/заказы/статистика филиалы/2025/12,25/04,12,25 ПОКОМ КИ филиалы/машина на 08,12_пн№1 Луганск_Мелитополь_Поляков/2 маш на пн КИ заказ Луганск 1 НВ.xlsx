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E9249481-1EBA-405E-ABED-834EB592FFE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Y304" i="1" s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Q500" i="1" s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Y275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8" i="1" s="1"/>
  <c r="P73" i="1"/>
  <c r="X71" i="1"/>
  <c r="X70" i="1"/>
  <c r="BO69" i="1"/>
  <c r="BM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0" i="1" s="1"/>
  <c r="X24" i="1"/>
  <c r="BP23" i="1"/>
  <c r="BO23" i="1"/>
  <c r="BN23" i="1"/>
  <c r="BM23" i="1"/>
  <c r="Z23" i="1"/>
  <c r="Y23" i="1"/>
  <c r="P23" i="1"/>
  <c r="BO22" i="1"/>
  <c r="X492" i="1" s="1"/>
  <c r="BM22" i="1"/>
  <c r="X491" i="1" s="1"/>
  <c r="X493" i="1" s="1"/>
  <c r="Y22" i="1"/>
  <c r="B500" i="1" s="1"/>
  <c r="H10" i="1"/>
  <c r="F10" i="1"/>
  <c r="J9" i="1"/>
  <c r="F9" i="1"/>
  <c r="A9" i="1"/>
  <c r="A10" i="1" s="1"/>
  <c r="D7" i="1"/>
  <c r="Q6" i="1"/>
  <c r="P2" i="1"/>
  <c r="Z188" i="1" l="1"/>
  <c r="Z374" i="1"/>
  <c r="Z58" i="1"/>
  <c r="Y24" i="1"/>
  <c r="Y32" i="1"/>
  <c r="Y44" i="1"/>
  <c r="Y59" i="1"/>
  <c r="Y65" i="1"/>
  <c r="Y71" i="1"/>
  <c r="Y77" i="1"/>
  <c r="Y83" i="1"/>
  <c r="E500" i="1"/>
  <c r="Y90" i="1"/>
  <c r="BP95" i="1"/>
  <c r="BN95" i="1"/>
  <c r="Z95" i="1"/>
  <c r="Y97" i="1"/>
  <c r="F500" i="1"/>
  <c r="Y105" i="1"/>
  <c r="BP100" i="1"/>
  <c r="BN100" i="1"/>
  <c r="Z100" i="1"/>
  <c r="Y104" i="1"/>
  <c r="BP108" i="1"/>
  <c r="BN108" i="1"/>
  <c r="Z108" i="1"/>
  <c r="Z110" i="1" s="1"/>
  <c r="BP116" i="1"/>
  <c r="BN116" i="1"/>
  <c r="Z116" i="1"/>
  <c r="Y118" i="1"/>
  <c r="Y121" i="1"/>
  <c r="BP120" i="1"/>
  <c r="BN120" i="1"/>
  <c r="Z120" i="1"/>
  <c r="Z121" i="1" s="1"/>
  <c r="Y122" i="1"/>
  <c r="G500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Z178" i="1"/>
  <c r="BP176" i="1"/>
  <c r="BN176" i="1"/>
  <c r="Z176" i="1"/>
  <c r="BP197" i="1"/>
  <c r="BN197" i="1"/>
  <c r="Z197" i="1"/>
  <c r="Z204" i="1" s="1"/>
  <c r="BP201" i="1"/>
  <c r="BN201" i="1"/>
  <c r="Z201" i="1"/>
  <c r="BP209" i="1"/>
  <c r="BN209" i="1"/>
  <c r="Z209" i="1"/>
  <c r="BP213" i="1"/>
  <c r="BN213" i="1"/>
  <c r="Z213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93" i="1"/>
  <c r="BN293" i="1"/>
  <c r="Z293" i="1"/>
  <c r="BP321" i="1"/>
  <c r="BN321" i="1"/>
  <c r="Z321" i="1"/>
  <c r="Z324" i="1" s="1"/>
  <c r="Y325" i="1"/>
  <c r="BP329" i="1"/>
  <c r="BN329" i="1"/>
  <c r="Z329" i="1"/>
  <c r="Y331" i="1"/>
  <c r="R500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500" i="1"/>
  <c r="H9" i="1"/>
  <c r="Z22" i="1"/>
  <c r="Z24" i="1" s="1"/>
  <c r="BN22" i="1"/>
  <c r="BP22" i="1"/>
  <c r="X494" i="1"/>
  <c r="Y25" i="1"/>
  <c r="Z28" i="1"/>
  <c r="Z32" i="1" s="1"/>
  <c r="BN28" i="1"/>
  <c r="Z30" i="1"/>
  <c r="BN30" i="1"/>
  <c r="C500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Z67" i="1"/>
  <c r="Z70" i="1" s="1"/>
  <c r="BN67" i="1"/>
  <c r="BP67" i="1"/>
  <c r="Z69" i="1"/>
  <c r="BN69" i="1"/>
  <c r="Z73" i="1"/>
  <c r="BN73" i="1"/>
  <c r="BP73" i="1"/>
  <c r="Z75" i="1"/>
  <c r="BN75" i="1"/>
  <c r="Z81" i="1"/>
  <c r="Z82" i="1" s="1"/>
  <c r="BN81" i="1"/>
  <c r="Z86" i="1"/>
  <c r="Z89" i="1" s="1"/>
  <c r="BN86" i="1"/>
  <c r="BP86" i="1"/>
  <c r="BP87" i="1"/>
  <c r="BN87" i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0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Y221" i="1"/>
  <c r="BN219" i="1"/>
  <c r="Z219" i="1"/>
  <c r="Z221" i="1" s="1"/>
  <c r="BP280" i="1"/>
  <c r="BN280" i="1"/>
  <c r="Z280" i="1"/>
  <c r="Z281" i="1" s="1"/>
  <c r="Y282" i="1"/>
  <c r="Y287" i="1"/>
  <c r="BP284" i="1"/>
  <c r="BN284" i="1"/>
  <c r="Z284" i="1"/>
  <c r="Z286" i="1" s="1"/>
  <c r="Y286" i="1"/>
  <c r="BP301" i="1"/>
  <c r="BN301" i="1"/>
  <c r="Z301" i="1"/>
  <c r="BP309" i="1"/>
  <c r="BN309" i="1"/>
  <c r="Z309" i="1"/>
  <c r="BP373" i="1"/>
  <c r="BN373" i="1"/>
  <c r="Z373" i="1"/>
  <c r="Y375" i="1"/>
  <c r="Y380" i="1"/>
  <c r="BP377" i="1"/>
  <c r="BN377" i="1"/>
  <c r="Z377" i="1"/>
  <c r="Y381" i="1"/>
  <c r="BP387" i="1"/>
  <c r="BN387" i="1"/>
  <c r="Z387" i="1"/>
  <c r="BP391" i="1"/>
  <c r="BN391" i="1"/>
  <c r="Z391" i="1"/>
  <c r="Z411" i="1"/>
  <c r="BP408" i="1"/>
  <c r="BN408" i="1"/>
  <c r="Z408" i="1"/>
  <c r="Y412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H500" i="1"/>
  <c r="Y143" i="1"/>
  <c r="J500" i="1"/>
  <c r="Y188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Z260" i="1" s="1"/>
  <c r="BP259" i="1"/>
  <c r="BN259" i="1"/>
  <c r="Z259" i="1"/>
  <c r="Y261" i="1"/>
  <c r="M500" i="1"/>
  <c r="Y269" i="1"/>
  <c r="BP264" i="1"/>
  <c r="BN264" i="1"/>
  <c r="Z264" i="1"/>
  <c r="Y268" i="1"/>
  <c r="BP273" i="1"/>
  <c r="BN273" i="1"/>
  <c r="Z273" i="1"/>
  <c r="Z275" i="1" s="1"/>
  <c r="BP291" i="1"/>
  <c r="BN291" i="1"/>
  <c r="Z291" i="1"/>
  <c r="Z295" i="1" s="1"/>
  <c r="Y295" i="1"/>
  <c r="BP299" i="1"/>
  <c r="BN299" i="1"/>
  <c r="Z299" i="1"/>
  <c r="Z304" i="1" s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500" i="1"/>
  <c r="Y349" i="1"/>
  <c r="BP342" i="1"/>
  <c r="BN342" i="1"/>
  <c r="Z342" i="1"/>
  <c r="BP346" i="1"/>
  <c r="BN346" i="1"/>
  <c r="Z346" i="1"/>
  <c r="BP358" i="1"/>
  <c r="BN358" i="1"/>
  <c r="Z358" i="1"/>
  <c r="Z359" i="1" s="1"/>
  <c r="L500" i="1"/>
  <c r="K500" i="1"/>
  <c r="Y235" i="1"/>
  <c r="O500" i="1"/>
  <c r="Y276" i="1"/>
  <c r="P500" i="1"/>
  <c r="Y281" i="1"/>
  <c r="Y296" i="1"/>
  <c r="Y359" i="1"/>
  <c r="Y360" i="1"/>
  <c r="Y363" i="1"/>
  <c r="BP362" i="1"/>
  <c r="BN362" i="1"/>
  <c r="Z362" i="1"/>
  <c r="Z363" i="1" s="1"/>
  <c r="Y364" i="1"/>
  <c r="T500" i="1"/>
  <c r="Y370" i="1"/>
  <c r="BP367" i="1"/>
  <c r="BN367" i="1"/>
  <c r="Z367" i="1"/>
  <c r="Z369" i="1" s="1"/>
  <c r="Y374" i="1"/>
  <c r="BP379" i="1"/>
  <c r="BN379" i="1"/>
  <c r="Z379" i="1"/>
  <c r="Y394" i="1"/>
  <c r="BP385" i="1"/>
  <c r="BN385" i="1"/>
  <c r="Z385" i="1"/>
  <c r="Z394" i="1" s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500" i="1"/>
  <c r="Y416" i="1"/>
  <c r="BP415" i="1"/>
  <c r="BN415" i="1"/>
  <c r="Z415" i="1"/>
  <c r="Z416" i="1" s="1"/>
  <c r="Y417" i="1"/>
  <c r="X500" i="1"/>
  <c r="Y433" i="1"/>
  <c r="Y434" i="1"/>
  <c r="BP421" i="1"/>
  <c r="BN421" i="1"/>
  <c r="Z421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V500" i="1"/>
  <c r="Y405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80" i="1" l="1"/>
  <c r="Z216" i="1"/>
  <c r="Z172" i="1"/>
  <c r="Y490" i="1"/>
  <c r="Y492" i="1"/>
  <c r="Z337" i="1"/>
  <c r="Z149" i="1"/>
  <c r="Z439" i="1"/>
  <c r="Z448" i="1"/>
  <c r="Z433" i="1"/>
  <c r="Z349" i="1"/>
  <c r="Z330" i="1"/>
  <c r="Z268" i="1"/>
  <c r="Z77" i="1"/>
  <c r="Z64" i="1"/>
  <c r="Z495" i="1" s="1"/>
  <c r="Y491" i="1"/>
  <c r="Y493" i="1" s="1"/>
  <c r="Z104" i="1"/>
  <c r="Y494" i="1"/>
</calcChain>
</file>

<file path=xl/sharedStrings.xml><?xml version="1.0" encoding="utf-8"?>
<sst xmlns="http://schemas.openxmlformats.org/spreadsheetml/2006/main" count="2261" uniqueCount="765">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</sst>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80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4" t="s">
        <v>0</v>
      </c>
      <c r="E1" s="574"/>
      <c r="F1" s="574"/>
      <c r="G1" s="12" t="s">
        <v>1</v>
      </c>
      <c r="H1" s="62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4" t="s">
        <v>8</v>
      </c>
      <c r="B5" s="645"/>
      <c r="C5" s="646"/>
      <c r="D5" s="629"/>
      <c r="E5" s="630"/>
      <c r="F5" s="835" t="s">
        <v>9</v>
      </c>
      <c r="G5" s="646"/>
      <c r="H5" s="629"/>
      <c r="I5" s="781"/>
      <c r="J5" s="781"/>
      <c r="K5" s="781"/>
      <c r="L5" s="781"/>
      <c r="M5" s="630"/>
      <c r="N5" s="58"/>
      <c r="P5" s="24" t="s">
        <v>10</v>
      </c>
      <c r="Q5" s="848">
        <v>45999</v>
      </c>
      <c r="R5" s="673"/>
      <c r="T5" s="717" t="s">
        <v>11</v>
      </c>
      <c r="U5" s="718"/>
      <c r="V5" s="720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74" t="s">
        <v>13</v>
      </c>
      <c r="B6" s="645"/>
      <c r="C6" s="646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548"/>
      <c r="T6" s="726" t="s">
        <v>16</v>
      </c>
      <c r="U6" s="718"/>
      <c r="V6" s="766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7"/>
      <c r="U7" s="718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2"/>
      <c r="C8" s="563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81">
        <v>0.41666666666666669</v>
      </c>
      <c r="R8" s="606"/>
      <c r="T8" s="557"/>
      <c r="U8" s="718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0"/>
      <c r="E9" s="560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5"/>
      <c r="P9" s="26" t="s">
        <v>21</v>
      </c>
      <c r="Q9" s="670"/>
      <c r="R9" s="671"/>
      <c r="T9" s="557"/>
      <c r="U9" s="718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0"/>
      <c r="E10" s="560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59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6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6"/>
      <c r="N12" s="62"/>
      <c r="P12" s="24" t="s">
        <v>30</v>
      </c>
      <c r="Q12" s="681"/>
      <c r="R12" s="606"/>
      <c r="S12" s="23"/>
      <c r="U12" s="24"/>
      <c r="V12" s="574"/>
      <c r="W12" s="557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6"/>
      <c r="N13" s="62"/>
      <c r="O13" s="26"/>
      <c r="P13" s="26" t="s">
        <v>32</v>
      </c>
      <c r="Q13" s="806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8" t="s">
        <v>34</v>
      </c>
      <c r="B15" s="645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6"/>
      <c r="N15" s="63"/>
      <c r="P15" s="700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687" t="s">
        <v>38</v>
      </c>
      <c r="D17" s="585" t="s">
        <v>39</v>
      </c>
      <c r="E17" s="656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55"/>
      <c r="R17" s="655"/>
      <c r="S17" s="655"/>
      <c r="T17" s="656"/>
      <c r="U17" s="865" t="s">
        <v>51</v>
      </c>
      <c r="V17" s="646"/>
      <c r="W17" s="585" t="s">
        <v>52</v>
      </c>
      <c r="X17" s="585" t="s">
        <v>53</v>
      </c>
      <c r="Y17" s="863" t="s">
        <v>54</v>
      </c>
      <c r="Z17" s="779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57"/>
      <c r="E18" s="659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57"/>
      <c r="Q18" s="658"/>
      <c r="R18" s="658"/>
      <c r="S18" s="658"/>
      <c r="T18" s="659"/>
      <c r="U18" s="67" t="s">
        <v>61</v>
      </c>
      <c r="V18" s="67" t="s">
        <v>62</v>
      </c>
      <c r="W18" s="586"/>
      <c r="X18" s="586"/>
      <c r="Y18" s="864"/>
      <c r="Z18" s="780"/>
      <c r="AA18" s="758"/>
      <c r="AB18" s="758"/>
      <c r="AC18" s="758"/>
      <c r="AD18" s="832"/>
      <c r="AE18" s="833"/>
      <c r="AF18" s="834"/>
      <c r="AG18" s="66"/>
      <c r="BD18" s="65"/>
    </row>
    <row r="19" spans="1:68" ht="27.75" customHeight="1" x14ac:dyDescent="0.2">
      <c r="A19" s="650" t="s">
        <v>63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48"/>
      <c r="AB19" s="48"/>
      <c r="AC19" s="48"/>
    </row>
    <row r="20" spans="1:68" ht="16.5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7">
        <v>4680115887510</v>
      </c>
      <c r="E22" s="548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4" t="s">
        <v>69</v>
      </c>
      <c r="Q22" s="550"/>
      <c r="R22" s="550"/>
      <c r="S22" s="550"/>
      <c r="T22" s="551"/>
      <c r="U22" s="34"/>
      <c r="V22" s="34"/>
      <c r="W22" s="35" t="s">
        <v>70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7">
        <v>4680115886643</v>
      </c>
      <c r="E23" s="548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70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customHeight="1" x14ac:dyDescent="0.25">
      <c r="A26" s="556" t="s">
        <v>78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39"/>
      <c r="AB26" s="539"/>
      <c r="AC26" s="539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7">
        <v>4680115885912</v>
      </c>
      <c r="E27" s="548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70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7">
        <v>4607091388237</v>
      </c>
      <c r="E28" s="548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7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70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7">
        <v>4680115887350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70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7">
        <v>4680115885905</v>
      </c>
      <c r="E30" s="548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70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47">
        <v>4607091388244</v>
      </c>
      <c r="E31" s="548"/>
      <c r="F31" s="542">
        <v>0.42</v>
      </c>
      <c r="G31" s="32">
        <v>6</v>
      </c>
      <c r="H31" s="542">
        <v>2.52</v>
      </c>
      <c r="I31" s="542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70</v>
      </c>
      <c r="X31" s="543">
        <v>0</v>
      </c>
      <c r="Y31" s="5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5">
        <f>IFERROR(X27/H27,"0")+IFERROR(X28/H28,"0")+IFERROR(X29/H29,"0")+IFERROR(X30/H30,"0")+IFERROR(X31/H31,"0")</f>
        <v>0</v>
      </c>
      <c r="Y32" s="545">
        <f>IFERROR(Y27/H27,"0")+IFERROR(Y28/H28,"0")+IFERROR(Y29/H29,"0")+IFERROR(Y30/H30,"0")+IFERROR(Y31/H31,"0")</f>
        <v>0</v>
      </c>
      <c r="Z32" s="545">
        <f>IFERROR(IF(Z27="",0,Z27),"0")+IFERROR(IF(Z28="",0,Z28),"0")+IFERROR(IF(Z29="",0,Z29),"0")+IFERROR(IF(Z30="",0,Z30),"0")+IFERROR(IF(Z31="",0,Z31),"0")</f>
        <v>0</v>
      </c>
      <c r="AA32" s="546"/>
      <c r="AB32" s="546"/>
      <c r="AC32" s="546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5">
        <f>IFERROR(SUM(X27:X31),"0")</f>
        <v>0</v>
      </c>
      <c r="Y33" s="545">
        <f>IFERROR(SUM(Y27:Y31),"0")</f>
        <v>0</v>
      </c>
      <c r="Z33" s="37"/>
      <c r="AA33" s="546"/>
      <c r="AB33" s="546"/>
      <c r="AC33" s="546"/>
    </row>
    <row r="34" spans="1:68" ht="14.25" customHeight="1" x14ac:dyDescent="0.25">
      <c r="A34" s="556" t="s">
        <v>95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39"/>
      <c r="AB34" s="539"/>
      <c r="AC34" s="539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47">
        <v>4607091388503</v>
      </c>
      <c r="E35" s="548"/>
      <c r="F35" s="542">
        <v>0.05</v>
      </c>
      <c r="G35" s="32">
        <v>12</v>
      </c>
      <c r="H35" s="542">
        <v>0.6</v>
      </c>
      <c r="I35" s="542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70</v>
      </c>
      <c r="X35" s="543">
        <v>0</v>
      </c>
      <c r="Y35" s="54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5">
        <f>IFERROR(X35/H35,"0")</f>
        <v>0</v>
      </c>
      <c r="Y36" s="545">
        <f>IFERROR(Y35/H35,"0")</f>
        <v>0</v>
      </c>
      <c r="Z36" s="545">
        <f>IFERROR(IF(Z35="",0,Z35),"0")</f>
        <v>0</v>
      </c>
      <c r="AA36" s="546"/>
      <c r="AB36" s="546"/>
      <c r="AC36" s="546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5">
        <f>IFERROR(SUM(X35:X35),"0")</f>
        <v>0</v>
      </c>
      <c r="Y37" s="545">
        <f>IFERROR(SUM(Y35:Y35),"0")</f>
        <v>0</v>
      </c>
      <c r="Z37" s="37"/>
      <c r="AA37" s="546"/>
      <c r="AB37" s="546"/>
      <c r="AC37" s="546"/>
    </row>
    <row r="38" spans="1:68" ht="27.75" customHeight="1" x14ac:dyDescent="0.2">
      <c r="A38" s="650" t="s">
        <v>101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48"/>
      <c r="AB38" s="48"/>
      <c r="AC38" s="48"/>
    </row>
    <row r="39" spans="1:68" ht="16.5" customHeight="1" x14ac:dyDescent="0.25">
      <c r="A39" s="558" t="s">
        <v>102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8"/>
      <c r="AB39" s="538"/>
      <c r="AC39" s="538"/>
    </row>
    <row r="40" spans="1:68" ht="14.25" customHeight="1" x14ac:dyDescent="0.25">
      <c r="A40" s="556" t="s">
        <v>103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39"/>
      <c r="AB40" s="539"/>
      <c r="AC40" s="539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47">
        <v>4607091385670</v>
      </c>
      <c r="E41" s="548"/>
      <c r="F41" s="542">
        <v>1.35</v>
      </c>
      <c r="G41" s="32">
        <v>8</v>
      </c>
      <c r="H41" s="542">
        <v>10.8</v>
      </c>
      <c r="I41" s="542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70</v>
      </c>
      <c r="X41" s="543">
        <v>190</v>
      </c>
      <c r="Y41" s="544">
        <f>IFERROR(IF(X41="",0,CEILING((X41/$H41),1)*$H41),"")</f>
        <v>194.4</v>
      </c>
      <c r="Z41" s="36">
        <f>IFERROR(IF(Y41=0,"",ROUNDUP(Y41/H41,0)*0.01898),"")</f>
        <v>0.34164</v>
      </c>
      <c r="AA41" s="56"/>
      <c r="AB41" s="57"/>
      <c r="AC41" s="85" t="s">
        <v>109</v>
      </c>
      <c r="AG41" s="64"/>
      <c r="AJ41" s="68" t="s">
        <v>110</v>
      </c>
      <c r="AK41" s="68">
        <v>86.4</v>
      </c>
      <c r="BB41" s="86" t="s">
        <v>1</v>
      </c>
      <c r="BM41" s="64">
        <f>IFERROR(X41*I41/H41,"0")</f>
        <v>197.21296296296296</v>
      </c>
      <c r="BN41" s="64">
        <f>IFERROR(Y41*I41/H41,"0")</f>
        <v>201.78</v>
      </c>
      <c r="BO41" s="64">
        <f>IFERROR(1/J41*(X41/H41),"0")</f>
        <v>0.27488425925925924</v>
      </c>
      <c r="BP41" s="64">
        <f>IFERROR(1/J41*(Y41/H41),"0")</f>
        <v>0.28125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47">
        <v>4607091385687</v>
      </c>
      <c r="E42" s="548"/>
      <c r="F42" s="542">
        <v>0.4</v>
      </c>
      <c r="G42" s="32">
        <v>10</v>
      </c>
      <c r="H42" s="542">
        <v>4</v>
      </c>
      <c r="I42" s="542">
        <v>4.1900000000000004</v>
      </c>
      <c r="J42" s="32">
        <v>132</v>
      </c>
      <c r="K42" s="32" t="s">
        <v>113</v>
      </c>
      <c r="L42" s="32"/>
      <c r="M42" s="33" t="s">
        <v>81</v>
      </c>
      <c r="N42" s="33"/>
      <c r="O42" s="32">
        <v>50</v>
      </c>
      <c r="P42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70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7">
        <v>4680115882539</v>
      </c>
      <c r="E43" s="548"/>
      <c r="F43" s="542">
        <v>0.37</v>
      </c>
      <c r="G43" s="32">
        <v>10</v>
      </c>
      <c r="H43" s="542">
        <v>3.7</v>
      </c>
      <c r="I43" s="542">
        <v>3.89</v>
      </c>
      <c r="J43" s="32">
        <v>132</v>
      </c>
      <c r="K43" s="32" t="s">
        <v>113</v>
      </c>
      <c r="L43" s="32" t="s">
        <v>116</v>
      </c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70</v>
      </c>
      <c r="X43" s="543">
        <v>0</v>
      </c>
      <c r="Y43" s="54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110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5">
        <f>IFERROR(X41/H41,"0")+IFERROR(X42/H42,"0")+IFERROR(X43/H43,"0")</f>
        <v>17.592592592592592</v>
      </c>
      <c r="Y44" s="545">
        <f>IFERROR(Y41/H41,"0")+IFERROR(Y42/H42,"0")+IFERROR(Y43/H43,"0")</f>
        <v>18</v>
      </c>
      <c r="Z44" s="545">
        <f>IFERROR(IF(Z41="",0,Z41),"0")+IFERROR(IF(Z42="",0,Z42),"0")+IFERROR(IF(Z43="",0,Z43),"0")</f>
        <v>0.34164</v>
      </c>
      <c r="AA44" s="546"/>
      <c r="AB44" s="546"/>
      <c r="AC44" s="546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5">
        <f>IFERROR(SUM(X41:X43),"0")</f>
        <v>190</v>
      </c>
      <c r="Y45" s="545">
        <f>IFERROR(SUM(Y41:Y43),"0")</f>
        <v>194.4</v>
      </c>
      <c r="Z45" s="37"/>
      <c r="AA45" s="546"/>
      <c r="AB45" s="546"/>
      <c r="AC45" s="546"/>
    </row>
    <row r="46" spans="1:68" ht="14.25" customHeight="1" x14ac:dyDescent="0.25">
      <c r="A46" s="556" t="s">
        <v>78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39"/>
      <c r="AB46" s="539"/>
      <c r="AC46" s="539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47">
        <v>4680115884915</v>
      </c>
      <c r="E47" s="548"/>
      <c r="F47" s="542">
        <v>0.3</v>
      </c>
      <c r="G47" s="32">
        <v>6</v>
      </c>
      <c r="H47" s="542">
        <v>1.8</v>
      </c>
      <c r="I47" s="542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70</v>
      </c>
      <c r="X47" s="543">
        <v>0</v>
      </c>
      <c r="Y47" s="54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5">
        <f>IFERROR(X47/H47,"0")</f>
        <v>0</v>
      </c>
      <c r="Y48" s="545">
        <f>IFERROR(Y47/H47,"0")</f>
        <v>0</v>
      </c>
      <c r="Z48" s="545">
        <f>IFERROR(IF(Z47="",0,Z47),"0")</f>
        <v>0</v>
      </c>
      <c r="AA48" s="546"/>
      <c r="AB48" s="546"/>
      <c r="AC48" s="546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5">
        <f>IFERROR(SUM(X47:X47),"0")</f>
        <v>0</v>
      </c>
      <c r="Y49" s="545">
        <f>IFERROR(SUM(Y47:Y47),"0")</f>
        <v>0</v>
      </c>
      <c r="Z49" s="37"/>
      <c r="AA49" s="546"/>
      <c r="AB49" s="546"/>
      <c r="AC49" s="546"/>
    </row>
    <row r="50" spans="1:68" ht="16.5" customHeight="1" x14ac:dyDescent="0.25">
      <c r="A50" s="558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8"/>
      <c r="AB50" s="538"/>
      <c r="AC50" s="538"/>
    </row>
    <row r="51" spans="1:68" ht="14.25" customHeight="1" x14ac:dyDescent="0.25">
      <c r="A51" s="556" t="s">
        <v>103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39"/>
      <c r="AB51" s="539"/>
      <c r="AC51" s="539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47">
        <v>4680115885882</v>
      </c>
      <c r="E52" s="548"/>
      <c r="F52" s="542">
        <v>1.4</v>
      </c>
      <c r="G52" s="32">
        <v>8</v>
      </c>
      <c r="H52" s="542">
        <v>11.2</v>
      </c>
      <c r="I52" s="542">
        <v>11.61</v>
      </c>
      <c r="J52" s="32">
        <v>64</v>
      </c>
      <c r="K52" s="32" t="s">
        <v>106</v>
      </c>
      <c r="L52" s="32" t="s">
        <v>107</v>
      </c>
      <c r="M52" s="33" t="s">
        <v>81</v>
      </c>
      <c r="N52" s="33"/>
      <c r="O52" s="32">
        <v>50</v>
      </c>
      <c r="P52" s="66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70</v>
      </c>
      <c r="X52" s="543">
        <v>111</v>
      </c>
      <c r="Y52" s="544">
        <f t="shared" ref="Y52:Y57" si="0">IFERROR(IF(X52="",0,CEILING((X52/$H52),1)*$H52),"")</f>
        <v>112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110</v>
      </c>
      <c r="AK52" s="68">
        <v>89.6</v>
      </c>
      <c r="BB52" s="94" t="s">
        <v>1</v>
      </c>
      <c r="BM52" s="64">
        <f t="shared" ref="BM52:BM57" si="1">IFERROR(X52*I52/H52,"0")</f>
        <v>115.06339285714287</v>
      </c>
      <c r="BN52" s="64">
        <f t="shared" ref="BN52:BN57" si="2">IFERROR(Y52*I52/H52,"0")</f>
        <v>116.10000000000001</v>
      </c>
      <c r="BO52" s="64">
        <f t="shared" ref="BO52:BO57" si="3">IFERROR(1/J52*(X52/H52),"0")</f>
        <v>0.15485491071428573</v>
      </c>
      <c r="BP52" s="64">
        <f t="shared" ref="BP52:BP57" si="4">IFERROR(1/J52*(Y52/H52),"0")</f>
        <v>0.15625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47">
        <v>4680115881426</v>
      </c>
      <c r="E53" s="548"/>
      <c r="F53" s="542">
        <v>1.35</v>
      </c>
      <c r="G53" s="32">
        <v>8</v>
      </c>
      <c r="H53" s="542">
        <v>10.8</v>
      </c>
      <c r="I53" s="542">
        <v>11.21</v>
      </c>
      <c r="J53" s="32">
        <v>64</v>
      </c>
      <c r="K53" s="32" t="s">
        <v>106</v>
      </c>
      <c r="L53" s="32" t="s">
        <v>107</v>
      </c>
      <c r="M53" s="33" t="s">
        <v>108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70</v>
      </c>
      <c r="X53" s="543">
        <v>0</v>
      </c>
      <c r="Y53" s="54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 t="s">
        <v>110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47">
        <v>4680115880283</v>
      </c>
      <c r="E54" s="548"/>
      <c r="F54" s="542">
        <v>0.6</v>
      </c>
      <c r="G54" s="32">
        <v>8</v>
      </c>
      <c r="H54" s="542">
        <v>4.8</v>
      </c>
      <c r="I54" s="542">
        <v>4.99</v>
      </c>
      <c r="J54" s="32">
        <v>132</v>
      </c>
      <c r="K54" s="32" t="s">
        <v>113</v>
      </c>
      <c r="L54" s="32"/>
      <c r="M54" s="33" t="s">
        <v>108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70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47">
        <v>4680115881525</v>
      </c>
      <c r="E55" s="548"/>
      <c r="F55" s="542">
        <v>0.4</v>
      </c>
      <c r="G55" s="32">
        <v>10</v>
      </c>
      <c r="H55" s="542">
        <v>4</v>
      </c>
      <c r="I55" s="542">
        <v>4.1900000000000004</v>
      </c>
      <c r="J55" s="32">
        <v>132</v>
      </c>
      <c r="K55" s="32" t="s">
        <v>113</v>
      </c>
      <c r="L55" s="32" t="s">
        <v>116</v>
      </c>
      <c r="M55" s="33" t="s">
        <v>108</v>
      </c>
      <c r="N55" s="33"/>
      <c r="O55" s="32">
        <v>50</v>
      </c>
      <c r="P55" s="6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70</v>
      </c>
      <c r="X55" s="543">
        <v>234</v>
      </c>
      <c r="Y55" s="544">
        <f t="shared" si="0"/>
        <v>236</v>
      </c>
      <c r="Z55" s="36">
        <f>IFERROR(IF(Y55=0,"",ROUNDUP(Y55/H55,0)*0.00902),"")</f>
        <v>0.53217999999999999</v>
      </c>
      <c r="AA55" s="56"/>
      <c r="AB55" s="57"/>
      <c r="AC55" s="99" t="s">
        <v>132</v>
      </c>
      <c r="AG55" s="64"/>
      <c r="AJ55" s="68" t="s">
        <v>110</v>
      </c>
      <c r="AK55" s="68">
        <v>48</v>
      </c>
      <c r="BB55" s="100" t="s">
        <v>1</v>
      </c>
      <c r="BM55" s="64">
        <f t="shared" si="1"/>
        <v>245.11500000000001</v>
      </c>
      <c r="BN55" s="64">
        <f t="shared" si="2"/>
        <v>247.21000000000004</v>
      </c>
      <c r="BO55" s="64">
        <f t="shared" si="3"/>
        <v>0.44318181818181818</v>
      </c>
      <c r="BP55" s="64">
        <f t="shared" si="4"/>
        <v>0.44696969696969696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47">
        <v>4680115885899</v>
      </c>
      <c r="E56" s="548"/>
      <c r="F56" s="542">
        <v>0.35</v>
      </c>
      <c r="G56" s="32">
        <v>6</v>
      </c>
      <c r="H56" s="542">
        <v>2.1</v>
      </c>
      <c r="I56" s="542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58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70</v>
      </c>
      <c r="X56" s="543">
        <v>0</v>
      </c>
      <c r="Y56" s="54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47">
        <v>4680115881419</v>
      </c>
      <c r="E57" s="548"/>
      <c r="F57" s="542">
        <v>0.45</v>
      </c>
      <c r="G57" s="32">
        <v>10</v>
      </c>
      <c r="H57" s="542">
        <v>4.5</v>
      </c>
      <c r="I57" s="542">
        <v>4.6900000000000004</v>
      </c>
      <c r="J57" s="32">
        <v>132</v>
      </c>
      <c r="K57" s="32" t="s">
        <v>113</v>
      </c>
      <c r="L57" s="32"/>
      <c r="M57" s="33" t="s">
        <v>108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70</v>
      </c>
      <c r="X57" s="543">
        <v>0</v>
      </c>
      <c r="Y57" s="54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5">
        <f>IFERROR(X52/H52,"0")+IFERROR(X53/H53,"0")+IFERROR(X54/H54,"0")+IFERROR(X55/H55,"0")+IFERROR(X56/H56,"0")+IFERROR(X57/H57,"0")</f>
        <v>68.410714285714292</v>
      </c>
      <c r="Y58" s="545">
        <f>IFERROR(Y52/H52,"0")+IFERROR(Y53/H53,"0")+IFERROR(Y54/H54,"0")+IFERROR(Y55/H55,"0")+IFERROR(Y56/H56,"0")+IFERROR(Y57/H57,"0")</f>
        <v>69</v>
      </c>
      <c r="Z58" s="545">
        <f>IFERROR(IF(Z52="",0,Z52),"0")+IFERROR(IF(Z53="",0,Z53),"0")+IFERROR(IF(Z54="",0,Z54),"0")+IFERROR(IF(Z55="",0,Z55),"0")+IFERROR(IF(Z56="",0,Z56),"0")+IFERROR(IF(Z57="",0,Z57),"0")</f>
        <v>0.72197999999999996</v>
      </c>
      <c r="AA58" s="546"/>
      <c r="AB58" s="546"/>
      <c r="AC58" s="546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5">
        <f>IFERROR(SUM(X52:X57),"0")</f>
        <v>345</v>
      </c>
      <c r="Y59" s="545">
        <f>IFERROR(SUM(Y52:Y57),"0")</f>
        <v>348</v>
      </c>
      <c r="Z59" s="37"/>
      <c r="AA59" s="546"/>
      <c r="AB59" s="546"/>
      <c r="AC59" s="546"/>
    </row>
    <row r="60" spans="1:68" ht="14.25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39"/>
      <c r="AB60" s="539"/>
      <c r="AC60" s="539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47">
        <v>4680115881440</v>
      </c>
      <c r="E61" s="548"/>
      <c r="F61" s="542">
        <v>1.35</v>
      </c>
      <c r="G61" s="32">
        <v>8</v>
      </c>
      <c r="H61" s="542">
        <v>10.8</v>
      </c>
      <c r="I61" s="542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70</v>
      </c>
      <c r="X61" s="543">
        <v>166</v>
      </c>
      <c r="Y61" s="544">
        <f>IFERROR(IF(X61="",0,CEILING((X61/$H61),1)*$H61),"")</f>
        <v>172.8</v>
      </c>
      <c r="Z61" s="36">
        <f>IFERROR(IF(Y61=0,"",ROUNDUP(Y61/H61,0)*0.01898),"")</f>
        <v>0.30368000000000001</v>
      </c>
      <c r="AA61" s="56"/>
      <c r="AB61" s="57"/>
      <c r="AC61" s="105" t="s">
        <v>142</v>
      </c>
      <c r="AG61" s="64"/>
      <c r="AJ61" s="68" t="s">
        <v>110</v>
      </c>
      <c r="AK61" s="68">
        <v>86.4</v>
      </c>
      <c r="BB61" s="106" t="s">
        <v>1</v>
      </c>
      <c r="BM61" s="64">
        <f>IFERROR(X61*I61/H61,"0")</f>
        <v>172.30185185185186</v>
      </c>
      <c r="BN61" s="64">
        <f>IFERROR(Y61*I61/H61,"0")</f>
        <v>179.36</v>
      </c>
      <c r="BO61" s="64">
        <f>IFERROR(1/J61*(X61/H61),"0")</f>
        <v>0.24016203703703703</v>
      </c>
      <c r="BP61" s="64">
        <f>IFERROR(1/J61*(Y61/H61),"0")</f>
        <v>0.25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47">
        <v>4680115885950</v>
      </c>
      <c r="E62" s="548"/>
      <c r="F62" s="542">
        <v>0.37</v>
      </c>
      <c r="G62" s="32">
        <v>6</v>
      </c>
      <c r="H62" s="542">
        <v>2.2200000000000002</v>
      </c>
      <c r="I62" s="542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70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47">
        <v>4680115881433</v>
      </c>
      <c r="E63" s="548"/>
      <c r="F63" s="542">
        <v>0.45</v>
      </c>
      <c r="G63" s="32">
        <v>6</v>
      </c>
      <c r="H63" s="542">
        <v>2.7</v>
      </c>
      <c r="I63" s="542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70</v>
      </c>
      <c r="X63" s="543">
        <v>0</v>
      </c>
      <c r="Y63" s="54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5">
        <f>IFERROR(X61/H61,"0")+IFERROR(X62/H62,"0")+IFERROR(X63/H63,"0")</f>
        <v>15.37037037037037</v>
      </c>
      <c r="Y64" s="545">
        <f>IFERROR(Y61/H61,"0")+IFERROR(Y62/H62,"0")+IFERROR(Y63/H63,"0")</f>
        <v>16</v>
      </c>
      <c r="Z64" s="545">
        <f>IFERROR(IF(Z61="",0,Z61),"0")+IFERROR(IF(Z62="",0,Z62),"0")+IFERROR(IF(Z63="",0,Z63),"0")</f>
        <v>0.30368000000000001</v>
      </c>
      <c r="AA64" s="546"/>
      <c r="AB64" s="546"/>
      <c r="AC64" s="546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5">
        <f>IFERROR(SUM(X61:X63),"0")</f>
        <v>166</v>
      </c>
      <c r="Y65" s="545">
        <f>IFERROR(SUM(Y61:Y63),"0")</f>
        <v>172.8</v>
      </c>
      <c r="Z65" s="37"/>
      <c r="AA65" s="546"/>
      <c r="AB65" s="546"/>
      <c r="AC65" s="546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39"/>
      <c r="AB66" s="539"/>
      <c r="AC66" s="539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47">
        <v>4680115885073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70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47">
        <v>4680115885059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70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47">
        <v>4680115885097</v>
      </c>
      <c r="E69" s="548"/>
      <c r="F69" s="542">
        <v>0.3</v>
      </c>
      <c r="G69" s="32">
        <v>6</v>
      </c>
      <c r="H69" s="542">
        <v>1.8</v>
      </c>
      <c r="I69" s="542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70</v>
      </c>
      <c r="X69" s="543">
        <v>0</v>
      </c>
      <c r="Y69" s="544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5">
        <f>IFERROR(X67/H67,"0")+IFERROR(X68/H68,"0")+IFERROR(X69/H69,"0")</f>
        <v>0</v>
      </c>
      <c r="Y70" s="545">
        <f>IFERROR(Y67/H67,"0")+IFERROR(Y68/H68,"0")+IFERROR(Y69/H69,"0")</f>
        <v>0</v>
      </c>
      <c r="Z70" s="545">
        <f>IFERROR(IF(Z67="",0,Z67),"0")+IFERROR(IF(Z68="",0,Z68),"0")+IFERROR(IF(Z69="",0,Z69),"0")</f>
        <v>0</v>
      </c>
      <c r="AA70" s="546"/>
      <c r="AB70" s="546"/>
      <c r="AC70" s="546"/>
    </row>
    <row r="71" spans="1:68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5">
        <f>IFERROR(SUM(X67:X69),"0")</f>
        <v>0</v>
      </c>
      <c r="Y71" s="545">
        <f>IFERROR(SUM(Y67:Y69),"0")</f>
        <v>0</v>
      </c>
      <c r="Z71" s="37"/>
      <c r="AA71" s="546"/>
      <c r="AB71" s="546"/>
      <c r="AC71" s="546"/>
    </row>
    <row r="72" spans="1:68" ht="14.25" customHeight="1" x14ac:dyDescent="0.25">
      <c r="A72" s="556" t="s">
        <v>78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39"/>
      <c r="AB72" s="539"/>
      <c r="AC72" s="539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8.81</v>
      </c>
      <c r="J73" s="32">
        <v>64</v>
      </c>
      <c r="K73" s="32" t="s">
        <v>106</v>
      </c>
      <c r="L73" s="32" t="s">
        <v>107</v>
      </c>
      <c r="M73" s="33" t="s">
        <v>81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70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 t="s">
        <v>110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70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70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67</v>
      </c>
      <c r="L76" s="32"/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70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5">
        <f>IFERROR(X73/H73,"0")+IFERROR(X74/H74,"0")+IFERROR(X75/H75,"0")+IFERROR(X76/H76,"0")</f>
        <v>0</v>
      </c>
      <c r="Y77" s="545">
        <f>IFERROR(Y73/H73,"0")+IFERROR(Y74/H74,"0")+IFERROR(Y75/H75,"0")+IFERROR(Y76/H76,"0")</f>
        <v>0</v>
      </c>
      <c r="Z77" s="545">
        <f>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5">
        <f>IFERROR(SUM(X73:X76),"0")</f>
        <v>0</v>
      </c>
      <c r="Y78" s="545">
        <f>IFERROR(SUM(Y73:Y76),"0")</f>
        <v>0</v>
      </c>
      <c r="Z78" s="37"/>
      <c r="AA78" s="546"/>
      <c r="AB78" s="546"/>
      <c r="AC78" s="546"/>
    </row>
    <row r="79" spans="1:68" ht="14.25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39"/>
      <c r="AB79" s="539"/>
      <c r="AC79" s="539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8.2100000000000009</v>
      </c>
      <c r="J80" s="32">
        <v>64</v>
      </c>
      <c r="K80" s="32" t="s">
        <v>106</v>
      </c>
      <c r="L80" s="32" t="s">
        <v>107</v>
      </c>
      <c r="M80" s="33" t="s">
        <v>88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70</v>
      </c>
      <c r="X80" s="543">
        <v>50</v>
      </c>
      <c r="Y80" s="544">
        <f>IFERROR(IF(X80="",0,CEILING((X80/$H80),1)*$H80),"")</f>
        <v>54.6</v>
      </c>
      <c r="Z80" s="36">
        <f>IFERROR(IF(Y80=0,"",ROUNDUP(Y80/H80,0)*0.01898),"")</f>
        <v>0.13286000000000001</v>
      </c>
      <c r="AA80" s="56"/>
      <c r="AB80" s="57"/>
      <c r="AC80" s="125" t="s">
        <v>170</v>
      </c>
      <c r="AG80" s="64"/>
      <c r="AJ80" s="68" t="s">
        <v>110</v>
      </c>
      <c r="AK80" s="68">
        <v>62.4</v>
      </c>
      <c r="BB80" s="126" t="s">
        <v>1</v>
      </c>
      <c r="BM80" s="64">
        <f>IFERROR(X80*I80/H80,"0")</f>
        <v>52.628205128205138</v>
      </c>
      <c r="BN80" s="64">
        <f>IFERROR(Y80*I80/H80,"0")</f>
        <v>57.470000000000013</v>
      </c>
      <c r="BO80" s="64">
        <f>IFERROR(1/J80*(X80/H80),"0")</f>
        <v>0.10016025641025642</v>
      </c>
      <c r="BP80" s="64">
        <f>IFERROR(1/J80*(Y80/H80),"0")</f>
        <v>0.109375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2.59</v>
      </c>
      <c r="J81" s="32">
        <v>132</v>
      </c>
      <c r="K81" s="32" t="s">
        <v>113</v>
      </c>
      <c r="L81" s="32"/>
      <c r="M81" s="33" t="s">
        <v>81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70</v>
      </c>
      <c r="X81" s="543">
        <v>7</v>
      </c>
      <c r="Y81" s="544">
        <f>IFERROR(IF(X81="",0,CEILING((X81/$H81),1)*$H81),"")</f>
        <v>7.1999999999999993</v>
      </c>
      <c r="Z81" s="36">
        <f>IFERROR(IF(Y81=0,"",ROUNDUP(Y81/H81,0)*0.00902),"")</f>
        <v>2.7060000000000001E-2</v>
      </c>
      <c r="AA81" s="56"/>
      <c r="AB81" s="57"/>
      <c r="AC81" s="127" t="s">
        <v>173</v>
      </c>
      <c r="AG81" s="64"/>
      <c r="AJ81" s="68"/>
      <c r="AK81" s="68">
        <v>0</v>
      </c>
      <c r="BB81" s="128" t="s">
        <v>1</v>
      </c>
      <c r="BM81" s="64">
        <f>IFERROR(X81*I81/H81,"0")</f>
        <v>7.5541666666666663</v>
      </c>
      <c r="BN81" s="64">
        <f>IFERROR(Y81*I81/H81,"0")</f>
        <v>7.7699999999999987</v>
      </c>
      <c r="BO81" s="64">
        <f>IFERROR(1/J81*(X81/H81),"0")</f>
        <v>2.2095959595959599E-2</v>
      </c>
      <c r="BP81" s="64">
        <f>IFERROR(1/J81*(Y81/H81),"0")</f>
        <v>2.2727272727272728E-2</v>
      </c>
    </row>
    <row r="82" spans="1:68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5">
        <f>IFERROR(X80/H80,"0")+IFERROR(X81/H81,"0")</f>
        <v>9.3269230769230766</v>
      </c>
      <c r="Y82" s="545">
        <f>IFERROR(Y80/H80,"0")+IFERROR(Y81/H81,"0")</f>
        <v>10</v>
      </c>
      <c r="Z82" s="545">
        <f>IFERROR(IF(Z80="",0,Z80),"0")+IFERROR(IF(Z81="",0,Z81),"0")</f>
        <v>0.15992000000000001</v>
      </c>
      <c r="AA82" s="546"/>
      <c r="AB82" s="546"/>
      <c r="AC82" s="546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5">
        <f>IFERROR(SUM(X80:X81),"0")</f>
        <v>57</v>
      </c>
      <c r="Y83" s="545">
        <f>IFERROR(SUM(Y80:Y81),"0")</f>
        <v>61.8</v>
      </c>
      <c r="Z83" s="37"/>
      <c r="AA83" s="546"/>
      <c r="AB83" s="546"/>
      <c r="AC83" s="546"/>
    </row>
    <row r="84" spans="1:68" ht="16.5" customHeight="1" x14ac:dyDescent="0.25">
      <c r="A84" s="558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8"/>
      <c r="AB84" s="538"/>
      <c r="AC84" s="538"/>
    </row>
    <row r="85" spans="1:68" ht="14.25" customHeight="1" x14ac:dyDescent="0.25">
      <c r="A85" s="556" t="s">
        <v>103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39"/>
      <c r="AB85" s="539"/>
      <c r="AC85" s="539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11.21</v>
      </c>
      <c r="J86" s="32">
        <v>64</v>
      </c>
      <c r="K86" s="32" t="s">
        <v>106</v>
      </c>
      <c r="L86" s="32" t="s">
        <v>107</v>
      </c>
      <c r="M86" s="33" t="s">
        <v>88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70</v>
      </c>
      <c r="X86" s="543">
        <v>312</v>
      </c>
      <c r="Y86" s="544">
        <f>IFERROR(IF(X86="",0,CEILING((X86/$H86),1)*$H86),"")</f>
        <v>313.20000000000005</v>
      </c>
      <c r="Z86" s="36">
        <f>IFERROR(IF(Y86=0,"",ROUNDUP(Y86/H86,0)*0.01898),"")</f>
        <v>0.55042000000000002</v>
      </c>
      <c r="AA86" s="56"/>
      <c r="AB86" s="57"/>
      <c r="AC86" s="129" t="s">
        <v>177</v>
      </c>
      <c r="AG86" s="64"/>
      <c r="AJ86" s="68" t="s">
        <v>110</v>
      </c>
      <c r="AK86" s="68">
        <v>86.4</v>
      </c>
      <c r="BB86" s="130" t="s">
        <v>1</v>
      </c>
      <c r="BM86" s="64">
        <f>IFERROR(X86*I86/H86,"0")</f>
        <v>323.84444444444449</v>
      </c>
      <c r="BN86" s="64">
        <f>IFERROR(Y86*I86/H86,"0")</f>
        <v>325.09000000000003</v>
      </c>
      <c r="BO86" s="64">
        <f>IFERROR(1/J86*(X86/H86),"0")</f>
        <v>0.45138888888888884</v>
      </c>
      <c r="BP86" s="64">
        <f>IFERROR(1/J86*(Y86/H86),"0")</f>
        <v>0.45312500000000006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4.1900000000000004</v>
      </c>
      <c r="J87" s="32">
        <v>132</v>
      </c>
      <c r="K87" s="32" t="s">
        <v>113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70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177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4.6900000000000004</v>
      </c>
      <c r="J88" s="32">
        <v>132</v>
      </c>
      <c r="K88" s="32" t="s">
        <v>113</v>
      </c>
      <c r="L88" s="32" t="s">
        <v>116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70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 t="s">
        <v>110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8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5">
        <f>IFERROR(X86/H86,"0")+IFERROR(X87/H87,"0")+IFERROR(X88/H88,"0")</f>
        <v>28.888888888888886</v>
      </c>
      <c r="Y89" s="545">
        <f>IFERROR(Y86/H86,"0")+IFERROR(Y87/H87,"0")+IFERROR(Y88/H88,"0")</f>
        <v>29.000000000000004</v>
      </c>
      <c r="Z89" s="545">
        <f>IFERROR(IF(Z86="",0,Z86),"0")+IFERROR(IF(Z87="",0,Z87),"0")+IFERROR(IF(Z88="",0,Z88),"0")</f>
        <v>0.55042000000000002</v>
      </c>
      <c r="AA89" s="546"/>
      <c r="AB89" s="546"/>
      <c r="AC89" s="546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5">
        <f>IFERROR(SUM(X86:X88),"0")</f>
        <v>312</v>
      </c>
      <c r="Y90" s="545">
        <f>IFERROR(SUM(Y86:Y88),"0")</f>
        <v>313.20000000000005</v>
      </c>
      <c r="Z90" s="37"/>
      <c r="AA90" s="546"/>
      <c r="AB90" s="546"/>
      <c r="AC90" s="546"/>
    </row>
    <row r="91" spans="1:68" ht="14.25" customHeight="1" x14ac:dyDescent="0.25">
      <c r="A91" s="556" t="s">
        <v>78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39"/>
      <c r="AB91" s="539"/>
      <c r="AC91" s="539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8.5939999999999994</v>
      </c>
      <c r="J92" s="32">
        <v>64</v>
      </c>
      <c r="K92" s="32" t="s">
        <v>106</v>
      </c>
      <c r="L92" s="32" t="s">
        <v>107</v>
      </c>
      <c r="M92" s="33" t="s">
        <v>88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70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110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70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70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2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70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8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customHeight="1" x14ac:dyDescent="0.25">
      <c r="A98" s="55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8"/>
      <c r="AB98" s="538"/>
      <c r="AC98" s="538"/>
    </row>
    <row r="99" spans="1:68" ht="14.25" customHeight="1" x14ac:dyDescent="0.25">
      <c r="A99" s="556" t="s">
        <v>103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39"/>
      <c r="AB99" s="539"/>
      <c r="AC99" s="539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70</v>
      </c>
      <c r="X100" s="543">
        <v>364</v>
      </c>
      <c r="Y100" s="544">
        <f>IFERROR(IF(X100="",0,CEILING((X100/$H100),1)*$H100),"")</f>
        <v>367.20000000000005</v>
      </c>
      <c r="Z100" s="36">
        <f>IFERROR(IF(Y100=0,"",ROUNDUP(Y100/H100,0)*0.01898),"")</f>
        <v>0.64532</v>
      </c>
      <c r="AA100" s="56"/>
      <c r="AB100" s="57"/>
      <c r="AC100" s="143" t="s">
        <v>196</v>
      </c>
      <c r="AG100" s="64"/>
      <c r="AJ100" s="68" t="s">
        <v>110</v>
      </c>
      <c r="AK100" s="68">
        <v>86.4</v>
      </c>
      <c r="BB100" s="144" t="s">
        <v>1</v>
      </c>
      <c r="BM100" s="64">
        <f>IFERROR(X100*I100/H100,"0")</f>
        <v>377.81851851851854</v>
      </c>
      <c r="BN100" s="64">
        <f>IFERROR(Y100*I100/H100,"0")</f>
        <v>381.14000000000004</v>
      </c>
      <c r="BO100" s="64">
        <f>IFERROR(1/J100*(X100/H100),"0")</f>
        <v>0.52662037037037035</v>
      </c>
      <c r="BP100" s="64">
        <f>IFERROR(1/J100*(Y100/H100),"0")</f>
        <v>0.53125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3.94</v>
      </c>
      <c r="J101" s="32">
        <v>132</v>
      </c>
      <c r="K101" s="32" t="s">
        <v>113</v>
      </c>
      <c r="L101" s="32"/>
      <c r="M101" s="33" t="s">
        <v>81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70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4.6900000000000004</v>
      </c>
      <c r="J102" s="32">
        <v>132</v>
      </c>
      <c r="K102" s="32" t="s">
        <v>113</v>
      </c>
      <c r="L102" s="32" t="s">
        <v>116</v>
      </c>
      <c r="M102" s="33" t="s">
        <v>81</v>
      </c>
      <c r="N102" s="33"/>
      <c r="O102" s="32">
        <v>50</v>
      </c>
      <c r="P102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70</v>
      </c>
      <c r="X102" s="543">
        <v>126</v>
      </c>
      <c r="Y102" s="544">
        <f>IFERROR(IF(X102="",0,CEILING((X102/$H102),1)*$H102),"")</f>
        <v>126</v>
      </c>
      <c r="Z102" s="36">
        <f>IFERROR(IF(Y102=0,"",ROUNDUP(Y102/H102,0)*0.00902),"")</f>
        <v>0.25256000000000001</v>
      </c>
      <c r="AA102" s="56"/>
      <c r="AB102" s="57"/>
      <c r="AC102" s="147" t="s">
        <v>196</v>
      </c>
      <c r="AG102" s="64"/>
      <c r="AJ102" s="68" t="s">
        <v>110</v>
      </c>
      <c r="AK102" s="68">
        <v>54</v>
      </c>
      <c r="BB102" s="148" t="s">
        <v>1</v>
      </c>
      <c r="BM102" s="64">
        <f>IFERROR(X102*I102/H102,"0")</f>
        <v>131.32000000000002</v>
      </c>
      <c r="BN102" s="64">
        <f>IFERROR(Y102*I102/H102,"0")</f>
        <v>131.32000000000002</v>
      </c>
      <c r="BO102" s="64">
        <f>IFERROR(1/J102*(X102/H102),"0")</f>
        <v>0.21212121212121213</v>
      </c>
      <c r="BP102" s="64">
        <f>IFERROR(1/J102*(Y102/H102),"0")</f>
        <v>0.21212121212121213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4.6900000000000004</v>
      </c>
      <c r="J103" s="32">
        <v>132</v>
      </c>
      <c r="K103" s="32" t="s">
        <v>113</v>
      </c>
      <c r="L103" s="32"/>
      <c r="M103" s="33" t="s">
        <v>81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70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68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5">
        <f>IFERROR(X100/H100,"0")+IFERROR(X101/H101,"0")+IFERROR(X102/H102,"0")+IFERROR(X103/H103,"0")</f>
        <v>61.703703703703702</v>
      </c>
      <c r="Y104" s="545">
        <f>IFERROR(Y100/H100,"0")+IFERROR(Y101/H101,"0")+IFERROR(Y102/H102,"0")+IFERROR(Y103/H103,"0")</f>
        <v>62</v>
      </c>
      <c r="Z104" s="545">
        <f>IFERROR(IF(Z100="",0,Z100),"0")+IFERROR(IF(Z101="",0,Z101),"0")+IFERROR(IF(Z102="",0,Z102),"0")+IFERROR(IF(Z103="",0,Z103),"0")</f>
        <v>0.89788000000000001</v>
      </c>
      <c r="AA104" s="546"/>
      <c r="AB104" s="546"/>
      <c r="AC104" s="546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8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5">
        <f>IFERROR(SUM(X100:X103),"0")</f>
        <v>490</v>
      </c>
      <c r="Y105" s="545">
        <f>IFERROR(SUM(Y100:Y103),"0")</f>
        <v>493.20000000000005</v>
      </c>
      <c r="Z105" s="37"/>
      <c r="AA105" s="546"/>
      <c r="AB105" s="546"/>
      <c r="AC105" s="546"/>
    </row>
    <row r="106" spans="1:68" ht="14.25" customHeight="1" x14ac:dyDescent="0.25">
      <c r="A106" s="556" t="s">
        <v>139</v>
      </c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7"/>
      <c r="P106" s="557"/>
      <c r="Q106" s="557"/>
      <c r="R106" s="557"/>
      <c r="S106" s="557"/>
      <c r="T106" s="557"/>
      <c r="U106" s="557"/>
      <c r="V106" s="557"/>
      <c r="W106" s="557"/>
      <c r="X106" s="557"/>
      <c r="Y106" s="557"/>
      <c r="Z106" s="557"/>
      <c r="AA106" s="539"/>
      <c r="AB106" s="539"/>
      <c r="AC106" s="539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11.21</v>
      </c>
      <c r="J107" s="32">
        <v>64</v>
      </c>
      <c r="K107" s="32" t="s">
        <v>106</v>
      </c>
      <c r="L107" s="32" t="s">
        <v>107</v>
      </c>
      <c r="M107" s="33" t="s">
        <v>108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70</v>
      </c>
      <c r="X107" s="543">
        <v>92</v>
      </c>
      <c r="Y107" s="544">
        <f>IFERROR(IF(X107="",0,CEILING((X107/$H107),1)*$H107),"")</f>
        <v>97.2</v>
      </c>
      <c r="Z107" s="36">
        <f>IFERROR(IF(Y107=0,"",ROUNDUP(Y107/H107,0)*0.01898),"")</f>
        <v>0.17082</v>
      </c>
      <c r="AA107" s="56"/>
      <c r="AB107" s="57"/>
      <c r="AC107" s="151" t="s">
        <v>205</v>
      </c>
      <c r="AG107" s="64"/>
      <c r="AJ107" s="68" t="s">
        <v>110</v>
      </c>
      <c r="AK107" s="68">
        <v>86.4</v>
      </c>
      <c r="BB107" s="152" t="s">
        <v>1</v>
      </c>
      <c r="BM107" s="64">
        <f>IFERROR(X107*I107/H107,"0")</f>
        <v>95.492592592592601</v>
      </c>
      <c r="BN107" s="64">
        <f>IFERROR(Y107*I107/H107,"0")</f>
        <v>100.89</v>
      </c>
      <c r="BO107" s="64">
        <f>IFERROR(1/J107*(X107/H107),"0")</f>
        <v>0.13310185185185183</v>
      </c>
      <c r="BP107" s="64">
        <f>IFERROR(1/J107*(Y107/H107),"0")</f>
        <v>0.140625</v>
      </c>
    </row>
    <row r="108" spans="1:68" ht="16.5" customHeight="1" x14ac:dyDescent="0.25">
      <c r="A108" s="54" t="s">
        <v>206</v>
      </c>
      <c r="B108" s="54" t="s">
        <v>207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74</v>
      </c>
      <c r="L108" s="32"/>
      <c r="M108" s="33" t="s">
        <v>108</v>
      </c>
      <c r="N108" s="33"/>
      <c r="O108" s="32">
        <v>55</v>
      </c>
      <c r="P108" s="76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70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208</v>
      </c>
      <c r="B109" s="54" t="s">
        <v>209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 t="s">
        <v>210</v>
      </c>
      <c r="M109" s="33" t="s">
        <v>108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70</v>
      </c>
      <c r="X109" s="543">
        <v>149</v>
      </c>
      <c r="Y109" s="544">
        <f>IFERROR(IF(X109="",0,CEILING((X109/$H109),1)*$H109),"")</f>
        <v>151.19999999999999</v>
      </c>
      <c r="Z109" s="36">
        <f>IFERROR(IF(Y109=0,"",ROUNDUP(Y109/H109,0)*0.00651),"")</f>
        <v>0.41012999999999999</v>
      </c>
      <c r="AA109" s="56"/>
      <c r="AB109" s="57"/>
      <c r="AC109" s="155" t="s">
        <v>205</v>
      </c>
      <c r="AG109" s="64"/>
      <c r="AJ109" s="68" t="s">
        <v>110</v>
      </c>
      <c r="AK109" s="68">
        <v>33.6</v>
      </c>
      <c r="BB109" s="156" t="s">
        <v>1</v>
      </c>
      <c r="BM109" s="64">
        <f>IFERROR(X109*I109/H109,"0")</f>
        <v>160.17500000000001</v>
      </c>
      <c r="BN109" s="64">
        <f>IFERROR(Y109*I109/H109,"0")</f>
        <v>162.54000000000002</v>
      </c>
      <c r="BO109" s="64">
        <f>IFERROR(1/J109*(X109/H109),"0")</f>
        <v>0.34111721611721618</v>
      </c>
      <c r="BP109" s="64">
        <f>IFERROR(1/J109*(Y109/H109),"0")</f>
        <v>0.3461538461538462</v>
      </c>
    </row>
    <row r="110" spans="1:68" x14ac:dyDescent="0.2">
      <c r="A110" s="56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68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5">
        <f>IFERROR(X107/H107,"0")+IFERROR(X108/H108,"0")+IFERROR(X109/H109,"0")</f>
        <v>70.601851851851848</v>
      </c>
      <c r="Y110" s="545">
        <f>IFERROR(Y107/H107,"0")+IFERROR(Y108/H108,"0")+IFERROR(Y109/H109,"0")</f>
        <v>72</v>
      </c>
      <c r="Z110" s="545">
        <f>IFERROR(IF(Z107="",0,Z107),"0")+IFERROR(IF(Z108="",0,Z108),"0")+IFERROR(IF(Z109="",0,Z109),"0")</f>
        <v>0.58094999999999997</v>
      </c>
      <c r="AA110" s="546"/>
      <c r="AB110" s="546"/>
      <c r="AC110" s="546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68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5">
        <f>IFERROR(SUM(X107:X109),"0")</f>
        <v>241</v>
      </c>
      <c r="Y111" s="545">
        <f>IFERROR(SUM(Y107:Y109),"0")</f>
        <v>248.39999999999998</v>
      </c>
      <c r="Z111" s="37"/>
      <c r="AA111" s="546"/>
      <c r="AB111" s="546"/>
      <c r="AC111" s="546"/>
    </row>
    <row r="112" spans="1:68" ht="14.25" customHeight="1" x14ac:dyDescent="0.25">
      <c r="A112" s="556" t="s">
        <v>78</v>
      </c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57"/>
      <c r="P112" s="557"/>
      <c r="Q112" s="557"/>
      <c r="R112" s="557"/>
      <c r="S112" s="557"/>
      <c r="T112" s="557"/>
      <c r="U112" s="557"/>
      <c r="V112" s="557"/>
      <c r="W112" s="557"/>
      <c r="X112" s="557"/>
      <c r="Y112" s="557"/>
      <c r="Z112" s="557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106</v>
      </c>
      <c r="L113" s="32" t="s">
        <v>107</v>
      </c>
      <c r="M113" s="33" t="s">
        <v>88</v>
      </c>
      <c r="N113" s="33"/>
      <c r="O113" s="32">
        <v>45</v>
      </c>
      <c r="P113" s="6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70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110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70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 t="s">
        <v>210</v>
      </c>
      <c r="M115" s="33" t="s">
        <v>88</v>
      </c>
      <c r="N115" s="33"/>
      <c r="O115" s="32">
        <v>45</v>
      </c>
      <c r="P115" s="73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70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110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/>
      <c r="M116" s="33" t="s">
        <v>81</v>
      </c>
      <c r="N116" s="33"/>
      <c r="O116" s="32">
        <v>45</v>
      </c>
      <c r="P116" s="63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70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68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68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customHeight="1" x14ac:dyDescent="0.25">
      <c r="A119" s="556" t="s">
        <v>167</v>
      </c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57"/>
      <c r="P119" s="557"/>
      <c r="Q119" s="557"/>
      <c r="R119" s="557"/>
      <c r="S119" s="557"/>
      <c r="T119" s="557"/>
      <c r="U119" s="557"/>
      <c r="V119" s="557"/>
      <c r="W119" s="557"/>
      <c r="X119" s="557"/>
      <c r="Y119" s="557"/>
      <c r="Z119" s="557"/>
      <c r="AA119" s="539"/>
      <c r="AB119" s="539"/>
      <c r="AC119" s="539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/>
      <c r="M120" s="33" t="s">
        <v>81</v>
      </c>
      <c r="N120" s="33"/>
      <c r="O120" s="32">
        <v>40</v>
      </c>
      <c r="P120" s="6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70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6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68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8" t="s">
        <v>224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8"/>
      <c r="AB123" s="538"/>
      <c r="AC123" s="538"/>
    </row>
    <row r="124" spans="1:68" ht="14.25" customHeight="1" x14ac:dyDescent="0.25">
      <c r="A124" s="556" t="s">
        <v>103</v>
      </c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7"/>
      <c r="P124" s="557"/>
      <c r="Q124" s="557"/>
      <c r="R124" s="557"/>
      <c r="S124" s="557"/>
      <c r="T124" s="557"/>
      <c r="U124" s="557"/>
      <c r="V124" s="557"/>
      <c r="W124" s="557"/>
      <c r="X124" s="557"/>
      <c r="Y124" s="557"/>
      <c r="Z124" s="557"/>
      <c r="AA124" s="539"/>
      <c r="AB124" s="539"/>
      <c r="AC124" s="539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98</v>
      </c>
      <c r="N125" s="33"/>
      <c r="O125" s="32">
        <v>90</v>
      </c>
      <c r="P125" s="80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70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98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70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6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68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68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customHeight="1" x14ac:dyDescent="0.25">
      <c r="A129" s="556" t="s">
        <v>64</v>
      </c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57"/>
      <c r="P129" s="557"/>
      <c r="Q129" s="557"/>
      <c r="R129" s="557"/>
      <c r="S129" s="557"/>
      <c r="T129" s="557"/>
      <c r="U129" s="557"/>
      <c r="V129" s="557"/>
      <c r="W129" s="557"/>
      <c r="X129" s="557"/>
      <c r="Y129" s="557"/>
      <c r="Z129" s="557"/>
      <c r="AA129" s="539"/>
      <c r="AB129" s="539"/>
      <c r="AC129" s="539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98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70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98</v>
      </c>
      <c r="N131" s="33"/>
      <c r="O131" s="32">
        <v>90</v>
      </c>
      <c r="P131" s="6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70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6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68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68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customHeight="1" x14ac:dyDescent="0.25">
      <c r="A134" s="556" t="s">
        <v>78</v>
      </c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57"/>
      <c r="P134" s="557"/>
      <c r="Q134" s="557"/>
      <c r="R134" s="557"/>
      <c r="S134" s="557"/>
      <c r="T134" s="557"/>
      <c r="U134" s="557"/>
      <c r="V134" s="557"/>
      <c r="W134" s="557"/>
      <c r="X134" s="557"/>
      <c r="Y134" s="557"/>
      <c r="Z134" s="557"/>
      <c r="AA134" s="539"/>
      <c r="AB134" s="539"/>
      <c r="AC134" s="539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98</v>
      </c>
      <c r="N135" s="33"/>
      <c r="O135" s="32">
        <v>60</v>
      </c>
      <c r="P135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70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98</v>
      </c>
      <c r="N136" s="33"/>
      <c r="O136" s="32">
        <v>60</v>
      </c>
      <c r="P136" s="8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70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6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68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68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customHeight="1" x14ac:dyDescent="0.25">
      <c r="A139" s="558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8"/>
      <c r="AB139" s="538"/>
      <c r="AC139" s="538"/>
    </row>
    <row r="140" spans="1:68" ht="14.25" customHeight="1" x14ac:dyDescent="0.25">
      <c r="A140" s="556" t="s">
        <v>103</v>
      </c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7"/>
      <c r="P140" s="557"/>
      <c r="Q140" s="557"/>
      <c r="R140" s="557"/>
      <c r="S140" s="557"/>
      <c r="T140" s="557"/>
      <c r="U140" s="557"/>
      <c r="V140" s="557"/>
      <c r="W140" s="557"/>
      <c r="X140" s="557"/>
      <c r="Y140" s="557"/>
      <c r="Z140" s="557"/>
      <c r="AA140" s="539"/>
      <c r="AB140" s="539"/>
      <c r="AC140" s="539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106</v>
      </c>
      <c r="L141" s="32"/>
      <c r="M141" s="33" t="s">
        <v>108</v>
      </c>
      <c r="N141" s="33"/>
      <c r="O141" s="32">
        <v>55</v>
      </c>
      <c r="P141" s="74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70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113</v>
      </c>
      <c r="L142" s="32"/>
      <c r="M142" s="33" t="s">
        <v>108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70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68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68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customHeight="1" x14ac:dyDescent="0.25">
      <c r="A145" s="556" t="s">
        <v>64</v>
      </c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7"/>
      <c r="P145" s="557"/>
      <c r="Q145" s="557"/>
      <c r="R145" s="557"/>
      <c r="S145" s="557"/>
      <c r="T145" s="557"/>
      <c r="U145" s="557"/>
      <c r="V145" s="557"/>
      <c r="W145" s="557"/>
      <c r="X145" s="557"/>
      <c r="Y145" s="557"/>
      <c r="Z145" s="557"/>
      <c r="AA145" s="539"/>
      <c r="AB145" s="539"/>
      <c r="AC145" s="539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106</v>
      </c>
      <c r="L146" s="32"/>
      <c r="M146" s="33" t="s">
        <v>108</v>
      </c>
      <c r="N146" s="33"/>
      <c r="O146" s="32">
        <v>40</v>
      </c>
      <c r="P14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70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70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106</v>
      </c>
      <c r="L148" s="32"/>
      <c r="M148" s="33" t="s">
        <v>68</v>
      </c>
      <c r="N148" s="33"/>
      <c r="O148" s="32">
        <v>40</v>
      </c>
      <c r="P148" s="63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70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68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68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56" t="s">
        <v>78</v>
      </c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7"/>
      <c r="P151" s="557"/>
      <c r="Q151" s="557"/>
      <c r="R151" s="557"/>
      <c r="S151" s="557"/>
      <c r="T151" s="557"/>
      <c r="U151" s="557"/>
      <c r="V151" s="557"/>
      <c r="W151" s="557"/>
      <c r="X151" s="557"/>
      <c r="Y151" s="557"/>
      <c r="Z151" s="557"/>
      <c r="AA151" s="539"/>
      <c r="AB151" s="539"/>
      <c r="AC151" s="539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0"/>
      <c r="R152" s="550"/>
      <c r="S152" s="550"/>
      <c r="T152" s="551"/>
      <c r="U152" s="34"/>
      <c r="V152" s="34"/>
      <c r="W152" s="35" t="s">
        <v>70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8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50" t="s">
        <v>254</v>
      </c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1"/>
      <c r="P155" s="651"/>
      <c r="Q155" s="651"/>
      <c r="R155" s="651"/>
      <c r="S155" s="651"/>
      <c r="T155" s="651"/>
      <c r="U155" s="651"/>
      <c r="V155" s="651"/>
      <c r="W155" s="651"/>
      <c r="X155" s="651"/>
      <c r="Y155" s="651"/>
      <c r="Z155" s="651"/>
      <c r="AA155" s="48"/>
      <c r="AB155" s="48"/>
      <c r="AC155" s="48"/>
    </row>
    <row r="156" spans="1:68" ht="16.5" customHeight="1" x14ac:dyDescent="0.25">
      <c r="A156" s="558" t="s">
        <v>255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8"/>
      <c r="AB156" s="538"/>
      <c r="AC156" s="538"/>
    </row>
    <row r="157" spans="1:68" ht="14.25" customHeight="1" x14ac:dyDescent="0.25">
      <c r="A157" s="556" t="s">
        <v>139</v>
      </c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7"/>
      <c r="P157" s="557"/>
      <c r="Q157" s="557"/>
      <c r="R157" s="557"/>
      <c r="S157" s="557"/>
      <c r="T157" s="557"/>
      <c r="U157" s="557"/>
      <c r="V157" s="557"/>
      <c r="W157" s="557"/>
      <c r="X157" s="557"/>
      <c r="Y157" s="557"/>
      <c r="Z157" s="557"/>
      <c r="AA157" s="539"/>
      <c r="AB157" s="539"/>
      <c r="AC157" s="539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70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8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68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56" t="s">
        <v>64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39"/>
      <c r="AB161" s="539"/>
      <c r="AC161" s="539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7">
        <v>4680115880993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113</v>
      </c>
      <c r="L162" s="32" t="s">
        <v>116</v>
      </c>
      <c r="M162" s="33" t="s">
        <v>68</v>
      </c>
      <c r="N162" s="33"/>
      <c r="O162" s="32">
        <v>40</v>
      </c>
      <c r="P162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0"/>
      <c r="R162" s="550"/>
      <c r="S162" s="550"/>
      <c r="T162" s="551"/>
      <c r="U162" s="34"/>
      <c r="V162" s="34"/>
      <c r="W162" s="35" t="s">
        <v>70</v>
      </c>
      <c r="X162" s="543">
        <v>98</v>
      </c>
      <c r="Y162" s="544">
        <f t="shared" ref="Y162:Y171" si="5">IFERROR(IF(X162="",0,CEILING((X162/$H162),1)*$H162),"")</f>
        <v>100.80000000000001</v>
      </c>
      <c r="Z162" s="36">
        <f>IFERROR(IF(Y162=0,"",ROUNDUP(Y162/H162,0)*0.00902),"")</f>
        <v>0.21648000000000001</v>
      </c>
      <c r="AA162" s="56"/>
      <c r="AB162" s="57"/>
      <c r="AC162" s="193" t="s">
        <v>261</v>
      </c>
      <c r="AG162" s="64"/>
      <c r="AJ162" s="68" t="s">
        <v>110</v>
      </c>
      <c r="AK162" s="68">
        <v>50.4</v>
      </c>
      <c r="BB162" s="194" t="s">
        <v>1</v>
      </c>
      <c r="BM162" s="64">
        <f t="shared" ref="BM162:BM171" si="6">IFERROR(X162*I162/H162,"0")</f>
        <v>103.83333333333333</v>
      </c>
      <c r="BN162" s="64">
        <f t="shared" ref="BN162:BN171" si="7">IFERROR(Y162*I162/H162,"0")</f>
        <v>106.80000000000001</v>
      </c>
      <c r="BO162" s="64">
        <f t="shared" ref="BO162:BO171" si="8">IFERROR(1/J162*(X162/H162),"0")</f>
        <v>0.17676767676767677</v>
      </c>
      <c r="BP162" s="64">
        <f t="shared" ref="BP162:BP171" si="9">IFERROR(1/J162*(Y162/H162),"0")</f>
        <v>0.18181818181818182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7">
        <v>4680115881761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113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70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7">
        <v>4680115881563</v>
      </c>
      <c r="E164" s="548"/>
      <c r="F164" s="542">
        <v>0.7</v>
      </c>
      <c r="G164" s="32">
        <v>6</v>
      </c>
      <c r="H164" s="542">
        <v>4.2</v>
      </c>
      <c r="I164" s="542">
        <v>4.3899999999999997</v>
      </c>
      <c r="J164" s="32">
        <v>132</v>
      </c>
      <c r="K164" s="32" t="s">
        <v>113</v>
      </c>
      <c r="L164" s="32" t="s">
        <v>116</v>
      </c>
      <c r="M164" s="33" t="s">
        <v>68</v>
      </c>
      <c r="N164" s="33"/>
      <c r="O164" s="32">
        <v>40</v>
      </c>
      <c r="P164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70</v>
      </c>
      <c r="X164" s="543">
        <v>71</v>
      </c>
      <c r="Y164" s="544">
        <f t="shared" si="5"/>
        <v>71.400000000000006</v>
      </c>
      <c r="Z164" s="36">
        <f>IFERROR(IF(Y164=0,"",ROUNDUP(Y164/H164,0)*0.00902),"")</f>
        <v>0.15334</v>
      </c>
      <c r="AA164" s="56"/>
      <c r="AB164" s="57"/>
      <c r="AC164" s="197" t="s">
        <v>267</v>
      </c>
      <c r="AG164" s="64"/>
      <c r="AJ164" s="68" t="s">
        <v>110</v>
      </c>
      <c r="AK164" s="68">
        <v>50.4</v>
      </c>
      <c r="BB164" s="198" t="s">
        <v>1</v>
      </c>
      <c r="BM164" s="64">
        <f t="shared" si="6"/>
        <v>74.211904761904762</v>
      </c>
      <c r="BN164" s="64">
        <f t="shared" si="7"/>
        <v>74.63000000000001</v>
      </c>
      <c r="BO164" s="64">
        <f t="shared" si="8"/>
        <v>0.12806637806637808</v>
      </c>
      <c r="BP164" s="64">
        <f t="shared" si="9"/>
        <v>0.12878787878787878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7">
        <v>4680115880986</v>
      </c>
      <c r="E165" s="548"/>
      <c r="F165" s="542">
        <v>0.35</v>
      </c>
      <c r="G165" s="32">
        <v>6</v>
      </c>
      <c r="H165" s="542">
        <v>2.1</v>
      </c>
      <c r="I165" s="542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0"/>
      <c r="R165" s="550"/>
      <c r="S165" s="550"/>
      <c r="T165" s="551"/>
      <c r="U165" s="34"/>
      <c r="V165" s="34"/>
      <c r="W165" s="35" t="s">
        <v>70</v>
      </c>
      <c r="X165" s="543">
        <v>151</v>
      </c>
      <c r="Y165" s="544">
        <f t="shared" si="5"/>
        <v>151.20000000000002</v>
      </c>
      <c r="Z165" s="36">
        <f>IFERROR(IF(Y165=0,"",ROUNDUP(Y165/H165,0)*0.00502),"")</f>
        <v>0.36143999999999998</v>
      </c>
      <c r="AA165" s="56"/>
      <c r="AB165" s="57"/>
      <c r="AC165" s="199" t="s">
        <v>261</v>
      </c>
      <c r="AG165" s="64"/>
      <c r="AJ165" s="68" t="s">
        <v>110</v>
      </c>
      <c r="AK165" s="68">
        <v>37.799999999999997</v>
      </c>
      <c r="BB165" s="200" t="s">
        <v>1</v>
      </c>
      <c r="BM165" s="64">
        <f t="shared" si="6"/>
        <v>160.34761904761905</v>
      </c>
      <c r="BN165" s="64">
        <f t="shared" si="7"/>
        <v>160.56</v>
      </c>
      <c r="BO165" s="64">
        <f t="shared" si="8"/>
        <v>0.30728530728530729</v>
      </c>
      <c r="BP165" s="64">
        <f t="shared" si="9"/>
        <v>0.30769230769230771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7">
        <v>4680115887213</v>
      </c>
      <c r="E166" s="548"/>
      <c r="F166" s="542">
        <v>0.3</v>
      </c>
      <c r="G166" s="32">
        <v>6</v>
      </c>
      <c r="H166" s="542">
        <v>1.8</v>
      </c>
      <c r="I166" s="542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0"/>
      <c r="R166" s="550"/>
      <c r="S166" s="550"/>
      <c r="T166" s="551"/>
      <c r="U166" s="34"/>
      <c r="V166" s="34"/>
      <c r="W166" s="35" t="s">
        <v>70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74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70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74</v>
      </c>
      <c r="L168" s="32" t="s">
        <v>270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70</v>
      </c>
      <c r="X168" s="543">
        <v>48</v>
      </c>
      <c r="Y168" s="544">
        <f t="shared" si="5"/>
        <v>48.6</v>
      </c>
      <c r="Z168" s="36">
        <f>IFERROR(IF(Y168=0,"",ROUNDUP(Y168/H168,0)*0.00502),"")</f>
        <v>0.13553999999999999</v>
      </c>
      <c r="AA168" s="56"/>
      <c r="AB168" s="57"/>
      <c r="AC168" s="205" t="s">
        <v>278</v>
      </c>
      <c r="AG168" s="64"/>
      <c r="AJ168" s="68" t="s">
        <v>110</v>
      </c>
      <c r="AK168" s="68">
        <v>32.4</v>
      </c>
      <c r="BB168" s="206" t="s">
        <v>1</v>
      </c>
      <c r="BM168" s="64">
        <f t="shared" si="6"/>
        <v>51.466666666666669</v>
      </c>
      <c r="BN168" s="64">
        <f t="shared" si="7"/>
        <v>52.11</v>
      </c>
      <c r="BO168" s="64">
        <f t="shared" si="8"/>
        <v>0.11396011396011396</v>
      </c>
      <c r="BP168" s="64">
        <f t="shared" si="9"/>
        <v>0.11538461538461539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70</v>
      </c>
      <c r="X169" s="543">
        <v>155</v>
      </c>
      <c r="Y169" s="544">
        <f t="shared" si="5"/>
        <v>155.4</v>
      </c>
      <c r="Z169" s="36">
        <f>IFERROR(IF(Y169=0,"",ROUNDUP(Y169/H169,0)*0.00502),"")</f>
        <v>0.37148000000000003</v>
      </c>
      <c r="AA169" s="56"/>
      <c r="AB169" s="57"/>
      <c r="AC169" s="207" t="s">
        <v>267</v>
      </c>
      <c r="AG169" s="64"/>
      <c r="AJ169" s="68" t="s">
        <v>110</v>
      </c>
      <c r="AK169" s="68">
        <v>37.799999999999997</v>
      </c>
      <c r="BB169" s="208" t="s">
        <v>1</v>
      </c>
      <c r="BM169" s="64">
        <f t="shared" si="6"/>
        <v>162.38095238095238</v>
      </c>
      <c r="BN169" s="64">
        <f t="shared" si="7"/>
        <v>162.80000000000001</v>
      </c>
      <c r="BO169" s="64">
        <f t="shared" si="8"/>
        <v>0.31542531542531543</v>
      </c>
      <c r="BP169" s="64">
        <f t="shared" si="9"/>
        <v>0.31623931623931628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70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70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6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68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212.61904761904759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214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1.23828</v>
      </c>
      <c r="AA172" s="546"/>
      <c r="AB172" s="546"/>
      <c r="AC172" s="546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68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5">
        <f>IFERROR(SUM(X162:X171),"0")</f>
        <v>523</v>
      </c>
      <c r="Y173" s="545">
        <f>IFERROR(SUM(Y162:Y171),"0")</f>
        <v>527.40000000000009</v>
      </c>
      <c r="Z173" s="37"/>
      <c r="AA173" s="546"/>
      <c r="AB173" s="546"/>
      <c r="AC173" s="546"/>
    </row>
    <row r="174" spans="1:68" ht="14.25" customHeight="1" x14ac:dyDescent="0.25">
      <c r="A174" s="556" t="s">
        <v>95</v>
      </c>
      <c r="B174" s="557"/>
      <c r="C174" s="557"/>
      <c r="D174" s="557"/>
      <c r="E174" s="557"/>
      <c r="F174" s="557"/>
      <c r="G174" s="557"/>
      <c r="H174" s="557"/>
      <c r="I174" s="557"/>
      <c r="J174" s="557"/>
      <c r="K174" s="557"/>
      <c r="L174" s="557"/>
      <c r="M174" s="557"/>
      <c r="N174" s="557"/>
      <c r="O174" s="557"/>
      <c r="P174" s="557"/>
      <c r="Q174" s="557"/>
      <c r="R174" s="557"/>
      <c r="S174" s="557"/>
      <c r="T174" s="557"/>
      <c r="U174" s="557"/>
      <c r="V174" s="557"/>
      <c r="W174" s="557"/>
      <c r="X174" s="557"/>
      <c r="Y174" s="557"/>
      <c r="Z174" s="557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70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70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70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6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8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56" t="s">
        <v>296</v>
      </c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57"/>
      <c r="P180" s="557"/>
      <c r="Q180" s="557"/>
      <c r="R180" s="557"/>
      <c r="S180" s="557"/>
      <c r="T180" s="557"/>
      <c r="U180" s="557"/>
      <c r="V180" s="557"/>
      <c r="W180" s="557"/>
      <c r="X180" s="557"/>
      <c r="Y180" s="557"/>
      <c r="Z180" s="557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70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6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68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8" t="s">
        <v>299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8"/>
      <c r="AB184" s="538"/>
      <c r="AC184" s="538"/>
    </row>
    <row r="185" spans="1:68" ht="14.25" customHeight="1" x14ac:dyDescent="0.25">
      <c r="A185" s="556" t="s">
        <v>103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39"/>
      <c r="AB185" s="539"/>
      <c r="AC185" s="539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106</v>
      </c>
      <c r="L186" s="32"/>
      <c r="M186" s="33" t="s">
        <v>108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70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67</v>
      </c>
      <c r="L187" s="32"/>
      <c r="M187" s="33" t="s">
        <v>108</v>
      </c>
      <c r="N187" s="33"/>
      <c r="O187" s="32">
        <v>55</v>
      </c>
      <c r="P187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70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6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8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6" t="s">
        <v>139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106</v>
      </c>
      <c r="L191" s="32"/>
      <c r="M191" s="33" t="s">
        <v>108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70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67</v>
      </c>
      <c r="L192" s="32" t="s">
        <v>210</v>
      </c>
      <c r="M192" s="33" t="s">
        <v>108</v>
      </c>
      <c r="N192" s="33"/>
      <c r="O192" s="32">
        <v>50</v>
      </c>
      <c r="P192" s="6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70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110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6" t="s">
        <v>64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113</v>
      </c>
      <c r="L196" s="32" t="s">
        <v>116</v>
      </c>
      <c r="M196" s="33" t="s">
        <v>68</v>
      </c>
      <c r="N196" s="33"/>
      <c r="O196" s="32">
        <v>40</v>
      </c>
      <c r="P19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70</v>
      </c>
      <c r="X196" s="543">
        <v>97</v>
      </c>
      <c r="Y196" s="544">
        <f t="shared" ref="Y196:Y203" si="10">IFERROR(IF(X196="",0,CEILING((X196/$H196),1)*$H196),"")</f>
        <v>97.2</v>
      </c>
      <c r="Z196" s="36">
        <f>IFERROR(IF(Y196=0,"",ROUNDUP(Y196/H196,0)*0.00902),"")</f>
        <v>0.16236</v>
      </c>
      <c r="AA196" s="56"/>
      <c r="AB196" s="57"/>
      <c r="AC196" s="229" t="s">
        <v>312</v>
      </c>
      <c r="AG196" s="64"/>
      <c r="AJ196" s="68" t="s">
        <v>110</v>
      </c>
      <c r="AK196" s="68">
        <v>64.8</v>
      </c>
      <c r="BB196" s="230" t="s">
        <v>1</v>
      </c>
      <c r="BM196" s="64">
        <f t="shared" ref="BM196:BM203" si="11">IFERROR(X196*I196/H196,"0")</f>
        <v>100.41296296296296</v>
      </c>
      <c r="BN196" s="64">
        <f t="shared" ref="BN196:BN203" si="12">IFERROR(Y196*I196/H196,"0")</f>
        <v>100.61999999999999</v>
      </c>
      <c r="BO196" s="64">
        <f t="shared" ref="BO196:BO203" si="13">IFERROR(1/J196*(X196/H196),"0")</f>
        <v>0.13608305274971941</v>
      </c>
      <c r="BP196" s="64">
        <f t="shared" ref="BP196:BP203" si="14">IFERROR(1/J196*(Y196/H196),"0")</f>
        <v>0.13636363636363635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113</v>
      </c>
      <c r="L197" s="32" t="s">
        <v>116</v>
      </c>
      <c r="M197" s="33" t="s">
        <v>68</v>
      </c>
      <c r="N197" s="33"/>
      <c r="O197" s="32">
        <v>40</v>
      </c>
      <c r="P197" s="69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70</v>
      </c>
      <c r="X197" s="543">
        <v>161</v>
      </c>
      <c r="Y197" s="544">
        <f t="shared" si="10"/>
        <v>162</v>
      </c>
      <c r="Z197" s="36">
        <f>IFERROR(IF(Y197=0,"",ROUNDUP(Y197/H197,0)*0.00902),"")</f>
        <v>0.27060000000000001</v>
      </c>
      <c r="AA197" s="56"/>
      <c r="AB197" s="57"/>
      <c r="AC197" s="231" t="s">
        <v>315</v>
      </c>
      <c r="AG197" s="64"/>
      <c r="AJ197" s="68" t="s">
        <v>110</v>
      </c>
      <c r="AK197" s="68">
        <v>64.8</v>
      </c>
      <c r="BB197" s="232" t="s">
        <v>1</v>
      </c>
      <c r="BM197" s="64">
        <f t="shared" si="11"/>
        <v>166.6648148148148</v>
      </c>
      <c r="BN197" s="64">
        <f t="shared" si="12"/>
        <v>167.7</v>
      </c>
      <c r="BO197" s="64">
        <f t="shared" si="13"/>
        <v>0.22586980920314254</v>
      </c>
      <c r="BP197" s="64">
        <f t="shared" si="14"/>
        <v>0.22727272727272727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113</v>
      </c>
      <c r="L198" s="32"/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70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113</v>
      </c>
      <c r="L199" s="32" t="s">
        <v>116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70</v>
      </c>
      <c r="X199" s="543">
        <v>181</v>
      </c>
      <c r="Y199" s="544">
        <f t="shared" si="10"/>
        <v>183.60000000000002</v>
      </c>
      <c r="Z199" s="36">
        <f>IFERROR(IF(Y199=0,"",ROUNDUP(Y199/H199,0)*0.00902),"")</f>
        <v>0.30668000000000001</v>
      </c>
      <c r="AA199" s="56"/>
      <c r="AB199" s="57"/>
      <c r="AC199" s="235" t="s">
        <v>321</v>
      </c>
      <c r="AG199" s="64"/>
      <c r="AJ199" s="68" t="s">
        <v>110</v>
      </c>
      <c r="AK199" s="68">
        <v>64.8</v>
      </c>
      <c r="BB199" s="236" t="s">
        <v>1</v>
      </c>
      <c r="BM199" s="64">
        <f t="shared" si="11"/>
        <v>187.3685185185185</v>
      </c>
      <c r="BN199" s="64">
        <f t="shared" si="12"/>
        <v>190.06</v>
      </c>
      <c r="BO199" s="64">
        <f t="shared" si="13"/>
        <v>0.2539281705948373</v>
      </c>
      <c r="BP199" s="64">
        <f t="shared" si="14"/>
        <v>0.25757575757575757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70</v>
      </c>
      <c r="X200" s="543">
        <v>94</v>
      </c>
      <c r="Y200" s="544">
        <f t="shared" si="10"/>
        <v>95.4</v>
      </c>
      <c r="Z200" s="36">
        <f>IFERROR(IF(Y200=0,"",ROUNDUP(Y200/H200,0)*0.00502),"")</f>
        <v>0.26606000000000002</v>
      </c>
      <c r="AA200" s="56"/>
      <c r="AB200" s="57"/>
      <c r="AC200" s="237" t="s">
        <v>312</v>
      </c>
      <c r="AG200" s="64"/>
      <c r="AJ200" s="68" t="s">
        <v>110</v>
      </c>
      <c r="AK200" s="68">
        <v>32.4</v>
      </c>
      <c r="BB200" s="238" t="s">
        <v>1</v>
      </c>
      <c r="BM200" s="64">
        <f t="shared" si="11"/>
        <v>100.78888888888888</v>
      </c>
      <c r="BN200" s="64">
        <f t="shared" si="12"/>
        <v>102.29</v>
      </c>
      <c r="BO200" s="64">
        <f t="shared" si="13"/>
        <v>0.22317188983855651</v>
      </c>
      <c r="BP200" s="64">
        <f t="shared" si="14"/>
        <v>0.22649572649572652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70</v>
      </c>
      <c r="X201" s="543">
        <v>76</v>
      </c>
      <c r="Y201" s="544">
        <f t="shared" si="10"/>
        <v>77.400000000000006</v>
      </c>
      <c r="Z201" s="36">
        <f>IFERROR(IF(Y201=0,"",ROUNDUP(Y201/H201,0)*0.00502),"")</f>
        <v>0.21586</v>
      </c>
      <c r="AA201" s="56"/>
      <c r="AB201" s="57"/>
      <c r="AC201" s="239" t="s">
        <v>315</v>
      </c>
      <c r="AG201" s="64"/>
      <c r="AJ201" s="68" t="s">
        <v>110</v>
      </c>
      <c r="AK201" s="68">
        <v>32.4</v>
      </c>
      <c r="BB201" s="240" t="s">
        <v>1</v>
      </c>
      <c r="BM201" s="64">
        <f t="shared" si="11"/>
        <v>80.222222222222229</v>
      </c>
      <c r="BN201" s="64">
        <f t="shared" si="12"/>
        <v>81.7</v>
      </c>
      <c r="BO201" s="64">
        <f t="shared" si="13"/>
        <v>0.18043684710351379</v>
      </c>
      <c r="BP201" s="64">
        <f t="shared" si="14"/>
        <v>0.18376068376068377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70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70</v>
      </c>
      <c r="X203" s="543">
        <v>68</v>
      </c>
      <c r="Y203" s="544">
        <f t="shared" si="10"/>
        <v>68.400000000000006</v>
      </c>
      <c r="Z203" s="36">
        <f>IFERROR(IF(Y203=0,"",ROUNDUP(Y203/H203,0)*0.00502),"")</f>
        <v>0.19076000000000001</v>
      </c>
      <c r="AA203" s="56"/>
      <c r="AB203" s="57"/>
      <c r="AC203" s="243" t="s">
        <v>321</v>
      </c>
      <c r="AG203" s="64"/>
      <c r="AJ203" s="68" t="s">
        <v>110</v>
      </c>
      <c r="AK203" s="68">
        <v>32.4</v>
      </c>
      <c r="BB203" s="244" t="s">
        <v>1</v>
      </c>
      <c r="BM203" s="64">
        <f t="shared" si="11"/>
        <v>71.777777777777771</v>
      </c>
      <c r="BN203" s="64">
        <f t="shared" si="12"/>
        <v>72.2</v>
      </c>
      <c r="BO203" s="64">
        <f t="shared" si="13"/>
        <v>0.16144349477682812</v>
      </c>
      <c r="BP203" s="64">
        <f t="shared" si="14"/>
        <v>0.1623931623931624</v>
      </c>
    </row>
    <row r="204" spans="1:68" x14ac:dyDescent="0.2">
      <c r="A204" s="56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68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5">
        <f>IFERROR(X196/H196,"0")+IFERROR(X197/H197,"0")+IFERROR(X198/H198,"0")+IFERROR(X199/H199,"0")+IFERROR(X200/H200,"0")+IFERROR(X201/H201,"0")+IFERROR(X202/H202,"0")+IFERROR(X203/H203,"0")</f>
        <v>213.5185185185185</v>
      </c>
      <c r="Y204" s="545">
        <f>IFERROR(Y196/H196,"0")+IFERROR(Y197/H197,"0")+IFERROR(Y198/H198,"0")+IFERROR(Y199/H199,"0")+IFERROR(Y200/H200,"0")+IFERROR(Y201/H201,"0")+IFERROR(Y202/H202,"0")+IFERROR(Y203/H203,"0")</f>
        <v>216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1.41232</v>
      </c>
      <c r="AA204" s="546"/>
      <c r="AB204" s="546"/>
      <c r="AC204" s="546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68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5">
        <f>IFERROR(SUM(X196:X203),"0")</f>
        <v>677</v>
      </c>
      <c r="Y205" s="545">
        <f>IFERROR(SUM(Y196:Y203),"0")</f>
        <v>684</v>
      </c>
      <c r="Z205" s="37"/>
      <c r="AA205" s="546"/>
      <c r="AB205" s="546"/>
      <c r="AC205" s="546"/>
    </row>
    <row r="206" spans="1:68" ht="14.25" customHeight="1" x14ac:dyDescent="0.25">
      <c r="A206" s="556" t="s">
        <v>78</v>
      </c>
      <c r="B206" s="557"/>
      <c r="C206" s="557"/>
      <c r="D206" s="557"/>
      <c r="E206" s="557"/>
      <c r="F206" s="557"/>
      <c r="G206" s="557"/>
      <c r="H206" s="557"/>
      <c r="I206" s="557"/>
      <c r="J206" s="557"/>
      <c r="K206" s="557"/>
      <c r="L206" s="557"/>
      <c r="M206" s="557"/>
      <c r="N206" s="557"/>
      <c r="O206" s="557"/>
      <c r="P206" s="557"/>
      <c r="Q206" s="557"/>
      <c r="R206" s="557"/>
      <c r="S206" s="557"/>
      <c r="T206" s="557"/>
      <c r="U206" s="557"/>
      <c r="V206" s="557"/>
      <c r="W206" s="557"/>
      <c r="X206" s="557"/>
      <c r="Y206" s="557"/>
      <c r="Z206" s="557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106</v>
      </c>
      <c r="L207" s="32"/>
      <c r="M207" s="33" t="s">
        <v>81</v>
      </c>
      <c r="N207" s="33"/>
      <c r="O207" s="32">
        <v>40</v>
      </c>
      <c r="P207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70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106</v>
      </c>
      <c r="L208" s="32"/>
      <c r="M208" s="33" t="s">
        <v>81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70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106</v>
      </c>
      <c r="L209" s="32" t="s">
        <v>107</v>
      </c>
      <c r="M209" s="33" t="s">
        <v>81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70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110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67</v>
      </c>
      <c r="L210" s="32" t="s">
        <v>210</v>
      </c>
      <c r="M210" s="33" t="s">
        <v>81</v>
      </c>
      <c r="N210" s="33"/>
      <c r="O210" s="32">
        <v>40</v>
      </c>
      <c r="P210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70</v>
      </c>
      <c r="X210" s="543">
        <v>150</v>
      </c>
      <c r="Y210" s="544">
        <f t="shared" si="15"/>
        <v>151.19999999999999</v>
      </c>
      <c r="Z210" s="36">
        <f t="shared" ref="Z210:Z215" si="20">IFERROR(IF(Y210=0,"",ROUNDUP(Y210/H210,0)*0.00651),"")</f>
        <v>0.41012999999999999</v>
      </c>
      <c r="AA210" s="56"/>
      <c r="AB210" s="57"/>
      <c r="AC210" s="251" t="s">
        <v>332</v>
      </c>
      <c r="AG210" s="64"/>
      <c r="AJ210" s="68" t="s">
        <v>110</v>
      </c>
      <c r="AK210" s="68">
        <v>33.6</v>
      </c>
      <c r="BB210" s="252" t="s">
        <v>1</v>
      </c>
      <c r="BM210" s="64">
        <f t="shared" si="16"/>
        <v>166.875</v>
      </c>
      <c r="BN210" s="64">
        <f t="shared" si="17"/>
        <v>168.20999999999998</v>
      </c>
      <c r="BO210" s="64">
        <f t="shared" si="18"/>
        <v>0.34340659340659341</v>
      </c>
      <c r="BP210" s="64">
        <f t="shared" si="19"/>
        <v>0.3461538461538462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67</v>
      </c>
      <c r="L211" s="32"/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70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67</v>
      </c>
      <c r="L212" s="32" t="s">
        <v>210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70</v>
      </c>
      <c r="X212" s="543">
        <v>11</v>
      </c>
      <c r="Y212" s="544">
        <f t="shared" si="15"/>
        <v>12</v>
      </c>
      <c r="Z212" s="36">
        <f t="shared" si="20"/>
        <v>3.2550000000000003E-2</v>
      </c>
      <c r="AA212" s="56"/>
      <c r="AB212" s="57"/>
      <c r="AC212" s="255" t="s">
        <v>338</v>
      </c>
      <c r="AG212" s="64"/>
      <c r="AJ212" s="68" t="s">
        <v>110</v>
      </c>
      <c r="AK212" s="68">
        <v>33.6</v>
      </c>
      <c r="BB212" s="256" t="s">
        <v>1</v>
      </c>
      <c r="BM212" s="64">
        <f t="shared" si="16"/>
        <v>12.155000000000001</v>
      </c>
      <c r="BN212" s="64">
        <f t="shared" si="17"/>
        <v>13.260000000000002</v>
      </c>
      <c r="BO212" s="64">
        <f t="shared" si="18"/>
        <v>2.5183150183150187E-2</v>
      </c>
      <c r="BP212" s="64">
        <f t="shared" si="19"/>
        <v>2.7472527472527476E-2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67</v>
      </c>
      <c r="L213" s="32" t="s">
        <v>210</v>
      </c>
      <c r="M213" s="33" t="s">
        <v>81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70</v>
      </c>
      <c r="X213" s="543">
        <v>114</v>
      </c>
      <c r="Y213" s="544">
        <f t="shared" si="15"/>
        <v>115.19999999999999</v>
      </c>
      <c r="Z213" s="36">
        <f t="shared" si="20"/>
        <v>0.31247999999999998</v>
      </c>
      <c r="AA213" s="56"/>
      <c r="AB213" s="57"/>
      <c r="AC213" s="257" t="s">
        <v>338</v>
      </c>
      <c r="AG213" s="64"/>
      <c r="AJ213" s="68" t="s">
        <v>110</v>
      </c>
      <c r="AK213" s="68">
        <v>33.6</v>
      </c>
      <c r="BB213" s="258" t="s">
        <v>1</v>
      </c>
      <c r="BM213" s="64">
        <f t="shared" si="16"/>
        <v>125.97000000000001</v>
      </c>
      <c r="BN213" s="64">
        <f t="shared" si="17"/>
        <v>127.29600000000001</v>
      </c>
      <c r="BO213" s="64">
        <f t="shared" si="18"/>
        <v>0.26098901098901101</v>
      </c>
      <c r="BP213" s="64">
        <f t="shared" si="19"/>
        <v>0.26373626373626374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67</v>
      </c>
      <c r="L214" s="32" t="s">
        <v>210</v>
      </c>
      <c r="M214" s="33" t="s">
        <v>88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70</v>
      </c>
      <c r="X214" s="543">
        <v>232</v>
      </c>
      <c r="Y214" s="544">
        <f t="shared" si="15"/>
        <v>232.79999999999998</v>
      </c>
      <c r="Z214" s="36">
        <f t="shared" si="20"/>
        <v>0.63146999999999998</v>
      </c>
      <c r="AA214" s="56"/>
      <c r="AB214" s="57"/>
      <c r="AC214" s="259" t="s">
        <v>349</v>
      </c>
      <c r="AG214" s="64"/>
      <c r="AJ214" s="68" t="s">
        <v>110</v>
      </c>
      <c r="AK214" s="68">
        <v>33.6</v>
      </c>
      <c r="BB214" s="260" t="s">
        <v>1</v>
      </c>
      <c r="BM214" s="64">
        <f t="shared" si="16"/>
        <v>256.36</v>
      </c>
      <c r="BN214" s="64">
        <f t="shared" si="17"/>
        <v>257.24399999999997</v>
      </c>
      <c r="BO214" s="64">
        <f t="shared" si="18"/>
        <v>0.53113553113553125</v>
      </c>
      <c r="BP214" s="64">
        <f t="shared" si="19"/>
        <v>0.53296703296703296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67</v>
      </c>
      <c r="L215" s="32" t="s">
        <v>210</v>
      </c>
      <c r="M215" s="33" t="s">
        <v>81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70</v>
      </c>
      <c r="X215" s="543">
        <v>122</v>
      </c>
      <c r="Y215" s="544">
        <f t="shared" si="15"/>
        <v>122.39999999999999</v>
      </c>
      <c r="Z215" s="36">
        <f t="shared" si="20"/>
        <v>0.33201000000000003</v>
      </c>
      <c r="AA215" s="56"/>
      <c r="AB215" s="57"/>
      <c r="AC215" s="261" t="s">
        <v>335</v>
      </c>
      <c r="AG215" s="64"/>
      <c r="AJ215" s="68" t="s">
        <v>110</v>
      </c>
      <c r="AK215" s="68">
        <v>33.6</v>
      </c>
      <c r="BB215" s="262" t="s">
        <v>1</v>
      </c>
      <c r="BM215" s="64">
        <f t="shared" si="16"/>
        <v>135.11500000000001</v>
      </c>
      <c r="BN215" s="64">
        <f t="shared" si="17"/>
        <v>135.55799999999999</v>
      </c>
      <c r="BO215" s="64">
        <f t="shared" si="18"/>
        <v>0.27930402930402937</v>
      </c>
      <c r="BP215" s="64">
        <f t="shared" si="19"/>
        <v>0.28021978021978022</v>
      </c>
    </row>
    <row r="216" spans="1:68" x14ac:dyDescent="0.2">
      <c r="A216" s="56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68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5">
        <f>IFERROR(X207/H207,"0")+IFERROR(X208/H208,"0")+IFERROR(X209/H209,"0")+IFERROR(X210/H210,"0")+IFERROR(X211/H211,"0")+IFERROR(X212/H212,"0")+IFERROR(X213/H213,"0")+IFERROR(X214/H214,"0")+IFERROR(X215/H215,"0")</f>
        <v>262.08333333333331</v>
      </c>
      <c r="Y216" s="545">
        <f>IFERROR(Y207/H207,"0")+IFERROR(Y208/H208,"0")+IFERROR(Y209/H209,"0")+IFERROR(Y210/H210,"0")+IFERROR(Y211/H211,"0")+IFERROR(Y212/H212,"0")+IFERROR(Y213/H213,"0")+IFERROR(Y214/H214,"0")+IFERROR(Y215/H215,"0")</f>
        <v>264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1.7186400000000002</v>
      </c>
      <c r="AA216" s="546"/>
      <c r="AB216" s="546"/>
      <c r="AC216" s="546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68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5">
        <f>IFERROR(SUM(X207:X215),"0")</f>
        <v>629</v>
      </c>
      <c r="Y217" s="545">
        <f>IFERROR(SUM(Y207:Y215),"0")</f>
        <v>633.59999999999991</v>
      </c>
      <c r="Z217" s="37"/>
      <c r="AA217" s="546"/>
      <c r="AB217" s="546"/>
      <c r="AC217" s="546"/>
    </row>
    <row r="218" spans="1:68" ht="14.25" customHeight="1" x14ac:dyDescent="0.25">
      <c r="A218" s="556" t="s">
        <v>167</v>
      </c>
      <c r="B218" s="557"/>
      <c r="C218" s="557"/>
      <c r="D218" s="557"/>
      <c r="E218" s="557"/>
      <c r="F218" s="557"/>
      <c r="G218" s="557"/>
      <c r="H218" s="557"/>
      <c r="I218" s="557"/>
      <c r="J218" s="557"/>
      <c r="K218" s="557"/>
      <c r="L218" s="557"/>
      <c r="M218" s="557"/>
      <c r="N218" s="557"/>
      <c r="O218" s="557"/>
      <c r="P218" s="557"/>
      <c r="Q218" s="557"/>
      <c r="R218" s="557"/>
      <c r="S218" s="557"/>
      <c r="T218" s="557"/>
      <c r="U218" s="557"/>
      <c r="V218" s="557"/>
      <c r="W218" s="557"/>
      <c r="X218" s="557"/>
      <c r="Y218" s="557"/>
      <c r="Z218" s="557"/>
      <c r="AA218" s="539"/>
      <c r="AB218" s="539"/>
      <c r="AC218" s="539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88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70</v>
      </c>
      <c r="X219" s="543">
        <v>49</v>
      </c>
      <c r="Y219" s="544">
        <f>IFERROR(IF(X219="",0,CEILING((X219/$H219),1)*$H219),"")</f>
        <v>50.4</v>
      </c>
      <c r="Z219" s="36">
        <f>IFERROR(IF(Y219=0,"",ROUNDUP(Y219/H219,0)*0.00651),"")</f>
        <v>0.13671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54.145000000000003</v>
      </c>
      <c r="BN219" s="64">
        <f>IFERROR(Y219*I219/H219,"0")</f>
        <v>55.692</v>
      </c>
      <c r="BO219" s="64">
        <f>IFERROR(1/J219*(X219/H219),"0")</f>
        <v>0.1121794871794872</v>
      </c>
      <c r="BP219" s="64">
        <f>IFERROR(1/J219*(Y219/H219),"0")</f>
        <v>0.11538461538461539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210</v>
      </c>
      <c r="M220" s="33" t="s">
        <v>81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70</v>
      </c>
      <c r="X220" s="543">
        <v>55</v>
      </c>
      <c r="Y220" s="544">
        <f>IFERROR(IF(X220="",0,CEILING((X220/$H220),1)*$H220),"")</f>
        <v>55.199999999999996</v>
      </c>
      <c r="Z220" s="36">
        <f>IFERROR(IF(Y220=0,"",ROUNDUP(Y220/H220,0)*0.00651),"")</f>
        <v>0.14973</v>
      </c>
      <c r="AA220" s="56"/>
      <c r="AB220" s="57"/>
      <c r="AC220" s="265" t="s">
        <v>357</v>
      </c>
      <c r="AG220" s="64"/>
      <c r="AJ220" s="68" t="s">
        <v>110</v>
      </c>
      <c r="AK220" s="68">
        <v>33.6</v>
      </c>
      <c r="BB220" s="266" t="s">
        <v>1</v>
      </c>
      <c r="BM220" s="64">
        <f>IFERROR(X220*I220/H220,"0")</f>
        <v>60.775000000000006</v>
      </c>
      <c r="BN220" s="64">
        <f>IFERROR(Y220*I220/H220,"0")</f>
        <v>60.996000000000002</v>
      </c>
      <c r="BO220" s="64">
        <f>IFERROR(1/J220*(X220/H220),"0")</f>
        <v>0.12591575091575094</v>
      </c>
      <c r="BP220" s="64">
        <f>IFERROR(1/J220*(Y220/H220),"0")</f>
        <v>0.1263736263736264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5">
        <f>IFERROR(X219/H219,"0")+IFERROR(X220/H220,"0")</f>
        <v>43.333333333333336</v>
      </c>
      <c r="Y221" s="545">
        <f>IFERROR(Y219/H219,"0")+IFERROR(Y220/H220,"0")</f>
        <v>44</v>
      </c>
      <c r="Z221" s="545">
        <f>IFERROR(IF(Z219="",0,Z219),"0")+IFERROR(IF(Z220="",0,Z220),"0")</f>
        <v>0.28644000000000003</v>
      </c>
      <c r="AA221" s="546"/>
      <c r="AB221" s="546"/>
      <c r="AC221" s="546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5">
        <f>IFERROR(SUM(X219:X220),"0")</f>
        <v>104</v>
      </c>
      <c r="Y222" s="545">
        <f>IFERROR(SUM(Y219:Y220),"0")</f>
        <v>105.6</v>
      </c>
      <c r="Z222" s="37"/>
      <c r="AA222" s="546"/>
      <c r="AB222" s="546"/>
      <c r="AC222" s="546"/>
    </row>
    <row r="223" spans="1:68" ht="16.5" customHeight="1" x14ac:dyDescent="0.25">
      <c r="A223" s="558" t="s">
        <v>358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8"/>
      <c r="AB223" s="538"/>
      <c r="AC223" s="538"/>
    </row>
    <row r="224" spans="1:68" ht="14.25" customHeight="1" x14ac:dyDescent="0.25">
      <c r="A224" s="556" t="s">
        <v>103</v>
      </c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57"/>
      <c r="P224" s="557"/>
      <c r="Q224" s="557"/>
      <c r="R224" s="557"/>
      <c r="S224" s="557"/>
      <c r="T224" s="557"/>
      <c r="U224" s="557"/>
      <c r="V224" s="557"/>
      <c r="W224" s="557"/>
      <c r="X224" s="557"/>
      <c r="Y224" s="557"/>
      <c r="Z224" s="557"/>
      <c r="AA224" s="539"/>
      <c r="AB224" s="539"/>
      <c r="AC224" s="539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106</v>
      </c>
      <c r="L225" s="32" t="s">
        <v>107</v>
      </c>
      <c r="M225" s="33" t="s">
        <v>108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70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 t="s">
        <v>110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106</v>
      </c>
      <c r="L226" s="32"/>
      <c r="M226" s="33" t="s">
        <v>108</v>
      </c>
      <c r="N226" s="33"/>
      <c r="O226" s="32">
        <v>55</v>
      </c>
      <c r="P226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70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106</v>
      </c>
      <c r="L227" s="32"/>
      <c r="M227" s="33" t="s">
        <v>108</v>
      </c>
      <c r="N227" s="33"/>
      <c r="O227" s="32">
        <v>55</v>
      </c>
      <c r="P227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70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113</v>
      </c>
      <c r="L228" s="32"/>
      <c r="M228" s="33" t="s">
        <v>108</v>
      </c>
      <c r="N228" s="33"/>
      <c r="O228" s="32">
        <v>55</v>
      </c>
      <c r="P228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70</v>
      </c>
      <c r="X228" s="543">
        <v>5</v>
      </c>
      <c r="Y228" s="544">
        <f t="shared" si="21"/>
        <v>8</v>
      </c>
      <c r="Z228" s="36">
        <f>IFERROR(IF(Y228=0,"",ROUNDUP(Y228/H228,0)*0.00902),"")</f>
        <v>1.804E-2</v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5.2375000000000007</v>
      </c>
      <c r="BN228" s="64">
        <f t="shared" si="23"/>
        <v>8.3800000000000008</v>
      </c>
      <c r="BO228" s="64">
        <f t="shared" si="24"/>
        <v>9.46969696969697E-3</v>
      </c>
      <c r="BP228" s="64">
        <f t="shared" si="25"/>
        <v>1.5151515151515152E-2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113</v>
      </c>
      <c r="L229" s="32"/>
      <c r="M229" s="33" t="s">
        <v>108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70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113</v>
      </c>
      <c r="L230" s="32"/>
      <c r="M230" s="33" t="s">
        <v>108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70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113</v>
      </c>
      <c r="L231" s="32"/>
      <c r="M231" s="33" t="s">
        <v>108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70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67</v>
      </c>
      <c r="L232" s="32"/>
      <c r="M232" s="33" t="s">
        <v>108</v>
      </c>
      <c r="N232" s="33"/>
      <c r="O232" s="32">
        <v>55</v>
      </c>
      <c r="P232" s="7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70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113</v>
      </c>
      <c r="L233" s="32"/>
      <c r="M233" s="33" t="s">
        <v>108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70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113</v>
      </c>
      <c r="L234" s="32"/>
      <c r="M234" s="33" t="s">
        <v>108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70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68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1.25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2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1.804E-2</v>
      </c>
      <c r="AA235" s="546"/>
      <c r="AB235" s="546"/>
      <c r="AC235" s="546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68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5">
        <f>IFERROR(SUM(X225:X234),"0")</f>
        <v>5</v>
      </c>
      <c r="Y236" s="545">
        <f>IFERROR(SUM(Y225:Y234),"0")</f>
        <v>8</v>
      </c>
      <c r="Z236" s="37"/>
      <c r="AA236" s="546"/>
      <c r="AB236" s="546"/>
      <c r="AC236" s="546"/>
    </row>
    <row r="237" spans="1:68" ht="14.25" customHeight="1" x14ac:dyDescent="0.25">
      <c r="A237" s="556" t="s">
        <v>139</v>
      </c>
      <c r="B237" s="557"/>
      <c r="C237" s="557"/>
      <c r="D237" s="557"/>
      <c r="E237" s="557"/>
      <c r="F237" s="557"/>
      <c r="G237" s="557"/>
      <c r="H237" s="557"/>
      <c r="I237" s="557"/>
      <c r="J237" s="557"/>
      <c r="K237" s="557"/>
      <c r="L237" s="557"/>
      <c r="M237" s="557"/>
      <c r="N237" s="557"/>
      <c r="O237" s="557"/>
      <c r="P237" s="557"/>
      <c r="Q237" s="557"/>
      <c r="R237" s="557"/>
      <c r="S237" s="557"/>
      <c r="T237" s="557"/>
      <c r="U237" s="557"/>
      <c r="V237" s="557"/>
      <c r="W237" s="557"/>
      <c r="X237" s="557"/>
      <c r="Y237" s="557"/>
      <c r="Z237" s="557"/>
      <c r="AA237" s="539"/>
      <c r="AB237" s="539"/>
      <c r="AC237" s="539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70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6" t="s">
        <v>384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39"/>
      <c r="AB241" s="539"/>
      <c r="AC241" s="539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70</v>
      </c>
      <c r="X242" s="543">
        <v>2</v>
      </c>
      <c r="Y242" s="544">
        <f>IFERROR(IF(X242="",0,CEILING((X242/$H242),1)*$H242),"")</f>
        <v>3.6</v>
      </c>
      <c r="Z242" s="36">
        <f>IFERROR(IF(Y242=0,"",ROUNDUP(Y242/H242,0)*0.0059),"")</f>
        <v>1.18E-2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2.1944444444444446</v>
      </c>
      <c r="BN242" s="64">
        <f>IFERROR(Y242*I242/H242,"0")</f>
        <v>3.95</v>
      </c>
      <c r="BO242" s="64">
        <f>IFERROR(1/J242*(X242/H242),"0")</f>
        <v>5.1440329218106996E-3</v>
      </c>
      <c r="BP242" s="64">
        <f>IFERROR(1/J242*(Y242/H242),"0")</f>
        <v>9.2592592592592587E-3</v>
      </c>
    </row>
    <row r="243" spans="1:68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5">
        <f>IFERROR(X242/H242,"0")</f>
        <v>1.1111111111111112</v>
      </c>
      <c r="Y243" s="545">
        <f>IFERROR(Y242/H242,"0")</f>
        <v>2</v>
      </c>
      <c r="Z243" s="545">
        <f>IFERROR(IF(Z242="",0,Z242),"0")</f>
        <v>1.18E-2</v>
      </c>
      <c r="AA243" s="546"/>
      <c r="AB243" s="546"/>
      <c r="AC243" s="546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5">
        <f>IFERROR(SUM(X242:X242),"0")</f>
        <v>2</v>
      </c>
      <c r="Y244" s="545">
        <f>IFERROR(SUM(Y242:Y242),"0")</f>
        <v>3.6</v>
      </c>
      <c r="Z244" s="37"/>
      <c r="AA244" s="546"/>
      <c r="AB244" s="546"/>
      <c r="AC244" s="546"/>
    </row>
    <row r="245" spans="1:68" ht="14.25" customHeight="1" x14ac:dyDescent="0.25">
      <c r="A245" s="556" t="s">
        <v>388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39"/>
      <c r="AB245" s="539"/>
      <c r="AC245" s="539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70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70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70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70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70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68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68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8" t="s">
        <v>400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8"/>
      <c r="AB253" s="538"/>
      <c r="AC253" s="538"/>
    </row>
    <row r="254" spans="1:68" ht="14.25" customHeight="1" x14ac:dyDescent="0.25">
      <c r="A254" s="556" t="s">
        <v>103</v>
      </c>
      <c r="B254" s="557"/>
      <c r="C254" s="557"/>
      <c r="D254" s="557"/>
      <c r="E254" s="557"/>
      <c r="F254" s="557"/>
      <c r="G254" s="557"/>
      <c r="H254" s="557"/>
      <c r="I254" s="557"/>
      <c r="J254" s="557"/>
      <c r="K254" s="557"/>
      <c r="L254" s="557"/>
      <c r="M254" s="557"/>
      <c r="N254" s="557"/>
      <c r="O254" s="557"/>
      <c r="P254" s="557"/>
      <c r="Q254" s="557"/>
      <c r="R254" s="557"/>
      <c r="S254" s="557"/>
      <c r="T254" s="557"/>
      <c r="U254" s="557"/>
      <c r="V254" s="557"/>
      <c r="W254" s="557"/>
      <c r="X254" s="557"/>
      <c r="Y254" s="557"/>
      <c r="Z254" s="557"/>
      <c r="AA254" s="539"/>
      <c r="AB254" s="539"/>
      <c r="AC254" s="539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106</v>
      </c>
      <c r="L255" s="32"/>
      <c r="M255" s="33" t="s">
        <v>108</v>
      </c>
      <c r="N255" s="33"/>
      <c r="O255" s="32">
        <v>55</v>
      </c>
      <c r="P255" s="6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70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106</v>
      </c>
      <c r="L256" s="32"/>
      <c r="M256" s="33" t="s">
        <v>108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70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106</v>
      </c>
      <c r="L257" s="32"/>
      <c r="M257" s="33" t="s">
        <v>108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70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113</v>
      </c>
      <c r="L258" s="32"/>
      <c r="M258" s="33" t="s">
        <v>108</v>
      </c>
      <c r="N258" s="33"/>
      <c r="O258" s="32">
        <v>55</v>
      </c>
      <c r="P258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70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113</v>
      </c>
      <c r="L259" s="32"/>
      <c r="M259" s="33" t="s">
        <v>108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70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6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68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68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8" t="s">
        <v>416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8"/>
      <c r="AB262" s="538"/>
      <c r="AC262" s="538"/>
    </row>
    <row r="263" spans="1:68" ht="14.25" customHeight="1" x14ac:dyDescent="0.25">
      <c r="A263" s="556" t="s">
        <v>103</v>
      </c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  <c r="Z263" s="557"/>
      <c r="AA263" s="539"/>
      <c r="AB263" s="539"/>
      <c r="AC263" s="539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106</v>
      </c>
      <c r="L264" s="32"/>
      <c r="M264" s="33" t="s">
        <v>81</v>
      </c>
      <c r="N264" s="33"/>
      <c r="O264" s="32">
        <v>35</v>
      </c>
      <c r="P264" s="6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70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106</v>
      </c>
      <c r="L265" s="32"/>
      <c r="M265" s="33" t="s">
        <v>81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70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106</v>
      </c>
      <c r="L266" s="32"/>
      <c r="M266" s="33" t="s">
        <v>81</v>
      </c>
      <c r="N266" s="33"/>
      <c r="O266" s="32">
        <v>35</v>
      </c>
      <c r="P266" s="6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70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106</v>
      </c>
      <c r="L267" s="32"/>
      <c r="M267" s="33" t="s">
        <v>108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70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68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68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8" t="s">
        <v>427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8"/>
      <c r="AB270" s="538"/>
      <c r="AC270" s="538"/>
    </row>
    <row r="271" spans="1:68" ht="14.25" customHeight="1" x14ac:dyDescent="0.25">
      <c r="A271" s="556" t="s">
        <v>78</v>
      </c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  <c r="Z271" s="557"/>
      <c r="AA271" s="539"/>
      <c r="AB271" s="539"/>
      <c r="AC271" s="539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70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67</v>
      </c>
      <c r="L273" s="32" t="s">
        <v>210</v>
      </c>
      <c r="M273" s="33" t="s">
        <v>88</v>
      </c>
      <c r="N273" s="33"/>
      <c r="O273" s="32">
        <v>40</v>
      </c>
      <c r="P273" s="6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70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 t="s">
        <v>110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67</v>
      </c>
      <c r="L274" s="32" t="s">
        <v>210</v>
      </c>
      <c r="M274" s="33" t="s">
        <v>81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70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110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8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68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8" t="s">
        <v>436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8"/>
      <c r="AB277" s="538"/>
      <c r="AC277" s="538"/>
    </row>
    <row r="278" spans="1:68" ht="14.25" customHeight="1" x14ac:dyDescent="0.25">
      <c r="A278" s="556" t="s">
        <v>64</v>
      </c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  <c r="Z278" s="557"/>
      <c r="AA278" s="539"/>
      <c r="AB278" s="539"/>
      <c r="AC278" s="539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70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70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8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8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6" t="s">
        <v>78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39"/>
      <c r="AB283" s="539"/>
      <c r="AC283" s="539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3.79</v>
      </c>
      <c r="J284" s="32">
        <v>132</v>
      </c>
      <c r="K284" s="32" t="s">
        <v>113</v>
      </c>
      <c r="L284" s="32"/>
      <c r="M284" s="33" t="s">
        <v>81</v>
      </c>
      <c r="N284" s="33"/>
      <c r="O284" s="32">
        <v>45</v>
      </c>
      <c r="P284" s="6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70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7">
        <v>4680115887114</v>
      </c>
      <c r="E285" s="548"/>
      <c r="F285" s="542">
        <v>0.55000000000000004</v>
      </c>
      <c r="G285" s="32">
        <v>6</v>
      </c>
      <c r="H285" s="542">
        <v>3.3</v>
      </c>
      <c r="I285" s="542">
        <v>3.49</v>
      </c>
      <c r="J285" s="32">
        <v>132</v>
      </c>
      <c r="K285" s="32" t="s">
        <v>113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0"/>
      <c r="R285" s="550"/>
      <c r="S285" s="550"/>
      <c r="T285" s="551"/>
      <c r="U285" s="34"/>
      <c r="V285" s="34"/>
      <c r="W285" s="35" t="s">
        <v>70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6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7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8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8" t="s">
        <v>449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8"/>
      <c r="AB288" s="538"/>
      <c r="AC288" s="538"/>
    </row>
    <row r="289" spans="1:68" ht="14.25" customHeight="1" x14ac:dyDescent="0.25">
      <c r="A289" s="556" t="s">
        <v>103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39"/>
      <c r="AB289" s="539"/>
      <c r="AC289" s="539"/>
    </row>
    <row r="290" spans="1:68" ht="27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106</v>
      </c>
      <c r="L290" s="32"/>
      <c r="M290" s="33" t="s">
        <v>81</v>
      </c>
      <c r="N290" s="33"/>
      <c r="O290" s="32">
        <v>55</v>
      </c>
      <c r="P290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70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106</v>
      </c>
      <c r="L291" s="32"/>
      <c r="M291" s="33" t="s">
        <v>108</v>
      </c>
      <c r="N291" s="33"/>
      <c r="O291" s="32">
        <v>55</v>
      </c>
      <c r="P291" s="85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70</v>
      </c>
      <c r="X291" s="543">
        <v>0</v>
      </c>
      <c r="Y291" s="544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106</v>
      </c>
      <c r="L292" s="32"/>
      <c r="M292" s="33" t="s">
        <v>81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70</v>
      </c>
      <c r="X292" s="543">
        <v>0</v>
      </c>
      <c r="Y292" s="544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113</v>
      </c>
      <c r="L293" s="32"/>
      <c r="M293" s="33" t="s">
        <v>108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70</v>
      </c>
      <c r="X293" s="543">
        <v>0</v>
      </c>
      <c r="Y293" s="54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113</v>
      </c>
      <c r="L294" s="32"/>
      <c r="M294" s="33" t="s">
        <v>108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70</v>
      </c>
      <c r="X294" s="543">
        <v>0</v>
      </c>
      <c r="Y294" s="54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6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68"/>
      <c r="P295" s="561" t="s">
        <v>76</v>
      </c>
      <c r="Q295" s="562"/>
      <c r="R295" s="562"/>
      <c r="S295" s="562"/>
      <c r="T295" s="562"/>
      <c r="U295" s="562"/>
      <c r="V295" s="563"/>
      <c r="W295" s="37" t="s">
        <v>77</v>
      </c>
      <c r="X295" s="545">
        <f>IFERROR(X290/H290,"0")+IFERROR(X291/H291,"0")+IFERROR(X292/H292,"0")+IFERROR(X293/H293,"0")+IFERROR(X294/H294,"0")</f>
        <v>0</v>
      </c>
      <c r="Y295" s="545">
        <f>IFERROR(Y290/H290,"0")+IFERROR(Y291/H291,"0")+IFERROR(Y292/H292,"0")+IFERROR(Y293/H293,"0")+IFERROR(Y294/H294,"0")</f>
        <v>0</v>
      </c>
      <c r="Z295" s="545">
        <f>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68"/>
      <c r="P296" s="561" t="s">
        <v>76</v>
      </c>
      <c r="Q296" s="562"/>
      <c r="R296" s="562"/>
      <c r="S296" s="562"/>
      <c r="T296" s="562"/>
      <c r="U296" s="562"/>
      <c r="V296" s="563"/>
      <c r="W296" s="37" t="s">
        <v>70</v>
      </c>
      <c r="X296" s="545">
        <f>IFERROR(SUM(X290:X294),"0")</f>
        <v>0</v>
      </c>
      <c r="Y296" s="545">
        <f>IFERROR(SUM(Y290:Y294),"0")</f>
        <v>0</v>
      </c>
      <c r="Z296" s="37"/>
      <c r="AA296" s="546"/>
      <c r="AB296" s="546"/>
      <c r="AC296" s="546"/>
    </row>
    <row r="297" spans="1:68" ht="14.25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113</v>
      </c>
      <c r="L298" s="32"/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70</v>
      </c>
      <c r="X298" s="543">
        <v>0</v>
      </c>
      <c r="Y298" s="544">
        <f t="shared" ref="Y298:Y303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ref="BM298:BM303" si="27">IFERROR(X298*I298/H298,"0")</f>
        <v>0</v>
      </c>
      <c r="BN298" s="64">
        <f t="shared" ref="BN298:BN303" si="28">IFERROR(Y298*I298/H298,"0")</f>
        <v>0</v>
      </c>
      <c r="BO298" s="64">
        <f t="shared" ref="BO298:BO303" si="29">IFERROR(1/J298*(X298/H298),"0")</f>
        <v>0</v>
      </c>
      <c r="BP298" s="64">
        <f t="shared" ref="BP298:BP303" si="30">IFERROR(1/J298*(Y298/H298),"0")</f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113</v>
      </c>
      <c r="L299" s="32"/>
      <c r="M299" s="33" t="s">
        <v>68</v>
      </c>
      <c r="N299" s="33"/>
      <c r="O299" s="32">
        <v>40</v>
      </c>
      <c r="P299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70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113</v>
      </c>
      <c r="L300" s="32"/>
      <c r="M300" s="33" t="s">
        <v>68</v>
      </c>
      <c r="N300" s="33"/>
      <c r="O300" s="32">
        <v>45</v>
      </c>
      <c r="P300" s="6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70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74</v>
      </c>
      <c r="L301" s="32"/>
      <c r="M301" s="33" t="s">
        <v>68</v>
      </c>
      <c r="N301" s="33"/>
      <c r="O301" s="32">
        <v>40</v>
      </c>
      <c r="P301" s="8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70</v>
      </c>
      <c r="X301" s="543">
        <v>0</v>
      </c>
      <c r="Y301" s="544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74</v>
      </c>
      <c r="L302" s="32"/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70</v>
      </c>
      <c r="X302" s="543">
        <v>0</v>
      </c>
      <c r="Y302" s="544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2">
        <v>0.3</v>
      </c>
      <c r="G303" s="32">
        <v>6</v>
      </c>
      <c r="H303" s="542">
        <v>1.8</v>
      </c>
      <c r="I303" s="542">
        <v>2.028</v>
      </c>
      <c r="J303" s="32">
        <v>182</v>
      </c>
      <c r="K303" s="32" t="s">
        <v>67</v>
      </c>
      <c r="L303" s="32"/>
      <c r="M303" s="33" t="s">
        <v>68</v>
      </c>
      <c r="N303" s="33"/>
      <c r="O303" s="32">
        <v>40</v>
      </c>
      <c r="P303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0"/>
      <c r="R303" s="550"/>
      <c r="S303" s="550"/>
      <c r="T303" s="551"/>
      <c r="U303" s="34"/>
      <c r="V303" s="34"/>
      <c r="W303" s="35" t="s">
        <v>70</v>
      </c>
      <c r="X303" s="543">
        <v>59</v>
      </c>
      <c r="Y303" s="544">
        <f t="shared" si="26"/>
        <v>59.4</v>
      </c>
      <c r="Z303" s="36">
        <f>IFERROR(IF(Y303=0,"",ROUNDUP(Y303/H303,0)*0.00651),"")</f>
        <v>0.21482999999999999</v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66.473333333333329</v>
      </c>
      <c r="BN303" s="64">
        <f t="shared" si="28"/>
        <v>66.923999999999992</v>
      </c>
      <c r="BO303" s="64">
        <f t="shared" si="29"/>
        <v>0.18009768009768012</v>
      </c>
      <c r="BP303" s="64">
        <f t="shared" si="30"/>
        <v>0.18131868131868134</v>
      </c>
    </row>
    <row r="304" spans="1:68" x14ac:dyDescent="0.2">
      <c r="A304" s="56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68"/>
      <c r="P304" s="561" t="s">
        <v>76</v>
      </c>
      <c r="Q304" s="562"/>
      <c r="R304" s="562"/>
      <c r="S304" s="562"/>
      <c r="T304" s="562"/>
      <c r="U304" s="562"/>
      <c r="V304" s="563"/>
      <c r="W304" s="37" t="s">
        <v>77</v>
      </c>
      <c r="X304" s="545">
        <f>IFERROR(X298/H298,"0")+IFERROR(X299/H299,"0")+IFERROR(X300/H300,"0")+IFERROR(X301/H301,"0")+IFERROR(X302/H302,"0")+IFERROR(X303/H303,"0")</f>
        <v>32.777777777777779</v>
      </c>
      <c r="Y304" s="545">
        <f>IFERROR(Y298/H298,"0")+IFERROR(Y299/H299,"0")+IFERROR(Y300/H300,"0")+IFERROR(Y301/H301,"0")+IFERROR(Y302/H302,"0")+IFERROR(Y303/H303,"0")</f>
        <v>33</v>
      </c>
      <c r="Z304" s="545">
        <f>IFERROR(IF(Z298="",0,Z298),"0")+IFERROR(IF(Z299="",0,Z299),"0")+IFERROR(IF(Z300="",0,Z300),"0")+IFERROR(IF(Z301="",0,Z301),"0")+IFERROR(IF(Z302="",0,Z302),"0")+IFERROR(IF(Z303="",0,Z303),"0")</f>
        <v>0.21482999999999999</v>
      </c>
      <c r="AA304" s="546"/>
      <c r="AB304" s="546"/>
      <c r="AC304" s="546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68"/>
      <c r="P305" s="561" t="s">
        <v>76</v>
      </c>
      <c r="Q305" s="562"/>
      <c r="R305" s="562"/>
      <c r="S305" s="562"/>
      <c r="T305" s="562"/>
      <c r="U305" s="562"/>
      <c r="V305" s="563"/>
      <c r="W305" s="37" t="s">
        <v>70</v>
      </c>
      <c r="X305" s="545">
        <f>IFERROR(SUM(X298:X303),"0")</f>
        <v>59</v>
      </c>
      <c r="Y305" s="545">
        <f>IFERROR(SUM(Y298:Y303),"0")</f>
        <v>59.4</v>
      </c>
      <c r="Z305" s="37"/>
      <c r="AA305" s="546"/>
      <c r="AB305" s="546"/>
      <c r="AC305" s="546"/>
    </row>
    <row r="306" spans="1:68" ht="14.25" customHeight="1" x14ac:dyDescent="0.25">
      <c r="A306" s="556" t="s">
        <v>78</v>
      </c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  <c r="Z306" s="557"/>
      <c r="AA306" s="539"/>
      <c r="AB306" s="539"/>
      <c r="AC306" s="539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2">
        <v>1.3</v>
      </c>
      <c r="G307" s="32">
        <v>6</v>
      </c>
      <c r="H307" s="542">
        <v>7.8</v>
      </c>
      <c r="I307" s="542">
        <v>8.2880000000000003</v>
      </c>
      <c r="J307" s="32">
        <v>64</v>
      </c>
      <c r="K307" s="32" t="s">
        <v>106</v>
      </c>
      <c r="L307" s="32"/>
      <c r="M307" s="33" t="s">
        <v>81</v>
      </c>
      <c r="N307" s="33"/>
      <c r="O307" s="32">
        <v>40</v>
      </c>
      <c r="P307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0"/>
      <c r="R307" s="550"/>
      <c r="S307" s="550"/>
      <c r="T307" s="551"/>
      <c r="U307" s="34"/>
      <c r="V307" s="34"/>
      <c r="W307" s="35" t="s">
        <v>70</v>
      </c>
      <c r="X307" s="543">
        <v>0</v>
      </c>
      <c r="Y307" s="544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2">
        <v>1.3</v>
      </c>
      <c r="G308" s="32">
        <v>6</v>
      </c>
      <c r="H308" s="542">
        <v>7.8</v>
      </c>
      <c r="I308" s="542">
        <v>8.2940000000000005</v>
      </c>
      <c r="J308" s="32">
        <v>64</v>
      </c>
      <c r="K308" s="32" t="s">
        <v>106</v>
      </c>
      <c r="L308" s="32"/>
      <c r="M308" s="33" t="s">
        <v>81</v>
      </c>
      <c r="N308" s="33"/>
      <c r="O308" s="32">
        <v>40</v>
      </c>
      <c r="P308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0"/>
      <c r="R308" s="550"/>
      <c r="S308" s="550"/>
      <c r="T308" s="551"/>
      <c r="U308" s="34"/>
      <c r="V308" s="34"/>
      <c r="W308" s="35" t="s">
        <v>70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2">
        <v>1.35</v>
      </c>
      <c r="G309" s="32">
        <v>6</v>
      </c>
      <c r="H309" s="542">
        <v>8.1</v>
      </c>
      <c r="I309" s="542">
        <v>8.5760000000000005</v>
      </c>
      <c r="J309" s="32">
        <v>64</v>
      </c>
      <c r="K309" s="32" t="s">
        <v>106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70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2">
        <v>0.5</v>
      </c>
      <c r="G310" s="32">
        <v>6</v>
      </c>
      <c r="H310" s="542">
        <v>3</v>
      </c>
      <c r="I310" s="542">
        <v>3.246</v>
      </c>
      <c r="J310" s="32">
        <v>182</v>
      </c>
      <c r="K310" s="32" t="s">
        <v>67</v>
      </c>
      <c r="L310" s="32"/>
      <c r="M310" s="33" t="s">
        <v>81</v>
      </c>
      <c r="N310" s="33"/>
      <c r="O310" s="32">
        <v>40</v>
      </c>
      <c r="P310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0"/>
      <c r="R310" s="550"/>
      <c r="S310" s="550"/>
      <c r="T310" s="551"/>
      <c r="U310" s="34"/>
      <c r="V310" s="34"/>
      <c r="W310" s="35" t="s">
        <v>70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8"/>
      <c r="P311" s="561" t="s">
        <v>76</v>
      </c>
      <c r="Q311" s="562"/>
      <c r="R311" s="562"/>
      <c r="S311" s="562"/>
      <c r="T311" s="562"/>
      <c r="U311" s="562"/>
      <c r="V311" s="563"/>
      <c r="W311" s="37" t="s">
        <v>77</v>
      </c>
      <c r="X311" s="545">
        <f>IFERROR(X307/H307,"0")+IFERROR(X308/H308,"0")+IFERROR(X309/H309,"0")+IFERROR(X310/H310,"0")</f>
        <v>0</v>
      </c>
      <c r="Y311" s="545">
        <f>IFERROR(Y307/H307,"0")+IFERROR(Y308/H308,"0")+IFERROR(Y309/H309,"0")+IFERROR(Y310/H310,"0")</f>
        <v>0</v>
      </c>
      <c r="Z311" s="545">
        <f>IFERROR(IF(Z307="",0,Z307),"0")+IFERROR(IF(Z308="",0,Z308),"0")+IFERROR(IF(Z309="",0,Z309),"0")+IFERROR(IF(Z310="",0,Z310),"0")</f>
        <v>0</v>
      </c>
      <c r="AA311" s="546"/>
      <c r="AB311" s="546"/>
      <c r="AC311" s="546"/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68"/>
      <c r="P312" s="561" t="s">
        <v>76</v>
      </c>
      <c r="Q312" s="562"/>
      <c r="R312" s="562"/>
      <c r="S312" s="562"/>
      <c r="T312" s="562"/>
      <c r="U312" s="562"/>
      <c r="V312" s="563"/>
      <c r="W312" s="37" t="s">
        <v>70</v>
      </c>
      <c r="X312" s="545">
        <f>IFERROR(SUM(X307:X310),"0")</f>
        <v>0</v>
      </c>
      <c r="Y312" s="545">
        <f>IFERROR(SUM(Y307:Y310),"0")</f>
        <v>0</v>
      </c>
      <c r="Z312" s="37"/>
      <c r="AA312" s="546"/>
      <c r="AB312" s="546"/>
      <c r="AC312" s="546"/>
    </row>
    <row r="313" spans="1:68" ht="14.25" customHeight="1" x14ac:dyDescent="0.25">
      <c r="A313" s="556" t="s">
        <v>167</v>
      </c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  <c r="Z313" s="557"/>
      <c r="AA313" s="539"/>
      <c r="AB313" s="539"/>
      <c r="AC313" s="539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7">
        <v>4607091380880</v>
      </c>
      <c r="E314" s="548"/>
      <c r="F314" s="542">
        <v>1.4</v>
      </c>
      <c r="G314" s="32">
        <v>6</v>
      </c>
      <c r="H314" s="542">
        <v>8.4</v>
      </c>
      <c r="I314" s="542">
        <v>8.8940000000000001</v>
      </c>
      <c r="J314" s="32">
        <v>64</v>
      </c>
      <c r="K314" s="32" t="s">
        <v>106</v>
      </c>
      <c r="L314" s="32" t="s">
        <v>107</v>
      </c>
      <c r="M314" s="33" t="s">
        <v>81</v>
      </c>
      <c r="N314" s="33"/>
      <c r="O314" s="32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0"/>
      <c r="R314" s="550"/>
      <c r="S314" s="550"/>
      <c r="T314" s="551"/>
      <c r="U314" s="34"/>
      <c r="V314" s="34"/>
      <c r="W314" s="35" t="s">
        <v>70</v>
      </c>
      <c r="X314" s="543">
        <v>78</v>
      </c>
      <c r="Y314" s="544">
        <f>IFERROR(IF(X314="",0,CEILING((X314/$H314),1)*$H314),"")</f>
        <v>84</v>
      </c>
      <c r="Z314" s="36">
        <f>IFERROR(IF(Y314=0,"",ROUNDUP(Y314/H314,0)*0.01898),"")</f>
        <v>0.1898</v>
      </c>
      <c r="AA314" s="56"/>
      <c r="AB314" s="57"/>
      <c r="AC314" s="363" t="s">
        <v>495</v>
      </c>
      <c r="AG314" s="64"/>
      <c r="AJ314" s="68" t="s">
        <v>110</v>
      </c>
      <c r="AK314" s="68">
        <v>67.2</v>
      </c>
      <c r="BB314" s="364" t="s">
        <v>1</v>
      </c>
      <c r="BM314" s="64">
        <f>IFERROR(X314*I314/H314,"0")</f>
        <v>82.587142857142851</v>
      </c>
      <c r="BN314" s="64">
        <f>IFERROR(Y314*I314/H314,"0")</f>
        <v>88.94</v>
      </c>
      <c r="BO314" s="64">
        <f>IFERROR(1/J314*(X314/H314),"0")</f>
        <v>0.1450892857142857</v>
      </c>
      <c r="BP314" s="64">
        <f>IFERROR(1/J314*(Y314/H314),"0")</f>
        <v>0.15625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7">
        <v>4607091384482</v>
      </c>
      <c r="E315" s="548"/>
      <c r="F315" s="542">
        <v>1.3</v>
      </c>
      <c r="G315" s="32">
        <v>6</v>
      </c>
      <c r="H315" s="542">
        <v>7.8</v>
      </c>
      <c r="I315" s="542">
        <v>8.2940000000000005</v>
      </c>
      <c r="J315" s="32">
        <v>64</v>
      </c>
      <c r="K315" s="32" t="s">
        <v>106</v>
      </c>
      <c r="L315" s="32" t="s">
        <v>107</v>
      </c>
      <c r="M315" s="33" t="s">
        <v>81</v>
      </c>
      <c r="N315" s="33"/>
      <c r="O315" s="32">
        <v>30</v>
      </c>
      <c r="P315" s="5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0"/>
      <c r="R315" s="550"/>
      <c r="S315" s="550"/>
      <c r="T315" s="551"/>
      <c r="U315" s="34"/>
      <c r="V315" s="34"/>
      <c r="W315" s="35" t="s">
        <v>70</v>
      </c>
      <c r="X315" s="543">
        <v>177</v>
      </c>
      <c r="Y315" s="544">
        <f>IFERROR(IF(X315="",0,CEILING((X315/$H315),1)*$H315),"")</f>
        <v>179.4</v>
      </c>
      <c r="Z315" s="36">
        <f>IFERROR(IF(Y315=0,"",ROUNDUP(Y315/H315,0)*0.01898),"")</f>
        <v>0.43653999999999998</v>
      </c>
      <c r="AA315" s="56"/>
      <c r="AB315" s="57"/>
      <c r="AC315" s="365" t="s">
        <v>498</v>
      </c>
      <c r="AG315" s="64"/>
      <c r="AJ315" s="68" t="s">
        <v>110</v>
      </c>
      <c r="AK315" s="68">
        <v>62.4</v>
      </c>
      <c r="BB315" s="366" t="s">
        <v>1</v>
      </c>
      <c r="BM315" s="64">
        <f>IFERROR(X315*I315/H315,"0")</f>
        <v>188.21</v>
      </c>
      <c r="BN315" s="64">
        <f>IFERROR(Y315*I315/H315,"0")</f>
        <v>190.762</v>
      </c>
      <c r="BO315" s="64">
        <f>IFERROR(1/J315*(X315/H315),"0")</f>
        <v>0.35456730769230771</v>
      </c>
      <c r="BP315" s="64">
        <f>IFERROR(1/J315*(Y315/H315),"0")</f>
        <v>0.359375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7">
        <v>4607091380897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106</v>
      </c>
      <c r="L316" s="32" t="s">
        <v>107</v>
      </c>
      <c r="M316" s="33" t="s">
        <v>88</v>
      </c>
      <c r="N316" s="33"/>
      <c r="O316" s="32">
        <v>30</v>
      </c>
      <c r="P316" s="5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0"/>
      <c r="R316" s="550"/>
      <c r="S316" s="550"/>
      <c r="T316" s="551"/>
      <c r="U316" s="34"/>
      <c r="V316" s="34"/>
      <c r="W316" s="35" t="s">
        <v>70</v>
      </c>
      <c r="X316" s="543">
        <v>98</v>
      </c>
      <c r="Y316" s="544">
        <f>IFERROR(IF(X316="",0,CEILING((X316/$H316),1)*$H316),"")</f>
        <v>100.80000000000001</v>
      </c>
      <c r="Z316" s="36">
        <f>IFERROR(IF(Y316=0,"",ROUNDUP(Y316/H316,0)*0.01898),"")</f>
        <v>0.22776000000000002</v>
      </c>
      <c r="AA316" s="56"/>
      <c r="AB316" s="57"/>
      <c r="AC316" s="367" t="s">
        <v>501</v>
      </c>
      <c r="AG316" s="64"/>
      <c r="AJ316" s="68" t="s">
        <v>110</v>
      </c>
      <c r="AK316" s="68">
        <v>67.2</v>
      </c>
      <c r="BB316" s="368" t="s">
        <v>1</v>
      </c>
      <c r="BM316" s="64">
        <f>IFERROR(X316*I316/H316,"0")</f>
        <v>103.76333333333332</v>
      </c>
      <c r="BN316" s="64">
        <f>IFERROR(Y316*I316/H316,"0")</f>
        <v>106.72800000000001</v>
      </c>
      <c r="BO316" s="64">
        <f>IFERROR(1/J316*(X316/H316),"0")</f>
        <v>0.18229166666666666</v>
      </c>
      <c r="BP316" s="64">
        <f>IFERROR(1/J316*(Y316/H316),"0")</f>
        <v>0.1875</v>
      </c>
    </row>
    <row r="317" spans="1:68" x14ac:dyDescent="0.2">
      <c r="A317" s="56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8"/>
      <c r="P317" s="561" t="s">
        <v>76</v>
      </c>
      <c r="Q317" s="562"/>
      <c r="R317" s="562"/>
      <c r="S317" s="562"/>
      <c r="T317" s="562"/>
      <c r="U317" s="562"/>
      <c r="V317" s="563"/>
      <c r="W317" s="37" t="s">
        <v>77</v>
      </c>
      <c r="X317" s="545">
        <f>IFERROR(X314/H314,"0")+IFERROR(X315/H315,"0")+IFERROR(X316/H316,"0")</f>
        <v>43.644688644688642</v>
      </c>
      <c r="Y317" s="545">
        <f>IFERROR(Y314/H314,"0")+IFERROR(Y315/H315,"0")+IFERROR(Y316/H316,"0")</f>
        <v>45</v>
      </c>
      <c r="Z317" s="545">
        <f>IFERROR(IF(Z314="",0,Z314),"0")+IFERROR(IF(Z315="",0,Z315),"0")+IFERROR(IF(Z316="",0,Z316),"0")</f>
        <v>0.85410000000000008</v>
      </c>
      <c r="AA317" s="546"/>
      <c r="AB317" s="546"/>
      <c r="AC317" s="546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8"/>
      <c r="P318" s="561" t="s">
        <v>76</v>
      </c>
      <c r="Q318" s="562"/>
      <c r="R318" s="562"/>
      <c r="S318" s="562"/>
      <c r="T318" s="562"/>
      <c r="U318" s="562"/>
      <c r="V318" s="563"/>
      <c r="W318" s="37" t="s">
        <v>70</v>
      </c>
      <c r="X318" s="545">
        <f>IFERROR(SUM(X314:X316),"0")</f>
        <v>353</v>
      </c>
      <c r="Y318" s="545">
        <f>IFERROR(SUM(Y314:Y316),"0")</f>
        <v>364.2</v>
      </c>
      <c r="Z318" s="37"/>
      <c r="AA318" s="546"/>
      <c r="AB318" s="546"/>
      <c r="AC318" s="546"/>
    </row>
    <row r="319" spans="1:68" ht="14.25" customHeight="1" x14ac:dyDescent="0.25">
      <c r="A319" s="556" t="s">
        <v>95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39"/>
      <c r="AB319" s="539"/>
      <c r="AC319" s="539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7">
        <v>4607091388381</v>
      </c>
      <c r="E320" s="548"/>
      <c r="F320" s="542">
        <v>0.38</v>
      </c>
      <c r="G320" s="32">
        <v>8</v>
      </c>
      <c r="H320" s="542">
        <v>3.04</v>
      </c>
      <c r="I320" s="542">
        <v>3.31</v>
      </c>
      <c r="J320" s="32">
        <v>132</v>
      </c>
      <c r="K320" s="32" t="s">
        <v>113</v>
      </c>
      <c r="L320" s="32"/>
      <c r="M320" s="33" t="s">
        <v>98</v>
      </c>
      <c r="N320" s="33"/>
      <c r="O320" s="32">
        <v>180</v>
      </c>
      <c r="P320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0"/>
      <c r="R320" s="550"/>
      <c r="S320" s="550"/>
      <c r="T320" s="551"/>
      <c r="U320" s="34"/>
      <c r="V320" s="34"/>
      <c r="W320" s="35" t="s">
        <v>70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7">
        <v>4607091388374</v>
      </c>
      <c r="E321" s="548"/>
      <c r="F321" s="542">
        <v>0.38</v>
      </c>
      <c r="G321" s="32">
        <v>8</v>
      </c>
      <c r="H321" s="542">
        <v>3.04</v>
      </c>
      <c r="I321" s="542">
        <v>3.27</v>
      </c>
      <c r="J321" s="32">
        <v>132</v>
      </c>
      <c r="K321" s="32" t="s">
        <v>113</v>
      </c>
      <c r="L321" s="32"/>
      <c r="M321" s="33" t="s">
        <v>98</v>
      </c>
      <c r="N321" s="33"/>
      <c r="O321" s="32">
        <v>180</v>
      </c>
      <c r="P321" s="8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50"/>
      <c r="R321" s="550"/>
      <c r="S321" s="550"/>
      <c r="T321" s="551"/>
      <c r="U321" s="34"/>
      <c r="V321" s="34"/>
      <c r="W321" s="35" t="s">
        <v>70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7">
        <v>4607091383102</v>
      </c>
      <c r="E322" s="548"/>
      <c r="F322" s="542">
        <v>0.17</v>
      </c>
      <c r="G322" s="32">
        <v>15</v>
      </c>
      <c r="H322" s="542">
        <v>2.5499999999999998</v>
      </c>
      <c r="I322" s="542">
        <v>2.9550000000000001</v>
      </c>
      <c r="J322" s="32">
        <v>182</v>
      </c>
      <c r="K322" s="32" t="s">
        <v>67</v>
      </c>
      <c r="L322" s="32"/>
      <c r="M322" s="33" t="s">
        <v>98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0"/>
      <c r="R322" s="550"/>
      <c r="S322" s="550"/>
      <c r="T322" s="551"/>
      <c r="U322" s="34"/>
      <c r="V322" s="34"/>
      <c r="W322" s="35" t="s">
        <v>70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7">
        <v>4607091388404</v>
      </c>
      <c r="E323" s="548"/>
      <c r="F323" s="542">
        <v>0.17</v>
      </c>
      <c r="G323" s="32">
        <v>15</v>
      </c>
      <c r="H323" s="542">
        <v>2.5499999999999998</v>
      </c>
      <c r="I323" s="542">
        <v>2.88</v>
      </c>
      <c r="J323" s="32">
        <v>182</v>
      </c>
      <c r="K323" s="32" t="s">
        <v>67</v>
      </c>
      <c r="L323" s="32" t="s">
        <v>210</v>
      </c>
      <c r="M323" s="33" t="s">
        <v>98</v>
      </c>
      <c r="N323" s="33"/>
      <c r="O323" s="32">
        <v>180</v>
      </c>
      <c r="P323" s="8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0"/>
      <c r="R323" s="550"/>
      <c r="S323" s="550"/>
      <c r="T323" s="551"/>
      <c r="U323" s="34"/>
      <c r="V323" s="34"/>
      <c r="W323" s="35" t="s">
        <v>70</v>
      </c>
      <c r="X323" s="543">
        <v>29</v>
      </c>
      <c r="Y323" s="544">
        <f>IFERROR(IF(X323="",0,CEILING((X323/$H323),1)*$H323),"")</f>
        <v>30.599999999999998</v>
      </c>
      <c r="Z323" s="36">
        <f>IFERROR(IF(Y323=0,"",ROUNDUP(Y323/H323,0)*0.00651),"")</f>
        <v>7.8119999999999995E-2</v>
      </c>
      <c r="AA323" s="56"/>
      <c r="AB323" s="57"/>
      <c r="AC323" s="375" t="s">
        <v>504</v>
      </c>
      <c r="AG323" s="64"/>
      <c r="AJ323" s="68" t="s">
        <v>110</v>
      </c>
      <c r="AK323" s="68">
        <v>35.700000000000003</v>
      </c>
      <c r="BB323" s="376" t="s">
        <v>1</v>
      </c>
      <c r="BM323" s="64">
        <f>IFERROR(X323*I323/H323,"0")</f>
        <v>32.752941176470586</v>
      </c>
      <c r="BN323" s="64">
        <f>IFERROR(Y323*I323/H323,"0")</f>
        <v>34.559999999999995</v>
      </c>
      <c r="BO323" s="64">
        <f>IFERROR(1/J323*(X323/H323),"0")</f>
        <v>6.2486533074768376E-2</v>
      </c>
      <c r="BP323" s="64">
        <f>IFERROR(1/J323*(Y323/H323),"0")</f>
        <v>6.5934065934065936E-2</v>
      </c>
    </row>
    <row r="324" spans="1:68" x14ac:dyDescent="0.2">
      <c r="A324" s="56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8"/>
      <c r="P324" s="561" t="s">
        <v>76</v>
      </c>
      <c r="Q324" s="562"/>
      <c r="R324" s="562"/>
      <c r="S324" s="562"/>
      <c r="T324" s="562"/>
      <c r="U324" s="562"/>
      <c r="V324" s="563"/>
      <c r="W324" s="37" t="s">
        <v>77</v>
      </c>
      <c r="X324" s="545">
        <f>IFERROR(X320/H320,"0")+IFERROR(X321/H321,"0")+IFERROR(X322/H322,"0")+IFERROR(X323/H323,"0")</f>
        <v>11.372549019607844</v>
      </c>
      <c r="Y324" s="545">
        <f>IFERROR(Y320/H320,"0")+IFERROR(Y321/H321,"0")+IFERROR(Y322/H322,"0")+IFERROR(Y323/H323,"0")</f>
        <v>12</v>
      </c>
      <c r="Z324" s="545">
        <f>IFERROR(IF(Z320="",0,Z320),"0")+IFERROR(IF(Z321="",0,Z321),"0")+IFERROR(IF(Z322="",0,Z322),"0")+IFERROR(IF(Z323="",0,Z323),"0")</f>
        <v>7.8119999999999995E-2</v>
      </c>
      <c r="AA324" s="546"/>
      <c r="AB324" s="546"/>
      <c r="AC324" s="546"/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68"/>
      <c r="P325" s="561" t="s">
        <v>76</v>
      </c>
      <c r="Q325" s="562"/>
      <c r="R325" s="562"/>
      <c r="S325" s="562"/>
      <c r="T325" s="562"/>
      <c r="U325" s="562"/>
      <c r="V325" s="563"/>
      <c r="W325" s="37" t="s">
        <v>70</v>
      </c>
      <c r="X325" s="545">
        <f>IFERROR(SUM(X320:X323),"0")</f>
        <v>29</v>
      </c>
      <c r="Y325" s="545">
        <f>IFERROR(SUM(Y320:Y323),"0")</f>
        <v>30.599999999999998</v>
      </c>
      <c r="Z325" s="37"/>
      <c r="AA325" s="546"/>
      <c r="AB325" s="546"/>
      <c r="AC325" s="546"/>
    </row>
    <row r="326" spans="1:68" ht="14.25" customHeight="1" x14ac:dyDescent="0.25">
      <c r="A326" s="556" t="s">
        <v>512</v>
      </c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  <c r="Z326" s="557"/>
      <c r="AA326" s="539"/>
      <c r="AB326" s="539"/>
      <c r="AC326" s="539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7">
        <v>4680115881808</v>
      </c>
      <c r="E327" s="548"/>
      <c r="F327" s="542">
        <v>0.1</v>
      </c>
      <c r="G327" s="32">
        <v>20</v>
      </c>
      <c r="H327" s="542">
        <v>2</v>
      </c>
      <c r="I327" s="542">
        <v>2.2400000000000002</v>
      </c>
      <c r="J327" s="32">
        <v>238</v>
      </c>
      <c r="K327" s="32" t="s">
        <v>67</v>
      </c>
      <c r="L327" s="32"/>
      <c r="M327" s="33" t="s">
        <v>515</v>
      </c>
      <c r="N327" s="33"/>
      <c r="O327" s="32">
        <v>730</v>
      </c>
      <c r="P327" s="75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0"/>
      <c r="R327" s="550"/>
      <c r="S327" s="550"/>
      <c r="T327" s="551"/>
      <c r="U327" s="34"/>
      <c r="V327" s="34"/>
      <c r="W327" s="35" t="s">
        <v>70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7">
        <v>4680115881822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67</v>
      </c>
      <c r="L328" s="32"/>
      <c r="M328" s="33" t="s">
        <v>515</v>
      </c>
      <c r="N328" s="33"/>
      <c r="O328" s="32">
        <v>730</v>
      </c>
      <c r="P328" s="5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70</v>
      </c>
      <c r="X328" s="543">
        <v>3</v>
      </c>
      <c r="Y328" s="544">
        <f>IFERROR(IF(X328="",0,CEILING((X328/$H328),1)*$H328),"")</f>
        <v>4</v>
      </c>
      <c r="Z328" s="36">
        <f>IFERROR(IF(Y328=0,"",ROUNDUP(Y328/H328,0)*0.00474),"")</f>
        <v>9.4800000000000006E-3</v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3.3600000000000003</v>
      </c>
      <c r="BN328" s="64">
        <f>IFERROR(Y328*I328/H328,"0")</f>
        <v>4.4800000000000004</v>
      </c>
      <c r="BO328" s="64">
        <f>IFERROR(1/J328*(X328/H328),"0")</f>
        <v>6.3025210084033615E-3</v>
      </c>
      <c r="BP328" s="64">
        <f>IFERROR(1/J328*(Y328/H328),"0")</f>
        <v>8.4033613445378148E-3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7">
        <v>4680115880016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67</v>
      </c>
      <c r="L329" s="32"/>
      <c r="M329" s="33" t="s">
        <v>515</v>
      </c>
      <c r="N329" s="33"/>
      <c r="O329" s="32">
        <v>730</v>
      </c>
      <c r="P329" s="6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0"/>
      <c r="R329" s="550"/>
      <c r="S329" s="550"/>
      <c r="T329" s="551"/>
      <c r="U329" s="34"/>
      <c r="V329" s="34"/>
      <c r="W329" s="35" t="s">
        <v>70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8"/>
      <c r="P330" s="561" t="s">
        <v>76</v>
      </c>
      <c r="Q330" s="562"/>
      <c r="R330" s="562"/>
      <c r="S330" s="562"/>
      <c r="T330" s="562"/>
      <c r="U330" s="562"/>
      <c r="V330" s="563"/>
      <c r="W330" s="37" t="s">
        <v>77</v>
      </c>
      <c r="X330" s="545">
        <f>IFERROR(X327/H327,"0")+IFERROR(X328/H328,"0")+IFERROR(X329/H329,"0")</f>
        <v>1.5</v>
      </c>
      <c r="Y330" s="545">
        <f>IFERROR(Y327/H327,"0")+IFERROR(Y328/H328,"0")+IFERROR(Y329/H329,"0")</f>
        <v>2</v>
      </c>
      <c r="Z330" s="545">
        <f>IFERROR(IF(Z327="",0,Z327),"0")+IFERROR(IF(Z328="",0,Z328),"0")+IFERROR(IF(Z329="",0,Z329),"0")</f>
        <v>9.4800000000000006E-3</v>
      </c>
      <c r="AA330" s="546"/>
      <c r="AB330" s="546"/>
      <c r="AC330" s="546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8"/>
      <c r="P331" s="561" t="s">
        <v>76</v>
      </c>
      <c r="Q331" s="562"/>
      <c r="R331" s="562"/>
      <c r="S331" s="562"/>
      <c r="T331" s="562"/>
      <c r="U331" s="562"/>
      <c r="V331" s="563"/>
      <c r="W331" s="37" t="s">
        <v>70</v>
      </c>
      <c r="X331" s="545">
        <f>IFERROR(SUM(X327:X329),"0")</f>
        <v>3</v>
      </c>
      <c r="Y331" s="545">
        <f>IFERROR(SUM(Y327:Y329),"0")</f>
        <v>4</v>
      </c>
      <c r="Z331" s="37"/>
      <c r="AA331" s="546"/>
      <c r="AB331" s="546"/>
      <c r="AC331" s="546"/>
    </row>
    <row r="332" spans="1:68" ht="16.5" customHeight="1" x14ac:dyDescent="0.25">
      <c r="A332" s="558" t="s">
        <v>521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38"/>
      <c r="AB332" s="538"/>
      <c r="AC332" s="538"/>
    </row>
    <row r="333" spans="1:68" ht="14.25" customHeight="1" x14ac:dyDescent="0.25">
      <c r="A333" s="556" t="s">
        <v>78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9"/>
      <c r="AB333" s="539"/>
      <c r="AC333" s="539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7">
        <v>4607091387919</v>
      </c>
      <c r="E334" s="548"/>
      <c r="F334" s="542">
        <v>1.35</v>
      </c>
      <c r="G334" s="32">
        <v>6</v>
      </c>
      <c r="H334" s="542">
        <v>8.1</v>
      </c>
      <c r="I334" s="542">
        <v>8.5939999999999994</v>
      </c>
      <c r="J334" s="32">
        <v>64</v>
      </c>
      <c r="K334" s="32" t="s">
        <v>106</v>
      </c>
      <c r="L334" s="32" t="s">
        <v>107</v>
      </c>
      <c r="M334" s="33" t="s">
        <v>88</v>
      </c>
      <c r="N334" s="33"/>
      <c r="O334" s="32">
        <v>45</v>
      </c>
      <c r="P334" s="6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0"/>
      <c r="R334" s="550"/>
      <c r="S334" s="550"/>
      <c r="T334" s="551"/>
      <c r="U334" s="34"/>
      <c r="V334" s="34"/>
      <c r="W334" s="35" t="s">
        <v>70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 t="s">
        <v>110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7">
        <v>4680115883604</v>
      </c>
      <c r="E335" s="548"/>
      <c r="F335" s="542">
        <v>0.35</v>
      </c>
      <c r="G335" s="32">
        <v>6</v>
      </c>
      <c r="H335" s="542">
        <v>2.1</v>
      </c>
      <c r="I335" s="542">
        <v>2.3519999999999999</v>
      </c>
      <c r="J335" s="32">
        <v>182</v>
      </c>
      <c r="K335" s="32" t="s">
        <v>67</v>
      </c>
      <c r="L335" s="32"/>
      <c r="M335" s="33" t="s">
        <v>81</v>
      </c>
      <c r="N335" s="33"/>
      <c r="O335" s="32">
        <v>45</v>
      </c>
      <c r="P335" s="79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0"/>
      <c r="R335" s="550"/>
      <c r="S335" s="550"/>
      <c r="T335" s="551"/>
      <c r="U335" s="34"/>
      <c r="V335" s="34"/>
      <c r="W335" s="35" t="s">
        <v>70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7">
        <v>4680115883567</v>
      </c>
      <c r="E336" s="548"/>
      <c r="F336" s="542">
        <v>0.35</v>
      </c>
      <c r="G336" s="32">
        <v>6</v>
      </c>
      <c r="H336" s="542">
        <v>2.1</v>
      </c>
      <c r="I336" s="542">
        <v>2.34</v>
      </c>
      <c r="J336" s="32">
        <v>182</v>
      </c>
      <c r="K336" s="32" t="s">
        <v>67</v>
      </c>
      <c r="L336" s="32"/>
      <c r="M336" s="33" t="s">
        <v>88</v>
      </c>
      <c r="N336" s="33"/>
      <c r="O336" s="32">
        <v>40</v>
      </c>
      <c r="P336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70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8"/>
      <c r="P337" s="561" t="s">
        <v>76</v>
      </c>
      <c r="Q337" s="562"/>
      <c r="R337" s="562"/>
      <c r="S337" s="562"/>
      <c r="T337" s="562"/>
      <c r="U337" s="562"/>
      <c r="V337" s="563"/>
      <c r="W337" s="37" t="s">
        <v>77</v>
      </c>
      <c r="X337" s="545">
        <f>IFERROR(X334/H334,"0")+IFERROR(X335/H335,"0")+IFERROR(X336/H336,"0")</f>
        <v>0</v>
      </c>
      <c r="Y337" s="545">
        <f>IFERROR(Y334/H334,"0")+IFERROR(Y335/H335,"0")+IFERROR(Y336/H336,"0")</f>
        <v>0</v>
      </c>
      <c r="Z337" s="545">
        <f>IFERROR(IF(Z334="",0,Z334),"0")+IFERROR(IF(Z335="",0,Z335),"0")+IFERROR(IF(Z336="",0,Z336),"0")</f>
        <v>0</v>
      </c>
      <c r="AA337" s="546"/>
      <c r="AB337" s="546"/>
      <c r="AC337" s="546"/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68"/>
      <c r="P338" s="561" t="s">
        <v>76</v>
      </c>
      <c r="Q338" s="562"/>
      <c r="R338" s="562"/>
      <c r="S338" s="562"/>
      <c r="T338" s="562"/>
      <c r="U338" s="562"/>
      <c r="V338" s="563"/>
      <c r="W338" s="37" t="s">
        <v>70</v>
      </c>
      <c r="X338" s="545">
        <f>IFERROR(SUM(X334:X336),"0")</f>
        <v>0</v>
      </c>
      <c r="Y338" s="545">
        <f>IFERROR(SUM(Y334:Y336),"0")</f>
        <v>0</v>
      </c>
      <c r="Z338" s="37"/>
      <c r="AA338" s="546"/>
      <c r="AB338" s="546"/>
      <c r="AC338" s="546"/>
    </row>
    <row r="339" spans="1:68" ht="27.75" customHeight="1" x14ac:dyDescent="0.2">
      <c r="A339" s="650" t="s">
        <v>531</v>
      </c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1"/>
      <c r="P339" s="651"/>
      <c r="Q339" s="651"/>
      <c r="R339" s="651"/>
      <c r="S339" s="651"/>
      <c r="T339" s="651"/>
      <c r="U339" s="651"/>
      <c r="V339" s="651"/>
      <c r="W339" s="651"/>
      <c r="X339" s="651"/>
      <c r="Y339" s="651"/>
      <c r="Z339" s="651"/>
      <c r="AA339" s="48"/>
      <c r="AB339" s="48"/>
      <c r="AC339" s="48"/>
    </row>
    <row r="340" spans="1:68" ht="16.5" customHeight="1" x14ac:dyDescent="0.25">
      <c r="A340" s="558" t="s">
        <v>532</v>
      </c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  <c r="Z340" s="557"/>
      <c r="AA340" s="538"/>
      <c r="AB340" s="538"/>
      <c r="AC340" s="538"/>
    </row>
    <row r="341" spans="1:68" ht="14.25" customHeight="1" x14ac:dyDescent="0.25">
      <c r="A341" s="556" t="s">
        <v>103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9"/>
      <c r="AB341" s="539"/>
      <c r="AC341" s="539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7">
        <v>4680115884847</v>
      </c>
      <c r="E342" s="548"/>
      <c r="F342" s="542">
        <v>2.5</v>
      </c>
      <c r="G342" s="32">
        <v>6</v>
      </c>
      <c r="H342" s="542">
        <v>15</v>
      </c>
      <c r="I342" s="542">
        <v>15.47</v>
      </c>
      <c r="J342" s="32">
        <v>48</v>
      </c>
      <c r="K342" s="32" t="s">
        <v>106</v>
      </c>
      <c r="L342" s="32" t="s">
        <v>107</v>
      </c>
      <c r="M342" s="33" t="s">
        <v>68</v>
      </c>
      <c r="N342" s="33"/>
      <c r="O342" s="32">
        <v>60</v>
      </c>
      <c r="P342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0"/>
      <c r="R342" s="550"/>
      <c r="S342" s="550"/>
      <c r="T342" s="551"/>
      <c r="U342" s="34"/>
      <c r="V342" s="34"/>
      <c r="W342" s="35" t="s">
        <v>70</v>
      </c>
      <c r="X342" s="543">
        <v>0</v>
      </c>
      <c r="Y342" s="544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110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7">
        <v>4680115884854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106</v>
      </c>
      <c r="L343" s="32" t="s">
        <v>107</v>
      </c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0"/>
      <c r="R343" s="550"/>
      <c r="S343" s="550"/>
      <c r="T343" s="551"/>
      <c r="U343" s="34"/>
      <c r="V343" s="34"/>
      <c r="W343" s="35" t="s">
        <v>70</v>
      </c>
      <c r="X343" s="543">
        <v>161</v>
      </c>
      <c r="Y343" s="544">
        <f t="shared" si="31"/>
        <v>165</v>
      </c>
      <c r="Z343" s="36">
        <f>IFERROR(IF(Y343=0,"",ROUNDUP(Y343/H343,0)*0.02175),"")</f>
        <v>0.23924999999999999</v>
      </c>
      <c r="AA343" s="56"/>
      <c r="AB343" s="57"/>
      <c r="AC343" s="391" t="s">
        <v>538</v>
      </c>
      <c r="AG343" s="64"/>
      <c r="AJ343" s="68" t="s">
        <v>110</v>
      </c>
      <c r="AK343" s="68">
        <v>120</v>
      </c>
      <c r="BB343" s="392" t="s">
        <v>1</v>
      </c>
      <c r="BM343" s="64">
        <f t="shared" si="32"/>
        <v>166.04466666666667</v>
      </c>
      <c r="BN343" s="64">
        <f t="shared" si="33"/>
        <v>170.17000000000002</v>
      </c>
      <c r="BO343" s="64">
        <f t="shared" si="34"/>
        <v>0.22361111111111109</v>
      </c>
      <c r="BP343" s="64">
        <f t="shared" si="35"/>
        <v>0.22916666666666666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7">
        <v>4680115884830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106</v>
      </c>
      <c r="L344" s="32" t="s">
        <v>107</v>
      </c>
      <c r="M344" s="33" t="s">
        <v>68</v>
      </c>
      <c r="N344" s="33"/>
      <c r="O344" s="32">
        <v>60</v>
      </c>
      <c r="P344" s="8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70</v>
      </c>
      <c r="X344" s="543">
        <v>130</v>
      </c>
      <c r="Y344" s="544">
        <f t="shared" si="31"/>
        <v>135</v>
      </c>
      <c r="Z344" s="36">
        <f>IFERROR(IF(Y344=0,"",ROUNDUP(Y344/H344,0)*0.02175),"")</f>
        <v>0.19574999999999998</v>
      </c>
      <c r="AA344" s="56"/>
      <c r="AB344" s="57"/>
      <c r="AC344" s="393" t="s">
        <v>541</v>
      </c>
      <c r="AG344" s="64"/>
      <c r="AJ344" s="68" t="s">
        <v>110</v>
      </c>
      <c r="AK344" s="68">
        <v>120</v>
      </c>
      <c r="BB344" s="394" t="s">
        <v>1</v>
      </c>
      <c r="BM344" s="64">
        <f t="shared" si="32"/>
        <v>134.07333333333335</v>
      </c>
      <c r="BN344" s="64">
        <f t="shared" si="33"/>
        <v>139.23000000000002</v>
      </c>
      <c r="BO344" s="64">
        <f t="shared" si="34"/>
        <v>0.18055555555555552</v>
      </c>
      <c r="BP344" s="64">
        <f t="shared" si="35"/>
        <v>0.1875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7">
        <v>4680115887046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106</v>
      </c>
      <c r="L345" s="32"/>
      <c r="M345" s="33" t="s">
        <v>88</v>
      </c>
      <c r="N345" s="33"/>
      <c r="O345" s="32">
        <v>60</v>
      </c>
      <c r="P345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50"/>
      <c r="R345" s="550"/>
      <c r="S345" s="550"/>
      <c r="T345" s="551"/>
      <c r="U345" s="34"/>
      <c r="V345" s="34"/>
      <c r="W345" s="35" t="s">
        <v>70</v>
      </c>
      <c r="X345" s="543">
        <v>247</v>
      </c>
      <c r="Y345" s="544">
        <f t="shared" si="31"/>
        <v>255</v>
      </c>
      <c r="Z345" s="36">
        <f>IFERROR(IF(Y345=0,"",ROUNDUP(Y345/H345,0)*0.02175),"")</f>
        <v>0.36974999999999997</v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254.73933333333335</v>
      </c>
      <c r="BN345" s="64">
        <f t="shared" si="33"/>
        <v>262.99</v>
      </c>
      <c r="BO345" s="64">
        <f t="shared" si="34"/>
        <v>0.3430555555555555</v>
      </c>
      <c r="BP345" s="64">
        <f t="shared" si="35"/>
        <v>0.35416666666666663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7">
        <v>4680115882638</v>
      </c>
      <c r="E346" s="548"/>
      <c r="F346" s="542">
        <v>0.4</v>
      </c>
      <c r="G346" s="32">
        <v>10</v>
      </c>
      <c r="H346" s="542">
        <v>4</v>
      </c>
      <c r="I346" s="542">
        <v>4.1900000000000004</v>
      </c>
      <c r="J346" s="32">
        <v>132</v>
      </c>
      <c r="K346" s="32" t="s">
        <v>113</v>
      </c>
      <c r="L346" s="32"/>
      <c r="M346" s="33" t="s">
        <v>108</v>
      </c>
      <c r="N346" s="33"/>
      <c r="O346" s="32">
        <v>90</v>
      </c>
      <c r="P346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0"/>
      <c r="R346" s="550"/>
      <c r="S346" s="550"/>
      <c r="T346" s="551"/>
      <c r="U346" s="34"/>
      <c r="V346" s="34"/>
      <c r="W346" s="35" t="s">
        <v>70</v>
      </c>
      <c r="X346" s="543">
        <v>0</v>
      </c>
      <c r="Y346" s="544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7">
        <v>4680115884922</v>
      </c>
      <c r="E347" s="548"/>
      <c r="F347" s="542">
        <v>0.5</v>
      </c>
      <c r="G347" s="32">
        <v>10</v>
      </c>
      <c r="H347" s="542">
        <v>5</v>
      </c>
      <c r="I347" s="542">
        <v>5.19</v>
      </c>
      <c r="J347" s="32">
        <v>132</v>
      </c>
      <c r="K347" s="32" t="s">
        <v>113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0"/>
      <c r="R347" s="550"/>
      <c r="S347" s="550"/>
      <c r="T347" s="551"/>
      <c r="U347" s="34"/>
      <c r="V347" s="34"/>
      <c r="W347" s="35" t="s">
        <v>70</v>
      </c>
      <c r="X347" s="543">
        <v>0</v>
      </c>
      <c r="Y347" s="544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7">
        <v>4680115884861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113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0"/>
      <c r="R348" s="550"/>
      <c r="S348" s="550"/>
      <c r="T348" s="551"/>
      <c r="U348" s="34"/>
      <c r="V348" s="34"/>
      <c r="W348" s="35" t="s">
        <v>70</v>
      </c>
      <c r="X348" s="543">
        <v>0</v>
      </c>
      <c r="Y348" s="544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68"/>
      <c r="P349" s="561" t="s">
        <v>76</v>
      </c>
      <c r="Q349" s="562"/>
      <c r="R349" s="562"/>
      <c r="S349" s="562"/>
      <c r="T349" s="562"/>
      <c r="U349" s="562"/>
      <c r="V349" s="563"/>
      <c r="W349" s="37" t="s">
        <v>77</v>
      </c>
      <c r="X349" s="545">
        <f>IFERROR(X342/H342,"0")+IFERROR(X343/H343,"0")+IFERROR(X344/H344,"0")+IFERROR(X345/H345,"0")+IFERROR(X346/H346,"0")+IFERROR(X347/H347,"0")+IFERROR(X348/H348,"0")</f>
        <v>35.86666666666666</v>
      </c>
      <c r="Y349" s="545">
        <f>IFERROR(Y342/H342,"0")+IFERROR(Y343/H343,"0")+IFERROR(Y344/H344,"0")+IFERROR(Y345/H345,"0")+IFERROR(Y346/H346,"0")+IFERROR(Y347/H347,"0")+IFERROR(Y348/H348,"0")</f>
        <v>37</v>
      </c>
      <c r="Z349" s="545">
        <f>IFERROR(IF(Z342="",0,Z342),"0")+IFERROR(IF(Z343="",0,Z343),"0")+IFERROR(IF(Z344="",0,Z344),"0")+IFERROR(IF(Z345="",0,Z345),"0")+IFERROR(IF(Z346="",0,Z346),"0")+IFERROR(IF(Z347="",0,Z347),"0")+IFERROR(IF(Z348="",0,Z348),"0")</f>
        <v>0.80474999999999985</v>
      </c>
      <c r="AA349" s="546"/>
      <c r="AB349" s="546"/>
      <c r="AC349" s="546"/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68"/>
      <c r="P350" s="561" t="s">
        <v>76</v>
      </c>
      <c r="Q350" s="562"/>
      <c r="R350" s="562"/>
      <c r="S350" s="562"/>
      <c r="T350" s="562"/>
      <c r="U350" s="562"/>
      <c r="V350" s="563"/>
      <c r="W350" s="37" t="s">
        <v>70</v>
      </c>
      <c r="X350" s="545">
        <f>IFERROR(SUM(X342:X348),"0")</f>
        <v>538</v>
      </c>
      <c r="Y350" s="545">
        <f>IFERROR(SUM(Y342:Y348),"0")</f>
        <v>555</v>
      </c>
      <c r="Z350" s="37"/>
      <c r="AA350" s="546"/>
      <c r="AB350" s="546"/>
      <c r="AC350" s="546"/>
    </row>
    <row r="351" spans="1:68" ht="14.25" customHeight="1" x14ac:dyDescent="0.25">
      <c r="A351" s="556" t="s">
        <v>139</v>
      </c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  <c r="Z351" s="557"/>
      <c r="AA351" s="539"/>
      <c r="AB351" s="539"/>
      <c r="AC351" s="539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7">
        <v>4607091383980</v>
      </c>
      <c r="E352" s="548"/>
      <c r="F352" s="542">
        <v>2.5</v>
      </c>
      <c r="G352" s="32">
        <v>6</v>
      </c>
      <c r="H352" s="542">
        <v>15</v>
      </c>
      <c r="I352" s="542">
        <v>15.47</v>
      </c>
      <c r="J352" s="32">
        <v>48</v>
      </c>
      <c r="K352" s="32" t="s">
        <v>106</v>
      </c>
      <c r="L352" s="32" t="s">
        <v>107</v>
      </c>
      <c r="M352" s="33" t="s">
        <v>108</v>
      </c>
      <c r="N352" s="33"/>
      <c r="O352" s="32">
        <v>50</v>
      </c>
      <c r="P352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0"/>
      <c r="R352" s="550"/>
      <c r="S352" s="550"/>
      <c r="T352" s="551"/>
      <c r="U352" s="34"/>
      <c r="V352" s="34"/>
      <c r="W352" s="35" t="s">
        <v>70</v>
      </c>
      <c r="X352" s="543">
        <v>468</v>
      </c>
      <c r="Y352" s="544">
        <f>IFERROR(IF(X352="",0,CEILING((X352/$H352),1)*$H352),"")</f>
        <v>480</v>
      </c>
      <c r="Z352" s="36">
        <f>IFERROR(IF(Y352=0,"",ROUNDUP(Y352/H352,0)*0.02175),"")</f>
        <v>0.69599999999999995</v>
      </c>
      <c r="AA352" s="56"/>
      <c r="AB352" s="57"/>
      <c r="AC352" s="403" t="s">
        <v>554</v>
      </c>
      <c r="AG352" s="64"/>
      <c r="AJ352" s="68" t="s">
        <v>110</v>
      </c>
      <c r="AK352" s="68">
        <v>120</v>
      </c>
      <c r="BB352" s="404" t="s">
        <v>1</v>
      </c>
      <c r="BM352" s="64">
        <f>IFERROR(X352*I352/H352,"0")</f>
        <v>482.66399999999999</v>
      </c>
      <c r="BN352" s="64">
        <f>IFERROR(Y352*I352/H352,"0")</f>
        <v>495.04</v>
      </c>
      <c r="BO352" s="64">
        <f>IFERROR(1/J352*(X352/H352),"0")</f>
        <v>0.64999999999999991</v>
      </c>
      <c r="BP352" s="64">
        <f>IFERROR(1/J352*(Y352/H352),"0")</f>
        <v>0.66666666666666663</v>
      </c>
    </row>
    <row r="353" spans="1:68" ht="27" customHeight="1" x14ac:dyDescent="0.25">
      <c r="A353" s="54" t="s">
        <v>555</v>
      </c>
      <c r="B353" s="54" t="s">
        <v>556</v>
      </c>
      <c r="C353" s="31">
        <v>4301020179</v>
      </c>
      <c r="D353" s="547">
        <v>4607091384178</v>
      </c>
      <c r="E353" s="548"/>
      <c r="F353" s="542">
        <v>0.4</v>
      </c>
      <c r="G353" s="32">
        <v>10</v>
      </c>
      <c r="H353" s="542">
        <v>4</v>
      </c>
      <c r="I353" s="542">
        <v>4.1900000000000004</v>
      </c>
      <c r="J353" s="32">
        <v>132</v>
      </c>
      <c r="K353" s="32" t="s">
        <v>113</v>
      </c>
      <c r="L353" s="32"/>
      <c r="M353" s="33" t="s">
        <v>108</v>
      </c>
      <c r="N353" s="33"/>
      <c r="O353" s="32">
        <v>50</v>
      </c>
      <c r="P353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0"/>
      <c r="R353" s="550"/>
      <c r="S353" s="550"/>
      <c r="T353" s="551"/>
      <c r="U353" s="34"/>
      <c r="V353" s="34"/>
      <c r="W353" s="35" t="s">
        <v>70</v>
      </c>
      <c r="X353" s="543">
        <v>0</v>
      </c>
      <c r="Y353" s="5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1" t="s">
        <v>76</v>
      </c>
      <c r="Q354" s="562"/>
      <c r="R354" s="562"/>
      <c r="S354" s="562"/>
      <c r="T354" s="562"/>
      <c r="U354" s="562"/>
      <c r="V354" s="563"/>
      <c r="W354" s="37" t="s">
        <v>77</v>
      </c>
      <c r="X354" s="545">
        <f>IFERROR(X352/H352,"0")+IFERROR(X353/H353,"0")</f>
        <v>31.2</v>
      </c>
      <c r="Y354" s="545">
        <f>IFERROR(Y352/H352,"0")+IFERROR(Y353/H353,"0")</f>
        <v>32</v>
      </c>
      <c r="Z354" s="545">
        <f>IFERROR(IF(Z352="",0,Z352),"0")+IFERROR(IF(Z353="",0,Z353),"0")</f>
        <v>0.69599999999999995</v>
      </c>
      <c r="AA354" s="546"/>
      <c r="AB354" s="546"/>
      <c r="AC354" s="546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8"/>
      <c r="P355" s="561" t="s">
        <v>76</v>
      </c>
      <c r="Q355" s="562"/>
      <c r="R355" s="562"/>
      <c r="S355" s="562"/>
      <c r="T355" s="562"/>
      <c r="U355" s="562"/>
      <c r="V355" s="563"/>
      <c r="W355" s="37" t="s">
        <v>70</v>
      </c>
      <c r="X355" s="545">
        <f>IFERROR(SUM(X352:X353),"0")</f>
        <v>468</v>
      </c>
      <c r="Y355" s="545">
        <f>IFERROR(SUM(Y352:Y353),"0")</f>
        <v>480</v>
      </c>
      <c r="Z355" s="37"/>
      <c r="AA355" s="546"/>
      <c r="AB355" s="546"/>
      <c r="AC355" s="546"/>
    </row>
    <row r="356" spans="1:68" ht="14.25" customHeight="1" x14ac:dyDescent="0.25">
      <c r="A356" s="556" t="s">
        <v>78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39"/>
      <c r="AB356" s="539"/>
      <c r="AC356" s="539"/>
    </row>
    <row r="357" spans="1:68" ht="27" customHeight="1" x14ac:dyDescent="0.25">
      <c r="A357" s="54" t="s">
        <v>558</v>
      </c>
      <c r="B357" s="54" t="s">
        <v>559</v>
      </c>
      <c r="C357" s="31">
        <v>4301051903</v>
      </c>
      <c r="D357" s="547">
        <v>4607091383928</v>
      </c>
      <c r="E357" s="548"/>
      <c r="F357" s="542">
        <v>1.5</v>
      </c>
      <c r="G357" s="32">
        <v>6</v>
      </c>
      <c r="H357" s="542">
        <v>9</v>
      </c>
      <c r="I357" s="542">
        <v>9.5</v>
      </c>
      <c r="J357" s="32">
        <v>64</v>
      </c>
      <c r="K357" s="32" t="s">
        <v>106</v>
      </c>
      <c r="L357" s="32"/>
      <c r="M357" s="33" t="s">
        <v>81</v>
      </c>
      <c r="N357" s="33"/>
      <c r="O357" s="32">
        <v>40</v>
      </c>
      <c r="P357" s="8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0"/>
      <c r="R357" s="550"/>
      <c r="S357" s="550"/>
      <c r="T357" s="551"/>
      <c r="U357" s="34"/>
      <c r="V357" s="34"/>
      <c r="W357" s="35" t="s">
        <v>70</v>
      </c>
      <c r="X357" s="543">
        <v>0</v>
      </c>
      <c r="Y357" s="54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7">
        <v>4607091384260</v>
      </c>
      <c r="E358" s="548"/>
      <c r="F358" s="542">
        <v>1.5</v>
      </c>
      <c r="G358" s="32">
        <v>6</v>
      </c>
      <c r="H358" s="542">
        <v>9</v>
      </c>
      <c r="I358" s="542">
        <v>9.4939999999999998</v>
      </c>
      <c r="J358" s="32">
        <v>64</v>
      </c>
      <c r="K358" s="32" t="s">
        <v>106</v>
      </c>
      <c r="L358" s="32"/>
      <c r="M358" s="33" t="s">
        <v>81</v>
      </c>
      <c r="N358" s="33"/>
      <c r="O358" s="32">
        <v>40</v>
      </c>
      <c r="P358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70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1" t="s">
        <v>76</v>
      </c>
      <c r="Q359" s="562"/>
      <c r="R359" s="562"/>
      <c r="S359" s="562"/>
      <c r="T359" s="562"/>
      <c r="U359" s="562"/>
      <c r="V359" s="563"/>
      <c r="W359" s="37" t="s">
        <v>77</v>
      </c>
      <c r="X359" s="545">
        <f>IFERROR(X357/H357,"0")+IFERROR(X358/H358,"0")</f>
        <v>0</v>
      </c>
      <c r="Y359" s="545">
        <f>IFERROR(Y357/H357,"0")+IFERROR(Y358/H358,"0")</f>
        <v>0</v>
      </c>
      <c r="Z359" s="545">
        <f>IFERROR(IF(Z357="",0,Z357),"0")+IFERROR(IF(Z358="",0,Z358),"0")</f>
        <v>0</v>
      </c>
      <c r="AA359" s="546"/>
      <c r="AB359" s="546"/>
      <c r="AC359" s="546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8"/>
      <c r="P360" s="561" t="s">
        <v>76</v>
      </c>
      <c r="Q360" s="562"/>
      <c r="R360" s="562"/>
      <c r="S360" s="562"/>
      <c r="T360" s="562"/>
      <c r="U360" s="562"/>
      <c r="V360" s="563"/>
      <c r="W360" s="37" t="s">
        <v>70</v>
      </c>
      <c r="X360" s="545">
        <f>IFERROR(SUM(X357:X358),"0")</f>
        <v>0</v>
      </c>
      <c r="Y360" s="545">
        <f>IFERROR(SUM(Y357:Y358),"0")</f>
        <v>0</v>
      </c>
      <c r="Z360" s="37"/>
      <c r="AA360" s="546"/>
      <c r="AB360" s="546"/>
      <c r="AC360" s="546"/>
    </row>
    <row r="361" spans="1:68" ht="14.25" customHeight="1" x14ac:dyDescent="0.25">
      <c r="A361" s="556" t="s">
        <v>167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39"/>
      <c r="AB361" s="539"/>
      <c r="AC361" s="539"/>
    </row>
    <row r="362" spans="1:68" ht="16.5" customHeight="1" x14ac:dyDescent="0.25">
      <c r="A362" s="54" t="s">
        <v>564</v>
      </c>
      <c r="B362" s="54" t="s">
        <v>565</v>
      </c>
      <c r="C362" s="31">
        <v>4301060524</v>
      </c>
      <c r="D362" s="547">
        <v>4607091384673</v>
      </c>
      <c r="E362" s="548"/>
      <c r="F362" s="542">
        <v>1.5</v>
      </c>
      <c r="G362" s="32">
        <v>6</v>
      </c>
      <c r="H362" s="542">
        <v>9</v>
      </c>
      <c r="I362" s="542">
        <v>9.4939999999999998</v>
      </c>
      <c r="J362" s="32">
        <v>64</v>
      </c>
      <c r="K362" s="32" t="s">
        <v>106</v>
      </c>
      <c r="L362" s="32"/>
      <c r="M362" s="33" t="s">
        <v>81</v>
      </c>
      <c r="N362" s="33"/>
      <c r="O362" s="32">
        <v>40</v>
      </c>
      <c r="P362" s="8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70</v>
      </c>
      <c r="X362" s="543">
        <v>79</v>
      </c>
      <c r="Y362" s="544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83.336222222222219</v>
      </c>
      <c r="BN362" s="64">
        <f>IFERROR(Y362*I362/H362,"0")</f>
        <v>85.445999999999998</v>
      </c>
      <c r="BO362" s="64">
        <f>IFERROR(1/J362*(X362/H362),"0")</f>
        <v>0.13715277777777779</v>
      </c>
      <c r="BP362" s="64">
        <f>IFERROR(1/J362*(Y362/H362),"0")</f>
        <v>0.140625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1" t="s">
        <v>76</v>
      </c>
      <c r="Q363" s="562"/>
      <c r="R363" s="562"/>
      <c r="S363" s="562"/>
      <c r="T363" s="562"/>
      <c r="U363" s="562"/>
      <c r="V363" s="563"/>
      <c r="W363" s="37" t="s">
        <v>77</v>
      </c>
      <c r="X363" s="545">
        <f>IFERROR(X362/H362,"0")</f>
        <v>8.7777777777777786</v>
      </c>
      <c r="Y363" s="545">
        <f>IFERROR(Y362/H362,"0")</f>
        <v>9</v>
      </c>
      <c r="Z363" s="545">
        <f>IFERROR(IF(Z362="",0,Z362),"0")</f>
        <v>0.17082</v>
      </c>
      <c r="AA363" s="546"/>
      <c r="AB363" s="546"/>
      <c r="AC363" s="546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1" t="s">
        <v>76</v>
      </c>
      <c r="Q364" s="562"/>
      <c r="R364" s="562"/>
      <c r="S364" s="562"/>
      <c r="T364" s="562"/>
      <c r="U364" s="562"/>
      <c r="V364" s="563"/>
      <c r="W364" s="37" t="s">
        <v>70</v>
      </c>
      <c r="X364" s="545">
        <f>IFERROR(SUM(X362:X362),"0")</f>
        <v>79</v>
      </c>
      <c r="Y364" s="545">
        <f>IFERROR(SUM(Y362:Y362),"0")</f>
        <v>81</v>
      </c>
      <c r="Z364" s="37"/>
      <c r="AA364" s="546"/>
      <c r="AB364" s="546"/>
      <c r="AC364" s="546"/>
    </row>
    <row r="365" spans="1:68" ht="16.5" customHeight="1" x14ac:dyDescent="0.25">
      <c r="A365" s="558" t="s">
        <v>567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38"/>
      <c r="AB365" s="538"/>
      <c r="AC365" s="538"/>
    </row>
    <row r="366" spans="1:68" ht="14.25" customHeight="1" x14ac:dyDescent="0.25">
      <c r="A366" s="556" t="s">
        <v>103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9"/>
      <c r="AB366" s="539"/>
      <c r="AC366" s="539"/>
    </row>
    <row r="367" spans="1:68" ht="37.5" customHeight="1" x14ac:dyDescent="0.25">
      <c r="A367" s="54" t="s">
        <v>568</v>
      </c>
      <c r="B367" s="54" t="s">
        <v>569</v>
      </c>
      <c r="C367" s="31">
        <v>4301011875</v>
      </c>
      <c r="D367" s="547">
        <v>4680115884885</v>
      </c>
      <c r="E367" s="548"/>
      <c r="F367" s="542">
        <v>0.8</v>
      </c>
      <c r="G367" s="32">
        <v>15</v>
      </c>
      <c r="H367" s="542">
        <v>12</v>
      </c>
      <c r="I367" s="542">
        <v>12.41</v>
      </c>
      <c r="J367" s="32">
        <v>64</v>
      </c>
      <c r="K367" s="32" t="s">
        <v>106</v>
      </c>
      <c r="L367" s="32"/>
      <c r="M367" s="33" t="s">
        <v>68</v>
      </c>
      <c r="N367" s="33"/>
      <c r="O367" s="32">
        <v>60</v>
      </c>
      <c r="P367" s="8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0"/>
      <c r="R367" s="550"/>
      <c r="S367" s="550"/>
      <c r="T367" s="551"/>
      <c r="U367" s="34"/>
      <c r="V367" s="34"/>
      <c r="W367" s="35" t="s">
        <v>70</v>
      </c>
      <c r="X367" s="543">
        <v>0</v>
      </c>
      <c r="Y367" s="5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571</v>
      </c>
      <c r="B368" s="54" t="s">
        <v>572</v>
      </c>
      <c r="C368" s="31">
        <v>4301011871</v>
      </c>
      <c r="D368" s="547">
        <v>4680115884908</v>
      </c>
      <c r="E368" s="548"/>
      <c r="F368" s="542">
        <v>0.4</v>
      </c>
      <c r="G368" s="32">
        <v>10</v>
      </c>
      <c r="H368" s="542">
        <v>4</v>
      </c>
      <c r="I368" s="542">
        <v>4.1900000000000004</v>
      </c>
      <c r="J368" s="32">
        <v>132</v>
      </c>
      <c r="K368" s="32" t="s">
        <v>113</v>
      </c>
      <c r="L368" s="32"/>
      <c r="M368" s="33" t="s">
        <v>68</v>
      </c>
      <c r="N368" s="33"/>
      <c r="O368" s="32">
        <v>60</v>
      </c>
      <c r="P368" s="8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0"/>
      <c r="R368" s="550"/>
      <c r="S368" s="550"/>
      <c r="T368" s="551"/>
      <c r="U368" s="34"/>
      <c r="V368" s="34"/>
      <c r="W368" s="35" t="s">
        <v>70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8"/>
      <c r="P369" s="561" t="s">
        <v>76</v>
      </c>
      <c r="Q369" s="562"/>
      <c r="R369" s="562"/>
      <c r="S369" s="562"/>
      <c r="T369" s="562"/>
      <c r="U369" s="562"/>
      <c r="V369" s="563"/>
      <c r="W369" s="37" t="s">
        <v>77</v>
      </c>
      <c r="X369" s="545">
        <f>IFERROR(X367/H367,"0")+IFERROR(X368/H368,"0")</f>
        <v>0</v>
      </c>
      <c r="Y369" s="545">
        <f>IFERROR(Y367/H367,"0")+IFERROR(Y368/H368,"0")</f>
        <v>0</v>
      </c>
      <c r="Z369" s="545">
        <f>IFERROR(IF(Z367="",0,Z367),"0")+IFERROR(IF(Z368="",0,Z368),"0")</f>
        <v>0</v>
      </c>
      <c r="AA369" s="546"/>
      <c r="AB369" s="546"/>
      <c r="AC369" s="546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8"/>
      <c r="P370" s="561" t="s">
        <v>76</v>
      </c>
      <c r="Q370" s="562"/>
      <c r="R370" s="562"/>
      <c r="S370" s="562"/>
      <c r="T370" s="562"/>
      <c r="U370" s="562"/>
      <c r="V370" s="563"/>
      <c r="W370" s="37" t="s">
        <v>70</v>
      </c>
      <c r="X370" s="545">
        <f>IFERROR(SUM(X367:X368),"0")</f>
        <v>0</v>
      </c>
      <c r="Y370" s="545">
        <f>IFERROR(SUM(Y367:Y368),"0")</f>
        <v>0</v>
      </c>
      <c r="Z370" s="37"/>
      <c r="AA370" s="546"/>
      <c r="AB370" s="546"/>
      <c r="AC370" s="546"/>
    </row>
    <row r="371" spans="1:68" ht="14.25" customHeight="1" x14ac:dyDescent="0.25">
      <c r="A371" s="556" t="s">
        <v>64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39"/>
      <c r="AB371" s="539"/>
      <c r="AC371" s="539"/>
    </row>
    <row r="372" spans="1:68" ht="27" customHeight="1" x14ac:dyDescent="0.25">
      <c r="A372" s="54" t="s">
        <v>573</v>
      </c>
      <c r="B372" s="54" t="s">
        <v>574</v>
      </c>
      <c r="C372" s="31">
        <v>4301031303</v>
      </c>
      <c r="D372" s="547">
        <v>4607091384802</v>
      </c>
      <c r="E372" s="548"/>
      <c r="F372" s="542">
        <v>0.73</v>
      </c>
      <c r="G372" s="32">
        <v>6</v>
      </c>
      <c r="H372" s="542">
        <v>4.38</v>
      </c>
      <c r="I372" s="542">
        <v>4.63</v>
      </c>
      <c r="J372" s="32">
        <v>132</v>
      </c>
      <c r="K372" s="32" t="s">
        <v>113</v>
      </c>
      <c r="L372" s="32"/>
      <c r="M372" s="33" t="s">
        <v>68</v>
      </c>
      <c r="N372" s="33"/>
      <c r="O372" s="32">
        <v>35</v>
      </c>
      <c r="P372" s="7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0"/>
      <c r="R372" s="550"/>
      <c r="S372" s="550"/>
      <c r="T372" s="551"/>
      <c r="U372" s="34"/>
      <c r="V372" s="34"/>
      <c r="W372" s="35" t="s">
        <v>70</v>
      </c>
      <c r="X372" s="543">
        <v>0</v>
      </c>
      <c r="Y372" s="544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573</v>
      </c>
      <c r="B373" s="54" t="s">
        <v>576</v>
      </c>
      <c r="C373" s="31">
        <v>4301031457</v>
      </c>
      <c r="D373" s="547">
        <v>4607091384802</v>
      </c>
      <c r="E373" s="548"/>
      <c r="F373" s="542">
        <v>0.7</v>
      </c>
      <c r="G373" s="32">
        <v>6</v>
      </c>
      <c r="H373" s="542">
        <v>4.2</v>
      </c>
      <c r="I373" s="542">
        <v>4.45</v>
      </c>
      <c r="J373" s="32">
        <v>132</v>
      </c>
      <c r="K373" s="32" t="s">
        <v>113</v>
      </c>
      <c r="L373" s="32"/>
      <c r="M373" s="33" t="s">
        <v>68</v>
      </c>
      <c r="N373" s="33"/>
      <c r="O373" s="32">
        <v>50</v>
      </c>
      <c r="P373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70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1" t="s">
        <v>76</v>
      </c>
      <c r="Q374" s="562"/>
      <c r="R374" s="562"/>
      <c r="S374" s="562"/>
      <c r="T374" s="562"/>
      <c r="U374" s="562"/>
      <c r="V374" s="563"/>
      <c r="W374" s="37" t="s">
        <v>77</v>
      </c>
      <c r="X374" s="545">
        <f>IFERROR(X372/H372,"0")+IFERROR(X373/H373,"0")</f>
        <v>0</v>
      </c>
      <c r="Y374" s="545">
        <f>IFERROR(Y372/H372,"0")+IFERROR(Y373/H373,"0")</f>
        <v>0</v>
      </c>
      <c r="Z374" s="545">
        <f>IFERROR(IF(Z372="",0,Z372),"0")+IFERROR(IF(Z373="",0,Z373),"0")</f>
        <v>0</v>
      </c>
      <c r="AA374" s="546"/>
      <c r="AB374" s="546"/>
      <c r="AC374" s="546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8"/>
      <c r="P375" s="561" t="s">
        <v>76</v>
      </c>
      <c r="Q375" s="562"/>
      <c r="R375" s="562"/>
      <c r="S375" s="562"/>
      <c r="T375" s="562"/>
      <c r="U375" s="562"/>
      <c r="V375" s="563"/>
      <c r="W375" s="37" t="s">
        <v>70</v>
      </c>
      <c r="X375" s="545">
        <f>IFERROR(SUM(X372:X373),"0")</f>
        <v>0</v>
      </c>
      <c r="Y375" s="545">
        <f>IFERROR(SUM(Y372:Y373),"0")</f>
        <v>0</v>
      </c>
      <c r="Z375" s="37"/>
      <c r="AA375" s="546"/>
      <c r="AB375" s="546"/>
      <c r="AC375" s="546"/>
    </row>
    <row r="376" spans="1:68" ht="14.25" customHeight="1" x14ac:dyDescent="0.25">
      <c r="A376" s="556" t="s">
        <v>78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39"/>
      <c r="AB376" s="539"/>
      <c r="AC376" s="539"/>
    </row>
    <row r="377" spans="1:68" ht="27" customHeight="1" x14ac:dyDescent="0.25">
      <c r="A377" s="54" t="s">
        <v>578</v>
      </c>
      <c r="B377" s="54" t="s">
        <v>579</v>
      </c>
      <c r="C377" s="31">
        <v>4301051899</v>
      </c>
      <c r="D377" s="547">
        <v>4607091384246</v>
      </c>
      <c r="E377" s="548"/>
      <c r="F377" s="542">
        <v>1.5</v>
      </c>
      <c r="G377" s="32">
        <v>6</v>
      </c>
      <c r="H377" s="542">
        <v>9</v>
      </c>
      <c r="I377" s="542">
        <v>9.4939999999999998</v>
      </c>
      <c r="J377" s="32">
        <v>64</v>
      </c>
      <c r="K377" s="32" t="s">
        <v>106</v>
      </c>
      <c r="L377" s="32" t="s">
        <v>107</v>
      </c>
      <c r="M377" s="33" t="s">
        <v>81</v>
      </c>
      <c r="N377" s="33"/>
      <c r="O377" s="32">
        <v>40</v>
      </c>
      <c r="P377" s="74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70</v>
      </c>
      <c r="X377" s="543">
        <v>404</v>
      </c>
      <c r="Y377" s="544">
        <f>IFERROR(IF(X377="",0,CEILING((X377/$H377),1)*$H377),"")</f>
        <v>405</v>
      </c>
      <c r="Z377" s="36">
        <f>IFERROR(IF(Y377=0,"",ROUNDUP(Y377/H377,0)*0.01898),"")</f>
        <v>0.85409999999999997</v>
      </c>
      <c r="AA377" s="56"/>
      <c r="AB377" s="57"/>
      <c r="AC377" s="421" t="s">
        <v>580</v>
      </c>
      <c r="AG377" s="64"/>
      <c r="AJ377" s="68" t="s">
        <v>110</v>
      </c>
      <c r="AK377" s="68">
        <v>72</v>
      </c>
      <c r="BB377" s="422" t="s">
        <v>1</v>
      </c>
      <c r="BM377" s="64">
        <f>IFERROR(X377*I377/H377,"0")</f>
        <v>426.17511111111111</v>
      </c>
      <c r="BN377" s="64">
        <f>IFERROR(Y377*I377/H377,"0")</f>
        <v>427.22999999999996</v>
      </c>
      <c r="BO377" s="64">
        <f>IFERROR(1/J377*(X377/H377),"0")</f>
        <v>0.70138888888888884</v>
      </c>
      <c r="BP377" s="64">
        <f>IFERROR(1/J377*(Y377/H377),"0")</f>
        <v>0.703125</v>
      </c>
    </row>
    <row r="378" spans="1:68" ht="27" customHeight="1" x14ac:dyDescent="0.25">
      <c r="A378" s="54" t="s">
        <v>581</v>
      </c>
      <c r="B378" s="54" t="s">
        <v>582</v>
      </c>
      <c r="C378" s="31">
        <v>4301051660</v>
      </c>
      <c r="D378" s="547">
        <v>4607091384253</v>
      </c>
      <c r="E378" s="548"/>
      <c r="F378" s="542">
        <v>0.4</v>
      </c>
      <c r="G378" s="32">
        <v>6</v>
      </c>
      <c r="H378" s="542">
        <v>2.4</v>
      </c>
      <c r="I378" s="542">
        <v>2.6640000000000001</v>
      </c>
      <c r="J378" s="32">
        <v>182</v>
      </c>
      <c r="K378" s="32" t="s">
        <v>67</v>
      </c>
      <c r="L378" s="32" t="s">
        <v>210</v>
      </c>
      <c r="M378" s="33" t="s">
        <v>81</v>
      </c>
      <c r="N378" s="33"/>
      <c r="O378" s="32">
        <v>40</v>
      </c>
      <c r="P378" s="67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0"/>
      <c r="R378" s="550"/>
      <c r="S378" s="550"/>
      <c r="T378" s="551"/>
      <c r="U378" s="34"/>
      <c r="V378" s="34"/>
      <c r="W378" s="35" t="s">
        <v>70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 t="s">
        <v>110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581</v>
      </c>
      <c r="B379" s="54" t="s">
        <v>583</v>
      </c>
      <c r="C379" s="31">
        <v>4301052069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67</v>
      </c>
      <c r="L379" s="32"/>
      <c r="M379" s="33" t="s">
        <v>81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550"/>
      <c r="R379" s="550"/>
      <c r="S379" s="550"/>
      <c r="T379" s="551"/>
      <c r="U379" s="34"/>
      <c r="V379" s="34"/>
      <c r="W379" s="35" t="s">
        <v>70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8"/>
      <c r="P380" s="561" t="s">
        <v>76</v>
      </c>
      <c r="Q380" s="562"/>
      <c r="R380" s="562"/>
      <c r="S380" s="562"/>
      <c r="T380" s="562"/>
      <c r="U380" s="562"/>
      <c r="V380" s="563"/>
      <c r="W380" s="37" t="s">
        <v>77</v>
      </c>
      <c r="X380" s="545">
        <f>IFERROR(X377/H377,"0")+IFERROR(X378/H378,"0")+IFERROR(X379/H379,"0")</f>
        <v>44.888888888888886</v>
      </c>
      <c r="Y380" s="545">
        <f>IFERROR(Y377/H377,"0")+IFERROR(Y378/H378,"0")+IFERROR(Y379/H379,"0")</f>
        <v>45</v>
      </c>
      <c r="Z380" s="545">
        <f>IFERROR(IF(Z377="",0,Z377),"0")+IFERROR(IF(Z378="",0,Z378),"0")+IFERROR(IF(Z379="",0,Z379),"0")</f>
        <v>0.85409999999999997</v>
      </c>
      <c r="AA380" s="546"/>
      <c r="AB380" s="546"/>
      <c r="AC380" s="546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8"/>
      <c r="P381" s="561" t="s">
        <v>76</v>
      </c>
      <c r="Q381" s="562"/>
      <c r="R381" s="562"/>
      <c r="S381" s="562"/>
      <c r="T381" s="562"/>
      <c r="U381" s="562"/>
      <c r="V381" s="563"/>
      <c r="W381" s="37" t="s">
        <v>70</v>
      </c>
      <c r="X381" s="545">
        <f>IFERROR(SUM(X377:X379),"0")</f>
        <v>404</v>
      </c>
      <c r="Y381" s="545">
        <f>IFERROR(SUM(Y377:Y379),"0")</f>
        <v>405</v>
      </c>
      <c r="Z381" s="37"/>
      <c r="AA381" s="546"/>
      <c r="AB381" s="546"/>
      <c r="AC381" s="546"/>
    </row>
    <row r="382" spans="1:68" ht="27.75" customHeight="1" x14ac:dyDescent="0.2">
      <c r="A382" s="650" t="s">
        <v>585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48"/>
      <c r="AB382" s="48"/>
      <c r="AC382" s="48"/>
    </row>
    <row r="383" spans="1:68" ht="16.5" customHeight="1" x14ac:dyDescent="0.25">
      <c r="A383" s="558" t="s">
        <v>586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8"/>
      <c r="AB383" s="538"/>
      <c r="AC383" s="538"/>
    </row>
    <row r="384" spans="1:68" ht="14.25" customHeight="1" x14ac:dyDescent="0.25">
      <c r="A384" s="556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9"/>
      <c r="AB384" s="539"/>
      <c r="AC384" s="539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2">
        <v>0.9</v>
      </c>
      <c r="G385" s="32">
        <v>6</v>
      </c>
      <c r="H385" s="542">
        <v>5.4</v>
      </c>
      <c r="I385" s="542">
        <v>5.59</v>
      </c>
      <c r="J385" s="32">
        <v>132</v>
      </c>
      <c r="K385" s="32" t="s">
        <v>113</v>
      </c>
      <c r="L385" s="32"/>
      <c r="M385" s="33" t="s">
        <v>68</v>
      </c>
      <c r="N385" s="33"/>
      <c r="O385" s="32">
        <v>50</v>
      </c>
      <c r="P385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0"/>
      <c r="R385" s="550"/>
      <c r="S385" s="550"/>
      <c r="T385" s="551"/>
      <c r="U385" s="34"/>
      <c r="V385" s="34"/>
      <c r="W385" s="35" t="s">
        <v>70</v>
      </c>
      <c r="X385" s="543">
        <v>0</v>
      </c>
      <c r="Y385" s="544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113</v>
      </c>
      <c r="L386" s="32"/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70</v>
      </c>
      <c r="X386" s="543">
        <v>0</v>
      </c>
      <c r="Y386" s="544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113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70</v>
      </c>
      <c r="X387" s="543">
        <v>0</v>
      </c>
      <c r="Y387" s="544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2">
        <v>0.28000000000000003</v>
      </c>
      <c r="G388" s="32">
        <v>6</v>
      </c>
      <c r="H388" s="542">
        <v>1.68</v>
      </c>
      <c r="I388" s="542">
        <v>1.81</v>
      </c>
      <c r="J388" s="32">
        <v>234</v>
      </c>
      <c r="K388" s="32" t="s">
        <v>74</v>
      </c>
      <c r="L388" s="32"/>
      <c r="M388" s="33" t="s">
        <v>68</v>
      </c>
      <c r="N388" s="33"/>
      <c r="O388" s="32">
        <v>50</v>
      </c>
      <c r="P388" s="7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0"/>
      <c r="R388" s="550"/>
      <c r="S388" s="550"/>
      <c r="T388" s="551"/>
      <c r="U388" s="34"/>
      <c r="V388" s="34"/>
      <c r="W388" s="35" t="s">
        <v>70</v>
      </c>
      <c r="X388" s="543">
        <v>0</v>
      </c>
      <c r="Y388" s="544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2">
        <v>0.35</v>
      </c>
      <c r="G389" s="32">
        <v>6</v>
      </c>
      <c r="H389" s="542">
        <v>2.1</v>
      </c>
      <c r="I389" s="542">
        <v>2.23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0"/>
      <c r="R389" s="550"/>
      <c r="S389" s="550"/>
      <c r="T389" s="551"/>
      <c r="U389" s="34"/>
      <c r="V389" s="34"/>
      <c r="W389" s="35" t="s">
        <v>70</v>
      </c>
      <c r="X389" s="543">
        <v>0</v>
      </c>
      <c r="Y389" s="544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70</v>
      </c>
      <c r="X390" s="543">
        <v>0</v>
      </c>
      <c r="Y390" s="544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2">
        <v>0.28000000000000003</v>
      </c>
      <c r="G391" s="32">
        <v>6</v>
      </c>
      <c r="H391" s="542">
        <v>1.68</v>
      </c>
      <c r="I391" s="542">
        <v>1.81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0"/>
      <c r="R391" s="550"/>
      <c r="S391" s="550"/>
      <c r="T391" s="551"/>
      <c r="U391" s="34"/>
      <c r="V391" s="34"/>
      <c r="W391" s="35" t="s">
        <v>70</v>
      </c>
      <c r="X391" s="543">
        <v>0</v>
      </c>
      <c r="Y391" s="544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2">
        <v>0.35</v>
      </c>
      <c r="G392" s="32">
        <v>6</v>
      </c>
      <c r="H392" s="542">
        <v>2.1</v>
      </c>
      <c r="I392" s="542">
        <v>2.23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0"/>
      <c r="R392" s="550"/>
      <c r="S392" s="550"/>
      <c r="T392" s="551"/>
      <c r="U392" s="34"/>
      <c r="V392" s="34"/>
      <c r="W392" s="35" t="s">
        <v>70</v>
      </c>
      <c r="X392" s="543">
        <v>0</v>
      </c>
      <c r="Y392" s="544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70</v>
      </c>
      <c r="X393" s="543">
        <v>0</v>
      </c>
      <c r="Y393" s="544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6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68"/>
      <c r="P394" s="561" t="s">
        <v>76</v>
      </c>
      <c r="Q394" s="562"/>
      <c r="R394" s="562"/>
      <c r="S394" s="562"/>
      <c r="T394" s="562"/>
      <c r="U394" s="562"/>
      <c r="V394" s="563"/>
      <c r="W394" s="37" t="s">
        <v>77</v>
      </c>
      <c r="X394" s="545">
        <f>IFERROR(X385/H385,"0")+IFERROR(X386/H386,"0")+IFERROR(X387/H387,"0")+IFERROR(X388/H388,"0")+IFERROR(X389/H389,"0")+IFERROR(X390/H390,"0")+IFERROR(X391/H391,"0")+IFERROR(X392/H392,"0")+IFERROR(X393/H393,"0")</f>
        <v>0</v>
      </c>
      <c r="Y394" s="545">
        <f>IFERROR(Y385/H385,"0")+IFERROR(Y386/H386,"0")+IFERROR(Y387/H387,"0")+IFERROR(Y388/H388,"0")+IFERROR(Y389/H389,"0")+IFERROR(Y390/H390,"0")+IFERROR(Y391/H391,"0")+IFERROR(Y392/H392,"0")+IFERROR(Y393/H393,"0")</f>
        <v>0</v>
      </c>
      <c r="Z394" s="545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6"/>
      <c r="AB394" s="546"/>
      <c r="AC394" s="546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68"/>
      <c r="P395" s="561" t="s">
        <v>76</v>
      </c>
      <c r="Q395" s="562"/>
      <c r="R395" s="562"/>
      <c r="S395" s="562"/>
      <c r="T395" s="562"/>
      <c r="U395" s="562"/>
      <c r="V395" s="563"/>
      <c r="W395" s="37" t="s">
        <v>70</v>
      </c>
      <c r="X395" s="545">
        <f>IFERROR(SUM(X385:X393),"0")</f>
        <v>0</v>
      </c>
      <c r="Y395" s="545">
        <f>IFERROR(SUM(Y385:Y393),"0")</f>
        <v>0</v>
      </c>
      <c r="Z395" s="37"/>
      <c r="AA395" s="546"/>
      <c r="AB395" s="546"/>
      <c r="AC395" s="546"/>
    </row>
    <row r="396" spans="1:68" ht="14.25" customHeight="1" x14ac:dyDescent="0.25">
      <c r="A396" s="556" t="s">
        <v>78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9"/>
      <c r="AB396" s="539"/>
      <c r="AC396" s="539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2">
        <v>0.6</v>
      </c>
      <c r="G397" s="32">
        <v>4</v>
      </c>
      <c r="H397" s="542">
        <v>2.4</v>
      </c>
      <c r="I397" s="542">
        <v>2.6259999999999999</v>
      </c>
      <c r="J397" s="32">
        <v>132</v>
      </c>
      <c r="K397" s="32" t="s">
        <v>113</v>
      </c>
      <c r="L397" s="32"/>
      <c r="M397" s="33" t="s">
        <v>81</v>
      </c>
      <c r="N397" s="33"/>
      <c r="O397" s="32">
        <v>45</v>
      </c>
      <c r="P397" s="7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0"/>
      <c r="R397" s="550"/>
      <c r="S397" s="550"/>
      <c r="T397" s="551"/>
      <c r="U397" s="34"/>
      <c r="V397" s="34"/>
      <c r="W397" s="35" t="s">
        <v>70</v>
      </c>
      <c r="X397" s="543">
        <v>0</v>
      </c>
      <c r="Y397" s="5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2">
        <v>0.33</v>
      </c>
      <c r="G398" s="32">
        <v>6</v>
      </c>
      <c r="H398" s="542">
        <v>1.98</v>
      </c>
      <c r="I398" s="542">
        <v>2.238</v>
      </c>
      <c r="J398" s="32">
        <v>182</v>
      </c>
      <c r="K398" s="32" t="s">
        <v>67</v>
      </c>
      <c r="L398" s="32"/>
      <c r="M398" s="33" t="s">
        <v>81</v>
      </c>
      <c r="N398" s="33"/>
      <c r="O398" s="32">
        <v>45</v>
      </c>
      <c r="P398" s="7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0"/>
      <c r="R398" s="550"/>
      <c r="S398" s="550"/>
      <c r="T398" s="551"/>
      <c r="U398" s="34"/>
      <c r="V398" s="34"/>
      <c r="W398" s="35" t="s">
        <v>70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6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1" t="s">
        <v>76</v>
      </c>
      <c r="Q399" s="562"/>
      <c r="R399" s="562"/>
      <c r="S399" s="562"/>
      <c r="T399" s="562"/>
      <c r="U399" s="562"/>
      <c r="V399" s="563"/>
      <c r="W399" s="37" t="s">
        <v>77</v>
      </c>
      <c r="X399" s="545">
        <f>IFERROR(X397/H397,"0")+IFERROR(X398/H398,"0")</f>
        <v>0</v>
      </c>
      <c r="Y399" s="545">
        <f>IFERROR(Y397/H397,"0")+IFERROR(Y398/H398,"0")</f>
        <v>0</v>
      </c>
      <c r="Z399" s="545">
        <f>IFERROR(IF(Z397="",0,Z397),"0")+IFERROR(IF(Z398="",0,Z398),"0")</f>
        <v>0</v>
      </c>
      <c r="AA399" s="546"/>
      <c r="AB399" s="546"/>
      <c r="AC399" s="546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8"/>
      <c r="P400" s="561" t="s">
        <v>76</v>
      </c>
      <c r="Q400" s="562"/>
      <c r="R400" s="562"/>
      <c r="S400" s="562"/>
      <c r="T400" s="562"/>
      <c r="U400" s="562"/>
      <c r="V400" s="563"/>
      <c r="W400" s="37" t="s">
        <v>70</v>
      </c>
      <c r="X400" s="545">
        <f>IFERROR(SUM(X397:X398),"0")</f>
        <v>0</v>
      </c>
      <c r="Y400" s="545">
        <f>IFERROR(SUM(Y397:Y398),"0")</f>
        <v>0</v>
      </c>
      <c r="Z400" s="37"/>
      <c r="AA400" s="546"/>
      <c r="AB400" s="546"/>
      <c r="AC400" s="546"/>
    </row>
    <row r="401" spans="1:68" ht="16.5" customHeight="1" x14ac:dyDescent="0.25">
      <c r="A401" s="558" t="s">
        <v>617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8"/>
      <c r="AB401" s="538"/>
      <c r="AC401" s="538"/>
    </row>
    <row r="402" spans="1:68" ht="14.25" customHeight="1" x14ac:dyDescent="0.25">
      <c r="A402" s="556" t="s">
        <v>139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9"/>
      <c r="AB402" s="539"/>
      <c r="AC402" s="539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2">
        <v>0.35</v>
      </c>
      <c r="G403" s="32">
        <v>6</v>
      </c>
      <c r="H403" s="542">
        <v>2.1</v>
      </c>
      <c r="I403" s="542">
        <v>2.31</v>
      </c>
      <c r="J403" s="32">
        <v>182</v>
      </c>
      <c r="K403" s="32" t="s">
        <v>67</v>
      </c>
      <c r="L403" s="32"/>
      <c r="M403" s="33" t="s">
        <v>68</v>
      </c>
      <c r="N403" s="33"/>
      <c r="O403" s="32">
        <v>40</v>
      </c>
      <c r="P403" s="67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0"/>
      <c r="R403" s="550"/>
      <c r="S403" s="550"/>
      <c r="T403" s="551"/>
      <c r="U403" s="34"/>
      <c r="V403" s="34"/>
      <c r="W403" s="35" t="s">
        <v>70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1" t="s">
        <v>76</v>
      </c>
      <c r="Q404" s="562"/>
      <c r="R404" s="562"/>
      <c r="S404" s="562"/>
      <c r="T404" s="562"/>
      <c r="U404" s="562"/>
      <c r="V404" s="563"/>
      <c r="W404" s="37" t="s">
        <v>77</v>
      </c>
      <c r="X404" s="545">
        <f>IFERROR(X403/H403,"0")</f>
        <v>0</v>
      </c>
      <c r="Y404" s="545">
        <f>IFERROR(Y403/H403,"0")</f>
        <v>0</v>
      </c>
      <c r="Z404" s="545">
        <f>IFERROR(IF(Z403="",0,Z403),"0")</f>
        <v>0</v>
      </c>
      <c r="AA404" s="546"/>
      <c r="AB404" s="546"/>
      <c r="AC404" s="546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8"/>
      <c r="P405" s="561" t="s">
        <v>76</v>
      </c>
      <c r="Q405" s="562"/>
      <c r="R405" s="562"/>
      <c r="S405" s="562"/>
      <c r="T405" s="562"/>
      <c r="U405" s="562"/>
      <c r="V405" s="563"/>
      <c r="W405" s="37" t="s">
        <v>70</v>
      </c>
      <c r="X405" s="545">
        <f>IFERROR(SUM(X403:X403),"0")</f>
        <v>0</v>
      </c>
      <c r="Y405" s="545">
        <f>IFERROR(SUM(Y403:Y403),"0")</f>
        <v>0</v>
      </c>
      <c r="Z405" s="37"/>
      <c r="AA405" s="546"/>
      <c r="AB405" s="546"/>
      <c r="AC405" s="546"/>
    </row>
    <row r="406" spans="1:68" ht="14.25" customHeight="1" x14ac:dyDescent="0.25">
      <c r="A406" s="556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9"/>
      <c r="AB406" s="539"/>
      <c r="AC406" s="539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2">
        <v>0.9</v>
      </c>
      <c r="G407" s="32">
        <v>6</v>
      </c>
      <c r="H407" s="542">
        <v>5.4</v>
      </c>
      <c r="I407" s="542">
        <v>5.59</v>
      </c>
      <c r="J407" s="32">
        <v>132</v>
      </c>
      <c r="K407" s="32" t="s">
        <v>113</v>
      </c>
      <c r="L407" s="32"/>
      <c r="M407" s="33" t="s">
        <v>108</v>
      </c>
      <c r="N407" s="33"/>
      <c r="O407" s="32">
        <v>50</v>
      </c>
      <c r="P407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0"/>
      <c r="R407" s="550"/>
      <c r="S407" s="550"/>
      <c r="T407" s="551"/>
      <c r="U407" s="34"/>
      <c r="V407" s="34"/>
      <c r="W407" s="35" t="s">
        <v>70</v>
      </c>
      <c r="X407" s="543">
        <v>0</v>
      </c>
      <c r="Y407" s="54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2">
        <v>0.35</v>
      </c>
      <c r="G408" s="32">
        <v>6</v>
      </c>
      <c r="H408" s="542">
        <v>2.1</v>
      </c>
      <c r="I408" s="542">
        <v>2.23</v>
      </c>
      <c r="J408" s="32">
        <v>234</v>
      </c>
      <c r="K408" s="32" t="s">
        <v>74</v>
      </c>
      <c r="L408" s="32"/>
      <c r="M408" s="33" t="s">
        <v>68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0"/>
      <c r="R408" s="550"/>
      <c r="S408" s="550"/>
      <c r="T408" s="551"/>
      <c r="U408" s="34"/>
      <c r="V408" s="34"/>
      <c r="W408" s="35" t="s">
        <v>70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2">
        <v>0.28000000000000003</v>
      </c>
      <c r="G409" s="32">
        <v>6</v>
      </c>
      <c r="H409" s="542">
        <v>1.68</v>
      </c>
      <c r="I409" s="542">
        <v>1.81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0"/>
      <c r="R409" s="550"/>
      <c r="S409" s="550"/>
      <c r="T409" s="551"/>
      <c r="U409" s="34"/>
      <c r="V409" s="34"/>
      <c r="W409" s="35" t="s">
        <v>70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2">
        <v>0.35</v>
      </c>
      <c r="G410" s="32">
        <v>6</v>
      </c>
      <c r="H410" s="542">
        <v>2.1</v>
      </c>
      <c r="I410" s="542">
        <v>2.23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0"/>
      <c r="R410" s="550"/>
      <c r="S410" s="550"/>
      <c r="T410" s="551"/>
      <c r="U410" s="34"/>
      <c r="V410" s="34"/>
      <c r="W410" s="35" t="s">
        <v>70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8"/>
      <c r="P411" s="561" t="s">
        <v>76</v>
      </c>
      <c r="Q411" s="562"/>
      <c r="R411" s="562"/>
      <c r="S411" s="562"/>
      <c r="T411" s="562"/>
      <c r="U411" s="562"/>
      <c r="V411" s="563"/>
      <c r="W411" s="37" t="s">
        <v>77</v>
      </c>
      <c r="X411" s="545">
        <f>IFERROR(X407/H407,"0")+IFERROR(X408/H408,"0")+IFERROR(X409/H409,"0")+IFERROR(X410/H410,"0")</f>
        <v>0</v>
      </c>
      <c r="Y411" s="545">
        <f>IFERROR(Y407/H407,"0")+IFERROR(Y408/H408,"0")+IFERROR(Y409/H409,"0")+IFERROR(Y410/H410,"0")</f>
        <v>0</v>
      </c>
      <c r="Z411" s="545">
        <f>IFERROR(IF(Z407="",0,Z407),"0")+IFERROR(IF(Z408="",0,Z408),"0")+IFERROR(IF(Z409="",0,Z409),"0")+IFERROR(IF(Z410="",0,Z410),"0")</f>
        <v>0</v>
      </c>
      <c r="AA411" s="546"/>
      <c r="AB411" s="546"/>
      <c r="AC411" s="546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68"/>
      <c r="P412" s="561" t="s">
        <v>76</v>
      </c>
      <c r="Q412" s="562"/>
      <c r="R412" s="562"/>
      <c r="S412" s="562"/>
      <c r="T412" s="562"/>
      <c r="U412" s="562"/>
      <c r="V412" s="563"/>
      <c r="W412" s="37" t="s">
        <v>70</v>
      </c>
      <c r="X412" s="545">
        <f>IFERROR(SUM(X407:X410),"0")</f>
        <v>0</v>
      </c>
      <c r="Y412" s="545">
        <f>IFERROR(SUM(Y407:Y410),"0")</f>
        <v>0</v>
      </c>
      <c r="Z412" s="37"/>
      <c r="AA412" s="546"/>
      <c r="AB412" s="546"/>
      <c r="AC412" s="546"/>
    </row>
    <row r="413" spans="1:68" ht="16.5" customHeight="1" x14ac:dyDescent="0.25">
      <c r="A413" s="558" t="s">
        <v>632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8"/>
      <c r="AB413" s="538"/>
      <c r="AC413" s="538"/>
    </row>
    <row r="414" spans="1:68" ht="14.25" customHeight="1" x14ac:dyDescent="0.25">
      <c r="A414" s="556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9"/>
      <c r="AB414" s="539"/>
      <c r="AC414" s="539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2">
        <v>0.2</v>
      </c>
      <c r="G415" s="32">
        <v>6</v>
      </c>
      <c r="H415" s="542">
        <v>1.2</v>
      </c>
      <c r="I415" s="542">
        <v>2.1</v>
      </c>
      <c r="J415" s="32">
        <v>182</v>
      </c>
      <c r="K415" s="32" t="s">
        <v>67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0"/>
      <c r="R415" s="550"/>
      <c r="S415" s="550"/>
      <c r="T415" s="551"/>
      <c r="U415" s="34"/>
      <c r="V415" s="34"/>
      <c r="W415" s="35" t="s">
        <v>70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1" t="s">
        <v>76</v>
      </c>
      <c r="Q416" s="562"/>
      <c r="R416" s="562"/>
      <c r="S416" s="562"/>
      <c r="T416" s="562"/>
      <c r="U416" s="562"/>
      <c r="V416" s="563"/>
      <c r="W416" s="37" t="s">
        <v>77</v>
      </c>
      <c r="X416" s="545">
        <f>IFERROR(X415/H415,"0")</f>
        <v>0</v>
      </c>
      <c r="Y416" s="545">
        <f>IFERROR(Y415/H415,"0")</f>
        <v>0</v>
      </c>
      <c r="Z416" s="545">
        <f>IFERROR(IF(Z415="",0,Z415),"0")</f>
        <v>0</v>
      </c>
      <c r="AA416" s="546"/>
      <c r="AB416" s="546"/>
      <c r="AC416" s="546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8"/>
      <c r="P417" s="561" t="s">
        <v>76</v>
      </c>
      <c r="Q417" s="562"/>
      <c r="R417" s="562"/>
      <c r="S417" s="562"/>
      <c r="T417" s="562"/>
      <c r="U417" s="562"/>
      <c r="V417" s="563"/>
      <c r="W417" s="37" t="s">
        <v>70</v>
      </c>
      <c r="X417" s="545">
        <f>IFERROR(SUM(X415:X415),"0")</f>
        <v>0</v>
      </c>
      <c r="Y417" s="545">
        <f>IFERROR(SUM(Y415:Y415),"0")</f>
        <v>0</v>
      </c>
      <c r="Z417" s="37"/>
      <c r="AA417" s="546"/>
      <c r="AB417" s="546"/>
      <c r="AC417" s="546"/>
    </row>
    <row r="418" spans="1:68" ht="27.75" customHeight="1" x14ac:dyDescent="0.2">
      <c r="A418" s="650" t="s">
        <v>636</v>
      </c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1"/>
      <c r="P418" s="651"/>
      <c r="Q418" s="651"/>
      <c r="R418" s="651"/>
      <c r="S418" s="651"/>
      <c r="T418" s="651"/>
      <c r="U418" s="651"/>
      <c r="V418" s="651"/>
      <c r="W418" s="651"/>
      <c r="X418" s="651"/>
      <c r="Y418" s="651"/>
      <c r="Z418" s="651"/>
      <c r="AA418" s="48"/>
      <c r="AB418" s="48"/>
      <c r="AC418" s="48"/>
    </row>
    <row r="419" spans="1:68" ht="16.5" customHeight="1" x14ac:dyDescent="0.25">
      <c r="A419" s="558" t="s">
        <v>636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8"/>
      <c r="AB419" s="538"/>
      <c r="AC419" s="538"/>
    </row>
    <row r="420" spans="1:68" ht="14.25" customHeight="1" x14ac:dyDescent="0.25">
      <c r="A420" s="556" t="s">
        <v>103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9"/>
      <c r="AB420" s="539"/>
      <c r="AC420" s="539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2">
        <v>0.88</v>
      </c>
      <c r="G421" s="32">
        <v>6</v>
      </c>
      <c r="H421" s="542">
        <v>5.28</v>
      </c>
      <c r="I421" s="542">
        <v>5.63</v>
      </c>
      <c r="J421" s="32">
        <v>104</v>
      </c>
      <c r="K421" s="32" t="s">
        <v>106</v>
      </c>
      <c r="L421" s="32" t="s">
        <v>107</v>
      </c>
      <c r="M421" s="33" t="s">
        <v>108</v>
      </c>
      <c r="N421" s="33"/>
      <c r="O421" s="32">
        <v>60</v>
      </c>
      <c r="P421" s="8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0"/>
      <c r="R421" s="550"/>
      <c r="S421" s="550"/>
      <c r="T421" s="551"/>
      <c r="U421" s="34"/>
      <c r="V421" s="34"/>
      <c r="W421" s="35" t="s">
        <v>70</v>
      </c>
      <c r="X421" s="543">
        <v>39</v>
      </c>
      <c r="Y421" s="544">
        <f t="shared" ref="Y421:Y432" si="42">IFERROR(IF(X421="",0,CEILING((X421/$H421),1)*$H421),"")</f>
        <v>42.24</v>
      </c>
      <c r="Z421" s="36">
        <f t="shared" ref="Z421:Z427" si="43">IFERROR(IF(Y421=0,"",ROUNDUP(Y421/H421,0)*0.01196),"")</f>
        <v>9.5680000000000001E-2</v>
      </c>
      <c r="AA421" s="56"/>
      <c r="AB421" s="57"/>
      <c r="AC421" s="461" t="s">
        <v>109</v>
      </c>
      <c r="AG421" s="64"/>
      <c r="AJ421" s="68" t="s">
        <v>110</v>
      </c>
      <c r="AK421" s="68">
        <v>42.24</v>
      </c>
      <c r="BB421" s="462" t="s">
        <v>1</v>
      </c>
      <c r="BM421" s="64">
        <f t="shared" ref="BM421:BM432" si="44">IFERROR(X421*I421/H421,"0")</f>
        <v>41.585227272727266</v>
      </c>
      <c r="BN421" s="64">
        <f t="shared" ref="BN421:BN432" si="45">IFERROR(Y421*I421/H421,"0")</f>
        <v>45.04</v>
      </c>
      <c r="BO421" s="64">
        <f t="shared" ref="BO421:BO432" si="46">IFERROR(1/J421*(X421/H421),"0")</f>
        <v>7.1022727272727265E-2</v>
      </c>
      <c r="BP421" s="64">
        <f t="shared" ref="BP421:BP432" si="47">IFERROR(1/J421*(Y421/H421),"0")</f>
        <v>7.6923076923076927E-2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7">
        <v>4607091383522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106</v>
      </c>
      <c r="L422" s="32"/>
      <c r="M422" s="33" t="s">
        <v>108</v>
      </c>
      <c r="N422" s="33"/>
      <c r="O422" s="32">
        <v>60</v>
      </c>
      <c r="P422" s="69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0"/>
      <c r="R422" s="550"/>
      <c r="S422" s="550"/>
      <c r="T422" s="551"/>
      <c r="U422" s="34"/>
      <c r="V422" s="34"/>
      <c r="W422" s="35" t="s">
        <v>70</v>
      </c>
      <c r="X422" s="543">
        <v>0</v>
      </c>
      <c r="Y422" s="544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639</v>
      </c>
      <c r="B423" s="54" t="s">
        <v>642</v>
      </c>
      <c r="C423" s="31">
        <v>4301012210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106</v>
      </c>
      <c r="L423" s="32"/>
      <c r="M423" s="33" t="s">
        <v>108</v>
      </c>
      <c r="N423" s="33"/>
      <c r="O423" s="32">
        <v>60</v>
      </c>
      <c r="P423" s="666" t="s">
        <v>643</v>
      </c>
      <c r="Q423" s="550"/>
      <c r="R423" s="550"/>
      <c r="S423" s="550"/>
      <c r="T423" s="551"/>
      <c r="U423" s="34"/>
      <c r="V423" s="34"/>
      <c r="W423" s="35" t="s">
        <v>70</v>
      </c>
      <c r="X423" s="543">
        <v>0</v>
      </c>
      <c r="Y423" s="544">
        <f t="shared" si="42"/>
        <v>0</v>
      </c>
      <c r="Z423" s="36" t="str">
        <f t="shared" si="43"/>
        <v/>
      </c>
      <c r="AA423" s="56"/>
      <c r="AB423" s="57"/>
      <c r="AC423" s="465" t="s">
        <v>641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644</v>
      </c>
      <c r="B424" s="54" t="s">
        <v>645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106</v>
      </c>
      <c r="L424" s="32" t="s">
        <v>107</v>
      </c>
      <c r="M424" s="33" t="s">
        <v>108</v>
      </c>
      <c r="N424" s="33"/>
      <c r="O424" s="32">
        <v>60</v>
      </c>
      <c r="P424" s="7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70</v>
      </c>
      <c r="X424" s="543">
        <v>45</v>
      </c>
      <c r="Y424" s="544">
        <f t="shared" si="42"/>
        <v>47.52</v>
      </c>
      <c r="Z424" s="36">
        <f t="shared" si="43"/>
        <v>0.10764</v>
      </c>
      <c r="AA424" s="56"/>
      <c r="AB424" s="57"/>
      <c r="AC424" s="467" t="s">
        <v>646</v>
      </c>
      <c r="AG424" s="64"/>
      <c r="AJ424" s="68" t="s">
        <v>110</v>
      </c>
      <c r="AK424" s="68">
        <v>42.24</v>
      </c>
      <c r="BB424" s="468" t="s">
        <v>1</v>
      </c>
      <c r="BM424" s="64">
        <f t="shared" si="44"/>
        <v>47.98295454545454</v>
      </c>
      <c r="BN424" s="64">
        <f t="shared" si="45"/>
        <v>50.669999999999995</v>
      </c>
      <c r="BO424" s="64">
        <f t="shared" si="46"/>
        <v>8.1949300699300689E-2</v>
      </c>
      <c r="BP424" s="64">
        <f t="shared" si="47"/>
        <v>8.6538461538461536E-2</v>
      </c>
    </row>
    <row r="425" spans="1:68" ht="27" customHeight="1" x14ac:dyDescent="0.25">
      <c r="A425" s="54" t="s">
        <v>647</v>
      </c>
      <c r="B425" s="54" t="s">
        <v>648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106</v>
      </c>
      <c r="L425" s="32" t="s">
        <v>107</v>
      </c>
      <c r="M425" s="33" t="s">
        <v>81</v>
      </c>
      <c r="N425" s="33"/>
      <c r="O425" s="32">
        <v>60</v>
      </c>
      <c r="P425" s="7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70</v>
      </c>
      <c r="X425" s="543">
        <v>0</v>
      </c>
      <c r="Y425" s="544">
        <f t="shared" si="42"/>
        <v>0</v>
      </c>
      <c r="Z425" s="36" t="str">
        <f t="shared" si="43"/>
        <v/>
      </c>
      <c r="AA425" s="56"/>
      <c r="AB425" s="57"/>
      <c r="AC425" s="469" t="s">
        <v>649</v>
      </c>
      <c r="AG425" s="64"/>
      <c r="AJ425" s="68" t="s">
        <v>110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16.5" customHeight="1" x14ac:dyDescent="0.25">
      <c r="A426" s="54" t="s">
        <v>650</v>
      </c>
      <c r="B426" s="54" t="s">
        <v>651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106</v>
      </c>
      <c r="L426" s="32"/>
      <c r="M426" s="33" t="s">
        <v>108</v>
      </c>
      <c r="N426" s="33"/>
      <c r="O426" s="32">
        <v>60</v>
      </c>
      <c r="P426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70</v>
      </c>
      <c r="X426" s="543">
        <v>0</v>
      </c>
      <c r="Y426" s="544">
        <f t="shared" si="42"/>
        <v>0</v>
      </c>
      <c r="Z426" s="36" t="str">
        <f t="shared" si="43"/>
        <v/>
      </c>
      <c r="AA426" s="56"/>
      <c r="AB426" s="57"/>
      <c r="AC426" s="471" t="s">
        <v>652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106</v>
      </c>
      <c r="L427" s="32" t="s">
        <v>107</v>
      </c>
      <c r="M427" s="33" t="s">
        <v>108</v>
      </c>
      <c r="N427" s="33"/>
      <c r="O427" s="32">
        <v>60</v>
      </c>
      <c r="P427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70</v>
      </c>
      <c r="X427" s="543">
        <v>0</v>
      </c>
      <c r="Y427" s="544">
        <f t="shared" si="42"/>
        <v>0</v>
      </c>
      <c r="Z427" s="36" t="str">
        <f t="shared" si="43"/>
        <v/>
      </c>
      <c r="AA427" s="56"/>
      <c r="AB427" s="57"/>
      <c r="AC427" s="473" t="s">
        <v>655</v>
      </c>
      <c r="AG427" s="64"/>
      <c r="AJ427" s="68" t="s">
        <v>110</v>
      </c>
      <c r="AK427" s="68">
        <v>42.24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67</v>
      </c>
      <c r="L428" s="32"/>
      <c r="M428" s="33" t="s">
        <v>81</v>
      </c>
      <c r="N428" s="33"/>
      <c r="O428" s="32">
        <v>60</v>
      </c>
      <c r="P428" s="6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70</v>
      </c>
      <c r="X428" s="543">
        <v>0</v>
      </c>
      <c r="Y428" s="544">
        <f t="shared" si="42"/>
        <v>0</v>
      </c>
      <c r="Z428" s="36" t="str">
        <f>IFERROR(IF(Y428=0,"",ROUNDUP(Y428/H428,0)*0.00651),"")</f>
        <v/>
      </c>
      <c r="AA428" s="56"/>
      <c r="AB428" s="57"/>
      <c r="AC428" s="475" t="s">
        <v>109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113</v>
      </c>
      <c r="L429" s="32"/>
      <c r="M429" s="33" t="s">
        <v>108</v>
      </c>
      <c r="N429" s="33"/>
      <c r="O429" s="32">
        <v>60</v>
      </c>
      <c r="P429" s="6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70</v>
      </c>
      <c r="X429" s="543">
        <v>23</v>
      </c>
      <c r="Y429" s="544">
        <f t="shared" si="42"/>
        <v>24</v>
      </c>
      <c r="Z429" s="36">
        <f>IFERROR(IF(Y429=0,"",ROUNDUP(Y429/H429,0)*0.00902),"")</f>
        <v>4.5100000000000001E-2</v>
      </c>
      <c r="AA429" s="56"/>
      <c r="AB429" s="57"/>
      <c r="AC429" s="477" t="s">
        <v>109</v>
      </c>
      <c r="AG429" s="64"/>
      <c r="AJ429" s="68"/>
      <c r="AK429" s="68">
        <v>0</v>
      </c>
      <c r="BB429" s="478" t="s">
        <v>1</v>
      </c>
      <c r="BM429" s="64">
        <f t="shared" si="44"/>
        <v>33.110416666666673</v>
      </c>
      <c r="BN429" s="64">
        <f t="shared" si="45"/>
        <v>34.550000000000004</v>
      </c>
      <c r="BO429" s="64">
        <f t="shared" si="46"/>
        <v>3.6300505050505055E-2</v>
      </c>
      <c r="BP429" s="64">
        <f t="shared" si="47"/>
        <v>3.787878787878788E-2</v>
      </c>
    </row>
    <row r="430" spans="1:68" ht="27" customHeight="1" x14ac:dyDescent="0.25">
      <c r="A430" s="54" t="s">
        <v>660</v>
      </c>
      <c r="B430" s="54" t="s">
        <v>661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113</v>
      </c>
      <c r="L430" s="32"/>
      <c r="M430" s="33" t="s">
        <v>108</v>
      </c>
      <c r="N430" s="33"/>
      <c r="O430" s="32">
        <v>60</v>
      </c>
      <c r="P430" s="81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70</v>
      </c>
      <c r="X430" s="543">
        <v>0</v>
      </c>
      <c r="Y430" s="544">
        <f t="shared" si="42"/>
        <v>0</v>
      </c>
      <c r="Z430" s="36" t="str">
        <f>IFERROR(IF(Y430=0,"",ROUNDUP(Y430/H430,0)*0.00937),"")</f>
        <v/>
      </c>
      <c r="AA430" s="56"/>
      <c r="AB430" s="57"/>
      <c r="AC430" s="479" t="s">
        <v>646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67</v>
      </c>
      <c r="L431" s="32"/>
      <c r="M431" s="33" t="s">
        <v>108</v>
      </c>
      <c r="N431" s="33"/>
      <c r="O431" s="32">
        <v>60</v>
      </c>
      <c r="P431" s="6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70</v>
      </c>
      <c r="X431" s="543">
        <v>0</v>
      </c>
      <c r="Y431" s="544">
        <f t="shared" si="42"/>
        <v>0</v>
      </c>
      <c r="Z431" s="36" t="str">
        <f>IFERROR(IF(Y431=0,"",ROUNDUP(Y431/H431,0)*0.00651),"")</f>
        <v/>
      </c>
      <c r="AA431" s="56"/>
      <c r="AB431" s="57"/>
      <c r="AC431" s="481" t="s">
        <v>664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113</v>
      </c>
      <c r="L432" s="32"/>
      <c r="M432" s="33" t="s">
        <v>108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70</v>
      </c>
      <c r="X432" s="543">
        <v>0</v>
      </c>
      <c r="Y432" s="544">
        <f t="shared" si="42"/>
        <v>0</v>
      </c>
      <c r="Z432" s="36" t="str">
        <f>IFERROR(IF(Y432=0,"",ROUNDUP(Y432/H432,0)*0.00902),"")</f>
        <v/>
      </c>
      <c r="AA432" s="56"/>
      <c r="AB432" s="57"/>
      <c r="AC432" s="483" t="s">
        <v>655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x14ac:dyDescent="0.2">
      <c r="A433" s="56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68"/>
      <c r="P433" s="561" t="s">
        <v>76</v>
      </c>
      <c r="Q433" s="562"/>
      <c r="R433" s="562"/>
      <c r="S433" s="562"/>
      <c r="T433" s="562"/>
      <c r="U433" s="562"/>
      <c r="V433" s="563"/>
      <c r="W433" s="37" t="s">
        <v>77</v>
      </c>
      <c r="X433" s="545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20.700757575757574</v>
      </c>
      <c r="Y433" s="545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22</v>
      </c>
      <c r="Z433" s="545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0.24842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68"/>
      <c r="P434" s="561" t="s">
        <v>76</v>
      </c>
      <c r="Q434" s="562"/>
      <c r="R434" s="562"/>
      <c r="S434" s="562"/>
      <c r="T434" s="562"/>
      <c r="U434" s="562"/>
      <c r="V434" s="563"/>
      <c r="W434" s="37" t="s">
        <v>70</v>
      </c>
      <c r="X434" s="545">
        <f>IFERROR(SUM(X421:X432),"0")</f>
        <v>107</v>
      </c>
      <c r="Y434" s="545">
        <f>IFERROR(SUM(Y421:Y432),"0")</f>
        <v>113.76</v>
      </c>
      <c r="Z434" s="37"/>
      <c r="AA434" s="546"/>
      <c r="AB434" s="546"/>
      <c r="AC434" s="546"/>
    </row>
    <row r="435" spans="1:68" ht="14.25" customHeight="1" x14ac:dyDescent="0.25">
      <c r="A435" s="556" t="s">
        <v>139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customHeight="1" x14ac:dyDescent="0.25">
      <c r="A436" s="54" t="s">
        <v>667</v>
      </c>
      <c r="B436" s="54" t="s">
        <v>668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106</v>
      </c>
      <c r="L436" s="32" t="s">
        <v>107</v>
      </c>
      <c r="M436" s="33" t="s">
        <v>81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70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669</v>
      </c>
      <c r="AG436" s="64"/>
      <c r="AJ436" s="68" t="s">
        <v>110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70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669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672</v>
      </c>
      <c r="B438" s="54" t="s">
        <v>673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113</v>
      </c>
      <c r="L438" s="32" t="s">
        <v>116</v>
      </c>
      <c r="M438" s="33" t="s">
        <v>108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70</v>
      </c>
      <c r="X438" s="543">
        <v>30</v>
      </c>
      <c r="Y438" s="544">
        <f>IFERROR(IF(X438="",0,CEILING((X438/$H438),1)*$H438),"")</f>
        <v>33.6</v>
      </c>
      <c r="Z438" s="36">
        <f>IFERROR(IF(Y438=0,"",ROUNDUP(Y438/H438,0)*0.00902),"")</f>
        <v>6.3140000000000002E-2</v>
      </c>
      <c r="AA438" s="56"/>
      <c r="AB438" s="57"/>
      <c r="AC438" s="489" t="s">
        <v>669</v>
      </c>
      <c r="AG438" s="64"/>
      <c r="AJ438" s="68" t="s">
        <v>110</v>
      </c>
      <c r="AK438" s="68">
        <v>57.6</v>
      </c>
      <c r="BB438" s="490" t="s">
        <v>1</v>
      </c>
      <c r="BM438" s="64">
        <f>IFERROR(X438*I438/H438,"0")</f>
        <v>43.187500000000007</v>
      </c>
      <c r="BN438" s="64">
        <f>IFERROR(Y438*I438/H438,"0")</f>
        <v>48.370000000000005</v>
      </c>
      <c r="BO438" s="64">
        <f>IFERROR(1/J438*(X438/H438),"0")</f>
        <v>4.7348484848484848E-2</v>
      </c>
      <c r="BP438" s="64">
        <f>IFERROR(1/J438*(Y438/H438),"0")</f>
        <v>5.3030303030303039E-2</v>
      </c>
    </row>
    <row r="439" spans="1:68" x14ac:dyDescent="0.2">
      <c r="A439" s="56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8"/>
      <c r="P439" s="561" t="s">
        <v>76</v>
      </c>
      <c r="Q439" s="562"/>
      <c r="R439" s="562"/>
      <c r="S439" s="562"/>
      <c r="T439" s="562"/>
      <c r="U439" s="562"/>
      <c r="V439" s="563"/>
      <c r="W439" s="37" t="s">
        <v>77</v>
      </c>
      <c r="X439" s="545">
        <f>IFERROR(X436/H436,"0")+IFERROR(X437/H437,"0")+IFERROR(X438/H438,"0")</f>
        <v>6.25</v>
      </c>
      <c r="Y439" s="545">
        <f>IFERROR(Y436/H436,"0")+IFERROR(Y437/H437,"0")+IFERROR(Y438/H438,"0")</f>
        <v>7.0000000000000009</v>
      </c>
      <c r="Z439" s="545">
        <f>IFERROR(IF(Z436="",0,Z436),"0")+IFERROR(IF(Z437="",0,Z437),"0")+IFERROR(IF(Z438="",0,Z438),"0")</f>
        <v>6.3140000000000002E-2</v>
      </c>
      <c r="AA439" s="546"/>
      <c r="AB439" s="546"/>
      <c r="AC439" s="546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8"/>
      <c r="P440" s="561" t="s">
        <v>76</v>
      </c>
      <c r="Q440" s="562"/>
      <c r="R440" s="562"/>
      <c r="S440" s="562"/>
      <c r="T440" s="562"/>
      <c r="U440" s="562"/>
      <c r="V440" s="563"/>
      <c r="W440" s="37" t="s">
        <v>70</v>
      </c>
      <c r="X440" s="545">
        <f>IFERROR(SUM(X436:X438),"0")</f>
        <v>30</v>
      </c>
      <c r="Y440" s="545">
        <f>IFERROR(SUM(Y436:Y438),"0")</f>
        <v>33.6</v>
      </c>
      <c r="Z440" s="37"/>
      <c r="AA440" s="546"/>
      <c r="AB440" s="546"/>
      <c r="AC440" s="546"/>
    </row>
    <row r="441" spans="1:68" ht="14.25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674</v>
      </c>
      <c r="B442" s="54" t="s">
        <v>675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106</v>
      </c>
      <c r="L442" s="32" t="s">
        <v>107</v>
      </c>
      <c r="M442" s="33" t="s">
        <v>108</v>
      </c>
      <c r="N442" s="33"/>
      <c r="O442" s="32">
        <v>70</v>
      </c>
      <c r="P442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70</v>
      </c>
      <c r="X442" s="543">
        <v>99</v>
      </c>
      <c r="Y442" s="544">
        <f t="shared" ref="Y442:Y447" si="48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676</v>
      </c>
      <c r="AG442" s="64"/>
      <c r="AJ442" s="68" t="s">
        <v>110</v>
      </c>
      <c r="AK442" s="68">
        <v>42.24</v>
      </c>
      <c r="BB442" s="492" t="s">
        <v>1</v>
      </c>
      <c r="BM442" s="64">
        <f t="shared" ref="BM442:BM447" si="49">IFERROR(X442*I442/H442,"0")</f>
        <v>105.5625</v>
      </c>
      <c r="BN442" s="64">
        <f t="shared" ref="BN442:BN447" si="50">IFERROR(Y442*I442/H442,"0")</f>
        <v>106.97</v>
      </c>
      <c r="BO442" s="64">
        <f t="shared" ref="BO442:BO447" si="51">IFERROR(1/J442*(X442/H442),"0")</f>
        <v>0.18028846153846154</v>
      </c>
      <c r="BP442" s="64">
        <f t="shared" ref="BP442:BP447" si="52">IFERROR(1/J442*(Y442/H442),"0")</f>
        <v>0.18269230769230771</v>
      </c>
    </row>
    <row r="443" spans="1:68" ht="27" customHeight="1" x14ac:dyDescent="0.25">
      <c r="A443" s="54" t="s">
        <v>677</v>
      </c>
      <c r="B443" s="54" t="s">
        <v>678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106</v>
      </c>
      <c r="L443" s="32" t="s">
        <v>107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70</v>
      </c>
      <c r="X443" s="543">
        <v>61</v>
      </c>
      <c r="Y443" s="544">
        <f t="shared" si="48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679</v>
      </c>
      <c r="AG443" s="64"/>
      <c r="AJ443" s="68" t="s">
        <v>110</v>
      </c>
      <c r="AK443" s="68">
        <v>42.24</v>
      </c>
      <c r="BB443" s="494" t="s">
        <v>1</v>
      </c>
      <c r="BM443" s="64">
        <f t="shared" si="49"/>
        <v>65.043560606060609</v>
      </c>
      <c r="BN443" s="64">
        <f t="shared" si="50"/>
        <v>67.559999999999988</v>
      </c>
      <c r="BO443" s="64">
        <f t="shared" si="51"/>
        <v>0.11108682983682984</v>
      </c>
      <c r="BP443" s="64">
        <f t="shared" si="52"/>
        <v>0.11538461538461539</v>
      </c>
    </row>
    <row r="444" spans="1:68" ht="27" customHeight="1" x14ac:dyDescent="0.25">
      <c r="A444" s="54" t="s">
        <v>680</v>
      </c>
      <c r="B444" s="54" t="s">
        <v>681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106</v>
      </c>
      <c r="L444" s="32" t="s">
        <v>107</v>
      </c>
      <c r="M444" s="33" t="s">
        <v>68</v>
      </c>
      <c r="N444" s="33"/>
      <c r="O444" s="32">
        <v>70</v>
      </c>
      <c r="P444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70</v>
      </c>
      <c r="X444" s="543">
        <v>0</v>
      </c>
      <c r="Y444" s="544">
        <f t="shared" si="48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110</v>
      </c>
      <c r="AK444" s="68">
        <v>42.24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113</v>
      </c>
      <c r="L445" s="32"/>
      <c r="M445" s="33" t="s">
        <v>108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70</v>
      </c>
      <c r="X445" s="543">
        <v>0</v>
      </c>
      <c r="Y445" s="544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676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113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70</v>
      </c>
      <c r="X446" s="543">
        <v>0</v>
      </c>
      <c r="Y446" s="544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t="27" customHeight="1" x14ac:dyDescent="0.25">
      <c r="A447" s="54" t="s">
        <v>687</v>
      </c>
      <c r="B447" s="54" t="s">
        <v>688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113</v>
      </c>
      <c r="L447" s="32"/>
      <c r="M447" s="33" t="s">
        <v>68</v>
      </c>
      <c r="N447" s="33"/>
      <c r="O447" s="32">
        <v>70</v>
      </c>
      <c r="P447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70</v>
      </c>
      <c r="X447" s="543">
        <v>0</v>
      </c>
      <c r="Y447" s="544">
        <f t="shared" si="48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x14ac:dyDescent="0.2">
      <c r="A448" s="56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68"/>
      <c r="P448" s="561" t="s">
        <v>76</v>
      </c>
      <c r="Q448" s="562"/>
      <c r="R448" s="562"/>
      <c r="S448" s="562"/>
      <c r="T448" s="562"/>
      <c r="U448" s="562"/>
      <c r="V448" s="563"/>
      <c r="W448" s="37" t="s">
        <v>77</v>
      </c>
      <c r="X448" s="545">
        <f>IFERROR(X442/H442,"0")+IFERROR(X443/H443,"0")+IFERROR(X444/H444,"0")+IFERROR(X445/H445,"0")+IFERROR(X446/H446,"0")+IFERROR(X447/H447,"0")</f>
        <v>30.303030303030305</v>
      </c>
      <c r="Y448" s="545">
        <f>IFERROR(Y442/H442,"0")+IFERROR(Y443/H443,"0")+IFERROR(Y444/H444,"0")+IFERROR(Y445/H445,"0")+IFERROR(Y446/H446,"0")+IFERROR(Y447/H447,"0")</f>
        <v>31</v>
      </c>
      <c r="Z448" s="545">
        <f>IFERROR(IF(Z442="",0,Z442),"0")+IFERROR(IF(Z443="",0,Z443),"0")+IFERROR(IF(Z444="",0,Z444),"0")+IFERROR(IF(Z445="",0,Z445),"0")+IFERROR(IF(Z446="",0,Z446),"0")+IFERROR(IF(Z447="",0,Z447),"0")</f>
        <v>0.37075999999999998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68"/>
      <c r="P449" s="561" t="s">
        <v>76</v>
      </c>
      <c r="Q449" s="562"/>
      <c r="R449" s="562"/>
      <c r="S449" s="562"/>
      <c r="T449" s="562"/>
      <c r="U449" s="562"/>
      <c r="V449" s="563"/>
      <c r="W449" s="37" t="s">
        <v>70</v>
      </c>
      <c r="X449" s="545">
        <f>IFERROR(SUM(X442:X447),"0")</f>
        <v>160</v>
      </c>
      <c r="Y449" s="545">
        <f>IFERROR(SUM(Y442:Y447),"0")</f>
        <v>163.68</v>
      </c>
      <c r="Z449" s="37"/>
      <c r="AA449" s="546"/>
      <c r="AB449" s="546"/>
      <c r="AC449" s="546"/>
    </row>
    <row r="450" spans="1:68" ht="14.25" customHeight="1" x14ac:dyDescent="0.25">
      <c r="A450" s="556" t="s">
        <v>78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customHeight="1" x14ac:dyDescent="0.25">
      <c r="A451" s="54" t="s">
        <v>689</v>
      </c>
      <c r="B451" s="54" t="s">
        <v>690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106</v>
      </c>
      <c r="L451" s="32"/>
      <c r="M451" s="33" t="s">
        <v>81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 t="s">
        <v>691</v>
      </c>
      <c r="W451" s="35" t="s">
        <v>70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106</v>
      </c>
      <c r="L452" s="32"/>
      <c r="M452" s="33" t="s">
        <v>81</v>
      </c>
      <c r="N452" s="33"/>
      <c r="O452" s="32">
        <v>45</v>
      </c>
      <c r="P452" s="58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 t="s">
        <v>691</v>
      </c>
      <c r="W452" s="35" t="s">
        <v>70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67</v>
      </c>
      <c r="L453" s="32"/>
      <c r="M453" s="33" t="s">
        <v>81</v>
      </c>
      <c r="N453" s="33"/>
      <c r="O453" s="32">
        <v>45</v>
      </c>
      <c r="P453" s="63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70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6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8"/>
      <c r="P454" s="561" t="s">
        <v>76</v>
      </c>
      <c r="Q454" s="562"/>
      <c r="R454" s="562"/>
      <c r="S454" s="562"/>
      <c r="T454" s="562"/>
      <c r="U454" s="562"/>
      <c r="V454" s="563"/>
      <c r="W454" s="37" t="s">
        <v>77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8"/>
      <c r="P455" s="561" t="s">
        <v>76</v>
      </c>
      <c r="Q455" s="562"/>
      <c r="R455" s="562"/>
      <c r="S455" s="562"/>
      <c r="T455" s="562"/>
      <c r="U455" s="562"/>
      <c r="V455" s="563"/>
      <c r="W455" s="37" t="s">
        <v>70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50" t="s">
        <v>699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48"/>
      <c r="AB456" s="48"/>
      <c r="AC456" s="48"/>
    </row>
    <row r="457" spans="1:68" ht="16.5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customHeight="1" x14ac:dyDescent="0.25">
      <c r="A458" s="556" t="s">
        <v>103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106</v>
      </c>
      <c r="L459" s="32"/>
      <c r="M459" s="33" t="s">
        <v>81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70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106</v>
      </c>
      <c r="L460" s="32"/>
      <c r="M460" s="33" t="s">
        <v>108</v>
      </c>
      <c r="N460" s="33"/>
      <c r="O460" s="32">
        <v>50</v>
      </c>
      <c r="P460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70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106</v>
      </c>
      <c r="L461" s="32"/>
      <c r="M461" s="33" t="s">
        <v>108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70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113</v>
      </c>
      <c r="L462" s="32"/>
      <c r="M462" s="33" t="s">
        <v>81</v>
      </c>
      <c r="N462" s="33"/>
      <c r="O462" s="32">
        <v>55</v>
      </c>
      <c r="P462" s="79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70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6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68"/>
      <c r="P463" s="561" t="s">
        <v>76</v>
      </c>
      <c r="Q463" s="562"/>
      <c r="R463" s="562"/>
      <c r="S463" s="562"/>
      <c r="T463" s="562"/>
      <c r="U463" s="562"/>
      <c r="V463" s="563"/>
      <c r="W463" s="37" t="s">
        <v>77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68"/>
      <c r="P464" s="561" t="s">
        <v>76</v>
      </c>
      <c r="Q464" s="562"/>
      <c r="R464" s="562"/>
      <c r="S464" s="562"/>
      <c r="T464" s="562"/>
      <c r="U464" s="562"/>
      <c r="V464" s="563"/>
      <c r="W464" s="37" t="s">
        <v>70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6" t="s">
        <v>139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70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70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113</v>
      </c>
      <c r="L468" s="32"/>
      <c r="M468" s="33" t="s">
        <v>108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70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68"/>
      <c r="P469" s="561" t="s">
        <v>76</v>
      </c>
      <c r="Q469" s="562"/>
      <c r="R469" s="562"/>
      <c r="S469" s="562"/>
      <c r="T469" s="562"/>
      <c r="U469" s="562"/>
      <c r="V469" s="563"/>
      <c r="W469" s="37" t="s">
        <v>77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1" t="s">
        <v>76</v>
      </c>
      <c r="Q470" s="562"/>
      <c r="R470" s="562"/>
      <c r="S470" s="562"/>
      <c r="T470" s="562"/>
      <c r="U470" s="562"/>
      <c r="V470" s="563"/>
      <c r="W470" s="37" t="s">
        <v>70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113</v>
      </c>
      <c r="L472" s="32" t="s">
        <v>116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70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110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113</v>
      </c>
      <c r="L473" s="32" t="s">
        <v>116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70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110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68"/>
      <c r="P474" s="561" t="s">
        <v>76</v>
      </c>
      <c r="Q474" s="562"/>
      <c r="R474" s="562"/>
      <c r="S474" s="562"/>
      <c r="T474" s="562"/>
      <c r="U474" s="562"/>
      <c r="V474" s="563"/>
      <c r="W474" s="37" t="s">
        <v>77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1" t="s">
        <v>76</v>
      </c>
      <c r="Q475" s="562"/>
      <c r="R475" s="562"/>
      <c r="S475" s="562"/>
      <c r="T475" s="562"/>
      <c r="U475" s="562"/>
      <c r="V475" s="563"/>
      <c r="W475" s="37" t="s">
        <v>70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56" t="s">
        <v>78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106</v>
      </c>
      <c r="L477" s="32"/>
      <c r="M477" s="33" t="s">
        <v>88</v>
      </c>
      <c r="N477" s="33"/>
      <c r="O477" s="32">
        <v>45</v>
      </c>
      <c r="P477" s="74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70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/>
      <c r="AK477" s="68">
        <v>0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68"/>
      <c r="P478" s="561" t="s">
        <v>76</v>
      </c>
      <c r="Q478" s="562"/>
      <c r="R478" s="562"/>
      <c r="S478" s="562"/>
      <c r="T478" s="562"/>
      <c r="U478" s="562"/>
      <c r="V478" s="563"/>
      <c r="W478" s="37" t="s">
        <v>77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1" t="s">
        <v>76</v>
      </c>
      <c r="Q479" s="562"/>
      <c r="R479" s="562"/>
      <c r="S479" s="562"/>
      <c r="T479" s="562"/>
      <c r="U479" s="562"/>
      <c r="V479" s="563"/>
      <c r="W479" s="37" t="s">
        <v>70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6" t="s">
        <v>167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106</v>
      </c>
      <c r="L481" s="32"/>
      <c r="M481" s="33" t="s">
        <v>81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70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106</v>
      </c>
      <c r="L482" s="32"/>
      <c r="M482" s="33" t="s">
        <v>81</v>
      </c>
      <c r="N482" s="33"/>
      <c r="O482" s="32">
        <v>40</v>
      </c>
      <c r="P482" s="63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70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6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68"/>
      <c r="P483" s="561" t="s">
        <v>76</v>
      </c>
      <c r="Q483" s="562"/>
      <c r="R483" s="562"/>
      <c r="S483" s="562"/>
      <c r="T483" s="562"/>
      <c r="U483" s="562"/>
      <c r="V483" s="563"/>
      <c r="W483" s="37" t="s">
        <v>77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1" t="s">
        <v>76</v>
      </c>
      <c r="Q484" s="562"/>
      <c r="R484" s="562"/>
      <c r="S484" s="562"/>
      <c r="T484" s="562"/>
      <c r="U484" s="562"/>
      <c r="V484" s="563"/>
      <c r="W484" s="37" t="s">
        <v>70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customHeight="1" x14ac:dyDescent="0.25">
      <c r="A486" s="556" t="s">
        <v>139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106</v>
      </c>
      <c r="L487" s="32"/>
      <c r="M487" s="33" t="s">
        <v>108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70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6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68"/>
      <c r="P488" s="561" t="s">
        <v>76</v>
      </c>
      <c r="Q488" s="562"/>
      <c r="R488" s="562"/>
      <c r="S488" s="562"/>
      <c r="T488" s="562"/>
      <c r="U488" s="562"/>
      <c r="V488" s="563"/>
      <c r="W488" s="37" t="s">
        <v>77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1" t="s">
        <v>76</v>
      </c>
      <c r="Q489" s="562"/>
      <c r="R489" s="562"/>
      <c r="S489" s="562"/>
      <c r="T489" s="562"/>
      <c r="U489" s="562"/>
      <c r="V489" s="563"/>
      <c r="W489" s="37" t="s">
        <v>70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8"/>
      <c r="P490" s="644" t="s">
        <v>739</v>
      </c>
      <c r="Q490" s="645"/>
      <c r="R490" s="645"/>
      <c r="S490" s="645"/>
      <c r="T490" s="645"/>
      <c r="U490" s="645"/>
      <c r="V490" s="646"/>
      <c r="W490" s="37" t="s">
        <v>70</v>
      </c>
      <c r="X490" s="545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5971</v>
      </c>
      <c r="Y490" s="545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6084.2400000000016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8"/>
      <c r="P491" s="644" t="s">
        <v>740</v>
      </c>
      <c r="Q491" s="645"/>
      <c r="R491" s="645"/>
      <c r="S491" s="645"/>
      <c r="T491" s="645"/>
      <c r="U491" s="645"/>
      <c r="V491" s="646"/>
      <c r="W491" s="37" t="s">
        <v>70</v>
      </c>
      <c r="X491" s="545">
        <f>IFERROR(SUM(BM22:BM487),"0")</f>
        <v>6317.4803173003465</v>
      </c>
      <c r="Y491" s="545">
        <f>IFERROR(SUM(BN22:BN487),"0")</f>
        <v>6438.3860000000004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8"/>
      <c r="P492" s="644" t="s">
        <v>741</v>
      </c>
      <c r="Q492" s="645"/>
      <c r="R492" s="645"/>
      <c r="S492" s="645"/>
      <c r="T492" s="645"/>
      <c r="U492" s="645"/>
      <c r="V492" s="646"/>
      <c r="W492" s="37" t="s">
        <v>742</v>
      </c>
      <c r="X492" s="38">
        <f>ROUNDUP(SUM(BO22:BO487),0)</f>
        <v>11</v>
      </c>
      <c r="Y492" s="38">
        <f>ROUNDUP(SUM(BP22:BP487),0)</f>
        <v>11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8"/>
      <c r="P493" s="644" t="s">
        <v>743</v>
      </c>
      <c r="Q493" s="645"/>
      <c r="R493" s="645"/>
      <c r="S493" s="645"/>
      <c r="T493" s="645"/>
      <c r="U493" s="645"/>
      <c r="V493" s="646"/>
      <c r="W493" s="37" t="s">
        <v>70</v>
      </c>
      <c r="X493" s="545">
        <f>GrossWeightTotal+PalletQtyTotal*25</f>
        <v>6592.4803173003465</v>
      </c>
      <c r="Y493" s="545">
        <f>GrossWeightTotalR+PalletQtyTotalR*25</f>
        <v>6713.3860000000004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8"/>
      <c r="P494" s="644" t="s">
        <v>744</v>
      </c>
      <c r="Q494" s="645"/>
      <c r="R494" s="645"/>
      <c r="S494" s="645"/>
      <c r="T494" s="645"/>
      <c r="U494" s="645"/>
      <c r="V494" s="646"/>
      <c r="W494" s="37" t="s">
        <v>742</v>
      </c>
      <c r="X494" s="545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1273.0925253395837</v>
      </c>
      <c r="Y494" s="545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1293</v>
      </c>
      <c r="Z494" s="37"/>
      <c r="AA494" s="546"/>
      <c r="AB494" s="546"/>
      <c r="AC494" s="546"/>
    </row>
    <row r="495" spans="1:68" ht="14.25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8"/>
      <c r="P495" s="644" t="s">
        <v>745</v>
      </c>
      <c r="Q495" s="645"/>
      <c r="R495" s="645"/>
      <c r="S495" s="645"/>
      <c r="T495" s="645"/>
      <c r="U495" s="645"/>
      <c r="V495" s="646"/>
      <c r="W495" s="39" t="s">
        <v>746</v>
      </c>
      <c r="X495" s="37"/>
      <c r="Y495" s="37"/>
      <c r="Z495" s="37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12.606510000000002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5" t="s">
        <v>101</v>
      </c>
      <c r="D497" s="598"/>
      <c r="E497" s="598"/>
      <c r="F497" s="598"/>
      <c r="G497" s="598"/>
      <c r="H497" s="599"/>
      <c r="I497" s="595" t="s">
        <v>254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531</v>
      </c>
      <c r="T497" s="599"/>
      <c r="U497" s="595" t="s">
        <v>585</v>
      </c>
      <c r="V497" s="598"/>
      <c r="W497" s="599"/>
      <c r="X497" s="540" t="s">
        <v>636</v>
      </c>
      <c r="Y497" s="595" t="s">
        <v>699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748</v>
      </c>
      <c r="B498" s="595" t="s">
        <v>63</v>
      </c>
      <c r="C498" s="595" t="s">
        <v>102</v>
      </c>
      <c r="D498" s="595" t="s">
        <v>120</v>
      </c>
      <c r="E498" s="595" t="s">
        <v>174</v>
      </c>
      <c r="F498" s="595" t="s">
        <v>193</v>
      </c>
      <c r="G498" s="595" t="s">
        <v>224</v>
      </c>
      <c r="H498" s="595" t="s">
        <v>101</v>
      </c>
      <c r="I498" s="595" t="s">
        <v>255</v>
      </c>
      <c r="J498" s="595" t="s">
        <v>299</v>
      </c>
      <c r="K498" s="595" t="s">
        <v>358</v>
      </c>
      <c r="L498" s="595" t="s">
        <v>400</v>
      </c>
      <c r="M498" s="595" t="s">
        <v>416</v>
      </c>
      <c r="N498" s="541"/>
      <c r="O498" s="595" t="s">
        <v>427</v>
      </c>
      <c r="P498" s="595" t="s">
        <v>436</v>
      </c>
      <c r="Q498" s="595" t="s">
        <v>449</v>
      </c>
      <c r="R498" s="595" t="s">
        <v>521</v>
      </c>
      <c r="S498" s="595" t="s">
        <v>532</v>
      </c>
      <c r="T498" s="595" t="s">
        <v>567</v>
      </c>
      <c r="U498" s="595" t="s">
        <v>586</v>
      </c>
      <c r="V498" s="595" t="s">
        <v>617</v>
      </c>
      <c r="W498" s="595" t="s">
        <v>632</v>
      </c>
      <c r="X498" s="595" t="s">
        <v>636</v>
      </c>
      <c r="Y498" s="595" t="s">
        <v>699</v>
      </c>
      <c r="Z498" s="595" t="s">
        <v>735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IFERROR(Y22*1,"0")+IFERROR(Y23*1,"0")+IFERROR(Y27*1,"0")+IFERROR(Y28*1,"0")+IFERROR(Y29*1,"0")+IFERROR(Y30*1,"0")+IFERROR(Y31*1,"0")+IFERROR(Y35*1,"0")</f>
        <v>0</v>
      </c>
      <c r="C500" s="46">
        <f>IFERROR(Y41*1,"0")+IFERROR(Y42*1,"0")+IFERROR(Y43*1,"0")+IFERROR(Y47*1,"0")</f>
        <v>194.4</v>
      </c>
      <c r="D500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582.6</v>
      </c>
      <c r="E500" s="46">
        <f>IFERROR(Y86*1,"0")+IFERROR(Y87*1,"0")+IFERROR(Y88*1,"0")+IFERROR(Y92*1,"0")+IFERROR(Y93*1,"0")+IFERROR(Y94*1,"0")+IFERROR(Y95*1,"0")</f>
        <v>313.20000000000005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741.60000000000014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527.40000000000009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1423.2000000000003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458.20000000000005</v>
      </c>
      <c r="R500" s="46">
        <f>IFERROR(Y334*1,"0")+IFERROR(Y335*1,"0")+IFERROR(Y336*1,"0")</f>
        <v>0</v>
      </c>
      <c r="S500" s="46">
        <f>IFERROR(Y342*1,"0")+IFERROR(Y343*1,"0")+IFERROR(Y344*1,"0")+IFERROR(Y345*1,"0")+IFERROR(Y346*1,"0")+IFERROR(Y347*1,"0")+IFERROR(Y348*1,"0")+IFERROR(Y352*1,"0")+IFERROR(Y353*1,"0")+IFERROR(Y357*1,"0")+IFERROR(Y358*1,"0")+IFERROR(Y362*1,"0")</f>
        <v>1116</v>
      </c>
      <c r="T500" s="46">
        <f>IFERROR(Y367*1,"0")+IFERROR(Y368*1,"0")+IFERROR(Y372*1,"0")+IFERROR(Y373*1,"0")+IFERROR(Y377*1,"0")+IFERROR(Y378*1,"0")+IFERROR(Y379*1,"0")</f>
        <v>405</v>
      </c>
      <c r="U500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46">
        <f>IFERROR(Y403*1,"0")+IFERROR(Y407*1,"0")+IFERROR(Y408*1,"0")+IFERROR(Y409*1,"0")+IFERROR(Y410*1,"0")</f>
        <v>0</v>
      </c>
      <c r="W500" s="46">
        <f>IFERROR(Y415*1,"0")</f>
        <v>0</v>
      </c>
      <c r="X500" s="46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311.04000000000002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vu44utB/c0ZK3V1uawO1c4EBiuaaug3YpjG48bDYkcyinNE6+tFMOMjD/EOp30aQcd5rdja3OfXznNTo+xJX/A==" saltValue="sH2c8xERg+YHSR0A5Kkh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P307:T307"/>
    <mergeCell ref="P202:T202"/>
    <mergeCell ref="A188:O189"/>
    <mergeCell ref="X17:X18"/>
    <mergeCell ref="D408:E408"/>
    <mergeCell ref="P216:V216"/>
    <mergeCell ref="Y17:Y18"/>
    <mergeCell ref="A260:O261"/>
    <mergeCell ref="U17:V17"/>
    <mergeCell ref="A8:C8"/>
    <mergeCell ref="D293:E293"/>
    <mergeCell ref="P138:V138"/>
    <mergeCell ref="A137:O138"/>
    <mergeCell ref="P374:V374"/>
    <mergeCell ref="A268:O269"/>
    <mergeCell ref="A10:C10"/>
    <mergeCell ref="P126:T126"/>
    <mergeCell ref="P311:V311"/>
    <mergeCell ref="A21:Z21"/>
    <mergeCell ref="A129:Z129"/>
    <mergeCell ref="D192:E192"/>
    <mergeCell ref="P296:V296"/>
    <mergeCell ref="D42:E42"/>
    <mergeCell ref="D344:E344"/>
    <mergeCell ref="D17:E18"/>
    <mergeCell ref="P373:T373"/>
    <mergeCell ref="Q5:R5"/>
    <mergeCell ref="D242:E242"/>
    <mergeCell ref="P199:T199"/>
    <mergeCell ref="D120:E120"/>
    <mergeCell ref="F17:F18"/>
    <mergeCell ref="D107:E107"/>
    <mergeCell ref="P291:T291"/>
    <mergeCell ref="D163:E163"/>
    <mergeCell ref="D234:E234"/>
    <mergeCell ref="A24:O25"/>
    <mergeCell ref="P136:T136"/>
    <mergeCell ref="P228:T228"/>
    <mergeCell ref="D171:E171"/>
    <mergeCell ref="A149:O150"/>
    <mergeCell ref="Q6:R6"/>
    <mergeCell ref="P200:T200"/>
    <mergeCell ref="A251:O252"/>
    <mergeCell ref="D102:E102"/>
    <mergeCell ref="D196:E196"/>
    <mergeCell ref="A206:Z206"/>
    <mergeCell ref="A262:Z262"/>
    <mergeCell ref="D54:E54"/>
    <mergeCell ref="P160:V160"/>
    <mergeCell ref="V12:W12"/>
    <mergeCell ref="M498:M499"/>
    <mergeCell ref="O498:O499"/>
    <mergeCell ref="D249:E249"/>
    <mergeCell ref="A51:Z51"/>
    <mergeCell ref="A476:Z476"/>
    <mergeCell ref="D170:E170"/>
    <mergeCell ref="D468:E468"/>
    <mergeCell ref="P132:V132"/>
    <mergeCell ref="N17:N18"/>
    <mergeCell ref="A58:O59"/>
    <mergeCell ref="P305:V305"/>
    <mergeCell ref="D342:E342"/>
    <mergeCell ref="D336:E336"/>
    <mergeCell ref="P293:T293"/>
    <mergeCell ref="D407:E407"/>
    <mergeCell ref="P436:T436"/>
    <mergeCell ref="P292:T292"/>
    <mergeCell ref="P294:T294"/>
    <mergeCell ref="U497:W497"/>
    <mergeCell ref="P381:V381"/>
    <mergeCell ref="A333:Z333"/>
    <mergeCell ref="D191:E191"/>
    <mergeCell ref="P122:V122"/>
    <mergeCell ref="P368:T368"/>
    <mergeCell ref="P493:V493"/>
    <mergeCell ref="D452:E452"/>
    <mergeCell ref="A112:Z112"/>
    <mergeCell ref="P421:T421"/>
    <mergeCell ref="A411:O412"/>
    <mergeCell ref="P408:T408"/>
    <mergeCell ref="P137:V137"/>
    <mergeCell ref="D247:E247"/>
    <mergeCell ref="P495:V495"/>
    <mergeCell ref="P239:V239"/>
    <mergeCell ref="A245:Z245"/>
    <mergeCell ref="D291:E291"/>
    <mergeCell ref="D266:E266"/>
    <mergeCell ref="A339:Z339"/>
    <mergeCell ref="P447:T447"/>
    <mergeCell ref="P410:T410"/>
    <mergeCell ref="P385:T385"/>
    <mergeCell ref="A413:Z413"/>
    <mergeCell ref="D279:E279"/>
    <mergeCell ref="A254:Z254"/>
    <mergeCell ref="P181:T181"/>
    <mergeCell ref="P357:T357"/>
    <mergeCell ref="D29:E29"/>
    <mergeCell ref="D23:E23"/>
    <mergeCell ref="P344:T344"/>
    <mergeCell ref="D265:E265"/>
    <mergeCell ref="A20:Z20"/>
    <mergeCell ref="A39:Z39"/>
    <mergeCell ref="A44:O45"/>
    <mergeCell ref="D95:E95"/>
    <mergeCell ref="D57:E57"/>
    <mergeCell ref="Z498:Z499"/>
    <mergeCell ref="D397:E397"/>
    <mergeCell ref="P205:V205"/>
    <mergeCell ref="P363:V363"/>
    <mergeCell ref="D310:E310"/>
    <mergeCell ref="AD17:AF18"/>
    <mergeCell ref="D101:E101"/>
    <mergeCell ref="A337:O338"/>
    <mergeCell ref="P117:V117"/>
    <mergeCell ref="D76:E76"/>
    <mergeCell ref="P144:V144"/>
    <mergeCell ref="P411:V411"/>
    <mergeCell ref="P67:T67"/>
    <mergeCell ref="D430:E430"/>
    <mergeCell ref="D175:E175"/>
    <mergeCell ref="P186:T186"/>
    <mergeCell ref="A36:O37"/>
    <mergeCell ref="D392:E392"/>
    <mergeCell ref="P469:V469"/>
    <mergeCell ref="A465:Z465"/>
    <mergeCell ref="A223:Z223"/>
    <mergeCell ref="P57:T57"/>
    <mergeCell ref="P367:T367"/>
    <mergeCell ref="D165:E165"/>
    <mergeCell ref="P2:W3"/>
    <mergeCell ref="P298:T298"/>
    <mergeCell ref="D437:E437"/>
    <mergeCell ref="P198:T198"/>
    <mergeCell ref="P347:T347"/>
    <mergeCell ref="P54:T54"/>
    <mergeCell ref="D35:E35"/>
    <mergeCell ref="D228:E228"/>
    <mergeCell ref="P312:V312"/>
    <mergeCell ref="A289:Z289"/>
    <mergeCell ref="D10:E10"/>
    <mergeCell ref="P135:T135"/>
    <mergeCell ref="P362:T362"/>
    <mergeCell ref="P191:T191"/>
    <mergeCell ref="A121:O122"/>
    <mergeCell ref="F10:G10"/>
    <mergeCell ref="P78:V78"/>
    <mergeCell ref="F5:G5"/>
    <mergeCell ref="V11:W11"/>
    <mergeCell ref="P75:T75"/>
    <mergeCell ref="P342:T342"/>
    <mergeCell ref="P146:T146"/>
    <mergeCell ref="D323:E323"/>
    <mergeCell ref="D152:E152"/>
    <mergeCell ref="P492:V492"/>
    <mergeCell ref="P415:T415"/>
    <mergeCell ref="P286:V286"/>
    <mergeCell ref="P479:V479"/>
    <mergeCell ref="M17:M18"/>
    <mergeCell ref="O17:O18"/>
    <mergeCell ref="C498:C499"/>
    <mergeCell ref="P336:T336"/>
    <mergeCell ref="E498:E499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226:E226"/>
    <mergeCell ref="A106:Z106"/>
    <mergeCell ref="D164:E164"/>
    <mergeCell ref="D462:E462"/>
    <mergeCell ref="X498:X499"/>
    <mergeCell ref="P474:V474"/>
    <mergeCell ref="A155:Z155"/>
    <mergeCell ref="P268:V268"/>
    <mergeCell ref="P97:V97"/>
    <mergeCell ref="Q13:R13"/>
    <mergeCell ref="P201:T201"/>
    <mergeCell ref="D389:E389"/>
    <mergeCell ref="P176:T176"/>
    <mergeCell ref="P247:T247"/>
    <mergeCell ref="P114:T114"/>
    <mergeCell ref="P41:T41"/>
    <mergeCell ref="A157:Z157"/>
    <mergeCell ref="D22:E22"/>
    <mergeCell ref="D320:E320"/>
    <mergeCell ref="D447:E447"/>
    <mergeCell ref="A127:O128"/>
    <mergeCell ref="D385:E385"/>
    <mergeCell ref="P301:T301"/>
    <mergeCell ref="D257:E257"/>
    <mergeCell ref="P214:T214"/>
    <mergeCell ref="D86:E86"/>
    <mergeCell ref="D213:E213"/>
    <mergeCell ref="A64:O65"/>
    <mergeCell ref="A9:C9"/>
    <mergeCell ref="D373:E373"/>
    <mergeCell ref="D202:E202"/>
    <mergeCell ref="A478:O479"/>
    <mergeCell ref="P348:T348"/>
    <mergeCell ref="D294:E294"/>
    <mergeCell ref="P323:T323"/>
    <mergeCell ref="A414:Z414"/>
    <mergeCell ref="D231:E231"/>
    <mergeCell ref="D358:E358"/>
    <mergeCell ref="A91:Z91"/>
    <mergeCell ref="P337:V337"/>
    <mergeCell ref="P70:V70"/>
    <mergeCell ref="A156:Z156"/>
    <mergeCell ref="P32:V32"/>
    <mergeCell ref="A457:Z457"/>
    <mergeCell ref="A110:O111"/>
    <mergeCell ref="D321:E321"/>
    <mergeCell ref="P107:T107"/>
    <mergeCell ref="P101:T101"/>
    <mergeCell ref="D386:E386"/>
    <mergeCell ref="D215:E215"/>
    <mergeCell ref="P194:V194"/>
    <mergeCell ref="P62:T62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A401:Z401"/>
    <mergeCell ref="D314:E314"/>
    <mergeCell ref="D459:E459"/>
    <mergeCell ref="A271:Z271"/>
    <mergeCell ref="P240:V240"/>
    <mergeCell ref="Y498:Y499"/>
    <mergeCell ref="D225:E225"/>
    <mergeCell ref="P409:T409"/>
    <mergeCell ref="A399:O400"/>
    <mergeCell ref="D461:E461"/>
    <mergeCell ref="D200:E200"/>
    <mergeCell ref="A178:O179"/>
    <mergeCell ref="D436:E436"/>
    <mergeCell ref="P498:P499"/>
    <mergeCell ref="AB17:AB18"/>
    <mergeCell ref="I497:R497"/>
    <mergeCell ref="A283:Z283"/>
    <mergeCell ref="D446:E446"/>
    <mergeCell ref="A277:Z277"/>
    <mergeCell ref="P44:V44"/>
    <mergeCell ref="D367:E367"/>
    <mergeCell ref="H5:M5"/>
    <mergeCell ref="D212:E212"/>
    <mergeCell ref="P225:T225"/>
    <mergeCell ref="A456:Z456"/>
    <mergeCell ref="Y497:Z497"/>
    <mergeCell ref="A341:Z341"/>
    <mergeCell ref="D146:E146"/>
    <mergeCell ref="P461:T461"/>
    <mergeCell ref="A317:O318"/>
    <mergeCell ref="A306:Z306"/>
    <mergeCell ref="D6:M6"/>
    <mergeCell ref="P175:T175"/>
    <mergeCell ref="P162:T162"/>
    <mergeCell ref="P331:V331"/>
    <mergeCell ref="A278:Z278"/>
    <mergeCell ref="P460:T460"/>
    <mergeCell ref="P487:T487"/>
    <mergeCell ref="A235:O236"/>
    <mergeCell ref="P343:T343"/>
    <mergeCell ref="A288:Z288"/>
    <mergeCell ref="P256:T256"/>
    <mergeCell ref="V6:W9"/>
    <mergeCell ref="D199:E199"/>
    <mergeCell ref="P109:T109"/>
    <mergeCell ref="A404:O405"/>
    <mergeCell ref="P274:T274"/>
    <mergeCell ref="D186:E186"/>
    <mergeCell ref="P345:T345"/>
    <mergeCell ref="P22:T22"/>
    <mergeCell ref="P320:T320"/>
    <mergeCell ref="P314:T314"/>
    <mergeCell ref="D428:E428"/>
    <mergeCell ref="P236:V236"/>
    <mergeCell ref="D415:E415"/>
    <mergeCell ref="P394:V394"/>
    <mergeCell ref="P257:T257"/>
    <mergeCell ref="P80:T80"/>
    <mergeCell ref="Z17:Z18"/>
    <mergeCell ref="P173:V173"/>
    <mergeCell ref="A172:O173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72:Z72"/>
    <mergeCell ref="A104:O105"/>
    <mergeCell ref="A435:Z435"/>
    <mergeCell ref="A85:Z85"/>
    <mergeCell ref="P398:T398"/>
    <mergeCell ref="P227:T227"/>
    <mergeCell ref="D368:E368"/>
    <mergeCell ref="P177:T177"/>
    <mergeCell ref="P93:T93"/>
    <mergeCell ref="P35:T35"/>
    <mergeCell ref="G17:G18"/>
    <mergeCell ref="P121:V121"/>
    <mergeCell ref="D80:E80"/>
    <mergeCell ref="P130:T130"/>
    <mergeCell ref="D136:E136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D75:E75"/>
    <mergeCell ref="P390:T390"/>
    <mergeCell ref="A66:Z66"/>
    <mergeCell ref="P483:V483"/>
    <mergeCell ref="D298:E298"/>
    <mergeCell ref="D181:E181"/>
    <mergeCell ref="A221:O222"/>
    <mergeCell ref="P404:V404"/>
    <mergeCell ref="A351:Z351"/>
    <mergeCell ref="A286:O287"/>
    <mergeCell ref="P327:T327"/>
    <mergeCell ref="D273:E273"/>
    <mergeCell ref="P252:V252"/>
    <mergeCell ref="P105:V105"/>
    <mergeCell ref="P212:T212"/>
    <mergeCell ref="J9:M9"/>
    <mergeCell ref="A418:Z418"/>
    <mergeCell ref="A356:Z356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D347:E347"/>
    <mergeCell ref="D285:E285"/>
    <mergeCell ref="D176:E176"/>
    <mergeCell ref="D114:E114"/>
    <mergeCell ref="P248:T248"/>
    <mergeCell ref="D362:E362"/>
    <mergeCell ref="A38:Z38"/>
    <mergeCell ref="A454:O455"/>
    <mergeCell ref="P207:T207"/>
    <mergeCell ref="P299:T299"/>
    <mergeCell ref="P172:V172"/>
    <mergeCell ref="P150:V150"/>
    <mergeCell ref="P221:V221"/>
    <mergeCell ref="R498:R499"/>
    <mergeCell ref="P338:V338"/>
    <mergeCell ref="P71:V71"/>
    <mergeCell ref="P58:V58"/>
    <mergeCell ref="A13:M13"/>
    <mergeCell ref="A119:Z119"/>
    <mergeCell ref="P244:V244"/>
    <mergeCell ref="D61:E61"/>
    <mergeCell ref="P115:T115"/>
    <mergeCell ref="A15:M15"/>
    <mergeCell ref="P238:T238"/>
    <mergeCell ref="A359:O360"/>
    <mergeCell ref="D346:E346"/>
    <mergeCell ref="A419:Z419"/>
    <mergeCell ref="P229:T229"/>
    <mergeCell ref="D477:E477"/>
    <mergeCell ref="A153:O154"/>
    <mergeCell ref="D125:E125"/>
    <mergeCell ref="P446:T446"/>
    <mergeCell ref="Q498:Q499"/>
    <mergeCell ref="S498:S499"/>
    <mergeCell ref="P477:T477"/>
    <mergeCell ref="P455:V455"/>
    <mergeCell ref="A40:Z40"/>
    <mergeCell ref="Q10:R10"/>
    <mergeCell ref="D41:E41"/>
    <mergeCell ref="A490:O495"/>
    <mergeCell ref="P318:V318"/>
    <mergeCell ref="P25:V25"/>
    <mergeCell ref="D43:E43"/>
    <mergeCell ref="P149:V149"/>
    <mergeCell ref="A145:Z145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451:T451"/>
    <mergeCell ref="P449:V449"/>
    <mergeCell ref="D372:E372"/>
    <mergeCell ref="D335:E335"/>
    <mergeCell ref="A204:O205"/>
    <mergeCell ref="D201:E201"/>
    <mergeCell ref="D68:E68"/>
    <mergeCell ref="D424:E424"/>
    <mergeCell ref="T5:U5"/>
    <mergeCell ref="P76:T76"/>
    <mergeCell ref="G498:G499"/>
    <mergeCell ref="V5:W5"/>
    <mergeCell ref="D246:E246"/>
    <mergeCell ref="I498:I499"/>
    <mergeCell ref="A319:Z319"/>
    <mergeCell ref="P203:T203"/>
    <mergeCell ref="A295:O296"/>
    <mergeCell ref="D233:E233"/>
    <mergeCell ref="D409:E409"/>
    <mergeCell ref="Q8:R8"/>
    <mergeCell ref="P69:T69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A349:O350"/>
    <mergeCell ref="P83:V83"/>
    <mergeCell ref="T6:U9"/>
    <mergeCell ref="D487:E487"/>
    <mergeCell ref="D343:E343"/>
    <mergeCell ref="P397:T397"/>
    <mergeCell ref="P74:T74"/>
    <mergeCell ref="P243:V243"/>
    <mergeCell ref="A190:Z190"/>
    <mergeCell ref="P372:T372"/>
    <mergeCell ref="A19:Z19"/>
    <mergeCell ref="P310:T310"/>
    <mergeCell ref="D280:E280"/>
    <mergeCell ref="P163:T163"/>
    <mergeCell ref="D109:E109"/>
    <mergeCell ref="A480:Z480"/>
    <mergeCell ref="D467:E467"/>
    <mergeCell ref="P424:T424"/>
    <mergeCell ref="D345:E345"/>
    <mergeCell ref="P322:T322"/>
    <mergeCell ref="P211:T211"/>
    <mergeCell ref="A439:O440"/>
    <mergeCell ref="P309:T309"/>
    <mergeCell ref="P88:T88"/>
    <mergeCell ref="A143:O144"/>
    <mergeCell ref="P393:T393"/>
    <mergeCell ref="D203:E203"/>
    <mergeCell ref="P484:V484"/>
    <mergeCell ref="P43:T43"/>
    <mergeCell ref="D328:E328"/>
    <mergeCell ref="P285:T285"/>
    <mergeCell ref="P65:V65"/>
    <mergeCell ref="P434:V434"/>
    <mergeCell ref="A433:O434"/>
    <mergeCell ref="A253:Z253"/>
    <mergeCell ref="A12:M12"/>
    <mergeCell ref="P355:V355"/>
    <mergeCell ref="A180:Z180"/>
    <mergeCell ref="A14:M14"/>
    <mergeCell ref="P232:T232"/>
    <mergeCell ref="D438:E438"/>
    <mergeCell ref="D267:E267"/>
    <mergeCell ref="A340:Z340"/>
    <mergeCell ref="D425:E425"/>
    <mergeCell ref="P61:T61"/>
    <mergeCell ref="D292:E292"/>
    <mergeCell ref="P346:T346"/>
    <mergeCell ref="A243:O244"/>
    <mergeCell ref="D227:E227"/>
    <mergeCell ref="A463:O464"/>
    <mergeCell ref="P321:T321"/>
    <mergeCell ref="A483:O484"/>
    <mergeCell ref="P353:T353"/>
    <mergeCell ref="D169:E169"/>
    <mergeCell ref="P204:V204"/>
    <mergeCell ref="P82:V82"/>
    <mergeCell ref="A134:Z134"/>
    <mergeCell ref="P440:V440"/>
    <mergeCell ref="P303:T303"/>
    <mergeCell ref="P317:V317"/>
    <mergeCell ref="P304:V304"/>
    <mergeCell ref="A98:Z98"/>
    <mergeCell ref="A396:Z396"/>
    <mergeCell ref="P110:V110"/>
    <mergeCell ref="P208:T208"/>
    <mergeCell ref="A132:O133"/>
    <mergeCell ref="D116:E116"/>
    <mergeCell ref="D352:E352"/>
    <mergeCell ref="A275:O276"/>
    <mergeCell ref="P219:T219"/>
    <mergeCell ref="D162:E162"/>
    <mergeCell ref="P272:T272"/>
    <mergeCell ref="D460:E460"/>
    <mergeCell ref="D327:E327"/>
    <mergeCell ref="P439:V439"/>
    <mergeCell ref="A5:C5"/>
    <mergeCell ref="P412:V412"/>
    <mergeCell ref="A237:Z237"/>
    <mergeCell ref="P64:V64"/>
    <mergeCell ref="H498:H499"/>
    <mergeCell ref="J498:J499"/>
    <mergeCell ref="A485:Z485"/>
    <mergeCell ref="P349:V349"/>
    <mergeCell ref="A174:Z174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A488:O489"/>
    <mergeCell ref="P358:T358"/>
    <mergeCell ref="D230:E230"/>
    <mergeCell ref="P380:V380"/>
    <mergeCell ref="D168:E168"/>
    <mergeCell ref="D466:E466"/>
    <mergeCell ref="A6:C6"/>
    <mergeCell ref="D309:E309"/>
    <mergeCell ref="D113:E113"/>
    <mergeCell ref="P167:T167"/>
    <mergeCell ref="P142:T142"/>
    <mergeCell ref="A332:Z332"/>
    <mergeCell ref="A161:Z161"/>
    <mergeCell ref="D148:E148"/>
    <mergeCell ref="P403:T403"/>
    <mergeCell ref="P378:T378"/>
    <mergeCell ref="D88:E88"/>
    <mergeCell ref="A324:O325"/>
    <mergeCell ref="D115:E115"/>
    <mergeCell ref="P55:T55"/>
    <mergeCell ref="P280:T280"/>
    <mergeCell ref="Q12:R12"/>
    <mergeCell ref="P169:T169"/>
    <mergeCell ref="D388:E388"/>
    <mergeCell ref="P354:V354"/>
    <mergeCell ref="P246:T246"/>
    <mergeCell ref="P183:V183"/>
    <mergeCell ref="P133:V133"/>
    <mergeCell ref="D390:E390"/>
    <mergeCell ref="P127:V127"/>
    <mergeCell ref="Q9:R9"/>
    <mergeCell ref="D451:E451"/>
    <mergeCell ref="D255:E255"/>
    <mergeCell ref="P49:V49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369:V369"/>
    <mergeCell ref="A123:Z123"/>
    <mergeCell ref="D9:E9"/>
    <mergeCell ref="P197:T197"/>
    <mergeCell ref="A354:O355"/>
    <mergeCell ref="P53:T53"/>
    <mergeCell ref="F9:G9"/>
    <mergeCell ref="D167:E167"/>
    <mergeCell ref="P422:T422"/>
    <mergeCell ref="P481:T481"/>
    <mergeCell ref="I17:I18"/>
    <mergeCell ref="D141:E141"/>
    <mergeCell ref="A48:O49"/>
    <mergeCell ref="D135:E135"/>
    <mergeCell ref="D377:E377"/>
    <mergeCell ref="P352:T352"/>
    <mergeCell ref="P470:V470"/>
    <mergeCell ref="A326:Z326"/>
    <mergeCell ref="P295:V295"/>
    <mergeCell ref="P178:V178"/>
    <mergeCell ref="P276:V276"/>
    <mergeCell ref="D421:E421"/>
    <mergeCell ref="P463:V463"/>
    <mergeCell ref="D403:E403"/>
    <mergeCell ref="D232:E232"/>
    <mergeCell ref="A263:Z263"/>
    <mergeCell ref="P264:T264"/>
    <mergeCell ref="P68:T68"/>
    <mergeCell ref="D63:E63"/>
    <mergeCell ref="D52:E52"/>
    <mergeCell ref="D27:E27"/>
    <mergeCell ref="P23:T23"/>
    <mergeCell ref="D398:E398"/>
    <mergeCell ref="D1:F1"/>
    <mergeCell ref="P488:V488"/>
    <mergeCell ref="A313:Z313"/>
    <mergeCell ref="P47:T47"/>
    <mergeCell ref="P282:V282"/>
    <mergeCell ref="P111:V111"/>
    <mergeCell ref="J17:J18"/>
    <mergeCell ref="L17:L18"/>
    <mergeCell ref="P359:V359"/>
    <mergeCell ref="A184:Z184"/>
    <mergeCell ref="P48:V48"/>
    <mergeCell ref="P426:T426"/>
    <mergeCell ref="A371:Z371"/>
    <mergeCell ref="P255:T255"/>
    <mergeCell ref="D334:E334"/>
    <mergeCell ref="P192:T192"/>
    <mergeCell ref="A382:Z382"/>
    <mergeCell ref="P428:T428"/>
    <mergeCell ref="D100:E100"/>
    <mergeCell ref="P284:T284"/>
    <mergeCell ref="P113:T113"/>
    <mergeCell ref="P17:T18"/>
    <mergeCell ref="A471:Z471"/>
    <mergeCell ref="P63:T63"/>
    <mergeCell ref="U498:U499"/>
    <mergeCell ref="P475:V475"/>
    <mergeCell ref="W498:W499"/>
    <mergeCell ref="P269:V269"/>
    <mergeCell ref="A458:Z458"/>
    <mergeCell ref="P399:V399"/>
    <mergeCell ref="D316:E316"/>
    <mergeCell ref="P273:T273"/>
    <mergeCell ref="D387:E387"/>
    <mergeCell ref="D443:E443"/>
    <mergeCell ref="D272:E272"/>
    <mergeCell ref="D308:E308"/>
    <mergeCell ref="D445:E445"/>
    <mergeCell ref="D274:E274"/>
    <mergeCell ref="D301:E301"/>
    <mergeCell ref="A376:Z376"/>
    <mergeCell ref="A469:O470"/>
    <mergeCell ref="P466:T466"/>
    <mergeCell ref="B498:B499"/>
    <mergeCell ref="P490:V490"/>
    <mergeCell ref="A416:O417"/>
    <mergeCell ref="D329:E329"/>
    <mergeCell ref="A402:Z402"/>
    <mergeCell ref="P429:T429"/>
    <mergeCell ref="A474:O475"/>
    <mergeCell ref="D290:E290"/>
    <mergeCell ref="D94:E94"/>
    <mergeCell ref="P259:T259"/>
    <mergeCell ref="P148:T148"/>
    <mergeCell ref="D69:E69"/>
    <mergeCell ref="A96:O97"/>
    <mergeCell ref="P482:T482"/>
    <mergeCell ref="P33:V33"/>
    <mergeCell ref="A218:Z218"/>
    <mergeCell ref="D210:E210"/>
    <mergeCell ref="A46:Z46"/>
    <mergeCell ref="D209:E209"/>
    <mergeCell ref="P166:T166"/>
    <mergeCell ref="P188:V188"/>
    <mergeCell ref="D147:E147"/>
    <mergeCell ref="D87:E87"/>
    <mergeCell ref="P116:T116"/>
    <mergeCell ref="P103:T103"/>
    <mergeCell ref="P230:T230"/>
    <mergeCell ref="D211:E211"/>
    <mergeCell ref="P168:T168"/>
    <mergeCell ref="P59:V59"/>
    <mergeCell ref="P250:T250"/>
    <mergeCell ref="H1:Q1"/>
    <mergeCell ref="A448:O449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361:Z361"/>
    <mergeCell ref="A239:O240"/>
    <mergeCell ref="P242:T242"/>
    <mergeCell ref="D353:E353"/>
    <mergeCell ref="P407:T407"/>
    <mergeCell ref="D92:E92"/>
    <mergeCell ref="D55:E55"/>
    <mergeCell ref="D67:E67"/>
    <mergeCell ref="D30:E30"/>
    <mergeCell ref="A140:Z140"/>
    <mergeCell ref="D5:E5"/>
    <mergeCell ref="A498:A499"/>
    <mergeCell ref="P265:T265"/>
    <mergeCell ref="P94:T94"/>
    <mergeCell ref="D379:E379"/>
    <mergeCell ref="D208:E208"/>
    <mergeCell ref="D81:E81"/>
    <mergeCell ref="D8:M8"/>
    <mergeCell ref="D300:E300"/>
    <mergeCell ref="P31:T31"/>
    <mergeCell ref="P473:T473"/>
    <mergeCell ref="P329:T329"/>
    <mergeCell ref="P158:T158"/>
    <mergeCell ref="P251:V251"/>
    <mergeCell ref="P118:V118"/>
    <mergeCell ref="P416:V416"/>
    <mergeCell ref="A241:Z241"/>
    <mergeCell ref="P45:V45"/>
    <mergeCell ref="P266:T266"/>
    <mergeCell ref="P95:T95"/>
    <mergeCell ref="P182:V182"/>
    <mergeCell ref="S497:T497"/>
    <mergeCell ref="V498:V499"/>
    <mergeCell ref="D303:E303"/>
    <mergeCell ref="P453:T453"/>
    <mergeCell ref="D7:M7"/>
    <mergeCell ref="P92:T92"/>
    <mergeCell ref="P334:T334"/>
    <mergeCell ref="A450:Z450"/>
    <mergeCell ref="A380:O381"/>
    <mergeCell ref="D315:E315"/>
    <mergeCell ref="D442:E442"/>
    <mergeCell ref="D302:E302"/>
    <mergeCell ref="D429:E429"/>
    <mergeCell ref="A159:O160"/>
    <mergeCell ref="P29:T29"/>
    <mergeCell ref="P100:T100"/>
    <mergeCell ref="P42:T42"/>
    <mergeCell ref="A32:O33"/>
    <mergeCell ref="A26:Z26"/>
    <mergeCell ref="D31:E31"/>
    <mergeCell ref="D158:E158"/>
    <mergeCell ref="D229:E229"/>
    <mergeCell ref="P131:T131"/>
    <mergeCell ref="P187:T187"/>
    <mergeCell ref="A117:O118"/>
    <mergeCell ref="P258:T258"/>
    <mergeCell ref="D108:E108"/>
    <mergeCell ref="P423:T423"/>
    <mergeCell ref="T498:T499"/>
    <mergeCell ref="P443:T443"/>
    <mergeCell ref="D197:E197"/>
    <mergeCell ref="D53:E53"/>
    <mergeCell ref="D47:E47"/>
    <mergeCell ref="A84:Z84"/>
    <mergeCell ref="P330:V330"/>
    <mergeCell ref="P159:V159"/>
    <mergeCell ref="D482:E482"/>
    <mergeCell ref="P395:V395"/>
    <mergeCell ref="C497:H497"/>
    <mergeCell ref="P209:T209"/>
    <mergeCell ref="P147:T147"/>
    <mergeCell ref="P445:T445"/>
    <mergeCell ref="A193:O194"/>
    <mergeCell ref="A50:Z50"/>
    <mergeCell ref="P96:V96"/>
    <mergeCell ref="P261:V261"/>
    <mergeCell ref="P90:V90"/>
    <mergeCell ref="P217:V217"/>
    <mergeCell ref="A384:Z384"/>
    <mergeCell ref="A151:Z151"/>
    <mergeCell ref="P234:T234"/>
    <mergeCell ref="P325:V325"/>
    <mergeCell ref="A60:Z60"/>
    <mergeCell ref="P81:T81"/>
    <mergeCell ref="P56:T56"/>
    <mergeCell ref="V10:W10"/>
    <mergeCell ref="P379:T379"/>
    <mergeCell ref="A124:Z124"/>
    <mergeCell ref="D431:E431"/>
    <mergeCell ref="P170:T170"/>
    <mergeCell ref="P468:T468"/>
    <mergeCell ref="P316:T316"/>
    <mergeCell ref="D126:E126"/>
    <mergeCell ref="W17:W18"/>
    <mergeCell ref="P154:V154"/>
    <mergeCell ref="D142:E142"/>
    <mergeCell ref="D378:E378"/>
    <mergeCell ref="A304:O305"/>
    <mergeCell ref="A182:O183"/>
    <mergeCell ref="P52:T52"/>
    <mergeCell ref="P15:T16"/>
    <mergeCell ref="P210:T210"/>
    <mergeCell ref="P433:V433"/>
    <mergeCell ref="P308:T308"/>
    <mergeCell ref="P427:T427"/>
    <mergeCell ref="D264:E264"/>
    <mergeCell ref="R1:T1"/>
    <mergeCell ref="P28:T28"/>
    <mergeCell ref="P392:T392"/>
    <mergeCell ref="P386:T386"/>
    <mergeCell ref="D307:E307"/>
    <mergeCell ref="P215:T215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374:O375"/>
    <mergeCell ref="P290:T290"/>
    <mergeCell ref="A311:O312"/>
    <mergeCell ref="P37:V37"/>
    <mergeCell ref="B17:B18"/>
    <mergeCell ref="A77:O78"/>
    <mergeCell ref="P143:V143"/>
    <mergeCell ref="D131:E131"/>
    <mergeCell ref="A34:Z34"/>
    <mergeCell ref="D410:E410"/>
    <mergeCell ref="A441:Z441"/>
    <mergeCell ref="A270:Z270"/>
    <mergeCell ref="H9:I9"/>
    <mergeCell ref="P24:V24"/>
    <mergeCell ref="P260:V260"/>
    <mergeCell ref="P89:V89"/>
    <mergeCell ref="P389:T389"/>
    <mergeCell ref="A383:Z383"/>
    <mergeCell ref="P324:V324"/>
    <mergeCell ref="P153:V153"/>
    <mergeCell ref="P391:T391"/>
    <mergeCell ref="P220:T220"/>
    <mergeCell ref="A70:O71"/>
    <mergeCell ref="D238:E238"/>
    <mergeCell ref="D426:E426"/>
    <mergeCell ref="A216:O217"/>
    <mergeCell ref="P86:T86"/>
    <mergeCell ref="P328:T328"/>
    <mergeCell ref="P213:T213"/>
    <mergeCell ref="A281:O282"/>
    <mergeCell ref="A330:O331"/>
    <mergeCell ref="P249:T24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D472:E472"/>
    <mergeCell ref="A365:Z365"/>
    <mergeCell ref="D357:E357"/>
    <mergeCell ref="P464:V464"/>
    <mergeCell ref="P452:T452"/>
    <mergeCell ref="P448:V448"/>
    <mergeCell ref="D258:E258"/>
    <mergeCell ref="P235:V235"/>
    <mergeCell ref="D93:E93"/>
    <mergeCell ref="D391:E391"/>
    <mergeCell ref="D220:E220"/>
    <mergeCell ref="P370:V370"/>
    <mergeCell ref="A394:O395"/>
    <mergeCell ref="A369:O370"/>
    <mergeCell ref="A195:Z195"/>
    <mergeCell ref="P125:T12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8 X92 X100 X102 X107 X109 X113 X115 X162 X164:X165 X168:X169 X192 X196:X197 X199:X201 X203 X209:X210 X212:X215 X220 X225 X273:X274 X314:X316 X323 X334 X342:X344 X352 X377:X378 X421 X424:X425 X427 X436 X438 X442:X444 X472:X47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jele0cGXIo3G4fmY54mHtHon+dTcOW+PTp/Gu0afWVU25GVHOz6+Y+8r4ZLKQ0S9COOclolGfzrH9GQpgRF20Q==" saltValue="OSUDItT18Rd8VELVVrRu2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2025-12-05T08:01:05Z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