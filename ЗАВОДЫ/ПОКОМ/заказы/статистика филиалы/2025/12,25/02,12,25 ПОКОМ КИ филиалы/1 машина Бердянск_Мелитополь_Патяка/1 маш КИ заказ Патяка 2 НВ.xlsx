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AF7CD82E-AC77-47FC-B415-36A08C74D80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285" i="1" l="1"/>
  <c r="Z136" i="1"/>
  <c r="Z220" i="1"/>
  <c r="Y31" i="1"/>
  <c r="Y493" i="1" s="1"/>
  <c r="Y43" i="1"/>
  <c r="Y58" i="1"/>
  <c r="Y64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Y137" i="1"/>
  <c r="H499" i="1"/>
  <c r="Y143" i="1"/>
  <c r="BP140" i="1"/>
  <c r="BN140" i="1"/>
  <c r="Z140" i="1"/>
  <c r="Z142" i="1" s="1"/>
  <c r="BP162" i="1"/>
  <c r="BN162" i="1"/>
  <c r="Z162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2" i="1" s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Z171" i="1" s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Z462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Z324" i="1" s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Z349" i="1" s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432" i="1"/>
  <c r="Z215" i="1"/>
  <c r="Z88" i="1"/>
  <c r="Z76" i="1"/>
  <c r="Z468" i="1"/>
  <c r="Z394" i="1"/>
  <c r="Z311" i="1"/>
  <c r="Z304" i="1"/>
  <c r="Z294" i="1"/>
  <c r="Z274" i="1"/>
  <c r="Z116" i="1"/>
  <c r="Z103" i="1"/>
  <c r="Z69" i="1"/>
  <c r="Z494" i="1" s="1"/>
  <c r="Y489" i="1"/>
  <c r="Z337" i="1"/>
  <c r="Z234" i="1"/>
  <c r="Z109" i="1"/>
</calcChain>
</file>

<file path=xl/sharedStrings.xml><?xml version="1.0" encoding="utf-8"?>
<sst xmlns="http://schemas.openxmlformats.org/spreadsheetml/2006/main" count="2316" uniqueCount="762">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</sst>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40</v>
      </c>
      <c r="Y85" s="542">
        <f>IFERROR(IF(X85="",0,CEILING((X85/$H85),1)*$H85),"")</f>
        <v>43.2</v>
      </c>
      <c r="Z85" s="36">
        <f>IFERROR(IF(Y85=0,"",ROUNDUP(Y85/H85,0)*0.01898),"")</f>
        <v>7.5920000000000001E-2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41.518518518518519</v>
      </c>
      <c r="BN85" s="64">
        <f>IFERROR(Y85*I85/H85,"0")</f>
        <v>44.84</v>
      </c>
      <c r="BO85" s="64">
        <f>IFERROR(1/J85*(X85/H85),"0")</f>
        <v>5.7870370370370364E-2</v>
      </c>
      <c r="BP85" s="64">
        <f>IFERROR(1/J85*(Y85/H85),"0")</f>
        <v>6.25E-2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3.7037037037037033</v>
      </c>
      <c r="Y88" s="543">
        <f>IFERROR(Y85/H85,"0")+IFERROR(Y86/H86,"0")+IFERROR(Y87/H87,"0")</f>
        <v>4</v>
      </c>
      <c r="Z88" s="543">
        <f>IFERROR(IF(Z85="",0,Z85),"0")+IFERROR(IF(Z86="",0,Z86),"0")+IFERROR(IF(Z87="",0,Z87),"0")</f>
        <v>7.5920000000000001E-2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40</v>
      </c>
      <c r="Y89" s="543">
        <f>IFERROR(SUM(Y85:Y87),"0")</f>
        <v>43.2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50</v>
      </c>
      <c r="Y91" s="542">
        <f>IFERROR(IF(X91="",0,CEILING((X91/$H91),1)*$H91),"")</f>
        <v>56.699999999999996</v>
      </c>
      <c r="Z91" s="36">
        <f>IFERROR(IF(Y91=0,"",ROUNDUP(Y91/H91,0)*0.01898),"")</f>
        <v>0.13286000000000001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53.049382716049386</v>
      </c>
      <c r="BN91" s="64">
        <f>IFERROR(Y91*I91/H91,"0")</f>
        <v>60.157999999999994</v>
      </c>
      <c r="BO91" s="64">
        <f>IFERROR(1/J91*(X91/H91),"0")</f>
        <v>9.6450617283950615E-2</v>
      </c>
      <c r="BP91" s="64">
        <f>IFERROR(1/J91*(Y91/H91),"0")</f>
        <v>0.109375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27</v>
      </c>
      <c r="Y93" s="542">
        <f>IFERROR(IF(X93="",0,CEILING((X93/$H93),1)*$H93),"")</f>
        <v>27</v>
      </c>
      <c r="Z93" s="36">
        <f>IFERROR(IF(Y93=0,"",ROUNDUP(Y93/H93,0)*0.00651),"")</f>
        <v>6.5100000000000005E-2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29.519999999999996</v>
      </c>
      <c r="BN93" s="64">
        <f>IFERROR(Y93*I93/H93,"0")</f>
        <v>29.519999999999996</v>
      </c>
      <c r="BO93" s="64">
        <f>IFERROR(1/J93*(X93/H93),"0")</f>
        <v>5.4945054945054951E-2</v>
      </c>
      <c r="BP93" s="64">
        <f>IFERROR(1/J93*(Y93/H93),"0")</f>
        <v>5.4945054945054951E-2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16.172839506172838</v>
      </c>
      <c r="Y95" s="543">
        <f>IFERROR(Y91/H91,"0")+IFERROR(Y92/H92,"0")+IFERROR(Y93/H93,"0")+IFERROR(Y94/H94,"0")</f>
        <v>17</v>
      </c>
      <c r="Z95" s="543">
        <f>IFERROR(IF(Z91="",0,Z91),"0")+IFERROR(IF(Z92="",0,Z92),"0")+IFERROR(IF(Z93="",0,Z93),"0")+IFERROR(IF(Z94="",0,Z94),"0")</f>
        <v>0.19796000000000002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77</v>
      </c>
      <c r="Y96" s="543">
        <f>IFERROR(SUM(Y91:Y94),"0")</f>
        <v>83.699999999999989</v>
      </c>
      <c r="Z96" s="37"/>
      <c r="AA96" s="544"/>
      <c r="AB96" s="544"/>
      <c r="AC96" s="544"/>
    </row>
    <row r="97" spans="1:68" ht="16.5" customHeight="1" x14ac:dyDescent="0.25">
      <c r="A97" s="558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30</v>
      </c>
      <c r="Y99" s="542">
        <f>IFERROR(IF(X99="",0,CEILING((X99/$H99),1)*$H99),"")</f>
        <v>32.400000000000006</v>
      </c>
      <c r="Z99" s="36">
        <f>IFERROR(IF(Y99=0,"",ROUNDUP(Y99/H99,0)*0.01898),"")</f>
        <v>5.6940000000000004E-2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31.138888888888889</v>
      </c>
      <c r="BN99" s="64">
        <f>IFERROR(Y99*I99/H99,"0")</f>
        <v>33.630000000000003</v>
      </c>
      <c r="BO99" s="64">
        <f>IFERROR(1/J99*(X99/H99),"0")</f>
        <v>4.3402777777777776E-2</v>
      </c>
      <c r="BP99" s="64">
        <f>IFERROR(1/J99*(Y99/H99),"0")</f>
        <v>4.6875000000000007E-2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2.7777777777777777</v>
      </c>
      <c r="Y103" s="543">
        <f>IFERROR(Y99/H99,"0")+IFERROR(Y100/H100,"0")+IFERROR(Y101/H101,"0")+IFERROR(Y102/H102,"0")</f>
        <v>3.0000000000000004</v>
      </c>
      <c r="Z103" s="543">
        <f>IFERROR(IF(Z99="",0,Z99),"0")+IFERROR(IF(Z100="",0,Z100),"0")+IFERROR(IF(Z101="",0,Z101),"0")+IFERROR(IF(Z102="",0,Z102),"0")</f>
        <v>5.6940000000000004E-2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30</v>
      </c>
      <c r="Y104" s="543">
        <f>IFERROR(SUM(Y99:Y102),"0")</f>
        <v>32.400000000000006</v>
      </c>
      <c r="Z104" s="37"/>
      <c r="AA104" s="544"/>
      <c r="AB104" s="544"/>
      <c r="AC104" s="544"/>
    </row>
    <row r="105" spans="1:68" ht="14.25" customHeight="1" x14ac:dyDescent="0.25">
      <c r="A105" s="559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100</v>
      </c>
      <c r="Y112" s="542">
        <f>IFERROR(IF(X112="",0,CEILING((X112/$H112),1)*$H112),"")</f>
        <v>105.3</v>
      </c>
      <c r="Z112" s="36">
        <f>IFERROR(IF(Y112=0,"",ROUNDUP(Y112/H112,0)*0.01898),"")</f>
        <v>0.24674000000000001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106.0246913580247</v>
      </c>
      <c r="BN112" s="64">
        <f>IFERROR(Y112*I112/H112,"0")</f>
        <v>111.64399999999999</v>
      </c>
      <c r="BO112" s="64">
        <f>IFERROR(1/J112*(X112/H112),"0")</f>
        <v>0.19290123456790123</v>
      </c>
      <c r="BP112" s="64">
        <f>IFERROR(1/J112*(Y112/H112),"0")</f>
        <v>0.203125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21.6</v>
      </c>
      <c r="Y114" s="542">
        <f>IFERROR(IF(X114="",0,CEILING((X114/$H114),1)*$H114),"")</f>
        <v>21.6</v>
      </c>
      <c r="Z114" s="36">
        <f>IFERROR(IF(Y114=0,"",ROUNDUP(Y114/H114,0)*0.00651),"")</f>
        <v>5.2080000000000001E-2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23.616</v>
      </c>
      <c r="BN114" s="64">
        <f>IFERROR(Y114*I114/H114,"0")</f>
        <v>23.616</v>
      </c>
      <c r="BO114" s="64">
        <f>IFERROR(1/J114*(X114/H114),"0")</f>
        <v>4.3956043956043959E-2</v>
      </c>
      <c r="BP114" s="64">
        <f>IFERROR(1/J114*(Y114/H114),"0")</f>
        <v>4.3956043956043959E-2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20.345679012345677</v>
      </c>
      <c r="Y116" s="543">
        <f>IFERROR(Y112/H112,"0")+IFERROR(Y113/H113,"0")+IFERROR(Y114/H114,"0")+IFERROR(Y115/H115,"0")</f>
        <v>21</v>
      </c>
      <c r="Z116" s="543">
        <f>IFERROR(IF(Z112="",0,Z112),"0")+IFERROR(IF(Z113="",0,Z113),"0")+IFERROR(IF(Z114="",0,Z114),"0")+IFERROR(IF(Z115="",0,Z115),"0")</f>
        <v>0.29882000000000003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121.6</v>
      </c>
      <c r="Y117" s="543">
        <f>IFERROR(SUM(Y112:Y115),"0")</f>
        <v>126.9</v>
      </c>
      <c r="Z117" s="37"/>
      <c r="AA117" s="544"/>
      <c r="AB117" s="544"/>
      <c r="AC117" s="544"/>
    </row>
    <row r="118" spans="1:68" ht="14.25" customHeight="1" x14ac:dyDescent="0.25">
      <c r="A118" s="559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135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70</v>
      </c>
      <c r="Y161" s="542">
        <f t="shared" ref="Y161:Y170" si="5">IFERROR(IF(X161="",0,CEILING((X161/$H161),1)*$H161),"")</f>
        <v>71.400000000000006</v>
      </c>
      <c r="Z161" s="36">
        <f>IFERROR(IF(Y161=0,"",ROUNDUP(Y161/H161,0)*0.00902),"")</f>
        <v>0.15334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74.166666666666657</v>
      </c>
      <c r="BN161" s="64">
        <f t="shared" ref="BN161:BN170" si="7">IFERROR(Y161*I161/H161,"0")</f>
        <v>75.650000000000006</v>
      </c>
      <c r="BO161" s="64">
        <f t="shared" ref="BO161:BO170" si="8">IFERROR(1/J161*(X161/H161),"0")</f>
        <v>0.12626262626262624</v>
      </c>
      <c r="BP161" s="64">
        <f t="shared" ref="BP161:BP170" si="9">IFERROR(1/J161*(Y161/H161),"0")</f>
        <v>0.12878787878787878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16.666666666666664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17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0.15334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70</v>
      </c>
      <c r="Y172" s="543">
        <f>IFERROR(SUM(Y161:Y170),"0")</f>
        <v>71.400000000000006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135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150</v>
      </c>
      <c r="Y195" s="542">
        <f t="shared" ref="Y195:Y202" si="10">IFERROR(IF(X195="",0,CEILING((X195/$H195),1)*$H195),"")</f>
        <v>151.20000000000002</v>
      </c>
      <c r="Z195" s="36">
        <f>IFERROR(IF(Y195=0,"",ROUNDUP(Y195/H195,0)*0.00902),"")</f>
        <v>0.25256000000000001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155.27777777777777</v>
      </c>
      <c r="BN195" s="64">
        <f t="shared" ref="BN195:BN202" si="12">IFERROR(Y195*I195/H195,"0")</f>
        <v>156.52000000000001</v>
      </c>
      <c r="BO195" s="64">
        <f t="shared" ref="BO195:BO202" si="13">IFERROR(1/J195*(X195/H195),"0")</f>
        <v>0.21043771043771042</v>
      </c>
      <c r="BP195" s="64">
        <f t="shared" ref="BP195:BP202" si="14">IFERROR(1/J195*(Y195/H195),"0")</f>
        <v>0.21212121212121213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200</v>
      </c>
      <c r="Y196" s="542">
        <f t="shared" si="10"/>
        <v>205.20000000000002</v>
      </c>
      <c r="Z196" s="36">
        <f>IFERROR(IF(Y196=0,"",ROUNDUP(Y196/H196,0)*0.00902),"")</f>
        <v>0.34276000000000001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207.03703703703701</v>
      </c>
      <c r="BN196" s="64">
        <f t="shared" si="12"/>
        <v>212.42</v>
      </c>
      <c r="BO196" s="64">
        <f t="shared" si="13"/>
        <v>0.28058361391694725</v>
      </c>
      <c r="BP196" s="64">
        <f t="shared" si="14"/>
        <v>0.2878787878787879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103.5185185185185</v>
      </c>
      <c r="BN197" s="64">
        <f t="shared" si="12"/>
        <v>106.21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150</v>
      </c>
      <c r="Y198" s="542">
        <f t="shared" si="10"/>
        <v>151.20000000000002</v>
      </c>
      <c r="Z198" s="36">
        <f>IFERROR(IF(Y198=0,"",ROUNDUP(Y198/H198,0)*0.00902),"")</f>
        <v>0.25256000000000001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155.27777777777777</v>
      </c>
      <c r="BN198" s="64">
        <f t="shared" si="12"/>
        <v>156.52000000000001</v>
      </c>
      <c r="BO198" s="64">
        <f t="shared" si="13"/>
        <v>0.21043771043771042</v>
      </c>
      <c r="BP198" s="64">
        <f t="shared" si="14"/>
        <v>0.21212121212121213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111.1111111111111</v>
      </c>
      <c r="Y203" s="543">
        <f>IFERROR(Y195/H195,"0")+IFERROR(Y196/H196,"0")+IFERROR(Y197/H197,"0")+IFERROR(Y198/H198,"0")+IFERROR(Y199/H199,"0")+IFERROR(Y200/H200,"0")+IFERROR(Y201/H201,"0")+IFERROR(Y202/H202,"0")</f>
        <v>113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1.0192600000000001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600</v>
      </c>
      <c r="Y204" s="543">
        <f>IFERROR(SUM(Y195:Y202),"0")</f>
        <v>610.20000000000005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50</v>
      </c>
      <c r="Y206" s="542">
        <f t="shared" ref="Y206:Y214" si="15">IFERROR(IF(X206="",0,CEILING((X206/$H206),1)*$H206),"")</f>
        <v>56.699999999999996</v>
      </c>
      <c r="Z206" s="36">
        <f>IFERROR(IF(Y206=0,"",ROUNDUP(Y206/H206,0)*0.01898),"")</f>
        <v>0.13286000000000001</v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53.049382716049386</v>
      </c>
      <c r="BN206" s="64">
        <f t="shared" ref="BN206:BN214" si="17">IFERROR(Y206*I206/H206,"0")</f>
        <v>60.157999999999994</v>
      </c>
      <c r="BO206" s="64">
        <f t="shared" ref="BO206:BO214" si="18">IFERROR(1/J206*(X206/H206),"0")</f>
        <v>9.6450617283950615E-2</v>
      </c>
      <c r="BP206" s="64">
        <f t="shared" ref="BP206:BP214" si="19">IFERROR(1/J206*(Y206/H206),"0")</f>
        <v>0.109375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50</v>
      </c>
      <c r="Y208" s="542">
        <f t="shared" si="15"/>
        <v>52.199999999999996</v>
      </c>
      <c r="Z208" s="36">
        <f>IFERROR(IF(Y208=0,"",ROUNDUP(Y208/H208,0)*0.01898),"")</f>
        <v>0.11388000000000001</v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52.839080459770123</v>
      </c>
      <c r="BN208" s="64">
        <f t="shared" si="17"/>
        <v>55.164000000000009</v>
      </c>
      <c r="BO208" s="64">
        <f t="shared" si="18"/>
        <v>8.9798850574712652E-2</v>
      </c>
      <c r="BP208" s="64">
        <f t="shared" si="19"/>
        <v>9.375E-2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48</v>
      </c>
      <c r="Y211" s="542">
        <f t="shared" si="15"/>
        <v>48</v>
      </c>
      <c r="Z211" s="36">
        <f t="shared" si="20"/>
        <v>0.13020000000000001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53.040000000000006</v>
      </c>
      <c r="BN211" s="64">
        <f t="shared" si="17"/>
        <v>53.040000000000006</v>
      </c>
      <c r="BO211" s="64">
        <f t="shared" si="18"/>
        <v>0.1098901098901099</v>
      </c>
      <c r="BP211" s="64">
        <f t="shared" si="19"/>
        <v>0.1098901098901099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48</v>
      </c>
      <c r="Y212" s="542">
        <f t="shared" si="15"/>
        <v>48</v>
      </c>
      <c r="Z212" s="36">
        <f t="shared" si="20"/>
        <v>0.13020000000000001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53.040000000000006</v>
      </c>
      <c r="BN212" s="64">
        <f t="shared" si="17"/>
        <v>53.040000000000006</v>
      </c>
      <c r="BO212" s="64">
        <f t="shared" si="18"/>
        <v>0.1098901098901099</v>
      </c>
      <c r="BP212" s="64">
        <f t="shared" si="19"/>
        <v>0.1098901098901099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51.919965942954448</v>
      </c>
      <c r="Y215" s="543">
        <f>IFERROR(Y206/H206,"0")+IFERROR(Y207/H207,"0")+IFERROR(Y208/H208,"0")+IFERROR(Y209/H209,"0")+IFERROR(Y210/H210,"0")+IFERROR(Y211/H211,"0")+IFERROR(Y212/H212,"0")+IFERROR(Y213/H213,"0")+IFERROR(Y214/H214,"0")</f>
        <v>53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0.50714000000000004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196</v>
      </c>
      <c r="Y216" s="543">
        <f>IFERROR(SUM(Y206:Y214),"0")</f>
        <v>204.89999999999998</v>
      </c>
      <c r="Z216" s="37"/>
      <c r="AA216" s="544"/>
      <c r="AB216" s="544"/>
      <c r="AC216" s="544"/>
    </row>
    <row r="217" spans="1:68" ht="14.25" customHeight="1" x14ac:dyDescent="0.25">
      <c r="A217" s="559" t="s">
        <v>163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9.6000000000000014</v>
      </c>
      <c r="Y218" s="542">
        <f>IFERROR(IF(X218="",0,CEILING((X218/$H218),1)*$H218),"")</f>
        <v>9.6</v>
      </c>
      <c r="Z218" s="36">
        <f>IFERROR(IF(Y218=0,"",ROUNDUP(Y218/H218,0)*0.00651),"")</f>
        <v>2.6040000000000001E-2</v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10.608000000000002</v>
      </c>
      <c r="BN218" s="64">
        <f>IFERROR(Y218*I218/H218,"0")</f>
        <v>10.608000000000001</v>
      </c>
      <c r="BO218" s="64">
        <f>IFERROR(1/J218*(X218/H218),"0")</f>
        <v>2.1978021978021983E-2</v>
      </c>
      <c r="BP218" s="64">
        <f>IFERROR(1/J218*(Y218/H218),"0")</f>
        <v>2.197802197802198E-2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9.6000000000000014</v>
      </c>
      <c r="Y219" s="542">
        <f>IFERROR(IF(X219="",0,CEILING((X219/$H219),1)*$H219),"")</f>
        <v>9.6</v>
      </c>
      <c r="Z219" s="36">
        <f>IFERROR(IF(Y219=0,"",ROUNDUP(Y219/H219,0)*0.00651),"")</f>
        <v>2.6040000000000001E-2</v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10.608000000000002</v>
      </c>
      <c r="BN219" s="64">
        <f>IFERROR(Y219*I219/H219,"0")</f>
        <v>10.608000000000001</v>
      </c>
      <c r="BO219" s="64">
        <f>IFERROR(1/J219*(X219/H219),"0")</f>
        <v>2.1978021978021983E-2</v>
      </c>
      <c r="BP219" s="64">
        <f>IFERROR(1/J219*(Y219/H219),"0")</f>
        <v>2.197802197802198E-2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8.0000000000000018</v>
      </c>
      <c r="Y220" s="543">
        <f>IFERROR(Y218/H218,"0")+IFERROR(Y219/H219,"0")</f>
        <v>8</v>
      </c>
      <c r="Z220" s="543">
        <f>IFERROR(IF(Z218="",0,Z218),"0")+IFERROR(IF(Z219="",0,Z219),"0")</f>
        <v>5.2080000000000001E-2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19.200000000000003</v>
      </c>
      <c r="Y221" s="543">
        <f>IFERROR(SUM(Y218:Y219),"0")</f>
        <v>19.2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135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50</v>
      </c>
      <c r="Y297" s="542">
        <f t="shared" ref="Y297:Y303" si="26">IFERROR(IF(X297="",0,CEILING((X297/$H297),1)*$H297),"")</f>
        <v>50.400000000000006</v>
      </c>
      <c r="Z297" s="36">
        <f>IFERROR(IF(Y297=0,"",ROUNDUP(Y297/H297,0)*0.00902),"")</f>
        <v>0.10824</v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52.976190476190474</v>
      </c>
      <c r="BN297" s="64">
        <f t="shared" ref="BN297:BN303" si="28">IFERROR(Y297*I297/H297,"0")</f>
        <v>53.400000000000006</v>
      </c>
      <c r="BO297" s="64">
        <f t="shared" ref="BO297:BO303" si="29">IFERROR(1/J297*(X297/H297),"0")</f>
        <v>9.0187590187590191E-2</v>
      </c>
      <c r="BP297" s="64">
        <f t="shared" ref="BP297:BP303" si="30">IFERROR(1/J297*(Y297/H297),"0")</f>
        <v>9.0909090909090912E-2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11.904761904761905</v>
      </c>
      <c r="Y304" s="543">
        <f>IFERROR(Y297/H297,"0")+IFERROR(Y298/H298,"0")+IFERROR(Y299/H299,"0")+IFERROR(Y300/H300,"0")+IFERROR(Y301/H301,"0")+IFERROR(Y302/H302,"0")+IFERROR(Y303/H303,"0")</f>
        <v>12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0.10824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50</v>
      </c>
      <c r="Y305" s="543">
        <f>IFERROR(SUM(Y297:Y303),"0")</f>
        <v>50.400000000000006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163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50</v>
      </c>
      <c r="Y315" s="542">
        <f>IFERROR(IF(X315="",0,CEILING((X315/$H315),1)*$H315),"")</f>
        <v>54.6</v>
      </c>
      <c r="Z315" s="36">
        <f>IFERROR(IF(Y315=0,"",ROUNDUP(Y315/H315,0)*0.01898),"")</f>
        <v>0.13286000000000001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53.166666666666671</v>
      </c>
      <c r="BN315" s="64">
        <f>IFERROR(Y315*I315/H315,"0")</f>
        <v>58.058000000000007</v>
      </c>
      <c r="BO315" s="64">
        <f>IFERROR(1/J315*(X315/H315),"0")</f>
        <v>0.10016025641025642</v>
      </c>
      <c r="BP315" s="64">
        <f>IFERROR(1/J315*(Y315/H315),"0")</f>
        <v>0.109375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6.4102564102564106</v>
      </c>
      <c r="Y317" s="543">
        <f>IFERROR(Y314/H314,"0")+IFERROR(Y315/H315,"0")+IFERROR(Y316/H316,"0")</f>
        <v>7</v>
      </c>
      <c r="Z317" s="543">
        <f>IFERROR(IF(Z314="",0,Z314),"0")+IFERROR(IF(Z315="",0,Z315),"0")+IFERROR(IF(Z316="",0,Z316),"0")</f>
        <v>0.13286000000000001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50</v>
      </c>
      <c r="Y318" s="543">
        <f>IFERROR(SUM(Y314:Y316),"0")</f>
        <v>54.6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0</v>
      </c>
      <c r="Y342" s="542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0</v>
      </c>
      <c r="Y349" s="543">
        <f>IFERROR(Y342/H342,"0")+IFERROR(Y343/H343,"0")+IFERROR(Y344/H344,"0")+IFERROR(Y345/H345,"0")+IFERROR(Y346/H346,"0")+IFERROR(Y347/H347,"0")+IFERROR(Y348/H348,"0")</f>
        <v>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0</v>
      </c>
      <c r="Y350" s="543">
        <f>IFERROR(SUM(Y342:Y348),"0")</f>
        <v>0</v>
      </c>
      <c r="Z350" s="37"/>
      <c r="AA350" s="544"/>
      <c r="AB350" s="544"/>
      <c r="AC350" s="544"/>
    </row>
    <row r="351" spans="1:68" ht="14.25" customHeight="1" x14ac:dyDescent="0.25">
      <c r="A351" s="559" t="s">
        <v>135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2000</v>
      </c>
      <c r="Y352" s="542">
        <f>IFERROR(IF(X352="",0,CEILING((X352/$H352),1)*$H352),"")</f>
        <v>2010</v>
      </c>
      <c r="Z352" s="36">
        <f>IFERROR(IF(Y352=0,"",ROUNDUP(Y352/H352,0)*0.02175),"")</f>
        <v>2.9144999999999999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2062.6666666666665</v>
      </c>
      <c r="BN352" s="64">
        <f>IFERROR(Y352*I352/H352,"0")</f>
        <v>2072.98</v>
      </c>
      <c r="BO352" s="64">
        <f>IFERROR(1/J352*(X352/H352),"0")</f>
        <v>2.7777777777777777</v>
      </c>
      <c r="BP352" s="64">
        <f>IFERROR(1/J352*(Y352/H352),"0")</f>
        <v>2.7916666666666665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133.33333333333334</v>
      </c>
      <c r="Y354" s="543">
        <f>IFERROR(Y352/H352,"0")+IFERROR(Y353/H353,"0")</f>
        <v>134</v>
      </c>
      <c r="Z354" s="543">
        <f>IFERROR(IF(Z352="",0,Z352),"0")+IFERROR(IF(Z353="",0,Z353),"0")</f>
        <v>2.9144999999999999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2000</v>
      </c>
      <c r="Y355" s="543">
        <f>IFERROR(SUM(Y352:Y353),"0")</f>
        <v>2010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50</v>
      </c>
      <c r="Y358" s="542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52.74444444444444</v>
      </c>
      <c r="BN358" s="64">
        <f>IFERROR(Y358*I358/H358,"0")</f>
        <v>56.963999999999992</v>
      </c>
      <c r="BO358" s="64">
        <f>IFERROR(1/J358*(X358/H358),"0")</f>
        <v>8.6805555555555552E-2</v>
      </c>
      <c r="BP358" s="64">
        <f>IFERROR(1/J358*(Y358/H358),"0")</f>
        <v>9.375E-2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5.5555555555555554</v>
      </c>
      <c r="Y359" s="543">
        <f>IFERROR(Y357/H357,"0")+IFERROR(Y358/H358,"0")</f>
        <v>6</v>
      </c>
      <c r="Z359" s="543">
        <f>IFERROR(IF(Z357="",0,Z357),"0")+IFERROR(IF(Z358="",0,Z358),"0")</f>
        <v>0.11388000000000001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50</v>
      </c>
      <c r="Y360" s="543">
        <f>IFERROR(SUM(Y357:Y358),"0")</f>
        <v>54</v>
      </c>
      <c r="Z360" s="37"/>
      <c r="AA360" s="544"/>
      <c r="AB360" s="544"/>
      <c r="AC360" s="544"/>
    </row>
    <row r="361" spans="1:68" ht="14.25" customHeight="1" x14ac:dyDescent="0.25">
      <c r="A361" s="559" t="s">
        <v>163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250</v>
      </c>
      <c r="Y362" s="542">
        <f>IFERROR(IF(X362="",0,CEILING((X362/$H362),1)*$H362),"")</f>
        <v>252</v>
      </c>
      <c r="Z362" s="36">
        <f>IFERROR(IF(Y362=0,"",ROUNDUP(Y362/H362,0)*0.01898),"")</f>
        <v>0.53144000000000002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263.72222222222223</v>
      </c>
      <c r="BN362" s="64">
        <f>IFERROR(Y362*I362/H362,"0")</f>
        <v>265.83199999999999</v>
      </c>
      <c r="BO362" s="64">
        <f>IFERROR(1/J362*(X362/H362),"0")</f>
        <v>0.43402777777777779</v>
      </c>
      <c r="BP362" s="64">
        <f>IFERROR(1/J362*(Y362/H362),"0")</f>
        <v>0.4375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27.777777777777779</v>
      </c>
      <c r="Y363" s="543">
        <f>IFERROR(Y362/H362,"0")</f>
        <v>28</v>
      </c>
      <c r="Z363" s="543">
        <f>IFERROR(IF(Z362="",0,Z362),"0")</f>
        <v>0.53144000000000002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250</v>
      </c>
      <c r="Y364" s="543">
        <f>IFERROR(SUM(Y362:Y362),"0")</f>
        <v>252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30</v>
      </c>
      <c r="Y386" s="542">
        <f t="shared" si="36"/>
        <v>32.400000000000006</v>
      </c>
      <c r="Z386" s="36">
        <f>IFERROR(IF(Y386=0,"",ROUNDUP(Y386/H386,0)*0.00902),"")</f>
        <v>5.4120000000000001E-2</v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31.05555555555555</v>
      </c>
      <c r="BN386" s="64">
        <f t="shared" si="38"/>
        <v>33.54</v>
      </c>
      <c r="BO386" s="64">
        <f t="shared" si="39"/>
        <v>4.208754208754209E-2</v>
      </c>
      <c r="BP386" s="64">
        <f t="shared" si="40"/>
        <v>4.5454545454545463E-2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50</v>
      </c>
      <c r="Y387" s="542">
        <f t="shared" si="36"/>
        <v>54</v>
      </c>
      <c r="Z387" s="36">
        <f>IFERROR(IF(Y387=0,"",ROUNDUP(Y387/H387,0)*0.00902),"")</f>
        <v>9.0200000000000002E-2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51.759259259259252</v>
      </c>
      <c r="BN387" s="64">
        <f t="shared" si="38"/>
        <v>55.9</v>
      </c>
      <c r="BO387" s="64">
        <f t="shared" si="39"/>
        <v>7.0145903479236812E-2</v>
      </c>
      <c r="BP387" s="64">
        <f t="shared" si="40"/>
        <v>7.575757575757576E-2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14.814814814814815</v>
      </c>
      <c r="Y394" s="543">
        <f>IFERROR(Y385/H385,"0")+IFERROR(Y386/H386,"0")+IFERROR(Y387/H387,"0")+IFERROR(Y388/H388,"0")+IFERROR(Y389/H389,"0")+IFERROR(Y390/H390,"0")+IFERROR(Y391/H391,"0")+IFERROR(Y392/H392,"0")+IFERROR(Y393/H393,"0")</f>
        <v>16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0.14432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80</v>
      </c>
      <c r="Y395" s="543">
        <f>IFERROR(SUM(Y385:Y393),"0")</f>
        <v>86.4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200</v>
      </c>
      <c r="Y407" s="542">
        <f>IFERROR(IF(X407="",0,CEILING((X407/$H407),1)*$H407),"")</f>
        <v>205.20000000000002</v>
      </c>
      <c r="Z407" s="36">
        <f>IFERROR(IF(Y407=0,"",ROUNDUP(Y407/H407,0)*0.00902),"")</f>
        <v>0.34276000000000001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207.03703703703701</v>
      </c>
      <c r="BN407" s="64">
        <f>IFERROR(Y407*I407/H407,"0")</f>
        <v>212.42</v>
      </c>
      <c r="BO407" s="64">
        <f>IFERROR(1/J407*(X407/H407),"0")</f>
        <v>0.28058361391694725</v>
      </c>
      <c r="BP407" s="64">
        <f>IFERROR(1/J407*(Y407/H407),"0")</f>
        <v>0.2878787878787879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37.037037037037038</v>
      </c>
      <c r="Y411" s="543">
        <f>IFERROR(Y407/H407,"0")+IFERROR(Y408/H408,"0")+IFERROR(Y409/H409,"0")+IFERROR(Y410/H410,"0")</f>
        <v>38</v>
      </c>
      <c r="Z411" s="543">
        <f>IFERROR(IF(Z407="",0,Z407),"0")+IFERROR(IF(Z408="",0,Z408),"0")+IFERROR(IF(Z409="",0,Z409),"0")+IFERROR(IF(Z410="",0,Z410),"0")</f>
        <v>0.34276000000000001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200</v>
      </c>
      <c r="Y412" s="543">
        <f>IFERROR(SUM(Y407:Y410),"0")</f>
        <v>205.20000000000002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40</v>
      </c>
      <c r="Y423" s="542">
        <f t="shared" si="42"/>
        <v>42.24</v>
      </c>
      <c r="Z423" s="36">
        <f t="shared" si="43"/>
        <v>9.5680000000000001E-2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42.651515151515149</v>
      </c>
      <c r="BN423" s="64">
        <f t="shared" si="45"/>
        <v>45.04</v>
      </c>
      <c r="BO423" s="64">
        <f t="shared" si="46"/>
        <v>7.2843822843822847E-2</v>
      </c>
      <c r="BP423" s="64">
        <f t="shared" si="47"/>
        <v>7.6923076923076927E-2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100</v>
      </c>
      <c r="Y424" s="542">
        <f t="shared" si="42"/>
        <v>100.32000000000001</v>
      </c>
      <c r="Z424" s="36">
        <f t="shared" si="43"/>
        <v>0.22724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106.62878787878788</v>
      </c>
      <c r="BN424" s="64">
        <f t="shared" si="45"/>
        <v>106.97</v>
      </c>
      <c r="BO424" s="64">
        <f t="shared" si="46"/>
        <v>0.18210955710955709</v>
      </c>
      <c r="BP424" s="64">
        <f t="shared" si="47"/>
        <v>0.18269230769230771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200</v>
      </c>
      <c r="Y426" s="542">
        <f t="shared" si="42"/>
        <v>200.64000000000001</v>
      </c>
      <c r="Z426" s="36">
        <f t="shared" si="43"/>
        <v>0.45448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213.25757575757575</v>
      </c>
      <c r="BN426" s="64">
        <f t="shared" si="45"/>
        <v>213.94</v>
      </c>
      <c r="BO426" s="64">
        <f t="shared" si="46"/>
        <v>0.36421911421911418</v>
      </c>
      <c r="BP426" s="64">
        <f t="shared" si="47"/>
        <v>0.36538461538461542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64.393939393939391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65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0.77739999999999998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340</v>
      </c>
      <c r="Y433" s="543">
        <f>IFERROR(SUM(Y421:Y431),"0")</f>
        <v>343.20000000000005</v>
      </c>
      <c r="Z433" s="37"/>
      <c r="AA433" s="544"/>
      <c r="AB433" s="544"/>
      <c r="AC433" s="544"/>
    </row>
    <row r="434" spans="1:68" ht="14.25" customHeight="1" x14ac:dyDescent="0.25">
      <c r="A434" s="559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213.25757575757575</v>
      </c>
      <c r="BN435" s="64">
        <f>IFERROR(Y435*I435/H435,"0")</f>
        <v>213.94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80</v>
      </c>
      <c r="Y471" s="542">
        <f>IFERROR(IF(X471="",0,CEILING((X471/$H471),1)*$H471),"")</f>
        <v>84</v>
      </c>
      <c r="Z471" s="36">
        <f>IFERROR(IF(Y471=0,"",ROUNDUP(Y471/H471,0)*0.00902),"")</f>
        <v>0.1804</v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84.761904761904759</v>
      </c>
      <c r="BN471" s="64">
        <f>IFERROR(Y471*I471/H471,"0")</f>
        <v>89</v>
      </c>
      <c r="BO471" s="64">
        <f>IFERROR(1/J471*(X471/H471),"0")</f>
        <v>0.14430014430014429</v>
      </c>
      <c r="BP471" s="64">
        <f>IFERROR(1/J471*(Y471/H471),"0")</f>
        <v>0.15151515151515152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30</v>
      </c>
      <c r="Y472" s="542">
        <f>IFERROR(IF(X472="",0,CEILING((X472/$H472),1)*$H472),"")</f>
        <v>33.6</v>
      </c>
      <c r="Z472" s="36">
        <f>IFERROR(IF(Y472=0,"",ROUNDUP(Y472/H472,0)*0.00902),"")</f>
        <v>7.2160000000000002E-2</v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31.785714285714285</v>
      </c>
      <c r="BN472" s="64">
        <f>IFERROR(Y472*I472/H472,"0")</f>
        <v>35.6</v>
      </c>
      <c r="BO472" s="64">
        <f>IFERROR(1/J472*(X472/H472),"0")</f>
        <v>5.4112554112554112E-2</v>
      </c>
      <c r="BP472" s="64">
        <f>IFERROR(1/J472*(Y472/H472),"0")</f>
        <v>6.0606060606060608E-2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26.19047619047619</v>
      </c>
      <c r="Y473" s="543">
        <f>IFERROR(Y471/H471,"0")+IFERROR(Y472/H472,"0")</f>
        <v>28</v>
      </c>
      <c r="Z473" s="543">
        <f>IFERROR(IF(Z471="",0,Z471),"0")+IFERROR(IF(Z472="",0,Z472),"0")</f>
        <v>0.25256000000000001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110</v>
      </c>
      <c r="Y474" s="543">
        <f>IFERROR(SUM(Y471:Y472),"0")</f>
        <v>117.6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800</v>
      </c>
      <c r="Y476" s="542">
        <f>IFERROR(IF(X476="",0,CEILING((X476/$H476),1)*$H476),"")</f>
        <v>801</v>
      </c>
      <c r="Z476" s="36">
        <f>IFERROR(IF(Y476=0,"",ROUNDUP(Y476/H476,0)*0.01898),"")</f>
        <v>1.6892199999999999</v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843.91111111111104</v>
      </c>
      <c r="BN476" s="64">
        <f>IFERROR(Y476*I476/H476,"0")</f>
        <v>844.96599999999989</v>
      </c>
      <c r="BO476" s="64">
        <f>IFERROR(1/J476*(X476/H476),"0")</f>
        <v>1.3888888888888888</v>
      </c>
      <c r="BP476" s="64">
        <f>IFERROR(1/J476*(Y476/H476),"0")</f>
        <v>1.390625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88.888888888888886</v>
      </c>
      <c r="Y477" s="543">
        <f>IFERROR(Y476/H476,"0")</f>
        <v>89</v>
      </c>
      <c r="Z477" s="543">
        <f>IFERROR(IF(Z476="",0,Z476),"0")</f>
        <v>1.6892199999999999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800</v>
      </c>
      <c r="Y478" s="543">
        <f>IFERROR(SUM(Y476:Y476),"0")</f>
        <v>801</v>
      </c>
      <c r="Z478" s="37"/>
      <c r="AA478" s="544"/>
      <c r="AB478" s="544"/>
      <c r="AC478" s="544"/>
    </row>
    <row r="479" spans="1:68" ht="14.25" customHeight="1" x14ac:dyDescent="0.25">
      <c r="A479" s="559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5283.8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5366.9400000000005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5524.7119494673061</v>
      </c>
      <c r="Y490" s="543">
        <f>IFERROR(SUM(BN22:BN486),"0")</f>
        <v>5611.8959999999988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9</v>
      </c>
      <c r="Y491" s="38">
        <f>ROUNDUP(SUM(BP22:BP486),0)</f>
        <v>9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5749.7119494673061</v>
      </c>
      <c r="Y492" s="543">
        <f>GrossWeightTotalR+PalletQtyTotalR*25</f>
        <v>5836.8959999999988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684.88337290636139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697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9.8231200000000012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126.9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159.29999999999998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71.400000000000006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834.30000000000018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105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2316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86.4</v>
      </c>
      <c r="V499" s="46">
        <f>IFERROR(Y403*1,"0")+IFERROR(Y407*1,"0")+IFERROR(Y408*1,"0")+IFERROR(Y409*1,"0")+IFERROR(Y410*1,"0")</f>
        <v>205.20000000000002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543.84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918.6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2025-12-03T06:29:26Z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