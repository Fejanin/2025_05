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CEAE677-7A0A-4842-A201-CA8A24FD99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BP378" i="1"/>
  <c r="BO378" i="1"/>
  <c r="BN378" i="1"/>
  <c r="BM378" i="1"/>
  <c r="Z378" i="1"/>
  <c r="Y378" i="1"/>
  <c r="P378" i="1"/>
  <c r="BO377" i="1"/>
  <c r="BM377" i="1"/>
  <c r="Y377" i="1"/>
  <c r="Y381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T499" i="1" s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Y349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9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0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2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4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Z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BP146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9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71" i="1"/>
  <c r="Y177" i="1"/>
  <c r="Y188" i="1"/>
  <c r="Y192" i="1"/>
  <c r="Y204" i="1"/>
  <c r="Y216" i="1"/>
  <c r="Y220" i="1"/>
  <c r="Y235" i="1"/>
  <c r="Y239" i="1"/>
  <c r="Y243" i="1"/>
  <c r="Z246" i="1"/>
  <c r="BN246" i="1"/>
  <c r="Z248" i="1"/>
  <c r="BN248" i="1"/>
  <c r="Y251" i="1"/>
  <c r="L499" i="1"/>
  <c r="Z255" i="1"/>
  <c r="Z259" i="1" s="1"/>
  <c r="BN255" i="1"/>
  <c r="Z257" i="1"/>
  <c r="BN257" i="1"/>
  <c r="Y260" i="1"/>
  <c r="M499" i="1"/>
  <c r="Y267" i="1"/>
  <c r="Z264" i="1"/>
  <c r="Z267" i="1" s="1"/>
  <c r="BN264" i="1"/>
  <c r="Y268" i="1"/>
  <c r="Y274" i="1"/>
  <c r="BP271" i="1"/>
  <c r="BN271" i="1"/>
  <c r="Z271" i="1"/>
  <c r="O499" i="1"/>
  <c r="BP284" i="1"/>
  <c r="BN284" i="1"/>
  <c r="Z284" i="1"/>
  <c r="Z285" i="1" s="1"/>
  <c r="Y286" i="1"/>
  <c r="Q499" i="1"/>
  <c r="Y294" i="1"/>
  <c r="BP289" i="1"/>
  <c r="BN289" i="1"/>
  <c r="Z289" i="1"/>
  <c r="Y295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D499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499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499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I499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9" i="1"/>
  <c r="Z186" i="1"/>
  <c r="Z187" i="1" s="1"/>
  <c r="BN186" i="1"/>
  <c r="Y187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Z250" i="1" s="1"/>
  <c r="BN245" i="1"/>
  <c r="BP245" i="1"/>
  <c r="Y259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305" i="1"/>
  <c r="Y311" i="1"/>
  <c r="Y317" i="1"/>
  <c r="Y325" i="1"/>
  <c r="Y331" i="1"/>
  <c r="Y338" i="1"/>
  <c r="Y350" i="1"/>
  <c r="Y354" i="1"/>
  <c r="Y360" i="1"/>
  <c r="Y364" i="1"/>
  <c r="Y369" i="1"/>
  <c r="Y375" i="1"/>
  <c r="Y380" i="1"/>
  <c r="Y394" i="1"/>
  <c r="Y400" i="1"/>
  <c r="Y405" i="1"/>
  <c r="Y411" i="1"/>
  <c r="BP427" i="1"/>
  <c r="BN427" i="1"/>
  <c r="Z427" i="1"/>
  <c r="BP431" i="1"/>
  <c r="BN431" i="1"/>
  <c r="Z431" i="1"/>
  <c r="Y433" i="1"/>
  <c r="Y438" i="1"/>
  <c r="BP435" i="1"/>
  <c r="BN435" i="1"/>
  <c r="Z435" i="1"/>
  <c r="BP443" i="1"/>
  <c r="BN443" i="1"/>
  <c r="Z443" i="1"/>
  <c r="Y447" i="1"/>
  <c r="BP451" i="1"/>
  <c r="BN451" i="1"/>
  <c r="Z451" i="1"/>
  <c r="Z453" i="1" s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S499" i="1"/>
  <c r="W499" i="1"/>
  <c r="Z291" i="1"/>
  <c r="BN291" i="1"/>
  <c r="Z293" i="1"/>
  <c r="BN293" i="1"/>
  <c r="Z297" i="1"/>
  <c r="BN297" i="1"/>
  <c r="BP297" i="1"/>
  <c r="Z299" i="1"/>
  <c r="BN299" i="1"/>
  <c r="Z301" i="1"/>
  <c r="BN301" i="1"/>
  <c r="Z303" i="1"/>
  <c r="BN303" i="1"/>
  <c r="Z307" i="1"/>
  <c r="Z311" i="1" s="1"/>
  <c r="BN307" i="1"/>
  <c r="BP307" i="1"/>
  <c r="Z309" i="1"/>
  <c r="BN309" i="1"/>
  <c r="Z315" i="1"/>
  <c r="Z317" i="1" s="1"/>
  <c r="BN315" i="1"/>
  <c r="Z321" i="1"/>
  <c r="Z324" i="1" s="1"/>
  <c r="BN321" i="1"/>
  <c r="Z323" i="1"/>
  <c r="BN323" i="1"/>
  <c r="Z327" i="1"/>
  <c r="BN327" i="1"/>
  <c r="BP327" i="1"/>
  <c r="Z329" i="1"/>
  <c r="BN329" i="1"/>
  <c r="Z334" i="1"/>
  <c r="Z337" i="1" s="1"/>
  <c r="BN334" i="1"/>
  <c r="BP334" i="1"/>
  <c r="Z336" i="1"/>
  <c r="BN336" i="1"/>
  <c r="Y337" i="1"/>
  <c r="Z342" i="1"/>
  <c r="Z349" i="1" s="1"/>
  <c r="BN342" i="1"/>
  <c r="BP342" i="1"/>
  <c r="Z344" i="1"/>
  <c r="BN344" i="1"/>
  <c r="Z346" i="1"/>
  <c r="BN346" i="1"/>
  <c r="Z348" i="1"/>
  <c r="BN348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Z369" i="1" s="1"/>
  <c r="BN367" i="1"/>
  <c r="BP367" i="1"/>
  <c r="Y370" i="1"/>
  <c r="Z373" i="1"/>
  <c r="Z374" i="1" s="1"/>
  <c r="BN373" i="1"/>
  <c r="Z377" i="1"/>
  <c r="Z380" i="1" s="1"/>
  <c r="BN377" i="1"/>
  <c r="BP377" i="1"/>
  <c r="Z386" i="1"/>
  <c r="Z394" i="1" s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X499" i="1"/>
  <c r="Y432" i="1"/>
  <c r="Z422" i="1"/>
  <c r="Z432" i="1" s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Y492" i="1" l="1"/>
  <c r="Z468" i="1"/>
  <c r="Z438" i="1"/>
  <c r="X492" i="1"/>
  <c r="Z294" i="1"/>
  <c r="Z274" i="1"/>
  <c r="Z447" i="1"/>
  <c r="Z411" i="1"/>
  <c r="Z330" i="1"/>
  <c r="Z304" i="1"/>
  <c r="Z116" i="1"/>
  <c r="Z95" i="1"/>
  <c r="Z88" i="1"/>
  <c r="Z69" i="1"/>
  <c r="Z494" i="1" s="1"/>
  <c r="Y489" i="1"/>
</calcChain>
</file>

<file path=xl/sharedStrings.xml><?xml version="1.0" encoding="utf-8"?>
<sst xmlns="http://schemas.openxmlformats.org/spreadsheetml/2006/main" count="2200" uniqueCount="762">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</sst>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34</v>
      </c>
      <c r="Y51" s="542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35.244642857142857</v>
      </c>
      <c r="BN51" s="64">
        <f t="shared" ref="BN51:BN56" si="2">IFERROR(Y51*I51/H51,"0")</f>
        <v>46.44</v>
      </c>
      <c r="BO51" s="64">
        <f t="shared" ref="BO51:BO56" si="3">IFERROR(1/J51*(X51/H51),"0")</f>
        <v>4.7433035714285719E-2</v>
      </c>
      <c r="BP51" s="64">
        <f t="shared" ref="BP51:BP56" si="4">IFERROR(1/J51*(Y51/H51),"0")</f>
        <v>6.25E-2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5</v>
      </c>
      <c r="Y54" s="542">
        <f t="shared" si="0"/>
        <v>8</v>
      </c>
      <c r="Z54" s="36">
        <f>IFERROR(IF(Y54=0,"",ROUNDUP(Y54/H54,0)*0.00902),"")</f>
        <v>1.804E-2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5.2375000000000007</v>
      </c>
      <c r="BN54" s="64">
        <f t="shared" si="2"/>
        <v>8.3800000000000008</v>
      </c>
      <c r="BO54" s="64">
        <f t="shared" si="3"/>
        <v>9.46969696969697E-3</v>
      </c>
      <c r="BP54" s="64">
        <f t="shared" si="4"/>
        <v>1.5151515151515152E-2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4.2857142857142865</v>
      </c>
      <c r="Y57" s="543">
        <f>IFERROR(Y51/H51,"0")+IFERROR(Y52/H52,"0")+IFERROR(Y53/H53,"0")+IFERROR(Y54/H54,"0")+IFERROR(Y55/H55,"0")+IFERROR(Y56/H56,"0")</f>
        <v>6</v>
      </c>
      <c r="Z57" s="543">
        <f>IFERROR(IF(Z51="",0,Z51),"0")+IFERROR(IF(Z52="",0,Z52),"0")+IFERROR(IF(Z53="",0,Z53),"0")+IFERROR(IF(Z54="",0,Z54),"0")+IFERROR(IF(Z55="",0,Z55),"0")+IFERROR(IF(Z56="",0,Z56),"0")</f>
        <v>9.3960000000000002E-2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39</v>
      </c>
      <c r="Y58" s="543">
        <f>IFERROR(SUM(Y51:Y56),"0")</f>
        <v>52.8</v>
      </c>
      <c r="Z58" s="37"/>
      <c r="AA58" s="544"/>
      <c r="AB58" s="544"/>
      <c r="AC58" s="544"/>
    </row>
    <row r="59" spans="1:68" ht="14.25" customHeight="1" x14ac:dyDescent="0.25">
      <c r="A59" s="559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4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4.1518518518518519</v>
      </c>
      <c r="BN60" s="64">
        <f>IFERROR(Y60*I60/H60,"0")</f>
        <v>11.21</v>
      </c>
      <c r="BO60" s="64">
        <f>IFERROR(1/J60*(X60/H60),"0")</f>
        <v>5.7870370370370367E-3</v>
      </c>
      <c r="BP60" s="64">
        <f>IFERROR(1/J60*(Y60/H60),"0")</f>
        <v>1.5625E-2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0.37037037037037035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4</v>
      </c>
      <c r="Y64" s="543">
        <f>IFERROR(SUM(Y60:Y62),"0")</f>
        <v>10.8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19</v>
      </c>
      <c r="Y85" s="542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19.721296296296295</v>
      </c>
      <c r="BN85" s="64">
        <f>IFERROR(Y85*I85/H85,"0")</f>
        <v>22.42</v>
      </c>
      <c r="BO85" s="64">
        <f>IFERROR(1/J85*(X85/H85),"0")</f>
        <v>2.7488425925925923E-2</v>
      </c>
      <c r="BP85" s="64">
        <f>IFERROR(1/J85*(Y85/H85),"0")</f>
        <v>3.125E-2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14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14.591111111111113</v>
      </c>
      <c r="BN87" s="64">
        <f>IFERROR(Y87*I87/H87,"0")</f>
        <v>18.760000000000002</v>
      </c>
      <c r="BO87" s="64">
        <f>IFERROR(1/J87*(X87/H87),"0")</f>
        <v>2.3569023569023569E-2</v>
      </c>
      <c r="BP87" s="64">
        <f>IFERROR(1/J87*(Y87/H87),"0")</f>
        <v>3.0303030303030304E-2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4.8703703703703702</v>
      </c>
      <c r="Y88" s="543">
        <f>IFERROR(Y85/H85,"0")+IFERROR(Y86/H86,"0")+IFERROR(Y87/H87,"0")</f>
        <v>6</v>
      </c>
      <c r="Z88" s="543">
        <f>IFERROR(IF(Z85="",0,Z85),"0")+IFERROR(IF(Z86="",0,Z86),"0")+IFERROR(IF(Z87="",0,Z87),"0")</f>
        <v>7.4039999999999995E-2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33</v>
      </c>
      <c r="Y89" s="543">
        <f>IFERROR(SUM(Y85:Y87),"0")</f>
        <v>39.6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150</v>
      </c>
      <c r="Y93" s="542">
        <f>IFERROR(IF(X93="",0,CEILING((X93/$H93),1)*$H93),"")</f>
        <v>151.20000000000002</v>
      </c>
      <c r="Z93" s="36">
        <f>IFERROR(IF(Y93=0,"",ROUNDUP(Y93/H93,0)*0.00651),"")</f>
        <v>0.36456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164</v>
      </c>
      <c r="BN93" s="64">
        <f>IFERROR(Y93*I93/H93,"0")</f>
        <v>165.31200000000001</v>
      </c>
      <c r="BO93" s="64">
        <f>IFERROR(1/J93*(X93/H93),"0")</f>
        <v>0.30525030525030522</v>
      </c>
      <c r="BP93" s="64">
        <f>IFERROR(1/J93*(Y93/H93),"0")</f>
        <v>0.30769230769230771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55.55555555555555</v>
      </c>
      <c r="Y95" s="543">
        <f>IFERROR(Y91/H91,"0")+IFERROR(Y92/H92,"0")+IFERROR(Y93/H93,"0")+IFERROR(Y94/H94,"0")</f>
        <v>56</v>
      </c>
      <c r="Z95" s="543">
        <f>IFERROR(IF(Z91="",0,Z91),"0")+IFERROR(IF(Z92="",0,Z92),"0")+IFERROR(IF(Z93="",0,Z93),"0")+IFERROR(IF(Z94="",0,Z94),"0")</f>
        <v>0.36456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150</v>
      </c>
      <c r="Y96" s="543">
        <f>IFERROR(SUM(Y91:Y94),"0")</f>
        <v>151.20000000000002</v>
      </c>
      <c r="Z96" s="37"/>
      <c r="AA96" s="544"/>
      <c r="AB96" s="544"/>
      <c r="AC96" s="544"/>
    </row>
    <row r="97" spans="1:68" ht="16.5" customHeight="1" x14ac:dyDescent="0.25">
      <c r="A97" s="558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50</v>
      </c>
      <c r="Y106" s="542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51.898148148148145</v>
      </c>
      <c r="BN106" s="64">
        <f>IFERROR(Y106*I106/H106,"0")</f>
        <v>56.05</v>
      </c>
      <c r="BO106" s="64">
        <f>IFERROR(1/J106*(X106/H106),"0")</f>
        <v>7.2337962962962965E-2</v>
      </c>
      <c r="BP106" s="64">
        <f>IFERROR(1/J106*(Y106/H106),"0")</f>
        <v>7.8125E-2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4.6296296296296298</v>
      </c>
      <c r="Y109" s="543">
        <f>IFERROR(Y106/H106,"0")+IFERROR(Y107/H107,"0")+IFERROR(Y108/H108,"0")</f>
        <v>5</v>
      </c>
      <c r="Z109" s="543">
        <f>IFERROR(IF(Z106="",0,Z106),"0")+IFERROR(IF(Z107="",0,Z107),"0")+IFERROR(IF(Z108="",0,Z108),"0")</f>
        <v>9.4899999999999998E-2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50</v>
      </c>
      <c r="Y110" s="543">
        <f>IFERROR(SUM(Y106:Y108),"0")</f>
        <v>54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62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65.735308641975294</v>
      </c>
      <c r="BN112" s="64">
        <f>IFERROR(Y112*I112/H112,"0")</f>
        <v>68.703999999999994</v>
      </c>
      <c r="BO112" s="64">
        <f>IFERROR(1/J112*(X112/H112),"0")</f>
        <v>0.11959876543209877</v>
      </c>
      <c r="BP112" s="64">
        <f>IFERROR(1/J112*(Y112/H112),"0")</f>
        <v>0.125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114</v>
      </c>
      <c r="Y114" s="542">
        <f>IFERROR(IF(X114="",0,CEILING((X114/$H114),1)*$H114),"")</f>
        <v>116.10000000000001</v>
      </c>
      <c r="Z114" s="36">
        <f>IFERROR(IF(Y114=0,"",ROUNDUP(Y114/H114,0)*0.00651),"")</f>
        <v>0.27993000000000001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124.64</v>
      </c>
      <c r="BN114" s="64">
        <f>IFERROR(Y114*I114/H114,"0")</f>
        <v>126.93600000000001</v>
      </c>
      <c r="BO114" s="64">
        <f>IFERROR(1/J114*(X114/H114),"0")</f>
        <v>0.231990231990232</v>
      </c>
      <c r="BP114" s="64">
        <f>IFERROR(1/J114*(Y114/H114),"0")</f>
        <v>0.23626373626373628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49.876543209876544</v>
      </c>
      <c r="Y116" s="543">
        <f>IFERROR(Y112/H112,"0")+IFERROR(Y113/H113,"0")+IFERROR(Y114/H114,"0")+IFERROR(Y115/H115,"0")</f>
        <v>51</v>
      </c>
      <c r="Z116" s="543">
        <f>IFERROR(IF(Z112="",0,Z112),"0")+IFERROR(IF(Z113="",0,Z113),"0")+IFERROR(IF(Z114="",0,Z114),"0")+IFERROR(IF(Z115="",0,Z115),"0")</f>
        <v>0.43176999999999999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176</v>
      </c>
      <c r="Y117" s="543">
        <f>IFERROR(SUM(Y112:Y115),"0")</f>
        <v>180.9</v>
      </c>
      <c r="Z117" s="37"/>
      <c r="AA117" s="544"/>
      <c r="AB117" s="544"/>
      <c r="AC117" s="544"/>
    </row>
    <row r="118" spans="1:68" ht="14.25" customHeight="1" x14ac:dyDescent="0.25">
      <c r="A118" s="559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134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196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12</v>
      </c>
      <c r="Y167" s="542">
        <f t="shared" si="5"/>
        <v>12.6</v>
      </c>
      <c r="Z167" s="36">
        <f>IFERROR(IF(Y167=0,"",ROUNDUP(Y167/H167,0)*0.00502),"")</f>
        <v>3.5140000000000005E-2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12.866666666666667</v>
      </c>
      <c r="BN167" s="64">
        <f t="shared" si="7"/>
        <v>13.509999999999998</v>
      </c>
      <c r="BO167" s="64">
        <f t="shared" si="8"/>
        <v>2.8490028490028491E-2</v>
      </c>
      <c r="BP167" s="64">
        <f t="shared" si="9"/>
        <v>2.9914529914529919E-2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</v>
      </c>
      <c r="Y168" s="542">
        <f t="shared" si="5"/>
        <v>2.1</v>
      </c>
      <c r="Z168" s="36">
        <f>IFERROR(IF(Y168=0,"",ROUNDUP(Y168/H168,0)*0.00502),"")</f>
        <v>5.0200000000000002E-3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1.0476190476190477</v>
      </c>
      <c r="BN168" s="64">
        <f t="shared" si="7"/>
        <v>2.2000000000000002</v>
      </c>
      <c r="BO168" s="64">
        <f t="shared" si="8"/>
        <v>2.0350020350020353E-3</v>
      </c>
      <c r="BP168" s="64">
        <f t="shared" si="9"/>
        <v>4.2735042735042739E-3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7.1428571428571423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8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4.0160000000000001E-2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13</v>
      </c>
      <c r="Y172" s="543">
        <f>IFERROR(SUM(Y161:Y170),"0")</f>
        <v>14.7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134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38</v>
      </c>
      <c r="Y199" s="542">
        <f t="shared" si="10"/>
        <v>39.6</v>
      </c>
      <c r="Z199" s="36">
        <f>IFERROR(IF(Y199=0,"",ROUNDUP(Y199/H199,0)*0.00502),"")</f>
        <v>0.11044000000000001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40.744444444444447</v>
      </c>
      <c r="BN199" s="64">
        <f t="shared" si="12"/>
        <v>42.46</v>
      </c>
      <c r="BO199" s="64">
        <f t="shared" si="13"/>
        <v>9.0218423551756896E-2</v>
      </c>
      <c r="BP199" s="64">
        <f t="shared" si="14"/>
        <v>9.401709401709403E-2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2</v>
      </c>
      <c r="Y200" s="542">
        <f t="shared" si="10"/>
        <v>3.6</v>
      </c>
      <c r="Z200" s="36">
        <f>IFERROR(IF(Y200=0,"",ROUNDUP(Y200/H200,0)*0.00502),"")</f>
        <v>1.004E-2</v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2.1111111111111112</v>
      </c>
      <c r="BN200" s="64">
        <f t="shared" si="12"/>
        <v>3.8</v>
      </c>
      <c r="BO200" s="64">
        <f t="shared" si="13"/>
        <v>4.7483380816714157E-3</v>
      </c>
      <c r="BP200" s="64">
        <f t="shared" si="14"/>
        <v>8.5470085470085479E-3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39</v>
      </c>
      <c r="Y202" s="542">
        <f t="shared" si="10"/>
        <v>39.6</v>
      </c>
      <c r="Z202" s="36">
        <f>IFERROR(IF(Y202=0,"",ROUNDUP(Y202/H202,0)*0.00502),"")</f>
        <v>0.11044000000000001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41.166666666666664</v>
      </c>
      <c r="BN202" s="64">
        <f t="shared" si="12"/>
        <v>41.8</v>
      </c>
      <c r="BO202" s="64">
        <f t="shared" si="13"/>
        <v>9.2592592592592601E-2</v>
      </c>
      <c r="BP202" s="64">
        <f t="shared" si="14"/>
        <v>9.401709401709403E-2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43.888888888888886</v>
      </c>
      <c r="Y203" s="543">
        <f>IFERROR(Y195/H195,"0")+IFERROR(Y196/H196,"0")+IFERROR(Y197/H197,"0")+IFERROR(Y198/H198,"0")+IFERROR(Y199/H199,"0")+IFERROR(Y200/H200,"0")+IFERROR(Y201/H201,"0")+IFERROR(Y202/H202,"0")</f>
        <v>46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0.23092000000000001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79</v>
      </c>
      <c r="Y204" s="543">
        <f>IFERROR(SUM(Y195:Y202),"0")</f>
        <v>82.800000000000011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18</v>
      </c>
      <c r="Y207" s="542">
        <f t="shared" si="15"/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19.05777777777778</v>
      </c>
      <c r="BN207" s="64">
        <f t="shared" si="17"/>
        <v>25.727999999999998</v>
      </c>
      <c r="BO207" s="64">
        <f t="shared" si="18"/>
        <v>3.4722222222222224E-2</v>
      </c>
      <c r="BP207" s="64">
        <f t="shared" si="19"/>
        <v>4.6875E-2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38</v>
      </c>
      <c r="Y209" s="542">
        <f t="shared" si="15"/>
        <v>38.4</v>
      </c>
      <c r="Z209" s="36">
        <f t="shared" ref="Z209:Z214" si="20">IFERROR(IF(Y209=0,"",ROUNDUP(Y209/H209,0)*0.00651),"")</f>
        <v>0.10416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42.274999999999999</v>
      </c>
      <c r="BN209" s="64">
        <f t="shared" si="17"/>
        <v>42.72</v>
      </c>
      <c r="BO209" s="64">
        <f t="shared" si="18"/>
        <v>8.6996336996337006E-2</v>
      </c>
      <c r="BP209" s="64">
        <f t="shared" si="19"/>
        <v>8.7912087912087919E-2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423</v>
      </c>
      <c r="Y211" s="542">
        <f t="shared" si="15"/>
        <v>424.8</v>
      </c>
      <c r="Z211" s="36">
        <f t="shared" si="20"/>
        <v>1.1522700000000001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467.41500000000002</v>
      </c>
      <c r="BN211" s="64">
        <f t="shared" si="17"/>
        <v>469.40400000000005</v>
      </c>
      <c r="BO211" s="64">
        <f t="shared" si="18"/>
        <v>0.96840659340659352</v>
      </c>
      <c r="BP211" s="64">
        <f t="shared" si="19"/>
        <v>0.97252747252747263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319</v>
      </c>
      <c r="Y212" s="542">
        <f t="shared" si="15"/>
        <v>319.2</v>
      </c>
      <c r="Z212" s="36">
        <f t="shared" si="20"/>
        <v>0.86582999999999999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352.49500000000006</v>
      </c>
      <c r="BN212" s="64">
        <f t="shared" si="17"/>
        <v>352.71600000000001</v>
      </c>
      <c r="BO212" s="64">
        <f t="shared" si="18"/>
        <v>0.73031135531135549</v>
      </c>
      <c r="BP212" s="64">
        <f t="shared" si="19"/>
        <v>0.73076923076923084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74</v>
      </c>
      <c r="Y213" s="542">
        <f t="shared" si="15"/>
        <v>74.399999999999991</v>
      </c>
      <c r="Z213" s="36">
        <f t="shared" si="20"/>
        <v>0.20181000000000002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81.77000000000001</v>
      </c>
      <c r="BN213" s="64">
        <f t="shared" si="17"/>
        <v>82.212000000000003</v>
      </c>
      <c r="BO213" s="64">
        <f t="shared" si="18"/>
        <v>0.16941391941391945</v>
      </c>
      <c r="BP213" s="64">
        <f t="shared" si="19"/>
        <v>0.17032967032967034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38</v>
      </c>
      <c r="Y214" s="542">
        <f t="shared" si="15"/>
        <v>38.4</v>
      </c>
      <c r="Z214" s="36">
        <f t="shared" si="20"/>
        <v>0.10416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42.085000000000001</v>
      </c>
      <c r="BN214" s="64">
        <f t="shared" si="17"/>
        <v>42.527999999999999</v>
      </c>
      <c r="BO214" s="64">
        <f t="shared" si="18"/>
        <v>8.6996336996337006E-2</v>
      </c>
      <c r="BP214" s="64">
        <f t="shared" si="19"/>
        <v>8.7912087912087919E-2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373.88888888888886</v>
      </c>
      <c r="Y215" s="543">
        <f>IFERROR(Y206/H206,"0")+IFERROR(Y207/H207,"0")+IFERROR(Y208/H208,"0")+IFERROR(Y209/H209,"0")+IFERROR(Y210/H210,"0")+IFERROR(Y211/H211,"0")+IFERROR(Y212/H212,"0")+IFERROR(Y213/H213,"0")+IFERROR(Y214/H214,"0")</f>
        <v>376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2.4851700000000001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910</v>
      </c>
      <c r="Y216" s="543">
        <f>IFERROR(SUM(Y206:Y214),"0")</f>
        <v>919.5</v>
      </c>
      <c r="Z216" s="37"/>
      <c r="AA216" s="544"/>
      <c r="AB216" s="544"/>
      <c r="AC216" s="544"/>
    </row>
    <row r="217" spans="1:68" ht="14.25" customHeight="1" x14ac:dyDescent="0.25">
      <c r="A217" s="559" t="s">
        <v>162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16</v>
      </c>
      <c r="Y219" s="542">
        <f>IFERROR(IF(X219="",0,CEILING((X219/$H219),1)*$H219),"")</f>
        <v>16.8</v>
      </c>
      <c r="Z219" s="36">
        <f>IFERROR(IF(Y219=0,"",ROUNDUP(Y219/H219,0)*0.00651),"")</f>
        <v>4.5569999999999999E-2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17.680000000000003</v>
      </c>
      <c r="BN219" s="64">
        <f>IFERROR(Y219*I219/H219,"0")</f>
        <v>18.564000000000004</v>
      </c>
      <c r="BO219" s="64">
        <f>IFERROR(1/J219*(X219/H219),"0")</f>
        <v>3.6630036630036632E-2</v>
      </c>
      <c r="BP219" s="64">
        <f>IFERROR(1/J219*(Y219/H219),"0")</f>
        <v>3.8461538461538471E-2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6.666666666666667</v>
      </c>
      <c r="Y220" s="543">
        <f>IFERROR(Y218/H218,"0")+IFERROR(Y219/H219,"0")</f>
        <v>7.0000000000000009</v>
      </c>
      <c r="Z220" s="543">
        <f>IFERROR(IF(Z218="",0,Z218),"0")+IFERROR(IF(Z219="",0,Z219),"0")</f>
        <v>4.5569999999999999E-2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16</v>
      </c>
      <c r="Y221" s="543">
        <f>IFERROR(SUM(Y218:Y219),"0")</f>
        <v>16.8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134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61</v>
      </c>
      <c r="Y272" s="542">
        <f>IFERROR(IF(X272="",0,CEILING((X272/$H272),1)*$H272),"")</f>
        <v>62.4</v>
      </c>
      <c r="Z272" s="36">
        <f>IFERROR(IF(Y272=0,"",ROUNDUP(Y272/H272,0)*0.00651),"")</f>
        <v>0.16925999999999999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67.405000000000015</v>
      </c>
      <c r="BN272" s="64">
        <f>IFERROR(Y272*I272/H272,"0")</f>
        <v>68.952000000000012</v>
      </c>
      <c r="BO272" s="64">
        <f>IFERROR(1/J272*(X272/H272),"0")</f>
        <v>0.13965201465201468</v>
      </c>
      <c r="BP272" s="64">
        <f>IFERROR(1/J272*(Y272/H272),"0")</f>
        <v>0.14285714285714288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152</v>
      </c>
      <c r="Y273" s="542">
        <f>IFERROR(IF(X273="",0,CEILING((X273/$H273),1)*$H273),"")</f>
        <v>153.6</v>
      </c>
      <c r="Z273" s="36">
        <f>IFERROR(IF(Y273=0,"",ROUNDUP(Y273/H273,0)*0.00651),"")</f>
        <v>0.41664000000000001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163.4</v>
      </c>
      <c r="BN273" s="64">
        <f>IFERROR(Y273*I273/H273,"0")</f>
        <v>165.12</v>
      </c>
      <c r="BO273" s="64">
        <f>IFERROR(1/J273*(X273/H273),"0")</f>
        <v>0.34798534798534803</v>
      </c>
      <c r="BP273" s="64">
        <f>IFERROR(1/J273*(Y273/H273),"0")</f>
        <v>0.35164835164835168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88.75</v>
      </c>
      <c r="Y274" s="543">
        <f>IFERROR(Y271/H271,"0")+IFERROR(Y272/H272,"0")+IFERROR(Y273/H273,"0")</f>
        <v>90</v>
      </c>
      <c r="Z274" s="543">
        <f>IFERROR(IF(Z271="",0,Z271),"0")+IFERROR(IF(Z272="",0,Z272),"0")+IFERROR(IF(Z273="",0,Z273),"0")</f>
        <v>0.58589999999999998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213</v>
      </c>
      <c r="Y275" s="543">
        <f>IFERROR(SUM(Y271:Y273),"0")</f>
        <v>216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162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34</v>
      </c>
      <c r="Y316" s="542">
        <f>IFERROR(IF(X316="",0,CEILING((X316/$H316),1)*$H316),"")</f>
        <v>42</v>
      </c>
      <c r="Z316" s="36">
        <f>IFERROR(IF(Y316=0,"",ROUNDUP(Y316/H316,0)*0.01898),"")</f>
        <v>9.4899999999999998E-2</v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35.999523809523808</v>
      </c>
      <c r="BN316" s="64">
        <f>IFERROR(Y316*I316/H316,"0")</f>
        <v>44.47</v>
      </c>
      <c r="BO316" s="64">
        <f>IFERROR(1/J316*(X316/H316),"0")</f>
        <v>6.3244047619047616E-2</v>
      </c>
      <c r="BP316" s="64">
        <f>IFERROR(1/J316*(Y316/H316),"0")</f>
        <v>7.8125E-2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4.0476190476190474</v>
      </c>
      <c r="Y317" s="543">
        <f>IFERROR(Y314/H314,"0")+IFERROR(Y315/H315,"0")+IFERROR(Y316/H316,"0")</f>
        <v>5</v>
      </c>
      <c r="Z317" s="543">
        <f>IFERROR(IF(Z314="",0,Z314),"0")+IFERROR(IF(Z315="",0,Z315),"0")+IFERROR(IF(Z316="",0,Z316),"0")</f>
        <v>9.4899999999999998E-2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34</v>
      </c>
      <c r="Y318" s="543">
        <f>IFERROR(SUM(Y314:Y316),"0")</f>
        <v>42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2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503</v>
      </c>
      <c r="AG323" s="64"/>
      <c r="AJ323" s="68"/>
      <c r="AK323" s="68">
        <v>0</v>
      </c>
      <c r="BB323" s="376" t="s">
        <v>1</v>
      </c>
      <c r="BM323" s="64">
        <f>IFERROR(X323*I323/H323,"0")</f>
        <v>2.2588235294117647</v>
      </c>
      <c r="BN323" s="64">
        <f>IFERROR(Y323*I323/H323,"0")</f>
        <v>2.88</v>
      </c>
      <c r="BO323" s="64">
        <f>IFERROR(1/J323*(X323/H323),"0")</f>
        <v>4.3094160741219576E-3</v>
      </c>
      <c r="BP323" s="64">
        <f>IFERROR(1/J323*(Y323/H323),"0")</f>
        <v>5.4945054945054949E-3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0.78431372549019618</v>
      </c>
      <c r="Y324" s="543">
        <f>IFERROR(Y320/H320,"0")+IFERROR(Y321/H321,"0")+IFERROR(Y322/H322,"0")+IFERROR(Y323/H323,"0")</f>
        <v>1</v>
      </c>
      <c r="Z324" s="543">
        <f>IFERROR(IF(Z320="",0,Z320),"0")+IFERROR(IF(Z321="",0,Z321),"0")+IFERROR(IF(Z322="",0,Z322),"0")+IFERROR(IF(Z323="",0,Z323),"0")</f>
        <v>6.5100000000000002E-3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2</v>
      </c>
      <c r="Y325" s="543">
        <f>IFERROR(SUM(Y320:Y323),"0")</f>
        <v>2.5499999999999998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902</v>
      </c>
      <c r="Y342" s="542">
        <f t="shared" ref="Y342:Y348" si="31">IFERROR(IF(X342="",0,CEILING((X342/$H342),1)*$H342),"")</f>
        <v>915</v>
      </c>
      <c r="Z342" s="36">
        <f>IFERROR(IF(Y342=0,"",ROUNDUP(Y342/H342,0)*0.02175),"")</f>
        <v>1.3267499999999999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930.26266666666675</v>
      </c>
      <c r="BN342" s="64">
        <f t="shared" ref="BN342:BN348" si="33">IFERROR(Y342*I342/H342,"0")</f>
        <v>943.67000000000007</v>
      </c>
      <c r="BO342" s="64">
        <f t="shared" ref="BO342:BO348" si="34">IFERROR(1/J342*(X342/H342),"0")</f>
        <v>1.2527777777777778</v>
      </c>
      <c r="BP342" s="64">
        <f t="shared" ref="BP342:BP348" si="35">IFERROR(1/J342*(Y342/H342),"0")</f>
        <v>1.2708333333333333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392</v>
      </c>
      <c r="Y343" s="542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404.28266666666673</v>
      </c>
      <c r="BN343" s="64">
        <f t="shared" si="33"/>
        <v>417.69</v>
      </c>
      <c r="BO343" s="64">
        <f t="shared" si="34"/>
        <v>0.5444444444444444</v>
      </c>
      <c r="BP343" s="64">
        <f t="shared" si="35"/>
        <v>0.5625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619</v>
      </c>
      <c r="Y344" s="542">
        <f t="shared" si="31"/>
        <v>630</v>
      </c>
      <c r="Z344" s="36">
        <f>IFERROR(IF(Y344=0,"",ROUNDUP(Y344/H344,0)*0.02175),"")</f>
        <v>0.91349999999999998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638.39533333333338</v>
      </c>
      <c r="BN344" s="64">
        <f t="shared" si="33"/>
        <v>649.74</v>
      </c>
      <c r="BO344" s="64">
        <f t="shared" si="34"/>
        <v>0.85972222222222217</v>
      </c>
      <c r="BP344" s="64">
        <f t="shared" si="35"/>
        <v>0.875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522</v>
      </c>
      <c r="Y345" s="542">
        <f t="shared" si="31"/>
        <v>525</v>
      </c>
      <c r="Z345" s="36">
        <f>IFERROR(IF(Y345=0,"",ROUNDUP(Y345/H345,0)*0.02175),"")</f>
        <v>0.76124999999999998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538.35599999999999</v>
      </c>
      <c r="BN345" s="64">
        <f t="shared" si="33"/>
        <v>541.45000000000005</v>
      </c>
      <c r="BO345" s="64">
        <f t="shared" si="34"/>
        <v>0.72499999999999987</v>
      </c>
      <c r="BP345" s="64">
        <f t="shared" si="35"/>
        <v>0.72916666666666663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162.33333333333331</v>
      </c>
      <c r="Y349" s="543">
        <f>IFERROR(Y342/H342,"0")+IFERROR(Y343/H343,"0")+IFERROR(Y344/H344,"0")+IFERROR(Y345/H345,"0")+IFERROR(Y346/H346,"0")+IFERROR(Y347/H347,"0")+IFERROR(Y348/H348,"0")</f>
        <v>165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3.5887499999999997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2435</v>
      </c>
      <c r="Y350" s="543">
        <f>IFERROR(SUM(Y342:Y348),"0")</f>
        <v>2475</v>
      </c>
      <c r="Z350" s="37"/>
      <c r="AA350" s="544"/>
      <c r="AB350" s="544"/>
      <c r="AC350" s="544"/>
    </row>
    <row r="351" spans="1:68" ht="14.25" customHeight="1" x14ac:dyDescent="0.25">
      <c r="A351" s="559" t="s">
        <v>134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795</v>
      </c>
      <c r="Y352" s="542">
        <f>IFERROR(IF(X352="",0,CEILING((X352/$H352),1)*$H352),"")</f>
        <v>795</v>
      </c>
      <c r="Z352" s="36">
        <f>IFERROR(IF(Y352=0,"",ROUNDUP(Y352/H352,0)*0.02175),"")</f>
        <v>1.1527499999999999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819.91</v>
      </c>
      <c r="BN352" s="64">
        <f>IFERROR(Y352*I352/H352,"0")</f>
        <v>819.91</v>
      </c>
      <c r="BO352" s="64">
        <f>IFERROR(1/J352*(X352/H352),"0")</f>
        <v>1.1041666666666665</v>
      </c>
      <c r="BP352" s="64">
        <f>IFERROR(1/J352*(Y352/H352),"0")</f>
        <v>1.1041666666666665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53</v>
      </c>
      <c r="Y354" s="543">
        <f>IFERROR(Y352/H352,"0")+IFERROR(Y353/H353,"0")</f>
        <v>53</v>
      </c>
      <c r="Z354" s="543">
        <f>IFERROR(IF(Z352="",0,Z352),"0")+IFERROR(IF(Z353="",0,Z353),"0")</f>
        <v>1.1527499999999999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795</v>
      </c>
      <c r="Y355" s="543">
        <f>IFERROR(SUM(Y352:Y353),"0")</f>
        <v>795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18</v>
      </c>
      <c r="Y358" s="542">
        <f>IFERROR(IF(X358="",0,CEILING((X358/$H358),1)*$H358),"")</f>
        <v>18</v>
      </c>
      <c r="Z358" s="36">
        <f>IFERROR(IF(Y358=0,"",ROUNDUP(Y358/H358,0)*0.01898),"")</f>
        <v>3.7960000000000001E-2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18.988</v>
      </c>
      <c r="BN358" s="64">
        <f>IFERROR(Y358*I358/H358,"0")</f>
        <v>18.988</v>
      </c>
      <c r="BO358" s="64">
        <f>IFERROR(1/J358*(X358/H358),"0")</f>
        <v>3.125E-2</v>
      </c>
      <c r="BP358" s="64">
        <f>IFERROR(1/J358*(Y358/H358),"0")</f>
        <v>3.125E-2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2</v>
      </c>
      <c r="Y359" s="543">
        <f>IFERROR(Y357/H357,"0")+IFERROR(Y358/H358,"0")</f>
        <v>2</v>
      </c>
      <c r="Z359" s="543">
        <f>IFERROR(IF(Z357="",0,Z357),"0")+IFERROR(IF(Z358="",0,Z358),"0")</f>
        <v>3.7960000000000001E-2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18</v>
      </c>
      <c r="Y360" s="543">
        <f>IFERROR(SUM(Y357:Y358),"0")</f>
        <v>18</v>
      </c>
      <c r="Z360" s="37"/>
      <c r="AA360" s="544"/>
      <c r="AB360" s="544"/>
      <c r="AC360" s="544"/>
    </row>
    <row r="361" spans="1:68" ht="14.25" customHeight="1" x14ac:dyDescent="0.25">
      <c r="A361" s="559" t="s">
        <v>162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18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18.633333333333333</v>
      </c>
      <c r="BN385" s="64">
        <f t="shared" ref="BN385:BN393" si="38">IFERROR(Y385*I385/H385,"0")</f>
        <v>22.36</v>
      </c>
      <c r="BO385" s="64">
        <f t="shared" ref="BO385:BO393" si="39">IFERROR(1/J385*(X385/H385),"0")</f>
        <v>2.5252525252525252E-2</v>
      </c>
      <c r="BP385" s="64">
        <f t="shared" ref="BP385:BP393" si="40">IFERROR(1/J385*(Y385/H385),"0")</f>
        <v>3.0303030303030304E-2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3.333333333333333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18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91</v>
      </c>
      <c r="Y407" s="542">
        <f>IFERROR(IF(X407="",0,CEILING((X407/$H407),1)*$H407),"")</f>
        <v>91.800000000000011</v>
      </c>
      <c r="Z407" s="36">
        <f>IFERROR(IF(Y407=0,"",ROUNDUP(Y407/H407,0)*0.00902),"")</f>
        <v>0.15334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94.201851851851842</v>
      </c>
      <c r="BN407" s="64">
        <f>IFERROR(Y407*I407/H407,"0")</f>
        <v>95.03</v>
      </c>
      <c r="BO407" s="64">
        <f>IFERROR(1/J407*(X407/H407),"0")</f>
        <v>0.127665544332211</v>
      </c>
      <c r="BP407" s="64">
        <f>IFERROR(1/J407*(Y407/H407),"0")</f>
        <v>0.12878787878787878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16.851851851851851</v>
      </c>
      <c r="Y411" s="543">
        <f>IFERROR(Y407/H407,"0")+IFERROR(Y408/H408,"0")+IFERROR(Y409/H409,"0")+IFERROR(Y410/H410,"0")</f>
        <v>17</v>
      </c>
      <c r="Z411" s="543">
        <f>IFERROR(IF(Z407="",0,Z407),"0")+IFERROR(IF(Z408="",0,Z408),"0")+IFERROR(IF(Z409="",0,Z409),"0")+IFERROR(IF(Z410="",0,Z410),"0")</f>
        <v>0.15334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91</v>
      </c>
      <c r="Y412" s="543">
        <f>IFERROR(SUM(Y407:Y410),"0")</f>
        <v>91.800000000000011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42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44.784090909090907</v>
      </c>
      <c r="BN423" s="64">
        <f t="shared" si="45"/>
        <v>45.04</v>
      </c>
      <c r="BO423" s="64">
        <f t="shared" si="46"/>
        <v>7.6486013986013984E-2</v>
      </c>
      <c r="BP423" s="64">
        <f t="shared" si="47"/>
        <v>7.6923076923076927E-2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405</v>
      </c>
      <c r="Y426" s="542">
        <f t="shared" si="42"/>
        <v>406.56</v>
      </c>
      <c r="Z426" s="36">
        <f t="shared" si="43"/>
        <v>0.92091999999999996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431.84659090909088</v>
      </c>
      <c r="BN426" s="64">
        <f t="shared" si="45"/>
        <v>433.51</v>
      </c>
      <c r="BO426" s="64">
        <f t="shared" si="46"/>
        <v>0.73754370629370636</v>
      </c>
      <c r="BP426" s="64">
        <f t="shared" si="47"/>
        <v>0.74038461538461542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103.59848484848484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547</v>
      </c>
      <c r="Y433" s="543">
        <f>IFERROR(SUM(Y421:Y431),"0")</f>
        <v>549.12</v>
      </c>
      <c r="Z433" s="37"/>
      <c r="AA433" s="544"/>
      <c r="AB433" s="544"/>
      <c r="AC433" s="544"/>
    </row>
    <row r="434" spans="1:68" ht="14.25" customHeight="1" x14ac:dyDescent="0.25">
      <c r="A434" s="559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73</v>
      </c>
      <c r="Y435" s="542">
        <f>IFERROR(IF(X435="",0,CEILING((X435/$H435),1)*$H435),"")</f>
        <v>73.92</v>
      </c>
      <c r="Z435" s="36">
        <f>IFERROR(IF(Y435=0,"",ROUNDUP(Y435/H435,0)*0.01196),"")</f>
        <v>0.16744000000000001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77.839015151515156</v>
      </c>
      <c r="BN435" s="64">
        <f>IFERROR(Y435*I435/H435,"0")</f>
        <v>78.819999999999993</v>
      </c>
      <c r="BO435" s="64">
        <f>IFERROR(1/J435*(X435/H435),"0")</f>
        <v>0.13293997668997667</v>
      </c>
      <c r="BP435" s="64">
        <f>IFERROR(1/J435*(Y435/H435),"0")</f>
        <v>0.13461538461538464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13.825757575757574</v>
      </c>
      <c r="Y438" s="543">
        <f>IFERROR(Y435/H435,"0")+IFERROR(Y436/H436,"0")+IFERROR(Y437/H437,"0")</f>
        <v>14</v>
      </c>
      <c r="Z438" s="543">
        <f>IFERROR(IF(Z435="",0,Z435),"0")+IFERROR(IF(Z436="",0,Z436),"0")+IFERROR(IF(Z437="",0,Z437),"0")</f>
        <v>0.16744000000000001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73</v>
      </c>
      <c r="Y439" s="543">
        <f>IFERROR(SUM(Y435:Y437),"0")</f>
        <v>73.92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73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77.839015151515156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0.13293997668997667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80</v>
      </c>
      <c r="Y442" s="542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85.303030303030297</v>
      </c>
      <c r="BN442" s="64">
        <f t="shared" si="50"/>
        <v>90.08</v>
      </c>
      <c r="BO442" s="64">
        <f t="shared" si="51"/>
        <v>0.14568764568764569</v>
      </c>
      <c r="BP442" s="64">
        <f t="shared" si="52"/>
        <v>0.15384615384615385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114</v>
      </c>
      <c r="Y443" s="542">
        <f t="shared" si="48"/>
        <v>116.16000000000001</v>
      </c>
      <c r="Z443" s="36">
        <f>IFERROR(IF(Y443=0,"",ROUNDUP(Y443/H443,0)*0.01196),"")</f>
        <v>0.26312000000000002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121.55681818181816</v>
      </c>
      <c r="BN443" s="64">
        <f t="shared" si="50"/>
        <v>123.86</v>
      </c>
      <c r="BO443" s="64">
        <f t="shared" si="51"/>
        <v>0.2076048951048951</v>
      </c>
      <c r="BP443" s="64">
        <f t="shared" si="52"/>
        <v>0.21153846153846156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50.568181818181813</v>
      </c>
      <c r="Y447" s="543">
        <f>IFERROR(Y441/H441,"0")+IFERROR(Y442/H442,"0")+IFERROR(Y443/H443,"0")+IFERROR(Y444/H444,"0")+IFERROR(Y445/H445,"0")+IFERROR(Y446/H446,"0")</f>
        <v>52</v>
      </c>
      <c r="Z447" s="543">
        <f>IFERROR(IF(Z441="",0,Z441),"0")+IFERROR(IF(Z442="",0,Z442),"0")+IFERROR(IF(Z443="",0,Z443),"0")+IFERROR(IF(Z444="",0,Z444),"0")+IFERROR(IF(Z445="",0,Z445),"0")+IFERROR(IF(Z446="",0,Z446),"0")</f>
        <v>0.62192000000000003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267</v>
      </c>
      <c r="Y448" s="543">
        <f>IFERROR(SUM(Y441:Y446),"0")</f>
        <v>274.56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50</v>
      </c>
      <c r="Y476" s="542">
        <f>IFERROR(IF(X476="",0,CEILING((X476/$H476),1)*$H476),"")</f>
        <v>54</v>
      </c>
      <c r="Z476" s="36">
        <f>IFERROR(IF(Y476=0,"",ROUNDUP(Y476/H476,0)*0.01898),"")</f>
        <v>0.11388000000000001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52.74444444444444</v>
      </c>
      <c r="BN476" s="64">
        <f>IFERROR(Y476*I476/H476,"0")</f>
        <v>56.963999999999992</v>
      </c>
      <c r="BO476" s="64">
        <f>IFERROR(1/J476*(X476/H476),"0")</f>
        <v>8.6805555555555552E-2</v>
      </c>
      <c r="BP476" s="64">
        <f>IFERROR(1/J476*(Y476/H476),"0")</f>
        <v>9.375E-2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5.5555555555555554</v>
      </c>
      <c r="Y477" s="543">
        <f>IFERROR(Y476/H476,"0")</f>
        <v>6</v>
      </c>
      <c r="Z477" s="543">
        <f>IFERROR(IF(Z476="",0,Z476),"0")</f>
        <v>0.11388000000000001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50</v>
      </c>
      <c r="Y478" s="543">
        <f>IFERROR(SUM(Y476:Y476),"0")</f>
        <v>54</v>
      </c>
      <c r="Z478" s="37"/>
      <c r="AA478" s="544"/>
      <c r="AB478" s="544"/>
      <c r="AC478" s="544"/>
    </row>
    <row r="479" spans="1:68" ht="14.25" customHeight="1" x14ac:dyDescent="0.25">
      <c r="A479" s="559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6013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6136.6500000000005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6336.5691367408917</v>
      </c>
      <c r="Y490" s="543">
        <f>IFERROR(SUM(BN22:BN486),"0")</f>
        <v>6466.1779999999999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11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6611.5691367408917</v>
      </c>
      <c r="Y492" s="543">
        <f>GrossWeightTotalR+PalletQtyTotalR*25</f>
        <v>6741.1779999999999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1055.823916098426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1075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11.683299999999997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115</v>
      </c>
      <c r="E497" s="592" t="s">
        <v>169</v>
      </c>
      <c r="F497" s="592" t="s">
        <v>188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63.599999999999994</v>
      </c>
      <c r="E499" s="46">
        <f>IFERROR(Y85*1,"0")+IFERROR(Y86*1,"0")+IFERROR(Y87*1,"0")+IFERROR(Y91*1,"0")+IFERROR(Y92*1,"0")+IFERROR(Y93*1,"0")+IFERROR(Y94*1,"0")</f>
        <v>190.8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234.9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14.7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1019.0999999999999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216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44.55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3288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91.800000000000011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897.59999999999991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54</v>
      </c>
      <c r="Z499" s="46">
        <f>IFERROR(Y486*1,"0")</f>
        <v>0</v>
      </c>
      <c r="AB499" s="52"/>
      <c r="AC499" s="52"/>
      <c r="AF499" s="539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4 X352 X377 X385 X407 X424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2025-12-03T07:15:44Z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