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ПОКОМ КИ филиалы\"/>
    </mc:Choice>
  </mc:AlternateContent>
  <xr:revisionPtr revIDLastSave="0" documentId="13_ncr:1_{14E11B83-BF19-44A9-99B4-19E14B407EC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9" i="1"/>
  <c r="AI9" i="1" s="1"/>
  <c r="T10" i="1"/>
  <c r="T11" i="1"/>
  <c r="AI11" i="1" s="1"/>
  <c r="T12" i="1"/>
  <c r="T13" i="1"/>
  <c r="AI13" i="1" s="1"/>
  <c r="T18" i="1"/>
  <c r="T19" i="1"/>
  <c r="AI19" i="1" s="1"/>
  <c r="T21" i="1"/>
  <c r="T23" i="1"/>
  <c r="AI23" i="1" s="1"/>
  <c r="T25" i="1"/>
  <c r="T26" i="1"/>
  <c r="AI26" i="1" s="1"/>
  <c r="T28" i="1"/>
  <c r="T30" i="1"/>
  <c r="AI30" i="1" s="1"/>
  <c r="T31" i="1"/>
  <c r="T32" i="1"/>
  <c r="AI32" i="1" s="1"/>
  <c r="T33" i="1"/>
  <c r="T34" i="1"/>
  <c r="AI34" i="1" s="1"/>
  <c r="T35" i="1"/>
  <c r="T36" i="1"/>
  <c r="AI36" i="1" s="1"/>
  <c r="T37" i="1"/>
  <c r="T38" i="1"/>
  <c r="AI38" i="1" s="1"/>
  <c r="T39" i="1"/>
  <c r="T40" i="1"/>
  <c r="AI40" i="1" s="1"/>
  <c r="T41" i="1"/>
  <c r="T42" i="1"/>
  <c r="AI42" i="1" s="1"/>
  <c r="T46" i="1"/>
  <c r="T49" i="1"/>
  <c r="AI49" i="1" s="1"/>
  <c r="T50" i="1"/>
  <c r="T51" i="1"/>
  <c r="AI51" i="1" s="1"/>
  <c r="T52" i="1"/>
  <c r="T55" i="1"/>
  <c r="AI55" i="1" s="1"/>
  <c r="T56" i="1"/>
  <c r="T57" i="1"/>
  <c r="AI57" i="1" s="1"/>
  <c r="T58" i="1"/>
  <c r="T59" i="1"/>
  <c r="AI59" i="1" s="1"/>
  <c r="T60" i="1"/>
  <c r="T66" i="1"/>
  <c r="AI66" i="1" s="1"/>
  <c r="T67" i="1"/>
  <c r="T68" i="1"/>
  <c r="AI68" i="1" s="1"/>
  <c r="T69" i="1"/>
  <c r="T70" i="1"/>
  <c r="AI70" i="1" s="1"/>
  <c r="T71" i="1"/>
  <c r="T72" i="1"/>
  <c r="AI72" i="1" s="1"/>
  <c r="T73" i="1"/>
  <c r="T75" i="1"/>
  <c r="AI75" i="1" s="1"/>
  <c r="T76" i="1"/>
  <c r="T78" i="1"/>
  <c r="AI78" i="1" s="1"/>
  <c r="T80" i="1"/>
  <c r="T81" i="1"/>
  <c r="AI81" i="1" s="1"/>
  <c r="T82" i="1"/>
  <c r="T83" i="1"/>
  <c r="AI83" i="1" s="1"/>
  <c r="T84" i="1"/>
  <c r="T85" i="1"/>
  <c r="AI85" i="1" s="1"/>
  <c r="T87" i="1"/>
  <c r="T88" i="1"/>
  <c r="AI88" i="1" s="1"/>
  <c r="T90" i="1"/>
  <c r="T91" i="1"/>
  <c r="AI91" i="1" s="1"/>
  <c r="T92" i="1"/>
  <c r="T93" i="1"/>
  <c r="AI93" i="1" s="1"/>
  <c r="T6" i="1"/>
  <c r="AI7" i="1"/>
  <c r="AI10" i="1"/>
  <c r="AI12" i="1"/>
  <c r="AI18" i="1"/>
  <c r="AI21" i="1"/>
  <c r="AI25" i="1"/>
  <c r="AI28" i="1"/>
  <c r="AI31" i="1"/>
  <c r="AI33" i="1"/>
  <c r="AI35" i="1"/>
  <c r="AI37" i="1"/>
  <c r="AI39" i="1"/>
  <c r="AI41" i="1"/>
  <c r="AI46" i="1"/>
  <c r="AI50" i="1"/>
  <c r="AI52" i="1"/>
  <c r="AI56" i="1"/>
  <c r="AI58" i="1"/>
  <c r="AI60" i="1"/>
  <c r="AI67" i="1"/>
  <c r="AI69" i="1"/>
  <c r="AI71" i="1"/>
  <c r="AI73" i="1"/>
  <c r="AI76" i="1"/>
  <c r="AI80" i="1"/>
  <c r="AI82" i="1"/>
  <c r="AI84" i="1"/>
  <c r="AI87" i="1"/>
  <c r="AI90" i="1"/>
  <c r="AI92" i="1"/>
  <c r="AI6" i="1"/>
  <c r="W5" i="1" l="1"/>
  <c r="M7" i="1"/>
  <c r="Q7" i="1" s="1"/>
  <c r="X7" i="1" s="1"/>
  <c r="M8" i="1"/>
  <c r="Q8" i="1" s="1"/>
  <c r="R8" i="1" s="1"/>
  <c r="T8" i="1" s="1"/>
  <c r="M9" i="1"/>
  <c r="Q9" i="1" s="1"/>
  <c r="X9" i="1" s="1"/>
  <c r="M10" i="1"/>
  <c r="Q10" i="1" s="1"/>
  <c r="X10" i="1" s="1"/>
  <c r="M11" i="1"/>
  <c r="Q11" i="1" s="1"/>
  <c r="X11" i="1" s="1"/>
  <c r="M12" i="1"/>
  <c r="Q12" i="1" s="1"/>
  <c r="X12" i="1" s="1"/>
  <c r="M13" i="1"/>
  <c r="Q13" i="1" s="1"/>
  <c r="X13" i="1" s="1"/>
  <c r="M14" i="1"/>
  <c r="Q14" i="1" s="1"/>
  <c r="S14" i="1" s="1"/>
  <c r="M15" i="1"/>
  <c r="Q15" i="1" s="1"/>
  <c r="S15" i="1" s="1"/>
  <c r="M16" i="1"/>
  <c r="Q16" i="1" s="1"/>
  <c r="M17" i="1"/>
  <c r="Q17" i="1" s="1"/>
  <c r="S17" i="1" s="1"/>
  <c r="M18" i="1"/>
  <c r="Q18" i="1" s="1"/>
  <c r="X18" i="1" s="1"/>
  <c r="M19" i="1"/>
  <c r="Q19" i="1" s="1"/>
  <c r="X19" i="1" s="1"/>
  <c r="M20" i="1"/>
  <c r="Q20" i="1" s="1"/>
  <c r="M21" i="1"/>
  <c r="Q21" i="1" s="1"/>
  <c r="X21" i="1" s="1"/>
  <c r="M22" i="1"/>
  <c r="Q22" i="1" s="1"/>
  <c r="R22" i="1" s="1"/>
  <c r="T22" i="1" s="1"/>
  <c r="M23" i="1"/>
  <c r="Q23" i="1" s="1"/>
  <c r="X23" i="1" s="1"/>
  <c r="M24" i="1"/>
  <c r="Q24" i="1" s="1"/>
  <c r="M25" i="1"/>
  <c r="Q25" i="1" s="1"/>
  <c r="X25" i="1" s="1"/>
  <c r="M26" i="1"/>
  <c r="Q26" i="1" s="1"/>
  <c r="X26" i="1" s="1"/>
  <c r="M27" i="1"/>
  <c r="Q27" i="1" s="1"/>
  <c r="M28" i="1"/>
  <c r="Q28" i="1" s="1"/>
  <c r="X28" i="1" s="1"/>
  <c r="M29" i="1"/>
  <c r="Q29" i="1" s="1"/>
  <c r="M30" i="1"/>
  <c r="Q30" i="1" s="1"/>
  <c r="X30" i="1" s="1"/>
  <c r="M31" i="1"/>
  <c r="Q31" i="1" s="1"/>
  <c r="X31" i="1" s="1"/>
  <c r="M32" i="1"/>
  <c r="Q32" i="1" s="1"/>
  <c r="X32" i="1" s="1"/>
  <c r="M33" i="1"/>
  <c r="Q33" i="1" s="1"/>
  <c r="X33" i="1" s="1"/>
  <c r="M34" i="1"/>
  <c r="Q34" i="1" s="1"/>
  <c r="X34" i="1" s="1"/>
  <c r="M35" i="1"/>
  <c r="Q35" i="1" s="1"/>
  <c r="X35" i="1" s="1"/>
  <c r="M36" i="1"/>
  <c r="Q36" i="1" s="1"/>
  <c r="X36" i="1" s="1"/>
  <c r="M37" i="1"/>
  <c r="Q37" i="1" s="1"/>
  <c r="X37" i="1" s="1"/>
  <c r="M38" i="1"/>
  <c r="Q38" i="1" s="1"/>
  <c r="X38" i="1" s="1"/>
  <c r="M39" i="1"/>
  <c r="Q39" i="1" s="1"/>
  <c r="X39" i="1" s="1"/>
  <c r="M40" i="1"/>
  <c r="Q40" i="1" s="1"/>
  <c r="X40" i="1" s="1"/>
  <c r="M41" i="1"/>
  <c r="Q41" i="1" s="1"/>
  <c r="X41" i="1" s="1"/>
  <c r="M42" i="1"/>
  <c r="Q42" i="1" s="1"/>
  <c r="X42" i="1" s="1"/>
  <c r="M43" i="1"/>
  <c r="Q43" i="1" s="1"/>
  <c r="M44" i="1"/>
  <c r="Q44" i="1" s="1"/>
  <c r="R44" i="1" s="1"/>
  <c r="T44" i="1" s="1"/>
  <c r="M45" i="1"/>
  <c r="Q45" i="1" s="1"/>
  <c r="M46" i="1"/>
  <c r="Q46" i="1" s="1"/>
  <c r="X46" i="1" s="1"/>
  <c r="M47" i="1"/>
  <c r="Q47" i="1" s="1"/>
  <c r="M48" i="1"/>
  <c r="Q48" i="1" s="1"/>
  <c r="R48" i="1" s="1"/>
  <c r="T48" i="1" s="1"/>
  <c r="M49" i="1"/>
  <c r="Q49" i="1" s="1"/>
  <c r="X49" i="1" s="1"/>
  <c r="M50" i="1"/>
  <c r="Q50" i="1" s="1"/>
  <c r="X50" i="1" s="1"/>
  <c r="M51" i="1"/>
  <c r="Q51" i="1" s="1"/>
  <c r="X51" i="1" s="1"/>
  <c r="M52" i="1"/>
  <c r="Q52" i="1" s="1"/>
  <c r="X52" i="1" s="1"/>
  <c r="M53" i="1"/>
  <c r="Q53" i="1" s="1"/>
  <c r="M54" i="1"/>
  <c r="Q54" i="1" s="1"/>
  <c r="M55" i="1"/>
  <c r="Q55" i="1" s="1"/>
  <c r="X55" i="1" s="1"/>
  <c r="M56" i="1"/>
  <c r="Q56" i="1" s="1"/>
  <c r="X56" i="1" s="1"/>
  <c r="M57" i="1"/>
  <c r="Q57" i="1" s="1"/>
  <c r="X57" i="1" s="1"/>
  <c r="M58" i="1"/>
  <c r="Q58" i="1" s="1"/>
  <c r="X58" i="1" s="1"/>
  <c r="M59" i="1"/>
  <c r="Q59" i="1" s="1"/>
  <c r="X59" i="1" s="1"/>
  <c r="M60" i="1"/>
  <c r="Q60" i="1" s="1"/>
  <c r="X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X66" i="1" s="1"/>
  <c r="M67" i="1"/>
  <c r="Q67" i="1" s="1"/>
  <c r="X67" i="1" s="1"/>
  <c r="M68" i="1"/>
  <c r="Q68" i="1" s="1"/>
  <c r="X68" i="1" s="1"/>
  <c r="M69" i="1"/>
  <c r="Q69" i="1" s="1"/>
  <c r="X69" i="1" s="1"/>
  <c r="M70" i="1"/>
  <c r="Q70" i="1" s="1"/>
  <c r="X70" i="1" s="1"/>
  <c r="M71" i="1"/>
  <c r="Q71" i="1" s="1"/>
  <c r="X71" i="1" s="1"/>
  <c r="M72" i="1"/>
  <c r="Q72" i="1" s="1"/>
  <c r="X72" i="1" s="1"/>
  <c r="M73" i="1"/>
  <c r="Q73" i="1" s="1"/>
  <c r="X73" i="1" s="1"/>
  <c r="M74" i="1"/>
  <c r="Q74" i="1" s="1"/>
  <c r="M75" i="1"/>
  <c r="Q75" i="1" s="1"/>
  <c r="X75" i="1" s="1"/>
  <c r="M76" i="1"/>
  <c r="Q76" i="1" s="1"/>
  <c r="X76" i="1" s="1"/>
  <c r="M77" i="1"/>
  <c r="Q77" i="1" s="1"/>
  <c r="S77" i="1" s="1"/>
  <c r="M78" i="1"/>
  <c r="Q78" i="1" s="1"/>
  <c r="X78" i="1" s="1"/>
  <c r="M79" i="1"/>
  <c r="Q79" i="1" s="1"/>
  <c r="M80" i="1"/>
  <c r="Q80" i="1" s="1"/>
  <c r="X80" i="1" s="1"/>
  <c r="M81" i="1"/>
  <c r="Q81" i="1" s="1"/>
  <c r="X81" i="1" s="1"/>
  <c r="M82" i="1"/>
  <c r="Q82" i="1" s="1"/>
  <c r="X82" i="1" s="1"/>
  <c r="M83" i="1"/>
  <c r="Q83" i="1" s="1"/>
  <c r="X83" i="1" s="1"/>
  <c r="M84" i="1"/>
  <c r="Q84" i="1" s="1"/>
  <c r="X84" i="1" s="1"/>
  <c r="M85" i="1"/>
  <c r="Q85" i="1" s="1"/>
  <c r="X85" i="1" s="1"/>
  <c r="M86" i="1"/>
  <c r="Q86" i="1" s="1"/>
  <c r="R86" i="1" s="1"/>
  <c r="T86" i="1" s="1"/>
  <c r="M87" i="1"/>
  <c r="Q87" i="1" s="1"/>
  <c r="X87" i="1" s="1"/>
  <c r="M88" i="1"/>
  <c r="Q88" i="1" s="1"/>
  <c r="X88" i="1" s="1"/>
  <c r="M89" i="1"/>
  <c r="Q89" i="1" s="1"/>
  <c r="M90" i="1"/>
  <c r="Q90" i="1" s="1"/>
  <c r="X90" i="1" s="1"/>
  <c r="M91" i="1"/>
  <c r="Q91" i="1" s="1"/>
  <c r="X91" i="1" s="1"/>
  <c r="M92" i="1"/>
  <c r="Q92" i="1" s="1"/>
  <c r="M93" i="1"/>
  <c r="Q93" i="1" s="1"/>
  <c r="X93" i="1" s="1"/>
  <c r="M6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P5" i="1"/>
  <c r="O5" i="1"/>
  <c r="N5" i="1"/>
  <c r="K5" i="1"/>
  <c r="F5" i="1"/>
  <c r="E5" i="1"/>
  <c r="R24" i="1" l="1"/>
  <c r="S24" i="1"/>
  <c r="R20" i="1"/>
  <c r="S20" i="1"/>
  <c r="S16" i="1"/>
  <c r="T16" i="1" s="1"/>
  <c r="AI16" i="1" s="1"/>
  <c r="Y92" i="1"/>
  <c r="X92" i="1"/>
  <c r="AI86" i="1"/>
  <c r="X86" i="1"/>
  <c r="AI48" i="1"/>
  <c r="X48" i="1"/>
  <c r="AI44" i="1"/>
  <c r="X44" i="1"/>
  <c r="AI22" i="1"/>
  <c r="X22" i="1"/>
  <c r="X8" i="1"/>
  <c r="AI8" i="1"/>
  <c r="Y93" i="1"/>
  <c r="R89" i="1"/>
  <c r="T89" i="1" s="1"/>
  <c r="R79" i="1"/>
  <c r="T79" i="1" s="1"/>
  <c r="R47" i="1"/>
  <c r="T47" i="1" s="1"/>
  <c r="R45" i="1"/>
  <c r="T45" i="1" s="1"/>
  <c r="R43" i="1"/>
  <c r="T43" i="1" s="1"/>
  <c r="R27" i="1"/>
  <c r="T27" i="1" s="1"/>
  <c r="R15" i="1"/>
  <c r="T15" i="1" s="1"/>
  <c r="R29" i="1"/>
  <c r="T29" i="1" s="1"/>
  <c r="R63" i="1"/>
  <c r="T63" i="1" s="1"/>
  <c r="R17" i="1"/>
  <c r="T17" i="1" s="1"/>
  <c r="R53" i="1"/>
  <c r="T53" i="1" s="1"/>
  <c r="R61" i="1"/>
  <c r="T61" i="1" s="1"/>
  <c r="R65" i="1"/>
  <c r="T65" i="1" s="1"/>
  <c r="R77" i="1"/>
  <c r="T77" i="1" s="1"/>
  <c r="R14" i="1"/>
  <c r="T14" i="1" s="1"/>
  <c r="R54" i="1"/>
  <c r="T54" i="1" s="1"/>
  <c r="R62" i="1"/>
  <c r="T62" i="1" s="1"/>
  <c r="R64" i="1"/>
  <c r="T64" i="1" s="1"/>
  <c r="R74" i="1"/>
  <c r="T74" i="1" s="1"/>
  <c r="Y86" i="1"/>
  <c r="Y78" i="1"/>
  <c r="Y70" i="1"/>
  <c r="Y62" i="1"/>
  <c r="Y54" i="1"/>
  <c r="Y46" i="1"/>
  <c r="Y38" i="1"/>
  <c r="Y30" i="1"/>
  <c r="Y22" i="1"/>
  <c r="Y14" i="1"/>
  <c r="Y82" i="1"/>
  <c r="Y74" i="1"/>
  <c r="Y66" i="1"/>
  <c r="Y58" i="1"/>
  <c r="Y50" i="1"/>
  <c r="Y42" i="1"/>
  <c r="Y34" i="1"/>
  <c r="Y26" i="1"/>
  <c r="Y18" i="1"/>
  <c r="Y10" i="1"/>
  <c r="Y90" i="1"/>
  <c r="Y84" i="1"/>
  <c r="Y80" i="1"/>
  <c r="Y76" i="1"/>
  <c r="Y72" i="1"/>
  <c r="Y68" i="1"/>
  <c r="Y64" i="1"/>
  <c r="Y60" i="1"/>
  <c r="Y56" i="1"/>
  <c r="Y52" i="1"/>
  <c r="Y48" i="1"/>
  <c r="Y44" i="1"/>
  <c r="Y40" i="1"/>
  <c r="Y36" i="1"/>
  <c r="Y32" i="1"/>
  <c r="Y28" i="1"/>
  <c r="Y24" i="1"/>
  <c r="Y20" i="1"/>
  <c r="Y16" i="1"/>
  <c r="Y12" i="1"/>
  <c r="Y8" i="1"/>
  <c r="Y88" i="1"/>
  <c r="Y91" i="1"/>
  <c r="Y89" i="1"/>
  <c r="Y87" i="1"/>
  <c r="Y85" i="1"/>
  <c r="Y83" i="1"/>
  <c r="Y81" i="1"/>
  <c r="Y79" i="1"/>
  <c r="Y77" i="1"/>
  <c r="Y75" i="1"/>
  <c r="Y73" i="1"/>
  <c r="Y71" i="1"/>
  <c r="Y69" i="1"/>
  <c r="Y67" i="1"/>
  <c r="Y65" i="1"/>
  <c r="Y63" i="1"/>
  <c r="Y61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Y7" i="1"/>
  <c r="L5" i="1"/>
  <c r="M5" i="1"/>
  <c r="Q6" i="1"/>
  <c r="X6" i="1" s="1"/>
  <c r="S5" i="1" l="1"/>
  <c r="X16" i="1"/>
  <c r="T20" i="1"/>
  <c r="T24" i="1"/>
  <c r="AI74" i="1"/>
  <c r="X74" i="1"/>
  <c r="AI62" i="1"/>
  <c r="X62" i="1"/>
  <c r="AI14" i="1"/>
  <c r="X14" i="1"/>
  <c r="AI65" i="1"/>
  <c r="X65" i="1"/>
  <c r="AI53" i="1"/>
  <c r="X53" i="1"/>
  <c r="AI63" i="1"/>
  <c r="X63" i="1"/>
  <c r="AI15" i="1"/>
  <c r="X15" i="1"/>
  <c r="AI43" i="1"/>
  <c r="X43" i="1"/>
  <c r="AI47" i="1"/>
  <c r="X47" i="1"/>
  <c r="AI89" i="1"/>
  <c r="X89" i="1"/>
  <c r="X64" i="1"/>
  <c r="AI64" i="1"/>
  <c r="AI54" i="1"/>
  <c r="X54" i="1"/>
  <c r="AI77" i="1"/>
  <c r="X77" i="1"/>
  <c r="AI61" i="1"/>
  <c r="X61" i="1"/>
  <c r="AI17" i="1"/>
  <c r="X17" i="1"/>
  <c r="AI29" i="1"/>
  <c r="X29" i="1"/>
  <c r="AI27" i="1"/>
  <c r="X27" i="1"/>
  <c r="AI45" i="1"/>
  <c r="X45" i="1"/>
  <c r="AI79" i="1"/>
  <c r="X79" i="1"/>
  <c r="R5" i="1"/>
  <c r="Q5" i="1"/>
  <c r="Y6" i="1"/>
  <c r="AI24" i="1" l="1"/>
  <c r="X24" i="1"/>
  <c r="T5" i="1"/>
  <c r="AI20" i="1"/>
  <c r="X20" i="1"/>
  <c r="AI5" i="1" l="1"/>
</calcChain>
</file>

<file path=xl/sharedStrings.xml><?xml version="1.0" encoding="utf-8"?>
<sst xmlns="http://schemas.openxmlformats.org/spreadsheetml/2006/main" count="351" uniqueCount="142">
  <si>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</si>
  <si>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</si>
  <si>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</si>
  <si>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</si>
  <si>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</si>
  <si>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</si>
  <si>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</si>
  <si>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</si>
  <si>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</si>
  <si>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</si>
  <si>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</si>
  <si>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</si>
  <si>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</si>
  <si>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</si>
  <si>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</si>
  <si>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</si>
  <si>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</si>
  <si>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</si>
  <si>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</si>
  <si>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</si>
  <si>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</si>
  <si>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</si>
  <si>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</si>
  <si>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</si>
  <si>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06,12,</t>
  </si>
  <si>
    <t>08,12,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</si>
  <si>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</si>
  <si>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</si>
  <si>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</si>
  <si>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</si>
  <si>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</si>
  <si>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</si>
  <si>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</si>
  <si>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</si>
  <si>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>11,11,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</si>
  <si>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</si>
  <si>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</si>
  <si>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</si>
  <si>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</si>
  <si>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</si>
  <si>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</si>
  <si>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</si>
  <si>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</si>
  <si>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</si>
  <si>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</si>
  <si>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</si>
  <si>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</si>
  <si>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</si>
  <si>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</si>
  <si>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</si>
  <si>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</si>
  <si>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</si>
  <si>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</si>
  <si>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</si>
  <si>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</si>
  <si>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</si>
  <si>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</si>
  <si>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</si>
  <si>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</si>
  <si>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</si>
  <si>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</si>
  <si>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</si>
  <si>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</si>
  <si>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</si>
  <si>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</si>
  <si>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</si>
  <si>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</si>
  <si>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</si>
  <si>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</si>
  <si>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</si>
  <si>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</si>
  <si>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</si>
  <si>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</si>
  <si>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</si>
  <si>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</si>
  <si>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</si>
  <si>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</si>
  <si>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</si>
  <si>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</si>
  <si>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</si>
  <si>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</si>
  <si>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</si>
  <si>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</si>
  <si>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</si>
  <si>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</si>
  <si>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</si>
  <si>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</si>
  <si>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</si>
  <si>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</si>
  <si>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</si>
  <si>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</si>
  <si>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</si>
  <si>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</si>
  <si>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</si>
  <si>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</si>
  <si>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</si>
  <si>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</si>
  <si>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</si>
  <si>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</si>
  <si>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</si>
  <si>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</si>
  <si>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</si>
  <si>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</si>
  <si>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</si>
  <si>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</si>
  <si>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</si>
  <si>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</si>
  <si>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</si>
  <si>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</si>
  <si>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</si>
  <si>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</si>
  <si>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</si>
  <si>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</si>
  <si>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</si>
  <si>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</si>
  <si>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</si>
  <si>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</si>
  <si>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</si>
  <si>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</si>
  <si>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</si>
  <si>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</si>
  <si>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</si>
  <si>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</si>
  <si>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</si>
  <si>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</si>
  <si>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</si>
  <si>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</si>
  <si>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</si>
  <si>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</si>
  <si>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</si>
  <si>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</si>
  <si>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</si>
  <si>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</si>
  <si>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нужно увеличить продажи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</si>
  <si>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</si>
  <si>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</si>
  <si>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</si>
  <si>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</si>
  <si>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</si>
  <si>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t>до машины</t>
  </si>
  <si>
    <t>заказ</t>
  </si>
  <si>
    <t>13,12,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</si>
</sst>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0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5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5" sqref="AH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13.7109375" customWidth="1"/>
    <col min="23" max="23" width="7" customWidth="1"/>
    <col min="24" max="25" width="5" customWidth="1"/>
    <col min="26" max="33" width="6" customWidth="1"/>
    <col min="34" max="34" width="25" customWidth="1"/>
    <col min="35" max="35" width="7" customWidth="1"/>
    <col min="36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9">
        <v>2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139</v>
      </c>
      <c r="T3" s="3" t="s">
        <v>140</v>
      </c>
      <c r="U3" s="7" t="s">
        <v>17</v>
      </c>
      <c r="V3" s="7" t="s">
        <v>18</v>
      </c>
      <c r="W3" s="10" t="s">
        <v>137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141</v>
      </c>
      <c r="U4" s="1"/>
      <c r="V4" s="1"/>
      <c r="W4" s="1"/>
      <c r="X4" s="1"/>
      <c r="Y4" s="1"/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SUM(E6:E500)</f>
        <v>9614.1949999999979</v>
      </c>
      <c r="F5" s="4">
        <f>SUM(F6:F500)</f>
        <v>8817.5859999999975</v>
      </c>
      <c r="G5" s="8"/>
      <c r="H5" s="1"/>
      <c r="I5" s="1"/>
      <c r="J5" s="1"/>
      <c r="K5" s="4">
        <f t="shared" ref="K5:W5" si="0">SUM(K6:K500)</f>
        <v>9789.8940000000002</v>
      </c>
      <c r="L5" s="4">
        <f t="shared" si="0"/>
        <v>-175.69899999999996</v>
      </c>
      <c r="M5" s="4">
        <f t="shared" si="0"/>
        <v>9493.279999999997</v>
      </c>
      <c r="N5" s="4">
        <f t="shared" si="0"/>
        <v>120.91499999999998</v>
      </c>
      <c r="O5" s="4">
        <f t="shared" si="0"/>
        <v>8376.0877599999967</v>
      </c>
      <c r="P5" s="4">
        <f t="shared" si="0"/>
        <v>4574.9616799999994</v>
      </c>
      <c r="Q5" s="4">
        <f t="shared" si="0"/>
        <v>1898.6560000000002</v>
      </c>
      <c r="R5" s="4">
        <f t="shared" si="0"/>
        <v>2520.5338000000006</v>
      </c>
      <c r="S5" s="4">
        <f t="shared" si="0"/>
        <v>1103.1831999999999</v>
      </c>
      <c r="T5" s="4">
        <f t="shared" si="0"/>
        <v>3623.717000000001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2035.7315999999998</v>
      </c>
      <c r="AA5" s="4">
        <f t="shared" si="1"/>
        <v>2084.4382000000001</v>
      </c>
      <c r="AB5" s="4">
        <f t="shared" si="1"/>
        <v>1914.4588000000008</v>
      </c>
      <c r="AC5" s="4">
        <f t="shared" si="1"/>
        <v>1896.8953999999999</v>
      </c>
      <c r="AD5" s="4">
        <f t="shared" si="1"/>
        <v>1945.3320000000003</v>
      </c>
      <c r="AE5" s="4">
        <f t="shared" si="1"/>
        <v>2136.6345999999999</v>
      </c>
      <c r="AF5" s="4">
        <f t="shared" si="1"/>
        <v>1903.8986000000002</v>
      </c>
      <c r="AG5" s="4">
        <f t="shared" si="1"/>
        <v>1805.4178000000002</v>
      </c>
      <c r="AH5" s="1"/>
      <c r="AI5" s="4">
        <f>SUM(AI6:AI500)</f>
        <v>3158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184.81399999999999</v>
      </c>
      <c r="D6" s="1"/>
      <c r="E6" s="1">
        <v>58.692</v>
      </c>
      <c r="F6" s="1">
        <v>126.122</v>
      </c>
      <c r="G6" s="8">
        <v>1</v>
      </c>
      <c r="H6" s="1">
        <v>50</v>
      </c>
      <c r="I6" s="1" t="s">
        <v>37</v>
      </c>
      <c r="J6" s="1"/>
      <c r="K6" s="1">
        <v>58.35</v>
      </c>
      <c r="L6" s="1">
        <f t="shared" ref="L6:L37" si="2">E6-K6</f>
        <v>0.34199999999999875</v>
      </c>
      <c r="M6" s="1">
        <f>E6-N6</f>
        <v>58.692</v>
      </c>
      <c r="N6" s="1"/>
      <c r="O6" s="1">
        <v>0</v>
      </c>
      <c r="P6" s="1">
        <v>6.0912000000000148</v>
      </c>
      <c r="Q6" s="1">
        <f>M6/5</f>
        <v>11.7384</v>
      </c>
      <c r="R6" s="5"/>
      <c r="S6" s="5"/>
      <c r="T6" s="5">
        <f>S6+R6</f>
        <v>0</v>
      </c>
      <c r="U6" s="5"/>
      <c r="V6" s="1"/>
      <c r="W6" s="1"/>
      <c r="X6" s="1">
        <f>(F6+O6+P6+T6)/Q6</f>
        <v>11.263306753901727</v>
      </c>
      <c r="Y6" s="1">
        <f>(F6+O6+P6)/Q6</f>
        <v>11.263306753901727</v>
      </c>
      <c r="Z6" s="1">
        <v>13.758599999999999</v>
      </c>
      <c r="AA6" s="1">
        <v>15.615399999999999</v>
      </c>
      <c r="AB6" s="1">
        <v>11.59</v>
      </c>
      <c r="AC6" s="1">
        <v>16.427199999999999</v>
      </c>
      <c r="AD6" s="1">
        <v>22.405799999999999</v>
      </c>
      <c r="AE6" s="1">
        <v>18.869399999999999</v>
      </c>
      <c r="AF6" s="1">
        <v>17.432200000000002</v>
      </c>
      <c r="AG6" s="1">
        <v>15.0502</v>
      </c>
      <c r="AH6" s="1"/>
      <c r="AI6" s="1">
        <f>ROUND(G6*T6,0)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135.38399999999999</v>
      </c>
      <c r="D7" s="1"/>
      <c r="E7" s="1">
        <v>127.041</v>
      </c>
      <c r="F7" s="1">
        <v>5.9870000000000001</v>
      </c>
      <c r="G7" s="8">
        <v>1</v>
      </c>
      <c r="H7" s="1">
        <v>45</v>
      </c>
      <c r="I7" s="1" t="s">
        <v>37</v>
      </c>
      <c r="J7" s="1"/>
      <c r="K7" s="1">
        <v>120.95</v>
      </c>
      <c r="L7" s="1">
        <f t="shared" si="2"/>
        <v>6.090999999999994</v>
      </c>
      <c r="M7" s="1">
        <f t="shared" ref="M7:M70" si="3">E7-N7</f>
        <v>127.041</v>
      </c>
      <c r="N7" s="1"/>
      <c r="O7" s="1">
        <v>182.47800000000001</v>
      </c>
      <c r="P7" s="1">
        <v>170.44540000000001</v>
      </c>
      <c r="Q7" s="1">
        <f t="shared" ref="Q7:Q70" si="4">M7/5</f>
        <v>25.408200000000001</v>
      </c>
      <c r="R7" s="5"/>
      <c r="S7" s="5"/>
      <c r="T7" s="5">
        <f t="shared" ref="T7:T70" si="5">S7+R7</f>
        <v>0</v>
      </c>
      <c r="U7" s="5"/>
      <c r="V7" s="1"/>
      <c r="W7" s="1"/>
      <c r="X7" s="1">
        <f t="shared" ref="X7:X70" si="6">(F7+O7+P7+T7)/Q7</f>
        <v>14.125770420572884</v>
      </c>
      <c r="Y7" s="1">
        <f t="shared" ref="Y7:Y70" si="7">(F7+O7+P7)/Q7</f>
        <v>14.125770420572884</v>
      </c>
      <c r="Z7" s="1">
        <v>34.780200000000001</v>
      </c>
      <c r="AA7" s="1">
        <v>31.786200000000001</v>
      </c>
      <c r="AB7" s="1">
        <v>18.124600000000001</v>
      </c>
      <c r="AC7" s="1">
        <v>15.088200000000001</v>
      </c>
      <c r="AD7" s="1">
        <v>26.0062</v>
      </c>
      <c r="AE7" s="1">
        <v>30.057600000000001</v>
      </c>
      <c r="AF7" s="1">
        <v>21.827999999999999</v>
      </c>
      <c r="AG7" s="1">
        <v>22.3264</v>
      </c>
      <c r="AH7" s="1" t="s">
        <v>39</v>
      </c>
      <c r="AI7" s="1">
        <f t="shared" ref="AI7:AI70" si="8">ROUND(G7*T7,0)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>
        <v>142.83799999999999</v>
      </c>
      <c r="D8" s="1">
        <v>32.25</v>
      </c>
      <c r="E8" s="1">
        <v>105.98399999999999</v>
      </c>
      <c r="F8" s="1">
        <v>62.776000000000003</v>
      </c>
      <c r="G8" s="8">
        <v>1</v>
      </c>
      <c r="H8" s="1">
        <v>45</v>
      </c>
      <c r="I8" s="1" t="s">
        <v>37</v>
      </c>
      <c r="J8" s="1"/>
      <c r="K8" s="1">
        <v>105.655</v>
      </c>
      <c r="L8" s="1">
        <f t="shared" si="2"/>
        <v>0.32899999999999352</v>
      </c>
      <c r="M8" s="1">
        <f t="shared" si="3"/>
        <v>105.98399999999999</v>
      </c>
      <c r="N8" s="1"/>
      <c r="O8" s="1">
        <v>60.621799999999979</v>
      </c>
      <c r="P8" s="1">
        <v>67.856200000000015</v>
      </c>
      <c r="Q8" s="1">
        <f t="shared" si="4"/>
        <v>21.1968</v>
      </c>
      <c r="R8" s="5">
        <f t="shared" ref="R8" si="9">11*Q8-P8-O8-F8</f>
        <v>41.910799999999973</v>
      </c>
      <c r="S8" s="5"/>
      <c r="T8" s="5">
        <f t="shared" si="5"/>
        <v>41.910799999999973</v>
      </c>
      <c r="U8" s="5"/>
      <c r="V8" s="1"/>
      <c r="W8" s="1"/>
      <c r="X8" s="1">
        <f t="shared" si="6"/>
        <v>11</v>
      </c>
      <c r="Y8" s="1">
        <f t="shared" si="7"/>
        <v>9.0227770229468618</v>
      </c>
      <c r="Z8" s="1">
        <v>20.295999999999999</v>
      </c>
      <c r="AA8" s="1">
        <v>20.936800000000002</v>
      </c>
      <c r="AB8" s="1">
        <v>17.07</v>
      </c>
      <c r="AC8" s="1">
        <v>15.868600000000001</v>
      </c>
      <c r="AD8" s="1">
        <v>23.098400000000002</v>
      </c>
      <c r="AE8" s="1">
        <v>21.492000000000001</v>
      </c>
      <c r="AF8" s="1">
        <v>20.203600000000002</v>
      </c>
      <c r="AG8" s="1">
        <v>20.889199999999999</v>
      </c>
      <c r="AH8" s="1"/>
      <c r="AI8" s="1">
        <f t="shared" si="8"/>
        <v>42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41</v>
      </c>
      <c r="B9" s="1" t="s">
        <v>42</v>
      </c>
      <c r="C9" s="1">
        <v>44</v>
      </c>
      <c r="D9" s="1">
        <v>294</v>
      </c>
      <c r="E9" s="1">
        <v>129</v>
      </c>
      <c r="F9" s="1">
        <v>221</v>
      </c>
      <c r="G9" s="8">
        <v>0.45</v>
      </c>
      <c r="H9" s="1">
        <v>45</v>
      </c>
      <c r="I9" s="1" t="s">
        <v>37</v>
      </c>
      <c r="J9" s="1"/>
      <c r="K9" s="1">
        <v>125</v>
      </c>
      <c r="L9" s="1">
        <f t="shared" si="2"/>
        <v>4</v>
      </c>
      <c r="M9" s="1">
        <f t="shared" si="3"/>
        <v>129</v>
      </c>
      <c r="N9" s="1"/>
      <c r="O9" s="1">
        <v>426.15999999999991</v>
      </c>
      <c r="P9" s="1">
        <v>0</v>
      </c>
      <c r="Q9" s="1">
        <f t="shared" si="4"/>
        <v>25.8</v>
      </c>
      <c r="R9" s="5"/>
      <c r="S9" s="5"/>
      <c r="T9" s="5">
        <f t="shared" si="5"/>
        <v>0</v>
      </c>
      <c r="U9" s="5"/>
      <c r="V9" s="1"/>
      <c r="W9" s="1"/>
      <c r="X9" s="1">
        <f t="shared" si="6"/>
        <v>25.083720930232552</v>
      </c>
      <c r="Y9" s="1">
        <f t="shared" si="7"/>
        <v>25.083720930232552</v>
      </c>
      <c r="Z9" s="1">
        <v>53.2</v>
      </c>
      <c r="AA9" s="1">
        <v>53.6</v>
      </c>
      <c r="AB9" s="1">
        <v>41.2</v>
      </c>
      <c r="AC9" s="1">
        <v>39.200000000000003</v>
      </c>
      <c r="AD9" s="1">
        <v>29.2</v>
      </c>
      <c r="AE9" s="1">
        <v>43.2</v>
      </c>
      <c r="AF9" s="1">
        <v>37.799999999999997</v>
      </c>
      <c r="AG9" s="1">
        <v>30.4</v>
      </c>
      <c r="AH9" s="1" t="s">
        <v>39</v>
      </c>
      <c r="AI9" s="1">
        <f t="shared" si="8"/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43</v>
      </c>
      <c r="B10" s="1" t="s">
        <v>42</v>
      </c>
      <c r="C10" s="1">
        <v>33</v>
      </c>
      <c r="D10" s="1">
        <v>366</v>
      </c>
      <c r="E10" s="1">
        <v>191</v>
      </c>
      <c r="F10" s="1">
        <v>205</v>
      </c>
      <c r="G10" s="8">
        <v>0.45</v>
      </c>
      <c r="H10" s="1">
        <v>45</v>
      </c>
      <c r="I10" s="1" t="s">
        <v>37</v>
      </c>
      <c r="J10" s="1"/>
      <c r="K10" s="1">
        <v>192</v>
      </c>
      <c r="L10" s="1">
        <f t="shared" si="2"/>
        <v>-1</v>
      </c>
      <c r="M10" s="1">
        <f t="shared" si="3"/>
        <v>191</v>
      </c>
      <c r="N10" s="1"/>
      <c r="O10" s="1">
        <v>336.98</v>
      </c>
      <c r="P10" s="1">
        <v>0</v>
      </c>
      <c r="Q10" s="1">
        <f t="shared" si="4"/>
        <v>38.200000000000003</v>
      </c>
      <c r="R10" s="5"/>
      <c r="S10" s="5"/>
      <c r="T10" s="5">
        <f t="shared" si="5"/>
        <v>0</v>
      </c>
      <c r="U10" s="5"/>
      <c r="V10" s="1"/>
      <c r="W10" s="1"/>
      <c r="X10" s="1">
        <f t="shared" si="6"/>
        <v>14.187958115183246</v>
      </c>
      <c r="Y10" s="1">
        <f t="shared" si="7"/>
        <v>14.187958115183246</v>
      </c>
      <c r="Z10" s="1">
        <v>49.6</v>
      </c>
      <c r="AA10" s="1">
        <v>51.8</v>
      </c>
      <c r="AB10" s="1">
        <v>44.8</v>
      </c>
      <c r="AC10" s="1">
        <v>43.6</v>
      </c>
      <c r="AD10" s="1">
        <v>30.8</v>
      </c>
      <c r="AE10" s="1">
        <v>41.6</v>
      </c>
      <c r="AF10" s="1">
        <v>34.200000000000003</v>
      </c>
      <c r="AG10" s="1">
        <v>26.2</v>
      </c>
      <c r="AH10" s="1"/>
      <c r="AI10" s="1">
        <f t="shared" si="8"/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2" t="s">
        <v>44</v>
      </c>
      <c r="B11" s="12" t="s">
        <v>42</v>
      </c>
      <c r="C11" s="12"/>
      <c r="D11" s="12"/>
      <c r="E11" s="12"/>
      <c r="F11" s="12"/>
      <c r="G11" s="13">
        <v>0</v>
      </c>
      <c r="H11" s="12">
        <v>180</v>
      </c>
      <c r="I11" s="12" t="s">
        <v>37</v>
      </c>
      <c r="J11" s="12"/>
      <c r="K11" s="12"/>
      <c r="L11" s="12">
        <f t="shared" si="2"/>
        <v>0</v>
      </c>
      <c r="M11" s="12">
        <f t="shared" si="3"/>
        <v>0</v>
      </c>
      <c r="N11" s="12"/>
      <c r="O11" s="12">
        <v>0</v>
      </c>
      <c r="P11" s="12">
        <v>0</v>
      </c>
      <c r="Q11" s="12">
        <f t="shared" si="4"/>
        <v>0</v>
      </c>
      <c r="R11" s="14"/>
      <c r="S11" s="14"/>
      <c r="T11" s="5">
        <f t="shared" si="5"/>
        <v>0</v>
      </c>
      <c r="U11" s="14"/>
      <c r="V11" s="12"/>
      <c r="W11" s="12"/>
      <c r="X11" s="1" t="e">
        <f t="shared" si="6"/>
        <v>#DIV/0!</v>
      </c>
      <c r="Y11" s="12" t="e">
        <f t="shared" si="7"/>
        <v>#DIV/0!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 t="s">
        <v>45</v>
      </c>
      <c r="AI11" s="1">
        <f t="shared" si="8"/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42</v>
      </c>
      <c r="C12" s="1">
        <v>3</v>
      </c>
      <c r="D12" s="1">
        <v>48</v>
      </c>
      <c r="E12" s="1">
        <v>7</v>
      </c>
      <c r="F12" s="1">
        <v>40</v>
      </c>
      <c r="G12" s="8">
        <v>0.3</v>
      </c>
      <c r="H12" s="1">
        <v>40</v>
      </c>
      <c r="I12" s="1" t="s">
        <v>37</v>
      </c>
      <c r="J12" s="1"/>
      <c r="K12" s="1">
        <v>15</v>
      </c>
      <c r="L12" s="1">
        <f t="shared" si="2"/>
        <v>-8</v>
      </c>
      <c r="M12" s="1">
        <f t="shared" si="3"/>
        <v>7</v>
      </c>
      <c r="N12" s="1"/>
      <c r="O12" s="1">
        <v>30.599999999999991</v>
      </c>
      <c r="P12" s="1">
        <v>0</v>
      </c>
      <c r="Q12" s="1">
        <f t="shared" si="4"/>
        <v>1.4</v>
      </c>
      <c r="R12" s="5"/>
      <c r="S12" s="5"/>
      <c r="T12" s="5">
        <f t="shared" si="5"/>
        <v>0</v>
      </c>
      <c r="U12" s="5"/>
      <c r="V12" s="1"/>
      <c r="W12" s="1"/>
      <c r="X12" s="1">
        <f t="shared" si="6"/>
        <v>50.428571428571431</v>
      </c>
      <c r="Y12" s="1">
        <f t="shared" si="7"/>
        <v>50.428571428571431</v>
      </c>
      <c r="Z12" s="1">
        <v>2.2000000000000002</v>
      </c>
      <c r="AA12" s="1">
        <v>6.6</v>
      </c>
      <c r="AB12" s="1">
        <v>5.4</v>
      </c>
      <c r="AC12" s="1">
        <v>3.6</v>
      </c>
      <c r="AD12" s="1">
        <v>3.6</v>
      </c>
      <c r="AE12" s="1">
        <v>4.2</v>
      </c>
      <c r="AF12" s="1">
        <v>4.8</v>
      </c>
      <c r="AG12" s="1">
        <v>4</v>
      </c>
      <c r="AH12" s="1"/>
      <c r="AI12" s="1">
        <f t="shared" si="8"/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42</v>
      </c>
      <c r="C13" s="1">
        <v>82</v>
      </c>
      <c r="D13" s="1"/>
      <c r="E13" s="1">
        <v>31</v>
      </c>
      <c r="F13" s="1">
        <v>51</v>
      </c>
      <c r="G13" s="8">
        <v>0.17</v>
      </c>
      <c r="H13" s="1">
        <v>180</v>
      </c>
      <c r="I13" s="1" t="s">
        <v>37</v>
      </c>
      <c r="J13" s="1"/>
      <c r="K13" s="1">
        <v>31</v>
      </c>
      <c r="L13" s="1">
        <f t="shared" si="2"/>
        <v>0</v>
      </c>
      <c r="M13" s="1">
        <f t="shared" si="3"/>
        <v>31</v>
      </c>
      <c r="N13" s="1"/>
      <c r="O13" s="1">
        <v>0</v>
      </c>
      <c r="P13" s="1">
        <v>38.800000000000011</v>
      </c>
      <c r="Q13" s="1">
        <f t="shared" si="4"/>
        <v>6.2</v>
      </c>
      <c r="R13" s="5"/>
      <c r="S13" s="5"/>
      <c r="T13" s="5">
        <f t="shared" si="5"/>
        <v>0</v>
      </c>
      <c r="U13" s="5"/>
      <c r="V13" s="1"/>
      <c r="W13" s="1"/>
      <c r="X13" s="1">
        <f t="shared" si="6"/>
        <v>14.483870967741938</v>
      </c>
      <c r="Y13" s="1">
        <f t="shared" si="7"/>
        <v>14.483870967741938</v>
      </c>
      <c r="Z13" s="1">
        <v>8.4</v>
      </c>
      <c r="AA13" s="1">
        <v>6.4</v>
      </c>
      <c r="AB13" s="1">
        <v>3.8</v>
      </c>
      <c r="AC13" s="1">
        <v>4.2</v>
      </c>
      <c r="AD13" s="1">
        <v>9.8000000000000007</v>
      </c>
      <c r="AE13" s="1">
        <v>9.1999999999999993</v>
      </c>
      <c r="AF13" s="1">
        <v>5.6</v>
      </c>
      <c r="AG13" s="1">
        <v>5</v>
      </c>
      <c r="AH13" s="1"/>
      <c r="AI13" s="1">
        <f t="shared" si="8"/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36</v>
      </c>
      <c r="C14" s="1">
        <v>48.933999999999997</v>
      </c>
      <c r="D14" s="1">
        <v>221.12899999999999</v>
      </c>
      <c r="E14" s="1">
        <v>173.93299999999999</v>
      </c>
      <c r="F14" s="1">
        <v>101.408</v>
      </c>
      <c r="G14" s="8">
        <v>1</v>
      </c>
      <c r="H14" s="1">
        <v>55</v>
      </c>
      <c r="I14" s="1" t="s">
        <v>37</v>
      </c>
      <c r="J14" s="1"/>
      <c r="K14" s="1">
        <v>163.6</v>
      </c>
      <c r="L14" s="1">
        <f t="shared" si="2"/>
        <v>10.332999999999998</v>
      </c>
      <c r="M14" s="1">
        <f t="shared" si="3"/>
        <v>173.93299999999999</v>
      </c>
      <c r="N14" s="1"/>
      <c r="O14" s="1">
        <v>65.666400000000067</v>
      </c>
      <c r="P14" s="1">
        <v>187.19909999999999</v>
      </c>
      <c r="Q14" s="1">
        <f t="shared" si="4"/>
        <v>34.7866</v>
      </c>
      <c r="R14" s="5">
        <f t="shared" ref="R14:R17" si="10">11*Q14-P14-O14-F14</f>
        <v>28.379099999999951</v>
      </c>
      <c r="S14" s="5">
        <f>$S$1*Q14</f>
        <v>69.5732</v>
      </c>
      <c r="T14" s="5">
        <f t="shared" si="5"/>
        <v>97.952299999999951</v>
      </c>
      <c r="U14" s="5"/>
      <c r="V14" s="1"/>
      <c r="W14" s="1"/>
      <c r="X14" s="1">
        <f t="shared" si="6"/>
        <v>13.000000000000002</v>
      </c>
      <c r="Y14" s="1">
        <f t="shared" si="7"/>
        <v>10.184194488682426</v>
      </c>
      <c r="Z14" s="1">
        <v>32.297800000000002</v>
      </c>
      <c r="AA14" s="1">
        <v>29.584599999999998</v>
      </c>
      <c r="AB14" s="1">
        <v>31.9054</v>
      </c>
      <c r="AC14" s="1">
        <v>31.13</v>
      </c>
      <c r="AD14" s="1">
        <v>30.973600000000001</v>
      </c>
      <c r="AE14" s="1">
        <v>32.347200000000001</v>
      </c>
      <c r="AF14" s="1">
        <v>26.408200000000001</v>
      </c>
      <c r="AG14" s="1">
        <v>28.3474</v>
      </c>
      <c r="AH14" s="1" t="s">
        <v>49</v>
      </c>
      <c r="AI14" s="1">
        <f t="shared" si="8"/>
        <v>98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50</v>
      </c>
      <c r="B15" s="1" t="s">
        <v>36</v>
      </c>
      <c r="C15" s="1">
        <v>711.46</v>
      </c>
      <c r="D15" s="1">
        <v>539.07500000000005</v>
      </c>
      <c r="E15" s="1">
        <v>667.49</v>
      </c>
      <c r="F15" s="1">
        <v>553.12900000000002</v>
      </c>
      <c r="G15" s="8">
        <v>1</v>
      </c>
      <c r="H15" s="1">
        <v>50</v>
      </c>
      <c r="I15" s="1" t="s">
        <v>37</v>
      </c>
      <c r="J15" s="1"/>
      <c r="K15" s="1">
        <v>667.5</v>
      </c>
      <c r="L15" s="1">
        <f t="shared" si="2"/>
        <v>-9.9999999999909051E-3</v>
      </c>
      <c r="M15" s="1">
        <f t="shared" si="3"/>
        <v>637.21500000000003</v>
      </c>
      <c r="N15" s="1">
        <v>30.274999999999999</v>
      </c>
      <c r="O15" s="1">
        <v>411.50401999999991</v>
      </c>
      <c r="P15" s="1">
        <v>289.072</v>
      </c>
      <c r="Q15" s="1">
        <f t="shared" si="4"/>
        <v>127.44300000000001</v>
      </c>
      <c r="R15" s="5">
        <f t="shared" si="10"/>
        <v>148.16798000000006</v>
      </c>
      <c r="S15" s="5">
        <f t="shared" ref="S15:S17" si="11">$S$1*Q15</f>
        <v>254.88600000000002</v>
      </c>
      <c r="T15" s="5">
        <f t="shared" si="5"/>
        <v>403.05398000000008</v>
      </c>
      <c r="U15" s="5"/>
      <c r="V15" s="1"/>
      <c r="W15" s="1"/>
      <c r="X15" s="1">
        <f t="shared" si="6"/>
        <v>12.999999999999998</v>
      </c>
      <c r="Y15" s="1">
        <f t="shared" si="7"/>
        <v>9.8373784358497502</v>
      </c>
      <c r="Z15" s="1">
        <v>115.6288</v>
      </c>
      <c r="AA15" s="1">
        <v>114.50620000000001</v>
      </c>
      <c r="AB15" s="1">
        <v>113.3258</v>
      </c>
      <c r="AC15" s="1">
        <v>113.04300000000001</v>
      </c>
      <c r="AD15" s="1">
        <v>135.5318</v>
      </c>
      <c r="AE15" s="1">
        <v>137.45599999999999</v>
      </c>
      <c r="AF15" s="1">
        <v>134.53919999999999</v>
      </c>
      <c r="AG15" s="1">
        <v>141.08619999999999</v>
      </c>
      <c r="AH15" s="1" t="s">
        <v>51</v>
      </c>
      <c r="AI15" s="1">
        <f t="shared" si="8"/>
        <v>403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52</v>
      </c>
      <c r="B16" s="1" t="s">
        <v>36</v>
      </c>
      <c r="C16" s="1">
        <v>120.723</v>
      </c>
      <c r="D16" s="1"/>
      <c r="E16" s="1">
        <v>121.633</v>
      </c>
      <c r="F16" s="1">
        <v>-0.91</v>
      </c>
      <c r="G16" s="8">
        <v>1</v>
      </c>
      <c r="H16" s="1">
        <v>60</v>
      </c>
      <c r="I16" s="1" t="s">
        <v>37</v>
      </c>
      <c r="J16" s="1"/>
      <c r="K16" s="1">
        <v>122.02</v>
      </c>
      <c r="L16" s="1">
        <f t="shared" si="2"/>
        <v>-0.38700000000000045</v>
      </c>
      <c r="M16" s="1">
        <f t="shared" si="3"/>
        <v>121.633</v>
      </c>
      <c r="N16" s="1"/>
      <c r="O16" s="1">
        <v>163.77440000000001</v>
      </c>
      <c r="P16" s="1">
        <v>105.2766</v>
      </c>
      <c r="Q16" s="1">
        <f t="shared" si="4"/>
        <v>24.326599999999999</v>
      </c>
      <c r="R16" s="5"/>
      <c r="S16" s="5">
        <f t="shared" si="11"/>
        <v>48.653199999999998</v>
      </c>
      <c r="T16" s="5">
        <f t="shared" si="5"/>
        <v>48.653199999999998</v>
      </c>
      <c r="U16" s="5"/>
      <c r="V16" s="1"/>
      <c r="W16" s="1"/>
      <c r="X16" s="1">
        <f t="shared" si="6"/>
        <v>13.022543224289464</v>
      </c>
      <c r="Y16" s="1">
        <f t="shared" si="7"/>
        <v>11.022543224289462</v>
      </c>
      <c r="Z16" s="1">
        <v>28.21</v>
      </c>
      <c r="AA16" s="1">
        <v>25.863399999999999</v>
      </c>
      <c r="AB16" s="1">
        <v>14.7568</v>
      </c>
      <c r="AC16" s="1">
        <v>13.9038</v>
      </c>
      <c r="AD16" s="1">
        <v>24.167400000000001</v>
      </c>
      <c r="AE16" s="1">
        <v>27.85</v>
      </c>
      <c r="AF16" s="1">
        <v>16.5398</v>
      </c>
      <c r="AG16" s="1">
        <v>14.776</v>
      </c>
      <c r="AH16" s="1"/>
      <c r="AI16" s="1">
        <f t="shared" si="8"/>
        <v>49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53</v>
      </c>
      <c r="B17" s="1" t="s">
        <v>36</v>
      </c>
      <c r="C17" s="1">
        <v>363.32299999999998</v>
      </c>
      <c r="D17" s="1">
        <v>622.57299999999998</v>
      </c>
      <c r="E17" s="1">
        <v>606.947</v>
      </c>
      <c r="F17" s="1">
        <v>342.24400000000003</v>
      </c>
      <c r="G17" s="8">
        <v>1</v>
      </c>
      <c r="H17" s="1">
        <v>60</v>
      </c>
      <c r="I17" s="1" t="s">
        <v>37</v>
      </c>
      <c r="J17" s="1"/>
      <c r="K17" s="1">
        <v>612.495</v>
      </c>
      <c r="L17" s="1">
        <f t="shared" si="2"/>
        <v>-5.5480000000000018</v>
      </c>
      <c r="M17" s="1">
        <f t="shared" si="3"/>
        <v>577.05899999999997</v>
      </c>
      <c r="N17" s="1">
        <v>29.888000000000002</v>
      </c>
      <c r="O17" s="1">
        <v>442.30142000000029</v>
      </c>
      <c r="P17" s="1">
        <v>226.589</v>
      </c>
      <c r="Q17" s="1">
        <f t="shared" si="4"/>
        <v>115.4118</v>
      </c>
      <c r="R17" s="5">
        <f t="shared" si="10"/>
        <v>258.39537999999982</v>
      </c>
      <c r="S17" s="5">
        <f t="shared" si="11"/>
        <v>230.8236</v>
      </c>
      <c r="T17" s="5">
        <f t="shared" si="5"/>
        <v>489.21897999999982</v>
      </c>
      <c r="U17" s="5"/>
      <c r="V17" s="1"/>
      <c r="W17" s="1"/>
      <c r="X17" s="1">
        <f t="shared" si="6"/>
        <v>13.000000000000002</v>
      </c>
      <c r="Y17" s="1">
        <f t="shared" si="7"/>
        <v>8.7611008579711989</v>
      </c>
      <c r="Z17" s="1">
        <v>90.635599999999997</v>
      </c>
      <c r="AA17" s="1">
        <v>98.152200000000008</v>
      </c>
      <c r="AB17" s="1">
        <v>92.115200000000002</v>
      </c>
      <c r="AC17" s="1">
        <v>68.263800000000003</v>
      </c>
      <c r="AD17" s="1">
        <v>77.330200000000005</v>
      </c>
      <c r="AE17" s="1">
        <v>97.294399999999996</v>
      </c>
      <c r="AF17" s="1">
        <v>87.770399999999995</v>
      </c>
      <c r="AG17" s="1">
        <v>79.153999999999996</v>
      </c>
      <c r="AH17" s="1"/>
      <c r="AI17" s="1">
        <f t="shared" si="8"/>
        <v>489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2" t="s">
        <v>54</v>
      </c>
      <c r="B18" s="12" t="s">
        <v>36</v>
      </c>
      <c r="C18" s="12"/>
      <c r="D18" s="12"/>
      <c r="E18" s="12"/>
      <c r="F18" s="12"/>
      <c r="G18" s="13">
        <v>0</v>
      </c>
      <c r="H18" s="12">
        <v>60</v>
      </c>
      <c r="I18" s="12" t="s">
        <v>37</v>
      </c>
      <c r="J18" s="12"/>
      <c r="K18" s="12"/>
      <c r="L18" s="12">
        <f t="shared" si="2"/>
        <v>0</v>
      </c>
      <c r="M18" s="12">
        <f t="shared" si="3"/>
        <v>0</v>
      </c>
      <c r="N18" s="12"/>
      <c r="O18" s="12">
        <v>0</v>
      </c>
      <c r="P18" s="12">
        <v>0</v>
      </c>
      <c r="Q18" s="12">
        <f t="shared" si="4"/>
        <v>0</v>
      </c>
      <c r="R18" s="14"/>
      <c r="S18" s="14"/>
      <c r="T18" s="5">
        <f t="shared" si="5"/>
        <v>0</v>
      </c>
      <c r="U18" s="14"/>
      <c r="V18" s="12"/>
      <c r="W18" s="12"/>
      <c r="X18" s="1" t="e">
        <f t="shared" si="6"/>
        <v>#DIV/0!</v>
      </c>
      <c r="Y18" s="12" t="e">
        <f t="shared" si="7"/>
        <v>#DIV/0!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 t="s">
        <v>45</v>
      </c>
      <c r="AI18" s="1">
        <f t="shared" si="8"/>
        <v>0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36</v>
      </c>
      <c r="C19" s="1">
        <v>1.8220000000000001</v>
      </c>
      <c r="D19" s="1">
        <v>0.39400000000000002</v>
      </c>
      <c r="E19" s="1">
        <v>2.3740000000000001</v>
      </c>
      <c r="F19" s="1">
        <v>-0.158</v>
      </c>
      <c r="G19" s="8">
        <v>1</v>
      </c>
      <c r="H19" s="1">
        <v>180</v>
      </c>
      <c r="I19" s="1" t="s">
        <v>37</v>
      </c>
      <c r="J19" s="1"/>
      <c r="K19" s="1">
        <v>3.85</v>
      </c>
      <c r="L19" s="1">
        <f t="shared" si="2"/>
        <v>-1.476</v>
      </c>
      <c r="M19" s="1">
        <f t="shared" si="3"/>
        <v>2.3740000000000001</v>
      </c>
      <c r="N19" s="1"/>
      <c r="O19" s="1">
        <v>4</v>
      </c>
      <c r="P19" s="1">
        <v>12.1656</v>
      </c>
      <c r="Q19" s="1">
        <f t="shared" si="4"/>
        <v>0.4748</v>
      </c>
      <c r="R19" s="5"/>
      <c r="S19" s="5"/>
      <c r="T19" s="5">
        <f t="shared" si="5"/>
        <v>0</v>
      </c>
      <c r="U19" s="5"/>
      <c r="V19" s="1"/>
      <c r="W19" s="1"/>
      <c r="X19" s="1">
        <f t="shared" si="6"/>
        <v>33.714406065711877</v>
      </c>
      <c r="Y19" s="1">
        <f t="shared" si="7"/>
        <v>33.714406065711877</v>
      </c>
      <c r="Z19" s="1">
        <v>1.3338000000000001</v>
      </c>
      <c r="AA19" s="1">
        <v>1.1761999999999999</v>
      </c>
      <c r="AB19" s="1">
        <v>1.1919999999999999</v>
      </c>
      <c r="AC19" s="1">
        <v>1.4008</v>
      </c>
      <c r="AD19" s="1">
        <v>0.92360000000000009</v>
      </c>
      <c r="AE19" s="1">
        <v>0.71639999999999993</v>
      </c>
      <c r="AF19" s="1">
        <v>0.318</v>
      </c>
      <c r="AG19" s="1">
        <v>0.37840000000000001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56</v>
      </c>
      <c r="B20" s="1" t="s">
        <v>36</v>
      </c>
      <c r="C20" s="1">
        <v>255.15799999999999</v>
      </c>
      <c r="D20" s="1">
        <v>295.07</v>
      </c>
      <c r="E20" s="1">
        <v>294.78800000000001</v>
      </c>
      <c r="F20" s="1">
        <v>250.18</v>
      </c>
      <c r="G20" s="8">
        <v>1</v>
      </c>
      <c r="H20" s="1">
        <v>60</v>
      </c>
      <c r="I20" s="1" t="s">
        <v>37</v>
      </c>
      <c r="J20" s="1"/>
      <c r="K20" s="1">
        <v>278.07</v>
      </c>
      <c r="L20" s="1">
        <f t="shared" si="2"/>
        <v>16.718000000000018</v>
      </c>
      <c r="M20" s="1">
        <f t="shared" si="3"/>
        <v>294.78800000000001</v>
      </c>
      <c r="N20" s="1"/>
      <c r="O20" s="1">
        <v>151.81134</v>
      </c>
      <c r="P20" s="1">
        <v>221.1656199999999</v>
      </c>
      <c r="Q20" s="1">
        <f t="shared" si="4"/>
        <v>58.957599999999999</v>
      </c>
      <c r="R20" s="5">
        <f t="shared" ref="R20:R27" si="12">11*Q20-P20-O20-F20</f>
        <v>25.376640000000123</v>
      </c>
      <c r="S20" s="5">
        <f>$S$1*Q20</f>
        <v>117.9152</v>
      </c>
      <c r="T20" s="5">
        <f t="shared" si="5"/>
        <v>143.29184000000012</v>
      </c>
      <c r="U20" s="5"/>
      <c r="V20" s="1"/>
      <c r="W20" s="1"/>
      <c r="X20" s="1">
        <f t="shared" si="6"/>
        <v>13</v>
      </c>
      <c r="Y20" s="1">
        <f t="shared" si="7"/>
        <v>10.569578137508989</v>
      </c>
      <c r="Z20" s="1">
        <v>54.895400000000002</v>
      </c>
      <c r="AA20" s="1">
        <v>48.971400000000003</v>
      </c>
      <c r="AB20" s="1">
        <v>51.834600000000002</v>
      </c>
      <c r="AC20" s="1">
        <v>52.747599999999998</v>
      </c>
      <c r="AD20" s="1">
        <v>55.054400000000001</v>
      </c>
      <c r="AE20" s="1">
        <v>55.499000000000002</v>
      </c>
      <c r="AF20" s="1">
        <v>47.890799999999999</v>
      </c>
      <c r="AG20" s="1">
        <v>47.2258</v>
      </c>
      <c r="AH20" s="1" t="s">
        <v>51</v>
      </c>
      <c r="AI20" s="1">
        <f t="shared" si="8"/>
        <v>143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57</v>
      </c>
      <c r="B21" s="1" t="s">
        <v>36</v>
      </c>
      <c r="C21" s="1">
        <v>16.806999999999999</v>
      </c>
      <c r="D21" s="1">
        <v>237.26</v>
      </c>
      <c r="E21" s="1">
        <v>76.590999999999994</v>
      </c>
      <c r="F21" s="1">
        <v>174.84</v>
      </c>
      <c r="G21" s="8">
        <v>1</v>
      </c>
      <c r="H21" s="1">
        <v>60</v>
      </c>
      <c r="I21" s="1" t="s">
        <v>37</v>
      </c>
      <c r="J21" s="1"/>
      <c r="K21" s="1">
        <v>75.92</v>
      </c>
      <c r="L21" s="1">
        <f t="shared" si="2"/>
        <v>0.67099999999999227</v>
      </c>
      <c r="M21" s="1">
        <f t="shared" si="3"/>
        <v>76.590999999999994</v>
      </c>
      <c r="N21" s="1"/>
      <c r="O21" s="1">
        <v>0</v>
      </c>
      <c r="P21" s="1">
        <v>0</v>
      </c>
      <c r="Q21" s="1">
        <f t="shared" si="4"/>
        <v>15.318199999999999</v>
      </c>
      <c r="R21" s="5"/>
      <c r="S21" s="5"/>
      <c r="T21" s="5">
        <f t="shared" si="5"/>
        <v>0</v>
      </c>
      <c r="U21" s="5"/>
      <c r="V21" s="1"/>
      <c r="W21" s="1"/>
      <c r="X21" s="1">
        <f t="shared" si="6"/>
        <v>11.413873692731523</v>
      </c>
      <c r="Y21" s="1">
        <f t="shared" si="7"/>
        <v>11.413873692731523</v>
      </c>
      <c r="Z21" s="1">
        <v>10.877000000000001</v>
      </c>
      <c r="AA21" s="1">
        <v>11.7576</v>
      </c>
      <c r="AB21" s="1">
        <v>18.473600000000001</v>
      </c>
      <c r="AC21" s="1">
        <v>16.8368</v>
      </c>
      <c r="AD21" s="1">
        <v>6.8116000000000003</v>
      </c>
      <c r="AE21" s="1">
        <v>6.6465999999999994</v>
      </c>
      <c r="AF21" s="1">
        <v>12.141400000000001</v>
      </c>
      <c r="AG21" s="1">
        <v>16.499600000000001</v>
      </c>
      <c r="AH21" s="1"/>
      <c r="AI21" s="1">
        <f t="shared" si="8"/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58</v>
      </c>
      <c r="B22" s="1" t="s">
        <v>36</v>
      </c>
      <c r="C22" s="1">
        <v>7.1059999999999999</v>
      </c>
      <c r="D22" s="1">
        <v>131.792</v>
      </c>
      <c r="E22" s="1">
        <v>52.984000000000002</v>
      </c>
      <c r="F22" s="1">
        <v>84.59</v>
      </c>
      <c r="G22" s="8">
        <v>1</v>
      </c>
      <c r="H22" s="1">
        <v>60</v>
      </c>
      <c r="I22" s="1" t="s">
        <v>37</v>
      </c>
      <c r="J22" s="1"/>
      <c r="K22" s="1">
        <v>58.34</v>
      </c>
      <c r="L22" s="1">
        <f t="shared" si="2"/>
        <v>-5.3560000000000016</v>
      </c>
      <c r="M22" s="1">
        <f t="shared" si="3"/>
        <v>52.984000000000002</v>
      </c>
      <c r="N22" s="1"/>
      <c r="O22" s="1">
        <v>12.84099999999996</v>
      </c>
      <c r="P22" s="1">
        <v>0</v>
      </c>
      <c r="Q22" s="1">
        <f t="shared" si="4"/>
        <v>10.5968</v>
      </c>
      <c r="R22" s="5">
        <f t="shared" si="12"/>
        <v>19.133800000000036</v>
      </c>
      <c r="S22" s="5"/>
      <c r="T22" s="5">
        <f t="shared" si="5"/>
        <v>19.133800000000036</v>
      </c>
      <c r="U22" s="5"/>
      <c r="V22" s="1"/>
      <c r="W22" s="1"/>
      <c r="X22" s="1">
        <f t="shared" si="6"/>
        <v>11</v>
      </c>
      <c r="Y22" s="1">
        <f t="shared" si="7"/>
        <v>9.1943794353012205</v>
      </c>
      <c r="Z22" s="1">
        <v>10.4664</v>
      </c>
      <c r="AA22" s="1">
        <v>13.158200000000001</v>
      </c>
      <c r="AB22" s="1">
        <v>14.781599999999999</v>
      </c>
      <c r="AC22" s="1">
        <v>14.4458</v>
      </c>
      <c r="AD22" s="1">
        <v>10.848599999999999</v>
      </c>
      <c r="AE22" s="1">
        <v>9.6117999999999988</v>
      </c>
      <c r="AF22" s="1">
        <v>10.335000000000001</v>
      </c>
      <c r="AG22" s="1">
        <v>15.6046</v>
      </c>
      <c r="AH22" s="1"/>
      <c r="AI22" s="1">
        <f t="shared" si="8"/>
        <v>19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59</v>
      </c>
      <c r="B23" s="1" t="s">
        <v>36</v>
      </c>
      <c r="C23" s="1">
        <v>4.7560000000000002</v>
      </c>
      <c r="D23" s="1">
        <v>8.6669999999999998</v>
      </c>
      <c r="E23" s="1">
        <v>6.524</v>
      </c>
      <c r="F23" s="1">
        <v>6.899</v>
      </c>
      <c r="G23" s="8">
        <v>1</v>
      </c>
      <c r="H23" s="1">
        <v>180</v>
      </c>
      <c r="I23" s="1" t="s">
        <v>37</v>
      </c>
      <c r="J23" s="1"/>
      <c r="K23" s="1">
        <v>6.98</v>
      </c>
      <c r="L23" s="1">
        <f t="shared" si="2"/>
        <v>-0.45600000000000041</v>
      </c>
      <c r="M23" s="1">
        <f t="shared" si="3"/>
        <v>6.524</v>
      </c>
      <c r="N23" s="1"/>
      <c r="O23" s="1">
        <v>4</v>
      </c>
      <c r="P23" s="1">
        <v>4</v>
      </c>
      <c r="Q23" s="1">
        <f t="shared" si="4"/>
        <v>1.3048</v>
      </c>
      <c r="R23" s="5"/>
      <c r="S23" s="5"/>
      <c r="T23" s="5">
        <f t="shared" si="5"/>
        <v>0</v>
      </c>
      <c r="U23" s="5"/>
      <c r="V23" s="1"/>
      <c r="W23" s="1"/>
      <c r="X23" s="1">
        <f t="shared" si="6"/>
        <v>11.418608215818518</v>
      </c>
      <c r="Y23" s="1">
        <f t="shared" si="7"/>
        <v>11.418608215818518</v>
      </c>
      <c r="Z23" s="1">
        <v>1.3133999999999999</v>
      </c>
      <c r="AA23" s="1">
        <v>1.1698</v>
      </c>
      <c r="AB23" s="1">
        <v>1.175</v>
      </c>
      <c r="AC23" s="1">
        <v>1.4066000000000001</v>
      </c>
      <c r="AD23" s="1">
        <v>0.81479999999999997</v>
      </c>
      <c r="AE23" s="1">
        <v>0.43680000000000002</v>
      </c>
      <c r="AF23" s="1">
        <v>0.36159999999999998</v>
      </c>
      <c r="AG23" s="1">
        <v>0.43559999999999999</v>
      </c>
      <c r="AH23" s="1"/>
      <c r="AI23" s="1">
        <f t="shared" si="8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60</v>
      </c>
      <c r="B24" s="1" t="s">
        <v>36</v>
      </c>
      <c r="C24" s="1">
        <v>36.773000000000003</v>
      </c>
      <c r="D24" s="1">
        <v>184.399</v>
      </c>
      <c r="E24" s="1">
        <v>122.15600000000001</v>
      </c>
      <c r="F24" s="1">
        <v>97.27</v>
      </c>
      <c r="G24" s="8">
        <v>1</v>
      </c>
      <c r="H24" s="1">
        <v>60</v>
      </c>
      <c r="I24" s="1" t="s">
        <v>37</v>
      </c>
      <c r="J24" s="1"/>
      <c r="K24" s="1">
        <v>117.05</v>
      </c>
      <c r="L24" s="1">
        <f t="shared" si="2"/>
        <v>5.1060000000000088</v>
      </c>
      <c r="M24" s="1">
        <f t="shared" si="3"/>
        <v>122.15600000000001</v>
      </c>
      <c r="N24" s="1"/>
      <c r="O24" s="1">
        <v>0</v>
      </c>
      <c r="P24" s="1">
        <v>100.88679999999999</v>
      </c>
      <c r="Q24" s="1">
        <f t="shared" si="4"/>
        <v>24.4312</v>
      </c>
      <c r="R24" s="5">
        <f t="shared" si="12"/>
        <v>70.586400000000012</v>
      </c>
      <c r="S24" s="5">
        <f>$S$1*Q24</f>
        <v>48.862400000000001</v>
      </c>
      <c r="T24" s="5">
        <f t="shared" si="5"/>
        <v>119.44880000000001</v>
      </c>
      <c r="U24" s="5"/>
      <c r="V24" s="1"/>
      <c r="W24" s="1"/>
      <c r="X24" s="1">
        <f t="shared" si="6"/>
        <v>12.999999999999998</v>
      </c>
      <c r="Y24" s="1">
        <f t="shared" si="7"/>
        <v>8.110809129310061</v>
      </c>
      <c r="Z24" s="1">
        <v>22.273199999999999</v>
      </c>
      <c r="AA24" s="1">
        <v>18.735600000000002</v>
      </c>
      <c r="AB24" s="1">
        <v>22.119399999999999</v>
      </c>
      <c r="AC24" s="1">
        <v>23.171800000000001</v>
      </c>
      <c r="AD24" s="1">
        <v>17.504799999999999</v>
      </c>
      <c r="AE24" s="1">
        <v>18.215</v>
      </c>
      <c r="AF24" s="1">
        <v>22.4634</v>
      </c>
      <c r="AG24" s="1">
        <v>19.662600000000001</v>
      </c>
      <c r="AH24" s="1" t="s">
        <v>51</v>
      </c>
      <c r="AI24" s="1">
        <f t="shared" si="8"/>
        <v>119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61</v>
      </c>
      <c r="B25" s="1" t="s">
        <v>36</v>
      </c>
      <c r="C25" s="1">
        <v>10.281000000000001</v>
      </c>
      <c r="D25" s="1">
        <v>40.19</v>
      </c>
      <c r="E25" s="1">
        <v>18.183</v>
      </c>
      <c r="F25" s="1">
        <v>30.148</v>
      </c>
      <c r="G25" s="8">
        <v>1</v>
      </c>
      <c r="H25" s="1">
        <v>30</v>
      </c>
      <c r="I25" s="1" t="s">
        <v>37</v>
      </c>
      <c r="J25" s="1"/>
      <c r="K25" s="1">
        <v>34.1</v>
      </c>
      <c r="L25" s="1">
        <f t="shared" si="2"/>
        <v>-15.917000000000002</v>
      </c>
      <c r="M25" s="1">
        <f t="shared" si="3"/>
        <v>18.183</v>
      </c>
      <c r="N25" s="1"/>
      <c r="O25" s="1">
        <v>32.848600000000012</v>
      </c>
      <c r="P25" s="1">
        <v>0</v>
      </c>
      <c r="Q25" s="1">
        <f t="shared" si="4"/>
        <v>3.6366000000000001</v>
      </c>
      <c r="R25" s="5"/>
      <c r="S25" s="5"/>
      <c r="T25" s="5">
        <f t="shared" si="5"/>
        <v>0</v>
      </c>
      <c r="U25" s="5"/>
      <c r="V25" s="1"/>
      <c r="W25" s="1"/>
      <c r="X25" s="1">
        <f t="shared" si="6"/>
        <v>17.322939008964422</v>
      </c>
      <c r="Y25" s="1">
        <f t="shared" si="7"/>
        <v>17.322939008964422</v>
      </c>
      <c r="Z25" s="1">
        <v>4.4817999999999998</v>
      </c>
      <c r="AA25" s="1">
        <v>6.4792000000000014</v>
      </c>
      <c r="AB25" s="1">
        <v>5.0358000000000001</v>
      </c>
      <c r="AC25" s="1">
        <v>2.8468</v>
      </c>
      <c r="AD25" s="1">
        <v>4.6814</v>
      </c>
      <c r="AE25" s="1">
        <v>4.5476000000000001</v>
      </c>
      <c r="AF25" s="1">
        <v>4.2598000000000003</v>
      </c>
      <c r="AG25" s="1">
        <v>3.5922000000000001</v>
      </c>
      <c r="AH25" s="1"/>
      <c r="AI25" s="1">
        <f t="shared" si="8"/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62</v>
      </c>
      <c r="B26" s="1" t="s">
        <v>36</v>
      </c>
      <c r="C26" s="1">
        <v>17.876999999999999</v>
      </c>
      <c r="D26" s="1">
        <v>145.98400000000001</v>
      </c>
      <c r="E26" s="1">
        <v>69.168000000000006</v>
      </c>
      <c r="F26" s="1">
        <v>85.381</v>
      </c>
      <c r="G26" s="8">
        <v>1</v>
      </c>
      <c r="H26" s="1">
        <v>30</v>
      </c>
      <c r="I26" s="1" t="s">
        <v>37</v>
      </c>
      <c r="J26" s="1"/>
      <c r="K26" s="1">
        <v>68.7</v>
      </c>
      <c r="L26" s="1">
        <f t="shared" si="2"/>
        <v>0.46800000000000352</v>
      </c>
      <c r="M26" s="1">
        <f t="shared" si="3"/>
        <v>69.168000000000006</v>
      </c>
      <c r="N26" s="1"/>
      <c r="O26" s="1">
        <v>130.46900000000011</v>
      </c>
      <c r="P26" s="1">
        <v>38.474399999999918</v>
      </c>
      <c r="Q26" s="1">
        <f t="shared" si="4"/>
        <v>13.833600000000001</v>
      </c>
      <c r="R26" s="5"/>
      <c r="S26" s="5"/>
      <c r="T26" s="5">
        <f t="shared" si="5"/>
        <v>0</v>
      </c>
      <c r="U26" s="5"/>
      <c r="V26" s="1"/>
      <c r="W26" s="1"/>
      <c r="X26" s="1">
        <f t="shared" si="6"/>
        <v>18.384541984732827</v>
      </c>
      <c r="Y26" s="1">
        <f t="shared" si="7"/>
        <v>18.384541984732827</v>
      </c>
      <c r="Z26" s="1">
        <v>24.519200000000001</v>
      </c>
      <c r="AA26" s="1">
        <v>24.551600000000001</v>
      </c>
      <c r="AB26" s="1">
        <v>19.8628</v>
      </c>
      <c r="AC26" s="1">
        <v>19.8872</v>
      </c>
      <c r="AD26" s="1">
        <v>17.8294</v>
      </c>
      <c r="AE26" s="1">
        <v>20.827000000000002</v>
      </c>
      <c r="AF26" s="1">
        <v>17.749400000000001</v>
      </c>
      <c r="AG26" s="1">
        <v>17.247199999999999</v>
      </c>
      <c r="AH26" s="1"/>
      <c r="AI26" s="1">
        <f t="shared" si="8"/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63</v>
      </c>
      <c r="B27" s="1" t="s">
        <v>36</v>
      </c>
      <c r="C27" s="1">
        <v>103.79900000000001</v>
      </c>
      <c r="D27" s="1">
        <v>72.238</v>
      </c>
      <c r="E27" s="1">
        <v>106.325</v>
      </c>
      <c r="F27" s="1">
        <v>66.061000000000007</v>
      </c>
      <c r="G27" s="8">
        <v>1</v>
      </c>
      <c r="H27" s="1">
        <v>30</v>
      </c>
      <c r="I27" s="1" t="s">
        <v>37</v>
      </c>
      <c r="J27" s="1"/>
      <c r="K27" s="1">
        <v>109</v>
      </c>
      <c r="L27" s="1">
        <f t="shared" si="2"/>
        <v>-2.6749999999999972</v>
      </c>
      <c r="M27" s="1">
        <f t="shared" si="3"/>
        <v>106.325</v>
      </c>
      <c r="N27" s="1"/>
      <c r="O27" s="1">
        <v>0</v>
      </c>
      <c r="P27" s="1">
        <v>80.809600000000032</v>
      </c>
      <c r="Q27" s="1">
        <f t="shared" si="4"/>
        <v>21.265000000000001</v>
      </c>
      <c r="R27" s="5">
        <f t="shared" si="12"/>
        <v>87.044399999999968</v>
      </c>
      <c r="S27" s="5"/>
      <c r="T27" s="5">
        <f t="shared" si="5"/>
        <v>87.044399999999968</v>
      </c>
      <c r="U27" s="5"/>
      <c r="V27" s="1"/>
      <c r="W27" s="1"/>
      <c r="X27" s="1">
        <f t="shared" si="6"/>
        <v>11</v>
      </c>
      <c r="Y27" s="1">
        <f t="shared" si="7"/>
        <v>6.9066823418763237</v>
      </c>
      <c r="Z27" s="1">
        <v>16.261800000000001</v>
      </c>
      <c r="AA27" s="1">
        <v>15.2302</v>
      </c>
      <c r="AB27" s="1">
        <v>16.292999999999999</v>
      </c>
      <c r="AC27" s="1">
        <v>12.535600000000001</v>
      </c>
      <c r="AD27" s="1">
        <v>15.572800000000001</v>
      </c>
      <c r="AE27" s="1">
        <v>21.7758</v>
      </c>
      <c r="AF27" s="1">
        <v>22.566400000000002</v>
      </c>
      <c r="AG27" s="1">
        <v>18.023</v>
      </c>
      <c r="AH27" s="1" t="s">
        <v>51</v>
      </c>
      <c r="AI27" s="1">
        <f t="shared" si="8"/>
        <v>87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2" t="s">
        <v>64</v>
      </c>
      <c r="B28" s="12" t="s">
        <v>36</v>
      </c>
      <c r="C28" s="12"/>
      <c r="D28" s="12"/>
      <c r="E28" s="12"/>
      <c r="F28" s="12"/>
      <c r="G28" s="13">
        <v>0</v>
      </c>
      <c r="H28" s="12">
        <v>45</v>
      </c>
      <c r="I28" s="12" t="s">
        <v>37</v>
      </c>
      <c r="J28" s="12"/>
      <c r="K28" s="12"/>
      <c r="L28" s="12">
        <f t="shared" si="2"/>
        <v>0</v>
      </c>
      <c r="M28" s="12">
        <f t="shared" si="3"/>
        <v>0</v>
      </c>
      <c r="N28" s="12"/>
      <c r="O28" s="12">
        <v>0</v>
      </c>
      <c r="P28" s="12">
        <v>0</v>
      </c>
      <c r="Q28" s="12">
        <f t="shared" si="4"/>
        <v>0</v>
      </c>
      <c r="R28" s="14"/>
      <c r="S28" s="14"/>
      <c r="T28" s="5">
        <f t="shared" si="5"/>
        <v>0</v>
      </c>
      <c r="U28" s="14"/>
      <c r="V28" s="12"/>
      <c r="W28" s="12"/>
      <c r="X28" s="1" t="e">
        <f t="shared" si="6"/>
        <v>#DIV/0!</v>
      </c>
      <c r="Y28" s="12" t="e">
        <f t="shared" si="7"/>
        <v>#DIV/0!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 t="s">
        <v>45</v>
      </c>
      <c r="AI28" s="1">
        <f t="shared" si="8"/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65</v>
      </c>
      <c r="B29" s="1" t="s">
        <v>36</v>
      </c>
      <c r="C29" s="1">
        <v>89.507999999999996</v>
      </c>
      <c r="D29" s="1">
        <v>2.9649999999999999</v>
      </c>
      <c r="E29" s="1">
        <v>87.191000000000003</v>
      </c>
      <c r="F29" s="1">
        <v>0.46500000000000002</v>
      </c>
      <c r="G29" s="8">
        <v>1</v>
      </c>
      <c r="H29" s="1">
        <v>40</v>
      </c>
      <c r="I29" s="1" t="s">
        <v>37</v>
      </c>
      <c r="J29" s="1"/>
      <c r="K29" s="1">
        <v>78.3</v>
      </c>
      <c r="L29" s="1">
        <f t="shared" si="2"/>
        <v>8.8910000000000053</v>
      </c>
      <c r="M29" s="1">
        <f t="shared" si="3"/>
        <v>87.191000000000003</v>
      </c>
      <c r="N29" s="1"/>
      <c r="O29" s="1">
        <v>60.142600000000002</v>
      </c>
      <c r="P29" s="1">
        <v>82.616800000000012</v>
      </c>
      <c r="Q29" s="1">
        <f t="shared" si="4"/>
        <v>17.438200000000002</v>
      </c>
      <c r="R29" s="5">
        <f t="shared" ref="R29" si="13">11*Q29-P29-O29-F29</f>
        <v>48.595800000000011</v>
      </c>
      <c r="S29" s="5"/>
      <c r="T29" s="5">
        <f t="shared" si="5"/>
        <v>48.595800000000011</v>
      </c>
      <c r="U29" s="5"/>
      <c r="V29" s="1"/>
      <c r="W29" s="1"/>
      <c r="X29" s="1">
        <f t="shared" si="6"/>
        <v>10.999999999999998</v>
      </c>
      <c r="Y29" s="1">
        <f t="shared" si="7"/>
        <v>8.2132559553164892</v>
      </c>
      <c r="Z29" s="1">
        <v>16.522200000000002</v>
      </c>
      <c r="AA29" s="1">
        <v>13.6046</v>
      </c>
      <c r="AB29" s="1">
        <v>9.2058</v>
      </c>
      <c r="AC29" s="1">
        <v>12.486800000000001</v>
      </c>
      <c r="AD29" s="1">
        <v>15.904199999999999</v>
      </c>
      <c r="AE29" s="1">
        <v>17.322800000000001</v>
      </c>
      <c r="AF29" s="1">
        <v>15.470599999999999</v>
      </c>
      <c r="AG29" s="1">
        <v>15.2462</v>
      </c>
      <c r="AH29" s="1"/>
      <c r="AI29" s="1">
        <f t="shared" si="8"/>
        <v>49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66</v>
      </c>
      <c r="B30" s="1" t="s">
        <v>36</v>
      </c>
      <c r="C30" s="1">
        <v>3.1120000000000001</v>
      </c>
      <c r="D30" s="1">
        <v>35.176000000000002</v>
      </c>
      <c r="E30" s="1">
        <v>4.8070000000000004</v>
      </c>
      <c r="F30" s="1">
        <v>30.963999999999999</v>
      </c>
      <c r="G30" s="8">
        <v>1</v>
      </c>
      <c r="H30" s="1">
        <v>30</v>
      </c>
      <c r="I30" s="1" t="s">
        <v>37</v>
      </c>
      <c r="J30" s="1"/>
      <c r="K30" s="1">
        <v>9.4</v>
      </c>
      <c r="L30" s="1">
        <f t="shared" si="2"/>
        <v>-4.593</v>
      </c>
      <c r="M30" s="1">
        <f t="shared" si="3"/>
        <v>4.8070000000000004</v>
      </c>
      <c r="N30" s="1"/>
      <c r="O30" s="1">
        <v>0</v>
      </c>
      <c r="P30" s="1">
        <v>0</v>
      </c>
      <c r="Q30" s="1">
        <f t="shared" si="4"/>
        <v>0.96140000000000003</v>
      </c>
      <c r="R30" s="5"/>
      <c r="S30" s="5"/>
      <c r="T30" s="5">
        <f t="shared" si="5"/>
        <v>0</v>
      </c>
      <c r="U30" s="5"/>
      <c r="V30" s="1"/>
      <c r="W30" s="1"/>
      <c r="X30" s="1">
        <f t="shared" si="6"/>
        <v>32.207197836488454</v>
      </c>
      <c r="Y30" s="1">
        <f t="shared" si="7"/>
        <v>32.207197836488454</v>
      </c>
      <c r="Z30" s="1">
        <v>2.6095999999999999</v>
      </c>
      <c r="AA30" s="1">
        <v>3.3153999999999999</v>
      </c>
      <c r="AB30" s="1">
        <v>3.923</v>
      </c>
      <c r="AC30" s="1">
        <v>2.7642000000000002</v>
      </c>
      <c r="AD30" s="1">
        <v>2.4586000000000001</v>
      </c>
      <c r="AE30" s="1">
        <v>2.7709999999999999</v>
      </c>
      <c r="AF30" s="1">
        <v>2.4022000000000001</v>
      </c>
      <c r="AG30" s="1">
        <v>2.2694000000000001</v>
      </c>
      <c r="AH30" s="1"/>
      <c r="AI30" s="1">
        <f t="shared" si="8"/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67</v>
      </c>
      <c r="B31" s="1" t="s">
        <v>36</v>
      </c>
      <c r="C31" s="1">
        <v>0.54900000000000004</v>
      </c>
      <c r="D31" s="1">
        <v>164.452</v>
      </c>
      <c r="E31" s="1">
        <v>47.447000000000003</v>
      </c>
      <c r="F31" s="1">
        <v>101.23399999999999</v>
      </c>
      <c r="G31" s="8">
        <v>1</v>
      </c>
      <c r="H31" s="1">
        <v>50</v>
      </c>
      <c r="I31" s="1" t="s">
        <v>37</v>
      </c>
      <c r="J31" s="1"/>
      <c r="K31" s="1">
        <v>57.9</v>
      </c>
      <c r="L31" s="1">
        <f t="shared" si="2"/>
        <v>-10.452999999999996</v>
      </c>
      <c r="M31" s="1">
        <f t="shared" si="3"/>
        <v>36.466000000000001</v>
      </c>
      <c r="N31" s="1">
        <v>10.981</v>
      </c>
      <c r="O31" s="1">
        <v>60.696999999999981</v>
      </c>
      <c r="P31" s="1">
        <v>0</v>
      </c>
      <c r="Q31" s="1">
        <f t="shared" si="4"/>
        <v>7.2932000000000006</v>
      </c>
      <c r="R31" s="5"/>
      <c r="S31" s="5"/>
      <c r="T31" s="5">
        <f t="shared" si="5"/>
        <v>0</v>
      </c>
      <c r="U31" s="5"/>
      <c r="V31" s="1"/>
      <c r="W31" s="1"/>
      <c r="X31" s="1">
        <f t="shared" si="6"/>
        <v>22.203011023967527</v>
      </c>
      <c r="Y31" s="1">
        <f t="shared" si="7"/>
        <v>22.203011023967527</v>
      </c>
      <c r="Z31" s="1">
        <v>14.2464</v>
      </c>
      <c r="AA31" s="1">
        <v>18.599799999999998</v>
      </c>
      <c r="AB31" s="1">
        <v>17.170400000000001</v>
      </c>
      <c r="AC31" s="1">
        <v>14.8132</v>
      </c>
      <c r="AD31" s="1">
        <v>10.3552</v>
      </c>
      <c r="AE31" s="1">
        <v>15.049799999999999</v>
      </c>
      <c r="AF31" s="1">
        <v>11.4298</v>
      </c>
      <c r="AG31" s="1">
        <v>9.2218</v>
      </c>
      <c r="AH31" s="1"/>
      <c r="AI31" s="1">
        <f t="shared" si="8"/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68</v>
      </c>
      <c r="B32" s="1" t="s">
        <v>36</v>
      </c>
      <c r="C32" s="1">
        <v>6.35</v>
      </c>
      <c r="D32" s="1">
        <v>106.715</v>
      </c>
      <c r="E32" s="1">
        <v>35.753</v>
      </c>
      <c r="F32" s="1">
        <v>71.094999999999999</v>
      </c>
      <c r="G32" s="8">
        <v>1</v>
      </c>
      <c r="H32" s="1">
        <v>50</v>
      </c>
      <c r="I32" s="1" t="s">
        <v>37</v>
      </c>
      <c r="J32" s="1"/>
      <c r="K32" s="1">
        <v>43.7</v>
      </c>
      <c r="L32" s="1">
        <f t="shared" si="2"/>
        <v>-7.9470000000000027</v>
      </c>
      <c r="M32" s="1">
        <f t="shared" si="3"/>
        <v>35.753</v>
      </c>
      <c r="N32" s="1"/>
      <c r="O32" s="1">
        <v>16.649000000000019</v>
      </c>
      <c r="P32" s="1">
        <v>0</v>
      </c>
      <c r="Q32" s="1">
        <f t="shared" si="4"/>
        <v>7.1505999999999998</v>
      </c>
      <c r="R32" s="5"/>
      <c r="S32" s="5"/>
      <c r="T32" s="5">
        <f t="shared" si="5"/>
        <v>0</v>
      </c>
      <c r="U32" s="5"/>
      <c r="V32" s="1"/>
      <c r="W32" s="1"/>
      <c r="X32" s="1">
        <f t="shared" si="6"/>
        <v>12.270858389505777</v>
      </c>
      <c r="Y32" s="1">
        <f t="shared" si="7"/>
        <v>12.270858389505777</v>
      </c>
      <c r="Z32" s="1">
        <v>6.9281999999999986</v>
      </c>
      <c r="AA32" s="1">
        <v>10.534800000000001</v>
      </c>
      <c r="AB32" s="1">
        <v>10.087400000000001</v>
      </c>
      <c r="AC32" s="1">
        <v>7.1971999999999996</v>
      </c>
      <c r="AD32" s="1">
        <v>6.9955999999999996</v>
      </c>
      <c r="AE32" s="1">
        <v>8.5993999999999993</v>
      </c>
      <c r="AF32" s="1">
        <v>7.5263999999999998</v>
      </c>
      <c r="AG32" s="1">
        <v>5.7656000000000001</v>
      </c>
      <c r="AH32" s="1"/>
      <c r="AI32" s="1">
        <f t="shared" si="8"/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69</v>
      </c>
      <c r="B33" s="1" t="s">
        <v>42</v>
      </c>
      <c r="C33" s="1">
        <v>125</v>
      </c>
      <c r="D33" s="1">
        <v>642</v>
      </c>
      <c r="E33" s="1">
        <v>270</v>
      </c>
      <c r="F33" s="1">
        <v>515</v>
      </c>
      <c r="G33" s="8">
        <v>0.4</v>
      </c>
      <c r="H33" s="1">
        <v>45</v>
      </c>
      <c r="I33" s="1" t="s">
        <v>37</v>
      </c>
      <c r="J33" s="1"/>
      <c r="K33" s="1">
        <v>268</v>
      </c>
      <c r="L33" s="1">
        <f t="shared" si="2"/>
        <v>2</v>
      </c>
      <c r="M33" s="1">
        <f t="shared" si="3"/>
        <v>270</v>
      </c>
      <c r="N33" s="1"/>
      <c r="O33" s="1">
        <v>533.70000000000016</v>
      </c>
      <c r="P33" s="1">
        <v>0</v>
      </c>
      <c r="Q33" s="1">
        <f t="shared" si="4"/>
        <v>54</v>
      </c>
      <c r="R33" s="5"/>
      <c r="S33" s="5"/>
      <c r="T33" s="5">
        <f t="shared" si="5"/>
        <v>0</v>
      </c>
      <c r="U33" s="5"/>
      <c r="V33" s="1"/>
      <c r="W33" s="1"/>
      <c r="X33" s="1">
        <f t="shared" si="6"/>
        <v>19.420370370370375</v>
      </c>
      <c r="Y33" s="1">
        <f t="shared" si="7"/>
        <v>19.420370370370375</v>
      </c>
      <c r="Z33" s="1">
        <v>88.6</v>
      </c>
      <c r="AA33" s="1">
        <v>91</v>
      </c>
      <c r="AB33" s="1">
        <v>81.8</v>
      </c>
      <c r="AC33" s="1">
        <v>74.599999999999994</v>
      </c>
      <c r="AD33" s="1">
        <v>71.8</v>
      </c>
      <c r="AE33" s="1">
        <v>73.400000000000006</v>
      </c>
      <c r="AF33" s="1">
        <v>51.4</v>
      </c>
      <c r="AG33" s="1">
        <v>56.2</v>
      </c>
      <c r="AH33" s="1" t="s">
        <v>70</v>
      </c>
      <c r="AI33" s="1">
        <f t="shared" si="8"/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71</v>
      </c>
      <c r="B34" s="1" t="s">
        <v>42</v>
      </c>
      <c r="C34" s="1">
        <v>15</v>
      </c>
      <c r="D34" s="1">
        <v>250</v>
      </c>
      <c r="E34" s="1">
        <v>264</v>
      </c>
      <c r="F34" s="1"/>
      <c r="G34" s="8">
        <v>0.45</v>
      </c>
      <c r="H34" s="1">
        <v>50</v>
      </c>
      <c r="I34" s="11" t="s">
        <v>72</v>
      </c>
      <c r="J34" s="1"/>
      <c r="K34" s="1">
        <v>267</v>
      </c>
      <c r="L34" s="1">
        <f t="shared" si="2"/>
        <v>-3</v>
      </c>
      <c r="M34" s="1">
        <f t="shared" si="3"/>
        <v>264</v>
      </c>
      <c r="N34" s="1"/>
      <c r="O34" s="1">
        <v>270.80000000000013</v>
      </c>
      <c r="P34" s="1">
        <v>150</v>
      </c>
      <c r="Q34" s="1">
        <f t="shared" si="4"/>
        <v>52.8</v>
      </c>
      <c r="R34" s="5">
        <v>50</v>
      </c>
      <c r="S34" s="5"/>
      <c r="T34" s="5">
        <f t="shared" si="5"/>
        <v>50</v>
      </c>
      <c r="U34" s="5"/>
      <c r="V34" s="1"/>
      <c r="W34" s="1"/>
      <c r="X34" s="1">
        <f t="shared" si="6"/>
        <v>8.9166666666666696</v>
      </c>
      <c r="Y34" s="1">
        <f t="shared" si="7"/>
        <v>7.9696969696969724</v>
      </c>
      <c r="Z34" s="1">
        <v>46.4</v>
      </c>
      <c r="AA34" s="1">
        <v>48.2</v>
      </c>
      <c r="AB34" s="1">
        <v>28.4</v>
      </c>
      <c r="AC34" s="1">
        <v>27.4</v>
      </c>
      <c r="AD34" s="1">
        <v>21.6</v>
      </c>
      <c r="AE34" s="1">
        <v>34</v>
      </c>
      <c r="AF34" s="1">
        <v>32.6</v>
      </c>
      <c r="AG34" s="1">
        <v>28.8</v>
      </c>
      <c r="AH34" s="1" t="s">
        <v>39</v>
      </c>
      <c r="AI34" s="1">
        <f t="shared" si="8"/>
        <v>23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73</v>
      </c>
      <c r="B35" s="1" t="s">
        <v>42</v>
      </c>
      <c r="C35" s="1">
        <v>29</v>
      </c>
      <c r="D35" s="1">
        <v>522</v>
      </c>
      <c r="E35" s="1">
        <v>222</v>
      </c>
      <c r="F35" s="1">
        <v>321</v>
      </c>
      <c r="G35" s="8">
        <v>0.4</v>
      </c>
      <c r="H35" s="1">
        <v>45</v>
      </c>
      <c r="I35" s="1" t="s">
        <v>37</v>
      </c>
      <c r="J35" s="1"/>
      <c r="K35" s="1">
        <v>259</v>
      </c>
      <c r="L35" s="1">
        <f t="shared" si="2"/>
        <v>-37</v>
      </c>
      <c r="M35" s="1">
        <f t="shared" si="3"/>
        <v>222</v>
      </c>
      <c r="N35" s="1"/>
      <c r="O35" s="1">
        <v>451.99999999999989</v>
      </c>
      <c r="P35" s="1">
        <v>0</v>
      </c>
      <c r="Q35" s="1">
        <f t="shared" si="4"/>
        <v>44.4</v>
      </c>
      <c r="R35" s="5"/>
      <c r="S35" s="5"/>
      <c r="T35" s="5">
        <f t="shared" si="5"/>
        <v>0</v>
      </c>
      <c r="U35" s="5"/>
      <c r="V35" s="1"/>
      <c r="W35" s="1"/>
      <c r="X35" s="1">
        <f t="shared" si="6"/>
        <v>17.409909909909906</v>
      </c>
      <c r="Y35" s="1">
        <f t="shared" si="7"/>
        <v>17.409909909909906</v>
      </c>
      <c r="Z35" s="1">
        <v>62.2</v>
      </c>
      <c r="AA35" s="1">
        <v>70</v>
      </c>
      <c r="AB35" s="1">
        <v>59</v>
      </c>
      <c r="AC35" s="1">
        <v>57.6</v>
      </c>
      <c r="AD35" s="1">
        <v>48.8</v>
      </c>
      <c r="AE35" s="1">
        <v>53.2</v>
      </c>
      <c r="AF35" s="1">
        <v>50.8</v>
      </c>
      <c r="AG35" s="1">
        <v>58.8</v>
      </c>
      <c r="AH35" s="1"/>
      <c r="AI35" s="1">
        <f t="shared" si="8"/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42</v>
      </c>
      <c r="C36" s="1">
        <v>69</v>
      </c>
      <c r="D36" s="1">
        <v>6</v>
      </c>
      <c r="E36" s="1">
        <v>13</v>
      </c>
      <c r="F36" s="1">
        <v>62</v>
      </c>
      <c r="G36" s="8">
        <v>0.4</v>
      </c>
      <c r="H36" s="1">
        <v>40</v>
      </c>
      <c r="I36" s="1" t="s">
        <v>37</v>
      </c>
      <c r="J36" s="1"/>
      <c r="K36" s="1">
        <v>13</v>
      </c>
      <c r="L36" s="1">
        <f t="shared" si="2"/>
        <v>0</v>
      </c>
      <c r="M36" s="1">
        <f t="shared" si="3"/>
        <v>13</v>
      </c>
      <c r="N36" s="1"/>
      <c r="O36" s="1">
        <v>0</v>
      </c>
      <c r="P36" s="1">
        <v>0</v>
      </c>
      <c r="Q36" s="1">
        <f t="shared" si="4"/>
        <v>2.6</v>
      </c>
      <c r="R36" s="5"/>
      <c r="S36" s="5"/>
      <c r="T36" s="5">
        <f t="shared" si="5"/>
        <v>0</v>
      </c>
      <c r="U36" s="5"/>
      <c r="V36" s="1"/>
      <c r="W36" s="1"/>
      <c r="X36" s="1">
        <f t="shared" si="6"/>
        <v>23.846153846153847</v>
      </c>
      <c r="Y36" s="1">
        <f t="shared" si="7"/>
        <v>23.846153846153847</v>
      </c>
      <c r="Z36" s="1">
        <v>2.8</v>
      </c>
      <c r="AA36" s="1">
        <v>2.8</v>
      </c>
      <c r="AB36" s="1">
        <v>6</v>
      </c>
      <c r="AC36" s="1">
        <v>7.8</v>
      </c>
      <c r="AD36" s="1">
        <v>9</v>
      </c>
      <c r="AE36" s="1">
        <v>6.8</v>
      </c>
      <c r="AF36" s="1">
        <v>0.6</v>
      </c>
      <c r="AG36" s="1">
        <v>0</v>
      </c>
      <c r="AH36" s="17" t="s">
        <v>75</v>
      </c>
      <c r="AI36" s="1">
        <f t="shared" si="8"/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2" t="s">
        <v>76</v>
      </c>
      <c r="B37" s="12" t="s">
        <v>36</v>
      </c>
      <c r="C37" s="12"/>
      <c r="D37" s="12"/>
      <c r="E37" s="12"/>
      <c r="F37" s="12"/>
      <c r="G37" s="13">
        <v>0</v>
      </c>
      <c r="H37" s="12">
        <v>45</v>
      </c>
      <c r="I37" s="12" t="s">
        <v>37</v>
      </c>
      <c r="J37" s="12"/>
      <c r="K37" s="12"/>
      <c r="L37" s="12">
        <f t="shared" si="2"/>
        <v>0</v>
      </c>
      <c r="M37" s="12">
        <f t="shared" si="3"/>
        <v>0</v>
      </c>
      <c r="N37" s="12"/>
      <c r="O37" s="12">
        <v>0</v>
      </c>
      <c r="P37" s="12">
        <v>0</v>
      </c>
      <c r="Q37" s="12">
        <f t="shared" si="4"/>
        <v>0</v>
      </c>
      <c r="R37" s="14"/>
      <c r="S37" s="14"/>
      <c r="T37" s="5">
        <f t="shared" si="5"/>
        <v>0</v>
      </c>
      <c r="U37" s="14"/>
      <c r="V37" s="12"/>
      <c r="W37" s="12"/>
      <c r="X37" s="1" t="e">
        <f t="shared" si="6"/>
        <v>#DIV/0!</v>
      </c>
      <c r="Y37" s="12" t="e">
        <f t="shared" si="7"/>
        <v>#DIV/0!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 t="s">
        <v>45</v>
      </c>
      <c r="AI37" s="1">
        <f t="shared" si="8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42</v>
      </c>
      <c r="C38" s="1">
        <v>79</v>
      </c>
      <c r="D38" s="1"/>
      <c r="E38" s="1">
        <v>40</v>
      </c>
      <c r="F38" s="1">
        <v>39</v>
      </c>
      <c r="G38" s="8">
        <v>0.1</v>
      </c>
      <c r="H38" s="1">
        <v>730</v>
      </c>
      <c r="I38" s="1" t="s">
        <v>37</v>
      </c>
      <c r="J38" s="1"/>
      <c r="K38" s="1">
        <v>40</v>
      </c>
      <c r="L38" s="1">
        <f t="shared" ref="L38:L69" si="14">E38-K38</f>
        <v>0</v>
      </c>
      <c r="M38" s="1">
        <f t="shared" si="3"/>
        <v>40</v>
      </c>
      <c r="N38" s="1"/>
      <c r="O38" s="1">
        <v>0</v>
      </c>
      <c r="P38" s="1">
        <v>52.199999999999989</v>
      </c>
      <c r="Q38" s="1">
        <f t="shared" si="4"/>
        <v>8</v>
      </c>
      <c r="R38" s="5"/>
      <c r="S38" s="5"/>
      <c r="T38" s="5">
        <f t="shared" si="5"/>
        <v>0</v>
      </c>
      <c r="U38" s="5"/>
      <c r="V38" s="1"/>
      <c r="W38" s="1"/>
      <c r="X38" s="1">
        <f t="shared" si="6"/>
        <v>11.399999999999999</v>
      </c>
      <c r="Y38" s="1">
        <f t="shared" si="7"/>
        <v>11.399999999999999</v>
      </c>
      <c r="Z38" s="1">
        <v>8.6</v>
      </c>
      <c r="AA38" s="1">
        <v>5.8</v>
      </c>
      <c r="AB38" s="1">
        <v>5.8</v>
      </c>
      <c r="AC38" s="1">
        <v>8.6</v>
      </c>
      <c r="AD38" s="1">
        <v>11</v>
      </c>
      <c r="AE38" s="1">
        <v>8.4</v>
      </c>
      <c r="AF38" s="1">
        <v>11.2</v>
      </c>
      <c r="AG38" s="1">
        <v>17.2</v>
      </c>
      <c r="AH38" s="1"/>
      <c r="AI38" s="1">
        <f t="shared" si="8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42</v>
      </c>
      <c r="C39" s="1">
        <v>91</v>
      </c>
      <c r="D39" s="1">
        <v>132</v>
      </c>
      <c r="E39" s="1">
        <v>71</v>
      </c>
      <c r="F39" s="1">
        <v>162</v>
      </c>
      <c r="G39" s="8">
        <v>0.35</v>
      </c>
      <c r="H39" s="1">
        <v>40</v>
      </c>
      <c r="I39" s="1" t="s">
        <v>37</v>
      </c>
      <c r="J39" s="1"/>
      <c r="K39" s="1">
        <v>74</v>
      </c>
      <c r="L39" s="1">
        <f t="shared" si="14"/>
        <v>-3</v>
      </c>
      <c r="M39" s="1">
        <f t="shared" si="3"/>
        <v>71</v>
      </c>
      <c r="N39" s="1"/>
      <c r="O39" s="1">
        <v>122.4</v>
      </c>
      <c r="P39" s="1">
        <v>78.799999999999955</v>
      </c>
      <c r="Q39" s="1">
        <f t="shared" si="4"/>
        <v>14.2</v>
      </c>
      <c r="R39" s="5"/>
      <c r="S39" s="5"/>
      <c r="T39" s="5">
        <f t="shared" si="5"/>
        <v>0</v>
      </c>
      <c r="U39" s="5"/>
      <c r="V39" s="1"/>
      <c r="W39" s="1"/>
      <c r="X39" s="1">
        <f t="shared" si="6"/>
        <v>25.577464788732392</v>
      </c>
      <c r="Y39" s="1">
        <f t="shared" si="7"/>
        <v>25.577464788732392</v>
      </c>
      <c r="Z39" s="1">
        <v>32.200000000000003</v>
      </c>
      <c r="AA39" s="1">
        <v>31</v>
      </c>
      <c r="AB39" s="1">
        <v>28.8</v>
      </c>
      <c r="AC39" s="1">
        <v>30.4</v>
      </c>
      <c r="AD39" s="1">
        <v>26</v>
      </c>
      <c r="AE39" s="1">
        <v>36.6</v>
      </c>
      <c r="AF39" s="1">
        <v>30.2</v>
      </c>
      <c r="AG39" s="1">
        <v>14.8</v>
      </c>
      <c r="AH39" s="18" t="s">
        <v>138</v>
      </c>
      <c r="AI39" s="1">
        <f t="shared" si="8"/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79</v>
      </c>
      <c r="B40" s="1" t="s">
        <v>36</v>
      </c>
      <c r="C40" s="1">
        <v>68.248999999999995</v>
      </c>
      <c r="D40" s="1">
        <v>157.65100000000001</v>
      </c>
      <c r="E40" s="1">
        <v>79.525999999999996</v>
      </c>
      <c r="F40" s="1">
        <v>134.87200000000001</v>
      </c>
      <c r="G40" s="8">
        <v>1</v>
      </c>
      <c r="H40" s="1">
        <v>40</v>
      </c>
      <c r="I40" s="1" t="s">
        <v>37</v>
      </c>
      <c r="J40" s="1"/>
      <c r="K40" s="1">
        <v>89.92</v>
      </c>
      <c r="L40" s="1">
        <f t="shared" si="14"/>
        <v>-10.394000000000005</v>
      </c>
      <c r="M40" s="1">
        <f t="shared" si="3"/>
        <v>70.875</v>
      </c>
      <c r="N40" s="1">
        <v>8.6509999999999998</v>
      </c>
      <c r="O40" s="1">
        <v>0</v>
      </c>
      <c r="P40" s="1">
        <v>18.126599999999971</v>
      </c>
      <c r="Q40" s="1">
        <f t="shared" si="4"/>
        <v>14.175000000000001</v>
      </c>
      <c r="R40" s="5"/>
      <c r="S40" s="5"/>
      <c r="T40" s="5">
        <f t="shared" si="5"/>
        <v>0</v>
      </c>
      <c r="U40" s="5"/>
      <c r="V40" s="1"/>
      <c r="W40" s="1"/>
      <c r="X40" s="1">
        <f t="shared" si="6"/>
        <v>10.793552028218693</v>
      </c>
      <c r="Y40" s="1">
        <f t="shared" si="7"/>
        <v>10.793552028218693</v>
      </c>
      <c r="Z40" s="1">
        <v>16.470600000000001</v>
      </c>
      <c r="AA40" s="1">
        <v>18.725200000000001</v>
      </c>
      <c r="AB40" s="1">
        <v>21.203600000000002</v>
      </c>
      <c r="AC40" s="1">
        <v>18.925999999999998</v>
      </c>
      <c r="AD40" s="1">
        <v>18.822399999999998</v>
      </c>
      <c r="AE40" s="1">
        <v>18.551200000000001</v>
      </c>
      <c r="AF40" s="1">
        <v>16.038399999999999</v>
      </c>
      <c r="AG40" s="1">
        <v>14.5976</v>
      </c>
      <c r="AH40" s="1"/>
      <c r="AI40" s="1">
        <f t="shared" si="8"/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80</v>
      </c>
      <c r="B41" s="1" t="s">
        <v>42</v>
      </c>
      <c r="C41" s="1">
        <v>41</v>
      </c>
      <c r="D41" s="1">
        <v>96</v>
      </c>
      <c r="E41" s="1">
        <v>55</v>
      </c>
      <c r="F41" s="1">
        <v>69</v>
      </c>
      <c r="G41" s="8">
        <v>0.4</v>
      </c>
      <c r="H41" s="1">
        <v>40</v>
      </c>
      <c r="I41" s="1" t="s">
        <v>37</v>
      </c>
      <c r="J41" s="1"/>
      <c r="K41" s="1">
        <v>68</v>
      </c>
      <c r="L41" s="1">
        <f t="shared" si="14"/>
        <v>-13</v>
      </c>
      <c r="M41" s="1">
        <f t="shared" si="3"/>
        <v>55</v>
      </c>
      <c r="N41" s="1"/>
      <c r="O41" s="1">
        <v>129.80000000000001</v>
      </c>
      <c r="P41" s="1">
        <v>24.999999999999972</v>
      </c>
      <c r="Q41" s="1">
        <f t="shared" si="4"/>
        <v>11</v>
      </c>
      <c r="R41" s="5"/>
      <c r="S41" s="5"/>
      <c r="T41" s="5">
        <f t="shared" si="5"/>
        <v>0</v>
      </c>
      <c r="U41" s="5"/>
      <c r="V41" s="1"/>
      <c r="W41" s="1"/>
      <c r="X41" s="1">
        <f t="shared" si="6"/>
        <v>20.345454545454544</v>
      </c>
      <c r="Y41" s="1">
        <f t="shared" si="7"/>
        <v>20.345454545454544</v>
      </c>
      <c r="Z41" s="1">
        <v>22.4</v>
      </c>
      <c r="AA41" s="1">
        <v>23.6</v>
      </c>
      <c r="AB41" s="1">
        <v>18.399999999999999</v>
      </c>
      <c r="AC41" s="1">
        <v>14.8</v>
      </c>
      <c r="AD41" s="1">
        <v>13</v>
      </c>
      <c r="AE41" s="1">
        <v>22.6</v>
      </c>
      <c r="AF41" s="1">
        <v>17.600000000000001</v>
      </c>
      <c r="AG41" s="1">
        <v>11.2</v>
      </c>
      <c r="AH41" s="1"/>
      <c r="AI41" s="1">
        <f t="shared" si="8"/>
        <v>0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81</v>
      </c>
      <c r="B42" s="1" t="s">
        <v>42</v>
      </c>
      <c r="C42" s="1">
        <v>25</v>
      </c>
      <c r="D42" s="1">
        <v>252</v>
      </c>
      <c r="E42" s="1">
        <v>226</v>
      </c>
      <c r="F42" s="1">
        <v>71</v>
      </c>
      <c r="G42" s="8">
        <v>0.4</v>
      </c>
      <c r="H42" s="1">
        <v>45</v>
      </c>
      <c r="I42" s="1" t="s">
        <v>37</v>
      </c>
      <c r="J42" s="1"/>
      <c r="K42" s="1">
        <v>230</v>
      </c>
      <c r="L42" s="1">
        <f t="shared" si="14"/>
        <v>-4</v>
      </c>
      <c r="M42" s="1">
        <f t="shared" si="3"/>
        <v>226</v>
      </c>
      <c r="N42" s="1"/>
      <c r="O42" s="1">
        <v>443.04</v>
      </c>
      <c r="P42" s="1">
        <v>0</v>
      </c>
      <c r="Q42" s="1">
        <f t="shared" si="4"/>
        <v>45.2</v>
      </c>
      <c r="R42" s="5"/>
      <c r="S42" s="5"/>
      <c r="T42" s="5">
        <f t="shared" si="5"/>
        <v>0</v>
      </c>
      <c r="U42" s="5"/>
      <c r="V42" s="1"/>
      <c r="W42" s="1"/>
      <c r="X42" s="1">
        <f t="shared" si="6"/>
        <v>11.372566371681414</v>
      </c>
      <c r="Y42" s="1">
        <f t="shared" si="7"/>
        <v>11.372566371681414</v>
      </c>
      <c r="Z42" s="1">
        <v>54.4</v>
      </c>
      <c r="AA42" s="1">
        <v>50.4</v>
      </c>
      <c r="AB42" s="1">
        <v>39.200000000000003</v>
      </c>
      <c r="AC42" s="1">
        <v>36.6</v>
      </c>
      <c r="AD42" s="1">
        <v>28.2</v>
      </c>
      <c r="AE42" s="1">
        <v>40.200000000000003</v>
      </c>
      <c r="AF42" s="1">
        <v>21.2</v>
      </c>
      <c r="AG42" s="1">
        <v>12.8</v>
      </c>
      <c r="AH42" s="1"/>
      <c r="AI42" s="1">
        <f t="shared" si="8"/>
        <v>0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82</v>
      </c>
      <c r="B43" s="1" t="s">
        <v>36</v>
      </c>
      <c r="C43" s="1">
        <v>42.198</v>
      </c>
      <c r="D43" s="1">
        <v>142.876</v>
      </c>
      <c r="E43" s="1">
        <v>74.542000000000002</v>
      </c>
      <c r="F43" s="1">
        <v>100.36799999999999</v>
      </c>
      <c r="G43" s="8">
        <v>1</v>
      </c>
      <c r="H43" s="1">
        <v>40</v>
      </c>
      <c r="I43" s="1" t="s">
        <v>37</v>
      </c>
      <c r="J43" s="1"/>
      <c r="K43" s="1">
        <v>87.62</v>
      </c>
      <c r="L43" s="1">
        <f t="shared" si="14"/>
        <v>-13.078000000000003</v>
      </c>
      <c r="M43" s="1">
        <f t="shared" si="3"/>
        <v>65.873000000000005</v>
      </c>
      <c r="N43" s="1">
        <v>8.6690000000000005</v>
      </c>
      <c r="O43" s="1">
        <v>0</v>
      </c>
      <c r="P43" s="1">
        <v>23.17160000000003</v>
      </c>
      <c r="Q43" s="1">
        <f t="shared" si="4"/>
        <v>13.174600000000002</v>
      </c>
      <c r="R43" s="5">
        <f t="shared" ref="R43:R48" si="15">11*Q43-P43-O43-F43</f>
        <v>21.380999999999986</v>
      </c>
      <c r="S43" s="5"/>
      <c r="T43" s="5">
        <f t="shared" si="5"/>
        <v>21.380999999999986</v>
      </c>
      <c r="U43" s="5"/>
      <c r="V43" s="1"/>
      <c r="W43" s="1"/>
      <c r="X43" s="1">
        <f t="shared" si="6"/>
        <v>11</v>
      </c>
      <c r="Y43" s="1">
        <f t="shared" si="7"/>
        <v>9.377104428217935</v>
      </c>
      <c r="Z43" s="1">
        <v>13.57</v>
      </c>
      <c r="AA43" s="1">
        <v>14.661</v>
      </c>
      <c r="AB43" s="1">
        <v>17.441400000000002</v>
      </c>
      <c r="AC43" s="1">
        <v>16.0746</v>
      </c>
      <c r="AD43" s="1">
        <v>14.2468</v>
      </c>
      <c r="AE43" s="1">
        <v>12.8028</v>
      </c>
      <c r="AF43" s="1">
        <v>13.9732</v>
      </c>
      <c r="AG43" s="1">
        <v>14.8506</v>
      </c>
      <c r="AH43" s="1"/>
      <c r="AI43" s="1">
        <f t="shared" si="8"/>
        <v>21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83</v>
      </c>
      <c r="B44" s="1" t="s">
        <v>42</v>
      </c>
      <c r="C44" s="1">
        <v>159</v>
      </c>
      <c r="D44" s="1">
        <v>174</v>
      </c>
      <c r="E44" s="1">
        <v>182</v>
      </c>
      <c r="F44" s="1">
        <v>149</v>
      </c>
      <c r="G44" s="8">
        <v>0.35</v>
      </c>
      <c r="H44" s="1">
        <v>40</v>
      </c>
      <c r="I44" s="1" t="s">
        <v>37</v>
      </c>
      <c r="J44" s="1"/>
      <c r="K44" s="1">
        <v>184</v>
      </c>
      <c r="L44" s="1">
        <f t="shared" si="14"/>
        <v>-2</v>
      </c>
      <c r="M44" s="1">
        <f t="shared" si="3"/>
        <v>182</v>
      </c>
      <c r="N44" s="1"/>
      <c r="O44" s="1">
        <v>73.799999999999983</v>
      </c>
      <c r="P44" s="1">
        <v>99.4</v>
      </c>
      <c r="Q44" s="1">
        <f t="shared" si="4"/>
        <v>36.4</v>
      </c>
      <c r="R44" s="5">
        <f t="shared" si="15"/>
        <v>78.200000000000017</v>
      </c>
      <c r="S44" s="5"/>
      <c r="T44" s="5">
        <f t="shared" si="5"/>
        <v>78.200000000000017</v>
      </c>
      <c r="U44" s="5"/>
      <c r="V44" s="1"/>
      <c r="W44" s="1"/>
      <c r="X44" s="1">
        <f t="shared" si="6"/>
        <v>11</v>
      </c>
      <c r="Y44" s="1">
        <f t="shared" si="7"/>
        <v>8.8516483516483522</v>
      </c>
      <c r="Z44" s="1">
        <v>35.4</v>
      </c>
      <c r="AA44" s="1">
        <v>36.4</v>
      </c>
      <c r="AB44" s="1">
        <v>34.799999999999997</v>
      </c>
      <c r="AC44" s="1">
        <v>30.2</v>
      </c>
      <c r="AD44" s="1">
        <v>30.2</v>
      </c>
      <c r="AE44" s="1">
        <v>44.4</v>
      </c>
      <c r="AF44" s="1">
        <v>40.799999999999997</v>
      </c>
      <c r="AG44" s="1">
        <v>33.200000000000003</v>
      </c>
      <c r="AH44" s="1" t="s">
        <v>51</v>
      </c>
      <c r="AI44" s="1">
        <f t="shared" si="8"/>
        <v>27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84</v>
      </c>
      <c r="B45" s="1" t="s">
        <v>42</v>
      </c>
      <c r="C45" s="1">
        <v>192</v>
      </c>
      <c r="D45" s="1">
        <v>180</v>
      </c>
      <c r="E45" s="1">
        <v>353</v>
      </c>
      <c r="F45" s="1"/>
      <c r="G45" s="8">
        <v>0.4</v>
      </c>
      <c r="H45" s="1">
        <v>40</v>
      </c>
      <c r="I45" s="1" t="s">
        <v>37</v>
      </c>
      <c r="J45" s="1"/>
      <c r="K45" s="1">
        <v>404</v>
      </c>
      <c r="L45" s="1">
        <f t="shared" si="14"/>
        <v>-51</v>
      </c>
      <c r="M45" s="1">
        <f t="shared" si="3"/>
        <v>353</v>
      </c>
      <c r="N45" s="1"/>
      <c r="O45" s="1">
        <v>294.99999999999989</v>
      </c>
      <c r="P45" s="1">
        <v>254.59999999999991</v>
      </c>
      <c r="Q45" s="1">
        <f t="shared" si="4"/>
        <v>70.599999999999994</v>
      </c>
      <c r="R45" s="5">
        <f t="shared" si="15"/>
        <v>227.00000000000011</v>
      </c>
      <c r="S45" s="5"/>
      <c r="T45" s="5">
        <f t="shared" si="5"/>
        <v>227.00000000000011</v>
      </c>
      <c r="U45" s="5"/>
      <c r="V45" s="1"/>
      <c r="W45" s="1"/>
      <c r="X45" s="1">
        <f t="shared" si="6"/>
        <v>11</v>
      </c>
      <c r="Y45" s="1">
        <f t="shared" si="7"/>
        <v>7.7847025495750684</v>
      </c>
      <c r="Z45" s="1">
        <v>66.8</v>
      </c>
      <c r="AA45" s="1">
        <v>59.4</v>
      </c>
      <c r="AB45" s="1">
        <v>47.2</v>
      </c>
      <c r="AC45" s="1">
        <v>55.4</v>
      </c>
      <c r="AD45" s="1">
        <v>55.4</v>
      </c>
      <c r="AE45" s="1">
        <v>56.6</v>
      </c>
      <c r="AF45" s="1">
        <v>52.4</v>
      </c>
      <c r="AG45" s="1">
        <v>50.6</v>
      </c>
      <c r="AH45" s="1" t="s">
        <v>39</v>
      </c>
      <c r="AI45" s="1">
        <f t="shared" si="8"/>
        <v>91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85</v>
      </c>
      <c r="B46" s="1" t="s">
        <v>36</v>
      </c>
      <c r="C46" s="1">
        <v>23.1</v>
      </c>
      <c r="D46" s="1">
        <v>53.92</v>
      </c>
      <c r="E46" s="1">
        <v>21.515999999999998</v>
      </c>
      <c r="F46" s="1">
        <v>55.503999999999998</v>
      </c>
      <c r="G46" s="8">
        <v>1</v>
      </c>
      <c r="H46" s="1">
        <v>50</v>
      </c>
      <c r="I46" s="1" t="s">
        <v>37</v>
      </c>
      <c r="J46" s="1"/>
      <c r="K46" s="1">
        <v>21.4</v>
      </c>
      <c r="L46" s="1">
        <f t="shared" si="14"/>
        <v>0.11599999999999966</v>
      </c>
      <c r="M46" s="1">
        <f t="shared" si="3"/>
        <v>21.515999999999998</v>
      </c>
      <c r="N46" s="1"/>
      <c r="O46" s="1">
        <v>7.2599999999999909</v>
      </c>
      <c r="P46" s="1">
        <v>4.7434000000000154</v>
      </c>
      <c r="Q46" s="1">
        <f t="shared" si="4"/>
        <v>4.3031999999999995</v>
      </c>
      <c r="R46" s="5"/>
      <c r="S46" s="5"/>
      <c r="T46" s="5">
        <f t="shared" si="5"/>
        <v>0</v>
      </c>
      <c r="U46" s="5"/>
      <c r="V46" s="1"/>
      <c r="W46" s="1"/>
      <c r="X46" s="1">
        <f t="shared" si="6"/>
        <v>15.687720765941627</v>
      </c>
      <c r="Y46" s="1">
        <f t="shared" si="7"/>
        <v>15.687720765941627</v>
      </c>
      <c r="Z46" s="1">
        <v>6.1943999999999999</v>
      </c>
      <c r="AA46" s="1">
        <v>6.4640000000000004</v>
      </c>
      <c r="AB46" s="1">
        <v>6.1959999999999997</v>
      </c>
      <c r="AC46" s="1">
        <v>5.8084000000000007</v>
      </c>
      <c r="AD46" s="1">
        <v>5.3073999999999986</v>
      </c>
      <c r="AE46" s="1">
        <v>4.9085999999999999</v>
      </c>
      <c r="AF46" s="1">
        <v>5.6554000000000002</v>
      </c>
      <c r="AG46" s="1">
        <v>5.3805999999999994</v>
      </c>
      <c r="AH46" s="1"/>
      <c r="AI46" s="1">
        <f t="shared" si="8"/>
        <v>0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86</v>
      </c>
      <c r="B47" s="1" t="s">
        <v>36</v>
      </c>
      <c r="C47" s="1">
        <v>106.562</v>
      </c>
      <c r="D47" s="1">
        <v>87.281000000000006</v>
      </c>
      <c r="E47" s="1">
        <v>75.158000000000001</v>
      </c>
      <c r="F47" s="1">
        <v>118.012</v>
      </c>
      <c r="G47" s="8">
        <v>1</v>
      </c>
      <c r="H47" s="1">
        <v>50</v>
      </c>
      <c r="I47" s="1" t="s">
        <v>37</v>
      </c>
      <c r="J47" s="1"/>
      <c r="K47" s="1">
        <v>72.55</v>
      </c>
      <c r="L47" s="1">
        <f t="shared" si="14"/>
        <v>2.6080000000000041</v>
      </c>
      <c r="M47" s="1">
        <f t="shared" si="3"/>
        <v>75.158000000000001</v>
      </c>
      <c r="N47" s="1"/>
      <c r="O47" s="1">
        <v>9.9279999999999831</v>
      </c>
      <c r="P47" s="1">
        <v>22.597999999999981</v>
      </c>
      <c r="Q47" s="1">
        <f t="shared" si="4"/>
        <v>15.031600000000001</v>
      </c>
      <c r="R47" s="5">
        <f t="shared" si="15"/>
        <v>14.809600000000046</v>
      </c>
      <c r="S47" s="5"/>
      <c r="T47" s="5">
        <f t="shared" si="5"/>
        <v>14.809600000000046</v>
      </c>
      <c r="U47" s="5"/>
      <c r="V47" s="1"/>
      <c r="W47" s="1"/>
      <c r="X47" s="1">
        <f t="shared" si="6"/>
        <v>11</v>
      </c>
      <c r="Y47" s="1">
        <f t="shared" si="7"/>
        <v>10.014768886878306</v>
      </c>
      <c r="Z47" s="1">
        <v>15.904400000000001</v>
      </c>
      <c r="AA47" s="1">
        <v>18.180399999999999</v>
      </c>
      <c r="AB47" s="1">
        <v>18.5212</v>
      </c>
      <c r="AC47" s="1">
        <v>19.061599999999999</v>
      </c>
      <c r="AD47" s="1">
        <v>19.158799999999999</v>
      </c>
      <c r="AE47" s="1">
        <v>17.422999999999998</v>
      </c>
      <c r="AF47" s="1">
        <v>17.433199999999999</v>
      </c>
      <c r="AG47" s="1">
        <v>14.489599999999999</v>
      </c>
      <c r="AH47" s="1"/>
      <c r="AI47" s="1">
        <f t="shared" si="8"/>
        <v>15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87</v>
      </c>
      <c r="B48" s="1" t="s">
        <v>36</v>
      </c>
      <c r="C48" s="1">
        <v>152.57499999999999</v>
      </c>
      <c r="D48" s="1">
        <v>9.1839999999999993</v>
      </c>
      <c r="E48" s="1">
        <v>111.044</v>
      </c>
      <c r="F48" s="1">
        <v>39.499000000000002</v>
      </c>
      <c r="G48" s="8">
        <v>1</v>
      </c>
      <c r="H48" s="1">
        <v>40</v>
      </c>
      <c r="I48" s="1" t="s">
        <v>37</v>
      </c>
      <c r="J48" s="1"/>
      <c r="K48" s="1">
        <v>100.3</v>
      </c>
      <c r="L48" s="1">
        <f t="shared" si="14"/>
        <v>10.744</v>
      </c>
      <c r="M48" s="1">
        <f t="shared" si="3"/>
        <v>111.044</v>
      </c>
      <c r="N48" s="1"/>
      <c r="O48" s="1">
        <v>99.714400000000012</v>
      </c>
      <c r="P48" s="1">
        <v>53.600599999999972</v>
      </c>
      <c r="Q48" s="1">
        <f t="shared" si="4"/>
        <v>22.2088</v>
      </c>
      <c r="R48" s="5">
        <f t="shared" si="15"/>
        <v>51.482800000000019</v>
      </c>
      <c r="S48" s="5"/>
      <c r="T48" s="5">
        <f t="shared" si="5"/>
        <v>51.482800000000019</v>
      </c>
      <c r="U48" s="5"/>
      <c r="V48" s="1"/>
      <c r="W48" s="1"/>
      <c r="X48" s="1">
        <f t="shared" si="6"/>
        <v>11</v>
      </c>
      <c r="Y48" s="1">
        <f t="shared" si="7"/>
        <v>8.6818738518064897</v>
      </c>
      <c r="Z48" s="1">
        <v>22.597999999999999</v>
      </c>
      <c r="AA48" s="1">
        <v>22.935400000000001</v>
      </c>
      <c r="AB48" s="1">
        <v>15.862</v>
      </c>
      <c r="AC48" s="1">
        <v>15.1358</v>
      </c>
      <c r="AD48" s="1">
        <v>26.546399999999998</v>
      </c>
      <c r="AE48" s="1">
        <v>29.293399999999998</v>
      </c>
      <c r="AF48" s="1">
        <v>19.555399999999999</v>
      </c>
      <c r="AG48" s="1">
        <v>17.773599999999998</v>
      </c>
      <c r="AH48" s="1"/>
      <c r="AI48" s="1">
        <f t="shared" si="8"/>
        <v>51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88</v>
      </c>
      <c r="B49" s="1" t="s">
        <v>42</v>
      </c>
      <c r="C49" s="1">
        <v>83</v>
      </c>
      <c r="D49" s="1">
        <v>90</v>
      </c>
      <c r="E49" s="1">
        <v>74</v>
      </c>
      <c r="F49" s="1">
        <v>99</v>
      </c>
      <c r="G49" s="8">
        <v>0.45</v>
      </c>
      <c r="H49" s="1">
        <v>50</v>
      </c>
      <c r="I49" s="1" t="s">
        <v>37</v>
      </c>
      <c r="J49" s="1"/>
      <c r="K49" s="1">
        <v>65</v>
      </c>
      <c r="L49" s="1">
        <f t="shared" si="14"/>
        <v>9</v>
      </c>
      <c r="M49" s="1">
        <f t="shared" si="3"/>
        <v>74</v>
      </c>
      <c r="N49" s="1"/>
      <c r="O49" s="1">
        <v>265.2</v>
      </c>
      <c r="P49" s="1">
        <v>179.1</v>
      </c>
      <c r="Q49" s="1">
        <f t="shared" si="4"/>
        <v>14.8</v>
      </c>
      <c r="R49" s="5"/>
      <c r="S49" s="5"/>
      <c r="T49" s="5">
        <f t="shared" si="5"/>
        <v>0</v>
      </c>
      <c r="U49" s="5"/>
      <c r="V49" s="1"/>
      <c r="W49" s="1"/>
      <c r="X49" s="1">
        <f t="shared" si="6"/>
        <v>36.709459459459453</v>
      </c>
      <c r="Y49" s="1">
        <f t="shared" si="7"/>
        <v>36.709459459459453</v>
      </c>
      <c r="Z49" s="1">
        <v>39.799999999999997</v>
      </c>
      <c r="AA49" s="1">
        <v>43.6</v>
      </c>
      <c r="AB49" s="1">
        <v>28.4</v>
      </c>
      <c r="AC49" s="1">
        <v>26.2</v>
      </c>
      <c r="AD49" s="1">
        <v>22.6</v>
      </c>
      <c r="AE49" s="1">
        <v>37.799999999999997</v>
      </c>
      <c r="AF49" s="1">
        <v>31</v>
      </c>
      <c r="AG49" s="1">
        <v>25.6</v>
      </c>
      <c r="AH49" s="17" t="s">
        <v>75</v>
      </c>
      <c r="AI49" s="1">
        <f t="shared" si="8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89</v>
      </c>
      <c r="B50" s="1" t="s">
        <v>42</v>
      </c>
      <c r="C50" s="1"/>
      <c r="D50" s="1">
        <v>108</v>
      </c>
      <c r="E50" s="1">
        <v>40</v>
      </c>
      <c r="F50" s="1">
        <v>63</v>
      </c>
      <c r="G50" s="8">
        <v>0.4</v>
      </c>
      <c r="H50" s="1">
        <v>40</v>
      </c>
      <c r="I50" s="1" t="s">
        <v>37</v>
      </c>
      <c r="J50" s="1"/>
      <c r="K50" s="1">
        <v>45</v>
      </c>
      <c r="L50" s="1">
        <f t="shared" si="14"/>
        <v>-5</v>
      </c>
      <c r="M50" s="1">
        <f t="shared" si="3"/>
        <v>40</v>
      </c>
      <c r="N50" s="1"/>
      <c r="O50" s="1">
        <v>165.8</v>
      </c>
      <c r="P50" s="1">
        <v>0</v>
      </c>
      <c r="Q50" s="1">
        <f t="shared" si="4"/>
        <v>8</v>
      </c>
      <c r="R50" s="5"/>
      <c r="S50" s="5"/>
      <c r="T50" s="5">
        <f t="shared" si="5"/>
        <v>0</v>
      </c>
      <c r="U50" s="5"/>
      <c r="V50" s="1"/>
      <c r="W50" s="1"/>
      <c r="X50" s="1">
        <f t="shared" si="6"/>
        <v>28.6</v>
      </c>
      <c r="Y50" s="1">
        <f t="shared" si="7"/>
        <v>28.6</v>
      </c>
      <c r="Z50" s="1">
        <v>19</v>
      </c>
      <c r="AA50" s="1">
        <v>27.2</v>
      </c>
      <c r="AB50" s="1">
        <v>17.600000000000001</v>
      </c>
      <c r="AC50" s="1">
        <v>17</v>
      </c>
      <c r="AD50" s="1">
        <v>17.399999999999999</v>
      </c>
      <c r="AE50" s="1">
        <v>21</v>
      </c>
      <c r="AF50" s="1">
        <v>12.4</v>
      </c>
      <c r="AG50" s="1">
        <v>5.4</v>
      </c>
      <c r="AH50" s="1"/>
      <c r="AI50" s="1">
        <f t="shared" si="8"/>
        <v>0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90</v>
      </c>
      <c r="B51" s="1" t="s">
        <v>42</v>
      </c>
      <c r="C51" s="1"/>
      <c r="D51" s="1">
        <v>312</v>
      </c>
      <c r="E51" s="1">
        <v>87</v>
      </c>
      <c r="F51" s="1">
        <v>216</v>
      </c>
      <c r="G51" s="8">
        <v>0.4</v>
      </c>
      <c r="H51" s="1">
        <v>40</v>
      </c>
      <c r="I51" s="1" t="s">
        <v>37</v>
      </c>
      <c r="J51" s="1"/>
      <c r="K51" s="1">
        <v>96</v>
      </c>
      <c r="L51" s="1">
        <f t="shared" si="14"/>
        <v>-9</v>
      </c>
      <c r="M51" s="1">
        <f t="shared" si="3"/>
        <v>87</v>
      </c>
      <c r="N51" s="1"/>
      <c r="O51" s="1">
        <v>0</v>
      </c>
      <c r="P51" s="1">
        <v>0</v>
      </c>
      <c r="Q51" s="1">
        <f t="shared" si="4"/>
        <v>17.399999999999999</v>
      </c>
      <c r="R51" s="5"/>
      <c r="S51" s="5"/>
      <c r="T51" s="5">
        <f t="shared" si="5"/>
        <v>0</v>
      </c>
      <c r="U51" s="5"/>
      <c r="V51" s="1"/>
      <c r="W51" s="1"/>
      <c r="X51" s="1">
        <f t="shared" si="6"/>
        <v>12.413793103448278</v>
      </c>
      <c r="Y51" s="1">
        <f t="shared" si="7"/>
        <v>12.413793103448278</v>
      </c>
      <c r="Z51" s="1">
        <v>-1.2</v>
      </c>
      <c r="AA51" s="1">
        <v>-0.8</v>
      </c>
      <c r="AB51" s="1">
        <v>25.8</v>
      </c>
      <c r="AC51" s="1">
        <v>33.799999999999997</v>
      </c>
      <c r="AD51" s="1">
        <v>10.6</v>
      </c>
      <c r="AE51" s="1">
        <v>8.6</v>
      </c>
      <c r="AF51" s="1">
        <v>15.6</v>
      </c>
      <c r="AG51" s="1">
        <v>17</v>
      </c>
      <c r="AH51" s="1" t="s">
        <v>51</v>
      </c>
      <c r="AI51" s="1">
        <f t="shared" si="8"/>
        <v>0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2" t="s">
        <v>91</v>
      </c>
      <c r="B52" s="12" t="s">
        <v>36</v>
      </c>
      <c r="C52" s="12"/>
      <c r="D52" s="12"/>
      <c r="E52" s="12"/>
      <c r="F52" s="12"/>
      <c r="G52" s="13">
        <v>0</v>
      </c>
      <c r="H52" s="12">
        <v>50</v>
      </c>
      <c r="I52" s="12" t="s">
        <v>37</v>
      </c>
      <c r="J52" s="12"/>
      <c r="K52" s="12"/>
      <c r="L52" s="12">
        <f t="shared" si="14"/>
        <v>0</v>
      </c>
      <c r="M52" s="12">
        <f t="shared" si="3"/>
        <v>0</v>
      </c>
      <c r="N52" s="12"/>
      <c r="O52" s="12">
        <v>0</v>
      </c>
      <c r="P52" s="12">
        <v>0</v>
      </c>
      <c r="Q52" s="12">
        <f t="shared" si="4"/>
        <v>0</v>
      </c>
      <c r="R52" s="14"/>
      <c r="S52" s="14"/>
      <c r="T52" s="5">
        <f t="shared" si="5"/>
        <v>0</v>
      </c>
      <c r="U52" s="14"/>
      <c r="V52" s="12"/>
      <c r="W52" s="12"/>
      <c r="X52" s="1" t="e">
        <f t="shared" si="6"/>
        <v>#DIV/0!</v>
      </c>
      <c r="Y52" s="12" t="e">
        <f t="shared" si="7"/>
        <v>#DIV/0!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 t="s">
        <v>45</v>
      </c>
      <c r="AI52" s="1">
        <f t="shared" si="8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92</v>
      </c>
      <c r="B53" s="1" t="s">
        <v>42</v>
      </c>
      <c r="C53" s="1">
        <v>67</v>
      </c>
      <c r="D53" s="1"/>
      <c r="E53" s="1">
        <v>39</v>
      </c>
      <c r="F53" s="1">
        <v>28</v>
      </c>
      <c r="G53" s="8">
        <v>0.1</v>
      </c>
      <c r="H53" s="1">
        <v>730</v>
      </c>
      <c r="I53" s="1" t="s">
        <v>37</v>
      </c>
      <c r="J53" s="1"/>
      <c r="K53" s="1">
        <v>39</v>
      </c>
      <c r="L53" s="1">
        <f t="shared" si="14"/>
        <v>0</v>
      </c>
      <c r="M53" s="1">
        <f t="shared" si="3"/>
        <v>39</v>
      </c>
      <c r="N53" s="1"/>
      <c r="O53" s="1">
        <v>0</v>
      </c>
      <c r="P53" s="1">
        <v>49</v>
      </c>
      <c r="Q53" s="1">
        <f t="shared" si="4"/>
        <v>7.8</v>
      </c>
      <c r="R53" s="5">
        <f t="shared" ref="R53:R65" si="16">11*Q53-P53-O53-F53</f>
        <v>8.7999999999999972</v>
      </c>
      <c r="S53" s="5"/>
      <c r="T53" s="5">
        <f t="shared" si="5"/>
        <v>8.7999999999999972</v>
      </c>
      <c r="U53" s="5"/>
      <c r="V53" s="1"/>
      <c r="W53" s="1"/>
      <c r="X53" s="1">
        <f t="shared" si="6"/>
        <v>11</v>
      </c>
      <c r="Y53" s="1">
        <f t="shared" si="7"/>
        <v>9.8717948717948723</v>
      </c>
      <c r="Z53" s="1">
        <v>8</v>
      </c>
      <c r="AA53" s="1">
        <v>5.6</v>
      </c>
      <c r="AB53" s="1">
        <v>6.4</v>
      </c>
      <c r="AC53" s="1">
        <v>8.1999999999999993</v>
      </c>
      <c r="AD53" s="1">
        <v>8.8000000000000007</v>
      </c>
      <c r="AE53" s="1">
        <v>7</v>
      </c>
      <c r="AF53" s="1">
        <v>10</v>
      </c>
      <c r="AG53" s="1">
        <v>15</v>
      </c>
      <c r="AH53" s="1"/>
      <c r="AI53" s="1">
        <f t="shared" si="8"/>
        <v>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93</v>
      </c>
      <c r="B54" s="1" t="s">
        <v>36</v>
      </c>
      <c r="C54" s="1">
        <v>109.02</v>
      </c>
      <c r="D54" s="1">
        <v>64.665999999999997</v>
      </c>
      <c r="E54" s="1">
        <v>67.268000000000001</v>
      </c>
      <c r="F54" s="1">
        <v>106.41800000000001</v>
      </c>
      <c r="G54" s="8">
        <v>1</v>
      </c>
      <c r="H54" s="1">
        <v>50</v>
      </c>
      <c r="I54" s="1" t="s">
        <v>37</v>
      </c>
      <c r="J54" s="1"/>
      <c r="K54" s="1">
        <v>63.9</v>
      </c>
      <c r="L54" s="1">
        <f t="shared" si="14"/>
        <v>3.3680000000000021</v>
      </c>
      <c r="M54" s="1">
        <f t="shared" si="3"/>
        <v>67.268000000000001</v>
      </c>
      <c r="N54" s="1"/>
      <c r="O54" s="1">
        <v>0</v>
      </c>
      <c r="P54" s="1">
        <v>0</v>
      </c>
      <c r="Q54" s="1">
        <f t="shared" si="4"/>
        <v>13.4536</v>
      </c>
      <c r="R54" s="5">
        <f t="shared" si="16"/>
        <v>41.571599999999989</v>
      </c>
      <c r="S54" s="5"/>
      <c r="T54" s="5">
        <f t="shared" si="5"/>
        <v>41.571599999999989</v>
      </c>
      <c r="U54" s="5"/>
      <c r="V54" s="1"/>
      <c r="W54" s="1"/>
      <c r="X54" s="1">
        <f t="shared" si="6"/>
        <v>11</v>
      </c>
      <c r="Y54" s="1">
        <f t="shared" si="7"/>
        <v>7.9100017839091405</v>
      </c>
      <c r="Z54" s="1">
        <v>11.087999999999999</v>
      </c>
      <c r="AA54" s="1">
        <v>15.3454</v>
      </c>
      <c r="AB54" s="1">
        <v>16.656400000000001</v>
      </c>
      <c r="AC54" s="1">
        <v>12.8786</v>
      </c>
      <c r="AD54" s="1">
        <v>18.8232</v>
      </c>
      <c r="AE54" s="1">
        <v>21.261399999999998</v>
      </c>
      <c r="AF54" s="1">
        <v>16.172000000000001</v>
      </c>
      <c r="AG54" s="1">
        <v>13.966200000000001</v>
      </c>
      <c r="AH54" s="1"/>
      <c r="AI54" s="1">
        <f t="shared" si="8"/>
        <v>42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94</v>
      </c>
      <c r="B55" s="1" t="s">
        <v>36</v>
      </c>
      <c r="C55" s="1">
        <v>28.16</v>
      </c>
      <c r="D55" s="1">
        <v>10.951000000000001</v>
      </c>
      <c r="E55" s="1">
        <v>10.802</v>
      </c>
      <c r="F55" s="1">
        <v>28.309000000000001</v>
      </c>
      <c r="G55" s="8">
        <v>1</v>
      </c>
      <c r="H55" s="1">
        <v>50</v>
      </c>
      <c r="I55" s="1" t="s">
        <v>37</v>
      </c>
      <c r="J55" s="1"/>
      <c r="K55" s="1">
        <v>10.5</v>
      </c>
      <c r="L55" s="1">
        <f t="shared" si="14"/>
        <v>0.3019999999999996</v>
      </c>
      <c r="M55" s="1">
        <f t="shared" si="3"/>
        <v>10.802</v>
      </c>
      <c r="N55" s="1"/>
      <c r="O55" s="1">
        <v>9.2836000000000034</v>
      </c>
      <c r="P55" s="1">
        <v>0</v>
      </c>
      <c r="Q55" s="1">
        <f t="shared" si="4"/>
        <v>2.1604000000000001</v>
      </c>
      <c r="R55" s="5"/>
      <c r="S55" s="5"/>
      <c r="T55" s="5">
        <f t="shared" si="5"/>
        <v>0</v>
      </c>
      <c r="U55" s="5"/>
      <c r="V55" s="1"/>
      <c r="W55" s="1"/>
      <c r="X55" s="1">
        <f t="shared" si="6"/>
        <v>17.400759118681727</v>
      </c>
      <c r="Y55" s="1">
        <f t="shared" si="7"/>
        <v>17.400759118681727</v>
      </c>
      <c r="Z55" s="1">
        <v>3.2309999999999999</v>
      </c>
      <c r="AA55" s="1">
        <v>3.7675999999999998</v>
      </c>
      <c r="AB55" s="1">
        <v>3.2342</v>
      </c>
      <c r="AC55" s="1">
        <v>4.3137999999999996</v>
      </c>
      <c r="AD55" s="1">
        <v>4.5877999999999997</v>
      </c>
      <c r="AE55" s="1">
        <v>2.9767999999999999</v>
      </c>
      <c r="AF55" s="1">
        <v>4.3293999999999997</v>
      </c>
      <c r="AG55" s="1">
        <v>4.3230000000000004</v>
      </c>
      <c r="AH55" s="1"/>
      <c r="AI55" s="1">
        <f t="shared" si="8"/>
        <v>0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95</v>
      </c>
      <c r="B56" s="1" t="s">
        <v>42</v>
      </c>
      <c r="C56" s="1">
        <v>79</v>
      </c>
      <c r="D56" s="1"/>
      <c r="E56" s="1">
        <v>35</v>
      </c>
      <c r="F56" s="1">
        <v>44</v>
      </c>
      <c r="G56" s="8">
        <v>0.1</v>
      </c>
      <c r="H56" s="1">
        <v>730</v>
      </c>
      <c r="I56" s="1" t="s">
        <v>37</v>
      </c>
      <c r="J56" s="1"/>
      <c r="K56" s="1">
        <v>35</v>
      </c>
      <c r="L56" s="1">
        <f t="shared" si="14"/>
        <v>0</v>
      </c>
      <c r="M56" s="1">
        <f t="shared" si="3"/>
        <v>35</v>
      </c>
      <c r="N56" s="1"/>
      <c r="O56" s="1">
        <v>0</v>
      </c>
      <c r="P56" s="1">
        <v>37</v>
      </c>
      <c r="Q56" s="1">
        <f t="shared" si="4"/>
        <v>7</v>
      </c>
      <c r="R56" s="5"/>
      <c r="S56" s="5"/>
      <c r="T56" s="5">
        <f t="shared" si="5"/>
        <v>0</v>
      </c>
      <c r="U56" s="5"/>
      <c r="V56" s="1"/>
      <c r="W56" s="1"/>
      <c r="X56" s="1">
        <f t="shared" si="6"/>
        <v>11.571428571428571</v>
      </c>
      <c r="Y56" s="1">
        <f t="shared" si="7"/>
        <v>11.571428571428571</v>
      </c>
      <c r="Z56" s="1">
        <v>8</v>
      </c>
      <c r="AA56" s="1">
        <v>5.6</v>
      </c>
      <c r="AB56" s="1">
        <v>6.4</v>
      </c>
      <c r="AC56" s="1">
        <v>8.8000000000000007</v>
      </c>
      <c r="AD56" s="1">
        <v>9.4</v>
      </c>
      <c r="AE56" s="1">
        <v>7.4</v>
      </c>
      <c r="AF56" s="1">
        <v>10.199999999999999</v>
      </c>
      <c r="AG56" s="1">
        <v>15.6</v>
      </c>
      <c r="AH56" s="1"/>
      <c r="AI56" s="1">
        <f t="shared" si="8"/>
        <v>0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96</v>
      </c>
      <c r="B57" s="1" t="s">
        <v>42</v>
      </c>
      <c r="C57" s="1"/>
      <c r="D57" s="1">
        <v>210</v>
      </c>
      <c r="E57" s="1">
        <v>29</v>
      </c>
      <c r="F57" s="1">
        <v>172</v>
      </c>
      <c r="G57" s="8">
        <v>0.4</v>
      </c>
      <c r="H57" s="1">
        <v>50</v>
      </c>
      <c r="I57" s="1" t="s">
        <v>37</v>
      </c>
      <c r="J57" s="1"/>
      <c r="K57" s="1">
        <v>38</v>
      </c>
      <c r="L57" s="1">
        <f t="shared" si="14"/>
        <v>-9</v>
      </c>
      <c r="M57" s="1">
        <f t="shared" si="3"/>
        <v>29</v>
      </c>
      <c r="N57" s="1"/>
      <c r="O57" s="1">
        <v>0</v>
      </c>
      <c r="P57" s="1">
        <v>0</v>
      </c>
      <c r="Q57" s="1">
        <f t="shared" si="4"/>
        <v>5.8</v>
      </c>
      <c r="R57" s="5"/>
      <c r="S57" s="5"/>
      <c r="T57" s="5">
        <f t="shared" si="5"/>
        <v>0</v>
      </c>
      <c r="U57" s="5"/>
      <c r="V57" s="1"/>
      <c r="W57" s="1"/>
      <c r="X57" s="1">
        <f t="shared" si="6"/>
        <v>29.655172413793103</v>
      </c>
      <c r="Y57" s="1">
        <f t="shared" si="7"/>
        <v>29.655172413793103</v>
      </c>
      <c r="Z57" s="1">
        <v>12</v>
      </c>
      <c r="AA57" s="1">
        <v>14.4</v>
      </c>
      <c r="AB57" s="1">
        <v>22.2</v>
      </c>
      <c r="AC57" s="1">
        <v>20.8</v>
      </c>
      <c r="AD57" s="1">
        <v>6</v>
      </c>
      <c r="AE57" s="1">
        <v>11.8</v>
      </c>
      <c r="AF57" s="1">
        <v>11.8</v>
      </c>
      <c r="AG57" s="1">
        <v>14.8</v>
      </c>
      <c r="AH57" s="1"/>
      <c r="AI57" s="1">
        <f t="shared" si="8"/>
        <v>0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97</v>
      </c>
      <c r="B58" s="1" t="s">
        <v>36</v>
      </c>
      <c r="C58" s="1">
        <v>33.39</v>
      </c>
      <c r="D58" s="1"/>
      <c r="E58" s="1">
        <v>9.6560000000000006</v>
      </c>
      <c r="F58" s="1">
        <v>23.734000000000002</v>
      </c>
      <c r="G58" s="8">
        <v>1</v>
      </c>
      <c r="H58" s="1">
        <v>40</v>
      </c>
      <c r="I58" s="1" t="s">
        <v>37</v>
      </c>
      <c r="J58" s="1"/>
      <c r="K58" s="1">
        <v>9.3000000000000007</v>
      </c>
      <c r="L58" s="1">
        <f t="shared" si="14"/>
        <v>0.35599999999999987</v>
      </c>
      <c r="M58" s="1">
        <f t="shared" si="3"/>
        <v>9.6560000000000006</v>
      </c>
      <c r="N58" s="1"/>
      <c r="O58" s="1">
        <v>0</v>
      </c>
      <c r="P58" s="1">
        <v>0</v>
      </c>
      <c r="Q58" s="1">
        <f t="shared" si="4"/>
        <v>1.9312</v>
      </c>
      <c r="R58" s="5"/>
      <c r="S58" s="5"/>
      <c r="T58" s="5">
        <f t="shared" si="5"/>
        <v>0</v>
      </c>
      <c r="U58" s="5"/>
      <c r="V58" s="1"/>
      <c r="W58" s="1"/>
      <c r="X58" s="1">
        <f t="shared" si="6"/>
        <v>12.289768019884011</v>
      </c>
      <c r="Y58" s="1">
        <f t="shared" si="7"/>
        <v>12.289768019884011</v>
      </c>
      <c r="Z58" s="1">
        <v>1.1220000000000001</v>
      </c>
      <c r="AA58" s="1">
        <v>1.956</v>
      </c>
      <c r="AB58" s="1">
        <v>2.5106000000000002</v>
      </c>
      <c r="AC58" s="1">
        <v>2.1991999999999998</v>
      </c>
      <c r="AD58" s="1">
        <v>4.1167999999999996</v>
      </c>
      <c r="AE58" s="1">
        <v>4.1332000000000004</v>
      </c>
      <c r="AF58" s="1">
        <v>1.3812</v>
      </c>
      <c r="AG58" s="1">
        <v>0</v>
      </c>
      <c r="AH58" s="17" t="s">
        <v>75</v>
      </c>
      <c r="AI58" s="1">
        <f t="shared" si="8"/>
        <v>0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98</v>
      </c>
      <c r="B59" s="1" t="s">
        <v>36</v>
      </c>
      <c r="C59" s="1">
        <v>38.6</v>
      </c>
      <c r="D59" s="1"/>
      <c r="E59" s="1">
        <v>12.07</v>
      </c>
      <c r="F59" s="1">
        <v>26.53</v>
      </c>
      <c r="G59" s="8">
        <v>1</v>
      </c>
      <c r="H59" s="1">
        <v>40</v>
      </c>
      <c r="I59" s="1" t="s">
        <v>37</v>
      </c>
      <c r="J59" s="1"/>
      <c r="K59" s="1">
        <v>12</v>
      </c>
      <c r="L59" s="1">
        <f t="shared" si="14"/>
        <v>7.0000000000000284E-2</v>
      </c>
      <c r="M59" s="1">
        <f t="shared" si="3"/>
        <v>12.07</v>
      </c>
      <c r="N59" s="1"/>
      <c r="O59" s="1">
        <v>0</v>
      </c>
      <c r="P59" s="1">
        <v>0</v>
      </c>
      <c r="Q59" s="1">
        <f t="shared" si="4"/>
        <v>2.4140000000000001</v>
      </c>
      <c r="R59" s="5"/>
      <c r="S59" s="5"/>
      <c r="T59" s="5">
        <f t="shared" si="5"/>
        <v>0</v>
      </c>
      <c r="U59" s="5"/>
      <c r="V59" s="1"/>
      <c r="W59" s="1"/>
      <c r="X59" s="1">
        <f t="shared" si="6"/>
        <v>10.990057995028998</v>
      </c>
      <c r="Y59" s="1">
        <f t="shared" si="7"/>
        <v>10.990057995028998</v>
      </c>
      <c r="Z59" s="1">
        <v>1.5102</v>
      </c>
      <c r="AA59" s="1">
        <v>2.036</v>
      </c>
      <c r="AB59" s="1">
        <v>2.1518000000000002</v>
      </c>
      <c r="AC59" s="1">
        <v>1.3895999999999999</v>
      </c>
      <c r="AD59" s="1">
        <v>4.1614000000000004</v>
      </c>
      <c r="AE59" s="1">
        <v>4.4405999999999999</v>
      </c>
      <c r="AF59" s="1">
        <v>1.6668000000000001</v>
      </c>
      <c r="AG59" s="1">
        <v>0</v>
      </c>
      <c r="AH59" s="18" t="s">
        <v>133</v>
      </c>
      <c r="AI59" s="1">
        <f t="shared" si="8"/>
        <v>0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99</v>
      </c>
      <c r="B60" s="1" t="s">
        <v>42</v>
      </c>
      <c r="C60" s="1">
        <v>65</v>
      </c>
      <c r="D60" s="1">
        <v>607</v>
      </c>
      <c r="E60" s="1">
        <v>315</v>
      </c>
      <c r="F60" s="1">
        <v>348</v>
      </c>
      <c r="G60" s="8">
        <v>0.4</v>
      </c>
      <c r="H60" s="1">
        <v>40</v>
      </c>
      <c r="I60" s="1" t="s">
        <v>37</v>
      </c>
      <c r="J60" s="1"/>
      <c r="K60" s="1">
        <v>336</v>
      </c>
      <c r="L60" s="1">
        <f t="shared" si="14"/>
        <v>-21</v>
      </c>
      <c r="M60" s="1">
        <f t="shared" si="3"/>
        <v>315</v>
      </c>
      <c r="N60" s="1"/>
      <c r="O60" s="1">
        <v>462.60000000000008</v>
      </c>
      <c r="P60" s="1">
        <v>114.40000000000011</v>
      </c>
      <c r="Q60" s="1">
        <f t="shared" si="4"/>
        <v>63</v>
      </c>
      <c r="R60" s="5"/>
      <c r="S60" s="5"/>
      <c r="T60" s="5">
        <f t="shared" si="5"/>
        <v>0</v>
      </c>
      <c r="U60" s="5"/>
      <c r="V60" s="1"/>
      <c r="W60" s="1"/>
      <c r="X60" s="1">
        <f t="shared" si="6"/>
        <v>14.682539682539685</v>
      </c>
      <c r="Y60" s="1">
        <f t="shared" si="7"/>
        <v>14.682539682539685</v>
      </c>
      <c r="Z60" s="1">
        <v>93.2</v>
      </c>
      <c r="AA60" s="1">
        <v>101.8</v>
      </c>
      <c r="AB60" s="1">
        <v>82.6</v>
      </c>
      <c r="AC60" s="1">
        <v>82.8</v>
      </c>
      <c r="AD60" s="1">
        <v>70.2</v>
      </c>
      <c r="AE60" s="1">
        <v>82.4</v>
      </c>
      <c r="AF60" s="1">
        <v>80</v>
      </c>
      <c r="AG60" s="1">
        <v>69.599999999999994</v>
      </c>
      <c r="AH60" s="1"/>
      <c r="AI60" s="1">
        <f t="shared" si="8"/>
        <v>0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100</v>
      </c>
      <c r="B61" s="1" t="s">
        <v>42</v>
      </c>
      <c r="C61" s="1">
        <v>54</v>
      </c>
      <c r="D61" s="1">
        <v>289</v>
      </c>
      <c r="E61" s="1">
        <v>327</v>
      </c>
      <c r="F61" s="1"/>
      <c r="G61" s="8">
        <v>0.4</v>
      </c>
      <c r="H61" s="1">
        <v>40</v>
      </c>
      <c r="I61" s="1" t="s">
        <v>37</v>
      </c>
      <c r="J61" s="1"/>
      <c r="K61" s="1">
        <v>375</v>
      </c>
      <c r="L61" s="1">
        <f t="shared" si="14"/>
        <v>-48</v>
      </c>
      <c r="M61" s="1">
        <f t="shared" si="3"/>
        <v>327</v>
      </c>
      <c r="N61" s="1"/>
      <c r="O61" s="1">
        <v>448.2</v>
      </c>
      <c r="P61" s="1">
        <v>232.00000000000011</v>
      </c>
      <c r="Q61" s="1">
        <f t="shared" si="4"/>
        <v>65.400000000000006</v>
      </c>
      <c r="R61" s="5">
        <f t="shared" si="16"/>
        <v>39.199999999999989</v>
      </c>
      <c r="S61" s="5"/>
      <c r="T61" s="5">
        <f t="shared" si="5"/>
        <v>39.199999999999989</v>
      </c>
      <c r="U61" s="5"/>
      <c r="V61" s="1"/>
      <c r="W61" s="1"/>
      <c r="X61" s="1">
        <f t="shared" si="6"/>
        <v>11</v>
      </c>
      <c r="Y61" s="1">
        <f t="shared" si="7"/>
        <v>10.400611620795107</v>
      </c>
      <c r="Z61" s="1">
        <v>77.400000000000006</v>
      </c>
      <c r="AA61" s="1">
        <v>77.599999999999994</v>
      </c>
      <c r="AB61" s="1">
        <v>52.4</v>
      </c>
      <c r="AC61" s="1">
        <v>56.2</v>
      </c>
      <c r="AD61" s="1">
        <v>52</v>
      </c>
      <c r="AE61" s="1">
        <v>63.8</v>
      </c>
      <c r="AF61" s="1">
        <v>58.4</v>
      </c>
      <c r="AG61" s="1">
        <v>53</v>
      </c>
      <c r="AH61" s="1" t="s">
        <v>39</v>
      </c>
      <c r="AI61" s="1">
        <f t="shared" si="8"/>
        <v>16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101</v>
      </c>
      <c r="B62" s="1" t="s">
        <v>36</v>
      </c>
      <c r="C62" s="1">
        <v>181.84800000000001</v>
      </c>
      <c r="D62" s="1">
        <v>266.25200000000001</v>
      </c>
      <c r="E62" s="1">
        <v>200.55699999999999</v>
      </c>
      <c r="F62" s="1">
        <v>233.124</v>
      </c>
      <c r="G62" s="8">
        <v>1</v>
      </c>
      <c r="H62" s="1">
        <v>40</v>
      </c>
      <c r="I62" s="1" t="s">
        <v>37</v>
      </c>
      <c r="J62" s="1"/>
      <c r="K62" s="1">
        <v>185.3</v>
      </c>
      <c r="L62" s="1">
        <f t="shared" si="14"/>
        <v>15.256999999999977</v>
      </c>
      <c r="M62" s="1">
        <f t="shared" si="3"/>
        <v>189.786</v>
      </c>
      <c r="N62" s="1">
        <v>10.771000000000001</v>
      </c>
      <c r="O62" s="1">
        <v>55.05699999999996</v>
      </c>
      <c r="P62" s="1">
        <v>41.223399999999941</v>
      </c>
      <c r="Q62" s="1">
        <f t="shared" si="4"/>
        <v>37.9572</v>
      </c>
      <c r="R62" s="5">
        <f t="shared" si="16"/>
        <v>88.124800000000135</v>
      </c>
      <c r="S62" s="5"/>
      <c r="T62" s="5">
        <f t="shared" si="5"/>
        <v>88.124800000000135</v>
      </c>
      <c r="U62" s="5"/>
      <c r="V62" s="1"/>
      <c r="W62" s="1"/>
      <c r="X62" s="1">
        <f t="shared" si="6"/>
        <v>11.000000000000002</v>
      </c>
      <c r="Y62" s="1">
        <f t="shared" si="7"/>
        <v>8.6783113612173679</v>
      </c>
      <c r="Z62" s="1">
        <v>36.941000000000003</v>
      </c>
      <c r="AA62" s="1">
        <v>43.912199999999999</v>
      </c>
      <c r="AB62" s="1">
        <v>43.654600000000002</v>
      </c>
      <c r="AC62" s="1">
        <v>38.603200000000001</v>
      </c>
      <c r="AD62" s="1">
        <v>42.333799999999997</v>
      </c>
      <c r="AE62" s="1">
        <v>43.986800000000002</v>
      </c>
      <c r="AF62" s="1">
        <v>37.209400000000002</v>
      </c>
      <c r="AG62" s="1">
        <v>30.4376</v>
      </c>
      <c r="AH62" s="1"/>
      <c r="AI62" s="1">
        <f t="shared" si="8"/>
        <v>88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102</v>
      </c>
      <c r="B63" s="1" t="s">
        <v>36</v>
      </c>
      <c r="C63" s="1">
        <v>179.684</v>
      </c>
      <c r="D63" s="1">
        <v>270.94499999999999</v>
      </c>
      <c r="E63" s="1">
        <v>167.28100000000001</v>
      </c>
      <c r="F63" s="1">
        <v>267.09199999999998</v>
      </c>
      <c r="G63" s="8">
        <v>1</v>
      </c>
      <c r="H63" s="1">
        <v>40</v>
      </c>
      <c r="I63" s="1" t="s">
        <v>37</v>
      </c>
      <c r="J63" s="1"/>
      <c r="K63" s="1">
        <v>156.9</v>
      </c>
      <c r="L63" s="1">
        <f t="shared" si="14"/>
        <v>10.381</v>
      </c>
      <c r="M63" s="1">
        <f t="shared" si="3"/>
        <v>156.44200000000001</v>
      </c>
      <c r="N63" s="1">
        <v>10.839</v>
      </c>
      <c r="O63" s="1">
        <v>0</v>
      </c>
      <c r="P63" s="1">
        <v>0</v>
      </c>
      <c r="Q63" s="1">
        <f t="shared" si="4"/>
        <v>31.288400000000003</v>
      </c>
      <c r="R63" s="5">
        <f t="shared" si="16"/>
        <v>77.080400000000054</v>
      </c>
      <c r="S63" s="5"/>
      <c r="T63" s="5">
        <f t="shared" si="5"/>
        <v>77.080400000000054</v>
      </c>
      <c r="U63" s="5"/>
      <c r="V63" s="1"/>
      <c r="W63" s="1"/>
      <c r="X63" s="1">
        <f t="shared" si="6"/>
        <v>11</v>
      </c>
      <c r="Y63" s="1">
        <f t="shared" si="7"/>
        <v>8.5364544048273476</v>
      </c>
      <c r="Z63" s="1">
        <v>23.487200000000001</v>
      </c>
      <c r="AA63" s="1">
        <v>32.866799999999998</v>
      </c>
      <c r="AB63" s="1">
        <v>41.1252</v>
      </c>
      <c r="AC63" s="1">
        <v>30.4114</v>
      </c>
      <c r="AD63" s="1">
        <v>31.087599999999998</v>
      </c>
      <c r="AE63" s="1">
        <v>43.9026</v>
      </c>
      <c r="AF63" s="1">
        <v>43.043599999999998</v>
      </c>
      <c r="AG63" s="1">
        <v>36.085000000000001</v>
      </c>
      <c r="AH63" s="1"/>
      <c r="AI63" s="1">
        <f t="shared" si="8"/>
        <v>77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103</v>
      </c>
      <c r="B64" s="1" t="s">
        <v>36</v>
      </c>
      <c r="C64" s="1">
        <v>165.268</v>
      </c>
      <c r="D64" s="1">
        <v>119.773</v>
      </c>
      <c r="E64" s="1">
        <v>196.61500000000001</v>
      </c>
      <c r="F64" s="1">
        <v>82.082999999999998</v>
      </c>
      <c r="G64" s="8">
        <v>1</v>
      </c>
      <c r="H64" s="1">
        <v>40</v>
      </c>
      <c r="I64" s="1" t="s">
        <v>37</v>
      </c>
      <c r="J64" s="1"/>
      <c r="K64" s="1">
        <v>183</v>
      </c>
      <c r="L64" s="1">
        <f t="shared" si="14"/>
        <v>13.615000000000009</v>
      </c>
      <c r="M64" s="1">
        <f t="shared" si="3"/>
        <v>185.774</v>
      </c>
      <c r="N64" s="1">
        <v>10.840999999999999</v>
      </c>
      <c r="O64" s="1">
        <v>75.437399999999997</v>
      </c>
      <c r="P64" s="1">
        <v>195.3892000000001</v>
      </c>
      <c r="Q64" s="1">
        <f t="shared" si="4"/>
        <v>37.154800000000002</v>
      </c>
      <c r="R64" s="5">
        <f t="shared" si="16"/>
        <v>55.793199999999928</v>
      </c>
      <c r="S64" s="5"/>
      <c r="T64" s="5">
        <f t="shared" si="5"/>
        <v>55.793199999999928</v>
      </c>
      <c r="U64" s="5"/>
      <c r="V64" s="1"/>
      <c r="W64" s="1"/>
      <c r="X64" s="1">
        <f t="shared" si="6"/>
        <v>11</v>
      </c>
      <c r="Y64" s="1">
        <f t="shared" si="7"/>
        <v>9.498358220203043</v>
      </c>
      <c r="Z64" s="1">
        <v>38.478200000000001</v>
      </c>
      <c r="AA64" s="1">
        <v>32.153399999999998</v>
      </c>
      <c r="AB64" s="1">
        <v>31.513000000000002</v>
      </c>
      <c r="AC64" s="1">
        <v>35.6464</v>
      </c>
      <c r="AD64" s="1">
        <v>35.776200000000003</v>
      </c>
      <c r="AE64" s="1">
        <v>30.697399999999998</v>
      </c>
      <c r="AF64" s="1">
        <v>24.968800000000002</v>
      </c>
      <c r="AG64" s="1">
        <v>31.4742</v>
      </c>
      <c r="AH64" s="1"/>
      <c r="AI64" s="1">
        <f t="shared" si="8"/>
        <v>56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104</v>
      </c>
      <c r="B65" s="1" t="s">
        <v>36</v>
      </c>
      <c r="C65" s="1">
        <v>54.04</v>
      </c>
      <c r="D65" s="1"/>
      <c r="E65" s="1">
        <v>27.693000000000001</v>
      </c>
      <c r="F65" s="1">
        <v>25.747</v>
      </c>
      <c r="G65" s="8">
        <v>1</v>
      </c>
      <c r="H65" s="1">
        <v>30</v>
      </c>
      <c r="I65" s="1" t="s">
        <v>37</v>
      </c>
      <c r="J65" s="1"/>
      <c r="K65" s="1">
        <v>28.2</v>
      </c>
      <c r="L65" s="1">
        <f t="shared" si="14"/>
        <v>-0.5069999999999979</v>
      </c>
      <c r="M65" s="1">
        <f t="shared" si="3"/>
        <v>27.693000000000001</v>
      </c>
      <c r="N65" s="1"/>
      <c r="O65" s="1">
        <v>10.2836</v>
      </c>
      <c r="P65" s="1">
        <v>3.9500000000000099</v>
      </c>
      <c r="Q65" s="1">
        <f t="shared" si="4"/>
        <v>5.5386000000000006</v>
      </c>
      <c r="R65" s="5">
        <f t="shared" si="16"/>
        <v>20.943999999999996</v>
      </c>
      <c r="S65" s="5"/>
      <c r="T65" s="5">
        <f t="shared" si="5"/>
        <v>20.943999999999996</v>
      </c>
      <c r="U65" s="5"/>
      <c r="V65" s="1"/>
      <c r="W65" s="1"/>
      <c r="X65" s="1">
        <f t="shared" si="6"/>
        <v>11</v>
      </c>
      <c r="Y65" s="1">
        <f t="shared" si="7"/>
        <v>7.218538980969921</v>
      </c>
      <c r="Z65" s="1">
        <v>5.2718000000000007</v>
      </c>
      <c r="AA65" s="1">
        <v>5.8475999999999999</v>
      </c>
      <c r="AB65" s="1">
        <v>3.7094</v>
      </c>
      <c r="AC65" s="1">
        <v>5.0692000000000004</v>
      </c>
      <c r="AD65" s="1">
        <v>8.1430000000000007</v>
      </c>
      <c r="AE65" s="1">
        <v>8.3493999999999993</v>
      </c>
      <c r="AF65" s="1">
        <v>8.206999999999999</v>
      </c>
      <c r="AG65" s="1">
        <v>7.0842000000000001</v>
      </c>
      <c r="AH65" s="1"/>
      <c r="AI65" s="1">
        <f t="shared" si="8"/>
        <v>21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2" t="s">
        <v>105</v>
      </c>
      <c r="B66" s="12" t="s">
        <v>42</v>
      </c>
      <c r="C66" s="12"/>
      <c r="D66" s="12"/>
      <c r="E66" s="12"/>
      <c r="F66" s="12"/>
      <c r="G66" s="13">
        <v>0</v>
      </c>
      <c r="H66" s="12">
        <v>60</v>
      </c>
      <c r="I66" s="12" t="s">
        <v>37</v>
      </c>
      <c r="J66" s="12"/>
      <c r="K66" s="12"/>
      <c r="L66" s="12">
        <f t="shared" si="14"/>
        <v>0</v>
      </c>
      <c r="M66" s="12">
        <f t="shared" si="3"/>
        <v>0</v>
      </c>
      <c r="N66" s="12"/>
      <c r="O66" s="12">
        <v>0</v>
      </c>
      <c r="P66" s="12">
        <v>0</v>
      </c>
      <c r="Q66" s="12">
        <f t="shared" si="4"/>
        <v>0</v>
      </c>
      <c r="R66" s="14"/>
      <c r="S66" s="14"/>
      <c r="T66" s="5">
        <f t="shared" si="5"/>
        <v>0</v>
      </c>
      <c r="U66" s="14"/>
      <c r="V66" s="12"/>
      <c r="W66" s="12"/>
      <c r="X66" s="1" t="e">
        <f t="shared" si="6"/>
        <v>#DIV/0!</v>
      </c>
      <c r="Y66" s="12" t="e">
        <f t="shared" si="7"/>
        <v>#DIV/0!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 t="s">
        <v>45</v>
      </c>
      <c r="AI66" s="1">
        <f t="shared" si="8"/>
        <v>0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106</v>
      </c>
      <c r="B67" s="1" t="s">
        <v>42</v>
      </c>
      <c r="C67" s="1">
        <v>88</v>
      </c>
      <c r="D67" s="1">
        <v>220</v>
      </c>
      <c r="E67" s="1">
        <v>268</v>
      </c>
      <c r="F67" s="1">
        <v>39</v>
      </c>
      <c r="G67" s="8">
        <v>0.37</v>
      </c>
      <c r="H67" s="1">
        <v>50</v>
      </c>
      <c r="I67" s="11" t="s">
        <v>72</v>
      </c>
      <c r="J67" s="1"/>
      <c r="K67" s="1">
        <v>265</v>
      </c>
      <c r="L67" s="1">
        <f t="shared" si="14"/>
        <v>3</v>
      </c>
      <c r="M67" s="1">
        <f t="shared" si="3"/>
        <v>268</v>
      </c>
      <c r="N67" s="1"/>
      <c r="O67" s="1">
        <v>0</v>
      </c>
      <c r="P67" s="1">
        <v>120</v>
      </c>
      <c r="Q67" s="1">
        <f t="shared" si="4"/>
        <v>53.6</v>
      </c>
      <c r="R67" s="5">
        <v>200</v>
      </c>
      <c r="S67" s="5"/>
      <c r="T67" s="5">
        <f t="shared" si="5"/>
        <v>200</v>
      </c>
      <c r="U67" s="5"/>
      <c r="V67" s="1"/>
      <c r="W67" s="1"/>
      <c r="X67" s="1">
        <f t="shared" si="6"/>
        <v>6.6977611940298507</v>
      </c>
      <c r="Y67" s="1">
        <f t="shared" si="7"/>
        <v>2.966417910447761</v>
      </c>
      <c r="Z67" s="1">
        <v>22.6</v>
      </c>
      <c r="AA67" s="1">
        <v>22.2</v>
      </c>
      <c r="AB67" s="1">
        <v>23</v>
      </c>
      <c r="AC67" s="1">
        <v>23.8</v>
      </c>
      <c r="AD67" s="1">
        <v>12.4</v>
      </c>
      <c r="AE67" s="1">
        <v>15.4</v>
      </c>
      <c r="AF67" s="1">
        <v>18</v>
      </c>
      <c r="AG67" s="1">
        <v>21.2</v>
      </c>
      <c r="AH67" s="1" t="s">
        <v>39</v>
      </c>
      <c r="AI67" s="1">
        <f t="shared" si="8"/>
        <v>74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2" t="s">
        <v>107</v>
      </c>
      <c r="B68" s="12" t="s">
        <v>42</v>
      </c>
      <c r="C68" s="12"/>
      <c r="D68" s="12"/>
      <c r="E68" s="12"/>
      <c r="F68" s="12"/>
      <c r="G68" s="13">
        <v>0</v>
      </c>
      <c r="H68" s="12">
        <v>30</v>
      </c>
      <c r="I68" s="12" t="s">
        <v>37</v>
      </c>
      <c r="J68" s="12"/>
      <c r="K68" s="12"/>
      <c r="L68" s="12">
        <f t="shared" si="14"/>
        <v>0</v>
      </c>
      <c r="M68" s="12">
        <f t="shared" si="3"/>
        <v>0</v>
      </c>
      <c r="N68" s="12"/>
      <c r="O68" s="12">
        <v>0</v>
      </c>
      <c r="P68" s="12">
        <v>0</v>
      </c>
      <c r="Q68" s="12">
        <f t="shared" si="4"/>
        <v>0</v>
      </c>
      <c r="R68" s="14"/>
      <c r="S68" s="14"/>
      <c r="T68" s="5">
        <f t="shared" si="5"/>
        <v>0</v>
      </c>
      <c r="U68" s="14"/>
      <c r="V68" s="12"/>
      <c r="W68" s="12"/>
      <c r="X68" s="1" t="e">
        <f t="shared" si="6"/>
        <v>#DIV/0!</v>
      </c>
      <c r="Y68" s="12" t="e">
        <f t="shared" si="7"/>
        <v>#DIV/0!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 t="s">
        <v>45</v>
      </c>
      <c r="AI68" s="1">
        <f t="shared" si="8"/>
        <v>0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2" t="s">
        <v>108</v>
      </c>
      <c r="B69" s="12" t="s">
        <v>42</v>
      </c>
      <c r="C69" s="12"/>
      <c r="D69" s="12"/>
      <c r="E69" s="12"/>
      <c r="F69" s="12"/>
      <c r="G69" s="13">
        <v>0</v>
      </c>
      <c r="H69" s="12">
        <v>55</v>
      </c>
      <c r="I69" s="12" t="s">
        <v>37</v>
      </c>
      <c r="J69" s="12"/>
      <c r="K69" s="12"/>
      <c r="L69" s="12">
        <f t="shared" si="14"/>
        <v>0</v>
      </c>
      <c r="M69" s="12">
        <f t="shared" si="3"/>
        <v>0</v>
      </c>
      <c r="N69" s="12"/>
      <c r="O69" s="12">
        <v>0</v>
      </c>
      <c r="P69" s="12">
        <v>0</v>
      </c>
      <c r="Q69" s="12">
        <f t="shared" si="4"/>
        <v>0</v>
      </c>
      <c r="R69" s="14"/>
      <c r="S69" s="14"/>
      <c r="T69" s="5">
        <f t="shared" si="5"/>
        <v>0</v>
      </c>
      <c r="U69" s="14"/>
      <c r="V69" s="12"/>
      <c r="W69" s="12"/>
      <c r="X69" s="1" t="e">
        <f t="shared" si="6"/>
        <v>#DIV/0!</v>
      </c>
      <c r="Y69" s="12" t="e">
        <f t="shared" si="7"/>
        <v>#DIV/0!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 t="s">
        <v>45</v>
      </c>
      <c r="AI69" s="1">
        <f t="shared" si="8"/>
        <v>0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2" t="s">
        <v>109</v>
      </c>
      <c r="B70" s="12" t="s">
        <v>42</v>
      </c>
      <c r="C70" s="12"/>
      <c r="D70" s="12"/>
      <c r="E70" s="12"/>
      <c r="F70" s="12"/>
      <c r="G70" s="13">
        <v>0</v>
      </c>
      <c r="H70" s="12">
        <v>40</v>
      </c>
      <c r="I70" s="12" t="s">
        <v>37</v>
      </c>
      <c r="J70" s="12"/>
      <c r="K70" s="12"/>
      <c r="L70" s="12">
        <f t="shared" ref="L70:L93" si="17">E70-K70</f>
        <v>0</v>
      </c>
      <c r="M70" s="12">
        <f t="shared" si="3"/>
        <v>0</v>
      </c>
      <c r="N70" s="12"/>
      <c r="O70" s="12">
        <v>0</v>
      </c>
      <c r="P70" s="12">
        <v>0</v>
      </c>
      <c r="Q70" s="12">
        <f t="shared" si="4"/>
        <v>0</v>
      </c>
      <c r="R70" s="14"/>
      <c r="S70" s="14"/>
      <c r="T70" s="5">
        <f t="shared" si="5"/>
        <v>0</v>
      </c>
      <c r="U70" s="14"/>
      <c r="V70" s="12"/>
      <c r="W70" s="12"/>
      <c r="X70" s="1" t="e">
        <f t="shared" si="6"/>
        <v>#DIV/0!</v>
      </c>
      <c r="Y70" s="12" t="e">
        <f t="shared" si="7"/>
        <v>#DIV/0!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 t="s">
        <v>110</v>
      </c>
      <c r="AI70" s="1">
        <f t="shared" si="8"/>
        <v>0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111</v>
      </c>
      <c r="B71" s="1" t="s">
        <v>42</v>
      </c>
      <c r="C71" s="1">
        <v>45</v>
      </c>
      <c r="D71" s="1">
        <v>126</v>
      </c>
      <c r="E71" s="1">
        <v>36</v>
      </c>
      <c r="F71" s="1">
        <v>133</v>
      </c>
      <c r="G71" s="8">
        <v>0.4</v>
      </c>
      <c r="H71" s="1">
        <v>50</v>
      </c>
      <c r="I71" s="1" t="s">
        <v>37</v>
      </c>
      <c r="J71" s="1"/>
      <c r="K71" s="1">
        <v>38</v>
      </c>
      <c r="L71" s="1">
        <f t="shared" si="17"/>
        <v>-2</v>
      </c>
      <c r="M71" s="1">
        <f t="shared" ref="M71:M93" si="18">E71-N71</f>
        <v>36</v>
      </c>
      <c r="N71" s="1"/>
      <c r="O71" s="1">
        <v>0</v>
      </c>
      <c r="P71" s="1">
        <v>0</v>
      </c>
      <c r="Q71" s="1">
        <f t="shared" ref="Q71:Q93" si="19">M71/5</f>
        <v>7.2</v>
      </c>
      <c r="R71" s="5"/>
      <c r="S71" s="5"/>
      <c r="T71" s="5">
        <f t="shared" ref="T71:T93" si="20">S71+R71</f>
        <v>0</v>
      </c>
      <c r="U71" s="5"/>
      <c r="V71" s="1"/>
      <c r="W71" s="1"/>
      <c r="X71" s="1">
        <f t="shared" ref="X71:X93" si="21">(F71+O71+P71+T71)/Q71</f>
        <v>18.472222222222221</v>
      </c>
      <c r="Y71" s="1">
        <f t="shared" ref="Y71:Y93" si="22">(F71+O71+P71)/Q71</f>
        <v>18.472222222222221</v>
      </c>
      <c r="Z71" s="1">
        <v>12.2</v>
      </c>
      <c r="AA71" s="1">
        <v>13</v>
      </c>
      <c r="AB71" s="1">
        <v>18.399999999999999</v>
      </c>
      <c r="AC71" s="1">
        <v>20</v>
      </c>
      <c r="AD71" s="1">
        <v>15.8</v>
      </c>
      <c r="AE71" s="1">
        <v>17.600000000000001</v>
      </c>
      <c r="AF71" s="1">
        <v>7.6</v>
      </c>
      <c r="AG71" s="1">
        <v>8.1999999999999993</v>
      </c>
      <c r="AH71" s="16" t="s">
        <v>133</v>
      </c>
      <c r="AI71" s="1">
        <f t="shared" ref="AI71:AI93" si="23">ROUND(G71*T71,0)</f>
        <v>0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112</v>
      </c>
      <c r="B72" s="1" t="s">
        <v>42</v>
      </c>
      <c r="C72" s="1">
        <v>14</v>
      </c>
      <c r="D72" s="1">
        <v>150</v>
      </c>
      <c r="E72" s="1">
        <v>9</v>
      </c>
      <c r="F72" s="1">
        <v>155</v>
      </c>
      <c r="G72" s="8">
        <v>0.4</v>
      </c>
      <c r="H72" s="1">
        <v>55</v>
      </c>
      <c r="I72" s="1" t="s">
        <v>37</v>
      </c>
      <c r="J72" s="1"/>
      <c r="K72" s="1">
        <v>9</v>
      </c>
      <c r="L72" s="1">
        <f t="shared" si="17"/>
        <v>0</v>
      </c>
      <c r="M72" s="1">
        <f t="shared" si="18"/>
        <v>9</v>
      </c>
      <c r="N72" s="1"/>
      <c r="O72" s="1">
        <v>0</v>
      </c>
      <c r="P72" s="1">
        <v>0</v>
      </c>
      <c r="Q72" s="1">
        <f t="shared" si="19"/>
        <v>1.8</v>
      </c>
      <c r="R72" s="5"/>
      <c r="S72" s="5"/>
      <c r="T72" s="5">
        <f t="shared" si="20"/>
        <v>0</v>
      </c>
      <c r="U72" s="5"/>
      <c r="V72" s="1"/>
      <c r="W72" s="1"/>
      <c r="X72" s="1">
        <f t="shared" si="21"/>
        <v>86.111111111111114</v>
      </c>
      <c r="Y72" s="1">
        <f t="shared" si="22"/>
        <v>86.111111111111114</v>
      </c>
      <c r="Z72" s="1">
        <v>2</v>
      </c>
      <c r="AA72" s="1">
        <v>3.2</v>
      </c>
      <c r="AB72" s="1">
        <v>13.2</v>
      </c>
      <c r="AC72" s="1">
        <v>12.2</v>
      </c>
      <c r="AD72" s="1">
        <v>4.2</v>
      </c>
      <c r="AE72" s="1">
        <v>7.2</v>
      </c>
      <c r="AF72" s="1">
        <v>7.4</v>
      </c>
      <c r="AG72" s="1">
        <v>8.8000000000000007</v>
      </c>
      <c r="AH72" s="17" t="s">
        <v>75</v>
      </c>
      <c r="AI72" s="1">
        <f t="shared" si="23"/>
        <v>0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113</v>
      </c>
      <c r="B73" s="1" t="s">
        <v>36</v>
      </c>
      <c r="C73" s="1">
        <v>43.8</v>
      </c>
      <c r="D73" s="1"/>
      <c r="E73" s="1">
        <v>12.954000000000001</v>
      </c>
      <c r="F73" s="1">
        <v>30.846</v>
      </c>
      <c r="G73" s="8">
        <v>1</v>
      </c>
      <c r="H73" s="1">
        <v>55</v>
      </c>
      <c r="I73" s="1" t="s">
        <v>37</v>
      </c>
      <c r="J73" s="1"/>
      <c r="K73" s="1">
        <v>11.7</v>
      </c>
      <c r="L73" s="1">
        <f t="shared" si="17"/>
        <v>1.2540000000000013</v>
      </c>
      <c r="M73" s="1">
        <f t="shared" si="18"/>
        <v>12.954000000000001</v>
      </c>
      <c r="N73" s="1"/>
      <c r="O73" s="1">
        <v>0</v>
      </c>
      <c r="P73" s="1">
        <v>0</v>
      </c>
      <c r="Q73" s="1">
        <f t="shared" si="19"/>
        <v>2.5908000000000002</v>
      </c>
      <c r="R73" s="5"/>
      <c r="S73" s="5"/>
      <c r="T73" s="5">
        <f t="shared" si="20"/>
        <v>0</v>
      </c>
      <c r="U73" s="5"/>
      <c r="V73" s="1"/>
      <c r="W73" s="1"/>
      <c r="X73" s="1">
        <f t="shared" si="21"/>
        <v>11.905974988420564</v>
      </c>
      <c r="Y73" s="1">
        <f t="shared" si="22"/>
        <v>11.905974988420564</v>
      </c>
      <c r="Z73" s="1">
        <v>1.7248000000000001</v>
      </c>
      <c r="AA73" s="1">
        <v>1.1496</v>
      </c>
      <c r="AB73" s="1">
        <v>0.86499999999999999</v>
      </c>
      <c r="AC73" s="1">
        <v>2.0182000000000002</v>
      </c>
      <c r="AD73" s="1">
        <v>3.1703999999999999</v>
      </c>
      <c r="AE73" s="1">
        <v>2.59</v>
      </c>
      <c r="AF73" s="1">
        <v>2.3031999999999999</v>
      </c>
      <c r="AG73" s="1">
        <v>1.7314000000000001</v>
      </c>
      <c r="AH73" s="18" t="s">
        <v>133</v>
      </c>
      <c r="AI73" s="1">
        <f t="shared" si="23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114</v>
      </c>
      <c r="B74" s="1" t="s">
        <v>36</v>
      </c>
      <c r="C74" s="1">
        <v>33.78</v>
      </c>
      <c r="D74" s="1">
        <v>204.02</v>
      </c>
      <c r="E74" s="1">
        <v>96.914000000000001</v>
      </c>
      <c r="F74" s="1">
        <v>140.04</v>
      </c>
      <c r="G74" s="8">
        <v>1</v>
      </c>
      <c r="H74" s="1">
        <v>60</v>
      </c>
      <c r="I74" s="1" t="s">
        <v>37</v>
      </c>
      <c r="J74" s="1"/>
      <c r="K74" s="1">
        <v>110.83</v>
      </c>
      <c r="L74" s="1">
        <f t="shared" si="17"/>
        <v>-13.915999999999997</v>
      </c>
      <c r="M74" s="1">
        <f t="shared" si="18"/>
        <v>96.914000000000001</v>
      </c>
      <c r="N74" s="1"/>
      <c r="O74" s="1">
        <v>0</v>
      </c>
      <c r="P74" s="1">
        <v>42.942799999999977</v>
      </c>
      <c r="Q74" s="1">
        <f t="shared" si="19"/>
        <v>19.3828</v>
      </c>
      <c r="R74" s="5">
        <f t="shared" ref="R74:R77" si="24">11*Q74-P74-O74-F74</f>
        <v>30.228000000000037</v>
      </c>
      <c r="S74" s="5"/>
      <c r="T74" s="5">
        <f t="shared" si="20"/>
        <v>30.228000000000037</v>
      </c>
      <c r="U74" s="5"/>
      <c r="V74" s="1"/>
      <c r="W74" s="1"/>
      <c r="X74" s="1">
        <f t="shared" si="21"/>
        <v>11</v>
      </c>
      <c r="Y74" s="1">
        <f t="shared" si="22"/>
        <v>9.4404729966774656</v>
      </c>
      <c r="Z74" s="1">
        <v>20.1402</v>
      </c>
      <c r="AA74" s="1">
        <v>20.0914</v>
      </c>
      <c r="AB74" s="1">
        <v>24.339400000000001</v>
      </c>
      <c r="AC74" s="1">
        <v>23.350200000000001</v>
      </c>
      <c r="AD74" s="1">
        <v>18.059200000000001</v>
      </c>
      <c r="AE74" s="1">
        <v>17.348400000000002</v>
      </c>
      <c r="AF74" s="1">
        <v>16.360800000000001</v>
      </c>
      <c r="AG74" s="1">
        <v>20.611599999999999</v>
      </c>
      <c r="AH74" s="1" t="s">
        <v>51</v>
      </c>
      <c r="AI74" s="1">
        <f t="shared" si="23"/>
        <v>30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115</v>
      </c>
      <c r="B75" s="1" t="s">
        <v>36</v>
      </c>
      <c r="C75" s="1">
        <v>495.59699999999998</v>
      </c>
      <c r="D75" s="1">
        <v>84.022999999999996</v>
      </c>
      <c r="E75" s="1">
        <v>371.99900000000002</v>
      </c>
      <c r="F75" s="1">
        <v>199.12100000000001</v>
      </c>
      <c r="G75" s="8">
        <v>1</v>
      </c>
      <c r="H75" s="1">
        <v>60</v>
      </c>
      <c r="I75" s="1" t="s">
        <v>37</v>
      </c>
      <c r="J75" s="1"/>
      <c r="K75" s="1">
        <v>375</v>
      </c>
      <c r="L75" s="1">
        <f t="shared" si="17"/>
        <v>-3.0009999999999764</v>
      </c>
      <c r="M75" s="1">
        <f t="shared" si="18"/>
        <v>371.99900000000002</v>
      </c>
      <c r="N75" s="1"/>
      <c r="O75" s="1">
        <v>519.16111999999976</v>
      </c>
      <c r="P75" s="1">
        <v>193.41200000000001</v>
      </c>
      <c r="Q75" s="1">
        <f t="shared" si="19"/>
        <v>74.399799999999999</v>
      </c>
      <c r="R75" s="5"/>
      <c r="S75" s="5"/>
      <c r="T75" s="5">
        <f t="shared" si="20"/>
        <v>0</v>
      </c>
      <c r="U75" s="5"/>
      <c r="V75" s="1"/>
      <c r="W75" s="1"/>
      <c r="X75" s="1">
        <f t="shared" si="21"/>
        <v>12.253986166629478</v>
      </c>
      <c r="Y75" s="1">
        <f t="shared" si="22"/>
        <v>12.253986166629478</v>
      </c>
      <c r="Z75" s="1">
        <v>77.364800000000002</v>
      </c>
      <c r="AA75" s="1">
        <v>77.063199999999995</v>
      </c>
      <c r="AB75" s="1">
        <v>59.982999999999997</v>
      </c>
      <c r="AC75" s="1">
        <v>66.432400000000001</v>
      </c>
      <c r="AD75" s="1">
        <v>88.71459999999999</v>
      </c>
      <c r="AE75" s="1">
        <v>92.206600000000009</v>
      </c>
      <c r="AF75" s="1">
        <v>82.032799999999995</v>
      </c>
      <c r="AG75" s="1">
        <v>81.185400000000001</v>
      </c>
      <c r="AH75" s="1"/>
      <c r="AI75" s="1">
        <f t="shared" si="23"/>
        <v>0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116</v>
      </c>
      <c r="B76" s="1" t="s">
        <v>36</v>
      </c>
      <c r="C76" s="1">
        <v>586.63</v>
      </c>
      <c r="D76" s="1">
        <v>7.4409999999999998</v>
      </c>
      <c r="E76" s="1">
        <v>352.53300000000002</v>
      </c>
      <c r="F76" s="1">
        <v>235.959</v>
      </c>
      <c r="G76" s="8">
        <v>1</v>
      </c>
      <c r="H76" s="1">
        <v>60</v>
      </c>
      <c r="I76" s="1" t="s">
        <v>37</v>
      </c>
      <c r="J76" s="1"/>
      <c r="K76" s="1">
        <v>352.5</v>
      </c>
      <c r="L76" s="1">
        <f t="shared" si="17"/>
        <v>3.3000000000015461E-2</v>
      </c>
      <c r="M76" s="1">
        <f t="shared" si="18"/>
        <v>352.53300000000002</v>
      </c>
      <c r="N76" s="1"/>
      <c r="O76" s="1">
        <v>581.65652</v>
      </c>
      <c r="P76" s="1">
        <v>214.667</v>
      </c>
      <c r="Q76" s="1">
        <f t="shared" si="19"/>
        <v>70.506600000000006</v>
      </c>
      <c r="R76" s="5"/>
      <c r="S76" s="5"/>
      <c r="T76" s="5">
        <f t="shared" si="20"/>
        <v>0</v>
      </c>
      <c r="U76" s="5"/>
      <c r="V76" s="1"/>
      <c r="W76" s="1"/>
      <c r="X76" s="1">
        <f t="shared" si="21"/>
        <v>14.640934607540286</v>
      </c>
      <c r="Y76" s="1">
        <f t="shared" si="22"/>
        <v>14.640934607540286</v>
      </c>
      <c r="Z76" s="1">
        <v>85.866799999999998</v>
      </c>
      <c r="AA76" s="1">
        <v>82.857200000000006</v>
      </c>
      <c r="AB76" s="1">
        <v>64.6614</v>
      </c>
      <c r="AC76" s="1">
        <v>75.81280000000001</v>
      </c>
      <c r="AD76" s="1">
        <v>100.6258</v>
      </c>
      <c r="AE76" s="1">
        <v>95.500399999999999</v>
      </c>
      <c r="AF76" s="1">
        <v>87.543599999999998</v>
      </c>
      <c r="AG76" s="1">
        <v>90.793199999999999</v>
      </c>
      <c r="AH76" s="1" t="s">
        <v>51</v>
      </c>
      <c r="AI76" s="1">
        <f t="shared" si="23"/>
        <v>0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117</v>
      </c>
      <c r="B77" s="1" t="s">
        <v>36</v>
      </c>
      <c r="C77" s="1">
        <v>1167.1590000000001</v>
      </c>
      <c r="D77" s="1">
        <v>270.95499999999998</v>
      </c>
      <c r="E77" s="1">
        <v>831.17399999999998</v>
      </c>
      <c r="F77" s="1">
        <v>586.96</v>
      </c>
      <c r="G77" s="8">
        <v>1</v>
      </c>
      <c r="H77" s="1">
        <v>60</v>
      </c>
      <c r="I77" s="1" t="s">
        <v>37</v>
      </c>
      <c r="J77" s="1"/>
      <c r="K77" s="1">
        <v>820.04399999999998</v>
      </c>
      <c r="L77" s="1">
        <f t="shared" si="17"/>
        <v>11.129999999999995</v>
      </c>
      <c r="M77" s="1">
        <f t="shared" si="18"/>
        <v>831.17399999999998</v>
      </c>
      <c r="N77" s="1"/>
      <c r="O77" s="1">
        <v>396.38893999999999</v>
      </c>
      <c r="P77" s="1">
        <v>422.0769599999997</v>
      </c>
      <c r="Q77" s="1">
        <f t="shared" si="19"/>
        <v>166.23480000000001</v>
      </c>
      <c r="R77" s="5">
        <f t="shared" si="24"/>
        <v>423.15690000000041</v>
      </c>
      <c r="S77" s="5">
        <f>$S$1*Q77</f>
        <v>332.46960000000001</v>
      </c>
      <c r="T77" s="5">
        <f t="shared" si="20"/>
        <v>755.62650000000042</v>
      </c>
      <c r="U77" s="5"/>
      <c r="V77" s="1"/>
      <c r="W77" s="1"/>
      <c r="X77" s="1">
        <f t="shared" si="21"/>
        <v>13</v>
      </c>
      <c r="Y77" s="1">
        <f t="shared" si="22"/>
        <v>8.4544626034981825</v>
      </c>
      <c r="Z77" s="1">
        <v>135.21459999999999</v>
      </c>
      <c r="AA77" s="1">
        <v>127.8674</v>
      </c>
      <c r="AB77" s="1">
        <v>134.45060000000001</v>
      </c>
      <c r="AC77" s="1">
        <v>145.1</v>
      </c>
      <c r="AD77" s="1">
        <v>189.547</v>
      </c>
      <c r="AE77" s="1">
        <v>193.5958</v>
      </c>
      <c r="AF77" s="1">
        <v>151.4682</v>
      </c>
      <c r="AG77" s="1">
        <v>148.5754</v>
      </c>
      <c r="AH77" s="1" t="s">
        <v>51</v>
      </c>
      <c r="AI77" s="1">
        <f t="shared" si="23"/>
        <v>756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2" t="s">
        <v>118</v>
      </c>
      <c r="B78" s="12" t="s">
        <v>36</v>
      </c>
      <c r="C78" s="12"/>
      <c r="D78" s="12"/>
      <c r="E78" s="12"/>
      <c r="F78" s="12"/>
      <c r="G78" s="13">
        <v>0</v>
      </c>
      <c r="H78" s="12">
        <v>60</v>
      </c>
      <c r="I78" s="12" t="s">
        <v>37</v>
      </c>
      <c r="J78" s="12"/>
      <c r="K78" s="12"/>
      <c r="L78" s="12">
        <f t="shared" si="17"/>
        <v>0</v>
      </c>
      <c r="M78" s="12">
        <f t="shared" si="18"/>
        <v>0</v>
      </c>
      <c r="N78" s="12"/>
      <c r="O78" s="12">
        <v>0</v>
      </c>
      <c r="P78" s="12">
        <v>0</v>
      </c>
      <c r="Q78" s="12">
        <f t="shared" si="19"/>
        <v>0</v>
      </c>
      <c r="R78" s="14"/>
      <c r="S78" s="14"/>
      <c r="T78" s="5">
        <f t="shared" si="20"/>
        <v>0</v>
      </c>
      <c r="U78" s="14"/>
      <c r="V78" s="12"/>
      <c r="W78" s="12"/>
      <c r="X78" s="1" t="e">
        <f t="shared" si="21"/>
        <v>#DIV/0!</v>
      </c>
      <c r="Y78" s="12" t="e">
        <f t="shared" si="22"/>
        <v>#DIV/0!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 t="s">
        <v>45</v>
      </c>
      <c r="AI78" s="1">
        <f t="shared" si="23"/>
        <v>0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119</v>
      </c>
      <c r="B79" s="1" t="s">
        <v>42</v>
      </c>
      <c r="C79" s="1">
        <v>104</v>
      </c>
      <c r="D79" s="1"/>
      <c r="E79" s="1">
        <v>75</v>
      </c>
      <c r="F79" s="1">
        <v>28</v>
      </c>
      <c r="G79" s="8">
        <v>0.3</v>
      </c>
      <c r="H79" s="1">
        <v>40</v>
      </c>
      <c r="I79" s="1" t="s">
        <v>37</v>
      </c>
      <c r="J79" s="1"/>
      <c r="K79" s="1">
        <v>76</v>
      </c>
      <c r="L79" s="1">
        <f t="shared" si="17"/>
        <v>-1</v>
      </c>
      <c r="M79" s="1">
        <f t="shared" si="18"/>
        <v>75</v>
      </c>
      <c r="N79" s="1"/>
      <c r="O79" s="1">
        <v>6</v>
      </c>
      <c r="P79" s="1">
        <v>55.600000000000023</v>
      </c>
      <c r="Q79" s="1">
        <f t="shared" si="19"/>
        <v>15</v>
      </c>
      <c r="R79" s="5">
        <f t="shared" ref="R79:R89" si="25">11*Q79-P79-O79-F79</f>
        <v>75.399999999999977</v>
      </c>
      <c r="S79" s="5"/>
      <c r="T79" s="5">
        <f t="shared" si="20"/>
        <v>75.399999999999977</v>
      </c>
      <c r="U79" s="5"/>
      <c r="V79" s="1"/>
      <c r="W79" s="1"/>
      <c r="X79" s="1">
        <f t="shared" si="21"/>
        <v>11</v>
      </c>
      <c r="Y79" s="1">
        <f t="shared" si="22"/>
        <v>5.9733333333333345</v>
      </c>
      <c r="Z79" s="1">
        <v>10.8</v>
      </c>
      <c r="AA79" s="1">
        <v>9.6</v>
      </c>
      <c r="AB79" s="1">
        <v>8.1999999999999993</v>
      </c>
      <c r="AC79" s="1">
        <v>10.8</v>
      </c>
      <c r="AD79" s="1">
        <v>14</v>
      </c>
      <c r="AE79" s="1">
        <v>14.4</v>
      </c>
      <c r="AF79" s="1">
        <v>12.8</v>
      </c>
      <c r="AG79" s="1">
        <v>9.8000000000000007</v>
      </c>
      <c r="AH79" s="1"/>
      <c r="AI79" s="1">
        <f t="shared" si="23"/>
        <v>23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120</v>
      </c>
      <c r="B80" s="1" t="s">
        <v>42</v>
      </c>
      <c r="C80" s="1">
        <v>34</v>
      </c>
      <c r="D80" s="1"/>
      <c r="E80" s="1">
        <v>21</v>
      </c>
      <c r="F80" s="1">
        <v>13</v>
      </c>
      <c r="G80" s="8">
        <v>7.0000000000000007E-2</v>
      </c>
      <c r="H80" s="1">
        <v>90</v>
      </c>
      <c r="I80" s="1" t="s">
        <v>37</v>
      </c>
      <c r="J80" s="1"/>
      <c r="K80" s="1">
        <v>21</v>
      </c>
      <c r="L80" s="1">
        <f t="shared" si="17"/>
        <v>0</v>
      </c>
      <c r="M80" s="1">
        <f t="shared" si="18"/>
        <v>21</v>
      </c>
      <c r="N80" s="1"/>
      <c r="O80" s="1">
        <v>34.200000000000003</v>
      </c>
      <c r="P80" s="1">
        <v>23.2</v>
      </c>
      <c r="Q80" s="1">
        <f t="shared" si="19"/>
        <v>4.2</v>
      </c>
      <c r="R80" s="5"/>
      <c r="S80" s="5"/>
      <c r="T80" s="5">
        <f t="shared" si="20"/>
        <v>0</v>
      </c>
      <c r="U80" s="5"/>
      <c r="V80" s="1"/>
      <c r="W80" s="1"/>
      <c r="X80" s="1">
        <f t="shared" si="21"/>
        <v>16.761904761904763</v>
      </c>
      <c r="Y80" s="1">
        <f t="shared" si="22"/>
        <v>16.761904761904763</v>
      </c>
      <c r="Z80" s="1">
        <v>6.2</v>
      </c>
      <c r="AA80" s="1">
        <v>6.2</v>
      </c>
      <c r="AB80" s="1">
        <v>4.2</v>
      </c>
      <c r="AC80" s="1">
        <v>4.4000000000000004</v>
      </c>
      <c r="AD80" s="1">
        <v>5.8</v>
      </c>
      <c r="AE80" s="1">
        <v>3.2</v>
      </c>
      <c r="AF80" s="1">
        <v>5.4</v>
      </c>
      <c r="AG80" s="1">
        <v>6.2</v>
      </c>
      <c r="AH80" s="1"/>
      <c r="AI80" s="1">
        <f t="shared" si="23"/>
        <v>0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121</v>
      </c>
      <c r="B81" s="1" t="s">
        <v>42</v>
      </c>
      <c r="C81" s="1">
        <v>70</v>
      </c>
      <c r="D81" s="1"/>
      <c r="E81" s="1">
        <v>19</v>
      </c>
      <c r="F81" s="1">
        <v>51</v>
      </c>
      <c r="G81" s="8">
        <v>7.0000000000000007E-2</v>
      </c>
      <c r="H81" s="1">
        <v>90</v>
      </c>
      <c r="I81" s="1" t="s">
        <v>37</v>
      </c>
      <c r="J81" s="1"/>
      <c r="K81" s="1">
        <v>19</v>
      </c>
      <c r="L81" s="1">
        <f t="shared" si="17"/>
        <v>0</v>
      </c>
      <c r="M81" s="1">
        <f t="shared" si="18"/>
        <v>19</v>
      </c>
      <c r="N81" s="1"/>
      <c r="O81" s="1">
        <v>0</v>
      </c>
      <c r="P81" s="1">
        <v>12.19999999999999</v>
      </c>
      <c r="Q81" s="1">
        <f t="shared" si="19"/>
        <v>3.8</v>
      </c>
      <c r="R81" s="5"/>
      <c r="S81" s="5"/>
      <c r="T81" s="5">
        <f t="shared" si="20"/>
        <v>0</v>
      </c>
      <c r="U81" s="5"/>
      <c r="V81" s="1"/>
      <c r="W81" s="1"/>
      <c r="X81" s="1">
        <f t="shared" si="21"/>
        <v>16.631578947368418</v>
      </c>
      <c r="Y81" s="1">
        <f t="shared" si="22"/>
        <v>16.631578947368418</v>
      </c>
      <c r="Z81" s="1">
        <v>5.6</v>
      </c>
      <c r="AA81" s="1">
        <v>5.6</v>
      </c>
      <c r="AB81" s="1">
        <v>6.2</v>
      </c>
      <c r="AC81" s="1">
        <v>7.6</v>
      </c>
      <c r="AD81" s="1">
        <v>8.1999999999999993</v>
      </c>
      <c r="AE81" s="1">
        <v>5.6</v>
      </c>
      <c r="AF81" s="1">
        <v>6.4</v>
      </c>
      <c r="AG81" s="1">
        <v>6.4</v>
      </c>
      <c r="AH81" s="1"/>
      <c r="AI81" s="1">
        <f t="shared" si="23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122</v>
      </c>
      <c r="B82" s="1" t="s">
        <v>42</v>
      </c>
      <c r="C82" s="1">
        <v>94</v>
      </c>
      <c r="D82" s="1"/>
      <c r="E82" s="1">
        <v>25</v>
      </c>
      <c r="F82" s="1">
        <v>69</v>
      </c>
      <c r="G82" s="8">
        <v>7.0000000000000007E-2</v>
      </c>
      <c r="H82" s="1">
        <v>90</v>
      </c>
      <c r="I82" s="1" t="s">
        <v>37</v>
      </c>
      <c r="J82" s="1"/>
      <c r="K82" s="1">
        <v>25</v>
      </c>
      <c r="L82" s="1">
        <f t="shared" si="17"/>
        <v>0</v>
      </c>
      <c r="M82" s="1">
        <f t="shared" si="18"/>
        <v>25</v>
      </c>
      <c r="N82" s="1"/>
      <c r="O82" s="1">
        <v>0</v>
      </c>
      <c r="P82" s="1">
        <v>6</v>
      </c>
      <c r="Q82" s="1">
        <f t="shared" si="19"/>
        <v>5</v>
      </c>
      <c r="R82" s="5"/>
      <c r="S82" s="5"/>
      <c r="T82" s="5">
        <f t="shared" si="20"/>
        <v>0</v>
      </c>
      <c r="U82" s="5"/>
      <c r="V82" s="1"/>
      <c r="W82" s="1"/>
      <c r="X82" s="1">
        <f t="shared" si="21"/>
        <v>15</v>
      </c>
      <c r="Y82" s="1">
        <f t="shared" si="22"/>
        <v>15</v>
      </c>
      <c r="Z82" s="1">
        <v>6.4</v>
      </c>
      <c r="AA82" s="1">
        <v>5.6</v>
      </c>
      <c r="AB82" s="1">
        <v>5.4</v>
      </c>
      <c r="AC82" s="1">
        <v>6.4</v>
      </c>
      <c r="AD82" s="1">
        <v>8.4</v>
      </c>
      <c r="AE82" s="1">
        <v>5.4</v>
      </c>
      <c r="AF82" s="1">
        <v>6.8</v>
      </c>
      <c r="AG82" s="1">
        <v>5.2</v>
      </c>
      <c r="AH82" s="1"/>
      <c r="AI82" s="1">
        <f t="shared" si="23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123</v>
      </c>
      <c r="B83" s="1" t="s">
        <v>42</v>
      </c>
      <c r="C83" s="1">
        <v>86</v>
      </c>
      <c r="D83" s="1"/>
      <c r="E83" s="1">
        <v>21</v>
      </c>
      <c r="F83" s="1">
        <v>65</v>
      </c>
      <c r="G83" s="8">
        <v>0.05</v>
      </c>
      <c r="H83" s="1">
        <v>90</v>
      </c>
      <c r="I83" s="1" t="s">
        <v>37</v>
      </c>
      <c r="J83" s="1"/>
      <c r="K83" s="1">
        <v>21</v>
      </c>
      <c r="L83" s="1">
        <f t="shared" si="17"/>
        <v>0</v>
      </c>
      <c r="M83" s="1">
        <f t="shared" si="18"/>
        <v>21</v>
      </c>
      <c r="N83" s="1"/>
      <c r="O83" s="1">
        <v>0</v>
      </c>
      <c r="P83" s="1">
        <v>0</v>
      </c>
      <c r="Q83" s="1">
        <f t="shared" si="19"/>
        <v>4.2</v>
      </c>
      <c r="R83" s="5"/>
      <c r="S83" s="5"/>
      <c r="T83" s="5">
        <f t="shared" si="20"/>
        <v>0</v>
      </c>
      <c r="U83" s="5"/>
      <c r="V83" s="1"/>
      <c r="W83" s="1"/>
      <c r="X83" s="1">
        <f t="shared" si="21"/>
        <v>15.476190476190476</v>
      </c>
      <c r="Y83" s="1">
        <f t="shared" si="22"/>
        <v>15.476190476190476</v>
      </c>
      <c r="Z83" s="1">
        <v>5.6</v>
      </c>
      <c r="AA83" s="1">
        <v>6.8</v>
      </c>
      <c r="AB83" s="1">
        <v>7.4</v>
      </c>
      <c r="AC83" s="1">
        <v>8.8000000000000007</v>
      </c>
      <c r="AD83" s="1">
        <v>10</v>
      </c>
      <c r="AE83" s="1">
        <v>7.8</v>
      </c>
      <c r="AF83" s="1">
        <v>9.1999999999999993</v>
      </c>
      <c r="AG83" s="1">
        <v>9</v>
      </c>
      <c r="AH83" s="1"/>
      <c r="AI83" s="1">
        <f t="shared" si="23"/>
        <v>0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124</v>
      </c>
      <c r="B84" s="1" t="s">
        <v>42</v>
      </c>
      <c r="C84" s="1">
        <v>85</v>
      </c>
      <c r="D84" s="1">
        <v>36</v>
      </c>
      <c r="E84" s="1">
        <v>33</v>
      </c>
      <c r="F84" s="1">
        <v>88</v>
      </c>
      <c r="G84" s="8">
        <v>0.05</v>
      </c>
      <c r="H84" s="1">
        <v>90</v>
      </c>
      <c r="I84" s="1" t="s">
        <v>37</v>
      </c>
      <c r="J84" s="1"/>
      <c r="K84" s="1">
        <v>33</v>
      </c>
      <c r="L84" s="1">
        <f t="shared" si="17"/>
        <v>0</v>
      </c>
      <c r="M84" s="1">
        <f t="shared" si="18"/>
        <v>33</v>
      </c>
      <c r="N84" s="1"/>
      <c r="O84" s="1">
        <v>0</v>
      </c>
      <c r="P84" s="1">
        <v>0</v>
      </c>
      <c r="Q84" s="1">
        <f t="shared" si="19"/>
        <v>6.6</v>
      </c>
      <c r="R84" s="5"/>
      <c r="S84" s="5"/>
      <c r="T84" s="5">
        <f t="shared" si="20"/>
        <v>0</v>
      </c>
      <c r="U84" s="5"/>
      <c r="V84" s="1"/>
      <c r="W84" s="1"/>
      <c r="X84" s="1">
        <f t="shared" si="21"/>
        <v>13.333333333333334</v>
      </c>
      <c r="Y84" s="1">
        <f t="shared" si="22"/>
        <v>13.333333333333334</v>
      </c>
      <c r="Z84" s="1">
        <v>8</v>
      </c>
      <c r="AA84" s="1">
        <v>7.4</v>
      </c>
      <c r="AB84" s="1">
        <v>8.8000000000000007</v>
      </c>
      <c r="AC84" s="1">
        <v>10.199999999999999</v>
      </c>
      <c r="AD84" s="1">
        <v>10.8</v>
      </c>
      <c r="AE84" s="1">
        <v>8.1999999999999993</v>
      </c>
      <c r="AF84" s="1">
        <v>9.8000000000000007</v>
      </c>
      <c r="AG84" s="1">
        <v>10.4</v>
      </c>
      <c r="AH84" s="1"/>
      <c r="AI84" s="1">
        <f t="shared" si="23"/>
        <v>0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125</v>
      </c>
      <c r="B85" s="1" t="s">
        <v>42</v>
      </c>
      <c r="C85" s="1">
        <v>68</v>
      </c>
      <c r="D85" s="1">
        <v>36</v>
      </c>
      <c r="E85" s="1">
        <v>31</v>
      </c>
      <c r="F85" s="1">
        <v>73</v>
      </c>
      <c r="G85" s="8">
        <v>5.5E-2</v>
      </c>
      <c r="H85" s="1">
        <v>90</v>
      </c>
      <c r="I85" s="1" t="s">
        <v>37</v>
      </c>
      <c r="J85" s="1"/>
      <c r="K85" s="1">
        <v>31</v>
      </c>
      <c r="L85" s="1">
        <f t="shared" si="17"/>
        <v>0</v>
      </c>
      <c r="M85" s="1">
        <f t="shared" si="18"/>
        <v>31</v>
      </c>
      <c r="N85" s="1"/>
      <c r="O85" s="1">
        <v>11.399999999999981</v>
      </c>
      <c r="P85" s="1">
        <v>24.800000000000011</v>
      </c>
      <c r="Q85" s="1">
        <f t="shared" si="19"/>
        <v>6.2</v>
      </c>
      <c r="R85" s="5"/>
      <c r="S85" s="5"/>
      <c r="T85" s="5">
        <f t="shared" si="20"/>
        <v>0</v>
      </c>
      <c r="U85" s="5"/>
      <c r="V85" s="1"/>
      <c r="W85" s="1"/>
      <c r="X85" s="1">
        <f t="shared" si="21"/>
        <v>17.612903225806448</v>
      </c>
      <c r="Y85" s="1">
        <f t="shared" si="22"/>
        <v>17.612903225806448</v>
      </c>
      <c r="Z85" s="1">
        <v>8</v>
      </c>
      <c r="AA85" s="1">
        <v>8.1999999999999993</v>
      </c>
      <c r="AB85" s="1">
        <v>9.4</v>
      </c>
      <c r="AC85" s="1">
        <v>9</v>
      </c>
      <c r="AD85" s="1">
        <v>9.8000000000000007</v>
      </c>
      <c r="AE85" s="1">
        <v>9.8000000000000007</v>
      </c>
      <c r="AF85" s="1">
        <v>10.199999999999999</v>
      </c>
      <c r="AG85" s="1">
        <v>8.4</v>
      </c>
      <c r="AH85" s="1"/>
      <c r="AI85" s="1">
        <f t="shared" si="23"/>
        <v>0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126</v>
      </c>
      <c r="B86" s="1" t="s">
        <v>36</v>
      </c>
      <c r="C86" s="1">
        <v>335.13600000000002</v>
      </c>
      <c r="D86" s="1">
        <v>360.49799999999999</v>
      </c>
      <c r="E86" s="1">
        <v>386.245</v>
      </c>
      <c r="F86" s="1">
        <v>303.19200000000001</v>
      </c>
      <c r="G86" s="8">
        <v>1</v>
      </c>
      <c r="H86" s="1">
        <v>40</v>
      </c>
      <c r="I86" s="1" t="s">
        <v>37</v>
      </c>
      <c r="J86" s="1"/>
      <c r="K86" s="1">
        <v>360.45</v>
      </c>
      <c r="L86" s="1">
        <f t="shared" si="17"/>
        <v>25.795000000000016</v>
      </c>
      <c r="M86" s="1">
        <f t="shared" si="18"/>
        <v>386.245</v>
      </c>
      <c r="N86" s="1"/>
      <c r="O86" s="1">
        <v>188.864</v>
      </c>
      <c r="P86" s="1">
        <v>135.51179999999991</v>
      </c>
      <c r="Q86" s="1">
        <f t="shared" si="19"/>
        <v>77.248999999999995</v>
      </c>
      <c r="R86" s="5">
        <f t="shared" si="25"/>
        <v>222.1712</v>
      </c>
      <c r="S86" s="5"/>
      <c r="T86" s="5">
        <f t="shared" si="20"/>
        <v>222.1712</v>
      </c>
      <c r="U86" s="5"/>
      <c r="V86" s="1"/>
      <c r="W86" s="1"/>
      <c r="X86" s="1">
        <f t="shared" si="21"/>
        <v>11</v>
      </c>
      <c r="Y86" s="1">
        <f t="shared" si="22"/>
        <v>8.1239601807143131</v>
      </c>
      <c r="Z86" s="1">
        <v>75.239400000000003</v>
      </c>
      <c r="AA86" s="1">
        <v>78.774599999999992</v>
      </c>
      <c r="AB86" s="1">
        <v>76.481799999999993</v>
      </c>
      <c r="AC86" s="1">
        <v>73.070799999999991</v>
      </c>
      <c r="AD86" s="1">
        <v>81.353800000000007</v>
      </c>
      <c r="AE86" s="1">
        <v>88.741399999999999</v>
      </c>
      <c r="AF86" s="1">
        <v>88.093600000000009</v>
      </c>
      <c r="AG86" s="1">
        <v>89.101599999999991</v>
      </c>
      <c r="AH86" s="1" t="s">
        <v>51</v>
      </c>
      <c r="AI86" s="1">
        <f t="shared" si="23"/>
        <v>222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1" t="s">
        <v>127</v>
      </c>
      <c r="B87" s="1" t="s">
        <v>36</v>
      </c>
      <c r="C87" s="1"/>
      <c r="D87" s="1"/>
      <c r="E87" s="1">
        <v>-2.93</v>
      </c>
      <c r="F87" s="1"/>
      <c r="G87" s="8">
        <v>1</v>
      </c>
      <c r="H87" s="1">
        <v>60</v>
      </c>
      <c r="I87" s="1" t="s">
        <v>37</v>
      </c>
      <c r="J87" s="1"/>
      <c r="K87" s="1"/>
      <c r="L87" s="1">
        <f t="shared" si="17"/>
        <v>-2.93</v>
      </c>
      <c r="M87" s="1">
        <f t="shared" si="18"/>
        <v>-2.93</v>
      </c>
      <c r="N87" s="1"/>
      <c r="O87" s="1"/>
      <c r="P87" s="11"/>
      <c r="Q87" s="1">
        <f t="shared" si="19"/>
        <v>-0.58600000000000008</v>
      </c>
      <c r="R87" s="15">
        <v>4</v>
      </c>
      <c r="S87" s="15"/>
      <c r="T87" s="5">
        <f t="shared" si="20"/>
        <v>4</v>
      </c>
      <c r="U87" s="5"/>
      <c r="V87" s="1"/>
      <c r="W87" s="1"/>
      <c r="X87" s="1">
        <f t="shared" si="21"/>
        <v>-6.8259385665529004</v>
      </c>
      <c r="Y87" s="1">
        <f t="shared" si="22"/>
        <v>0</v>
      </c>
      <c r="Z87" s="1">
        <v>0</v>
      </c>
      <c r="AA87" s="1">
        <v>-0.186</v>
      </c>
      <c r="AB87" s="1">
        <v>-2.9481999999999999</v>
      </c>
      <c r="AC87" s="1">
        <v>-2.7622</v>
      </c>
      <c r="AD87" s="1">
        <v>0</v>
      </c>
      <c r="AE87" s="1">
        <v>0</v>
      </c>
      <c r="AF87" s="1">
        <v>3.6375999999999999</v>
      </c>
      <c r="AG87" s="1">
        <v>4.3696000000000002</v>
      </c>
      <c r="AH87" s="11" t="s">
        <v>128</v>
      </c>
      <c r="AI87" s="1">
        <f t="shared" si="23"/>
        <v>4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129</v>
      </c>
      <c r="B88" s="1" t="s">
        <v>42</v>
      </c>
      <c r="C88" s="1"/>
      <c r="D88" s="1">
        <v>210</v>
      </c>
      <c r="E88" s="1">
        <v>66</v>
      </c>
      <c r="F88" s="1">
        <v>138</v>
      </c>
      <c r="G88" s="8">
        <v>0.3</v>
      </c>
      <c r="H88" s="1">
        <v>40</v>
      </c>
      <c r="I88" s="1" t="s">
        <v>37</v>
      </c>
      <c r="J88" s="1"/>
      <c r="K88" s="1">
        <v>76</v>
      </c>
      <c r="L88" s="1">
        <f t="shared" si="17"/>
        <v>-10</v>
      </c>
      <c r="M88" s="1">
        <f t="shared" si="18"/>
        <v>66</v>
      </c>
      <c r="N88" s="1"/>
      <c r="O88" s="1">
        <v>79.399999999999977</v>
      </c>
      <c r="P88" s="1">
        <v>0</v>
      </c>
      <c r="Q88" s="1">
        <f t="shared" si="19"/>
        <v>13.2</v>
      </c>
      <c r="R88" s="5"/>
      <c r="S88" s="5"/>
      <c r="T88" s="5">
        <f t="shared" si="20"/>
        <v>0</v>
      </c>
      <c r="U88" s="5"/>
      <c r="V88" s="1"/>
      <c r="W88" s="1"/>
      <c r="X88" s="1">
        <f t="shared" si="21"/>
        <v>16.469696969696969</v>
      </c>
      <c r="Y88" s="1">
        <f t="shared" si="22"/>
        <v>16.469696969696969</v>
      </c>
      <c r="Z88" s="1">
        <v>19.399999999999999</v>
      </c>
      <c r="AA88" s="1">
        <v>26</v>
      </c>
      <c r="AB88" s="1">
        <v>24.8</v>
      </c>
      <c r="AC88" s="1">
        <v>24.6</v>
      </c>
      <c r="AD88" s="1">
        <v>16.8</v>
      </c>
      <c r="AE88" s="1">
        <v>23.2</v>
      </c>
      <c r="AF88" s="1">
        <v>19</v>
      </c>
      <c r="AG88" s="1">
        <v>3.2</v>
      </c>
      <c r="AH88" s="1"/>
      <c r="AI88" s="1">
        <f t="shared" si="23"/>
        <v>0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130</v>
      </c>
      <c r="B89" s="1" t="s">
        <v>42</v>
      </c>
      <c r="C89" s="1">
        <v>40</v>
      </c>
      <c r="D89" s="1">
        <v>84</v>
      </c>
      <c r="E89" s="1">
        <v>63</v>
      </c>
      <c r="F89" s="1">
        <v>55</v>
      </c>
      <c r="G89" s="8">
        <v>0.3</v>
      </c>
      <c r="H89" s="1">
        <v>40</v>
      </c>
      <c r="I89" s="1" t="s">
        <v>37</v>
      </c>
      <c r="J89" s="1"/>
      <c r="K89" s="1">
        <v>69</v>
      </c>
      <c r="L89" s="1">
        <f t="shared" si="17"/>
        <v>-6</v>
      </c>
      <c r="M89" s="1">
        <f t="shared" si="18"/>
        <v>63</v>
      </c>
      <c r="N89" s="1"/>
      <c r="O89" s="1">
        <v>8.7999999999999829</v>
      </c>
      <c r="P89" s="1">
        <v>15.19999999999999</v>
      </c>
      <c r="Q89" s="1">
        <f t="shared" si="19"/>
        <v>12.6</v>
      </c>
      <c r="R89" s="5">
        <f t="shared" si="25"/>
        <v>59.600000000000023</v>
      </c>
      <c r="S89" s="5"/>
      <c r="T89" s="5">
        <f t="shared" si="20"/>
        <v>59.600000000000023</v>
      </c>
      <c r="U89" s="5"/>
      <c r="V89" s="1"/>
      <c r="W89" s="1"/>
      <c r="X89" s="1">
        <f t="shared" si="21"/>
        <v>11</v>
      </c>
      <c r="Y89" s="1">
        <f t="shared" si="22"/>
        <v>6.269841269841268</v>
      </c>
      <c r="Z89" s="1">
        <v>9.6</v>
      </c>
      <c r="AA89" s="1">
        <v>11.4</v>
      </c>
      <c r="AB89" s="1">
        <v>11.8</v>
      </c>
      <c r="AC89" s="1">
        <v>10.4</v>
      </c>
      <c r="AD89" s="1">
        <v>9.8000000000000007</v>
      </c>
      <c r="AE89" s="1">
        <v>12.8</v>
      </c>
      <c r="AF89" s="1">
        <v>11.8</v>
      </c>
      <c r="AG89" s="1">
        <v>9</v>
      </c>
      <c r="AH89" s="1" t="s">
        <v>131</v>
      </c>
      <c r="AI89" s="1">
        <f t="shared" si="23"/>
        <v>18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132</v>
      </c>
      <c r="B90" s="1" t="s">
        <v>36</v>
      </c>
      <c r="C90" s="1">
        <v>7.8780000000000001</v>
      </c>
      <c r="D90" s="1">
        <v>11.14</v>
      </c>
      <c r="E90" s="1">
        <v>6.5670000000000002</v>
      </c>
      <c r="F90" s="1">
        <v>12.451000000000001</v>
      </c>
      <c r="G90" s="8">
        <v>1</v>
      </c>
      <c r="H90" s="1">
        <v>50</v>
      </c>
      <c r="I90" s="1" t="s">
        <v>37</v>
      </c>
      <c r="J90" s="1"/>
      <c r="K90" s="1">
        <v>6.6</v>
      </c>
      <c r="L90" s="1">
        <f t="shared" si="17"/>
        <v>-3.2999999999999474E-2</v>
      </c>
      <c r="M90" s="1">
        <f t="shared" si="18"/>
        <v>6.5670000000000002</v>
      </c>
      <c r="N90" s="1"/>
      <c r="O90" s="1">
        <v>8.3685999999999972</v>
      </c>
      <c r="P90" s="1">
        <v>0</v>
      </c>
      <c r="Q90" s="1">
        <f t="shared" si="19"/>
        <v>1.3134000000000001</v>
      </c>
      <c r="R90" s="5"/>
      <c r="S90" s="5"/>
      <c r="T90" s="5">
        <f t="shared" si="20"/>
        <v>0</v>
      </c>
      <c r="U90" s="5"/>
      <c r="V90" s="1"/>
      <c r="W90" s="1"/>
      <c r="X90" s="1">
        <f t="shared" si="21"/>
        <v>15.851682655702753</v>
      </c>
      <c r="Y90" s="1">
        <f t="shared" si="22"/>
        <v>15.851682655702753</v>
      </c>
      <c r="Z90" s="1">
        <v>1.5788</v>
      </c>
      <c r="AA90" s="1">
        <v>1.8406</v>
      </c>
      <c r="AB90" s="1">
        <v>1.6042000000000001</v>
      </c>
      <c r="AC90" s="1">
        <v>1.8904000000000001</v>
      </c>
      <c r="AD90" s="1">
        <v>1.8812</v>
      </c>
      <c r="AE90" s="1">
        <v>1.3391999999999999</v>
      </c>
      <c r="AF90" s="1">
        <v>2.1888000000000001</v>
      </c>
      <c r="AG90" s="1">
        <v>2.1859999999999999</v>
      </c>
      <c r="AH90" s="1"/>
      <c r="AI90" s="1">
        <f t="shared" si="23"/>
        <v>0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134</v>
      </c>
      <c r="B91" s="1" t="s">
        <v>42</v>
      </c>
      <c r="C91" s="1">
        <v>19</v>
      </c>
      <c r="D91" s="1">
        <v>84</v>
      </c>
      <c r="E91" s="1">
        <v>42</v>
      </c>
      <c r="F91" s="1">
        <v>57</v>
      </c>
      <c r="G91" s="8">
        <v>0.3</v>
      </c>
      <c r="H91" s="1">
        <v>40</v>
      </c>
      <c r="I91" s="1" t="s">
        <v>37</v>
      </c>
      <c r="J91" s="1"/>
      <c r="K91" s="1">
        <v>46</v>
      </c>
      <c r="L91" s="1">
        <f t="shared" si="17"/>
        <v>-4</v>
      </c>
      <c r="M91" s="1">
        <f t="shared" si="18"/>
        <v>42</v>
      </c>
      <c r="N91" s="1"/>
      <c r="O91" s="1">
        <v>19</v>
      </c>
      <c r="P91" s="1">
        <v>34.6</v>
      </c>
      <c r="Q91" s="1">
        <f t="shared" si="19"/>
        <v>8.4</v>
      </c>
      <c r="R91" s="5"/>
      <c r="S91" s="5"/>
      <c r="T91" s="5">
        <f t="shared" si="20"/>
        <v>0</v>
      </c>
      <c r="U91" s="5"/>
      <c r="V91" s="1"/>
      <c r="W91" s="1"/>
      <c r="X91" s="1">
        <f t="shared" si="21"/>
        <v>13.166666666666666</v>
      </c>
      <c r="Y91" s="1">
        <f t="shared" si="22"/>
        <v>13.166666666666666</v>
      </c>
      <c r="Z91" s="1">
        <v>10.6</v>
      </c>
      <c r="AA91" s="1">
        <v>10.8</v>
      </c>
      <c r="AB91" s="1">
        <v>10.4</v>
      </c>
      <c r="AC91" s="1">
        <v>9.4</v>
      </c>
      <c r="AD91" s="1">
        <v>7.8</v>
      </c>
      <c r="AE91" s="1">
        <v>7.6</v>
      </c>
      <c r="AF91" s="1">
        <v>8.6</v>
      </c>
      <c r="AG91" s="1">
        <v>6.8</v>
      </c>
      <c r="AH91" s="1"/>
      <c r="AI91" s="1">
        <f t="shared" si="23"/>
        <v>0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135</v>
      </c>
      <c r="B92" s="1" t="s">
        <v>42</v>
      </c>
      <c r="C92" s="1">
        <v>50</v>
      </c>
      <c r="D92" s="1">
        <v>1</v>
      </c>
      <c r="E92" s="1">
        <v>10</v>
      </c>
      <c r="F92" s="1">
        <v>39</v>
      </c>
      <c r="G92" s="8">
        <v>0.12</v>
      </c>
      <c r="H92" s="1">
        <v>45</v>
      </c>
      <c r="I92" s="1" t="s">
        <v>37</v>
      </c>
      <c r="J92" s="1"/>
      <c r="K92" s="1">
        <v>12</v>
      </c>
      <c r="L92" s="1">
        <f t="shared" si="17"/>
        <v>-2</v>
      </c>
      <c r="M92" s="1">
        <f t="shared" si="18"/>
        <v>10</v>
      </c>
      <c r="N92" s="1"/>
      <c r="O92" s="1">
        <v>0</v>
      </c>
      <c r="P92" s="1">
        <v>9</v>
      </c>
      <c r="Q92" s="1">
        <f t="shared" si="19"/>
        <v>2</v>
      </c>
      <c r="R92" s="5"/>
      <c r="S92" s="5"/>
      <c r="T92" s="5">
        <f t="shared" si="20"/>
        <v>0</v>
      </c>
      <c r="U92" s="5"/>
      <c r="V92" s="1"/>
      <c r="W92" s="1"/>
      <c r="X92" s="1">
        <f t="shared" si="21"/>
        <v>24</v>
      </c>
      <c r="Y92" s="1">
        <f t="shared" si="22"/>
        <v>24</v>
      </c>
      <c r="Z92" s="1">
        <v>4</v>
      </c>
      <c r="AA92" s="1">
        <v>4.4000000000000004</v>
      </c>
      <c r="AB92" s="1">
        <v>3.6</v>
      </c>
      <c r="AC92" s="1">
        <v>4.8</v>
      </c>
      <c r="AD92" s="1">
        <v>4.4000000000000004</v>
      </c>
      <c r="AE92" s="1">
        <v>2.8</v>
      </c>
      <c r="AF92" s="1">
        <v>7.4</v>
      </c>
      <c r="AG92" s="1">
        <v>5.8</v>
      </c>
      <c r="AH92" s="17" t="s">
        <v>75</v>
      </c>
      <c r="AI92" s="1">
        <f t="shared" si="23"/>
        <v>0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1" t="s">
        <v>136</v>
      </c>
      <c r="B93" s="1" t="s">
        <v>36</v>
      </c>
      <c r="C93" s="1"/>
      <c r="D93" s="1"/>
      <c r="E93" s="1"/>
      <c r="F93" s="1"/>
      <c r="G93" s="8">
        <v>1</v>
      </c>
      <c r="H93" s="1">
        <v>180</v>
      </c>
      <c r="I93" s="1" t="s">
        <v>37</v>
      </c>
      <c r="J93" s="1"/>
      <c r="K93" s="1"/>
      <c r="L93" s="1">
        <f t="shared" si="17"/>
        <v>0</v>
      </c>
      <c r="M93" s="1">
        <f t="shared" si="18"/>
        <v>0</v>
      </c>
      <c r="N93" s="1"/>
      <c r="O93" s="1"/>
      <c r="P93" s="11"/>
      <c r="Q93" s="1">
        <f t="shared" si="19"/>
        <v>0</v>
      </c>
      <c r="R93" s="15">
        <v>4</v>
      </c>
      <c r="S93" s="15"/>
      <c r="T93" s="5">
        <f t="shared" si="20"/>
        <v>4</v>
      </c>
      <c r="U93" s="5"/>
      <c r="V93" s="1"/>
      <c r="W93" s="1"/>
      <c r="X93" s="1" t="e">
        <f t="shared" si="21"/>
        <v>#DIV/0!</v>
      </c>
      <c r="Y93" s="1" t="e">
        <f t="shared" si="22"/>
        <v>#DIV/0!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1" t="s">
        <v>128</v>
      </c>
      <c r="AI93" s="1">
        <f t="shared" si="23"/>
        <v>4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</sheetData>
  <autoFilter ref="A3:AI93" xr:uid="{5C3F4AFE-F671-4930-9ECB-EA667A58E34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2025-12-09T09:50:10Z</dcterms:created>
  <dcterms:modified xsi:type="dcterms:W3CDTF">2025-12-10T08:02:53Z</dcterms:modified>
</cp:coreProperties>
</file>