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3D1C0C03-AAFE-4871-83A3-96378E2E97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E11" i="1"/>
  <c r="L10" i="1" l="1"/>
  <c r="L4" i="1"/>
  <c r="L5" i="1"/>
  <c r="L6" i="1"/>
  <c r="L7" i="1"/>
  <c r="L8" i="1"/>
  <c r="L3" i="1"/>
  <c r="C9" i="1" l="1"/>
  <c r="D9" i="1" l="1"/>
  <c r="E9" i="1"/>
  <c r="F9" i="1"/>
  <c r="G9" i="1"/>
  <c r="H9" i="1"/>
  <c r="I9" i="1"/>
  <c r="J9" i="1"/>
  <c r="K9" i="1"/>
  <c r="B9" i="1" l="1"/>
  <c r="L9" i="1" l="1"/>
</calcChain>
</file>

<file path=xl/sharedStrings.xml><?xml version="1.0" encoding="utf-8"?>
<sst xmlns="http://schemas.openxmlformats.org/spreadsheetml/2006/main" count="23" uniqueCount="17">
  <si>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</si>
  <si>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</si>
  <si>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</si>
  <si>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</si>
  <si>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</si>
  <si>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</si>
  <si>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</si>
  <si>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</si>
  <si>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</si>
  <si>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нетто</t>
  </si>
  <si>
    <t>брутто</t>
  </si>
  <si>
    <t>паллеты</t>
  </si>
  <si>
    <t>ПРС</t>
  </si>
  <si>
    <t>Ост-молоко</t>
  </si>
  <si>
    <t>вс машина</t>
  </si>
  <si>
    <t>пн1 машина</t>
  </si>
  <si>
    <t>пн2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</si>
</sst>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15" zoomScaleNormal="115" workbookViewId="0">
      <selection activeCell="O13" sqref="O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1" width="9.85546875" customWidth="1"/>
    <col min="12" max="12" width="8.140625" bestFit="1" customWidth="1"/>
  </cols>
  <sheetData>
    <row r="1" spans="1:12" x14ac:dyDescent="0.25">
      <c r="A1" s="30" t="s">
        <v>5</v>
      </c>
      <c r="B1" s="32" t="s">
        <v>6</v>
      </c>
      <c r="C1" s="30" t="s">
        <v>14</v>
      </c>
      <c r="D1" s="34"/>
      <c r="E1" s="35"/>
      <c r="F1" s="30" t="s">
        <v>15</v>
      </c>
      <c r="G1" s="34"/>
      <c r="H1" s="35"/>
      <c r="I1" s="30" t="s">
        <v>16</v>
      </c>
      <c r="J1" s="34"/>
      <c r="K1" s="35"/>
      <c r="L1" s="28" t="s">
        <v>7</v>
      </c>
    </row>
    <row r="2" spans="1:12" ht="15.75" thickBot="1" x14ac:dyDescent="0.3">
      <c r="A2" s="31"/>
      <c r="B2" s="33"/>
      <c r="C2" s="11" t="s">
        <v>9</v>
      </c>
      <c r="D2" s="8" t="s">
        <v>10</v>
      </c>
      <c r="E2" s="12" t="s">
        <v>11</v>
      </c>
      <c r="F2" s="11" t="s">
        <v>9</v>
      </c>
      <c r="G2" s="8" t="s">
        <v>10</v>
      </c>
      <c r="H2" s="12" t="s">
        <v>11</v>
      </c>
      <c r="I2" s="11" t="s">
        <v>9</v>
      </c>
      <c r="J2" s="8" t="s">
        <v>10</v>
      </c>
      <c r="K2" s="12" t="s">
        <v>11</v>
      </c>
      <c r="L2" s="29"/>
    </row>
    <row r="3" spans="1:12" x14ac:dyDescent="0.25">
      <c r="A3" s="6" t="s">
        <v>0</v>
      </c>
      <c r="B3" s="9">
        <v>2400</v>
      </c>
      <c r="C3" s="6"/>
      <c r="D3" s="3"/>
      <c r="E3" s="7"/>
      <c r="F3" s="6">
        <v>2400</v>
      </c>
      <c r="G3" s="3">
        <v>2763</v>
      </c>
      <c r="H3" s="7">
        <v>5</v>
      </c>
      <c r="I3" s="6"/>
      <c r="J3" s="3"/>
      <c r="K3" s="7"/>
      <c r="L3" s="13">
        <f>B3-C3-F3-I3</f>
        <v>0</v>
      </c>
    </row>
    <row r="4" spans="1:12" x14ac:dyDescent="0.25">
      <c r="A4" s="4" t="s">
        <v>1</v>
      </c>
      <c r="B4" s="10">
        <v>12170</v>
      </c>
      <c r="C4" s="4"/>
      <c r="D4" s="2"/>
      <c r="E4" s="5"/>
      <c r="F4" s="4"/>
      <c r="G4" s="2"/>
      <c r="H4" s="5"/>
      <c r="I4" s="4">
        <v>12170</v>
      </c>
      <c r="J4" s="2">
        <v>13663</v>
      </c>
      <c r="K4" s="5">
        <v>22</v>
      </c>
      <c r="L4" s="13">
        <f t="shared" ref="L4:L8" si="0">B4-C4-F4-I4</f>
        <v>0</v>
      </c>
    </row>
    <row r="5" spans="1:12" x14ac:dyDescent="0.25">
      <c r="A5" s="4" t="s">
        <v>2</v>
      </c>
      <c r="B5" s="10">
        <v>10440</v>
      </c>
      <c r="C5" s="4">
        <v>9200</v>
      </c>
      <c r="D5" s="2">
        <v>10419</v>
      </c>
      <c r="E5" s="5">
        <v>18</v>
      </c>
      <c r="F5" s="4"/>
      <c r="G5" s="2"/>
      <c r="H5" s="5"/>
      <c r="I5" s="4">
        <v>1240</v>
      </c>
      <c r="J5" s="2">
        <v>1414</v>
      </c>
      <c r="K5" s="5">
        <v>3</v>
      </c>
      <c r="L5" s="13">
        <f t="shared" si="0"/>
        <v>0</v>
      </c>
    </row>
    <row r="6" spans="1:12" x14ac:dyDescent="0.25">
      <c r="A6" s="4" t="s">
        <v>3</v>
      </c>
      <c r="B6" s="10">
        <v>3080</v>
      </c>
      <c r="C6" s="4"/>
      <c r="D6" s="2"/>
      <c r="E6" s="5"/>
      <c r="F6" s="4">
        <v>3080</v>
      </c>
      <c r="G6" s="2">
        <v>3531</v>
      </c>
      <c r="H6" s="5">
        <v>6</v>
      </c>
      <c r="I6" s="4"/>
      <c r="J6" s="2"/>
      <c r="K6" s="5"/>
      <c r="L6" s="13">
        <f t="shared" si="0"/>
        <v>0</v>
      </c>
    </row>
    <row r="7" spans="1:12" x14ac:dyDescent="0.25">
      <c r="A7" s="4" t="s">
        <v>4</v>
      </c>
      <c r="B7" s="10">
        <v>11610</v>
      </c>
      <c r="C7" s="4"/>
      <c r="D7" s="2"/>
      <c r="E7" s="5"/>
      <c r="F7" s="4">
        <v>11610</v>
      </c>
      <c r="G7" s="2">
        <v>12629</v>
      </c>
      <c r="H7" s="5">
        <v>18</v>
      </c>
      <c r="I7" s="4"/>
      <c r="J7" s="2"/>
      <c r="K7" s="5"/>
      <c r="L7" s="13">
        <f t="shared" si="0"/>
        <v>0</v>
      </c>
    </row>
    <row r="8" spans="1:12" ht="15.75" thickBot="1" x14ac:dyDescent="0.3">
      <c r="A8" s="14" t="s">
        <v>12</v>
      </c>
      <c r="B8" s="15">
        <v>3609</v>
      </c>
      <c r="C8" s="14"/>
      <c r="D8" s="16"/>
      <c r="E8" s="17"/>
      <c r="F8" s="14"/>
      <c r="G8" s="16"/>
      <c r="H8" s="17"/>
      <c r="I8" s="14">
        <v>3609</v>
      </c>
      <c r="J8" s="16">
        <v>4272</v>
      </c>
      <c r="K8" s="17">
        <v>9</v>
      </c>
      <c r="L8" s="13">
        <f t="shared" si="0"/>
        <v>0</v>
      </c>
    </row>
    <row r="9" spans="1:12" s="1" customFormat="1" ht="15.75" thickBot="1" x14ac:dyDescent="0.3">
      <c r="A9" s="18" t="s">
        <v>8</v>
      </c>
      <c r="B9" s="19">
        <f t="shared" ref="B9:L9" si="1">SUM(B3:B8)</f>
        <v>43309</v>
      </c>
      <c r="C9" s="18">
        <f t="shared" si="1"/>
        <v>9200</v>
      </c>
      <c r="D9" s="20">
        <f t="shared" si="1"/>
        <v>10419</v>
      </c>
      <c r="E9" s="21">
        <f t="shared" si="1"/>
        <v>18</v>
      </c>
      <c r="F9" s="18">
        <f t="shared" si="1"/>
        <v>17090</v>
      </c>
      <c r="G9" s="20">
        <f t="shared" si="1"/>
        <v>18923</v>
      </c>
      <c r="H9" s="21">
        <f t="shared" si="1"/>
        <v>29</v>
      </c>
      <c r="I9" s="18">
        <f t="shared" si="1"/>
        <v>17019</v>
      </c>
      <c r="J9" s="20">
        <f t="shared" si="1"/>
        <v>19349</v>
      </c>
      <c r="K9" s="21">
        <f t="shared" si="1"/>
        <v>34</v>
      </c>
      <c r="L9" s="22">
        <f t="shared" si="1"/>
        <v>0</v>
      </c>
    </row>
    <row r="10" spans="1:12" ht="15.75" thickBot="1" x14ac:dyDescent="0.3">
      <c r="A10" s="23" t="s">
        <v>13</v>
      </c>
      <c r="B10" s="24">
        <v>6500</v>
      </c>
      <c r="C10" s="23">
        <v>6500</v>
      </c>
      <c r="D10" s="25"/>
      <c r="E10" s="26">
        <v>14</v>
      </c>
      <c r="F10" s="23"/>
      <c r="G10" s="25"/>
      <c r="H10" s="26"/>
      <c r="I10" s="23"/>
      <c r="J10" s="25"/>
      <c r="K10" s="26"/>
      <c r="L10" s="27">
        <f>B10-C10-F10-I10</f>
        <v>0</v>
      </c>
    </row>
    <row r="11" spans="1:12" x14ac:dyDescent="0.25">
      <c r="C11">
        <f>SUM(C9:C10)</f>
        <v>15700</v>
      </c>
      <c r="E11">
        <f>SUM(E9:E10)</f>
        <v>32</v>
      </c>
    </row>
  </sheetData>
  <mergeCells count="6">
    <mergeCell ref="L1:L2"/>
    <mergeCell ref="A1:A2"/>
    <mergeCell ref="B1:B2"/>
    <mergeCell ref="C1:E1"/>
    <mergeCell ref="F1:H1"/>
    <mergeCell ref="I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2025-12-12T08:28:04Z</dcterms:modified>
</cp:coreProperties>
</file>