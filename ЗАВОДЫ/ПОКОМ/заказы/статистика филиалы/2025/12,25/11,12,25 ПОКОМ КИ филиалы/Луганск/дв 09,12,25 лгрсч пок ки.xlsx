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2,25\09,12,25 ПОКОМ КИ филиалы\"/>
    </mc:Choice>
  </mc:AlternateContent>
  <xr:revisionPtr revIDLastSave="0" documentId="13_ncr:1_{1D22EB3D-E78E-4A90-A635-19287DF24C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" i="1" l="1"/>
  <c r="AL7" i="1"/>
  <c r="AL8" i="1"/>
  <c r="AL9" i="1"/>
  <c r="AL10" i="1"/>
  <c r="AL11" i="1"/>
  <c r="AL12" i="1"/>
  <c r="AL16" i="1"/>
  <c r="AL18" i="1"/>
  <c r="AL19" i="1"/>
  <c r="AL21" i="1"/>
  <c r="AL22" i="1"/>
  <c r="AL24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40" i="1"/>
  <c r="AL41" i="1"/>
  <c r="AL42" i="1"/>
  <c r="AL43" i="1"/>
  <c r="AL44" i="1"/>
  <c r="AL45" i="1"/>
  <c r="AL46" i="1"/>
  <c r="AL49" i="1"/>
  <c r="AL50" i="1"/>
  <c r="AL51" i="1"/>
  <c r="AL52" i="1"/>
  <c r="AL54" i="1"/>
  <c r="AL56" i="1"/>
  <c r="AL57" i="1"/>
  <c r="AL59" i="1"/>
  <c r="AL60" i="1"/>
  <c r="AL61" i="1"/>
  <c r="AL62" i="1"/>
  <c r="AL63" i="1"/>
  <c r="AL64" i="1"/>
  <c r="AL65" i="1"/>
  <c r="AL66" i="1"/>
  <c r="AL67" i="1"/>
  <c r="AL68" i="1"/>
  <c r="AL70" i="1"/>
  <c r="AL71" i="1"/>
  <c r="AL72" i="1"/>
  <c r="AL74" i="1"/>
  <c r="AL75" i="1"/>
  <c r="AL77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3" i="1"/>
  <c r="AL94" i="1"/>
  <c r="AL95" i="1"/>
  <c r="U9" i="1" l="1"/>
  <c r="U10" i="1"/>
  <c r="U13" i="1"/>
  <c r="U16" i="1"/>
  <c r="U18" i="1"/>
  <c r="U21" i="1"/>
  <c r="U22" i="1"/>
  <c r="U24" i="1"/>
  <c r="U29" i="1"/>
  <c r="U30" i="1"/>
  <c r="U32" i="1"/>
  <c r="U33" i="1"/>
  <c r="U35" i="1"/>
  <c r="U37" i="1"/>
  <c r="U39" i="1"/>
  <c r="U40" i="1"/>
  <c r="U45" i="1"/>
  <c r="U47" i="1"/>
  <c r="U48" i="1"/>
  <c r="U49" i="1"/>
  <c r="U50" i="1"/>
  <c r="U51" i="1"/>
  <c r="U52" i="1"/>
  <c r="U56" i="1"/>
  <c r="U57" i="1"/>
  <c r="U60" i="1"/>
  <c r="U67" i="1"/>
  <c r="U68" i="1"/>
  <c r="U69" i="1"/>
  <c r="U71" i="1"/>
  <c r="U72" i="1"/>
  <c r="U75" i="1"/>
  <c r="U77" i="1"/>
  <c r="U78" i="1"/>
  <c r="U79" i="1"/>
  <c r="U80" i="1"/>
  <c r="U82" i="1"/>
  <c r="U83" i="1"/>
  <c r="U85" i="1"/>
  <c r="U87" i="1"/>
  <c r="U89" i="1"/>
  <c r="U91" i="1"/>
  <c r="U92" i="1"/>
  <c r="U94" i="1"/>
  <c r="U95" i="1"/>
  <c r="U6" i="1"/>
  <c r="AK9" i="1"/>
  <c r="AK10" i="1"/>
  <c r="AK13" i="1"/>
  <c r="AK16" i="1"/>
  <c r="AK18" i="1"/>
  <c r="AK21" i="1"/>
  <c r="AK22" i="1"/>
  <c r="AK24" i="1"/>
  <c r="AK29" i="1"/>
  <c r="AK30" i="1"/>
  <c r="AK32" i="1"/>
  <c r="AK33" i="1"/>
  <c r="AK35" i="1"/>
  <c r="AK37" i="1"/>
  <c r="AK39" i="1"/>
  <c r="AK40" i="1"/>
  <c r="AK45" i="1"/>
  <c r="AK47" i="1"/>
  <c r="AK48" i="1"/>
  <c r="AK49" i="1"/>
  <c r="AK50" i="1"/>
  <c r="AK51" i="1"/>
  <c r="AK52" i="1"/>
  <c r="AK56" i="1"/>
  <c r="AK57" i="1"/>
  <c r="AK60" i="1"/>
  <c r="AK67" i="1"/>
  <c r="AK68" i="1"/>
  <c r="AK69" i="1"/>
  <c r="AK71" i="1"/>
  <c r="AK72" i="1"/>
  <c r="AK75" i="1"/>
  <c r="AK77" i="1"/>
  <c r="AK78" i="1"/>
  <c r="AK79" i="1"/>
  <c r="AK80" i="1"/>
  <c r="AK82" i="1"/>
  <c r="AK83" i="1"/>
  <c r="AK85" i="1"/>
  <c r="AK87" i="1"/>
  <c r="AK89" i="1"/>
  <c r="AK91" i="1"/>
  <c r="AK92" i="1"/>
  <c r="AK94" i="1"/>
  <c r="AK95" i="1"/>
  <c r="AK6" i="1"/>
  <c r="M7" i="1" l="1"/>
  <c r="R7" i="1" s="1"/>
  <c r="M8" i="1"/>
  <c r="R8" i="1" s="1"/>
  <c r="S8" i="1" s="1"/>
  <c r="U8" i="1" s="1"/>
  <c r="M9" i="1"/>
  <c r="R9" i="1" s="1"/>
  <c r="Z9" i="1" s="1"/>
  <c r="M10" i="1"/>
  <c r="R10" i="1" s="1"/>
  <c r="Z10" i="1" s="1"/>
  <c r="M11" i="1"/>
  <c r="R11" i="1" s="1"/>
  <c r="M12" i="1"/>
  <c r="R12" i="1" s="1"/>
  <c r="S12" i="1" s="1"/>
  <c r="U12" i="1" s="1"/>
  <c r="M13" i="1"/>
  <c r="R13" i="1" s="1"/>
  <c r="M14" i="1"/>
  <c r="R14" i="1" s="1"/>
  <c r="V14" i="1" s="1"/>
  <c r="AL14" i="1" s="1"/>
  <c r="M15" i="1"/>
  <c r="R15" i="1" s="1"/>
  <c r="V15" i="1" s="1"/>
  <c r="AL15" i="1" s="1"/>
  <c r="M16" i="1"/>
  <c r="R16" i="1" s="1"/>
  <c r="Z16" i="1" s="1"/>
  <c r="M17" i="1"/>
  <c r="R17" i="1" s="1"/>
  <c r="V17" i="1" s="1"/>
  <c r="AL17" i="1" s="1"/>
  <c r="M18" i="1"/>
  <c r="R18" i="1" s="1"/>
  <c r="Z18" i="1" s="1"/>
  <c r="M19" i="1"/>
  <c r="R19" i="1" s="1"/>
  <c r="M20" i="1"/>
  <c r="R20" i="1" s="1"/>
  <c r="V20" i="1" s="1"/>
  <c r="AL20" i="1" s="1"/>
  <c r="M21" i="1"/>
  <c r="R21" i="1" s="1"/>
  <c r="Z21" i="1" s="1"/>
  <c r="M22" i="1"/>
  <c r="R22" i="1" s="1"/>
  <c r="Z22" i="1" s="1"/>
  <c r="M23" i="1"/>
  <c r="R23" i="1" s="1"/>
  <c r="V23" i="1" s="1"/>
  <c r="AL23" i="1" s="1"/>
  <c r="M24" i="1"/>
  <c r="R24" i="1" s="1"/>
  <c r="Z24" i="1" s="1"/>
  <c r="M25" i="1"/>
  <c r="R25" i="1" s="1"/>
  <c r="M26" i="1"/>
  <c r="R26" i="1" s="1"/>
  <c r="M27" i="1"/>
  <c r="R27" i="1" s="1"/>
  <c r="S27" i="1" s="1"/>
  <c r="U27" i="1" s="1"/>
  <c r="M28" i="1"/>
  <c r="R28" i="1" s="1"/>
  <c r="M29" i="1"/>
  <c r="R29" i="1" s="1"/>
  <c r="Z29" i="1" s="1"/>
  <c r="M30" i="1"/>
  <c r="R30" i="1" s="1"/>
  <c r="Z30" i="1" s="1"/>
  <c r="M31" i="1"/>
  <c r="R31" i="1" s="1"/>
  <c r="S31" i="1" s="1"/>
  <c r="U31" i="1" s="1"/>
  <c r="M32" i="1"/>
  <c r="R32" i="1" s="1"/>
  <c r="Z32" i="1" s="1"/>
  <c r="M33" i="1"/>
  <c r="R33" i="1" s="1"/>
  <c r="Z33" i="1" s="1"/>
  <c r="M34" i="1"/>
  <c r="R34" i="1" s="1"/>
  <c r="M35" i="1"/>
  <c r="R35" i="1" s="1"/>
  <c r="Z35" i="1" s="1"/>
  <c r="M36" i="1"/>
  <c r="R36" i="1" s="1"/>
  <c r="M37" i="1"/>
  <c r="R37" i="1" s="1"/>
  <c r="Z37" i="1" s="1"/>
  <c r="M38" i="1"/>
  <c r="R38" i="1" s="1"/>
  <c r="M39" i="1"/>
  <c r="R39" i="1" s="1"/>
  <c r="M40" i="1"/>
  <c r="R40" i="1" s="1"/>
  <c r="Z40" i="1" s="1"/>
  <c r="M41" i="1"/>
  <c r="R41" i="1" s="1"/>
  <c r="S41" i="1" s="1"/>
  <c r="U41" i="1" s="1"/>
  <c r="M42" i="1"/>
  <c r="R42" i="1" s="1"/>
  <c r="M43" i="1"/>
  <c r="R43" i="1" s="1"/>
  <c r="S43" i="1" s="1"/>
  <c r="U43" i="1" s="1"/>
  <c r="M44" i="1"/>
  <c r="R44" i="1" s="1"/>
  <c r="M45" i="1"/>
  <c r="R45" i="1" s="1"/>
  <c r="Z45" i="1" s="1"/>
  <c r="M46" i="1"/>
  <c r="R46" i="1" s="1"/>
  <c r="M47" i="1"/>
  <c r="R47" i="1" s="1"/>
  <c r="M48" i="1"/>
  <c r="R48" i="1" s="1"/>
  <c r="M49" i="1"/>
  <c r="R49" i="1" s="1"/>
  <c r="Z49" i="1" s="1"/>
  <c r="M50" i="1"/>
  <c r="R50" i="1" s="1"/>
  <c r="Z50" i="1" s="1"/>
  <c r="M51" i="1"/>
  <c r="R51" i="1" s="1"/>
  <c r="Z51" i="1" s="1"/>
  <c r="M52" i="1"/>
  <c r="R52" i="1" s="1"/>
  <c r="Z52" i="1" s="1"/>
  <c r="M53" i="1"/>
  <c r="R53" i="1" s="1"/>
  <c r="V53" i="1" s="1"/>
  <c r="AL53" i="1" s="1"/>
  <c r="M54" i="1"/>
  <c r="R54" i="1" s="1"/>
  <c r="M55" i="1"/>
  <c r="R55" i="1" s="1"/>
  <c r="V55" i="1" s="1"/>
  <c r="AL55" i="1" s="1"/>
  <c r="M56" i="1"/>
  <c r="R56" i="1" s="1"/>
  <c r="Z56" i="1" s="1"/>
  <c r="M57" i="1"/>
  <c r="R57" i="1" s="1"/>
  <c r="Z57" i="1" s="1"/>
  <c r="M58" i="1"/>
  <c r="R58" i="1" s="1"/>
  <c r="V58" i="1" s="1"/>
  <c r="AL58" i="1" s="1"/>
  <c r="M59" i="1"/>
  <c r="R59" i="1" s="1"/>
  <c r="M60" i="1"/>
  <c r="R60" i="1" s="1"/>
  <c r="Z60" i="1" s="1"/>
  <c r="M61" i="1"/>
  <c r="R61" i="1" s="1"/>
  <c r="M62" i="1"/>
  <c r="R62" i="1" s="1"/>
  <c r="M63" i="1"/>
  <c r="R63" i="1" s="1"/>
  <c r="M64" i="1"/>
  <c r="R64" i="1" s="1"/>
  <c r="M65" i="1"/>
  <c r="R65" i="1" s="1"/>
  <c r="M66" i="1"/>
  <c r="R66" i="1" s="1"/>
  <c r="M67" i="1"/>
  <c r="R67" i="1" s="1"/>
  <c r="Z67" i="1" s="1"/>
  <c r="M68" i="1"/>
  <c r="R68" i="1" s="1"/>
  <c r="Z68" i="1" s="1"/>
  <c r="M69" i="1"/>
  <c r="R69" i="1" s="1"/>
  <c r="M70" i="1"/>
  <c r="R70" i="1" s="1"/>
  <c r="M71" i="1"/>
  <c r="R71" i="1" s="1"/>
  <c r="Z71" i="1" s="1"/>
  <c r="M72" i="1"/>
  <c r="R72" i="1" s="1"/>
  <c r="Z72" i="1" s="1"/>
  <c r="M73" i="1"/>
  <c r="R73" i="1" s="1"/>
  <c r="V73" i="1" s="1"/>
  <c r="AL73" i="1" s="1"/>
  <c r="M74" i="1"/>
  <c r="R74" i="1" s="1"/>
  <c r="M75" i="1"/>
  <c r="R75" i="1" s="1"/>
  <c r="Z75" i="1" s="1"/>
  <c r="M76" i="1"/>
  <c r="R76" i="1" s="1"/>
  <c r="V76" i="1" s="1"/>
  <c r="AL76" i="1" s="1"/>
  <c r="M77" i="1"/>
  <c r="R77" i="1" s="1"/>
  <c r="Z77" i="1" s="1"/>
  <c r="M78" i="1"/>
  <c r="R78" i="1" s="1"/>
  <c r="M79" i="1"/>
  <c r="R79" i="1" s="1"/>
  <c r="M80" i="1"/>
  <c r="R80" i="1" s="1"/>
  <c r="Z80" i="1" s="1"/>
  <c r="M81" i="1"/>
  <c r="R81" i="1" s="1"/>
  <c r="S81" i="1" s="1"/>
  <c r="U81" i="1" s="1"/>
  <c r="M82" i="1"/>
  <c r="R82" i="1" s="1"/>
  <c r="Z82" i="1" s="1"/>
  <c r="M83" i="1"/>
  <c r="R83" i="1" s="1"/>
  <c r="Z83" i="1" s="1"/>
  <c r="M84" i="1"/>
  <c r="R84" i="1" s="1"/>
  <c r="M85" i="1"/>
  <c r="R85" i="1" s="1"/>
  <c r="Z85" i="1" s="1"/>
  <c r="M86" i="1"/>
  <c r="R86" i="1" s="1"/>
  <c r="M87" i="1"/>
  <c r="R87" i="1" s="1"/>
  <c r="Z87" i="1" s="1"/>
  <c r="M88" i="1"/>
  <c r="R88" i="1" s="1"/>
  <c r="M89" i="1"/>
  <c r="R89" i="1" s="1"/>
  <c r="Z89" i="1" s="1"/>
  <c r="M90" i="1"/>
  <c r="R90" i="1" s="1"/>
  <c r="M91" i="1"/>
  <c r="R91" i="1" s="1"/>
  <c r="M92" i="1"/>
  <c r="R92" i="1" s="1"/>
  <c r="M93" i="1"/>
  <c r="R93" i="1" s="1"/>
  <c r="AA93" i="1" s="1"/>
  <c r="M94" i="1"/>
  <c r="R94" i="1" s="1"/>
  <c r="Z94" i="1" s="1"/>
  <c r="M95" i="1"/>
  <c r="R95" i="1" s="1"/>
  <c r="M6" i="1"/>
  <c r="R6" i="1" s="1"/>
  <c r="Y5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Q5" i="1"/>
  <c r="P5" i="1"/>
  <c r="O5" i="1"/>
  <c r="N5" i="1"/>
  <c r="K5" i="1"/>
  <c r="F5" i="1"/>
  <c r="E5" i="1"/>
  <c r="Z6" i="1" l="1"/>
  <c r="V6" i="1"/>
  <c r="Z92" i="1"/>
  <c r="V92" i="1"/>
  <c r="AL92" i="1" s="1"/>
  <c r="Z78" i="1"/>
  <c r="V78" i="1"/>
  <c r="AL78" i="1" s="1"/>
  <c r="Z48" i="1"/>
  <c r="V48" i="1"/>
  <c r="AL48" i="1" s="1"/>
  <c r="Z79" i="1"/>
  <c r="V79" i="1"/>
  <c r="AL79" i="1" s="1"/>
  <c r="Z69" i="1"/>
  <c r="V69" i="1"/>
  <c r="AL69" i="1" s="1"/>
  <c r="Z47" i="1"/>
  <c r="V47" i="1"/>
  <c r="AL47" i="1" s="1"/>
  <c r="Z39" i="1"/>
  <c r="V39" i="1"/>
  <c r="AL39" i="1" s="1"/>
  <c r="T25" i="1"/>
  <c r="V25" i="1"/>
  <c r="AL25" i="1" s="1"/>
  <c r="Z13" i="1"/>
  <c r="V13" i="1"/>
  <c r="AL13" i="1" s="1"/>
  <c r="S73" i="1"/>
  <c r="T73" i="1"/>
  <c r="S55" i="1"/>
  <c r="T55" i="1"/>
  <c r="S53" i="1"/>
  <c r="T53" i="1"/>
  <c r="S23" i="1"/>
  <c r="T23" i="1"/>
  <c r="S17" i="1"/>
  <c r="T17" i="1"/>
  <c r="S15" i="1"/>
  <c r="T15" i="1"/>
  <c r="S76" i="1"/>
  <c r="T76" i="1"/>
  <c r="S58" i="1"/>
  <c r="T58" i="1"/>
  <c r="S20" i="1"/>
  <c r="T20" i="1"/>
  <c r="S14" i="1"/>
  <c r="T14" i="1"/>
  <c r="AA95" i="1"/>
  <c r="Z95" i="1"/>
  <c r="AA91" i="1"/>
  <c r="Z91" i="1"/>
  <c r="AK81" i="1"/>
  <c r="Z81" i="1"/>
  <c r="AK43" i="1"/>
  <c r="Z43" i="1"/>
  <c r="AK41" i="1"/>
  <c r="Z41" i="1"/>
  <c r="AK31" i="1"/>
  <c r="Z31" i="1"/>
  <c r="AK27" i="1"/>
  <c r="Z27" i="1"/>
  <c r="AK12" i="1"/>
  <c r="Z12" i="1"/>
  <c r="AK8" i="1"/>
  <c r="Z8" i="1"/>
  <c r="S25" i="1"/>
  <c r="U25" i="1" s="1"/>
  <c r="AA94" i="1"/>
  <c r="AA92" i="1"/>
  <c r="S90" i="1"/>
  <c r="U90" i="1" s="1"/>
  <c r="S88" i="1"/>
  <c r="U88" i="1" s="1"/>
  <c r="S86" i="1"/>
  <c r="U86" i="1" s="1"/>
  <c r="S84" i="1"/>
  <c r="U84" i="1" s="1"/>
  <c r="S74" i="1"/>
  <c r="U74" i="1" s="1"/>
  <c r="S70" i="1"/>
  <c r="U70" i="1" s="1"/>
  <c r="S66" i="1"/>
  <c r="U66" i="1" s="1"/>
  <c r="S64" i="1"/>
  <c r="U64" i="1" s="1"/>
  <c r="S62" i="1"/>
  <c r="U62" i="1" s="1"/>
  <c r="S54" i="1"/>
  <c r="U54" i="1" s="1"/>
  <c r="S46" i="1"/>
  <c r="U46" i="1" s="1"/>
  <c r="S44" i="1"/>
  <c r="U44" i="1" s="1"/>
  <c r="S42" i="1"/>
  <c r="U42" i="1" s="1"/>
  <c r="S38" i="1"/>
  <c r="U38" i="1" s="1"/>
  <c r="S36" i="1"/>
  <c r="U36" i="1" s="1"/>
  <c r="S34" i="1"/>
  <c r="U34" i="1" s="1"/>
  <c r="S28" i="1"/>
  <c r="U28" i="1" s="1"/>
  <c r="S26" i="1"/>
  <c r="U26" i="1" s="1"/>
  <c r="S7" i="1"/>
  <c r="U7" i="1" s="1"/>
  <c r="S11" i="1"/>
  <c r="U11" i="1" s="1"/>
  <c r="S19" i="1"/>
  <c r="U19" i="1" s="1"/>
  <c r="S59" i="1"/>
  <c r="U59" i="1" s="1"/>
  <c r="S61" i="1"/>
  <c r="U61" i="1" s="1"/>
  <c r="S63" i="1"/>
  <c r="U63" i="1" s="1"/>
  <c r="S65" i="1"/>
  <c r="U65" i="1" s="1"/>
  <c r="S93" i="1"/>
  <c r="U93" i="1" s="1"/>
  <c r="AA6" i="1"/>
  <c r="AA89" i="1"/>
  <c r="AA85" i="1"/>
  <c r="AA81" i="1"/>
  <c r="AA77" i="1"/>
  <c r="AA73" i="1"/>
  <c r="AA69" i="1"/>
  <c r="AA65" i="1"/>
  <c r="AA61" i="1"/>
  <c r="AA57" i="1"/>
  <c r="AA54" i="1"/>
  <c r="AA50" i="1"/>
  <c r="AA46" i="1"/>
  <c r="AA42" i="1"/>
  <c r="AA38" i="1"/>
  <c r="AA34" i="1"/>
  <c r="AA30" i="1"/>
  <c r="AA26" i="1"/>
  <c r="AA22" i="1"/>
  <c r="AA18" i="1"/>
  <c r="AA14" i="1"/>
  <c r="AA10" i="1"/>
  <c r="L5" i="1"/>
  <c r="AA87" i="1"/>
  <c r="AA83" i="1"/>
  <c r="AA79" i="1"/>
  <c r="AA75" i="1"/>
  <c r="AA71" i="1"/>
  <c r="AA67" i="1"/>
  <c r="AA63" i="1"/>
  <c r="AA59" i="1"/>
  <c r="AA56" i="1"/>
  <c r="AA52" i="1"/>
  <c r="AA48" i="1"/>
  <c r="AA44" i="1"/>
  <c r="AA40" i="1"/>
  <c r="AA36" i="1"/>
  <c r="AA32" i="1"/>
  <c r="AA28" i="1"/>
  <c r="AA24" i="1"/>
  <c r="AA20" i="1"/>
  <c r="AA16" i="1"/>
  <c r="AA12" i="1"/>
  <c r="AA8" i="1"/>
  <c r="AA90" i="1"/>
  <c r="AA88" i="1"/>
  <c r="AA86" i="1"/>
  <c r="AA84" i="1"/>
  <c r="AA82" i="1"/>
  <c r="AA80" i="1"/>
  <c r="AA78" i="1"/>
  <c r="AA76" i="1"/>
  <c r="AA74" i="1"/>
  <c r="AA72" i="1"/>
  <c r="AA70" i="1"/>
  <c r="AA68" i="1"/>
  <c r="AA66" i="1"/>
  <c r="AA64" i="1"/>
  <c r="AA62" i="1"/>
  <c r="AA60" i="1"/>
  <c r="AA58" i="1"/>
  <c r="AA55" i="1"/>
  <c r="AA53" i="1"/>
  <c r="AA51" i="1"/>
  <c r="AA49" i="1"/>
  <c r="AA47" i="1"/>
  <c r="AA45" i="1"/>
  <c r="AA43" i="1"/>
  <c r="AA41" i="1"/>
  <c r="AA39" i="1"/>
  <c r="AA37" i="1"/>
  <c r="AA35" i="1"/>
  <c r="AA33" i="1"/>
  <c r="AA31" i="1"/>
  <c r="AA29" i="1"/>
  <c r="AA27" i="1"/>
  <c r="AA25" i="1"/>
  <c r="AA23" i="1"/>
  <c r="AA21" i="1"/>
  <c r="AA19" i="1"/>
  <c r="AA17" i="1"/>
  <c r="AA15" i="1"/>
  <c r="AA13" i="1"/>
  <c r="AA11" i="1"/>
  <c r="AA9" i="1"/>
  <c r="AA7" i="1"/>
  <c r="M5" i="1"/>
  <c r="R5" i="1"/>
  <c r="T5" i="1" l="1"/>
  <c r="AL6" i="1"/>
  <c r="AL5" i="1" s="1"/>
  <c r="V5" i="1"/>
  <c r="U14" i="1"/>
  <c r="U20" i="1"/>
  <c r="U58" i="1"/>
  <c r="U76" i="1"/>
  <c r="U15" i="1"/>
  <c r="U17" i="1"/>
  <c r="U23" i="1"/>
  <c r="U53" i="1"/>
  <c r="U55" i="1"/>
  <c r="U73" i="1"/>
  <c r="AK65" i="1"/>
  <c r="Z65" i="1"/>
  <c r="AK61" i="1"/>
  <c r="Z61" i="1"/>
  <c r="AK19" i="1"/>
  <c r="Z19" i="1"/>
  <c r="AK7" i="1"/>
  <c r="Z7" i="1"/>
  <c r="AK28" i="1"/>
  <c r="Z28" i="1"/>
  <c r="AK36" i="1"/>
  <c r="Z36" i="1"/>
  <c r="AK42" i="1"/>
  <c r="Z42" i="1"/>
  <c r="Z46" i="1"/>
  <c r="AK46" i="1"/>
  <c r="Z62" i="1"/>
  <c r="AK62" i="1"/>
  <c r="Z66" i="1"/>
  <c r="AK66" i="1"/>
  <c r="AK74" i="1"/>
  <c r="Z74" i="1"/>
  <c r="Z86" i="1"/>
  <c r="AK86" i="1"/>
  <c r="Z90" i="1"/>
  <c r="AK90" i="1"/>
  <c r="AK93" i="1"/>
  <c r="Z93" i="1"/>
  <c r="AK63" i="1"/>
  <c r="Z63" i="1"/>
  <c r="AK59" i="1"/>
  <c r="Z59" i="1"/>
  <c r="AK11" i="1"/>
  <c r="Z11" i="1"/>
  <c r="Z26" i="1"/>
  <c r="AK26" i="1"/>
  <c r="Z34" i="1"/>
  <c r="AK34" i="1"/>
  <c r="Z38" i="1"/>
  <c r="AK38" i="1"/>
  <c r="AK44" i="1"/>
  <c r="Z44" i="1"/>
  <c r="AK54" i="1"/>
  <c r="Z54" i="1"/>
  <c r="AK64" i="1"/>
  <c r="Z64" i="1"/>
  <c r="Z70" i="1"/>
  <c r="AK70" i="1"/>
  <c r="AK84" i="1"/>
  <c r="Z84" i="1"/>
  <c r="AK88" i="1"/>
  <c r="Z88" i="1"/>
  <c r="AK25" i="1"/>
  <c r="Z25" i="1"/>
  <c r="S5" i="1"/>
  <c r="AK73" i="1" l="1"/>
  <c r="Z73" i="1"/>
  <c r="AK53" i="1"/>
  <c r="Z53" i="1"/>
  <c r="AK17" i="1"/>
  <c r="Z17" i="1"/>
  <c r="AK76" i="1"/>
  <c r="Z76" i="1"/>
  <c r="AK20" i="1"/>
  <c r="Z20" i="1"/>
  <c r="U5" i="1"/>
  <c r="AK55" i="1"/>
  <c r="Z55" i="1"/>
  <c r="AK23" i="1"/>
  <c r="Z23" i="1"/>
  <c r="AK15" i="1"/>
  <c r="Z15" i="1"/>
  <c r="Z58" i="1"/>
  <c r="AK58" i="1"/>
  <c r="AK14" i="1"/>
  <c r="Z14" i="1"/>
  <c r="AK5" i="1" l="1"/>
</calcChain>
</file>

<file path=xl/sharedStrings.xml><?xml version="1.0" encoding="utf-8"?>
<sst xmlns="http://schemas.openxmlformats.org/spreadsheetml/2006/main" count="358" uniqueCount="151">
  <si>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</si>
  <si>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</si>
  <si>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</si>
  <si>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</si>
  <si>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</si>
  <si>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</si>
  <si>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</si>
  <si>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</si>
  <si>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</si>
  <si>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</si>
  <si>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</si>
  <si>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</si>
  <si>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</si>
  <si>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</si>
  <si>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</si>
  <si>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</si>
  <si>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</si>
  <si>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</si>
  <si>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</si>
  <si>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</si>
  <si>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</si>
  <si>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</si>
  <si>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</si>
  <si>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</si>
  <si>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03,12,</t>
  </si>
  <si>
    <t>08,12,(1)</t>
  </si>
  <si>
    <t>08,12,(2)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</si>
  <si>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</si>
  <si>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</si>
  <si>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</si>
  <si>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</si>
  <si>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</si>
  <si>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</si>
  <si>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</si>
  <si>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</si>
  <si>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</si>
  <si>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</si>
  <si>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</si>
  <si>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</si>
  <si>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</si>
  <si>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</si>
  <si>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</si>
  <si>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</si>
  <si>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</si>
  <si>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</si>
  <si>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</si>
  <si>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</si>
  <si>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</si>
  <si>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</si>
  <si>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</si>
  <si>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</si>
  <si>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</si>
  <si>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</si>
  <si>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</si>
  <si>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</si>
  <si>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</si>
  <si>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</si>
  <si>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</si>
  <si>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</si>
  <si>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</si>
  <si>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</si>
  <si>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</si>
  <si>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</si>
  <si>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</si>
  <si>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</si>
  <si>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</si>
  <si>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</si>
  <si>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</si>
  <si>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</si>
  <si>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</si>
  <si>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</si>
  <si>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</si>
  <si>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</si>
  <si>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</si>
  <si>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</si>
  <si>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</si>
  <si>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</si>
  <si>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</si>
  <si>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</si>
  <si>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</si>
  <si>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</si>
  <si>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</si>
  <si>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</si>
  <si>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</si>
  <si>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</si>
  <si>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</si>
  <si>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</si>
  <si>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</si>
  <si>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</si>
  <si>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</si>
  <si>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</si>
  <si>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</si>
  <si>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</si>
  <si>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</si>
  <si>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</si>
  <si>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</si>
  <si>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</si>
  <si>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</si>
  <si>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</si>
  <si>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</si>
  <si>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</si>
  <si>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</si>
  <si>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</si>
  <si>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</si>
  <si>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</si>
  <si>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</si>
  <si>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</si>
  <si>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</si>
  <si>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</si>
  <si>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</si>
  <si>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</si>
  <si>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</si>
  <si>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</si>
  <si>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</si>
  <si>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</si>
  <si>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</si>
  <si>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</si>
  <si>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</si>
  <si>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</si>
  <si>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</si>
  <si>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</si>
  <si>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</si>
  <si>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</si>
  <si>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</si>
  <si>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</si>
  <si>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</si>
  <si>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</si>
  <si>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</si>
  <si>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</si>
  <si>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</si>
  <si>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</si>
  <si>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</si>
  <si>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</si>
  <si>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</si>
  <si>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</si>
  <si>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</si>
  <si>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</si>
  <si>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</si>
  <si>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</si>
  <si>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</si>
  <si>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</si>
  <si>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</si>
  <si>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</si>
  <si>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</si>
  <si>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нет в бланке</t>
  </si>
  <si>
    <t>Химич</t>
  </si>
  <si>
    <r>
      <t xml:space="preserve">нужно увеличить продажи!!! </t>
    </r>
    <r>
      <rPr>
        <sz val="10"/>
        <rFont val="Arial"/>
        <family val="2"/>
        <charset val="204"/>
      </rPr>
      <t>/ перемещение из Донецка 60кг</t>
    </r>
  </si>
  <si>
    <t>до машины</t>
  </si>
  <si>
    <t>заказ</t>
  </si>
  <si>
    <t>13,12,(1)</t>
  </si>
  <si>
    <t>13,12,(2)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</si>
</sst>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8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9,12,25%20&#1076;&#1085;&#1088;&#1089;&#1095;%20&#1087;&#1086;&#1082;%20&#1082;&#1080;%20&#1086;&#1090;%20&#1061;&#1084;&#1077;&#1083;&#1100;%20(&#1089;&#1086;&#1075;&#1083;&#1072;&#1089;&#1086;&#1074;&#1072;&#1083;%20&#1056;&#1072;&#1075;&#1091;&#1079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X1">
            <v>1.55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53.28515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28515625" customWidth="1"/>
    <col min="10" max="10" width="1" customWidth="1"/>
    <col min="11" max="23" width="7" customWidth="1"/>
    <col min="24" max="24" width="12" customWidth="1"/>
    <col min="25" max="25" width="7" customWidth="1"/>
    <col min="26" max="27" width="5" customWidth="1"/>
    <col min="28" max="35" width="6" customWidth="1"/>
    <col min="36" max="36" width="16" customWidth="1"/>
    <col min="37" max="38" width="7" customWidth="1"/>
    <col min="39" max="54" width="8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1">
        <v>2</v>
      </c>
      <c r="U1" s="1"/>
      <c r="V1" s="21">
        <f>[1]Sheet!$X$1</f>
        <v>1.55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147</v>
      </c>
      <c r="U3" s="3" t="s">
        <v>148</v>
      </c>
      <c r="V3" s="3" t="s">
        <v>148</v>
      </c>
      <c r="W3" s="7" t="s">
        <v>17</v>
      </c>
      <c r="X3" s="7" t="s">
        <v>18</v>
      </c>
      <c r="Y3" s="10" t="s">
        <v>145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 t="s">
        <v>149</v>
      </c>
      <c r="V4" s="1" t="s">
        <v>150</v>
      </c>
      <c r="W4" s="1"/>
      <c r="X4" s="1"/>
      <c r="Y4" s="1"/>
      <c r="Z4" s="1"/>
      <c r="AA4" s="1"/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/>
      <c r="AK4" s="1" t="s">
        <v>149</v>
      </c>
      <c r="AL4" s="1" t="s">
        <v>150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SUM(E6:E498)</f>
        <v>38726.758999999998</v>
      </c>
      <c r="F5" s="4">
        <f>SUM(F6:F498)</f>
        <v>54003.750000000007</v>
      </c>
      <c r="G5" s="8"/>
      <c r="H5" s="1"/>
      <c r="I5" s="1"/>
      <c r="J5" s="1"/>
      <c r="K5" s="4">
        <f t="shared" ref="K5:W5" si="0">SUM(K6:K498)</f>
        <v>40187.124999999993</v>
      </c>
      <c r="L5" s="4">
        <f t="shared" si="0"/>
        <v>-1460.366</v>
      </c>
      <c r="M5" s="4">
        <f t="shared" si="0"/>
        <v>38030.486000000012</v>
      </c>
      <c r="N5" s="4">
        <f t="shared" si="0"/>
        <v>696.2729999999998</v>
      </c>
      <c r="O5" s="4">
        <f t="shared" si="0"/>
        <v>7589.6406299999999</v>
      </c>
      <c r="P5" s="4">
        <f t="shared" si="0"/>
        <v>9411.9794839999977</v>
      </c>
      <c r="Q5" s="4">
        <f t="shared" si="0"/>
        <v>4840</v>
      </c>
      <c r="R5" s="4">
        <f t="shared" si="0"/>
        <v>7606.0971999999992</v>
      </c>
      <c r="S5" s="4">
        <f t="shared" si="0"/>
        <v>8451.4269180000028</v>
      </c>
      <c r="T5" s="4">
        <f t="shared" ref="T5" si="1">SUM(T6:T498)</f>
        <v>3609.6107999999999</v>
      </c>
      <c r="U5" s="4">
        <f t="shared" ref="U5:V5" si="2">SUM(U6:U498)</f>
        <v>12061.037718000001</v>
      </c>
      <c r="V5" s="4">
        <f t="shared" si="2"/>
        <v>4573.2517500000004</v>
      </c>
      <c r="W5" s="4">
        <f t="shared" si="0"/>
        <v>0</v>
      </c>
      <c r="X5" s="1"/>
      <c r="Y5" s="4">
        <f>SUM(Y6:Y498)</f>
        <v>0</v>
      </c>
      <c r="Z5" s="1"/>
      <c r="AA5" s="1"/>
      <c r="AB5" s="4">
        <f t="shared" ref="AB5:AI5" si="3">SUM(AB6:AB498)</f>
        <v>7271.5399999999981</v>
      </c>
      <c r="AC5" s="4">
        <f t="shared" si="3"/>
        <v>7227.4113999999981</v>
      </c>
      <c r="AD5" s="4">
        <f t="shared" si="3"/>
        <v>7719.581799999999</v>
      </c>
      <c r="AE5" s="4">
        <f t="shared" si="3"/>
        <v>7511.7746000000025</v>
      </c>
      <c r="AF5" s="4">
        <f t="shared" si="3"/>
        <v>7354.9609999999975</v>
      </c>
      <c r="AG5" s="4">
        <f t="shared" si="3"/>
        <v>7503.9826000000012</v>
      </c>
      <c r="AH5" s="4">
        <f t="shared" si="3"/>
        <v>7165.0007999999998</v>
      </c>
      <c r="AI5" s="4">
        <f t="shared" si="3"/>
        <v>7042.464399999998</v>
      </c>
      <c r="AJ5" s="1"/>
      <c r="AK5" s="4">
        <f>SUM(AK6:AK498)</f>
        <v>9368</v>
      </c>
      <c r="AL5" s="4">
        <f>SUM(AL6:AL498)</f>
        <v>4210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36</v>
      </c>
      <c r="B6" s="1" t="s">
        <v>37</v>
      </c>
      <c r="C6" s="1">
        <v>887.9</v>
      </c>
      <c r="D6" s="1">
        <v>1573.6479999999999</v>
      </c>
      <c r="E6" s="1">
        <v>1010.092</v>
      </c>
      <c r="F6" s="1">
        <v>1295.165</v>
      </c>
      <c r="G6" s="8">
        <v>1</v>
      </c>
      <c r="H6" s="1">
        <v>50</v>
      </c>
      <c r="I6" s="1" t="s">
        <v>38</v>
      </c>
      <c r="J6" s="1"/>
      <c r="K6" s="1">
        <v>1087.8330000000001</v>
      </c>
      <c r="L6" s="1">
        <f t="shared" ref="L6:L37" si="4">E6-K6</f>
        <v>-77.741000000000099</v>
      </c>
      <c r="M6" s="1">
        <f>E6-N6</f>
        <v>914.90899999999999</v>
      </c>
      <c r="N6" s="1">
        <v>95.183000000000007</v>
      </c>
      <c r="O6" s="1">
        <v>297.37322999999998</v>
      </c>
      <c r="P6" s="1">
        <v>189.51707599999989</v>
      </c>
      <c r="Q6" s="1">
        <v>400</v>
      </c>
      <c r="R6" s="1">
        <f>M6/5</f>
        <v>182.98179999999999</v>
      </c>
      <c r="S6" s="5"/>
      <c r="T6" s="5"/>
      <c r="U6" s="5">
        <f>T6+S6</f>
        <v>0</v>
      </c>
      <c r="V6" s="5">
        <f>$V$1*R6</f>
        <v>283.62178999999998</v>
      </c>
      <c r="W6" s="5"/>
      <c r="X6" s="1"/>
      <c r="Y6" s="1"/>
      <c r="Z6" s="1">
        <f>(F6+O6+P6+Q6+U6)/R6</f>
        <v>11.924985468500145</v>
      </c>
      <c r="AA6" s="1">
        <f>(F6+O6+P6+Q6)/R6</f>
        <v>11.924985468500145</v>
      </c>
      <c r="AB6" s="1">
        <v>190.1738</v>
      </c>
      <c r="AC6" s="1">
        <v>194.68440000000001</v>
      </c>
      <c r="AD6" s="1">
        <v>180.22620000000001</v>
      </c>
      <c r="AE6" s="1">
        <v>175.9058</v>
      </c>
      <c r="AF6" s="1">
        <v>180.18299999999999</v>
      </c>
      <c r="AG6" s="1">
        <v>182.4034</v>
      </c>
      <c r="AH6" s="1">
        <v>175.11320000000001</v>
      </c>
      <c r="AI6" s="1">
        <v>172.38</v>
      </c>
      <c r="AJ6" s="1"/>
      <c r="AK6" s="1">
        <f>ROUND(G6*U6,0)</f>
        <v>0</v>
      </c>
      <c r="AL6" s="1">
        <f>ROUND(G6*V6,0)</f>
        <v>284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39</v>
      </c>
      <c r="B7" s="1" t="s">
        <v>37</v>
      </c>
      <c r="C7" s="1">
        <v>260.976</v>
      </c>
      <c r="D7" s="1">
        <v>601.125</v>
      </c>
      <c r="E7" s="1">
        <v>348.60199999999998</v>
      </c>
      <c r="F7" s="1">
        <v>450.13900000000001</v>
      </c>
      <c r="G7" s="8">
        <v>1</v>
      </c>
      <c r="H7" s="1">
        <v>45</v>
      </c>
      <c r="I7" s="1" t="s">
        <v>38</v>
      </c>
      <c r="J7" s="1"/>
      <c r="K7" s="1">
        <v>367.87799999999999</v>
      </c>
      <c r="L7" s="1">
        <f t="shared" si="4"/>
        <v>-19.27600000000001</v>
      </c>
      <c r="M7" s="1">
        <f t="shared" ref="M7:M69" si="5">E7-N7</f>
        <v>336.43599999999998</v>
      </c>
      <c r="N7" s="1">
        <v>12.166</v>
      </c>
      <c r="O7" s="1">
        <v>103.30782000000001</v>
      </c>
      <c r="P7" s="1">
        <v>0</v>
      </c>
      <c r="Q7" s="1"/>
      <c r="R7" s="1">
        <f t="shared" ref="R7:R69" si="6">M7/5</f>
        <v>67.287199999999999</v>
      </c>
      <c r="S7" s="5">
        <f t="shared" ref="S7:S19" si="7">10*R7-Q7-P7-O7-F7</f>
        <v>119.42517999999995</v>
      </c>
      <c r="T7" s="5"/>
      <c r="U7" s="5">
        <f t="shared" ref="U7:U70" si="8">T7+S7</f>
        <v>119.42517999999995</v>
      </c>
      <c r="V7" s="5"/>
      <c r="W7" s="5"/>
      <c r="X7" s="1"/>
      <c r="Y7" s="1"/>
      <c r="Z7" s="1">
        <f t="shared" ref="Z7:Z70" si="9">(F7+O7+P7+Q7+U7)/R7</f>
        <v>10</v>
      </c>
      <c r="AA7" s="1">
        <f t="shared" ref="AA7:AA69" si="10">(F7+O7+P7+Q7)/R7</f>
        <v>8.2251426720089409</v>
      </c>
      <c r="AB7" s="1">
        <v>52.376600000000003</v>
      </c>
      <c r="AC7" s="1">
        <v>52.968800000000002</v>
      </c>
      <c r="AD7" s="1">
        <v>62.610799999999998</v>
      </c>
      <c r="AE7" s="1">
        <v>57.118200000000002</v>
      </c>
      <c r="AF7" s="1">
        <v>54.552399999999999</v>
      </c>
      <c r="AG7" s="1">
        <v>49.953200000000002</v>
      </c>
      <c r="AH7" s="1">
        <v>48.805399999999999</v>
      </c>
      <c r="AI7" s="1">
        <v>48.548999999999999</v>
      </c>
      <c r="AJ7" s="1"/>
      <c r="AK7" s="1">
        <f t="shared" ref="AK7:AL70" si="11">ROUND(G7*U7,0)</f>
        <v>119</v>
      </c>
      <c r="AL7" s="1">
        <f t="shared" ref="AL7:AL70" si="12">ROUND(G7*V7,0)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40</v>
      </c>
      <c r="B8" s="1" t="s">
        <v>37</v>
      </c>
      <c r="C8" s="1">
        <v>368.28199999999998</v>
      </c>
      <c r="D8" s="1">
        <v>416.56799999999998</v>
      </c>
      <c r="E8" s="1">
        <v>364.065</v>
      </c>
      <c r="F8" s="1">
        <v>364.00099999999998</v>
      </c>
      <c r="G8" s="8">
        <v>1</v>
      </c>
      <c r="H8" s="1">
        <v>45</v>
      </c>
      <c r="I8" s="1" t="s">
        <v>38</v>
      </c>
      <c r="J8" s="1"/>
      <c r="K8" s="1">
        <v>386.45</v>
      </c>
      <c r="L8" s="1">
        <f t="shared" si="4"/>
        <v>-22.384999999999991</v>
      </c>
      <c r="M8" s="1">
        <f t="shared" si="5"/>
        <v>346.62599999999998</v>
      </c>
      <c r="N8" s="1">
        <v>17.439</v>
      </c>
      <c r="O8" s="1">
        <v>97.018019999999979</v>
      </c>
      <c r="P8" s="1">
        <v>0</v>
      </c>
      <c r="Q8" s="1"/>
      <c r="R8" s="1">
        <f t="shared" si="6"/>
        <v>69.325199999999995</v>
      </c>
      <c r="S8" s="5">
        <f t="shared" si="7"/>
        <v>232.23298</v>
      </c>
      <c r="T8" s="5"/>
      <c r="U8" s="5">
        <f t="shared" si="8"/>
        <v>232.23298</v>
      </c>
      <c r="V8" s="5"/>
      <c r="W8" s="5"/>
      <c r="X8" s="1"/>
      <c r="Y8" s="1"/>
      <c r="Z8" s="1">
        <f t="shared" si="9"/>
        <v>10</v>
      </c>
      <c r="AA8" s="1">
        <f t="shared" si="10"/>
        <v>6.650092895512743</v>
      </c>
      <c r="AB8" s="1">
        <v>55.6494</v>
      </c>
      <c r="AC8" s="1">
        <v>53.993599999999986</v>
      </c>
      <c r="AD8" s="1">
        <v>58.798799999999993</v>
      </c>
      <c r="AE8" s="1">
        <v>60.416600000000003</v>
      </c>
      <c r="AF8" s="1">
        <v>59.241399999999999</v>
      </c>
      <c r="AG8" s="1">
        <v>55.459400000000002</v>
      </c>
      <c r="AH8" s="1">
        <v>57.661999999999999</v>
      </c>
      <c r="AI8" s="1">
        <v>57.587200000000003</v>
      </c>
      <c r="AJ8" s="1"/>
      <c r="AK8" s="1">
        <f t="shared" si="11"/>
        <v>232</v>
      </c>
      <c r="AL8" s="1">
        <f t="shared" si="12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41</v>
      </c>
      <c r="B9" s="1" t="s">
        <v>42</v>
      </c>
      <c r="C9" s="1">
        <v>539</v>
      </c>
      <c r="D9" s="1">
        <v>601</v>
      </c>
      <c r="E9" s="1">
        <v>410</v>
      </c>
      <c r="F9" s="1">
        <v>701</v>
      </c>
      <c r="G9" s="8">
        <v>0.45</v>
      </c>
      <c r="H9" s="1">
        <v>45</v>
      </c>
      <c r="I9" s="1" t="s">
        <v>38</v>
      </c>
      <c r="J9" s="1"/>
      <c r="K9" s="1">
        <v>432</v>
      </c>
      <c r="L9" s="1">
        <f t="shared" si="4"/>
        <v>-22</v>
      </c>
      <c r="M9" s="1">
        <f t="shared" si="5"/>
        <v>410</v>
      </c>
      <c r="N9" s="1"/>
      <c r="O9" s="1">
        <v>149.82</v>
      </c>
      <c r="P9" s="1">
        <v>0</v>
      </c>
      <c r="Q9" s="1"/>
      <c r="R9" s="1">
        <f t="shared" si="6"/>
        <v>82</v>
      </c>
      <c r="S9" s="5"/>
      <c r="T9" s="5"/>
      <c r="U9" s="5">
        <f t="shared" si="8"/>
        <v>0</v>
      </c>
      <c r="V9" s="5"/>
      <c r="W9" s="5"/>
      <c r="X9" s="1"/>
      <c r="Y9" s="1"/>
      <c r="Z9" s="1">
        <f t="shared" si="9"/>
        <v>10.375853658536585</v>
      </c>
      <c r="AA9" s="1">
        <f t="shared" si="10"/>
        <v>10.375853658536585</v>
      </c>
      <c r="AB9" s="1">
        <v>78</v>
      </c>
      <c r="AC9" s="1">
        <v>74.599999999999994</v>
      </c>
      <c r="AD9" s="1">
        <v>90.8</v>
      </c>
      <c r="AE9" s="1">
        <v>88</v>
      </c>
      <c r="AF9" s="1">
        <v>90.6</v>
      </c>
      <c r="AG9" s="1">
        <v>97</v>
      </c>
      <c r="AH9" s="1">
        <v>86.572000000000003</v>
      </c>
      <c r="AI9" s="1">
        <v>85.972000000000008</v>
      </c>
      <c r="AJ9" s="1"/>
      <c r="AK9" s="1">
        <f t="shared" si="11"/>
        <v>0</v>
      </c>
      <c r="AL9" s="1">
        <f t="shared" si="12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43</v>
      </c>
      <c r="B10" s="1" t="s">
        <v>42</v>
      </c>
      <c r="C10" s="1">
        <v>644</v>
      </c>
      <c r="D10" s="1">
        <v>1723</v>
      </c>
      <c r="E10" s="1">
        <v>790</v>
      </c>
      <c r="F10" s="1">
        <v>1514</v>
      </c>
      <c r="G10" s="8">
        <v>0.45</v>
      </c>
      <c r="H10" s="1">
        <v>45</v>
      </c>
      <c r="I10" s="1" t="s">
        <v>38</v>
      </c>
      <c r="J10" s="1"/>
      <c r="K10" s="1">
        <v>819</v>
      </c>
      <c r="L10" s="1">
        <f t="shared" si="4"/>
        <v>-29</v>
      </c>
      <c r="M10" s="1">
        <f t="shared" si="5"/>
        <v>790</v>
      </c>
      <c r="N10" s="1"/>
      <c r="O10" s="1">
        <v>284.45999999999998</v>
      </c>
      <c r="P10" s="1">
        <v>0</v>
      </c>
      <c r="Q10" s="1"/>
      <c r="R10" s="1">
        <f t="shared" si="6"/>
        <v>158</v>
      </c>
      <c r="S10" s="5"/>
      <c r="T10" s="5"/>
      <c r="U10" s="5">
        <f t="shared" si="8"/>
        <v>0</v>
      </c>
      <c r="V10" s="5"/>
      <c r="W10" s="5"/>
      <c r="X10" s="1"/>
      <c r="Y10" s="1"/>
      <c r="Z10" s="1">
        <f t="shared" si="9"/>
        <v>11.382658227848102</v>
      </c>
      <c r="AA10" s="1">
        <f t="shared" si="10"/>
        <v>11.382658227848102</v>
      </c>
      <c r="AB10" s="1">
        <v>172.4</v>
      </c>
      <c r="AC10" s="1">
        <v>171.4</v>
      </c>
      <c r="AD10" s="1">
        <v>172.4</v>
      </c>
      <c r="AE10" s="1">
        <v>155.4</v>
      </c>
      <c r="AF10" s="1">
        <v>147.80000000000001</v>
      </c>
      <c r="AG10" s="1">
        <v>163.19999999999999</v>
      </c>
      <c r="AH10" s="1">
        <v>151.4</v>
      </c>
      <c r="AI10" s="1">
        <v>135.19999999999999</v>
      </c>
      <c r="AJ10" s="1"/>
      <c r="AK10" s="1">
        <f t="shared" si="11"/>
        <v>0</v>
      </c>
      <c r="AL10" s="1">
        <f t="shared" si="12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44</v>
      </c>
      <c r="B11" s="1" t="s">
        <v>42</v>
      </c>
      <c r="C11" s="1">
        <v>31</v>
      </c>
      <c r="D11" s="1">
        <v>196</v>
      </c>
      <c r="E11" s="1">
        <v>86</v>
      </c>
      <c r="F11" s="1">
        <v>130</v>
      </c>
      <c r="G11" s="8">
        <v>0.17</v>
      </c>
      <c r="H11" s="1">
        <v>180</v>
      </c>
      <c r="I11" s="1" t="s">
        <v>38</v>
      </c>
      <c r="J11" s="1"/>
      <c r="K11" s="1">
        <v>87</v>
      </c>
      <c r="L11" s="1">
        <f t="shared" si="4"/>
        <v>-1</v>
      </c>
      <c r="M11" s="1">
        <f t="shared" si="5"/>
        <v>86</v>
      </c>
      <c r="N11" s="1"/>
      <c r="O11" s="1"/>
      <c r="P11" s="1">
        <v>0</v>
      </c>
      <c r="Q11" s="1"/>
      <c r="R11" s="1">
        <f t="shared" si="6"/>
        <v>17.2</v>
      </c>
      <c r="S11" s="5">
        <f t="shared" si="7"/>
        <v>42</v>
      </c>
      <c r="T11" s="5"/>
      <c r="U11" s="5">
        <f t="shared" si="8"/>
        <v>42</v>
      </c>
      <c r="V11" s="5"/>
      <c r="W11" s="5"/>
      <c r="X11" s="1"/>
      <c r="Y11" s="1"/>
      <c r="Z11" s="1">
        <f t="shared" si="9"/>
        <v>10</v>
      </c>
      <c r="AA11" s="1">
        <f t="shared" si="10"/>
        <v>7.558139534883721</v>
      </c>
      <c r="AB11" s="1">
        <v>10.8</v>
      </c>
      <c r="AC11" s="1">
        <v>14.6</v>
      </c>
      <c r="AD11" s="1">
        <v>19.399999999999999</v>
      </c>
      <c r="AE11" s="1">
        <v>12.8</v>
      </c>
      <c r="AF11" s="1">
        <v>9.1999999999999993</v>
      </c>
      <c r="AG11" s="1">
        <v>7.2</v>
      </c>
      <c r="AH11" s="1">
        <v>15</v>
      </c>
      <c r="AI11" s="1">
        <v>17.399999999999999</v>
      </c>
      <c r="AJ11" s="1"/>
      <c r="AK11" s="1">
        <f t="shared" si="11"/>
        <v>7</v>
      </c>
      <c r="AL11" s="1">
        <f t="shared" si="12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45</v>
      </c>
      <c r="B12" s="1" t="s">
        <v>42</v>
      </c>
      <c r="C12" s="1">
        <v>32</v>
      </c>
      <c r="D12" s="1">
        <v>330</v>
      </c>
      <c r="E12" s="1">
        <v>188</v>
      </c>
      <c r="F12" s="1">
        <v>164</v>
      </c>
      <c r="G12" s="8">
        <v>0.3</v>
      </c>
      <c r="H12" s="1">
        <v>40</v>
      </c>
      <c r="I12" s="1" t="s">
        <v>38</v>
      </c>
      <c r="J12" s="1"/>
      <c r="K12" s="1">
        <v>195</v>
      </c>
      <c r="L12" s="1">
        <f t="shared" si="4"/>
        <v>-7</v>
      </c>
      <c r="M12" s="1">
        <f t="shared" si="5"/>
        <v>188</v>
      </c>
      <c r="N12" s="1"/>
      <c r="O12" s="1"/>
      <c r="P12" s="1">
        <v>196.8</v>
      </c>
      <c r="Q12" s="1"/>
      <c r="R12" s="1">
        <f t="shared" si="6"/>
        <v>37.6</v>
      </c>
      <c r="S12" s="5">
        <f t="shared" si="7"/>
        <v>15.199999999999989</v>
      </c>
      <c r="T12" s="5"/>
      <c r="U12" s="5">
        <f t="shared" si="8"/>
        <v>15.199999999999989</v>
      </c>
      <c r="V12" s="5"/>
      <c r="W12" s="5"/>
      <c r="X12" s="1"/>
      <c r="Y12" s="1"/>
      <c r="Z12" s="1">
        <f t="shared" si="9"/>
        <v>10</v>
      </c>
      <c r="AA12" s="1">
        <f t="shared" si="10"/>
        <v>9.5957446808510642</v>
      </c>
      <c r="AB12" s="1">
        <v>34.4</v>
      </c>
      <c r="AC12" s="1">
        <v>18.399999999999999</v>
      </c>
      <c r="AD12" s="1">
        <v>32.200000000000003</v>
      </c>
      <c r="AE12" s="1">
        <v>32</v>
      </c>
      <c r="AF12" s="1">
        <v>18.8</v>
      </c>
      <c r="AG12" s="1">
        <v>20.6</v>
      </c>
      <c r="AH12" s="1">
        <v>22</v>
      </c>
      <c r="AI12" s="1">
        <v>29.2</v>
      </c>
      <c r="AJ12" s="1"/>
      <c r="AK12" s="1">
        <f t="shared" si="11"/>
        <v>5</v>
      </c>
      <c r="AL12" s="1">
        <f t="shared" si="12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46</v>
      </c>
      <c r="B13" s="1" t="s">
        <v>42</v>
      </c>
      <c r="C13" s="1">
        <v>229</v>
      </c>
      <c r="D13" s="1">
        <v>361</v>
      </c>
      <c r="E13" s="1">
        <v>199</v>
      </c>
      <c r="F13" s="1">
        <v>382</v>
      </c>
      <c r="G13" s="8">
        <v>0.17</v>
      </c>
      <c r="H13" s="1">
        <v>180</v>
      </c>
      <c r="I13" s="1" t="s">
        <v>38</v>
      </c>
      <c r="J13" s="1"/>
      <c r="K13" s="1">
        <v>201</v>
      </c>
      <c r="L13" s="1">
        <f t="shared" si="4"/>
        <v>-2</v>
      </c>
      <c r="M13" s="1">
        <f t="shared" si="5"/>
        <v>199</v>
      </c>
      <c r="N13" s="1"/>
      <c r="O13" s="1"/>
      <c r="P13" s="1">
        <v>169.42999999999989</v>
      </c>
      <c r="Q13" s="1"/>
      <c r="R13" s="1">
        <f t="shared" si="6"/>
        <v>39.799999999999997</v>
      </c>
      <c r="S13" s="5"/>
      <c r="T13" s="5"/>
      <c r="U13" s="5">
        <f t="shared" si="8"/>
        <v>0</v>
      </c>
      <c r="V13" s="5">
        <f t="shared" ref="V13:V15" si="13">$V$1*R13</f>
        <v>61.69</v>
      </c>
      <c r="W13" s="5"/>
      <c r="X13" s="1"/>
      <c r="Y13" s="1"/>
      <c r="Z13" s="1">
        <f t="shared" si="9"/>
        <v>13.855025125628137</v>
      </c>
      <c r="AA13" s="1">
        <f t="shared" si="10"/>
        <v>13.855025125628137</v>
      </c>
      <c r="AB13" s="1">
        <v>45.4</v>
      </c>
      <c r="AC13" s="1">
        <v>43.6</v>
      </c>
      <c r="AD13" s="1">
        <v>37.799999999999997</v>
      </c>
      <c r="AE13" s="1">
        <v>40.4</v>
      </c>
      <c r="AF13" s="1">
        <v>45.8</v>
      </c>
      <c r="AG13" s="1">
        <v>41.8</v>
      </c>
      <c r="AH13" s="1">
        <v>41.6</v>
      </c>
      <c r="AI13" s="1">
        <v>35.799999999999997</v>
      </c>
      <c r="AJ13" s="1"/>
      <c r="AK13" s="1">
        <f t="shared" si="11"/>
        <v>0</v>
      </c>
      <c r="AL13" s="1">
        <f t="shared" si="12"/>
        <v>10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47</v>
      </c>
      <c r="B14" s="1" t="s">
        <v>37</v>
      </c>
      <c r="C14" s="1">
        <v>730.37699999999995</v>
      </c>
      <c r="D14" s="1">
        <v>983.79100000000005</v>
      </c>
      <c r="E14" s="1">
        <v>653.38599999999997</v>
      </c>
      <c r="F14" s="1">
        <v>1023.614</v>
      </c>
      <c r="G14" s="8">
        <v>1</v>
      </c>
      <c r="H14" s="1">
        <v>55</v>
      </c>
      <c r="I14" s="1" t="s">
        <v>38</v>
      </c>
      <c r="J14" s="1"/>
      <c r="K14" s="1">
        <v>642.75400000000002</v>
      </c>
      <c r="L14" s="1">
        <f t="shared" si="4"/>
        <v>10.631999999999948</v>
      </c>
      <c r="M14" s="1">
        <f t="shared" si="5"/>
        <v>653.38599999999997</v>
      </c>
      <c r="N14" s="1"/>
      <c r="O14" s="1">
        <v>213.97002000000001</v>
      </c>
      <c r="P14" s="1">
        <v>0</v>
      </c>
      <c r="Q14" s="1"/>
      <c r="R14" s="1">
        <f t="shared" si="6"/>
        <v>130.6772</v>
      </c>
      <c r="S14" s="5">
        <f t="shared" ref="S14:S15" si="14">11*R14-Q14-P14-O14-F14</f>
        <v>199.86518000000001</v>
      </c>
      <c r="T14" s="5">
        <f>$T$1*R14</f>
        <v>261.3544</v>
      </c>
      <c r="U14" s="5">
        <f t="shared" si="8"/>
        <v>461.21958000000001</v>
      </c>
      <c r="V14" s="5">
        <f t="shared" si="13"/>
        <v>202.54966000000002</v>
      </c>
      <c r="W14" s="5"/>
      <c r="X14" s="1"/>
      <c r="Y14" s="1"/>
      <c r="Z14" s="1">
        <f t="shared" si="9"/>
        <v>13</v>
      </c>
      <c r="AA14" s="1">
        <f t="shared" si="10"/>
        <v>9.4705428337919706</v>
      </c>
      <c r="AB14" s="1">
        <v>112.2272</v>
      </c>
      <c r="AC14" s="1">
        <v>116.54940000000001</v>
      </c>
      <c r="AD14" s="1">
        <v>129.6788</v>
      </c>
      <c r="AE14" s="1">
        <v>130.35839999999999</v>
      </c>
      <c r="AF14" s="1">
        <v>126.96040000000001</v>
      </c>
      <c r="AG14" s="1">
        <v>126.75879999999999</v>
      </c>
      <c r="AH14" s="1">
        <v>126.7324</v>
      </c>
      <c r="AI14" s="1">
        <v>139.5694</v>
      </c>
      <c r="AJ14" s="1" t="s">
        <v>48</v>
      </c>
      <c r="AK14" s="1">
        <f t="shared" si="11"/>
        <v>461</v>
      </c>
      <c r="AL14" s="1">
        <f t="shared" si="12"/>
        <v>203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49</v>
      </c>
      <c r="B15" s="1" t="s">
        <v>37</v>
      </c>
      <c r="C15" s="1">
        <v>2753.84</v>
      </c>
      <c r="D15" s="1">
        <v>2471.5720000000001</v>
      </c>
      <c r="E15" s="1">
        <v>2220.7440000000001</v>
      </c>
      <c r="F15" s="1">
        <v>2876.1379999999999</v>
      </c>
      <c r="G15" s="8">
        <v>1</v>
      </c>
      <c r="H15" s="1">
        <v>50</v>
      </c>
      <c r="I15" s="1" t="s">
        <v>38</v>
      </c>
      <c r="J15" s="1"/>
      <c r="K15" s="1">
        <v>2315.61</v>
      </c>
      <c r="L15" s="1">
        <f t="shared" si="4"/>
        <v>-94.865999999999985</v>
      </c>
      <c r="M15" s="1">
        <f t="shared" si="5"/>
        <v>2220.7440000000001</v>
      </c>
      <c r="N15" s="1"/>
      <c r="O15" s="1">
        <v>665.31860999999992</v>
      </c>
      <c r="P15" s="1">
        <v>468.02863799999977</v>
      </c>
      <c r="Q15" s="1">
        <v>700</v>
      </c>
      <c r="R15" s="1">
        <f t="shared" si="6"/>
        <v>444.14880000000005</v>
      </c>
      <c r="S15" s="5">
        <f t="shared" si="14"/>
        <v>176.15155200000072</v>
      </c>
      <c r="T15" s="5">
        <f>$T$1*R15</f>
        <v>888.2976000000001</v>
      </c>
      <c r="U15" s="5">
        <f t="shared" si="8"/>
        <v>1064.4491520000008</v>
      </c>
      <c r="V15" s="5">
        <f t="shared" si="13"/>
        <v>688.43064000000015</v>
      </c>
      <c r="W15" s="5"/>
      <c r="X15" s="1"/>
      <c r="Y15" s="1"/>
      <c r="Z15" s="1">
        <f t="shared" si="9"/>
        <v>12.999999999999998</v>
      </c>
      <c r="AA15" s="1">
        <f t="shared" si="10"/>
        <v>10.603395186478043</v>
      </c>
      <c r="AB15" s="1">
        <v>413.01400000000001</v>
      </c>
      <c r="AC15" s="1">
        <v>390.86860000000001</v>
      </c>
      <c r="AD15" s="1">
        <v>403.22340000000003</v>
      </c>
      <c r="AE15" s="1">
        <v>416.09780000000001</v>
      </c>
      <c r="AF15" s="1">
        <v>445.02620000000002</v>
      </c>
      <c r="AG15" s="1">
        <v>457.15699999999998</v>
      </c>
      <c r="AH15" s="1">
        <v>420.43380000000002</v>
      </c>
      <c r="AI15" s="1">
        <v>402.37119999999999</v>
      </c>
      <c r="AJ15" s="1" t="s">
        <v>48</v>
      </c>
      <c r="AK15" s="1">
        <f t="shared" si="11"/>
        <v>1064</v>
      </c>
      <c r="AL15" s="1">
        <f t="shared" si="12"/>
        <v>688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50</v>
      </c>
      <c r="B16" s="1" t="s">
        <v>37</v>
      </c>
      <c r="C16" s="1">
        <v>60.942999999999998</v>
      </c>
      <c r="D16" s="1">
        <v>278.28100000000001</v>
      </c>
      <c r="E16" s="1">
        <v>121.52</v>
      </c>
      <c r="F16" s="1">
        <v>196.58199999999999</v>
      </c>
      <c r="G16" s="8">
        <v>1</v>
      </c>
      <c r="H16" s="1">
        <v>60</v>
      </c>
      <c r="I16" s="1" t="s">
        <v>38</v>
      </c>
      <c r="J16" s="1"/>
      <c r="K16" s="1">
        <v>129.27600000000001</v>
      </c>
      <c r="L16" s="1">
        <f t="shared" si="4"/>
        <v>-7.7560000000000144</v>
      </c>
      <c r="M16" s="1">
        <f t="shared" si="5"/>
        <v>116.244</v>
      </c>
      <c r="N16" s="1">
        <v>5.2759999999999998</v>
      </c>
      <c r="O16" s="1"/>
      <c r="P16" s="1">
        <v>39.139200000000017</v>
      </c>
      <c r="Q16" s="1"/>
      <c r="R16" s="1">
        <f t="shared" si="6"/>
        <v>23.248799999999999</v>
      </c>
      <c r="S16" s="5"/>
      <c r="T16" s="5"/>
      <c r="U16" s="5">
        <f t="shared" si="8"/>
        <v>0</v>
      </c>
      <c r="V16" s="5"/>
      <c r="W16" s="5"/>
      <c r="X16" s="1"/>
      <c r="Y16" s="1"/>
      <c r="Z16" s="1">
        <f t="shared" si="9"/>
        <v>10.139069543374282</v>
      </c>
      <c r="AA16" s="1">
        <f t="shared" si="10"/>
        <v>10.139069543374282</v>
      </c>
      <c r="AB16" s="1">
        <v>25.207599999999999</v>
      </c>
      <c r="AC16" s="1">
        <v>27.665600000000001</v>
      </c>
      <c r="AD16" s="1">
        <v>32.453600000000002</v>
      </c>
      <c r="AE16" s="1">
        <v>25.558800000000002</v>
      </c>
      <c r="AF16" s="1">
        <v>23.914400000000001</v>
      </c>
      <c r="AG16" s="1">
        <v>26.519200000000001</v>
      </c>
      <c r="AH16" s="1">
        <v>22.669599999999999</v>
      </c>
      <c r="AI16" s="1">
        <v>22.863399999999999</v>
      </c>
      <c r="AJ16" s="1"/>
      <c r="AK16" s="1">
        <f t="shared" si="11"/>
        <v>0</v>
      </c>
      <c r="AL16" s="1">
        <f t="shared" si="12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51</v>
      </c>
      <c r="B17" s="1" t="s">
        <v>37</v>
      </c>
      <c r="C17" s="1">
        <v>1593.1679999999999</v>
      </c>
      <c r="D17" s="1">
        <v>3033.7759999999998</v>
      </c>
      <c r="E17" s="1">
        <v>1425.4480000000001</v>
      </c>
      <c r="F17" s="1">
        <v>1849.345</v>
      </c>
      <c r="G17" s="8">
        <v>1</v>
      </c>
      <c r="H17" s="1">
        <v>60</v>
      </c>
      <c r="I17" s="1" t="s">
        <v>38</v>
      </c>
      <c r="J17" s="1"/>
      <c r="K17" s="1">
        <v>1436.45</v>
      </c>
      <c r="L17" s="1">
        <f t="shared" si="4"/>
        <v>-11.001999999999953</v>
      </c>
      <c r="M17" s="1">
        <f t="shared" si="5"/>
        <v>1425.4480000000001</v>
      </c>
      <c r="N17" s="1"/>
      <c r="O17" s="1">
        <v>416.40884999999997</v>
      </c>
      <c r="P17" s="1">
        <v>246.62441000000001</v>
      </c>
      <c r="Q17" s="1">
        <v>250</v>
      </c>
      <c r="R17" s="1">
        <f t="shared" si="6"/>
        <v>285.08960000000002</v>
      </c>
      <c r="S17" s="5">
        <f>11*R17-Q17-P17-O17-F17</f>
        <v>373.60734000000025</v>
      </c>
      <c r="T17" s="5">
        <f>$T$1*R17</f>
        <v>570.17920000000004</v>
      </c>
      <c r="U17" s="5">
        <f t="shared" si="8"/>
        <v>943.78654000000029</v>
      </c>
      <c r="V17" s="5">
        <f>$V$1*R17</f>
        <v>441.88888000000003</v>
      </c>
      <c r="W17" s="5"/>
      <c r="X17" s="1"/>
      <c r="Y17" s="1"/>
      <c r="Z17" s="1">
        <f t="shared" si="9"/>
        <v>13</v>
      </c>
      <c r="AA17" s="1">
        <f t="shared" si="10"/>
        <v>9.6895090525925873</v>
      </c>
      <c r="AB17" s="1">
        <v>233.15700000000001</v>
      </c>
      <c r="AC17" s="1">
        <v>214.32320000000001</v>
      </c>
      <c r="AD17" s="1">
        <v>252.369</v>
      </c>
      <c r="AE17" s="1">
        <v>234.47559999999999</v>
      </c>
      <c r="AF17" s="1">
        <v>238.43379999999999</v>
      </c>
      <c r="AG17" s="1">
        <v>271.65940000000001</v>
      </c>
      <c r="AH17" s="1">
        <v>249.52760000000001</v>
      </c>
      <c r="AI17" s="1">
        <v>208.9632</v>
      </c>
      <c r="AJ17" s="1"/>
      <c r="AK17" s="1">
        <f t="shared" si="11"/>
        <v>944</v>
      </c>
      <c r="AL17" s="1">
        <f t="shared" si="12"/>
        <v>442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52</v>
      </c>
      <c r="B18" s="1" t="s">
        <v>37</v>
      </c>
      <c r="C18" s="1">
        <v>66.519000000000005</v>
      </c>
      <c r="D18" s="1">
        <v>199.67400000000001</v>
      </c>
      <c r="E18" s="1">
        <v>97.379000000000005</v>
      </c>
      <c r="F18" s="1">
        <v>158.727</v>
      </c>
      <c r="G18" s="8">
        <v>1</v>
      </c>
      <c r="H18" s="1">
        <v>60</v>
      </c>
      <c r="I18" s="1" t="s">
        <v>38</v>
      </c>
      <c r="J18" s="1"/>
      <c r="K18" s="1">
        <v>98.02</v>
      </c>
      <c r="L18" s="1">
        <f t="shared" si="4"/>
        <v>-0.64099999999999113</v>
      </c>
      <c r="M18" s="1">
        <f t="shared" si="5"/>
        <v>97.379000000000005</v>
      </c>
      <c r="N18" s="1"/>
      <c r="O18" s="1"/>
      <c r="P18" s="1">
        <v>44.590000000000032</v>
      </c>
      <c r="Q18" s="1"/>
      <c r="R18" s="1">
        <f t="shared" si="6"/>
        <v>19.4758</v>
      </c>
      <c r="S18" s="5"/>
      <c r="T18" s="5"/>
      <c r="U18" s="5">
        <f t="shared" si="8"/>
        <v>0</v>
      </c>
      <c r="V18" s="5"/>
      <c r="W18" s="5"/>
      <c r="X18" s="1"/>
      <c r="Y18" s="1"/>
      <c r="Z18" s="1">
        <f t="shared" si="9"/>
        <v>10.439468468560985</v>
      </c>
      <c r="AA18" s="1">
        <f t="shared" si="10"/>
        <v>10.439468468560985</v>
      </c>
      <c r="AB18" s="1">
        <v>21.106000000000002</v>
      </c>
      <c r="AC18" s="1">
        <v>20.777799999999999</v>
      </c>
      <c r="AD18" s="1">
        <v>25.240200000000002</v>
      </c>
      <c r="AE18" s="1">
        <v>22.045200000000001</v>
      </c>
      <c r="AF18" s="1">
        <v>20.119199999999999</v>
      </c>
      <c r="AG18" s="1">
        <v>20.497</v>
      </c>
      <c r="AH18" s="1">
        <v>21.150600000000001</v>
      </c>
      <c r="AI18" s="1">
        <v>21.324400000000001</v>
      </c>
      <c r="AJ18" s="1"/>
      <c r="AK18" s="1">
        <f t="shared" si="11"/>
        <v>0</v>
      </c>
      <c r="AL18" s="1">
        <f t="shared" si="12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53</v>
      </c>
      <c r="B19" s="1" t="s">
        <v>37</v>
      </c>
      <c r="C19" s="1">
        <v>9.7739999999999991</v>
      </c>
      <c r="D19" s="1">
        <v>2.8639999999999999</v>
      </c>
      <c r="E19" s="1">
        <v>6.4930000000000003</v>
      </c>
      <c r="F19" s="1">
        <v>3.2810000000000001</v>
      </c>
      <c r="G19" s="8">
        <v>1</v>
      </c>
      <c r="H19" s="1">
        <v>180</v>
      </c>
      <c r="I19" s="1" t="s">
        <v>38</v>
      </c>
      <c r="J19" s="1"/>
      <c r="K19" s="1">
        <v>9.1539999999999999</v>
      </c>
      <c r="L19" s="1">
        <f t="shared" si="4"/>
        <v>-2.6609999999999996</v>
      </c>
      <c r="M19" s="1">
        <f t="shared" si="5"/>
        <v>6.4930000000000003</v>
      </c>
      <c r="N19" s="1"/>
      <c r="O19" s="1"/>
      <c r="P19" s="1">
        <v>0</v>
      </c>
      <c r="Q19" s="1"/>
      <c r="R19" s="1">
        <f t="shared" si="6"/>
        <v>1.2986</v>
      </c>
      <c r="S19" s="5">
        <f t="shared" si="7"/>
        <v>9.7050000000000001</v>
      </c>
      <c r="T19" s="5"/>
      <c r="U19" s="5">
        <f t="shared" si="8"/>
        <v>9.7050000000000001</v>
      </c>
      <c r="V19" s="5"/>
      <c r="W19" s="5"/>
      <c r="X19" s="1"/>
      <c r="Y19" s="1"/>
      <c r="Z19" s="1">
        <f t="shared" si="9"/>
        <v>10</v>
      </c>
      <c r="AA19" s="1">
        <f t="shared" si="10"/>
        <v>2.526567072231634</v>
      </c>
      <c r="AB19" s="1">
        <v>0.2218</v>
      </c>
      <c r="AC19" s="1">
        <v>0.51839999999999997</v>
      </c>
      <c r="AD19" s="1">
        <v>1.1838</v>
      </c>
      <c r="AE19" s="1">
        <v>1.2063999999999999</v>
      </c>
      <c r="AF19" s="1">
        <v>0.98780000000000001</v>
      </c>
      <c r="AG19" s="1">
        <v>1.1454</v>
      </c>
      <c r="AH19" s="1">
        <v>0.93379999999999996</v>
      </c>
      <c r="AI19" s="1">
        <v>0.86940000000000006</v>
      </c>
      <c r="AJ19" s="1"/>
      <c r="AK19" s="1">
        <f t="shared" si="11"/>
        <v>10</v>
      </c>
      <c r="AL19" s="1">
        <f t="shared" si="12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55</v>
      </c>
      <c r="B20" s="1" t="s">
        <v>37</v>
      </c>
      <c r="C20" s="1">
        <v>1281.7550000000001</v>
      </c>
      <c r="D20" s="1">
        <v>2208.232</v>
      </c>
      <c r="E20" s="1">
        <v>1311.4349999999999</v>
      </c>
      <c r="F20" s="1">
        <v>2118.7060000000001</v>
      </c>
      <c r="G20" s="8">
        <v>1</v>
      </c>
      <c r="H20" s="1">
        <v>60</v>
      </c>
      <c r="I20" s="1" t="s">
        <v>38</v>
      </c>
      <c r="J20" s="1"/>
      <c r="K20" s="1">
        <v>1280.875</v>
      </c>
      <c r="L20" s="1">
        <f t="shared" si="4"/>
        <v>30.559999999999945</v>
      </c>
      <c r="M20" s="1">
        <f t="shared" si="5"/>
        <v>1311.0349999999999</v>
      </c>
      <c r="N20" s="1">
        <v>0.4</v>
      </c>
      <c r="O20" s="1">
        <v>439.03827000000001</v>
      </c>
      <c r="P20" s="1">
        <v>0</v>
      </c>
      <c r="Q20" s="1"/>
      <c r="R20" s="1">
        <f t="shared" si="6"/>
        <v>262.20699999999999</v>
      </c>
      <c r="S20" s="5">
        <f>11*R20-Q20-P20-O20-F20</f>
        <v>326.5327299999999</v>
      </c>
      <c r="T20" s="5">
        <f>$T$1*R20</f>
        <v>524.41399999999999</v>
      </c>
      <c r="U20" s="5">
        <f t="shared" si="8"/>
        <v>850.94672999999989</v>
      </c>
      <c r="V20" s="5">
        <f>$V$1*R20</f>
        <v>406.42085000000003</v>
      </c>
      <c r="W20" s="5"/>
      <c r="X20" s="1"/>
      <c r="Y20" s="1"/>
      <c r="Z20" s="1">
        <f t="shared" si="9"/>
        <v>13</v>
      </c>
      <c r="AA20" s="1">
        <f t="shared" si="10"/>
        <v>9.7546757714324954</v>
      </c>
      <c r="AB20" s="1">
        <v>237.0258</v>
      </c>
      <c r="AC20" s="1">
        <v>241.30940000000001</v>
      </c>
      <c r="AD20" s="1">
        <v>266.0838</v>
      </c>
      <c r="AE20" s="1">
        <v>255.89400000000001</v>
      </c>
      <c r="AF20" s="1">
        <v>244.44159999999999</v>
      </c>
      <c r="AG20" s="1">
        <v>242.4956</v>
      </c>
      <c r="AH20" s="1">
        <v>261.6456</v>
      </c>
      <c r="AI20" s="1">
        <v>269.88499999999999</v>
      </c>
      <c r="AJ20" s="1" t="s">
        <v>48</v>
      </c>
      <c r="AK20" s="1">
        <f t="shared" si="11"/>
        <v>851</v>
      </c>
      <c r="AL20" s="1">
        <f t="shared" si="12"/>
        <v>406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2" t="s">
        <v>56</v>
      </c>
      <c r="B21" s="12" t="s">
        <v>37</v>
      </c>
      <c r="C21" s="12">
        <v>-10.095000000000001</v>
      </c>
      <c r="D21" s="12">
        <v>10.095000000000001</v>
      </c>
      <c r="E21" s="12"/>
      <c r="F21" s="12"/>
      <c r="G21" s="13">
        <v>0</v>
      </c>
      <c r="H21" s="12" t="e">
        <v>#N/A</v>
      </c>
      <c r="I21" s="12" t="s">
        <v>57</v>
      </c>
      <c r="J21" s="12" t="s">
        <v>58</v>
      </c>
      <c r="K21" s="12"/>
      <c r="L21" s="12">
        <f t="shared" si="4"/>
        <v>0</v>
      </c>
      <c r="M21" s="12">
        <f t="shared" si="5"/>
        <v>0</v>
      </c>
      <c r="N21" s="12"/>
      <c r="O21" s="12"/>
      <c r="P21" s="12">
        <v>0</v>
      </c>
      <c r="Q21" s="12"/>
      <c r="R21" s="12">
        <f t="shared" si="6"/>
        <v>0</v>
      </c>
      <c r="S21" s="14"/>
      <c r="T21" s="14"/>
      <c r="U21" s="5">
        <f t="shared" si="8"/>
        <v>0</v>
      </c>
      <c r="V21" s="5"/>
      <c r="W21" s="14"/>
      <c r="X21" s="12"/>
      <c r="Y21" s="12"/>
      <c r="Z21" s="1" t="e">
        <f t="shared" si="9"/>
        <v>#DIV/0!</v>
      </c>
      <c r="AA21" s="12" t="e">
        <f t="shared" si="10"/>
        <v>#DIV/0!</v>
      </c>
      <c r="AB21" s="12">
        <v>2.0190000000000001</v>
      </c>
      <c r="AC21" s="12">
        <v>2.0190000000000001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/>
      <c r="AK21" s="1">
        <f t="shared" si="11"/>
        <v>0</v>
      </c>
      <c r="AL21" s="1">
        <f t="shared" si="12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59</v>
      </c>
      <c r="B22" s="1" t="s">
        <v>37</v>
      </c>
      <c r="C22" s="1">
        <v>363.57799999999997</v>
      </c>
      <c r="D22" s="1">
        <v>342.91300000000001</v>
      </c>
      <c r="E22" s="1">
        <v>194.70500000000001</v>
      </c>
      <c r="F22" s="1">
        <v>487.59500000000003</v>
      </c>
      <c r="G22" s="8">
        <v>1</v>
      </c>
      <c r="H22" s="1">
        <v>60</v>
      </c>
      <c r="I22" s="1" t="s">
        <v>38</v>
      </c>
      <c r="J22" s="1"/>
      <c r="K22" s="1">
        <v>201.83</v>
      </c>
      <c r="L22" s="1">
        <f t="shared" si="4"/>
        <v>-7.125</v>
      </c>
      <c r="M22" s="1">
        <f t="shared" si="5"/>
        <v>184.20500000000001</v>
      </c>
      <c r="N22" s="1">
        <v>10.5</v>
      </c>
      <c r="O22" s="1"/>
      <c r="P22" s="1">
        <v>99.043721999999988</v>
      </c>
      <c r="Q22" s="1"/>
      <c r="R22" s="1">
        <f t="shared" si="6"/>
        <v>36.841000000000001</v>
      </c>
      <c r="S22" s="5"/>
      <c r="T22" s="5"/>
      <c r="U22" s="5">
        <f t="shared" si="8"/>
        <v>0</v>
      </c>
      <c r="V22" s="5"/>
      <c r="W22" s="5"/>
      <c r="X22" s="1"/>
      <c r="Y22" s="1"/>
      <c r="Z22" s="1">
        <f t="shared" si="9"/>
        <v>15.923528731576233</v>
      </c>
      <c r="AA22" s="1">
        <f t="shared" si="10"/>
        <v>15.923528731576233</v>
      </c>
      <c r="AB22" s="1">
        <v>46.499399999999987</v>
      </c>
      <c r="AC22" s="1">
        <v>51.252599999999987</v>
      </c>
      <c r="AD22" s="1">
        <v>48.412199999999999</v>
      </c>
      <c r="AE22" s="1">
        <v>48.023200000000003</v>
      </c>
      <c r="AF22" s="1">
        <v>58.106399999999987</v>
      </c>
      <c r="AG22" s="1">
        <v>60.803999999999988</v>
      </c>
      <c r="AH22" s="1">
        <v>46.291400000000003</v>
      </c>
      <c r="AI22" s="1">
        <v>45.197800000000001</v>
      </c>
      <c r="AJ22" s="1"/>
      <c r="AK22" s="1">
        <f t="shared" si="11"/>
        <v>0</v>
      </c>
      <c r="AL22" s="1">
        <f t="shared" si="12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60</v>
      </c>
      <c r="B23" s="1" t="s">
        <v>37</v>
      </c>
      <c r="C23" s="1">
        <v>217.28899999999999</v>
      </c>
      <c r="D23" s="1">
        <v>237.417</v>
      </c>
      <c r="E23" s="1">
        <v>190.047</v>
      </c>
      <c r="F23" s="1">
        <v>256.334</v>
      </c>
      <c r="G23" s="8">
        <v>1</v>
      </c>
      <c r="H23" s="1">
        <v>60</v>
      </c>
      <c r="I23" s="1" t="s">
        <v>38</v>
      </c>
      <c r="J23" s="1"/>
      <c r="K23" s="1">
        <v>185.13</v>
      </c>
      <c r="L23" s="1">
        <f t="shared" si="4"/>
        <v>4.9170000000000016</v>
      </c>
      <c r="M23" s="1">
        <f t="shared" si="5"/>
        <v>190.047</v>
      </c>
      <c r="N23" s="1"/>
      <c r="O23" s="1"/>
      <c r="P23" s="1">
        <v>60.980599999999981</v>
      </c>
      <c r="Q23" s="1"/>
      <c r="R23" s="1">
        <f t="shared" si="6"/>
        <v>38.009399999999999</v>
      </c>
      <c r="S23" s="5">
        <f t="shared" ref="S23" si="15">11*R23-Q23-P23-O23-F23</f>
        <v>100.78879999999998</v>
      </c>
      <c r="T23" s="5">
        <f>$T$1*R23</f>
        <v>76.018799999999999</v>
      </c>
      <c r="U23" s="5">
        <f t="shared" si="8"/>
        <v>176.80759999999998</v>
      </c>
      <c r="V23" s="5">
        <f>$V$1*R23</f>
        <v>58.914569999999998</v>
      </c>
      <c r="W23" s="5"/>
      <c r="X23" s="1"/>
      <c r="Y23" s="1"/>
      <c r="Z23" s="1">
        <f t="shared" si="9"/>
        <v>13</v>
      </c>
      <c r="AA23" s="1">
        <f t="shared" si="10"/>
        <v>8.3483191000121018</v>
      </c>
      <c r="AB23" s="1">
        <v>35.380800000000001</v>
      </c>
      <c r="AC23" s="1">
        <v>39.007599999999996</v>
      </c>
      <c r="AD23" s="1">
        <v>40.718800000000002</v>
      </c>
      <c r="AE23" s="1">
        <v>40.025399999999998</v>
      </c>
      <c r="AF23" s="1">
        <v>45.96</v>
      </c>
      <c r="AG23" s="1">
        <v>43.485999999999997</v>
      </c>
      <c r="AH23" s="1">
        <v>40.974400000000003</v>
      </c>
      <c r="AI23" s="1">
        <v>48.601200000000013</v>
      </c>
      <c r="AJ23" s="1"/>
      <c r="AK23" s="1">
        <f t="shared" si="11"/>
        <v>177</v>
      </c>
      <c r="AL23" s="1">
        <f t="shared" si="12"/>
        <v>59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61</v>
      </c>
      <c r="B24" s="1" t="s">
        <v>37</v>
      </c>
      <c r="C24" s="1">
        <v>10.159000000000001</v>
      </c>
      <c r="D24" s="1">
        <v>10.991</v>
      </c>
      <c r="E24" s="1">
        <v>5.2720000000000002</v>
      </c>
      <c r="F24" s="1">
        <v>11.349</v>
      </c>
      <c r="G24" s="8">
        <v>1</v>
      </c>
      <c r="H24" s="1">
        <v>180</v>
      </c>
      <c r="I24" s="1" t="s">
        <v>38</v>
      </c>
      <c r="J24" s="1"/>
      <c r="K24" s="1">
        <v>8.0440000000000005</v>
      </c>
      <c r="L24" s="1">
        <f t="shared" si="4"/>
        <v>-2.7720000000000002</v>
      </c>
      <c r="M24" s="1">
        <f t="shared" si="5"/>
        <v>5.2720000000000002</v>
      </c>
      <c r="N24" s="1"/>
      <c r="O24" s="1"/>
      <c r="P24" s="1">
        <v>0</v>
      </c>
      <c r="Q24" s="1"/>
      <c r="R24" s="1">
        <f t="shared" si="6"/>
        <v>1.0544</v>
      </c>
      <c r="S24" s="5"/>
      <c r="T24" s="5"/>
      <c r="U24" s="5">
        <f t="shared" si="8"/>
        <v>0</v>
      </c>
      <c r="V24" s="5"/>
      <c r="W24" s="5"/>
      <c r="X24" s="1"/>
      <c r="Y24" s="1"/>
      <c r="Z24" s="1">
        <f t="shared" si="9"/>
        <v>10.763467374810318</v>
      </c>
      <c r="AA24" s="1">
        <f t="shared" si="10"/>
        <v>10.763467374810318</v>
      </c>
      <c r="AB24" s="1">
        <v>0.64759999999999995</v>
      </c>
      <c r="AC24" s="1">
        <v>1.01</v>
      </c>
      <c r="AD24" s="1">
        <v>1.0067999999999999</v>
      </c>
      <c r="AE24" s="1">
        <v>1.1636</v>
      </c>
      <c r="AF24" s="1">
        <v>1.1632</v>
      </c>
      <c r="AG24" s="1">
        <v>1.0232000000000001</v>
      </c>
      <c r="AH24" s="1">
        <v>1.0251999999999999</v>
      </c>
      <c r="AI24" s="1">
        <v>1.0918000000000001</v>
      </c>
      <c r="AJ24" s="1" t="s">
        <v>62</v>
      </c>
      <c r="AK24" s="1">
        <f t="shared" si="11"/>
        <v>0</v>
      </c>
      <c r="AL24" s="1">
        <f t="shared" si="12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63</v>
      </c>
      <c r="B25" s="1" t="s">
        <v>37</v>
      </c>
      <c r="C25" s="1">
        <v>802.65</v>
      </c>
      <c r="D25" s="1">
        <v>616.00400000000002</v>
      </c>
      <c r="E25" s="1">
        <v>545.33699999999999</v>
      </c>
      <c r="F25" s="1">
        <v>844.98500000000001</v>
      </c>
      <c r="G25" s="8">
        <v>1</v>
      </c>
      <c r="H25" s="1">
        <v>60</v>
      </c>
      <c r="I25" s="1" t="s">
        <v>38</v>
      </c>
      <c r="J25" s="1"/>
      <c r="K25" s="1">
        <v>537.80600000000004</v>
      </c>
      <c r="L25" s="1">
        <f t="shared" si="4"/>
        <v>7.5309999999999491</v>
      </c>
      <c r="M25" s="1">
        <f t="shared" si="5"/>
        <v>545.33699999999999</v>
      </c>
      <c r="N25" s="1"/>
      <c r="O25" s="1">
        <v>176.86317</v>
      </c>
      <c r="P25" s="1">
        <v>0</v>
      </c>
      <c r="Q25" s="1"/>
      <c r="R25" s="1">
        <f t="shared" si="6"/>
        <v>109.06739999999999</v>
      </c>
      <c r="S25" s="5">
        <f>11*R25-Q25-P25-O25-F25</f>
        <v>177.8932299999999</v>
      </c>
      <c r="T25" s="5">
        <f>$T$1*R25</f>
        <v>218.13479999999998</v>
      </c>
      <c r="U25" s="5">
        <f t="shared" si="8"/>
        <v>396.02802999999989</v>
      </c>
      <c r="V25" s="5">
        <f>$V$1*R25</f>
        <v>169.05446999999998</v>
      </c>
      <c r="W25" s="5"/>
      <c r="X25" s="1"/>
      <c r="Y25" s="1"/>
      <c r="Z25" s="1">
        <f t="shared" si="9"/>
        <v>13</v>
      </c>
      <c r="AA25" s="1">
        <f t="shared" si="10"/>
        <v>9.3689605693360249</v>
      </c>
      <c r="AB25" s="1">
        <v>94.770799999999994</v>
      </c>
      <c r="AC25" s="1">
        <v>103.97539999999999</v>
      </c>
      <c r="AD25" s="1">
        <v>107.18980000000001</v>
      </c>
      <c r="AE25" s="1">
        <v>114.184</v>
      </c>
      <c r="AF25" s="1">
        <v>122.7548</v>
      </c>
      <c r="AG25" s="1">
        <v>112.3038</v>
      </c>
      <c r="AH25" s="1">
        <v>110.1322</v>
      </c>
      <c r="AI25" s="1">
        <v>111.3242</v>
      </c>
      <c r="AJ25" s="1" t="s">
        <v>48</v>
      </c>
      <c r="AK25" s="1">
        <f t="shared" si="11"/>
        <v>396</v>
      </c>
      <c r="AL25" s="1">
        <f t="shared" si="12"/>
        <v>169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64</v>
      </c>
      <c r="B26" s="1" t="s">
        <v>37</v>
      </c>
      <c r="C26" s="1">
        <v>282.983</v>
      </c>
      <c r="D26" s="1">
        <v>237.261</v>
      </c>
      <c r="E26" s="1">
        <v>210.82900000000001</v>
      </c>
      <c r="F26" s="1">
        <v>289.47500000000002</v>
      </c>
      <c r="G26" s="8">
        <v>1</v>
      </c>
      <c r="H26" s="1">
        <v>30</v>
      </c>
      <c r="I26" s="1" t="s">
        <v>38</v>
      </c>
      <c r="J26" s="1"/>
      <c r="K26" s="1">
        <v>216.37799999999999</v>
      </c>
      <c r="L26" s="1">
        <f t="shared" si="4"/>
        <v>-5.5489999999999782</v>
      </c>
      <c r="M26" s="1">
        <f t="shared" si="5"/>
        <v>202.90100000000001</v>
      </c>
      <c r="N26" s="1">
        <v>7.9279999999999999</v>
      </c>
      <c r="O26" s="1"/>
      <c r="P26" s="1">
        <v>77.768799999999999</v>
      </c>
      <c r="Q26" s="1"/>
      <c r="R26" s="1">
        <f t="shared" si="6"/>
        <v>40.580200000000005</v>
      </c>
      <c r="S26" s="5">
        <f t="shared" ref="S26:S31" si="16">10*R26-Q26-P26-O26-F26</f>
        <v>38.558199999999999</v>
      </c>
      <c r="T26" s="5"/>
      <c r="U26" s="5">
        <f t="shared" si="8"/>
        <v>38.558199999999999</v>
      </c>
      <c r="V26" s="5"/>
      <c r="W26" s="5"/>
      <c r="X26" s="1"/>
      <c r="Y26" s="1"/>
      <c r="Z26" s="1">
        <f t="shared" si="9"/>
        <v>10</v>
      </c>
      <c r="AA26" s="1">
        <f t="shared" si="10"/>
        <v>9.0498272556566999</v>
      </c>
      <c r="AB26" s="1">
        <v>40.481999999999999</v>
      </c>
      <c r="AC26" s="1">
        <v>44.878</v>
      </c>
      <c r="AD26" s="1">
        <v>42.4694</v>
      </c>
      <c r="AE26" s="1">
        <v>43.450599999999987</v>
      </c>
      <c r="AF26" s="1">
        <v>49.940800000000003</v>
      </c>
      <c r="AG26" s="1">
        <v>43.297199999999997</v>
      </c>
      <c r="AH26" s="1">
        <v>39.487200000000001</v>
      </c>
      <c r="AI26" s="1">
        <v>39.1248</v>
      </c>
      <c r="AJ26" s="1"/>
      <c r="AK26" s="1">
        <f t="shared" si="11"/>
        <v>39</v>
      </c>
      <c r="AL26" s="1">
        <f t="shared" si="12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65</v>
      </c>
      <c r="B27" s="1" t="s">
        <v>37</v>
      </c>
      <c r="C27" s="1">
        <v>222.04400000000001</v>
      </c>
      <c r="D27" s="1">
        <v>178.08799999999999</v>
      </c>
      <c r="E27" s="1">
        <v>165.32599999999999</v>
      </c>
      <c r="F27" s="1">
        <v>202.209</v>
      </c>
      <c r="G27" s="8">
        <v>1</v>
      </c>
      <c r="H27" s="1">
        <v>30</v>
      </c>
      <c r="I27" s="1" t="s">
        <v>38</v>
      </c>
      <c r="J27" s="1"/>
      <c r="K27" s="1">
        <v>162.346</v>
      </c>
      <c r="L27" s="1">
        <f t="shared" si="4"/>
        <v>2.9799999999999898</v>
      </c>
      <c r="M27" s="1">
        <f t="shared" si="5"/>
        <v>156.68</v>
      </c>
      <c r="N27" s="1">
        <v>8.6460000000000008</v>
      </c>
      <c r="O27" s="1"/>
      <c r="P27" s="1">
        <v>78.915799999999933</v>
      </c>
      <c r="Q27" s="1"/>
      <c r="R27" s="1">
        <f t="shared" si="6"/>
        <v>31.336000000000002</v>
      </c>
      <c r="S27" s="5">
        <f t="shared" si="16"/>
        <v>32.235200000000077</v>
      </c>
      <c r="T27" s="5"/>
      <c r="U27" s="5">
        <f t="shared" si="8"/>
        <v>32.235200000000077</v>
      </c>
      <c r="V27" s="5"/>
      <c r="W27" s="5"/>
      <c r="X27" s="1"/>
      <c r="Y27" s="1"/>
      <c r="Z27" s="1">
        <f t="shared" si="9"/>
        <v>10</v>
      </c>
      <c r="AA27" s="1">
        <f t="shared" si="10"/>
        <v>8.9713045698238414</v>
      </c>
      <c r="AB27" s="1">
        <v>31.9438</v>
      </c>
      <c r="AC27" s="1">
        <v>32.544400000000003</v>
      </c>
      <c r="AD27" s="1">
        <v>33.5578</v>
      </c>
      <c r="AE27" s="1">
        <v>41.352999999999987</v>
      </c>
      <c r="AF27" s="1">
        <v>40.281999999999996</v>
      </c>
      <c r="AG27" s="1">
        <v>30.965</v>
      </c>
      <c r="AH27" s="1">
        <v>26.494399999999999</v>
      </c>
      <c r="AI27" s="1">
        <v>35.434399999999997</v>
      </c>
      <c r="AJ27" s="1"/>
      <c r="AK27" s="1">
        <f t="shared" si="11"/>
        <v>32</v>
      </c>
      <c r="AL27" s="1">
        <f t="shared" si="12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66</v>
      </c>
      <c r="B28" s="1" t="s">
        <v>37</v>
      </c>
      <c r="C28" s="1">
        <v>771.58</v>
      </c>
      <c r="D28" s="1">
        <v>1180.587</v>
      </c>
      <c r="E28" s="1">
        <v>846.31700000000001</v>
      </c>
      <c r="F28" s="1">
        <v>1040.5409999999999</v>
      </c>
      <c r="G28" s="8">
        <v>1</v>
      </c>
      <c r="H28" s="1">
        <v>30</v>
      </c>
      <c r="I28" s="1" t="s">
        <v>38</v>
      </c>
      <c r="J28" s="1"/>
      <c r="K28" s="1">
        <v>856.96</v>
      </c>
      <c r="L28" s="1">
        <f t="shared" si="4"/>
        <v>-10.643000000000029</v>
      </c>
      <c r="M28" s="1">
        <f t="shared" si="5"/>
        <v>846.31700000000001</v>
      </c>
      <c r="N28" s="1"/>
      <c r="O28" s="1"/>
      <c r="P28" s="1">
        <v>177.2022000000002</v>
      </c>
      <c r="Q28" s="1">
        <v>200</v>
      </c>
      <c r="R28" s="1">
        <f t="shared" si="6"/>
        <v>169.26339999999999</v>
      </c>
      <c r="S28" s="5">
        <f t="shared" si="16"/>
        <v>274.8907999999999</v>
      </c>
      <c r="T28" s="5"/>
      <c r="U28" s="5">
        <f t="shared" si="8"/>
        <v>274.8907999999999</v>
      </c>
      <c r="V28" s="5"/>
      <c r="W28" s="5"/>
      <c r="X28" s="1"/>
      <c r="Y28" s="1"/>
      <c r="Z28" s="1">
        <f t="shared" si="9"/>
        <v>10</v>
      </c>
      <c r="AA28" s="1">
        <f t="shared" si="10"/>
        <v>8.3759584174724147</v>
      </c>
      <c r="AB28" s="1">
        <v>161.17760000000001</v>
      </c>
      <c r="AC28" s="1">
        <v>165.77279999999999</v>
      </c>
      <c r="AD28" s="1">
        <v>179.8784</v>
      </c>
      <c r="AE28" s="1">
        <v>170.97020000000001</v>
      </c>
      <c r="AF28" s="1">
        <v>162.62100000000001</v>
      </c>
      <c r="AG28" s="1">
        <v>162.0128</v>
      </c>
      <c r="AH28" s="1">
        <v>154.63640000000001</v>
      </c>
      <c r="AI28" s="1">
        <v>161.0402</v>
      </c>
      <c r="AJ28" s="1" t="s">
        <v>48</v>
      </c>
      <c r="AK28" s="1">
        <f t="shared" si="11"/>
        <v>275</v>
      </c>
      <c r="AL28" s="1">
        <f t="shared" si="12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" t="s">
        <v>67</v>
      </c>
      <c r="B29" s="1" t="s">
        <v>37</v>
      </c>
      <c r="C29" s="1">
        <v>5.1959999999999997</v>
      </c>
      <c r="D29" s="1">
        <v>48.643000000000001</v>
      </c>
      <c r="E29" s="1">
        <v>13.599</v>
      </c>
      <c r="F29" s="1">
        <v>39</v>
      </c>
      <c r="G29" s="8">
        <v>1</v>
      </c>
      <c r="H29" s="1">
        <v>45</v>
      </c>
      <c r="I29" s="1" t="s">
        <v>38</v>
      </c>
      <c r="J29" s="1"/>
      <c r="K29" s="1">
        <v>14.3</v>
      </c>
      <c r="L29" s="1">
        <f t="shared" si="4"/>
        <v>-0.70100000000000051</v>
      </c>
      <c r="M29" s="1">
        <f t="shared" si="5"/>
        <v>13.599</v>
      </c>
      <c r="N29" s="1"/>
      <c r="O29" s="1"/>
      <c r="P29" s="1">
        <v>0</v>
      </c>
      <c r="Q29" s="1"/>
      <c r="R29" s="1">
        <f t="shared" si="6"/>
        <v>2.7198000000000002</v>
      </c>
      <c r="S29" s="5"/>
      <c r="T29" s="5"/>
      <c r="U29" s="5">
        <f t="shared" si="8"/>
        <v>0</v>
      </c>
      <c r="V29" s="5"/>
      <c r="W29" s="5"/>
      <c r="X29" s="1"/>
      <c r="Y29" s="1"/>
      <c r="Z29" s="1">
        <f t="shared" si="9"/>
        <v>14.339289653651003</v>
      </c>
      <c r="AA29" s="1">
        <f t="shared" si="10"/>
        <v>14.339289653651003</v>
      </c>
      <c r="AB29" s="1">
        <v>2.9620000000000002</v>
      </c>
      <c r="AC29" s="1">
        <v>3.5964</v>
      </c>
      <c r="AD29" s="1">
        <v>2.8079999999999998</v>
      </c>
      <c r="AE29" s="1">
        <v>2.4186000000000001</v>
      </c>
      <c r="AF29" s="1">
        <v>3.2084000000000001</v>
      </c>
      <c r="AG29" s="1">
        <v>1.847</v>
      </c>
      <c r="AH29" s="1">
        <v>2.7012</v>
      </c>
      <c r="AI29" s="1">
        <v>4.4518000000000004</v>
      </c>
      <c r="AJ29" s="1"/>
      <c r="AK29" s="1">
        <f t="shared" si="11"/>
        <v>0</v>
      </c>
      <c r="AL29" s="1">
        <f t="shared" si="12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68</v>
      </c>
      <c r="B30" s="1" t="s">
        <v>37</v>
      </c>
      <c r="C30" s="1">
        <v>12.269</v>
      </c>
      <c r="D30" s="1">
        <v>34.540999999999997</v>
      </c>
      <c r="E30" s="1">
        <v>13.603</v>
      </c>
      <c r="F30" s="1">
        <v>32.365000000000002</v>
      </c>
      <c r="G30" s="8">
        <v>1</v>
      </c>
      <c r="H30" s="1">
        <v>40</v>
      </c>
      <c r="I30" s="1" t="s">
        <v>38</v>
      </c>
      <c r="J30" s="1"/>
      <c r="K30" s="1">
        <v>13</v>
      </c>
      <c r="L30" s="1">
        <f t="shared" si="4"/>
        <v>0.60299999999999976</v>
      </c>
      <c r="M30" s="1">
        <f t="shared" si="5"/>
        <v>13.603</v>
      </c>
      <c r="N30" s="1"/>
      <c r="O30" s="1"/>
      <c r="P30" s="1">
        <v>0</v>
      </c>
      <c r="Q30" s="1"/>
      <c r="R30" s="1">
        <f t="shared" si="6"/>
        <v>2.7206000000000001</v>
      </c>
      <c r="S30" s="5"/>
      <c r="T30" s="5"/>
      <c r="U30" s="5">
        <f t="shared" si="8"/>
        <v>0</v>
      </c>
      <c r="V30" s="5"/>
      <c r="W30" s="5"/>
      <c r="X30" s="1"/>
      <c r="Y30" s="1"/>
      <c r="Z30" s="1">
        <f t="shared" si="9"/>
        <v>11.896272880982137</v>
      </c>
      <c r="AA30" s="1">
        <f t="shared" si="10"/>
        <v>11.896272880982137</v>
      </c>
      <c r="AB30" s="1">
        <v>2.9420000000000002</v>
      </c>
      <c r="AC30" s="1">
        <v>3.2292000000000001</v>
      </c>
      <c r="AD30" s="1">
        <v>3.5019999999999998</v>
      </c>
      <c r="AE30" s="1">
        <v>4.3224</v>
      </c>
      <c r="AF30" s="1">
        <v>3.7429999999999999</v>
      </c>
      <c r="AG30" s="1">
        <v>2.6469999999999998</v>
      </c>
      <c r="AH30" s="1">
        <v>4.1132</v>
      </c>
      <c r="AI30" s="1">
        <v>3.2385999999999999</v>
      </c>
      <c r="AJ30" s="1"/>
      <c r="AK30" s="1">
        <f t="shared" si="11"/>
        <v>0</v>
      </c>
      <c r="AL30" s="1">
        <f t="shared" si="12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69</v>
      </c>
      <c r="B31" s="1" t="s">
        <v>37</v>
      </c>
      <c r="C31" s="1">
        <v>191.501</v>
      </c>
      <c r="D31" s="1">
        <v>167.47200000000001</v>
      </c>
      <c r="E31" s="1">
        <v>174.39099999999999</v>
      </c>
      <c r="F31" s="1">
        <v>164.29499999999999</v>
      </c>
      <c r="G31" s="8">
        <v>1</v>
      </c>
      <c r="H31" s="1">
        <v>30</v>
      </c>
      <c r="I31" s="1" t="s">
        <v>38</v>
      </c>
      <c r="J31" s="1"/>
      <c r="K31" s="1">
        <v>174.6</v>
      </c>
      <c r="L31" s="1">
        <f t="shared" si="4"/>
        <v>-0.20900000000000318</v>
      </c>
      <c r="M31" s="1">
        <f t="shared" si="5"/>
        <v>174.39099999999999</v>
      </c>
      <c r="N31" s="1"/>
      <c r="O31" s="1"/>
      <c r="P31" s="1">
        <v>97.984199999999987</v>
      </c>
      <c r="Q31" s="1"/>
      <c r="R31" s="1">
        <f t="shared" si="6"/>
        <v>34.8782</v>
      </c>
      <c r="S31" s="5">
        <f t="shared" si="16"/>
        <v>86.502800000000008</v>
      </c>
      <c r="T31" s="5"/>
      <c r="U31" s="5">
        <f t="shared" si="8"/>
        <v>86.502800000000008</v>
      </c>
      <c r="V31" s="5"/>
      <c r="W31" s="5"/>
      <c r="X31" s="1"/>
      <c r="Y31" s="1"/>
      <c r="Z31" s="1">
        <f t="shared" si="9"/>
        <v>9.9999999999999982</v>
      </c>
      <c r="AA31" s="1">
        <f t="shared" si="10"/>
        <v>7.5198605432619789</v>
      </c>
      <c r="AB31" s="1">
        <v>30.7776</v>
      </c>
      <c r="AC31" s="1">
        <v>31.29</v>
      </c>
      <c r="AD31" s="1">
        <v>35.423999999999999</v>
      </c>
      <c r="AE31" s="1">
        <v>33.455800000000004</v>
      </c>
      <c r="AF31" s="1">
        <v>37.412400000000012</v>
      </c>
      <c r="AG31" s="1">
        <v>42.533799999999999</v>
      </c>
      <c r="AH31" s="1">
        <v>36.747399999999999</v>
      </c>
      <c r="AI31" s="1">
        <v>34.001199999999997</v>
      </c>
      <c r="AJ31" s="1"/>
      <c r="AK31" s="1">
        <f t="shared" si="11"/>
        <v>87</v>
      </c>
      <c r="AL31" s="1">
        <f t="shared" si="12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5" t="s">
        <v>70</v>
      </c>
      <c r="B32" s="15" t="s">
        <v>37</v>
      </c>
      <c r="C32" s="15"/>
      <c r="D32" s="15"/>
      <c r="E32" s="15"/>
      <c r="F32" s="15"/>
      <c r="G32" s="16">
        <v>0</v>
      </c>
      <c r="H32" s="15">
        <v>50</v>
      </c>
      <c r="I32" s="15" t="s">
        <v>38</v>
      </c>
      <c r="J32" s="15"/>
      <c r="K32" s="15"/>
      <c r="L32" s="15">
        <f t="shared" si="4"/>
        <v>0</v>
      </c>
      <c r="M32" s="15">
        <f t="shared" si="5"/>
        <v>0</v>
      </c>
      <c r="N32" s="15"/>
      <c r="O32" s="15"/>
      <c r="P32" s="15">
        <v>0</v>
      </c>
      <c r="Q32" s="15"/>
      <c r="R32" s="15">
        <f t="shared" si="6"/>
        <v>0</v>
      </c>
      <c r="S32" s="17"/>
      <c r="T32" s="17"/>
      <c r="U32" s="5">
        <f t="shared" si="8"/>
        <v>0</v>
      </c>
      <c r="V32" s="5"/>
      <c r="W32" s="17"/>
      <c r="X32" s="15"/>
      <c r="Y32" s="15"/>
      <c r="Z32" s="1" t="e">
        <f t="shared" si="9"/>
        <v>#DIV/0!</v>
      </c>
      <c r="AA32" s="15" t="e">
        <f t="shared" si="10"/>
        <v>#DIV/0!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 t="s">
        <v>71</v>
      </c>
      <c r="AK32" s="1">
        <f t="shared" si="11"/>
        <v>0</v>
      </c>
      <c r="AL32" s="1">
        <f t="shared" si="12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5" t="s">
        <v>72</v>
      </c>
      <c r="B33" s="15" t="s">
        <v>37</v>
      </c>
      <c r="C33" s="15"/>
      <c r="D33" s="15"/>
      <c r="E33" s="15"/>
      <c r="F33" s="15"/>
      <c r="G33" s="16">
        <v>0</v>
      </c>
      <c r="H33" s="15">
        <v>50</v>
      </c>
      <c r="I33" s="15" t="s">
        <v>38</v>
      </c>
      <c r="J33" s="15"/>
      <c r="K33" s="15"/>
      <c r="L33" s="15">
        <f t="shared" si="4"/>
        <v>0</v>
      </c>
      <c r="M33" s="15">
        <f t="shared" si="5"/>
        <v>0</v>
      </c>
      <c r="N33" s="15"/>
      <c r="O33" s="15"/>
      <c r="P33" s="15">
        <v>0</v>
      </c>
      <c r="Q33" s="15"/>
      <c r="R33" s="15">
        <f t="shared" si="6"/>
        <v>0</v>
      </c>
      <c r="S33" s="17"/>
      <c r="T33" s="17"/>
      <c r="U33" s="5">
        <f t="shared" si="8"/>
        <v>0</v>
      </c>
      <c r="V33" s="5"/>
      <c r="W33" s="17"/>
      <c r="X33" s="15"/>
      <c r="Y33" s="15"/>
      <c r="Z33" s="1" t="e">
        <f t="shared" si="9"/>
        <v>#DIV/0!</v>
      </c>
      <c r="AA33" s="15" t="e">
        <f t="shared" si="10"/>
        <v>#DIV/0!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 t="s">
        <v>71</v>
      </c>
      <c r="AK33" s="1">
        <f t="shared" si="11"/>
        <v>0</v>
      </c>
      <c r="AL33" s="1">
        <f t="shared" si="12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73</v>
      </c>
      <c r="B34" s="1" t="s">
        <v>42</v>
      </c>
      <c r="C34" s="1">
        <v>1972</v>
      </c>
      <c r="D34" s="1">
        <v>4639</v>
      </c>
      <c r="E34" s="1">
        <v>2850</v>
      </c>
      <c r="F34" s="1">
        <v>3610</v>
      </c>
      <c r="G34" s="8">
        <v>0.4</v>
      </c>
      <c r="H34" s="1">
        <v>45</v>
      </c>
      <c r="I34" s="1" t="s">
        <v>38</v>
      </c>
      <c r="J34" s="1"/>
      <c r="K34" s="1">
        <v>2914</v>
      </c>
      <c r="L34" s="1">
        <f t="shared" si="4"/>
        <v>-64</v>
      </c>
      <c r="M34" s="1">
        <f t="shared" si="5"/>
        <v>2844</v>
      </c>
      <c r="N34" s="1">
        <v>6</v>
      </c>
      <c r="O34" s="1">
        <v>818.06999999999994</v>
      </c>
      <c r="P34" s="1">
        <v>27.02599999999984</v>
      </c>
      <c r="Q34" s="1"/>
      <c r="R34" s="1">
        <f t="shared" si="6"/>
        <v>568.79999999999995</v>
      </c>
      <c r="S34" s="5">
        <f t="shared" ref="S34:S46" si="17">10*R34-Q34-P34-O34-F34</f>
        <v>1232.9040000000005</v>
      </c>
      <c r="T34" s="5"/>
      <c r="U34" s="5">
        <f t="shared" si="8"/>
        <v>1232.9040000000005</v>
      </c>
      <c r="V34" s="5"/>
      <c r="W34" s="5"/>
      <c r="X34" s="1"/>
      <c r="Y34" s="1"/>
      <c r="Z34" s="1">
        <f t="shared" si="9"/>
        <v>10</v>
      </c>
      <c r="AA34" s="1">
        <f t="shared" si="10"/>
        <v>7.8324472573839659</v>
      </c>
      <c r="AB34" s="1">
        <v>505.2</v>
      </c>
      <c r="AC34" s="1">
        <v>495.2</v>
      </c>
      <c r="AD34" s="1">
        <v>495.8</v>
      </c>
      <c r="AE34" s="1">
        <v>468.8</v>
      </c>
      <c r="AF34" s="1">
        <v>440.6</v>
      </c>
      <c r="AG34" s="1">
        <v>462.8</v>
      </c>
      <c r="AH34" s="1">
        <v>485.6</v>
      </c>
      <c r="AI34" s="1">
        <v>477.8</v>
      </c>
      <c r="AJ34" s="1" t="s">
        <v>74</v>
      </c>
      <c r="AK34" s="1">
        <f t="shared" si="11"/>
        <v>493</v>
      </c>
      <c r="AL34" s="1">
        <f t="shared" si="12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75</v>
      </c>
      <c r="B35" s="1" t="s">
        <v>42</v>
      </c>
      <c r="C35" s="1">
        <v>529</v>
      </c>
      <c r="D35" s="1">
        <v>930</v>
      </c>
      <c r="E35" s="1">
        <v>451</v>
      </c>
      <c r="F35" s="1">
        <v>976</v>
      </c>
      <c r="G35" s="8">
        <v>0.45</v>
      </c>
      <c r="H35" s="1">
        <v>50</v>
      </c>
      <c r="I35" s="1" t="s">
        <v>38</v>
      </c>
      <c r="J35" s="1"/>
      <c r="K35" s="1">
        <v>473</v>
      </c>
      <c r="L35" s="1">
        <f t="shared" si="4"/>
        <v>-22</v>
      </c>
      <c r="M35" s="1">
        <f t="shared" si="5"/>
        <v>443</v>
      </c>
      <c r="N35" s="1">
        <v>8</v>
      </c>
      <c r="O35" s="1">
        <v>169.95</v>
      </c>
      <c r="P35" s="1">
        <v>280.48399999999992</v>
      </c>
      <c r="Q35" s="1"/>
      <c r="R35" s="1">
        <f t="shared" si="6"/>
        <v>88.6</v>
      </c>
      <c r="S35" s="5"/>
      <c r="T35" s="5"/>
      <c r="U35" s="5">
        <f t="shared" si="8"/>
        <v>0</v>
      </c>
      <c r="V35" s="5"/>
      <c r="W35" s="5"/>
      <c r="X35" s="1"/>
      <c r="Y35" s="1"/>
      <c r="Z35" s="1">
        <f t="shared" si="9"/>
        <v>16.099706546275396</v>
      </c>
      <c r="AA35" s="1">
        <f t="shared" si="10"/>
        <v>16.099706546275396</v>
      </c>
      <c r="AB35" s="1">
        <v>109.8</v>
      </c>
      <c r="AC35" s="1">
        <v>102</v>
      </c>
      <c r="AD35" s="1">
        <v>103</v>
      </c>
      <c r="AE35" s="1">
        <v>92</v>
      </c>
      <c r="AF35" s="1">
        <v>95</v>
      </c>
      <c r="AG35" s="1">
        <v>98</v>
      </c>
      <c r="AH35" s="1">
        <v>84.4</v>
      </c>
      <c r="AI35" s="1">
        <v>71.599999999999994</v>
      </c>
      <c r="AJ35" s="1" t="s">
        <v>76</v>
      </c>
      <c r="AK35" s="1">
        <f t="shared" si="11"/>
        <v>0</v>
      </c>
      <c r="AL35" s="1">
        <f t="shared" si="12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77</v>
      </c>
      <c r="B36" s="1" t="s">
        <v>42</v>
      </c>
      <c r="C36" s="1">
        <v>1360</v>
      </c>
      <c r="D36" s="1">
        <v>2356</v>
      </c>
      <c r="E36" s="1">
        <v>1769</v>
      </c>
      <c r="F36" s="1">
        <v>1853</v>
      </c>
      <c r="G36" s="8">
        <v>0.4</v>
      </c>
      <c r="H36" s="1">
        <v>45</v>
      </c>
      <c r="I36" s="1" t="s">
        <v>38</v>
      </c>
      <c r="J36" s="1"/>
      <c r="K36" s="1">
        <v>1857</v>
      </c>
      <c r="L36" s="1">
        <f t="shared" si="4"/>
        <v>-88</v>
      </c>
      <c r="M36" s="1">
        <f t="shared" si="5"/>
        <v>1769</v>
      </c>
      <c r="N36" s="1"/>
      <c r="O36" s="1">
        <v>452.75999999999988</v>
      </c>
      <c r="P36" s="1">
        <v>283.83199999999988</v>
      </c>
      <c r="Q36" s="1"/>
      <c r="R36" s="1">
        <f t="shared" si="6"/>
        <v>353.8</v>
      </c>
      <c r="S36" s="5">
        <f t="shared" si="17"/>
        <v>948.40800000000036</v>
      </c>
      <c r="T36" s="5"/>
      <c r="U36" s="5">
        <f t="shared" si="8"/>
        <v>948.40800000000036</v>
      </c>
      <c r="V36" s="5"/>
      <c r="W36" s="5"/>
      <c r="X36" s="1"/>
      <c r="Y36" s="1"/>
      <c r="Z36" s="1">
        <f t="shared" si="9"/>
        <v>10</v>
      </c>
      <c r="AA36" s="1">
        <f t="shared" si="10"/>
        <v>7.3193668739400781</v>
      </c>
      <c r="AB36" s="1">
        <v>297.39999999999998</v>
      </c>
      <c r="AC36" s="1">
        <v>270.39999999999998</v>
      </c>
      <c r="AD36" s="1">
        <v>274.39999999999998</v>
      </c>
      <c r="AE36" s="1">
        <v>259.2</v>
      </c>
      <c r="AF36" s="1">
        <v>260.8</v>
      </c>
      <c r="AG36" s="1">
        <v>254.4</v>
      </c>
      <c r="AH36" s="1">
        <v>242.8</v>
      </c>
      <c r="AI36" s="1">
        <v>251.6</v>
      </c>
      <c r="AJ36" s="1" t="s">
        <v>78</v>
      </c>
      <c r="AK36" s="1">
        <f t="shared" si="11"/>
        <v>379</v>
      </c>
      <c r="AL36" s="1">
        <f t="shared" si="12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79</v>
      </c>
      <c r="B37" s="1" t="s">
        <v>42</v>
      </c>
      <c r="C37" s="1">
        <v>120</v>
      </c>
      <c r="D37" s="1"/>
      <c r="E37" s="1">
        <v>21</v>
      </c>
      <c r="F37" s="1">
        <v>98</v>
      </c>
      <c r="G37" s="8">
        <v>0.4</v>
      </c>
      <c r="H37" s="1">
        <v>40</v>
      </c>
      <c r="I37" s="1" t="s">
        <v>38</v>
      </c>
      <c r="J37" s="1"/>
      <c r="K37" s="1">
        <v>21</v>
      </c>
      <c r="L37" s="1">
        <f t="shared" si="4"/>
        <v>0</v>
      </c>
      <c r="M37" s="1">
        <f t="shared" si="5"/>
        <v>21</v>
      </c>
      <c r="N37" s="1"/>
      <c r="O37" s="1"/>
      <c r="P37" s="1">
        <v>0</v>
      </c>
      <c r="Q37" s="1"/>
      <c r="R37" s="1">
        <f t="shared" si="6"/>
        <v>4.2</v>
      </c>
      <c r="S37" s="5"/>
      <c r="T37" s="5"/>
      <c r="U37" s="5">
        <f t="shared" si="8"/>
        <v>0</v>
      </c>
      <c r="V37" s="5"/>
      <c r="W37" s="5"/>
      <c r="X37" s="1"/>
      <c r="Y37" s="1"/>
      <c r="Z37" s="1">
        <f t="shared" si="9"/>
        <v>23.333333333333332</v>
      </c>
      <c r="AA37" s="1">
        <f t="shared" si="10"/>
        <v>23.333333333333332</v>
      </c>
      <c r="AB37" s="1">
        <v>8.8000000000000007</v>
      </c>
      <c r="AC37" s="1">
        <v>8.4</v>
      </c>
      <c r="AD37" s="1">
        <v>6.2</v>
      </c>
      <c r="AE37" s="1">
        <v>6.8</v>
      </c>
      <c r="AF37" s="1">
        <v>15.4</v>
      </c>
      <c r="AG37" s="1">
        <v>19.600000000000001</v>
      </c>
      <c r="AH37" s="1">
        <v>6</v>
      </c>
      <c r="AI37" s="1">
        <v>0</v>
      </c>
      <c r="AJ37" s="19" t="s">
        <v>54</v>
      </c>
      <c r="AK37" s="1">
        <f t="shared" si="11"/>
        <v>0</v>
      </c>
      <c r="AL37" s="1">
        <f t="shared" si="12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80</v>
      </c>
      <c r="B38" s="1" t="s">
        <v>37</v>
      </c>
      <c r="C38" s="1">
        <v>726.35500000000002</v>
      </c>
      <c r="D38" s="1">
        <v>316.62</v>
      </c>
      <c r="E38" s="1">
        <v>450.70600000000002</v>
      </c>
      <c r="F38" s="1">
        <v>547.61</v>
      </c>
      <c r="G38" s="8">
        <v>1</v>
      </c>
      <c r="H38" s="1">
        <v>45</v>
      </c>
      <c r="I38" s="1" t="s">
        <v>38</v>
      </c>
      <c r="J38" s="1"/>
      <c r="K38" s="1">
        <v>449.08600000000001</v>
      </c>
      <c r="L38" s="1">
        <f t="shared" ref="L38:L68" si="18">E38-K38</f>
        <v>1.6200000000000045</v>
      </c>
      <c r="M38" s="1">
        <f t="shared" si="5"/>
        <v>450.70600000000002</v>
      </c>
      <c r="N38" s="1"/>
      <c r="O38" s="1">
        <v>126.53322</v>
      </c>
      <c r="P38" s="1">
        <v>0</v>
      </c>
      <c r="Q38" s="1"/>
      <c r="R38" s="1">
        <f t="shared" si="6"/>
        <v>90.141199999999998</v>
      </c>
      <c r="S38" s="5">
        <f t="shared" si="17"/>
        <v>227.26877999999999</v>
      </c>
      <c r="T38" s="5"/>
      <c r="U38" s="5">
        <f t="shared" si="8"/>
        <v>227.26877999999999</v>
      </c>
      <c r="V38" s="5"/>
      <c r="W38" s="5"/>
      <c r="X38" s="1"/>
      <c r="Y38" s="1"/>
      <c r="Z38" s="1">
        <f t="shared" si="9"/>
        <v>10</v>
      </c>
      <c r="AA38" s="1">
        <f t="shared" si="10"/>
        <v>7.4787468993090842</v>
      </c>
      <c r="AB38" s="1">
        <v>78.867400000000004</v>
      </c>
      <c r="AC38" s="1">
        <v>82.456600000000009</v>
      </c>
      <c r="AD38" s="1">
        <v>76.686800000000005</v>
      </c>
      <c r="AE38" s="1">
        <v>76.649799999999999</v>
      </c>
      <c r="AF38" s="1">
        <v>97.777799999999999</v>
      </c>
      <c r="AG38" s="1">
        <v>89.788600000000002</v>
      </c>
      <c r="AH38" s="1">
        <v>86.56</v>
      </c>
      <c r="AI38" s="1">
        <v>88.593199999999996</v>
      </c>
      <c r="AJ38" s="1"/>
      <c r="AK38" s="1">
        <f t="shared" si="11"/>
        <v>227</v>
      </c>
      <c r="AL38" s="1">
        <f t="shared" si="12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81</v>
      </c>
      <c r="B39" s="1" t="s">
        <v>42</v>
      </c>
      <c r="C39" s="1">
        <v>417</v>
      </c>
      <c r="D39" s="1">
        <v>442</v>
      </c>
      <c r="E39" s="1">
        <v>246</v>
      </c>
      <c r="F39" s="1">
        <v>604</v>
      </c>
      <c r="G39" s="8">
        <v>0.1</v>
      </c>
      <c r="H39" s="1">
        <v>730</v>
      </c>
      <c r="I39" s="1" t="s">
        <v>38</v>
      </c>
      <c r="J39" s="1"/>
      <c r="K39" s="1">
        <v>248</v>
      </c>
      <c r="L39" s="1">
        <f t="shared" si="18"/>
        <v>-2</v>
      </c>
      <c r="M39" s="1">
        <f t="shared" si="5"/>
        <v>246</v>
      </c>
      <c r="N39" s="1"/>
      <c r="O39" s="1">
        <v>104.94</v>
      </c>
      <c r="P39" s="1">
        <v>0</v>
      </c>
      <c r="Q39" s="1"/>
      <c r="R39" s="1">
        <f t="shared" si="6"/>
        <v>49.2</v>
      </c>
      <c r="S39" s="5"/>
      <c r="T39" s="5"/>
      <c r="U39" s="5">
        <f t="shared" si="8"/>
        <v>0</v>
      </c>
      <c r="V39" s="5">
        <f>$V$1*R39</f>
        <v>76.260000000000005</v>
      </c>
      <c r="W39" s="5"/>
      <c r="X39" s="1"/>
      <c r="Y39" s="1"/>
      <c r="Z39" s="1">
        <f t="shared" si="9"/>
        <v>14.409349593495936</v>
      </c>
      <c r="AA39" s="1">
        <f t="shared" si="10"/>
        <v>14.409349593495936</v>
      </c>
      <c r="AB39" s="1">
        <v>49.2</v>
      </c>
      <c r="AC39" s="1">
        <v>63</v>
      </c>
      <c r="AD39" s="1">
        <v>63.6</v>
      </c>
      <c r="AE39" s="1">
        <v>58.2</v>
      </c>
      <c r="AF39" s="1">
        <v>67.599999999999994</v>
      </c>
      <c r="AG39" s="1">
        <v>65.400000000000006</v>
      </c>
      <c r="AH39" s="1">
        <v>50.6</v>
      </c>
      <c r="AI39" s="1">
        <v>48.2</v>
      </c>
      <c r="AJ39" s="1"/>
      <c r="AK39" s="1">
        <f t="shared" si="11"/>
        <v>0</v>
      </c>
      <c r="AL39" s="1">
        <f t="shared" si="12"/>
        <v>8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82</v>
      </c>
      <c r="B40" s="1" t="s">
        <v>42</v>
      </c>
      <c r="C40" s="1">
        <v>285</v>
      </c>
      <c r="D40" s="1">
        <v>571</v>
      </c>
      <c r="E40" s="1">
        <v>401</v>
      </c>
      <c r="F40" s="1">
        <v>400</v>
      </c>
      <c r="G40" s="8">
        <v>0.35</v>
      </c>
      <c r="H40" s="1">
        <v>40</v>
      </c>
      <c r="I40" s="1" t="s">
        <v>38</v>
      </c>
      <c r="J40" s="1"/>
      <c r="K40" s="1">
        <v>431</v>
      </c>
      <c r="L40" s="1">
        <f t="shared" si="18"/>
        <v>-30</v>
      </c>
      <c r="M40" s="1">
        <f t="shared" si="5"/>
        <v>401</v>
      </c>
      <c r="N40" s="1"/>
      <c r="O40" s="1"/>
      <c r="P40" s="1">
        <v>431.19999999999982</v>
      </c>
      <c r="Q40" s="1"/>
      <c r="R40" s="1">
        <f t="shared" si="6"/>
        <v>80.2</v>
      </c>
      <c r="S40" s="5"/>
      <c r="T40" s="5"/>
      <c r="U40" s="5">
        <f t="shared" si="8"/>
        <v>0</v>
      </c>
      <c r="V40" s="5"/>
      <c r="W40" s="5"/>
      <c r="X40" s="1"/>
      <c r="Y40" s="1"/>
      <c r="Z40" s="1">
        <f t="shared" si="9"/>
        <v>10.364089775561094</v>
      </c>
      <c r="AA40" s="1">
        <f t="shared" si="10"/>
        <v>10.364089775561094</v>
      </c>
      <c r="AB40" s="1">
        <v>86.2</v>
      </c>
      <c r="AC40" s="1">
        <v>75.400000000000006</v>
      </c>
      <c r="AD40" s="1">
        <v>86.6</v>
      </c>
      <c r="AE40" s="1">
        <v>90.8</v>
      </c>
      <c r="AF40" s="1">
        <v>78.599999999999994</v>
      </c>
      <c r="AG40" s="1">
        <v>78.8</v>
      </c>
      <c r="AH40" s="1">
        <v>72</v>
      </c>
      <c r="AI40" s="1">
        <v>70</v>
      </c>
      <c r="AJ40" s="1" t="s">
        <v>83</v>
      </c>
      <c r="AK40" s="1">
        <f t="shared" si="11"/>
        <v>0</v>
      </c>
      <c r="AL40" s="1">
        <f t="shared" si="12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84</v>
      </c>
      <c r="B41" s="1" t="s">
        <v>37</v>
      </c>
      <c r="C41" s="1">
        <v>-12.313000000000001</v>
      </c>
      <c r="D41" s="1">
        <v>407.41</v>
      </c>
      <c r="E41" s="1">
        <v>208.60400000000001</v>
      </c>
      <c r="F41" s="1">
        <v>77.491</v>
      </c>
      <c r="G41" s="8">
        <v>1</v>
      </c>
      <c r="H41" s="1">
        <v>40</v>
      </c>
      <c r="I41" s="1" t="s">
        <v>38</v>
      </c>
      <c r="J41" s="1"/>
      <c r="K41" s="1">
        <v>262.93099999999998</v>
      </c>
      <c r="L41" s="1">
        <f t="shared" si="18"/>
        <v>-54.32699999999997</v>
      </c>
      <c r="M41" s="1">
        <f t="shared" si="5"/>
        <v>155.97300000000001</v>
      </c>
      <c r="N41" s="1">
        <v>52.631</v>
      </c>
      <c r="O41" s="1"/>
      <c r="P41" s="1">
        <v>97.522400000000061</v>
      </c>
      <c r="Q41" s="1"/>
      <c r="R41" s="1">
        <f t="shared" si="6"/>
        <v>31.194600000000001</v>
      </c>
      <c r="S41" s="5">
        <f t="shared" si="17"/>
        <v>136.93259999999998</v>
      </c>
      <c r="T41" s="5"/>
      <c r="U41" s="5">
        <f t="shared" si="8"/>
        <v>136.93259999999998</v>
      </c>
      <c r="V41" s="5"/>
      <c r="W41" s="5"/>
      <c r="X41" s="1"/>
      <c r="Y41" s="1"/>
      <c r="Z41" s="1">
        <f t="shared" si="9"/>
        <v>10</v>
      </c>
      <c r="AA41" s="1">
        <f t="shared" si="10"/>
        <v>5.6103748725741003</v>
      </c>
      <c r="AB41" s="1">
        <v>25.7182</v>
      </c>
      <c r="AC41" s="1">
        <v>24.661999999999999</v>
      </c>
      <c r="AD41" s="1">
        <v>30.4862</v>
      </c>
      <c r="AE41" s="1">
        <v>27.222000000000001</v>
      </c>
      <c r="AF41" s="1">
        <v>27.058199999999999</v>
      </c>
      <c r="AG41" s="1">
        <v>32.742199999999997</v>
      </c>
      <c r="AH41" s="1">
        <v>28.570599999999999</v>
      </c>
      <c r="AI41" s="1">
        <v>23.381</v>
      </c>
      <c r="AJ41" s="1"/>
      <c r="AK41" s="1">
        <f t="shared" si="11"/>
        <v>137</v>
      </c>
      <c r="AL41" s="1">
        <f t="shared" si="12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85</v>
      </c>
      <c r="B42" s="1" t="s">
        <v>42</v>
      </c>
      <c r="C42" s="1"/>
      <c r="D42" s="1">
        <v>654</v>
      </c>
      <c r="E42" s="1">
        <v>224</v>
      </c>
      <c r="F42" s="1">
        <v>403</v>
      </c>
      <c r="G42" s="8">
        <v>0.4</v>
      </c>
      <c r="H42" s="1">
        <v>40</v>
      </c>
      <c r="I42" s="1" t="s">
        <v>38</v>
      </c>
      <c r="J42" s="1"/>
      <c r="K42" s="1">
        <v>248</v>
      </c>
      <c r="L42" s="1">
        <f t="shared" si="18"/>
        <v>-24</v>
      </c>
      <c r="M42" s="1">
        <f t="shared" si="5"/>
        <v>218</v>
      </c>
      <c r="N42" s="1">
        <v>6</v>
      </c>
      <c r="O42" s="1"/>
      <c r="P42" s="1">
        <v>0</v>
      </c>
      <c r="Q42" s="1"/>
      <c r="R42" s="1">
        <f t="shared" si="6"/>
        <v>43.6</v>
      </c>
      <c r="S42" s="5">
        <f t="shared" si="17"/>
        <v>33</v>
      </c>
      <c r="T42" s="5"/>
      <c r="U42" s="5">
        <f t="shared" si="8"/>
        <v>33</v>
      </c>
      <c r="V42" s="5"/>
      <c r="W42" s="5"/>
      <c r="X42" s="1"/>
      <c r="Y42" s="1"/>
      <c r="Z42" s="1">
        <f t="shared" si="9"/>
        <v>10</v>
      </c>
      <c r="AA42" s="1">
        <f t="shared" si="10"/>
        <v>9.2431192660550447</v>
      </c>
      <c r="AB42" s="1">
        <v>18.2</v>
      </c>
      <c r="AC42" s="1">
        <v>25</v>
      </c>
      <c r="AD42" s="1">
        <v>56.2</v>
      </c>
      <c r="AE42" s="1">
        <v>46</v>
      </c>
      <c r="AF42" s="1">
        <v>30.4</v>
      </c>
      <c r="AG42" s="1">
        <v>40.200000000000003</v>
      </c>
      <c r="AH42" s="1">
        <v>39.799999999999997</v>
      </c>
      <c r="AI42" s="1">
        <v>36</v>
      </c>
      <c r="AJ42" s="1"/>
      <c r="AK42" s="1">
        <f t="shared" si="11"/>
        <v>13</v>
      </c>
      <c r="AL42" s="1">
        <f t="shared" si="12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86</v>
      </c>
      <c r="B43" s="1" t="s">
        <v>42</v>
      </c>
      <c r="C43" s="1">
        <v>174</v>
      </c>
      <c r="D43" s="1">
        <v>654</v>
      </c>
      <c r="E43" s="1">
        <v>306</v>
      </c>
      <c r="F43" s="1">
        <v>496</v>
      </c>
      <c r="G43" s="8">
        <v>0.4</v>
      </c>
      <c r="H43" s="1">
        <v>45</v>
      </c>
      <c r="I43" s="1" t="s">
        <v>38</v>
      </c>
      <c r="J43" s="1"/>
      <c r="K43" s="1">
        <v>331</v>
      </c>
      <c r="L43" s="1">
        <f t="shared" si="18"/>
        <v>-25</v>
      </c>
      <c r="M43" s="1">
        <f t="shared" si="5"/>
        <v>300</v>
      </c>
      <c r="N43" s="1">
        <v>6</v>
      </c>
      <c r="O43" s="1">
        <v>100.32</v>
      </c>
      <c r="P43" s="1">
        <v>0</v>
      </c>
      <c r="Q43" s="1"/>
      <c r="R43" s="1">
        <f t="shared" si="6"/>
        <v>60</v>
      </c>
      <c r="S43" s="5">
        <f t="shared" si="17"/>
        <v>3.6800000000000068</v>
      </c>
      <c r="T43" s="5"/>
      <c r="U43" s="5">
        <f t="shared" si="8"/>
        <v>3.6800000000000068</v>
      </c>
      <c r="V43" s="5"/>
      <c r="W43" s="5"/>
      <c r="X43" s="1"/>
      <c r="Y43" s="1"/>
      <c r="Z43" s="1">
        <f t="shared" si="9"/>
        <v>10</v>
      </c>
      <c r="AA43" s="1">
        <f t="shared" si="10"/>
        <v>9.9386666666666663</v>
      </c>
      <c r="AB43" s="1">
        <v>57.2</v>
      </c>
      <c r="AC43" s="1">
        <v>53</v>
      </c>
      <c r="AD43" s="1">
        <v>60.8</v>
      </c>
      <c r="AE43" s="1">
        <v>53.6</v>
      </c>
      <c r="AF43" s="1">
        <v>41.4</v>
      </c>
      <c r="AG43" s="1">
        <v>39.4</v>
      </c>
      <c r="AH43" s="1">
        <v>47.6</v>
      </c>
      <c r="AI43" s="1">
        <v>55.2</v>
      </c>
      <c r="AJ43" s="1" t="s">
        <v>78</v>
      </c>
      <c r="AK43" s="1">
        <f t="shared" si="11"/>
        <v>1</v>
      </c>
      <c r="AL43" s="1">
        <f t="shared" si="12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87</v>
      </c>
      <c r="B44" s="1" t="s">
        <v>37</v>
      </c>
      <c r="C44" s="1">
        <v>14.223000000000001</v>
      </c>
      <c r="D44" s="1">
        <v>625.24</v>
      </c>
      <c r="E44" s="1">
        <v>317.11900000000003</v>
      </c>
      <c r="F44" s="1">
        <v>270.988</v>
      </c>
      <c r="G44" s="8">
        <v>1</v>
      </c>
      <c r="H44" s="1">
        <v>40</v>
      </c>
      <c r="I44" s="1" t="s">
        <v>38</v>
      </c>
      <c r="J44" s="1"/>
      <c r="K44" s="1">
        <v>351.459</v>
      </c>
      <c r="L44" s="1">
        <f t="shared" si="18"/>
        <v>-34.339999999999975</v>
      </c>
      <c r="M44" s="1">
        <f t="shared" si="5"/>
        <v>286.86</v>
      </c>
      <c r="N44" s="1">
        <v>30.259</v>
      </c>
      <c r="O44" s="1"/>
      <c r="P44" s="1">
        <v>71.26420000000013</v>
      </c>
      <c r="Q44" s="1">
        <v>90</v>
      </c>
      <c r="R44" s="1">
        <f t="shared" si="6"/>
        <v>57.372</v>
      </c>
      <c r="S44" s="5">
        <f t="shared" si="17"/>
        <v>141.4677999999999</v>
      </c>
      <c r="T44" s="5"/>
      <c r="U44" s="5">
        <f t="shared" si="8"/>
        <v>141.4677999999999</v>
      </c>
      <c r="V44" s="5"/>
      <c r="W44" s="5"/>
      <c r="X44" s="1"/>
      <c r="Y44" s="1"/>
      <c r="Z44" s="1">
        <f t="shared" si="9"/>
        <v>10</v>
      </c>
      <c r="AA44" s="1">
        <f t="shared" si="10"/>
        <v>7.5342013525761722</v>
      </c>
      <c r="AB44" s="1">
        <v>52.2864</v>
      </c>
      <c r="AC44" s="1">
        <v>53.046799999999998</v>
      </c>
      <c r="AD44" s="1">
        <v>46.023600000000002</v>
      </c>
      <c r="AE44" s="1">
        <v>41.178600000000003</v>
      </c>
      <c r="AF44" s="1">
        <v>47.337400000000002</v>
      </c>
      <c r="AG44" s="1">
        <v>51.314600000000013</v>
      </c>
      <c r="AH44" s="1">
        <v>47.439599999999999</v>
      </c>
      <c r="AI44" s="1">
        <v>43.726999999999997</v>
      </c>
      <c r="AJ44" s="1"/>
      <c r="AK44" s="1">
        <f t="shared" si="11"/>
        <v>141</v>
      </c>
      <c r="AL44" s="1">
        <f t="shared" si="12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88</v>
      </c>
      <c r="B45" s="1" t="s">
        <v>42</v>
      </c>
      <c r="C45" s="1">
        <v>1174</v>
      </c>
      <c r="D45" s="1">
        <v>2603</v>
      </c>
      <c r="E45" s="1">
        <v>1573</v>
      </c>
      <c r="F45" s="1">
        <v>2110</v>
      </c>
      <c r="G45" s="8">
        <v>0.35</v>
      </c>
      <c r="H45" s="1">
        <v>40</v>
      </c>
      <c r="I45" s="1" t="s">
        <v>38</v>
      </c>
      <c r="J45" s="1"/>
      <c r="K45" s="1">
        <v>1611</v>
      </c>
      <c r="L45" s="1">
        <f t="shared" si="18"/>
        <v>-38</v>
      </c>
      <c r="M45" s="1">
        <f t="shared" si="5"/>
        <v>1573</v>
      </c>
      <c r="N45" s="1"/>
      <c r="O45" s="1"/>
      <c r="P45" s="1">
        <v>444.20000000000073</v>
      </c>
      <c r="Q45" s="1">
        <v>600</v>
      </c>
      <c r="R45" s="1">
        <f t="shared" si="6"/>
        <v>314.60000000000002</v>
      </c>
      <c r="S45" s="5"/>
      <c r="T45" s="5"/>
      <c r="U45" s="5">
        <f t="shared" si="8"/>
        <v>0</v>
      </c>
      <c r="V45" s="5"/>
      <c r="W45" s="5"/>
      <c r="X45" s="1"/>
      <c r="Y45" s="1"/>
      <c r="Z45" s="1">
        <f t="shared" si="9"/>
        <v>10.026064844246664</v>
      </c>
      <c r="AA45" s="1">
        <f t="shared" si="10"/>
        <v>10.026064844246664</v>
      </c>
      <c r="AB45" s="1">
        <v>330.8</v>
      </c>
      <c r="AC45" s="1">
        <v>334</v>
      </c>
      <c r="AD45" s="1">
        <v>353.8</v>
      </c>
      <c r="AE45" s="1">
        <v>329.2</v>
      </c>
      <c r="AF45" s="1">
        <v>324.39999999999998</v>
      </c>
      <c r="AG45" s="1">
        <v>341.47039999999998</v>
      </c>
      <c r="AH45" s="1">
        <v>305.2704</v>
      </c>
      <c r="AI45" s="1">
        <v>281.2</v>
      </c>
      <c r="AJ45" s="1" t="s">
        <v>48</v>
      </c>
      <c r="AK45" s="1">
        <f t="shared" si="11"/>
        <v>0</v>
      </c>
      <c r="AL45" s="1">
        <f t="shared" si="12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89</v>
      </c>
      <c r="B46" s="1" t="s">
        <v>42</v>
      </c>
      <c r="C46" s="1">
        <v>373</v>
      </c>
      <c r="D46" s="1">
        <v>1022</v>
      </c>
      <c r="E46" s="1">
        <v>706</v>
      </c>
      <c r="F46" s="1">
        <v>666</v>
      </c>
      <c r="G46" s="8">
        <v>0.4</v>
      </c>
      <c r="H46" s="1">
        <v>40</v>
      </c>
      <c r="I46" s="1" t="s">
        <v>38</v>
      </c>
      <c r="J46" s="1"/>
      <c r="K46" s="1">
        <v>715</v>
      </c>
      <c r="L46" s="1">
        <f t="shared" si="18"/>
        <v>-9</v>
      </c>
      <c r="M46" s="1">
        <f t="shared" si="5"/>
        <v>700</v>
      </c>
      <c r="N46" s="1">
        <v>6</v>
      </c>
      <c r="O46" s="1"/>
      <c r="P46" s="1">
        <v>580.80000000000018</v>
      </c>
      <c r="Q46" s="1"/>
      <c r="R46" s="1">
        <f t="shared" si="6"/>
        <v>140</v>
      </c>
      <c r="S46" s="5">
        <f t="shared" si="17"/>
        <v>153.19999999999982</v>
      </c>
      <c r="T46" s="5"/>
      <c r="U46" s="5">
        <f t="shared" si="8"/>
        <v>153.19999999999982</v>
      </c>
      <c r="V46" s="5"/>
      <c r="W46" s="5"/>
      <c r="X46" s="1"/>
      <c r="Y46" s="1"/>
      <c r="Z46" s="1">
        <f t="shared" si="9"/>
        <v>10</v>
      </c>
      <c r="AA46" s="1">
        <f t="shared" si="10"/>
        <v>8.9057142857142875</v>
      </c>
      <c r="AB46" s="1">
        <v>133.4</v>
      </c>
      <c r="AC46" s="1">
        <v>115.2</v>
      </c>
      <c r="AD46" s="1">
        <v>138.02199999999999</v>
      </c>
      <c r="AE46" s="1">
        <v>143.6</v>
      </c>
      <c r="AF46" s="1">
        <v>130.80000000000001</v>
      </c>
      <c r="AG46" s="1">
        <v>127.8</v>
      </c>
      <c r="AH46" s="1">
        <v>132.19999999999999</v>
      </c>
      <c r="AI46" s="1">
        <v>136.19999999999999</v>
      </c>
      <c r="AJ46" s="1"/>
      <c r="AK46" s="1">
        <f t="shared" si="11"/>
        <v>61</v>
      </c>
      <c r="AL46" s="1">
        <f t="shared" si="12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90</v>
      </c>
      <c r="B47" s="1" t="s">
        <v>37</v>
      </c>
      <c r="C47" s="1">
        <v>553.98800000000006</v>
      </c>
      <c r="D47" s="1">
        <v>576.18299999999999</v>
      </c>
      <c r="E47" s="1">
        <v>406.61700000000002</v>
      </c>
      <c r="F47" s="1">
        <v>662.10400000000004</v>
      </c>
      <c r="G47" s="8">
        <v>1</v>
      </c>
      <c r="H47" s="1">
        <v>50</v>
      </c>
      <c r="I47" s="1" t="s">
        <v>38</v>
      </c>
      <c r="J47" s="1"/>
      <c r="K47" s="1">
        <v>430.226</v>
      </c>
      <c r="L47" s="1">
        <f t="shared" si="18"/>
        <v>-23.60899999999998</v>
      </c>
      <c r="M47" s="1">
        <f t="shared" si="5"/>
        <v>374.14100000000002</v>
      </c>
      <c r="N47" s="1">
        <v>32.475999999999999</v>
      </c>
      <c r="O47" s="1">
        <v>142.08447000000001</v>
      </c>
      <c r="P47" s="1">
        <v>166.17322799999999</v>
      </c>
      <c r="Q47" s="1"/>
      <c r="R47" s="1">
        <f t="shared" si="6"/>
        <v>74.82820000000001</v>
      </c>
      <c r="S47" s="5"/>
      <c r="T47" s="5"/>
      <c r="U47" s="5">
        <f t="shared" si="8"/>
        <v>0</v>
      </c>
      <c r="V47" s="5">
        <f t="shared" ref="V47:V48" si="19">$V$1*R47</f>
        <v>115.98371000000002</v>
      </c>
      <c r="W47" s="5"/>
      <c r="X47" s="1"/>
      <c r="Y47" s="1"/>
      <c r="Z47" s="1">
        <f t="shared" si="9"/>
        <v>12.967861020310524</v>
      </c>
      <c r="AA47" s="1">
        <f t="shared" si="10"/>
        <v>12.967861020310524</v>
      </c>
      <c r="AB47" s="1">
        <v>78.015599999999992</v>
      </c>
      <c r="AC47" s="1">
        <v>85.325600000000009</v>
      </c>
      <c r="AD47" s="1">
        <v>86.111800000000002</v>
      </c>
      <c r="AE47" s="1">
        <v>83.411799999999999</v>
      </c>
      <c r="AF47" s="1">
        <v>88.43719999999999</v>
      </c>
      <c r="AG47" s="1">
        <v>87.9392</v>
      </c>
      <c r="AH47" s="1">
        <v>78.191400000000002</v>
      </c>
      <c r="AI47" s="1">
        <v>73.132800000000003</v>
      </c>
      <c r="AJ47" s="1"/>
      <c r="AK47" s="1">
        <f t="shared" si="11"/>
        <v>0</v>
      </c>
      <c r="AL47" s="1">
        <f t="shared" si="12"/>
        <v>116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91</v>
      </c>
      <c r="B48" s="1" t="s">
        <v>37</v>
      </c>
      <c r="C48" s="1">
        <v>812.72299999999996</v>
      </c>
      <c r="D48" s="1">
        <v>993.50699999999995</v>
      </c>
      <c r="E48" s="1">
        <v>697.03499999999997</v>
      </c>
      <c r="F48" s="1">
        <v>997.37300000000005</v>
      </c>
      <c r="G48" s="8">
        <v>1</v>
      </c>
      <c r="H48" s="1">
        <v>50</v>
      </c>
      <c r="I48" s="1" t="s">
        <v>38</v>
      </c>
      <c r="J48" s="1"/>
      <c r="K48" s="1">
        <v>737.76199999999994</v>
      </c>
      <c r="L48" s="1">
        <f t="shared" si="18"/>
        <v>-40.726999999999975</v>
      </c>
      <c r="M48" s="1">
        <f t="shared" si="5"/>
        <v>642.82299999999998</v>
      </c>
      <c r="N48" s="1">
        <v>54.212000000000003</v>
      </c>
      <c r="O48" s="1">
        <v>226.60472999999999</v>
      </c>
      <c r="P48" s="1">
        <v>311.6194060000002</v>
      </c>
      <c r="Q48" s="1"/>
      <c r="R48" s="1">
        <f t="shared" si="6"/>
        <v>128.56459999999998</v>
      </c>
      <c r="S48" s="5"/>
      <c r="T48" s="5"/>
      <c r="U48" s="5">
        <f t="shared" si="8"/>
        <v>0</v>
      </c>
      <c r="V48" s="5">
        <f t="shared" si="19"/>
        <v>199.27512999999999</v>
      </c>
      <c r="W48" s="5"/>
      <c r="X48" s="1"/>
      <c r="Y48" s="1"/>
      <c r="Z48" s="1">
        <f t="shared" si="9"/>
        <v>11.944167648015087</v>
      </c>
      <c r="AA48" s="1">
        <f t="shared" si="10"/>
        <v>11.944167648015087</v>
      </c>
      <c r="AB48" s="1">
        <v>136.21279999999999</v>
      </c>
      <c r="AC48" s="1">
        <v>135.34639999999999</v>
      </c>
      <c r="AD48" s="1">
        <v>137.33619999999999</v>
      </c>
      <c r="AE48" s="1">
        <v>156.09559999999999</v>
      </c>
      <c r="AF48" s="1">
        <v>150.91300000000001</v>
      </c>
      <c r="AG48" s="1">
        <v>138.64959999999999</v>
      </c>
      <c r="AH48" s="1">
        <v>132.1414</v>
      </c>
      <c r="AI48" s="1">
        <v>131.07159999999999</v>
      </c>
      <c r="AJ48" s="1"/>
      <c r="AK48" s="1">
        <f t="shared" si="11"/>
        <v>0</v>
      </c>
      <c r="AL48" s="1">
        <f t="shared" si="12"/>
        <v>199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5" t="s">
        <v>92</v>
      </c>
      <c r="B49" s="15" t="s">
        <v>37</v>
      </c>
      <c r="C49" s="15"/>
      <c r="D49" s="15"/>
      <c r="E49" s="15"/>
      <c r="F49" s="15"/>
      <c r="G49" s="16">
        <v>0</v>
      </c>
      <c r="H49" s="15">
        <v>40</v>
      </c>
      <c r="I49" s="15" t="s">
        <v>38</v>
      </c>
      <c r="J49" s="15"/>
      <c r="K49" s="15"/>
      <c r="L49" s="15">
        <f t="shared" si="18"/>
        <v>0</v>
      </c>
      <c r="M49" s="15">
        <f t="shared" si="5"/>
        <v>0</v>
      </c>
      <c r="N49" s="15"/>
      <c r="O49" s="15"/>
      <c r="P49" s="15">
        <v>0</v>
      </c>
      <c r="Q49" s="15"/>
      <c r="R49" s="15">
        <f t="shared" si="6"/>
        <v>0</v>
      </c>
      <c r="S49" s="17"/>
      <c r="T49" s="17"/>
      <c r="U49" s="5">
        <f t="shared" si="8"/>
        <v>0</v>
      </c>
      <c r="V49" s="5"/>
      <c r="W49" s="17"/>
      <c r="X49" s="15"/>
      <c r="Y49" s="15"/>
      <c r="Z49" s="1" t="e">
        <f t="shared" si="9"/>
        <v>#DIV/0!</v>
      </c>
      <c r="AA49" s="15" t="e">
        <f t="shared" si="10"/>
        <v>#DIV/0!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 t="s">
        <v>71</v>
      </c>
      <c r="AK49" s="1">
        <f t="shared" si="11"/>
        <v>0</v>
      </c>
      <c r="AL49" s="1">
        <f t="shared" si="12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93</v>
      </c>
      <c r="B50" s="1" t="s">
        <v>42</v>
      </c>
      <c r="C50" s="1">
        <v>399</v>
      </c>
      <c r="D50" s="1">
        <v>1660</v>
      </c>
      <c r="E50" s="1">
        <v>498</v>
      </c>
      <c r="F50" s="1">
        <v>1555</v>
      </c>
      <c r="G50" s="8">
        <v>0.45</v>
      </c>
      <c r="H50" s="1">
        <v>50</v>
      </c>
      <c r="I50" s="1" t="s">
        <v>38</v>
      </c>
      <c r="J50" s="1"/>
      <c r="K50" s="1">
        <v>498</v>
      </c>
      <c r="L50" s="1">
        <f t="shared" si="18"/>
        <v>0</v>
      </c>
      <c r="M50" s="1">
        <f t="shared" si="5"/>
        <v>498</v>
      </c>
      <c r="N50" s="1"/>
      <c r="O50" s="1">
        <v>254.1</v>
      </c>
      <c r="P50" s="1">
        <v>0</v>
      </c>
      <c r="Q50" s="1"/>
      <c r="R50" s="1">
        <f t="shared" si="6"/>
        <v>99.6</v>
      </c>
      <c r="S50" s="5"/>
      <c r="T50" s="5"/>
      <c r="U50" s="5">
        <f t="shared" si="8"/>
        <v>0</v>
      </c>
      <c r="V50" s="5"/>
      <c r="W50" s="5"/>
      <c r="X50" s="1"/>
      <c r="Y50" s="1"/>
      <c r="Z50" s="1">
        <f t="shared" si="9"/>
        <v>18.163654618473895</v>
      </c>
      <c r="AA50" s="1">
        <f t="shared" si="10"/>
        <v>18.163654618473895</v>
      </c>
      <c r="AB50" s="1">
        <v>138</v>
      </c>
      <c r="AC50" s="1">
        <v>139.4</v>
      </c>
      <c r="AD50" s="1">
        <v>154</v>
      </c>
      <c r="AE50" s="1">
        <v>153.80000000000001</v>
      </c>
      <c r="AF50" s="1">
        <v>103.4</v>
      </c>
      <c r="AG50" s="1">
        <v>115.2</v>
      </c>
      <c r="AH50" s="1">
        <v>139.4</v>
      </c>
      <c r="AI50" s="1">
        <v>107.2</v>
      </c>
      <c r="AJ50" s="1" t="s">
        <v>94</v>
      </c>
      <c r="AK50" s="1">
        <f t="shared" si="11"/>
        <v>0</v>
      </c>
      <c r="AL50" s="1">
        <f t="shared" si="12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95</v>
      </c>
      <c r="B51" s="1" t="s">
        <v>42</v>
      </c>
      <c r="C51" s="1">
        <v>155</v>
      </c>
      <c r="D51" s="1">
        <v>120</v>
      </c>
      <c r="E51" s="1">
        <v>133</v>
      </c>
      <c r="F51" s="1">
        <v>132</v>
      </c>
      <c r="G51" s="8">
        <v>0.4</v>
      </c>
      <c r="H51" s="1">
        <v>40</v>
      </c>
      <c r="I51" s="1" t="s">
        <v>38</v>
      </c>
      <c r="J51" s="1"/>
      <c r="K51" s="1">
        <v>137</v>
      </c>
      <c r="L51" s="1">
        <f t="shared" si="18"/>
        <v>-4</v>
      </c>
      <c r="M51" s="1">
        <f t="shared" si="5"/>
        <v>133</v>
      </c>
      <c r="N51" s="1"/>
      <c r="O51" s="1"/>
      <c r="P51" s="1">
        <v>137.19999999999999</v>
      </c>
      <c r="Q51" s="1"/>
      <c r="R51" s="1">
        <f t="shared" si="6"/>
        <v>26.6</v>
      </c>
      <c r="S51" s="5"/>
      <c r="T51" s="5"/>
      <c r="U51" s="5">
        <f t="shared" si="8"/>
        <v>0</v>
      </c>
      <c r="V51" s="5"/>
      <c r="W51" s="5"/>
      <c r="X51" s="1"/>
      <c r="Y51" s="1"/>
      <c r="Z51" s="1">
        <f t="shared" si="9"/>
        <v>10.120300751879698</v>
      </c>
      <c r="AA51" s="1">
        <f t="shared" si="10"/>
        <v>10.120300751879698</v>
      </c>
      <c r="AB51" s="1">
        <v>26.6</v>
      </c>
      <c r="AC51" s="1">
        <v>18.600000000000001</v>
      </c>
      <c r="AD51" s="1">
        <v>23</v>
      </c>
      <c r="AE51" s="1">
        <v>18.2</v>
      </c>
      <c r="AF51" s="1">
        <v>16.8</v>
      </c>
      <c r="AG51" s="1">
        <v>21.4</v>
      </c>
      <c r="AH51" s="1">
        <v>21</v>
      </c>
      <c r="AI51" s="1">
        <v>19.399999999999999</v>
      </c>
      <c r="AJ51" s="1"/>
      <c r="AK51" s="1">
        <f t="shared" si="11"/>
        <v>0</v>
      </c>
      <c r="AL51" s="1">
        <f t="shared" si="12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96</v>
      </c>
      <c r="B52" s="1" t="s">
        <v>42</v>
      </c>
      <c r="C52" s="1">
        <v>451</v>
      </c>
      <c r="D52" s="1"/>
      <c r="E52" s="1">
        <v>186</v>
      </c>
      <c r="F52" s="1">
        <v>259</v>
      </c>
      <c r="G52" s="8">
        <v>0.4</v>
      </c>
      <c r="H52" s="1">
        <v>40</v>
      </c>
      <c r="I52" s="1" t="s">
        <v>38</v>
      </c>
      <c r="J52" s="1"/>
      <c r="K52" s="1">
        <v>189</v>
      </c>
      <c r="L52" s="1">
        <f t="shared" si="18"/>
        <v>-3</v>
      </c>
      <c r="M52" s="1">
        <f t="shared" si="5"/>
        <v>186</v>
      </c>
      <c r="N52" s="1"/>
      <c r="O52" s="1"/>
      <c r="P52" s="1">
        <v>122</v>
      </c>
      <c r="Q52" s="1"/>
      <c r="R52" s="1">
        <f t="shared" si="6"/>
        <v>37.200000000000003</v>
      </c>
      <c r="S52" s="5"/>
      <c r="T52" s="5"/>
      <c r="U52" s="5">
        <f t="shared" si="8"/>
        <v>0</v>
      </c>
      <c r="V52" s="5"/>
      <c r="W52" s="5"/>
      <c r="X52" s="1"/>
      <c r="Y52" s="1"/>
      <c r="Z52" s="1">
        <f t="shared" si="9"/>
        <v>10.241935483870966</v>
      </c>
      <c r="AA52" s="1">
        <f t="shared" si="10"/>
        <v>10.241935483870966</v>
      </c>
      <c r="AB52" s="1">
        <v>40</v>
      </c>
      <c r="AC52" s="1">
        <v>40</v>
      </c>
      <c r="AD52" s="1">
        <v>35.4</v>
      </c>
      <c r="AE52" s="1">
        <v>36.799999999999997</v>
      </c>
      <c r="AF52" s="1">
        <v>61</v>
      </c>
      <c r="AG52" s="1">
        <v>45.6</v>
      </c>
      <c r="AH52" s="1">
        <v>12.2</v>
      </c>
      <c r="AI52" s="1">
        <v>33.799999999999997</v>
      </c>
      <c r="AJ52" s="1" t="s">
        <v>48</v>
      </c>
      <c r="AK52" s="1">
        <f t="shared" si="11"/>
        <v>0</v>
      </c>
      <c r="AL52" s="1">
        <f t="shared" si="12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97</v>
      </c>
      <c r="B53" s="1" t="s">
        <v>37</v>
      </c>
      <c r="C53" s="1">
        <v>227.268</v>
      </c>
      <c r="D53" s="1">
        <v>786.64</v>
      </c>
      <c r="E53" s="1">
        <v>374.04899999999998</v>
      </c>
      <c r="F53" s="1">
        <v>588.26099999999997</v>
      </c>
      <c r="G53" s="8">
        <v>1</v>
      </c>
      <c r="H53" s="1">
        <v>50</v>
      </c>
      <c r="I53" s="1" t="s">
        <v>38</v>
      </c>
      <c r="J53" s="1"/>
      <c r="K53" s="1">
        <v>387.101</v>
      </c>
      <c r="L53" s="1">
        <f t="shared" si="18"/>
        <v>-13.052000000000021</v>
      </c>
      <c r="M53" s="1">
        <f t="shared" si="5"/>
        <v>352.59799999999996</v>
      </c>
      <c r="N53" s="1">
        <v>21.451000000000001</v>
      </c>
      <c r="O53" s="1">
        <v>130.09458000000001</v>
      </c>
      <c r="P53" s="1">
        <v>0</v>
      </c>
      <c r="Q53" s="1"/>
      <c r="R53" s="1">
        <f t="shared" si="6"/>
        <v>70.519599999999997</v>
      </c>
      <c r="S53" s="5">
        <f>11*R53-Q53-P53-O53-F53</f>
        <v>57.360020000000077</v>
      </c>
      <c r="T53" s="5">
        <f>$T$1*R53</f>
        <v>141.03919999999999</v>
      </c>
      <c r="U53" s="5">
        <f t="shared" si="8"/>
        <v>198.39922000000007</v>
      </c>
      <c r="V53" s="5">
        <f>$V$1*R53</f>
        <v>109.30538</v>
      </c>
      <c r="W53" s="5"/>
      <c r="X53" s="1"/>
      <c r="Y53" s="1"/>
      <c r="Z53" s="1">
        <f t="shared" si="9"/>
        <v>13</v>
      </c>
      <c r="AA53" s="1">
        <f t="shared" si="10"/>
        <v>10.186608829318374</v>
      </c>
      <c r="AB53" s="1">
        <v>65.875399999999999</v>
      </c>
      <c r="AC53" s="1">
        <v>75.746800000000007</v>
      </c>
      <c r="AD53" s="1">
        <v>78.845200000000006</v>
      </c>
      <c r="AE53" s="1">
        <v>84.103800000000007</v>
      </c>
      <c r="AF53" s="1">
        <v>70.336199999999991</v>
      </c>
      <c r="AG53" s="1">
        <v>70.740399999999994</v>
      </c>
      <c r="AH53" s="1">
        <v>68.4084</v>
      </c>
      <c r="AI53" s="1">
        <v>65.150400000000005</v>
      </c>
      <c r="AJ53" s="1"/>
      <c r="AK53" s="1">
        <f t="shared" si="11"/>
        <v>198</v>
      </c>
      <c r="AL53" s="1">
        <f t="shared" si="12"/>
        <v>109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98</v>
      </c>
      <c r="B54" s="1" t="s">
        <v>42</v>
      </c>
      <c r="C54" s="1">
        <v>150</v>
      </c>
      <c r="D54" s="1">
        <v>260</v>
      </c>
      <c r="E54" s="1">
        <v>144</v>
      </c>
      <c r="F54" s="1">
        <v>264</v>
      </c>
      <c r="G54" s="8">
        <v>0.1</v>
      </c>
      <c r="H54" s="1">
        <v>730</v>
      </c>
      <c r="I54" s="1" t="s">
        <v>38</v>
      </c>
      <c r="J54" s="1"/>
      <c r="K54" s="1">
        <v>144</v>
      </c>
      <c r="L54" s="1">
        <f t="shared" si="18"/>
        <v>0</v>
      </c>
      <c r="M54" s="1">
        <f t="shared" si="5"/>
        <v>144</v>
      </c>
      <c r="N54" s="1"/>
      <c r="O54" s="1"/>
      <c r="P54" s="1">
        <v>0</v>
      </c>
      <c r="Q54" s="1"/>
      <c r="R54" s="1">
        <f t="shared" si="6"/>
        <v>28.8</v>
      </c>
      <c r="S54" s="5">
        <f t="shared" ref="S54:S66" si="20">10*R54-Q54-P54-O54-F54</f>
        <v>24</v>
      </c>
      <c r="T54" s="5"/>
      <c r="U54" s="5">
        <f t="shared" si="8"/>
        <v>24</v>
      </c>
      <c r="V54" s="5"/>
      <c r="W54" s="5"/>
      <c r="X54" s="1"/>
      <c r="Y54" s="1"/>
      <c r="Z54" s="1">
        <f t="shared" si="9"/>
        <v>10</v>
      </c>
      <c r="AA54" s="1">
        <f t="shared" si="10"/>
        <v>9.1666666666666661</v>
      </c>
      <c r="AB54" s="1">
        <v>24.8</v>
      </c>
      <c r="AC54" s="1">
        <v>29.4</v>
      </c>
      <c r="AD54" s="1">
        <v>37.4</v>
      </c>
      <c r="AE54" s="1">
        <v>31.6</v>
      </c>
      <c r="AF54" s="1">
        <v>32</v>
      </c>
      <c r="AG54" s="1">
        <v>32.4</v>
      </c>
      <c r="AH54" s="1">
        <v>32.4</v>
      </c>
      <c r="AI54" s="1">
        <v>33.4</v>
      </c>
      <c r="AJ54" s="1"/>
      <c r="AK54" s="1">
        <f t="shared" si="11"/>
        <v>2</v>
      </c>
      <c r="AL54" s="1">
        <f t="shared" si="12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99</v>
      </c>
      <c r="B55" s="1" t="s">
        <v>37</v>
      </c>
      <c r="C55" s="1">
        <v>929.66300000000001</v>
      </c>
      <c r="D55" s="1">
        <v>1058.6500000000001</v>
      </c>
      <c r="E55" s="1">
        <v>788.43299999999999</v>
      </c>
      <c r="F55" s="1">
        <v>1059.0170000000001</v>
      </c>
      <c r="G55" s="8">
        <v>1</v>
      </c>
      <c r="H55" s="1">
        <v>50</v>
      </c>
      <c r="I55" s="1" t="s">
        <v>38</v>
      </c>
      <c r="J55" s="1"/>
      <c r="K55" s="1">
        <v>851.24300000000005</v>
      </c>
      <c r="L55" s="1">
        <f t="shared" si="18"/>
        <v>-62.810000000000059</v>
      </c>
      <c r="M55" s="1">
        <f t="shared" si="5"/>
        <v>788.43299999999999</v>
      </c>
      <c r="N55" s="1"/>
      <c r="O55" s="1">
        <v>242.69619</v>
      </c>
      <c r="P55" s="1">
        <v>364.47585399999991</v>
      </c>
      <c r="Q55" s="1"/>
      <c r="R55" s="1">
        <f t="shared" si="6"/>
        <v>157.6866</v>
      </c>
      <c r="S55" s="5">
        <f>11*R55-Q55-P55-O55-F55</f>
        <v>68.363556000000017</v>
      </c>
      <c r="T55" s="5">
        <f>$T$1*R55</f>
        <v>315.3732</v>
      </c>
      <c r="U55" s="5">
        <f t="shared" si="8"/>
        <v>383.73675600000001</v>
      </c>
      <c r="V55" s="5">
        <f>$V$1*R55</f>
        <v>244.41423</v>
      </c>
      <c r="W55" s="5"/>
      <c r="X55" s="1"/>
      <c r="Y55" s="1"/>
      <c r="Z55" s="1">
        <f t="shared" si="9"/>
        <v>13</v>
      </c>
      <c r="AA55" s="1">
        <f t="shared" si="10"/>
        <v>10.566459318673875</v>
      </c>
      <c r="AB55" s="1">
        <v>150.42599999999999</v>
      </c>
      <c r="AC55" s="1">
        <v>152.63679999999999</v>
      </c>
      <c r="AD55" s="1">
        <v>147.08860000000001</v>
      </c>
      <c r="AE55" s="1">
        <v>152.1294</v>
      </c>
      <c r="AF55" s="1">
        <v>161.83519999999999</v>
      </c>
      <c r="AG55" s="1">
        <v>165.90880000000001</v>
      </c>
      <c r="AH55" s="1">
        <v>140.1174</v>
      </c>
      <c r="AI55" s="1">
        <v>141.84540000000001</v>
      </c>
      <c r="AJ55" s="1"/>
      <c r="AK55" s="1">
        <f t="shared" si="11"/>
        <v>384</v>
      </c>
      <c r="AL55" s="1">
        <f t="shared" si="12"/>
        <v>244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100</v>
      </c>
      <c r="B56" s="1" t="s">
        <v>37</v>
      </c>
      <c r="C56" s="1">
        <v>4.4619999999999997</v>
      </c>
      <c r="D56" s="1">
        <v>217.58099999999999</v>
      </c>
      <c r="E56" s="1">
        <v>96.031000000000006</v>
      </c>
      <c r="F56" s="1">
        <v>89.771000000000001</v>
      </c>
      <c r="G56" s="8">
        <v>1</v>
      </c>
      <c r="H56" s="1">
        <v>50</v>
      </c>
      <c r="I56" s="1" t="s">
        <v>38</v>
      </c>
      <c r="J56" s="1"/>
      <c r="K56" s="1">
        <v>128.68100000000001</v>
      </c>
      <c r="L56" s="1">
        <f t="shared" si="18"/>
        <v>-32.650000000000006</v>
      </c>
      <c r="M56" s="1">
        <f t="shared" si="5"/>
        <v>63.250000000000007</v>
      </c>
      <c r="N56" s="1">
        <v>32.780999999999999</v>
      </c>
      <c r="O56" s="1"/>
      <c r="P56" s="1">
        <v>92.261799999999965</v>
      </c>
      <c r="Q56" s="1"/>
      <c r="R56" s="1">
        <f t="shared" si="6"/>
        <v>12.650000000000002</v>
      </c>
      <c r="S56" s="5"/>
      <c r="T56" s="5"/>
      <c r="U56" s="5">
        <f t="shared" si="8"/>
        <v>0</v>
      </c>
      <c r="V56" s="5"/>
      <c r="W56" s="5"/>
      <c r="X56" s="1"/>
      <c r="Y56" s="1"/>
      <c r="Z56" s="1">
        <f t="shared" si="9"/>
        <v>14.389944664031614</v>
      </c>
      <c r="AA56" s="1">
        <f t="shared" si="10"/>
        <v>14.389944664031614</v>
      </c>
      <c r="AB56" s="1">
        <v>19.626799999999999</v>
      </c>
      <c r="AC56" s="1">
        <v>16.927199999999999</v>
      </c>
      <c r="AD56" s="1">
        <v>14.8002</v>
      </c>
      <c r="AE56" s="1">
        <v>16.416399999999999</v>
      </c>
      <c r="AF56" s="1">
        <v>14.265599999999999</v>
      </c>
      <c r="AG56" s="1">
        <v>19.2056</v>
      </c>
      <c r="AH56" s="1">
        <v>17.2776</v>
      </c>
      <c r="AI56" s="1">
        <v>15.5822</v>
      </c>
      <c r="AJ56" s="1"/>
      <c r="AK56" s="1">
        <f t="shared" si="11"/>
        <v>0</v>
      </c>
      <c r="AL56" s="1">
        <f t="shared" si="12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102</v>
      </c>
      <c r="B57" s="1" t="s">
        <v>42</v>
      </c>
      <c r="C57" s="1">
        <v>91</v>
      </c>
      <c r="D57" s="1">
        <v>261</v>
      </c>
      <c r="E57" s="1">
        <v>117</v>
      </c>
      <c r="F57" s="1">
        <v>227</v>
      </c>
      <c r="G57" s="8">
        <v>0.1</v>
      </c>
      <c r="H57" s="1">
        <v>730</v>
      </c>
      <c r="I57" s="1" t="s">
        <v>38</v>
      </c>
      <c r="J57" s="1"/>
      <c r="K57" s="1">
        <v>118</v>
      </c>
      <c r="L57" s="1">
        <f t="shared" si="18"/>
        <v>-1</v>
      </c>
      <c r="M57" s="1">
        <f t="shared" si="5"/>
        <v>117</v>
      </c>
      <c r="N57" s="1"/>
      <c r="O57" s="1"/>
      <c r="P57" s="1">
        <v>32.400000000000091</v>
      </c>
      <c r="Q57" s="1"/>
      <c r="R57" s="1">
        <f t="shared" si="6"/>
        <v>23.4</v>
      </c>
      <c r="S57" s="5"/>
      <c r="T57" s="5"/>
      <c r="U57" s="5">
        <f t="shared" si="8"/>
        <v>0</v>
      </c>
      <c r="V57" s="5"/>
      <c r="W57" s="5"/>
      <c r="X57" s="1"/>
      <c r="Y57" s="1"/>
      <c r="Z57" s="1">
        <f t="shared" si="9"/>
        <v>11.08547008547009</v>
      </c>
      <c r="AA57" s="1">
        <f t="shared" si="10"/>
        <v>11.08547008547009</v>
      </c>
      <c r="AB57" s="1">
        <v>24.6</v>
      </c>
      <c r="AC57" s="1">
        <v>31</v>
      </c>
      <c r="AD57" s="1">
        <v>32.200000000000003</v>
      </c>
      <c r="AE57" s="1">
        <v>22.2</v>
      </c>
      <c r="AF57" s="1">
        <v>26.4</v>
      </c>
      <c r="AG57" s="1">
        <v>29.8</v>
      </c>
      <c r="AH57" s="1">
        <v>28.4</v>
      </c>
      <c r="AI57" s="1">
        <v>28.2</v>
      </c>
      <c r="AJ57" s="1"/>
      <c r="AK57" s="1">
        <f t="shared" si="11"/>
        <v>0</v>
      </c>
      <c r="AL57" s="1">
        <f t="shared" si="12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103</v>
      </c>
      <c r="B58" s="1" t="s">
        <v>42</v>
      </c>
      <c r="C58" s="1">
        <v>133</v>
      </c>
      <c r="D58" s="1">
        <v>590</v>
      </c>
      <c r="E58" s="1">
        <v>443</v>
      </c>
      <c r="F58" s="1">
        <v>276</v>
      </c>
      <c r="G58" s="8">
        <v>0.4</v>
      </c>
      <c r="H58" s="1">
        <v>50</v>
      </c>
      <c r="I58" s="1" t="s">
        <v>38</v>
      </c>
      <c r="J58" s="1"/>
      <c r="K58" s="1">
        <v>575</v>
      </c>
      <c r="L58" s="1">
        <f t="shared" si="18"/>
        <v>-132</v>
      </c>
      <c r="M58" s="1">
        <f t="shared" si="5"/>
        <v>443</v>
      </c>
      <c r="N58" s="1"/>
      <c r="O58" s="1"/>
      <c r="P58" s="1">
        <v>586.23800000000006</v>
      </c>
      <c r="Q58" s="1"/>
      <c r="R58" s="1">
        <f t="shared" si="6"/>
        <v>88.6</v>
      </c>
      <c r="S58" s="5">
        <f>11*R58-Q58-P58-O58-F58</f>
        <v>112.36199999999985</v>
      </c>
      <c r="T58" s="5">
        <f>$T$1*R58</f>
        <v>177.2</v>
      </c>
      <c r="U58" s="5">
        <f t="shared" si="8"/>
        <v>289.56199999999984</v>
      </c>
      <c r="V58" s="5">
        <f>$V$1*R58</f>
        <v>137.32999999999998</v>
      </c>
      <c r="W58" s="5"/>
      <c r="X58" s="1"/>
      <c r="Y58" s="1"/>
      <c r="Z58" s="1">
        <f t="shared" si="9"/>
        <v>13</v>
      </c>
      <c r="AA58" s="1">
        <f t="shared" si="10"/>
        <v>9.7318058690744937</v>
      </c>
      <c r="AB58" s="1">
        <v>76.2</v>
      </c>
      <c r="AC58" s="1">
        <v>53.4</v>
      </c>
      <c r="AD58" s="1">
        <v>47.4</v>
      </c>
      <c r="AE58" s="1">
        <v>53.6</v>
      </c>
      <c r="AF58" s="1">
        <v>43.2</v>
      </c>
      <c r="AG58" s="1">
        <v>47.6</v>
      </c>
      <c r="AH58" s="1">
        <v>49.8</v>
      </c>
      <c r="AI58" s="1">
        <v>43.6</v>
      </c>
      <c r="AJ58" s="1" t="s">
        <v>104</v>
      </c>
      <c r="AK58" s="1">
        <f t="shared" si="11"/>
        <v>116</v>
      </c>
      <c r="AL58" s="1">
        <f t="shared" si="12"/>
        <v>55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105</v>
      </c>
      <c r="B59" s="1" t="s">
        <v>37</v>
      </c>
      <c r="C59" s="1">
        <v>1.401</v>
      </c>
      <c r="D59" s="1">
        <v>89.811999999999998</v>
      </c>
      <c r="E59" s="1">
        <v>39.232999999999997</v>
      </c>
      <c r="F59" s="1">
        <v>51.98</v>
      </c>
      <c r="G59" s="8">
        <v>1</v>
      </c>
      <c r="H59" s="1">
        <v>40</v>
      </c>
      <c r="I59" s="1" t="s">
        <v>38</v>
      </c>
      <c r="J59" s="1"/>
      <c r="K59" s="1">
        <v>38.200000000000003</v>
      </c>
      <c r="L59" s="1">
        <f t="shared" si="18"/>
        <v>1.0329999999999941</v>
      </c>
      <c r="M59" s="1">
        <f t="shared" si="5"/>
        <v>39.232999999999997</v>
      </c>
      <c r="N59" s="1"/>
      <c r="O59" s="1"/>
      <c r="P59" s="1">
        <v>0</v>
      </c>
      <c r="Q59" s="1"/>
      <c r="R59" s="1">
        <f t="shared" si="6"/>
        <v>7.8465999999999996</v>
      </c>
      <c r="S59" s="5">
        <f t="shared" si="20"/>
        <v>26.485999999999997</v>
      </c>
      <c r="T59" s="5"/>
      <c r="U59" s="5">
        <f t="shared" si="8"/>
        <v>26.485999999999997</v>
      </c>
      <c r="V59" s="5"/>
      <c r="W59" s="5"/>
      <c r="X59" s="1"/>
      <c r="Y59" s="1"/>
      <c r="Z59" s="1">
        <f t="shared" si="9"/>
        <v>10</v>
      </c>
      <c r="AA59" s="1">
        <f t="shared" si="10"/>
        <v>6.6245252720923711</v>
      </c>
      <c r="AB59" s="1">
        <v>5.8376000000000001</v>
      </c>
      <c r="AC59" s="1">
        <v>7.4585999999999997</v>
      </c>
      <c r="AD59" s="1">
        <v>5.7283999999999997</v>
      </c>
      <c r="AE59" s="1">
        <v>4.1044</v>
      </c>
      <c r="AF59" s="1">
        <v>0.55599999999999994</v>
      </c>
      <c r="AG59" s="1">
        <v>4.5941999999999998</v>
      </c>
      <c r="AH59" s="1">
        <v>4.5941999999999998</v>
      </c>
      <c r="AI59" s="1">
        <v>0</v>
      </c>
      <c r="AJ59" s="1"/>
      <c r="AK59" s="1">
        <f t="shared" si="11"/>
        <v>26</v>
      </c>
      <c r="AL59" s="1">
        <f t="shared" si="12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106</v>
      </c>
      <c r="B60" s="1" t="s">
        <v>37</v>
      </c>
      <c r="C60" s="1">
        <v>7.976</v>
      </c>
      <c r="D60" s="1">
        <v>72.078999999999994</v>
      </c>
      <c r="E60" s="1">
        <v>21.393000000000001</v>
      </c>
      <c r="F60" s="1">
        <v>58.661999999999999</v>
      </c>
      <c r="G60" s="8">
        <v>1</v>
      </c>
      <c r="H60" s="1">
        <v>40</v>
      </c>
      <c r="I60" s="1" t="s">
        <v>38</v>
      </c>
      <c r="J60" s="1"/>
      <c r="K60" s="1">
        <v>31.4</v>
      </c>
      <c r="L60" s="1">
        <f t="shared" si="18"/>
        <v>-10.006999999999998</v>
      </c>
      <c r="M60" s="1">
        <f t="shared" si="5"/>
        <v>21.393000000000001</v>
      </c>
      <c r="N60" s="1"/>
      <c r="O60" s="1"/>
      <c r="P60" s="1">
        <v>0</v>
      </c>
      <c r="Q60" s="1"/>
      <c r="R60" s="1">
        <f t="shared" si="6"/>
        <v>4.2786</v>
      </c>
      <c r="S60" s="5"/>
      <c r="T60" s="5"/>
      <c r="U60" s="5">
        <f t="shared" si="8"/>
        <v>0</v>
      </c>
      <c r="V60" s="5"/>
      <c r="W60" s="5"/>
      <c r="X60" s="1"/>
      <c r="Y60" s="1"/>
      <c r="Z60" s="1">
        <f t="shared" si="9"/>
        <v>13.710559528817837</v>
      </c>
      <c r="AA60" s="1">
        <f t="shared" si="10"/>
        <v>13.710559528817837</v>
      </c>
      <c r="AB60" s="1">
        <v>5.6212</v>
      </c>
      <c r="AC60" s="1">
        <v>7.9974000000000007</v>
      </c>
      <c r="AD60" s="1">
        <v>4.0177999999999994</v>
      </c>
      <c r="AE60" s="1">
        <v>3.0268000000000002</v>
      </c>
      <c r="AF60" s="1">
        <v>3.5714000000000001</v>
      </c>
      <c r="AG60" s="1">
        <v>3.5577999999999999</v>
      </c>
      <c r="AH60" s="1">
        <v>1.915</v>
      </c>
      <c r="AI60" s="1">
        <v>0</v>
      </c>
      <c r="AJ60" s="1"/>
      <c r="AK60" s="1">
        <f t="shared" si="11"/>
        <v>0</v>
      </c>
      <c r="AL60" s="1">
        <f t="shared" si="12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107</v>
      </c>
      <c r="B61" s="1" t="s">
        <v>42</v>
      </c>
      <c r="C61" s="1">
        <v>563</v>
      </c>
      <c r="D61" s="1">
        <v>1428</v>
      </c>
      <c r="E61" s="1">
        <v>1142</v>
      </c>
      <c r="F61" s="1">
        <v>801</v>
      </c>
      <c r="G61" s="8">
        <v>0.4</v>
      </c>
      <c r="H61" s="1">
        <v>40</v>
      </c>
      <c r="I61" s="1" t="s">
        <v>38</v>
      </c>
      <c r="J61" s="1"/>
      <c r="K61" s="1">
        <v>1152</v>
      </c>
      <c r="L61" s="1">
        <f t="shared" si="18"/>
        <v>-10</v>
      </c>
      <c r="M61" s="1">
        <f t="shared" si="5"/>
        <v>1142</v>
      </c>
      <c r="N61" s="1"/>
      <c r="O61" s="1"/>
      <c r="P61" s="1">
        <v>376.19999999999982</v>
      </c>
      <c r="Q61" s="1">
        <v>500</v>
      </c>
      <c r="R61" s="1">
        <f t="shared" si="6"/>
        <v>228.4</v>
      </c>
      <c r="S61" s="5">
        <f t="shared" si="20"/>
        <v>606.80000000000018</v>
      </c>
      <c r="T61" s="5"/>
      <c r="U61" s="5">
        <f t="shared" si="8"/>
        <v>606.80000000000018</v>
      </c>
      <c r="V61" s="5"/>
      <c r="W61" s="5"/>
      <c r="X61" s="1"/>
      <c r="Y61" s="1"/>
      <c r="Z61" s="1">
        <f t="shared" si="9"/>
        <v>10</v>
      </c>
      <c r="AA61" s="1">
        <f t="shared" si="10"/>
        <v>7.3432574430823108</v>
      </c>
      <c r="AB61" s="1">
        <v>196.6</v>
      </c>
      <c r="AC61" s="1">
        <v>176.2</v>
      </c>
      <c r="AD61" s="1">
        <v>180.6</v>
      </c>
      <c r="AE61" s="1">
        <v>184.4</v>
      </c>
      <c r="AF61" s="1">
        <v>170.4</v>
      </c>
      <c r="AG61" s="1">
        <v>166.4</v>
      </c>
      <c r="AH61" s="1">
        <v>152.19999999999999</v>
      </c>
      <c r="AI61" s="1">
        <v>171.6</v>
      </c>
      <c r="AJ61" s="1"/>
      <c r="AK61" s="1">
        <f t="shared" si="11"/>
        <v>243</v>
      </c>
      <c r="AL61" s="1">
        <f t="shared" si="12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108</v>
      </c>
      <c r="B62" s="1" t="s">
        <v>42</v>
      </c>
      <c r="C62" s="1">
        <v>299</v>
      </c>
      <c r="D62" s="1">
        <v>1080</v>
      </c>
      <c r="E62" s="1">
        <v>792</v>
      </c>
      <c r="F62" s="1">
        <v>548</v>
      </c>
      <c r="G62" s="8">
        <v>0.4</v>
      </c>
      <c r="H62" s="1">
        <v>40</v>
      </c>
      <c r="I62" s="1" t="s">
        <v>38</v>
      </c>
      <c r="J62" s="1"/>
      <c r="K62" s="1">
        <v>809</v>
      </c>
      <c r="L62" s="1">
        <f t="shared" si="18"/>
        <v>-17</v>
      </c>
      <c r="M62" s="1">
        <f t="shared" si="5"/>
        <v>792</v>
      </c>
      <c r="N62" s="1"/>
      <c r="O62" s="1"/>
      <c r="P62" s="1">
        <v>304.59999999999968</v>
      </c>
      <c r="Q62" s="1">
        <v>500</v>
      </c>
      <c r="R62" s="1">
        <f t="shared" si="6"/>
        <v>158.4</v>
      </c>
      <c r="S62" s="5">
        <f t="shared" si="20"/>
        <v>231.40000000000032</v>
      </c>
      <c r="T62" s="5"/>
      <c r="U62" s="5">
        <f t="shared" si="8"/>
        <v>231.40000000000032</v>
      </c>
      <c r="V62" s="5"/>
      <c r="W62" s="5"/>
      <c r="X62" s="1"/>
      <c r="Y62" s="1"/>
      <c r="Z62" s="1">
        <f t="shared" si="9"/>
        <v>10</v>
      </c>
      <c r="AA62" s="1">
        <f t="shared" si="10"/>
        <v>8.5391414141414117</v>
      </c>
      <c r="AB62" s="1">
        <v>148.19999999999999</v>
      </c>
      <c r="AC62" s="1">
        <v>122</v>
      </c>
      <c r="AD62" s="1">
        <v>126.6</v>
      </c>
      <c r="AE62" s="1">
        <v>132</v>
      </c>
      <c r="AF62" s="1">
        <v>119</v>
      </c>
      <c r="AG62" s="1">
        <v>128</v>
      </c>
      <c r="AH62" s="1">
        <v>123.4</v>
      </c>
      <c r="AI62" s="1">
        <v>131</v>
      </c>
      <c r="AJ62" s="1"/>
      <c r="AK62" s="1">
        <f t="shared" si="11"/>
        <v>93</v>
      </c>
      <c r="AL62" s="1">
        <f t="shared" si="12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109</v>
      </c>
      <c r="B63" s="1" t="s">
        <v>37</v>
      </c>
      <c r="C63" s="1">
        <v>258.30900000000003</v>
      </c>
      <c r="D63" s="1">
        <v>1175.029</v>
      </c>
      <c r="E63" s="1">
        <v>541.34199999999998</v>
      </c>
      <c r="F63" s="1">
        <v>833.46799999999996</v>
      </c>
      <c r="G63" s="8">
        <v>1</v>
      </c>
      <c r="H63" s="1">
        <v>40</v>
      </c>
      <c r="I63" s="1" t="s">
        <v>38</v>
      </c>
      <c r="J63" s="1"/>
      <c r="K63" s="1">
        <v>529.16999999999996</v>
      </c>
      <c r="L63" s="1">
        <f t="shared" si="18"/>
        <v>12.172000000000025</v>
      </c>
      <c r="M63" s="1">
        <f t="shared" si="5"/>
        <v>541.34199999999998</v>
      </c>
      <c r="N63" s="1"/>
      <c r="O63" s="1"/>
      <c r="P63" s="1">
        <v>96.637599999999566</v>
      </c>
      <c r="Q63" s="1"/>
      <c r="R63" s="1">
        <f t="shared" si="6"/>
        <v>108.2684</v>
      </c>
      <c r="S63" s="5">
        <f t="shared" si="20"/>
        <v>152.57840000000044</v>
      </c>
      <c r="T63" s="5"/>
      <c r="U63" s="5">
        <f t="shared" si="8"/>
        <v>152.57840000000044</v>
      </c>
      <c r="V63" s="5"/>
      <c r="W63" s="5"/>
      <c r="X63" s="1"/>
      <c r="Y63" s="1"/>
      <c r="Z63" s="1">
        <f t="shared" si="9"/>
        <v>10</v>
      </c>
      <c r="AA63" s="1">
        <f t="shared" si="10"/>
        <v>8.590739310823837</v>
      </c>
      <c r="AB63" s="1">
        <v>108.13200000000001</v>
      </c>
      <c r="AC63" s="1">
        <v>125.53660000000001</v>
      </c>
      <c r="AD63" s="1">
        <v>136.41659999999999</v>
      </c>
      <c r="AE63" s="1">
        <v>113.4212</v>
      </c>
      <c r="AF63" s="1">
        <v>109.2316</v>
      </c>
      <c r="AG63" s="1">
        <v>119.00839999999999</v>
      </c>
      <c r="AH63" s="1">
        <v>124.14919999999999</v>
      </c>
      <c r="AI63" s="1">
        <v>123.72539999999999</v>
      </c>
      <c r="AJ63" s="1"/>
      <c r="AK63" s="1">
        <f t="shared" si="11"/>
        <v>153</v>
      </c>
      <c r="AL63" s="1">
        <f t="shared" si="12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110</v>
      </c>
      <c r="B64" s="1" t="s">
        <v>37</v>
      </c>
      <c r="C64" s="1">
        <v>72.965000000000003</v>
      </c>
      <c r="D64" s="1">
        <v>585.56200000000001</v>
      </c>
      <c r="E64" s="1">
        <v>380.58499999999998</v>
      </c>
      <c r="F64" s="1">
        <v>208.905</v>
      </c>
      <c r="G64" s="8">
        <v>1</v>
      </c>
      <c r="H64" s="1">
        <v>40</v>
      </c>
      <c r="I64" s="1" t="s">
        <v>38</v>
      </c>
      <c r="J64" s="1"/>
      <c r="K64" s="1">
        <v>400.64600000000002</v>
      </c>
      <c r="L64" s="1">
        <f t="shared" si="18"/>
        <v>-20.061000000000035</v>
      </c>
      <c r="M64" s="1">
        <f t="shared" si="5"/>
        <v>337.17899999999997</v>
      </c>
      <c r="N64" s="1">
        <v>43.405999999999999</v>
      </c>
      <c r="O64" s="1"/>
      <c r="P64" s="1">
        <v>161.16019999999989</v>
      </c>
      <c r="Q64" s="1">
        <v>100</v>
      </c>
      <c r="R64" s="1">
        <f t="shared" si="6"/>
        <v>67.4358</v>
      </c>
      <c r="S64" s="5">
        <f t="shared" si="20"/>
        <v>204.29280000000003</v>
      </c>
      <c r="T64" s="5"/>
      <c r="U64" s="5">
        <f t="shared" si="8"/>
        <v>204.29280000000003</v>
      </c>
      <c r="V64" s="5"/>
      <c r="W64" s="5"/>
      <c r="X64" s="1"/>
      <c r="Y64" s="1"/>
      <c r="Z64" s="1">
        <f t="shared" si="9"/>
        <v>10</v>
      </c>
      <c r="AA64" s="1">
        <f t="shared" si="10"/>
        <v>6.9705586646855213</v>
      </c>
      <c r="AB64" s="1">
        <v>58.606599999999993</v>
      </c>
      <c r="AC64" s="1">
        <v>53.909799999999997</v>
      </c>
      <c r="AD64" s="1">
        <v>56.66340000000001</v>
      </c>
      <c r="AE64" s="1">
        <v>59.118600000000001</v>
      </c>
      <c r="AF64" s="1">
        <v>64.179199999999994</v>
      </c>
      <c r="AG64" s="1">
        <v>71.641400000000004</v>
      </c>
      <c r="AH64" s="1">
        <v>56.857999999999997</v>
      </c>
      <c r="AI64" s="1">
        <v>49.734999999999992</v>
      </c>
      <c r="AJ64" s="1"/>
      <c r="AK64" s="1">
        <f t="shared" si="11"/>
        <v>204</v>
      </c>
      <c r="AL64" s="1">
        <f t="shared" si="12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111</v>
      </c>
      <c r="B65" s="1" t="s">
        <v>37</v>
      </c>
      <c r="C65" s="1">
        <v>221.60599999999999</v>
      </c>
      <c r="D65" s="1">
        <v>675.923</v>
      </c>
      <c r="E65" s="1">
        <v>434.87200000000001</v>
      </c>
      <c r="F65" s="1">
        <v>376.28699999999998</v>
      </c>
      <c r="G65" s="8">
        <v>1</v>
      </c>
      <c r="H65" s="1">
        <v>40</v>
      </c>
      <c r="I65" s="1" t="s">
        <v>38</v>
      </c>
      <c r="J65" s="1"/>
      <c r="K65" s="1">
        <v>464.44600000000003</v>
      </c>
      <c r="L65" s="1">
        <f t="shared" si="18"/>
        <v>-29.574000000000012</v>
      </c>
      <c r="M65" s="1">
        <f t="shared" si="5"/>
        <v>381.71600000000001</v>
      </c>
      <c r="N65" s="1">
        <v>53.155999999999999</v>
      </c>
      <c r="O65" s="1"/>
      <c r="P65" s="1">
        <v>180.68360000000001</v>
      </c>
      <c r="Q65" s="1">
        <v>200</v>
      </c>
      <c r="R65" s="1">
        <f t="shared" si="6"/>
        <v>76.343199999999996</v>
      </c>
      <c r="S65" s="5">
        <f t="shared" si="20"/>
        <v>6.461400000000026</v>
      </c>
      <c r="T65" s="5"/>
      <c r="U65" s="5">
        <f t="shared" si="8"/>
        <v>6.461400000000026</v>
      </c>
      <c r="V65" s="5"/>
      <c r="W65" s="5"/>
      <c r="X65" s="1"/>
      <c r="Y65" s="1"/>
      <c r="Z65" s="1">
        <f t="shared" si="9"/>
        <v>10</v>
      </c>
      <c r="AA65" s="1">
        <f t="shared" si="10"/>
        <v>9.9153637783063857</v>
      </c>
      <c r="AB65" s="1">
        <v>82.772999999999996</v>
      </c>
      <c r="AC65" s="1">
        <v>73.986000000000004</v>
      </c>
      <c r="AD65" s="1">
        <v>64.55080000000001</v>
      </c>
      <c r="AE65" s="1">
        <v>66.826800000000006</v>
      </c>
      <c r="AF65" s="1">
        <v>82.389600000000002</v>
      </c>
      <c r="AG65" s="1">
        <v>84.775400000000005</v>
      </c>
      <c r="AH65" s="1">
        <v>64.633200000000002</v>
      </c>
      <c r="AI65" s="1">
        <v>58.523600000000009</v>
      </c>
      <c r="AJ65" s="1"/>
      <c r="AK65" s="1">
        <f t="shared" si="11"/>
        <v>6</v>
      </c>
      <c r="AL65" s="1">
        <f t="shared" si="12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 t="s">
        <v>112</v>
      </c>
      <c r="B66" s="1" t="s">
        <v>37</v>
      </c>
      <c r="C66" s="1">
        <v>102.098</v>
      </c>
      <c r="D66" s="1">
        <v>125.264</v>
      </c>
      <c r="E66" s="1">
        <v>96.01</v>
      </c>
      <c r="F66" s="1">
        <v>121.52200000000001</v>
      </c>
      <c r="G66" s="8">
        <v>1</v>
      </c>
      <c r="H66" s="1">
        <v>30</v>
      </c>
      <c r="I66" s="1" t="s">
        <v>38</v>
      </c>
      <c r="J66" s="1"/>
      <c r="K66" s="1">
        <v>104.05</v>
      </c>
      <c r="L66" s="1">
        <f t="shared" si="18"/>
        <v>-8.039999999999992</v>
      </c>
      <c r="M66" s="1">
        <f t="shared" si="5"/>
        <v>96.01</v>
      </c>
      <c r="N66" s="1"/>
      <c r="O66" s="1"/>
      <c r="P66" s="1">
        <v>50.362400000000008</v>
      </c>
      <c r="Q66" s="1"/>
      <c r="R66" s="1">
        <f t="shared" si="6"/>
        <v>19.202000000000002</v>
      </c>
      <c r="S66" s="5">
        <f t="shared" si="20"/>
        <v>20.135599999999997</v>
      </c>
      <c r="T66" s="5"/>
      <c r="U66" s="5">
        <f t="shared" si="8"/>
        <v>20.135599999999997</v>
      </c>
      <c r="V66" s="5"/>
      <c r="W66" s="5"/>
      <c r="X66" s="1"/>
      <c r="Y66" s="1"/>
      <c r="Z66" s="1">
        <f t="shared" si="9"/>
        <v>10.000000000000002</v>
      </c>
      <c r="AA66" s="1">
        <f t="shared" si="10"/>
        <v>8.9513800645766075</v>
      </c>
      <c r="AB66" s="1">
        <v>17.738800000000001</v>
      </c>
      <c r="AC66" s="1">
        <v>19.161200000000001</v>
      </c>
      <c r="AD66" s="1">
        <v>19.527999999999999</v>
      </c>
      <c r="AE66" s="1">
        <v>18.597999999999999</v>
      </c>
      <c r="AF66" s="1">
        <v>20.026199999999999</v>
      </c>
      <c r="AG66" s="1">
        <v>14.9964</v>
      </c>
      <c r="AH66" s="1">
        <v>13.8574</v>
      </c>
      <c r="AI66" s="1">
        <v>14.3558</v>
      </c>
      <c r="AJ66" s="1" t="s">
        <v>78</v>
      </c>
      <c r="AK66" s="1">
        <f t="shared" si="11"/>
        <v>20</v>
      </c>
      <c r="AL66" s="1">
        <f t="shared" si="12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 t="s">
        <v>113</v>
      </c>
      <c r="B67" s="1" t="s">
        <v>42</v>
      </c>
      <c r="C67" s="1">
        <v>111</v>
      </c>
      <c r="D67" s="1">
        <v>70</v>
      </c>
      <c r="E67" s="1">
        <v>69</v>
      </c>
      <c r="F67" s="1">
        <v>106</v>
      </c>
      <c r="G67" s="8">
        <v>0.6</v>
      </c>
      <c r="H67" s="1">
        <v>60</v>
      </c>
      <c r="I67" s="1" t="s">
        <v>38</v>
      </c>
      <c r="J67" s="1"/>
      <c r="K67" s="1">
        <v>75</v>
      </c>
      <c r="L67" s="1">
        <f t="shared" si="18"/>
        <v>-6</v>
      </c>
      <c r="M67" s="1">
        <f t="shared" si="5"/>
        <v>69</v>
      </c>
      <c r="N67" s="1"/>
      <c r="O67" s="1"/>
      <c r="P67" s="1">
        <v>38.600000000000023</v>
      </c>
      <c r="Q67" s="1"/>
      <c r="R67" s="1">
        <f t="shared" si="6"/>
        <v>13.8</v>
      </c>
      <c r="S67" s="5"/>
      <c r="T67" s="5"/>
      <c r="U67" s="5">
        <f t="shared" si="8"/>
        <v>0</v>
      </c>
      <c r="V67" s="5"/>
      <c r="W67" s="5"/>
      <c r="X67" s="1"/>
      <c r="Y67" s="1"/>
      <c r="Z67" s="1">
        <f t="shared" si="9"/>
        <v>10.478260869565219</v>
      </c>
      <c r="AA67" s="1">
        <f t="shared" si="10"/>
        <v>10.478260869565219</v>
      </c>
      <c r="AB67" s="1">
        <v>12.8</v>
      </c>
      <c r="AC67" s="1">
        <v>14.4</v>
      </c>
      <c r="AD67" s="1">
        <v>14.4</v>
      </c>
      <c r="AE67" s="1">
        <v>13.8</v>
      </c>
      <c r="AF67" s="1">
        <v>15.2</v>
      </c>
      <c r="AG67" s="1">
        <v>15</v>
      </c>
      <c r="AH67" s="1">
        <v>12.6</v>
      </c>
      <c r="AI67" s="1">
        <v>11.8</v>
      </c>
      <c r="AJ67" s="1" t="s">
        <v>104</v>
      </c>
      <c r="AK67" s="1">
        <f t="shared" si="11"/>
        <v>0</v>
      </c>
      <c r="AL67" s="1">
        <f t="shared" si="12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2" t="s">
        <v>101</v>
      </c>
      <c r="B68" s="12" t="s">
        <v>42</v>
      </c>
      <c r="C68" s="12">
        <v>-3</v>
      </c>
      <c r="D68" s="12">
        <v>6</v>
      </c>
      <c r="E68" s="12">
        <v>1</v>
      </c>
      <c r="F68" s="12"/>
      <c r="G68" s="13">
        <v>0</v>
      </c>
      <c r="H68" s="12">
        <v>50</v>
      </c>
      <c r="I68" s="12" t="s">
        <v>114</v>
      </c>
      <c r="J68" s="12"/>
      <c r="K68" s="12">
        <v>47</v>
      </c>
      <c r="L68" s="12">
        <f t="shared" si="18"/>
        <v>-46</v>
      </c>
      <c r="M68" s="12">
        <f t="shared" si="5"/>
        <v>1</v>
      </c>
      <c r="N68" s="12"/>
      <c r="O68" s="12"/>
      <c r="P68" s="12">
        <v>0</v>
      </c>
      <c r="Q68" s="12"/>
      <c r="R68" s="12">
        <f t="shared" si="6"/>
        <v>0.2</v>
      </c>
      <c r="S68" s="14"/>
      <c r="T68" s="14"/>
      <c r="U68" s="5">
        <f t="shared" si="8"/>
        <v>0</v>
      </c>
      <c r="V68" s="5"/>
      <c r="W68" s="14"/>
      <c r="X68" s="12"/>
      <c r="Y68" s="12"/>
      <c r="Z68" s="1">
        <f t="shared" si="9"/>
        <v>0</v>
      </c>
      <c r="AA68" s="12">
        <f t="shared" si="10"/>
        <v>0</v>
      </c>
      <c r="AB68" s="12">
        <v>3.8</v>
      </c>
      <c r="AC68" s="12">
        <v>9.6</v>
      </c>
      <c r="AD68" s="12">
        <v>14.4</v>
      </c>
      <c r="AE68" s="12">
        <v>16.2</v>
      </c>
      <c r="AF68" s="12">
        <v>16</v>
      </c>
      <c r="AG68" s="12">
        <v>15.8</v>
      </c>
      <c r="AH68" s="12">
        <v>16.600000000000001</v>
      </c>
      <c r="AI68" s="12">
        <v>19.399999999999999</v>
      </c>
      <c r="AJ68" s="12"/>
      <c r="AK68" s="1">
        <f t="shared" si="11"/>
        <v>0</v>
      </c>
      <c r="AL68" s="1">
        <f t="shared" si="12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 t="s">
        <v>115</v>
      </c>
      <c r="B69" s="1" t="s">
        <v>42</v>
      </c>
      <c r="C69" s="1">
        <v>621</v>
      </c>
      <c r="D69" s="1">
        <v>790</v>
      </c>
      <c r="E69" s="1">
        <v>418</v>
      </c>
      <c r="F69" s="1">
        <v>987</v>
      </c>
      <c r="G69" s="8">
        <v>0.37</v>
      </c>
      <c r="H69" s="1">
        <v>50</v>
      </c>
      <c r="I69" s="1" t="s">
        <v>38</v>
      </c>
      <c r="J69" s="1"/>
      <c r="K69" s="1">
        <v>431</v>
      </c>
      <c r="L69" s="1">
        <f t="shared" ref="L69:L95" si="21">E69-K69</f>
        <v>-13</v>
      </c>
      <c r="M69" s="1">
        <f t="shared" si="5"/>
        <v>418</v>
      </c>
      <c r="N69" s="1"/>
      <c r="O69" s="1">
        <v>194.04</v>
      </c>
      <c r="P69" s="1">
        <v>0</v>
      </c>
      <c r="Q69" s="1"/>
      <c r="R69" s="1">
        <f t="shared" si="6"/>
        <v>83.6</v>
      </c>
      <c r="S69" s="5"/>
      <c r="T69" s="5"/>
      <c r="U69" s="5">
        <f t="shared" si="8"/>
        <v>0</v>
      </c>
      <c r="V69" s="5">
        <f>$V$1*R69</f>
        <v>129.57999999999998</v>
      </c>
      <c r="W69" s="5"/>
      <c r="X69" s="1"/>
      <c r="Y69" s="1"/>
      <c r="Z69" s="1">
        <f t="shared" si="9"/>
        <v>14.127272727272727</v>
      </c>
      <c r="AA69" s="1">
        <f t="shared" si="10"/>
        <v>14.127272727272727</v>
      </c>
      <c r="AB69" s="1">
        <v>87.4</v>
      </c>
      <c r="AC69" s="1">
        <v>83.8</v>
      </c>
      <c r="AD69" s="1">
        <v>117.6</v>
      </c>
      <c r="AE69" s="1">
        <v>115.6</v>
      </c>
      <c r="AF69" s="1">
        <v>96.8</v>
      </c>
      <c r="AG69" s="1">
        <v>114.6</v>
      </c>
      <c r="AH69" s="1">
        <v>127.8</v>
      </c>
      <c r="AI69" s="1">
        <v>122.4</v>
      </c>
      <c r="AJ69" s="20" t="s">
        <v>62</v>
      </c>
      <c r="AK69" s="1">
        <f t="shared" si="11"/>
        <v>0</v>
      </c>
      <c r="AL69" s="1">
        <f t="shared" si="12"/>
        <v>48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 t="s">
        <v>116</v>
      </c>
      <c r="B70" s="1" t="s">
        <v>42</v>
      </c>
      <c r="C70" s="1">
        <v>10</v>
      </c>
      <c r="D70" s="1">
        <v>78</v>
      </c>
      <c r="E70" s="1">
        <v>36</v>
      </c>
      <c r="F70" s="1">
        <v>44</v>
      </c>
      <c r="G70" s="8">
        <v>0.4</v>
      </c>
      <c r="H70" s="1">
        <v>30</v>
      </c>
      <c r="I70" s="1" t="s">
        <v>38</v>
      </c>
      <c r="J70" s="1"/>
      <c r="K70" s="1">
        <v>43</v>
      </c>
      <c r="L70" s="1">
        <f t="shared" si="21"/>
        <v>-7</v>
      </c>
      <c r="M70" s="1">
        <f t="shared" ref="M70:M95" si="22">E70-N70</f>
        <v>36</v>
      </c>
      <c r="N70" s="1"/>
      <c r="O70" s="1"/>
      <c r="P70" s="1">
        <v>17.400000000000009</v>
      </c>
      <c r="Q70" s="1"/>
      <c r="R70" s="1">
        <f t="shared" ref="R70:R95" si="23">M70/5</f>
        <v>7.2</v>
      </c>
      <c r="S70" s="5">
        <f t="shared" ref="S70:S88" si="24">10*R70-Q70-P70-O70-F70</f>
        <v>10.599999999999994</v>
      </c>
      <c r="T70" s="5"/>
      <c r="U70" s="5">
        <f t="shared" si="8"/>
        <v>10.599999999999994</v>
      </c>
      <c r="V70" s="5"/>
      <c r="W70" s="5"/>
      <c r="X70" s="1"/>
      <c r="Y70" s="1"/>
      <c r="Z70" s="1">
        <f t="shared" si="9"/>
        <v>10</v>
      </c>
      <c r="AA70" s="1">
        <f t="shared" ref="AA70:AA95" si="25">(F70+O70+P70+Q70)/R70</f>
        <v>8.5277777777777786</v>
      </c>
      <c r="AB70" s="1">
        <v>6.2</v>
      </c>
      <c r="AC70" s="1">
        <v>7</v>
      </c>
      <c r="AD70" s="1">
        <v>8.4</v>
      </c>
      <c r="AE70" s="1">
        <v>5.8</v>
      </c>
      <c r="AF70" s="1">
        <v>4.8</v>
      </c>
      <c r="AG70" s="1">
        <v>4</v>
      </c>
      <c r="AH70" s="1">
        <v>5.8</v>
      </c>
      <c r="AI70" s="1">
        <v>7</v>
      </c>
      <c r="AJ70" s="1"/>
      <c r="AK70" s="1">
        <f t="shared" si="11"/>
        <v>4</v>
      </c>
      <c r="AL70" s="1">
        <f t="shared" si="12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 t="s">
        <v>117</v>
      </c>
      <c r="B71" s="1" t="s">
        <v>42</v>
      </c>
      <c r="C71" s="1">
        <v>18</v>
      </c>
      <c r="D71" s="1">
        <v>168</v>
      </c>
      <c r="E71" s="1">
        <v>66</v>
      </c>
      <c r="F71" s="1">
        <v>120</v>
      </c>
      <c r="G71" s="8">
        <v>0.6</v>
      </c>
      <c r="H71" s="1">
        <v>55</v>
      </c>
      <c r="I71" s="1" t="s">
        <v>38</v>
      </c>
      <c r="J71" s="1"/>
      <c r="K71" s="1">
        <v>70</v>
      </c>
      <c r="L71" s="1">
        <f t="shared" si="21"/>
        <v>-4</v>
      </c>
      <c r="M71" s="1">
        <f t="shared" si="22"/>
        <v>66</v>
      </c>
      <c r="N71" s="1"/>
      <c r="O71" s="1"/>
      <c r="P71" s="1">
        <v>49.2</v>
      </c>
      <c r="Q71" s="1"/>
      <c r="R71" s="1">
        <f t="shared" si="23"/>
        <v>13.2</v>
      </c>
      <c r="S71" s="5"/>
      <c r="T71" s="5"/>
      <c r="U71" s="5">
        <f t="shared" ref="U71:U95" si="26">T71+S71</f>
        <v>0</v>
      </c>
      <c r="V71" s="5"/>
      <c r="W71" s="5"/>
      <c r="X71" s="1"/>
      <c r="Y71" s="1"/>
      <c r="Z71" s="1">
        <f t="shared" ref="Z71:Z95" si="27">(F71+O71+P71+Q71+U71)/R71</f>
        <v>12.818181818181818</v>
      </c>
      <c r="AA71" s="1">
        <f t="shared" si="25"/>
        <v>12.818181818181818</v>
      </c>
      <c r="AB71" s="1">
        <v>15.2</v>
      </c>
      <c r="AC71" s="1">
        <v>16.399999999999999</v>
      </c>
      <c r="AD71" s="1">
        <v>13.8</v>
      </c>
      <c r="AE71" s="1">
        <v>8.1999999999999993</v>
      </c>
      <c r="AF71" s="1">
        <v>10.199999999999999</v>
      </c>
      <c r="AG71" s="1">
        <v>9.6</v>
      </c>
      <c r="AH71" s="1">
        <v>7.4</v>
      </c>
      <c r="AI71" s="1">
        <v>13.6</v>
      </c>
      <c r="AJ71" s="1" t="s">
        <v>78</v>
      </c>
      <c r="AK71" s="1">
        <f t="shared" ref="AK71:AL95" si="28">ROUND(G71*U71,0)</f>
        <v>0</v>
      </c>
      <c r="AL71" s="1">
        <f t="shared" ref="AL71:AL95" si="29">ROUND(G71*V71,0)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1" t="s">
        <v>118</v>
      </c>
      <c r="B72" s="1" t="s">
        <v>42</v>
      </c>
      <c r="C72" s="1">
        <v>4</v>
      </c>
      <c r="D72" s="1"/>
      <c r="E72" s="1">
        <v>-1</v>
      </c>
      <c r="F72" s="1">
        <v>2</v>
      </c>
      <c r="G72" s="8">
        <v>0.45</v>
      </c>
      <c r="H72" s="1">
        <v>40</v>
      </c>
      <c r="I72" s="1" t="s">
        <v>38</v>
      </c>
      <c r="J72" s="1"/>
      <c r="K72" s="1">
        <v>41</v>
      </c>
      <c r="L72" s="1">
        <f t="shared" si="21"/>
        <v>-42</v>
      </c>
      <c r="M72" s="1">
        <f t="shared" si="22"/>
        <v>-1</v>
      </c>
      <c r="N72" s="1"/>
      <c r="O72" s="1"/>
      <c r="P72" s="11"/>
      <c r="Q72" s="1"/>
      <c r="R72" s="1">
        <f t="shared" si="23"/>
        <v>-0.2</v>
      </c>
      <c r="S72" s="18">
        <v>10</v>
      </c>
      <c r="T72" s="18"/>
      <c r="U72" s="5">
        <f t="shared" si="26"/>
        <v>10</v>
      </c>
      <c r="V72" s="5"/>
      <c r="W72" s="5"/>
      <c r="X72" s="1"/>
      <c r="Y72" s="1"/>
      <c r="Z72" s="1">
        <f t="shared" si="27"/>
        <v>-60</v>
      </c>
      <c r="AA72" s="1">
        <f t="shared" si="25"/>
        <v>-10</v>
      </c>
      <c r="AB72" s="1">
        <v>-0.2</v>
      </c>
      <c r="AC72" s="1">
        <v>0.4</v>
      </c>
      <c r="AD72" s="1">
        <v>2.6</v>
      </c>
      <c r="AE72" s="1">
        <v>6.2</v>
      </c>
      <c r="AF72" s="1">
        <v>6.8</v>
      </c>
      <c r="AG72" s="1">
        <v>5.6</v>
      </c>
      <c r="AH72" s="1">
        <v>6.4</v>
      </c>
      <c r="AI72" s="1">
        <v>8.1999999999999993</v>
      </c>
      <c r="AJ72" s="11" t="s">
        <v>119</v>
      </c>
      <c r="AK72" s="1">
        <f t="shared" si="28"/>
        <v>5</v>
      </c>
      <c r="AL72" s="1">
        <f t="shared" si="29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 t="s">
        <v>120</v>
      </c>
      <c r="B73" s="1" t="s">
        <v>42</v>
      </c>
      <c r="C73" s="1">
        <v>172</v>
      </c>
      <c r="D73" s="1">
        <v>612</v>
      </c>
      <c r="E73" s="1">
        <v>427</v>
      </c>
      <c r="F73" s="1">
        <v>353</v>
      </c>
      <c r="G73" s="8">
        <v>0.4</v>
      </c>
      <c r="H73" s="1">
        <v>50</v>
      </c>
      <c r="I73" s="1" t="s">
        <v>38</v>
      </c>
      <c r="J73" s="1"/>
      <c r="K73" s="1">
        <v>434</v>
      </c>
      <c r="L73" s="1">
        <f t="shared" si="21"/>
        <v>-7</v>
      </c>
      <c r="M73" s="1">
        <f t="shared" si="22"/>
        <v>427</v>
      </c>
      <c r="N73" s="1"/>
      <c r="O73" s="1">
        <v>93.719999999999985</v>
      </c>
      <c r="P73" s="1">
        <v>372.67799999999988</v>
      </c>
      <c r="Q73" s="1"/>
      <c r="R73" s="1">
        <f t="shared" si="23"/>
        <v>85.4</v>
      </c>
      <c r="S73" s="5">
        <f>11*R73-Q73-P73-O73-F73</f>
        <v>120.00200000000024</v>
      </c>
      <c r="T73" s="5">
        <f>$T$1*R73</f>
        <v>170.8</v>
      </c>
      <c r="U73" s="5">
        <f t="shared" si="26"/>
        <v>290.80200000000025</v>
      </c>
      <c r="V73" s="5">
        <f>$V$1*R73</f>
        <v>132.37</v>
      </c>
      <c r="W73" s="5"/>
      <c r="X73" s="1"/>
      <c r="Y73" s="1"/>
      <c r="Z73" s="1">
        <f t="shared" si="27"/>
        <v>13.000000000000002</v>
      </c>
      <c r="AA73" s="1">
        <f t="shared" si="25"/>
        <v>9.5948243559718946</v>
      </c>
      <c r="AB73" s="1">
        <v>70.599999999999994</v>
      </c>
      <c r="AC73" s="1">
        <v>59</v>
      </c>
      <c r="AD73" s="1">
        <v>56.8</v>
      </c>
      <c r="AE73" s="1">
        <v>47</v>
      </c>
      <c r="AF73" s="1">
        <v>41</v>
      </c>
      <c r="AG73" s="1">
        <v>47.4</v>
      </c>
      <c r="AH73" s="1">
        <v>56.2</v>
      </c>
      <c r="AI73" s="1">
        <v>62.8</v>
      </c>
      <c r="AJ73" s="1" t="s">
        <v>78</v>
      </c>
      <c r="AK73" s="1">
        <f t="shared" si="28"/>
        <v>116</v>
      </c>
      <c r="AL73" s="1">
        <f t="shared" si="29"/>
        <v>53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 t="s">
        <v>121</v>
      </c>
      <c r="B74" s="1" t="s">
        <v>42</v>
      </c>
      <c r="C74" s="1">
        <v>65</v>
      </c>
      <c r="D74" s="1"/>
      <c r="E74" s="1">
        <v>36</v>
      </c>
      <c r="F74" s="1">
        <v>20</v>
      </c>
      <c r="G74" s="8">
        <v>0.4</v>
      </c>
      <c r="H74" s="1">
        <v>55</v>
      </c>
      <c r="I74" s="1" t="s">
        <v>38</v>
      </c>
      <c r="J74" s="1"/>
      <c r="K74" s="1">
        <v>36</v>
      </c>
      <c r="L74" s="1">
        <f t="shared" si="21"/>
        <v>0</v>
      </c>
      <c r="M74" s="1">
        <f t="shared" si="22"/>
        <v>36</v>
      </c>
      <c r="N74" s="1"/>
      <c r="O74" s="1"/>
      <c r="P74" s="1">
        <v>11.599999999999991</v>
      </c>
      <c r="Q74" s="1"/>
      <c r="R74" s="1">
        <f t="shared" si="23"/>
        <v>7.2</v>
      </c>
      <c r="S74" s="5">
        <f t="shared" si="24"/>
        <v>40.400000000000006</v>
      </c>
      <c r="T74" s="5"/>
      <c r="U74" s="5">
        <f t="shared" si="26"/>
        <v>40.400000000000006</v>
      </c>
      <c r="V74" s="5"/>
      <c r="W74" s="5"/>
      <c r="X74" s="1"/>
      <c r="Y74" s="1"/>
      <c r="Z74" s="1">
        <f t="shared" si="27"/>
        <v>10</v>
      </c>
      <c r="AA74" s="1">
        <f t="shared" si="25"/>
        <v>4.3888888888888875</v>
      </c>
      <c r="AB74" s="1">
        <v>4.8</v>
      </c>
      <c r="AC74" s="1">
        <v>3.2</v>
      </c>
      <c r="AD74" s="1">
        <v>4.5999999999999996</v>
      </c>
      <c r="AE74" s="1">
        <v>5.8</v>
      </c>
      <c r="AF74" s="1">
        <v>7.8</v>
      </c>
      <c r="AG74" s="1">
        <v>9.8000000000000007</v>
      </c>
      <c r="AH74" s="1">
        <v>7.2</v>
      </c>
      <c r="AI74" s="1">
        <v>2.4</v>
      </c>
      <c r="AJ74" s="1"/>
      <c r="AK74" s="1">
        <f t="shared" si="28"/>
        <v>16</v>
      </c>
      <c r="AL74" s="1">
        <f t="shared" si="29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 t="s">
        <v>122</v>
      </c>
      <c r="B75" s="1" t="s">
        <v>37</v>
      </c>
      <c r="C75" s="1">
        <v>185.86099999999999</v>
      </c>
      <c r="D75" s="1">
        <v>757.34299999999996</v>
      </c>
      <c r="E75" s="1">
        <v>245.41200000000001</v>
      </c>
      <c r="F75" s="1">
        <v>658.976</v>
      </c>
      <c r="G75" s="8">
        <v>1</v>
      </c>
      <c r="H75" s="1">
        <v>55</v>
      </c>
      <c r="I75" s="11" t="s">
        <v>123</v>
      </c>
      <c r="J75" s="1"/>
      <c r="K75" s="1">
        <v>272.97199999999998</v>
      </c>
      <c r="L75" s="1">
        <f t="shared" si="21"/>
        <v>-27.559999999999974</v>
      </c>
      <c r="M75" s="1">
        <f t="shared" si="22"/>
        <v>222.34</v>
      </c>
      <c r="N75" s="1">
        <v>23.071999999999999</v>
      </c>
      <c r="O75" s="1"/>
      <c r="P75" s="1">
        <v>0</v>
      </c>
      <c r="Q75" s="1"/>
      <c r="R75" s="1">
        <f t="shared" si="23"/>
        <v>44.468000000000004</v>
      </c>
      <c r="S75" s="5"/>
      <c r="T75" s="5"/>
      <c r="U75" s="5">
        <f t="shared" si="26"/>
        <v>0</v>
      </c>
      <c r="V75" s="5"/>
      <c r="W75" s="5"/>
      <c r="X75" s="1"/>
      <c r="Y75" s="1"/>
      <c r="Z75" s="1">
        <f t="shared" si="27"/>
        <v>14.819105873886839</v>
      </c>
      <c r="AA75" s="1">
        <f t="shared" si="25"/>
        <v>14.819105873886839</v>
      </c>
      <c r="AB75" s="1">
        <v>54.786199999999987</v>
      </c>
      <c r="AC75" s="1">
        <v>67.261600000000001</v>
      </c>
      <c r="AD75" s="1">
        <v>89.215400000000002</v>
      </c>
      <c r="AE75" s="1">
        <v>94.238199999999992</v>
      </c>
      <c r="AF75" s="1">
        <v>62.257000000000012</v>
      </c>
      <c r="AG75" s="1">
        <v>63.668999999999997</v>
      </c>
      <c r="AH75" s="1">
        <v>77.558399999999992</v>
      </c>
      <c r="AI75" s="1">
        <v>58.156199999999998</v>
      </c>
      <c r="AJ75" s="1" t="s">
        <v>76</v>
      </c>
      <c r="AK75" s="1">
        <f t="shared" si="28"/>
        <v>0</v>
      </c>
      <c r="AL75" s="1">
        <f t="shared" si="29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124</v>
      </c>
      <c r="B76" s="1" t="s">
        <v>37</v>
      </c>
      <c r="C76" s="1">
        <v>839.73199999999997</v>
      </c>
      <c r="D76" s="1">
        <v>984.76800000000003</v>
      </c>
      <c r="E76" s="1">
        <v>677.30899999999997</v>
      </c>
      <c r="F76" s="1">
        <v>1112.7660000000001</v>
      </c>
      <c r="G76" s="8">
        <v>1</v>
      </c>
      <c r="H76" s="1">
        <v>60</v>
      </c>
      <c r="I76" s="1" t="s">
        <v>38</v>
      </c>
      <c r="J76" s="1"/>
      <c r="K76" s="1">
        <v>684.6</v>
      </c>
      <c r="L76" s="1">
        <f t="shared" si="21"/>
        <v>-7.2910000000000537</v>
      </c>
      <c r="M76" s="1">
        <f t="shared" si="22"/>
        <v>666.99900000000002</v>
      </c>
      <c r="N76" s="1">
        <v>10.31</v>
      </c>
      <c r="O76" s="1">
        <v>229.03022999999999</v>
      </c>
      <c r="P76" s="1">
        <v>0</v>
      </c>
      <c r="Q76" s="1"/>
      <c r="R76" s="1">
        <f t="shared" si="23"/>
        <v>133.3998</v>
      </c>
      <c r="S76" s="5">
        <f t="shared" ref="S76" si="30">11*R76-Q76-P76-O76-F76</f>
        <v>125.60156999999981</v>
      </c>
      <c r="T76" s="5">
        <f>$T$1*R76</f>
        <v>266.7996</v>
      </c>
      <c r="U76" s="5">
        <f t="shared" si="26"/>
        <v>392.40116999999981</v>
      </c>
      <c r="V76" s="5">
        <f>$V$1*R76</f>
        <v>206.76969</v>
      </c>
      <c r="W76" s="5"/>
      <c r="X76" s="1"/>
      <c r="Y76" s="1"/>
      <c r="Z76" s="1">
        <f t="shared" si="27"/>
        <v>13</v>
      </c>
      <c r="AA76" s="1">
        <f t="shared" si="25"/>
        <v>10.05845758389443</v>
      </c>
      <c r="AB76" s="1">
        <v>129.43180000000001</v>
      </c>
      <c r="AC76" s="1">
        <v>132.5378</v>
      </c>
      <c r="AD76" s="1">
        <v>138.80619999999999</v>
      </c>
      <c r="AE76" s="1">
        <v>144.02619999999999</v>
      </c>
      <c r="AF76" s="1">
        <v>144.4802</v>
      </c>
      <c r="AG76" s="1">
        <v>138.85759999999999</v>
      </c>
      <c r="AH76" s="1">
        <v>144.28020000000001</v>
      </c>
      <c r="AI76" s="1">
        <v>148.8032</v>
      </c>
      <c r="AJ76" s="1" t="s">
        <v>48</v>
      </c>
      <c r="AK76" s="1">
        <f t="shared" si="28"/>
        <v>392</v>
      </c>
      <c r="AL76" s="1">
        <f t="shared" si="29"/>
        <v>207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125</v>
      </c>
      <c r="B77" s="1" t="s">
        <v>37</v>
      </c>
      <c r="C77" s="1">
        <v>1696.9880000000001</v>
      </c>
      <c r="D77" s="1">
        <v>1431.825</v>
      </c>
      <c r="E77" s="1">
        <v>970.94899999999996</v>
      </c>
      <c r="F77" s="1">
        <v>2072.04</v>
      </c>
      <c r="G77" s="8">
        <v>1</v>
      </c>
      <c r="H77" s="1">
        <v>60</v>
      </c>
      <c r="I77" s="1" t="s">
        <v>38</v>
      </c>
      <c r="J77" s="1"/>
      <c r="K77" s="1">
        <v>1025.21</v>
      </c>
      <c r="L77" s="1">
        <f t="shared" si="21"/>
        <v>-54.261000000000081</v>
      </c>
      <c r="M77" s="1">
        <f t="shared" si="22"/>
        <v>941.28899999999999</v>
      </c>
      <c r="N77" s="1">
        <v>29.66</v>
      </c>
      <c r="O77" s="1">
        <v>388.24268999999998</v>
      </c>
      <c r="P77" s="1">
        <v>160.90942199999989</v>
      </c>
      <c r="Q77" s="1">
        <v>300</v>
      </c>
      <c r="R77" s="1">
        <f t="shared" si="23"/>
        <v>188.2578</v>
      </c>
      <c r="S77" s="5"/>
      <c r="T77" s="5"/>
      <c r="U77" s="5">
        <f t="shared" si="26"/>
        <v>0</v>
      </c>
      <c r="V77" s="5"/>
      <c r="W77" s="5"/>
      <c r="X77" s="1"/>
      <c r="Y77" s="1"/>
      <c r="Z77" s="1">
        <f t="shared" si="27"/>
        <v>15.516977846336246</v>
      </c>
      <c r="AA77" s="1">
        <f t="shared" si="25"/>
        <v>15.516977846336246</v>
      </c>
      <c r="AB77" s="1">
        <v>216.38939999999999</v>
      </c>
      <c r="AC77" s="1">
        <v>220.108</v>
      </c>
      <c r="AD77" s="1">
        <v>235.29859999999999</v>
      </c>
      <c r="AE77" s="1">
        <v>252.2998</v>
      </c>
      <c r="AF77" s="1">
        <v>257.0206</v>
      </c>
      <c r="AG77" s="1">
        <v>233.792</v>
      </c>
      <c r="AH77" s="1">
        <v>220.583</v>
      </c>
      <c r="AI77" s="1">
        <v>225.55240000000001</v>
      </c>
      <c r="AJ77" s="1"/>
      <c r="AK77" s="1">
        <f t="shared" si="28"/>
        <v>0</v>
      </c>
      <c r="AL77" s="1">
        <f t="shared" si="29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 t="s">
        <v>126</v>
      </c>
      <c r="B78" s="1" t="s">
        <v>37</v>
      </c>
      <c r="C78" s="1">
        <v>836.678</v>
      </c>
      <c r="D78" s="1">
        <v>2198.4209999999998</v>
      </c>
      <c r="E78" s="1">
        <v>1071.43</v>
      </c>
      <c r="F78" s="1">
        <v>1775.366</v>
      </c>
      <c r="G78" s="8">
        <v>1</v>
      </c>
      <c r="H78" s="1">
        <v>60</v>
      </c>
      <c r="I78" s="1" t="s">
        <v>38</v>
      </c>
      <c r="J78" s="1"/>
      <c r="K78" s="1">
        <v>1174.317</v>
      </c>
      <c r="L78" s="1">
        <f t="shared" si="21"/>
        <v>-102.88699999999994</v>
      </c>
      <c r="M78" s="1">
        <f t="shared" si="22"/>
        <v>1071.43</v>
      </c>
      <c r="N78" s="1"/>
      <c r="O78" s="1">
        <v>359.61353999999989</v>
      </c>
      <c r="P78" s="1">
        <v>129.84507599999989</v>
      </c>
      <c r="Q78" s="1">
        <v>300</v>
      </c>
      <c r="R78" s="1">
        <f t="shared" si="23"/>
        <v>214.286</v>
      </c>
      <c r="S78" s="5"/>
      <c r="T78" s="5"/>
      <c r="U78" s="5">
        <f t="shared" si="26"/>
        <v>0</v>
      </c>
      <c r="V78" s="5">
        <f t="shared" ref="V78:V79" si="31">$V$1*R78</f>
        <v>332.14330000000001</v>
      </c>
      <c r="W78" s="5"/>
      <c r="X78" s="1"/>
      <c r="Y78" s="1"/>
      <c r="Z78" s="1">
        <f t="shared" si="27"/>
        <v>11.969165582445889</v>
      </c>
      <c r="AA78" s="1">
        <f t="shared" si="25"/>
        <v>11.969165582445889</v>
      </c>
      <c r="AB78" s="1">
        <v>201.80520000000001</v>
      </c>
      <c r="AC78" s="1">
        <v>202.8092</v>
      </c>
      <c r="AD78" s="1">
        <v>217.94759999999999</v>
      </c>
      <c r="AE78" s="1">
        <v>218.51240000000001</v>
      </c>
      <c r="AF78" s="1">
        <v>203.68780000000001</v>
      </c>
      <c r="AG78" s="1">
        <v>224.5874</v>
      </c>
      <c r="AH78" s="1">
        <v>209.68719999999999</v>
      </c>
      <c r="AI78" s="1">
        <v>198.93819999999999</v>
      </c>
      <c r="AJ78" s="1" t="s">
        <v>48</v>
      </c>
      <c r="AK78" s="1">
        <f t="shared" si="28"/>
        <v>0</v>
      </c>
      <c r="AL78" s="1">
        <f t="shared" si="29"/>
        <v>332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58</v>
      </c>
      <c r="B79" s="1" t="s">
        <v>37</v>
      </c>
      <c r="C79" s="1">
        <v>1820.8910000000001</v>
      </c>
      <c r="D79" s="1">
        <v>5115.7780000000002</v>
      </c>
      <c r="E79" s="1">
        <v>1674.635</v>
      </c>
      <c r="F79" s="1">
        <v>3260.6489999999999</v>
      </c>
      <c r="G79" s="8">
        <v>1</v>
      </c>
      <c r="H79" s="1">
        <v>60</v>
      </c>
      <c r="I79" s="1" t="s">
        <v>38</v>
      </c>
      <c r="J79" s="1"/>
      <c r="K79" s="1">
        <v>1751.5</v>
      </c>
      <c r="L79" s="1">
        <f t="shared" si="21"/>
        <v>-76.865000000000009</v>
      </c>
      <c r="M79" s="1">
        <f t="shared" si="22"/>
        <v>1614.585</v>
      </c>
      <c r="N79" s="1">
        <v>60.05</v>
      </c>
      <c r="O79" s="1">
        <v>629.05655999999999</v>
      </c>
      <c r="P79" s="1">
        <v>0</v>
      </c>
      <c r="Q79" s="1"/>
      <c r="R79" s="1">
        <f t="shared" si="23"/>
        <v>322.91700000000003</v>
      </c>
      <c r="S79" s="5"/>
      <c r="T79" s="5"/>
      <c r="U79" s="5">
        <f t="shared" si="26"/>
        <v>0</v>
      </c>
      <c r="V79" s="5">
        <f t="shared" si="31"/>
        <v>500.52135000000004</v>
      </c>
      <c r="W79" s="5"/>
      <c r="X79" s="1"/>
      <c r="Y79" s="1"/>
      <c r="Z79" s="1">
        <f t="shared" si="27"/>
        <v>12.045527364616913</v>
      </c>
      <c r="AA79" s="1">
        <f t="shared" si="25"/>
        <v>12.045527364616913</v>
      </c>
      <c r="AB79" s="1">
        <v>332.73840000000001</v>
      </c>
      <c r="AC79" s="1">
        <v>345.89920000000001</v>
      </c>
      <c r="AD79" s="1">
        <v>381.24639999999999</v>
      </c>
      <c r="AE79" s="1">
        <v>354.73759999999999</v>
      </c>
      <c r="AF79" s="1">
        <v>344.58879999999999</v>
      </c>
      <c r="AG79" s="1">
        <v>362.10019999999997</v>
      </c>
      <c r="AH79" s="1">
        <v>358.97340000000003</v>
      </c>
      <c r="AI79" s="1">
        <v>346.62079999999997</v>
      </c>
      <c r="AJ79" s="1" t="s">
        <v>48</v>
      </c>
      <c r="AK79" s="1">
        <f t="shared" si="28"/>
        <v>0</v>
      </c>
      <c r="AL79" s="1">
        <f t="shared" si="29"/>
        <v>501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127</v>
      </c>
      <c r="B80" s="1" t="s">
        <v>37</v>
      </c>
      <c r="C80" s="1">
        <v>63.366999999999997</v>
      </c>
      <c r="D80" s="1">
        <v>84.144999999999996</v>
      </c>
      <c r="E80" s="1">
        <v>20.053000000000001</v>
      </c>
      <c r="F80" s="1">
        <v>127.459</v>
      </c>
      <c r="G80" s="8">
        <v>1</v>
      </c>
      <c r="H80" s="1">
        <v>60</v>
      </c>
      <c r="I80" s="1" t="s">
        <v>38</v>
      </c>
      <c r="J80" s="1"/>
      <c r="K80" s="1">
        <v>19.8</v>
      </c>
      <c r="L80" s="1">
        <f t="shared" si="21"/>
        <v>0.25300000000000011</v>
      </c>
      <c r="M80" s="1">
        <f t="shared" si="22"/>
        <v>20.053000000000001</v>
      </c>
      <c r="N80" s="1"/>
      <c r="O80" s="1"/>
      <c r="P80" s="1">
        <v>0</v>
      </c>
      <c r="Q80" s="1"/>
      <c r="R80" s="1">
        <f t="shared" si="23"/>
        <v>4.0106000000000002</v>
      </c>
      <c r="S80" s="5"/>
      <c r="T80" s="5"/>
      <c r="U80" s="5">
        <f t="shared" si="26"/>
        <v>0</v>
      </c>
      <c r="V80" s="5"/>
      <c r="W80" s="5"/>
      <c r="X80" s="1"/>
      <c r="Y80" s="1"/>
      <c r="Z80" s="1">
        <f t="shared" si="27"/>
        <v>31.780531591283101</v>
      </c>
      <c r="AA80" s="1">
        <f t="shared" si="25"/>
        <v>31.780531591283101</v>
      </c>
      <c r="AB80" s="1">
        <v>3.8592</v>
      </c>
      <c r="AC80" s="1">
        <v>3.5442000000000009</v>
      </c>
      <c r="AD80" s="1">
        <v>5.4672000000000001</v>
      </c>
      <c r="AE80" s="1">
        <v>7.4016000000000002</v>
      </c>
      <c r="AF80" s="1">
        <v>6.2751999999999999</v>
      </c>
      <c r="AG80" s="1">
        <v>6.2549999999999999</v>
      </c>
      <c r="AH80" s="1">
        <v>7.0504000000000007</v>
      </c>
      <c r="AI80" s="1">
        <v>7.2218</v>
      </c>
      <c r="AJ80" s="19" t="s">
        <v>146</v>
      </c>
      <c r="AK80" s="1">
        <f t="shared" si="28"/>
        <v>0</v>
      </c>
      <c r="AL80" s="1">
        <f t="shared" si="29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128</v>
      </c>
      <c r="B81" s="1" t="s">
        <v>42</v>
      </c>
      <c r="C81" s="1">
        <v>161</v>
      </c>
      <c r="D81" s="1">
        <v>434</v>
      </c>
      <c r="E81" s="1">
        <v>286</v>
      </c>
      <c r="F81" s="1">
        <v>268</v>
      </c>
      <c r="G81" s="8">
        <v>0.3</v>
      </c>
      <c r="H81" s="1">
        <v>40</v>
      </c>
      <c r="I81" s="1" t="s">
        <v>38</v>
      </c>
      <c r="J81" s="1"/>
      <c r="K81" s="1">
        <v>307</v>
      </c>
      <c r="L81" s="1">
        <f t="shared" si="21"/>
        <v>-21</v>
      </c>
      <c r="M81" s="1">
        <f t="shared" si="22"/>
        <v>286</v>
      </c>
      <c r="N81" s="1"/>
      <c r="O81" s="1"/>
      <c r="P81" s="1">
        <v>225.60000000000011</v>
      </c>
      <c r="Q81" s="1"/>
      <c r="R81" s="1">
        <f t="shared" si="23"/>
        <v>57.2</v>
      </c>
      <c r="S81" s="5">
        <f t="shared" si="24"/>
        <v>78.399999999999864</v>
      </c>
      <c r="T81" s="5"/>
      <c r="U81" s="5">
        <f t="shared" si="26"/>
        <v>78.399999999999864</v>
      </c>
      <c r="V81" s="5"/>
      <c r="W81" s="5"/>
      <c r="X81" s="1"/>
      <c r="Y81" s="1"/>
      <c r="Z81" s="1">
        <f t="shared" si="27"/>
        <v>10</v>
      </c>
      <c r="AA81" s="1">
        <f t="shared" si="25"/>
        <v>8.6293706293706318</v>
      </c>
      <c r="AB81" s="1">
        <v>53.2</v>
      </c>
      <c r="AC81" s="1">
        <v>52</v>
      </c>
      <c r="AD81" s="1">
        <v>58.6</v>
      </c>
      <c r="AE81" s="1">
        <v>54.2</v>
      </c>
      <c r="AF81" s="1">
        <v>49.6</v>
      </c>
      <c r="AG81" s="1">
        <v>50.4</v>
      </c>
      <c r="AH81" s="1">
        <v>52.6</v>
      </c>
      <c r="AI81" s="1">
        <v>52.8</v>
      </c>
      <c r="AJ81" s="1"/>
      <c r="AK81" s="1">
        <f t="shared" si="28"/>
        <v>24</v>
      </c>
      <c r="AL81" s="1">
        <f t="shared" si="29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129</v>
      </c>
      <c r="B82" s="1" t="s">
        <v>42</v>
      </c>
      <c r="C82" s="1">
        <v>55</v>
      </c>
      <c r="D82" s="1">
        <v>343</v>
      </c>
      <c r="E82" s="1">
        <v>118</v>
      </c>
      <c r="F82" s="1">
        <v>275</v>
      </c>
      <c r="G82" s="8">
        <v>7.0000000000000007E-2</v>
      </c>
      <c r="H82" s="1">
        <v>90</v>
      </c>
      <c r="I82" s="1" t="s">
        <v>38</v>
      </c>
      <c r="J82" s="1"/>
      <c r="K82" s="1">
        <v>119</v>
      </c>
      <c r="L82" s="1">
        <f t="shared" si="21"/>
        <v>-1</v>
      </c>
      <c r="M82" s="1">
        <f t="shared" si="22"/>
        <v>118</v>
      </c>
      <c r="N82" s="1"/>
      <c r="O82" s="1"/>
      <c r="P82" s="1">
        <v>0</v>
      </c>
      <c r="Q82" s="1"/>
      <c r="R82" s="1">
        <f t="shared" si="23"/>
        <v>23.6</v>
      </c>
      <c r="S82" s="5"/>
      <c r="T82" s="5"/>
      <c r="U82" s="5">
        <f t="shared" si="26"/>
        <v>0</v>
      </c>
      <c r="V82" s="5"/>
      <c r="W82" s="5"/>
      <c r="X82" s="1"/>
      <c r="Y82" s="1"/>
      <c r="Z82" s="1">
        <f t="shared" si="27"/>
        <v>11.652542372881355</v>
      </c>
      <c r="AA82" s="1">
        <f t="shared" si="25"/>
        <v>11.652542372881355</v>
      </c>
      <c r="AB82" s="1">
        <v>26.2</v>
      </c>
      <c r="AC82" s="1">
        <v>32.799999999999997</v>
      </c>
      <c r="AD82" s="1">
        <v>37</v>
      </c>
      <c r="AE82" s="1">
        <v>33.799999999999997</v>
      </c>
      <c r="AF82" s="1">
        <v>26.4</v>
      </c>
      <c r="AG82" s="1">
        <v>28</v>
      </c>
      <c r="AH82" s="1">
        <v>25.6</v>
      </c>
      <c r="AI82" s="1">
        <v>25.2</v>
      </c>
      <c r="AJ82" s="1"/>
      <c r="AK82" s="1">
        <f t="shared" si="28"/>
        <v>0</v>
      </c>
      <c r="AL82" s="1">
        <f t="shared" si="29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 t="s">
        <v>130</v>
      </c>
      <c r="B83" s="1" t="s">
        <v>42</v>
      </c>
      <c r="C83" s="1">
        <v>59</v>
      </c>
      <c r="D83" s="1">
        <v>397</v>
      </c>
      <c r="E83" s="1">
        <v>150</v>
      </c>
      <c r="F83" s="1">
        <v>300</v>
      </c>
      <c r="G83" s="8">
        <v>7.0000000000000007E-2</v>
      </c>
      <c r="H83" s="1">
        <v>90</v>
      </c>
      <c r="I83" s="1" t="s">
        <v>38</v>
      </c>
      <c r="J83" s="1"/>
      <c r="K83" s="1">
        <v>151</v>
      </c>
      <c r="L83" s="1">
        <f t="shared" si="21"/>
        <v>-1</v>
      </c>
      <c r="M83" s="1">
        <f t="shared" si="22"/>
        <v>150</v>
      </c>
      <c r="N83" s="1"/>
      <c r="O83" s="1"/>
      <c r="P83" s="1">
        <v>0</v>
      </c>
      <c r="Q83" s="1"/>
      <c r="R83" s="1">
        <f t="shared" si="23"/>
        <v>30</v>
      </c>
      <c r="S83" s="5"/>
      <c r="T83" s="5"/>
      <c r="U83" s="5">
        <f t="shared" si="26"/>
        <v>0</v>
      </c>
      <c r="V83" s="5"/>
      <c r="W83" s="5"/>
      <c r="X83" s="1"/>
      <c r="Y83" s="1"/>
      <c r="Z83" s="1">
        <f t="shared" si="27"/>
        <v>10</v>
      </c>
      <c r="AA83" s="1">
        <f t="shared" si="25"/>
        <v>10</v>
      </c>
      <c r="AB83" s="1">
        <v>30.4</v>
      </c>
      <c r="AC83" s="1">
        <v>38.200000000000003</v>
      </c>
      <c r="AD83" s="1">
        <v>41.4</v>
      </c>
      <c r="AE83" s="1">
        <v>35.799999999999997</v>
      </c>
      <c r="AF83" s="1">
        <v>27.8</v>
      </c>
      <c r="AG83" s="1">
        <v>31.2</v>
      </c>
      <c r="AH83" s="1">
        <v>32.799999999999997</v>
      </c>
      <c r="AI83" s="1">
        <v>25.8</v>
      </c>
      <c r="AJ83" s="1"/>
      <c r="AK83" s="1">
        <f t="shared" si="28"/>
        <v>0</v>
      </c>
      <c r="AL83" s="1">
        <f t="shared" si="29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131</v>
      </c>
      <c r="B84" s="1" t="s">
        <v>42</v>
      </c>
      <c r="C84" s="1">
        <v>78</v>
      </c>
      <c r="D84" s="1">
        <v>217</v>
      </c>
      <c r="E84" s="1">
        <v>115</v>
      </c>
      <c r="F84" s="1">
        <v>178</v>
      </c>
      <c r="G84" s="8">
        <v>7.0000000000000007E-2</v>
      </c>
      <c r="H84" s="1">
        <v>90</v>
      </c>
      <c r="I84" s="1" t="s">
        <v>38</v>
      </c>
      <c r="J84" s="1"/>
      <c r="K84" s="1">
        <v>116</v>
      </c>
      <c r="L84" s="1">
        <f t="shared" si="21"/>
        <v>-1</v>
      </c>
      <c r="M84" s="1">
        <f t="shared" si="22"/>
        <v>115</v>
      </c>
      <c r="N84" s="1"/>
      <c r="O84" s="1"/>
      <c r="P84" s="1">
        <v>0</v>
      </c>
      <c r="Q84" s="1"/>
      <c r="R84" s="1">
        <f t="shared" si="23"/>
        <v>23</v>
      </c>
      <c r="S84" s="5">
        <f t="shared" si="24"/>
        <v>52</v>
      </c>
      <c r="T84" s="5"/>
      <c r="U84" s="5">
        <f t="shared" si="26"/>
        <v>52</v>
      </c>
      <c r="V84" s="5"/>
      <c r="W84" s="5"/>
      <c r="X84" s="1"/>
      <c r="Y84" s="1"/>
      <c r="Z84" s="1">
        <f t="shared" si="27"/>
        <v>10</v>
      </c>
      <c r="AA84" s="1">
        <f t="shared" si="25"/>
        <v>7.7391304347826084</v>
      </c>
      <c r="AB84" s="1">
        <v>18</v>
      </c>
      <c r="AC84" s="1">
        <v>23</v>
      </c>
      <c r="AD84" s="1">
        <v>27</v>
      </c>
      <c r="AE84" s="1">
        <v>23</v>
      </c>
      <c r="AF84" s="1">
        <v>20.6</v>
      </c>
      <c r="AG84" s="1">
        <v>19.399999999999999</v>
      </c>
      <c r="AH84" s="1">
        <v>18.399999999999999</v>
      </c>
      <c r="AI84" s="1">
        <v>21.4</v>
      </c>
      <c r="AJ84" s="1"/>
      <c r="AK84" s="1">
        <f t="shared" si="28"/>
        <v>4</v>
      </c>
      <c r="AL84" s="1">
        <f t="shared" si="29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 t="s">
        <v>132</v>
      </c>
      <c r="B85" s="1" t="s">
        <v>42</v>
      </c>
      <c r="C85" s="1">
        <v>140</v>
      </c>
      <c r="D85" s="1">
        <v>90</v>
      </c>
      <c r="E85" s="1">
        <v>68</v>
      </c>
      <c r="F85" s="1">
        <v>160</v>
      </c>
      <c r="G85" s="8">
        <v>0.05</v>
      </c>
      <c r="H85" s="1">
        <v>90</v>
      </c>
      <c r="I85" s="1" t="s">
        <v>38</v>
      </c>
      <c r="J85" s="1"/>
      <c r="K85" s="1">
        <v>69</v>
      </c>
      <c r="L85" s="1">
        <f t="shared" si="21"/>
        <v>-1</v>
      </c>
      <c r="M85" s="1">
        <f t="shared" si="22"/>
        <v>68</v>
      </c>
      <c r="N85" s="1"/>
      <c r="O85" s="1"/>
      <c r="P85" s="1">
        <v>0</v>
      </c>
      <c r="Q85" s="1"/>
      <c r="R85" s="1">
        <f t="shared" si="23"/>
        <v>13.6</v>
      </c>
      <c r="S85" s="5"/>
      <c r="T85" s="5"/>
      <c r="U85" s="5">
        <f t="shared" si="26"/>
        <v>0</v>
      </c>
      <c r="V85" s="5"/>
      <c r="W85" s="5"/>
      <c r="X85" s="1"/>
      <c r="Y85" s="1"/>
      <c r="Z85" s="1">
        <f t="shared" si="27"/>
        <v>11.764705882352942</v>
      </c>
      <c r="AA85" s="1">
        <f t="shared" si="25"/>
        <v>11.764705882352942</v>
      </c>
      <c r="AB85" s="1">
        <v>13.2</v>
      </c>
      <c r="AC85" s="1">
        <v>19.2</v>
      </c>
      <c r="AD85" s="1">
        <v>19.2</v>
      </c>
      <c r="AE85" s="1">
        <v>16.600000000000001</v>
      </c>
      <c r="AF85" s="1">
        <v>23.4</v>
      </c>
      <c r="AG85" s="1">
        <v>26</v>
      </c>
      <c r="AH85" s="1">
        <v>18.2</v>
      </c>
      <c r="AI85" s="1">
        <v>14.2</v>
      </c>
      <c r="AJ85" s="1"/>
      <c r="AK85" s="1">
        <f t="shared" si="28"/>
        <v>0</v>
      </c>
      <c r="AL85" s="1">
        <f t="shared" si="29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 t="s">
        <v>133</v>
      </c>
      <c r="B86" s="1" t="s">
        <v>42</v>
      </c>
      <c r="C86" s="1">
        <v>129</v>
      </c>
      <c r="D86" s="1">
        <v>163</v>
      </c>
      <c r="E86" s="1">
        <v>121</v>
      </c>
      <c r="F86" s="1">
        <v>167</v>
      </c>
      <c r="G86" s="8">
        <v>0.05</v>
      </c>
      <c r="H86" s="1">
        <v>90</v>
      </c>
      <c r="I86" s="1" t="s">
        <v>38</v>
      </c>
      <c r="J86" s="1"/>
      <c r="K86" s="1">
        <v>122</v>
      </c>
      <c r="L86" s="1">
        <f t="shared" si="21"/>
        <v>-1</v>
      </c>
      <c r="M86" s="1">
        <f t="shared" si="22"/>
        <v>121</v>
      </c>
      <c r="N86" s="1"/>
      <c r="O86" s="1"/>
      <c r="P86" s="1">
        <v>0</v>
      </c>
      <c r="Q86" s="1"/>
      <c r="R86" s="1">
        <f t="shared" si="23"/>
        <v>24.2</v>
      </c>
      <c r="S86" s="5">
        <f t="shared" si="24"/>
        <v>75</v>
      </c>
      <c r="T86" s="5"/>
      <c r="U86" s="5">
        <f t="shared" si="26"/>
        <v>75</v>
      </c>
      <c r="V86" s="5"/>
      <c r="W86" s="5"/>
      <c r="X86" s="1"/>
      <c r="Y86" s="1"/>
      <c r="Z86" s="1">
        <f t="shared" si="27"/>
        <v>10</v>
      </c>
      <c r="AA86" s="1">
        <f t="shared" si="25"/>
        <v>6.9008264462809921</v>
      </c>
      <c r="AB86" s="1">
        <v>21.8</v>
      </c>
      <c r="AC86" s="1">
        <v>25.6</v>
      </c>
      <c r="AD86" s="1">
        <v>27</v>
      </c>
      <c r="AE86" s="1">
        <v>26</v>
      </c>
      <c r="AF86" s="1">
        <v>28.2</v>
      </c>
      <c r="AG86" s="1">
        <v>26.6</v>
      </c>
      <c r="AH86" s="1">
        <v>16.2</v>
      </c>
      <c r="AI86" s="1">
        <v>13.2</v>
      </c>
      <c r="AJ86" s="1"/>
      <c r="AK86" s="1">
        <f t="shared" si="28"/>
        <v>4</v>
      </c>
      <c r="AL86" s="1">
        <f t="shared" si="29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 t="s">
        <v>134</v>
      </c>
      <c r="B87" s="1" t="s">
        <v>42</v>
      </c>
      <c r="C87" s="1">
        <v>26</v>
      </c>
      <c r="D87" s="1">
        <v>325</v>
      </c>
      <c r="E87" s="1">
        <v>103</v>
      </c>
      <c r="F87" s="1">
        <v>246</v>
      </c>
      <c r="G87" s="8">
        <v>5.5E-2</v>
      </c>
      <c r="H87" s="1">
        <v>90</v>
      </c>
      <c r="I87" s="1" t="s">
        <v>38</v>
      </c>
      <c r="J87" s="1"/>
      <c r="K87" s="1">
        <v>104</v>
      </c>
      <c r="L87" s="1">
        <f t="shared" si="21"/>
        <v>-1</v>
      </c>
      <c r="M87" s="1">
        <f t="shared" si="22"/>
        <v>103</v>
      </c>
      <c r="N87" s="1"/>
      <c r="O87" s="1"/>
      <c r="P87" s="1">
        <v>0</v>
      </c>
      <c r="Q87" s="1"/>
      <c r="R87" s="1">
        <f t="shared" si="23"/>
        <v>20.6</v>
      </c>
      <c r="S87" s="5"/>
      <c r="T87" s="5"/>
      <c r="U87" s="5">
        <f t="shared" si="26"/>
        <v>0</v>
      </c>
      <c r="V87" s="5"/>
      <c r="W87" s="5"/>
      <c r="X87" s="1"/>
      <c r="Y87" s="1"/>
      <c r="Z87" s="1">
        <f t="shared" si="27"/>
        <v>11.941747572815533</v>
      </c>
      <c r="AA87" s="1">
        <f t="shared" si="25"/>
        <v>11.941747572815533</v>
      </c>
      <c r="AB87" s="1">
        <v>23.2</v>
      </c>
      <c r="AC87" s="1">
        <v>27.4</v>
      </c>
      <c r="AD87" s="1">
        <v>31</v>
      </c>
      <c r="AE87" s="1">
        <v>28.6</v>
      </c>
      <c r="AF87" s="1">
        <v>24.8</v>
      </c>
      <c r="AG87" s="1">
        <v>27.2</v>
      </c>
      <c r="AH87" s="1">
        <v>17.399999999999999</v>
      </c>
      <c r="AI87" s="1">
        <v>20</v>
      </c>
      <c r="AJ87" s="1"/>
      <c r="AK87" s="1">
        <f t="shared" si="28"/>
        <v>0</v>
      </c>
      <c r="AL87" s="1">
        <f t="shared" si="29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 t="s">
        <v>135</v>
      </c>
      <c r="B88" s="1" t="s">
        <v>37</v>
      </c>
      <c r="C88" s="1">
        <v>2361.65</v>
      </c>
      <c r="D88" s="1">
        <v>2629.7089999999998</v>
      </c>
      <c r="E88" s="1">
        <v>2382.732</v>
      </c>
      <c r="F88" s="1">
        <v>2414.46</v>
      </c>
      <c r="G88" s="8">
        <v>1</v>
      </c>
      <c r="H88" s="1">
        <v>40</v>
      </c>
      <c r="I88" s="1" t="s">
        <v>38</v>
      </c>
      <c r="J88" s="1"/>
      <c r="K88" s="1">
        <v>2313.4609999999998</v>
      </c>
      <c r="L88" s="1">
        <f t="shared" si="21"/>
        <v>69.271000000000186</v>
      </c>
      <c r="M88" s="1">
        <f t="shared" si="22"/>
        <v>2330.5709999999999</v>
      </c>
      <c r="N88" s="1">
        <v>52.161000000000001</v>
      </c>
      <c r="O88" s="1"/>
      <c r="P88" s="1">
        <v>403.74860000000041</v>
      </c>
      <c r="Q88" s="1">
        <v>700</v>
      </c>
      <c r="R88" s="1">
        <f t="shared" si="23"/>
        <v>466.11419999999998</v>
      </c>
      <c r="S88" s="5">
        <f t="shared" si="24"/>
        <v>1142.9333999999994</v>
      </c>
      <c r="T88" s="5"/>
      <c r="U88" s="5">
        <f t="shared" si="26"/>
        <v>1142.9333999999994</v>
      </c>
      <c r="V88" s="5"/>
      <c r="W88" s="5"/>
      <c r="X88" s="1"/>
      <c r="Y88" s="1"/>
      <c r="Z88" s="1">
        <f t="shared" si="27"/>
        <v>10</v>
      </c>
      <c r="AA88" s="1">
        <f t="shared" si="25"/>
        <v>7.5479541279797964</v>
      </c>
      <c r="AB88" s="1">
        <v>406.08980000000003</v>
      </c>
      <c r="AC88" s="1">
        <v>411.42840000000001</v>
      </c>
      <c r="AD88" s="1">
        <v>483.625</v>
      </c>
      <c r="AE88" s="1">
        <v>461.47680000000003</v>
      </c>
      <c r="AF88" s="1">
        <v>470.11180000000002</v>
      </c>
      <c r="AG88" s="1">
        <v>472.96679999999998</v>
      </c>
      <c r="AH88" s="1">
        <v>450.98100000000011</v>
      </c>
      <c r="AI88" s="1">
        <v>456.99340000000001</v>
      </c>
      <c r="AJ88" s="1" t="s">
        <v>48</v>
      </c>
      <c r="AK88" s="1">
        <f t="shared" si="28"/>
        <v>1143</v>
      </c>
      <c r="AL88" s="1">
        <f t="shared" si="29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5" t="s">
        <v>136</v>
      </c>
      <c r="B89" s="15" t="s">
        <v>37</v>
      </c>
      <c r="C89" s="15"/>
      <c r="D89" s="15"/>
      <c r="E89" s="15"/>
      <c r="F89" s="15"/>
      <c r="G89" s="16">
        <v>0</v>
      </c>
      <c r="H89" s="15">
        <v>60</v>
      </c>
      <c r="I89" s="15" t="s">
        <v>38</v>
      </c>
      <c r="J89" s="15"/>
      <c r="K89" s="15"/>
      <c r="L89" s="15">
        <f t="shared" si="21"/>
        <v>0</v>
      </c>
      <c r="M89" s="15">
        <f t="shared" si="22"/>
        <v>0</v>
      </c>
      <c r="N89" s="15"/>
      <c r="O89" s="15"/>
      <c r="P89" s="15">
        <v>0</v>
      </c>
      <c r="Q89" s="15"/>
      <c r="R89" s="15">
        <f t="shared" si="23"/>
        <v>0</v>
      </c>
      <c r="S89" s="17"/>
      <c r="T89" s="17"/>
      <c r="U89" s="5">
        <f t="shared" si="26"/>
        <v>0</v>
      </c>
      <c r="V89" s="5"/>
      <c r="W89" s="17"/>
      <c r="X89" s="15"/>
      <c r="Y89" s="15"/>
      <c r="Z89" s="1" t="e">
        <f t="shared" si="27"/>
        <v>#DIV/0!</v>
      </c>
      <c r="AA89" s="15" t="e">
        <f t="shared" si="25"/>
        <v>#DIV/0!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 t="s">
        <v>137</v>
      </c>
      <c r="AK89" s="1">
        <f t="shared" si="28"/>
        <v>0</v>
      </c>
      <c r="AL89" s="1">
        <f t="shared" si="29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 t="s">
        <v>138</v>
      </c>
      <c r="B90" s="1" t="s">
        <v>42</v>
      </c>
      <c r="C90" s="1">
        <v>263</v>
      </c>
      <c r="D90" s="1">
        <v>525</v>
      </c>
      <c r="E90" s="1">
        <v>396</v>
      </c>
      <c r="F90" s="1">
        <v>350</v>
      </c>
      <c r="G90" s="8">
        <v>0.3</v>
      </c>
      <c r="H90" s="1">
        <v>40</v>
      </c>
      <c r="I90" s="1" t="s">
        <v>38</v>
      </c>
      <c r="J90" s="1"/>
      <c r="K90" s="1">
        <v>417</v>
      </c>
      <c r="L90" s="1">
        <f t="shared" si="21"/>
        <v>-21</v>
      </c>
      <c r="M90" s="1">
        <f t="shared" si="22"/>
        <v>396</v>
      </c>
      <c r="N90" s="1"/>
      <c r="O90" s="1"/>
      <c r="P90" s="1">
        <v>313.40000000000032</v>
      </c>
      <c r="Q90" s="1"/>
      <c r="R90" s="1">
        <f t="shared" si="23"/>
        <v>79.2</v>
      </c>
      <c r="S90" s="5">
        <f t="shared" ref="S90:S93" si="32">10*R90-Q90-P90-O90-F90</f>
        <v>128.59999999999968</v>
      </c>
      <c r="T90" s="5"/>
      <c r="U90" s="5">
        <f t="shared" si="26"/>
        <v>128.59999999999968</v>
      </c>
      <c r="V90" s="5"/>
      <c r="W90" s="5"/>
      <c r="X90" s="1"/>
      <c r="Y90" s="1"/>
      <c r="Z90" s="1">
        <f t="shared" si="27"/>
        <v>10</v>
      </c>
      <c r="AA90" s="1">
        <f t="shared" si="25"/>
        <v>8.3762626262626299</v>
      </c>
      <c r="AB90" s="1">
        <v>74.400000000000006</v>
      </c>
      <c r="AC90" s="1">
        <v>69.8</v>
      </c>
      <c r="AD90" s="1">
        <v>77.2</v>
      </c>
      <c r="AE90" s="1">
        <v>78.599999999999994</v>
      </c>
      <c r="AF90" s="1">
        <v>70.400000000000006</v>
      </c>
      <c r="AG90" s="1">
        <v>69.2</v>
      </c>
      <c r="AH90" s="1">
        <v>66</v>
      </c>
      <c r="AI90" s="1">
        <v>66.400000000000006</v>
      </c>
      <c r="AJ90" s="1"/>
      <c r="AK90" s="1">
        <f t="shared" si="28"/>
        <v>39</v>
      </c>
      <c r="AL90" s="1">
        <f t="shared" si="29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139</v>
      </c>
      <c r="B91" s="1" t="s">
        <v>42</v>
      </c>
      <c r="C91" s="1">
        <v>170</v>
      </c>
      <c r="D91" s="1">
        <v>495</v>
      </c>
      <c r="E91" s="1">
        <v>269</v>
      </c>
      <c r="F91" s="1">
        <v>358</v>
      </c>
      <c r="G91" s="8">
        <v>0.3</v>
      </c>
      <c r="H91" s="1">
        <v>40</v>
      </c>
      <c r="I91" s="1" t="s">
        <v>38</v>
      </c>
      <c r="J91" s="1"/>
      <c r="K91" s="1">
        <v>286</v>
      </c>
      <c r="L91" s="1">
        <f t="shared" si="21"/>
        <v>-17</v>
      </c>
      <c r="M91" s="1">
        <f t="shared" si="22"/>
        <v>269</v>
      </c>
      <c r="N91" s="1"/>
      <c r="O91" s="1"/>
      <c r="P91" s="1">
        <v>252.40000000000009</v>
      </c>
      <c r="Q91" s="1"/>
      <c r="R91" s="1">
        <f t="shared" si="23"/>
        <v>53.8</v>
      </c>
      <c r="S91" s="5"/>
      <c r="T91" s="5"/>
      <c r="U91" s="5">
        <f t="shared" si="26"/>
        <v>0</v>
      </c>
      <c r="V91" s="5"/>
      <c r="W91" s="5"/>
      <c r="X91" s="1"/>
      <c r="Y91" s="1"/>
      <c r="Z91" s="1">
        <f t="shared" si="27"/>
        <v>11.345724907063198</v>
      </c>
      <c r="AA91" s="1">
        <f t="shared" si="25"/>
        <v>11.345724907063198</v>
      </c>
      <c r="AB91" s="1">
        <v>61.2</v>
      </c>
      <c r="AC91" s="1">
        <v>58.6</v>
      </c>
      <c r="AD91" s="1">
        <v>59.8</v>
      </c>
      <c r="AE91" s="1">
        <v>59</v>
      </c>
      <c r="AF91" s="1">
        <v>53.6</v>
      </c>
      <c r="AG91" s="1">
        <v>49.4</v>
      </c>
      <c r="AH91" s="1">
        <v>49</v>
      </c>
      <c r="AI91" s="1">
        <v>51.8</v>
      </c>
      <c r="AJ91" s="1"/>
      <c r="AK91" s="1">
        <f t="shared" si="28"/>
        <v>0</v>
      </c>
      <c r="AL91" s="1">
        <f t="shared" si="29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 t="s">
        <v>140</v>
      </c>
      <c r="B92" s="1" t="s">
        <v>37</v>
      </c>
      <c r="C92" s="1">
        <v>223.46199999999999</v>
      </c>
      <c r="D92" s="1">
        <v>498.77499999999998</v>
      </c>
      <c r="E92" s="1">
        <v>258.62</v>
      </c>
      <c r="F92" s="1">
        <v>417.74900000000002</v>
      </c>
      <c r="G92" s="8">
        <v>1</v>
      </c>
      <c r="H92" s="1">
        <v>50</v>
      </c>
      <c r="I92" s="1" t="s">
        <v>38</v>
      </c>
      <c r="J92" s="1"/>
      <c r="K92" s="1">
        <v>264.17</v>
      </c>
      <c r="L92" s="1">
        <f t="shared" si="21"/>
        <v>-5.5500000000000114</v>
      </c>
      <c r="M92" s="1">
        <f t="shared" si="22"/>
        <v>247.51</v>
      </c>
      <c r="N92" s="1">
        <v>11.11</v>
      </c>
      <c r="O92" s="1">
        <v>84.206429999999997</v>
      </c>
      <c r="P92" s="1">
        <v>110.63305200000001</v>
      </c>
      <c r="Q92" s="1"/>
      <c r="R92" s="1">
        <f t="shared" si="23"/>
        <v>49.501999999999995</v>
      </c>
      <c r="S92" s="5"/>
      <c r="T92" s="5"/>
      <c r="U92" s="5">
        <f t="shared" si="26"/>
        <v>0</v>
      </c>
      <c r="V92" s="5">
        <f>$V$1*R92</f>
        <v>76.728099999999998</v>
      </c>
      <c r="W92" s="5"/>
      <c r="X92" s="1"/>
      <c r="Y92" s="1"/>
      <c r="Z92" s="1">
        <f t="shared" si="27"/>
        <v>12.375024887883319</v>
      </c>
      <c r="AA92" s="1">
        <f t="shared" si="25"/>
        <v>12.375024887883319</v>
      </c>
      <c r="AB92" s="1">
        <v>51.940399999999997</v>
      </c>
      <c r="AC92" s="1">
        <v>57.390600000000013</v>
      </c>
      <c r="AD92" s="1">
        <v>51.034199999999998</v>
      </c>
      <c r="AE92" s="1">
        <v>49.535200000000003</v>
      </c>
      <c r="AF92" s="1">
        <v>53.572799999999987</v>
      </c>
      <c r="AG92" s="1">
        <v>54.053400000000003</v>
      </c>
      <c r="AH92" s="1">
        <v>46.654400000000003</v>
      </c>
      <c r="AI92" s="1">
        <v>47.114800000000002</v>
      </c>
      <c r="AJ92" s="1"/>
      <c r="AK92" s="1">
        <f t="shared" si="28"/>
        <v>0</v>
      </c>
      <c r="AL92" s="1">
        <f t="shared" si="29"/>
        <v>77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 t="s">
        <v>141</v>
      </c>
      <c r="B93" s="1" t="s">
        <v>42</v>
      </c>
      <c r="C93" s="1">
        <v>154</v>
      </c>
      <c r="D93" s="1">
        <v>384</v>
      </c>
      <c r="E93" s="1">
        <v>248</v>
      </c>
      <c r="F93" s="1">
        <v>264</v>
      </c>
      <c r="G93" s="8">
        <v>0.3</v>
      </c>
      <c r="H93" s="1">
        <v>40</v>
      </c>
      <c r="I93" s="1" t="s">
        <v>38</v>
      </c>
      <c r="J93" s="1"/>
      <c r="K93" s="1">
        <v>258</v>
      </c>
      <c r="L93" s="1">
        <f t="shared" si="21"/>
        <v>-10</v>
      </c>
      <c r="M93" s="1">
        <f t="shared" si="22"/>
        <v>248</v>
      </c>
      <c r="N93" s="1"/>
      <c r="O93" s="1"/>
      <c r="P93" s="1">
        <v>160.80000000000001</v>
      </c>
      <c r="Q93" s="1"/>
      <c r="R93" s="1">
        <f t="shared" si="23"/>
        <v>49.6</v>
      </c>
      <c r="S93" s="5">
        <f t="shared" si="32"/>
        <v>71.199999999999989</v>
      </c>
      <c r="T93" s="5"/>
      <c r="U93" s="5">
        <f t="shared" si="26"/>
        <v>71.199999999999989</v>
      </c>
      <c r="V93" s="5"/>
      <c r="W93" s="5"/>
      <c r="X93" s="1"/>
      <c r="Y93" s="1"/>
      <c r="Z93" s="1">
        <f t="shared" si="27"/>
        <v>10</v>
      </c>
      <c r="AA93" s="1">
        <f t="shared" si="25"/>
        <v>8.564516129032258</v>
      </c>
      <c r="AB93" s="1">
        <v>48.2</v>
      </c>
      <c r="AC93" s="1">
        <v>47.2</v>
      </c>
      <c r="AD93" s="1">
        <v>50.8</v>
      </c>
      <c r="AE93" s="1">
        <v>52.6</v>
      </c>
      <c r="AF93" s="1">
        <v>45.6</v>
      </c>
      <c r="AG93" s="1">
        <v>46.8</v>
      </c>
      <c r="AH93" s="1">
        <v>50.8</v>
      </c>
      <c r="AI93" s="1">
        <v>48</v>
      </c>
      <c r="AJ93" s="1"/>
      <c r="AK93" s="1">
        <f t="shared" si="28"/>
        <v>21</v>
      </c>
      <c r="AL93" s="1">
        <f t="shared" si="29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 t="s">
        <v>142</v>
      </c>
      <c r="B94" s="1" t="s">
        <v>42</v>
      </c>
      <c r="C94" s="1">
        <v>74</v>
      </c>
      <c r="D94" s="1">
        <v>136</v>
      </c>
      <c r="E94" s="1">
        <v>54</v>
      </c>
      <c r="F94" s="1">
        <v>150</v>
      </c>
      <c r="G94" s="8">
        <v>0.12</v>
      </c>
      <c r="H94" s="1">
        <v>45</v>
      </c>
      <c r="I94" s="1" t="s">
        <v>38</v>
      </c>
      <c r="J94" s="1"/>
      <c r="K94" s="1">
        <v>59</v>
      </c>
      <c r="L94" s="1">
        <f t="shared" si="21"/>
        <v>-5</v>
      </c>
      <c r="M94" s="1">
        <f t="shared" si="22"/>
        <v>54</v>
      </c>
      <c r="N94" s="1"/>
      <c r="O94" s="1"/>
      <c r="P94" s="1">
        <v>20.800000000000011</v>
      </c>
      <c r="Q94" s="1"/>
      <c r="R94" s="1">
        <f t="shared" si="23"/>
        <v>10.8</v>
      </c>
      <c r="S94" s="5"/>
      <c r="T94" s="5"/>
      <c r="U94" s="5">
        <f t="shared" si="26"/>
        <v>0</v>
      </c>
      <c r="V94" s="5"/>
      <c r="W94" s="5"/>
      <c r="X94" s="1"/>
      <c r="Y94" s="1"/>
      <c r="Z94" s="1">
        <f t="shared" si="27"/>
        <v>15.814814814814815</v>
      </c>
      <c r="AA94" s="1">
        <f t="shared" si="25"/>
        <v>15.814814814814815</v>
      </c>
      <c r="AB94" s="1">
        <v>16.399999999999999</v>
      </c>
      <c r="AC94" s="1">
        <v>18.2</v>
      </c>
      <c r="AD94" s="1">
        <v>16.600000000000001</v>
      </c>
      <c r="AE94" s="1">
        <v>12.6</v>
      </c>
      <c r="AF94" s="1">
        <v>17.600000000000001</v>
      </c>
      <c r="AG94" s="1">
        <v>17.8</v>
      </c>
      <c r="AH94" s="1">
        <v>8.6</v>
      </c>
      <c r="AI94" s="1">
        <v>10.4</v>
      </c>
      <c r="AJ94" s="1"/>
      <c r="AK94" s="1">
        <f t="shared" si="28"/>
        <v>0</v>
      </c>
      <c r="AL94" s="1">
        <f t="shared" si="29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1" t="s">
        <v>143</v>
      </c>
      <c r="B95" s="1" t="s">
        <v>37</v>
      </c>
      <c r="C95" s="1"/>
      <c r="D95" s="1"/>
      <c r="E95" s="1"/>
      <c r="F95" s="1"/>
      <c r="G95" s="8">
        <v>1</v>
      </c>
      <c r="H95" s="1">
        <v>180</v>
      </c>
      <c r="I95" s="1" t="s">
        <v>38</v>
      </c>
      <c r="J95" s="1"/>
      <c r="K95" s="1"/>
      <c r="L95" s="1">
        <f t="shared" si="21"/>
        <v>0</v>
      </c>
      <c r="M95" s="1">
        <f t="shared" si="22"/>
        <v>0</v>
      </c>
      <c r="N95" s="1"/>
      <c r="O95" s="1"/>
      <c r="P95" s="11"/>
      <c r="Q95" s="1"/>
      <c r="R95" s="1">
        <f t="shared" si="23"/>
        <v>0</v>
      </c>
      <c r="S95" s="18">
        <v>4</v>
      </c>
      <c r="T95" s="18"/>
      <c r="U95" s="5">
        <f t="shared" si="26"/>
        <v>4</v>
      </c>
      <c r="V95" s="5"/>
      <c r="W95" s="5"/>
      <c r="X95" s="1"/>
      <c r="Y95" s="1"/>
      <c r="Z95" s="1" t="e">
        <f t="shared" si="27"/>
        <v>#DIV/0!</v>
      </c>
      <c r="AA95" s="1" t="e">
        <f t="shared" si="25"/>
        <v>#DIV/0!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1" t="s">
        <v>144</v>
      </c>
      <c r="AK95" s="1">
        <f t="shared" si="28"/>
        <v>4</v>
      </c>
      <c r="AL95" s="1">
        <f t="shared" si="29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</sheetData>
  <autoFilter ref="A3:AK95" xr:uid="{240EC547-BFC6-4985-9804-2855ED01FC9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2025-12-09T09:18:08Z</dcterms:created>
  <dcterms:modified xsi:type="dcterms:W3CDTF">2025-12-11T06:39:52Z</dcterms:modified>
</cp:coreProperties>
</file>