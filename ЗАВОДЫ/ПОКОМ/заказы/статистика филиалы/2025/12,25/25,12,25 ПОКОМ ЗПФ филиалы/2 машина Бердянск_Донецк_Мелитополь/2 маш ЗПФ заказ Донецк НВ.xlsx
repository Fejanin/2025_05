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2 машина Бердянск_Донецк_Мелитополь\"/>
    </mc:Choice>
  </mc:AlternateContent>
  <xr:revisionPtr revIDLastSave="0" documentId="13_ncr:1_{43CD3B6B-CA78-4129-B93B-DFB4203B683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Z215" i="1" s="1"/>
  <c r="Y213" i="1"/>
  <c r="P213" i="1"/>
  <c r="X211" i="1"/>
  <c r="Z210" i="1"/>
  <c r="X210" i="1"/>
  <c r="BO209" i="1"/>
  <c r="BM209" i="1"/>
  <c r="Z209" i="1"/>
  <c r="Y209" i="1"/>
  <c r="Y211" i="1" s="1"/>
  <c r="P209" i="1"/>
  <c r="Y206" i="1"/>
  <c r="X206" i="1"/>
  <c r="Z205" i="1"/>
  <c r="X205" i="1"/>
  <c r="BO204" i="1"/>
  <c r="BM204" i="1"/>
  <c r="Z204" i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Y201" i="1" s="1"/>
  <c r="P195" i="1"/>
  <c r="Y193" i="1"/>
  <c r="X193" i="1"/>
  <c r="Z192" i="1"/>
  <c r="X192" i="1"/>
  <c r="BO191" i="1"/>
  <c r="BM191" i="1"/>
  <c r="Z191" i="1"/>
  <c r="Y191" i="1"/>
  <c r="P191" i="1"/>
  <c r="X187" i="1"/>
  <c r="Z186" i="1"/>
  <c r="X186" i="1"/>
  <c r="BO185" i="1"/>
  <c r="BM185" i="1"/>
  <c r="Z185" i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Z129" i="1"/>
  <c r="X129" i="1"/>
  <c r="BO128" i="1"/>
  <c r="BM128" i="1"/>
  <c r="Z128" i="1"/>
  <c r="Y128" i="1"/>
  <c r="Y130" i="1" s="1"/>
  <c r="P128" i="1"/>
  <c r="X126" i="1"/>
  <c r="Z125" i="1"/>
  <c r="X125" i="1"/>
  <c r="BO124" i="1"/>
  <c r="BM124" i="1"/>
  <c r="Z124" i="1"/>
  <c r="Y124" i="1"/>
  <c r="Y126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Y122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Y104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3" i="1" s="1"/>
  <c r="P91" i="1"/>
  <c r="X88" i="1"/>
  <c r="Z87" i="1"/>
  <c r="X87" i="1"/>
  <c r="BO86" i="1"/>
  <c r="BM86" i="1"/>
  <c r="Z86" i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6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Y274" i="1" s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20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Z275" i="1" s="1"/>
  <c r="Y183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Y268" i="1"/>
  <c r="H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0" i="1"/>
  <c r="Y272" i="1"/>
  <c r="A283" i="1" l="1"/>
  <c r="Y273" i="1"/>
  <c r="C283" i="1" s="1"/>
  <c r="B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<sst xmlns="http://schemas.openxmlformats.org/spreadsheetml/2006/main" count="1222" uniqueCount="394">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</sst>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24</v>
      </c>
      <c r="Y28" s="270">
        <f>IFERROR(SUM(Y22:Y27),"0")</f>
        <v>24</v>
      </c>
      <c r="Z28" s="270">
        <f>IFERROR(IF(Z22="",0,Z22),"0")+IFERROR(IF(Z23="",0,Z23),"0")+IFERROR(IF(Z24="",0,Z24),"0")+IFERROR(IF(Z25="",0,Z25),"0")+IFERROR(IF(Z26="",0,Z26),"0")+IFERROR(IF(Z27="",0,Z27),"0")</f>
        <v>0.372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172.8</v>
      </c>
      <c r="Y29" s="270">
        <f>IFERROR(SUMPRODUCT(Y22:Y27*H22:H27),"0")</f>
        <v>172.8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28</v>
      </c>
      <c r="Y92" s="269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28</v>
      </c>
      <c r="Y93" s="270">
        <f>IFERROR(SUM(Y91:Y92),"0")</f>
        <v>28</v>
      </c>
      <c r="Z93" s="270">
        <f>IFERROR(IF(Z91="",0,Z91),"0")+IFERROR(IF(Z92="",0,Z92),"0")</f>
        <v>0.50063999999999997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100.8</v>
      </c>
      <c r="Y94" s="270">
        <f>IFERROR(SUMPRODUCT(Y91:Y92*H91:H92),"0")</f>
        <v>100.8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42</v>
      </c>
      <c r="Y103" s="270">
        <f>IFERROR(SUM(Y97:Y102),"0")</f>
        <v>42</v>
      </c>
      <c r="Z103" s="270">
        <f>IFERROR(IF(Z97="",0,Z97),"0")+IFERROR(IF(Z98="",0,Z98),"0")+IFERROR(IF(Z99="",0,Z99),"0")+IFERROR(IF(Z100="",0,Z100),"0")+IFERROR(IF(Z101="",0,Z101),"0")+IFERROR(IF(Z102="",0,Z102),"0")</f>
        <v>0.75095999999999996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120.96000000000001</v>
      </c>
      <c r="Y104" s="270">
        <f>IFERROR(SUMPRODUCT(Y97:Y102*H97:H102),"0")</f>
        <v>120.96000000000001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28</v>
      </c>
      <c r="Y107" s="269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0.26207999999999998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60.480000000000004</v>
      </c>
      <c r="Y110" s="270">
        <f>IFERROR(SUMPRODUCT(Y107:Y108*H107:H108),"0")</f>
        <v>60.480000000000004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48</v>
      </c>
      <c r="Y116" s="269">
        <f t="shared" si="12"/>
        <v>48</v>
      </c>
      <c r="Z116" s="36">
        <f t="shared" si="13"/>
        <v>0.74399999999999999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350.4</v>
      </c>
      <c r="BN116" s="67">
        <f t="shared" si="15"/>
        <v>350.4</v>
      </c>
      <c r="BO116" s="67">
        <f t="shared" si="16"/>
        <v>0.5714285714285714</v>
      </c>
      <c r="BP116" s="67">
        <f t="shared" si="17"/>
        <v>0.5714285714285714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72</v>
      </c>
      <c r="Y119" s="269">
        <f t="shared" si="12"/>
        <v>72</v>
      </c>
      <c r="Z119" s="36">
        <f t="shared" si="13"/>
        <v>1.1160000000000001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120</v>
      </c>
      <c r="Y121" s="270">
        <f>IFERROR(SUM(Y113:Y120),"0")</f>
        <v>120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1.86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840</v>
      </c>
      <c r="Y122" s="270">
        <f>IFERROR(SUMPRODUCT(Y113:Y120*H113:H120),"0")</f>
        <v>840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42</v>
      </c>
      <c r="Y133" s="269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155.55119999999999</v>
      </c>
      <c r="BN134" s="67">
        <f>IFERROR(Y134*I134,"0")</f>
        <v>155.55119999999999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1.5019199999999999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252</v>
      </c>
      <c r="Y136" s="270">
        <f>IFERROR(SUMPRODUCT(Y133:Y134*H133:H134),"0")</f>
        <v>252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14</v>
      </c>
      <c r="Y145" s="269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28</v>
      </c>
      <c r="Y166" s="269">
        <f>IFERROR(IF(X166="","",X166),"")</f>
        <v>28</v>
      </c>
      <c r="Z166" s="36">
        <f>IFERROR(IF(X166="","",X166*0.00941),"")</f>
        <v>0.26347999999999999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58.850399999999993</v>
      </c>
      <c r="BN166" s="67">
        <f>IFERROR(Y166*I166,"0")</f>
        <v>58.850399999999993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28</v>
      </c>
      <c r="Y167" s="270">
        <f>IFERROR(SUM(Y166:Y166),"0")</f>
        <v>28</v>
      </c>
      <c r="Z167" s="270">
        <f>IFERROR(IF(Z166="",0,Z166),"0")</f>
        <v>0.26347999999999999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47.04</v>
      </c>
      <c r="Y168" s="270">
        <f>IFERROR(SUMPRODUCT(Y166:Y166*H166:H166),"0")</f>
        <v>47.04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12</v>
      </c>
      <c r="Y173" s="269">
        <f>IFERROR(IF(X173="","",X173),"")</f>
        <v>12</v>
      </c>
      <c r="Z173" s="36">
        <f>IFERROR(IF(X173="","",X173*0.00866),"")</f>
        <v>0.10391999999999998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62.558399999999992</v>
      </c>
      <c r="BN173" s="67">
        <f>IFERROR(Y173*I173,"0")</f>
        <v>62.558399999999992</v>
      </c>
      <c r="BO173" s="67">
        <f>IFERROR(X173/J173,"0")</f>
        <v>8.3333333333333329E-2</v>
      </c>
      <c r="BP173" s="67">
        <f>IFERROR(Y173/J173,"0")</f>
        <v>8.3333333333333329E-2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12</v>
      </c>
      <c r="Y174" s="270">
        <f>IFERROR(SUM(Y172:Y173),"0")</f>
        <v>12</v>
      </c>
      <c r="Z174" s="270">
        <f>IFERROR(IF(Z172="",0,Z172),"0")+IFERROR(IF(Z173="",0,Z173),"0")</f>
        <v>0.10391999999999998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60</v>
      </c>
      <c r="Y175" s="270">
        <f>IFERROR(SUMPRODUCT(Y172:Y173*H172:H173),"0")</f>
        <v>60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168</v>
      </c>
      <c r="Y180" s="269">
        <f>IFERROR(IF(X180="","",X180),"")</f>
        <v>168</v>
      </c>
      <c r="Z180" s="36">
        <f>IFERROR(IF(X180="","",X180*0.01788),"")</f>
        <v>3.0038399999999998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569.18399999999997</v>
      </c>
      <c r="BN180" s="67">
        <f>IFERROR(Y180*I180,"0")</f>
        <v>569.18399999999997</v>
      </c>
      <c r="BO180" s="67">
        <f>IFERROR(X180/J180,"0")</f>
        <v>2.4</v>
      </c>
      <c r="BP180" s="67">
        <f>IFERROR(Y180/J180,"0")</f>
        <v>2.4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238</v>
      </c>
      <c r="Y182" s="270">
        <f>IFERROR(SUM(Y179:Y181),"0")</f>
        <v>238</v>
      </c>
      <c r="Z182" s="270">
        <f>IFERROR(IF(Z179="",0,Z179),"0")+IFERROR(IF(Z180="",0,Z180),"0")+IFERROR(IF(Z181="",0,Z181),"0")</f>
        <v>4.2554400000000001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714</v>
      </c>
      <c r="Y183" s="270">
        <f>IFERROR(SUMPRODUCT(Y179:Y181*H179:H181),"0")</f>
        <v>714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14</v>
      </c>
      <c r="Y252" s="269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40.468400000000003</v>
      </c>
      <c r="BN252" s="67">
        <f>IFERROR(Y252*I252,"0")</f>
        <v>40.468400000000003</v>
      </c>
      <c r="BO252" s="67">
        <f>IFERROR(X252/J252,"0")</f>
        <v>0.1111111111111111</v>
      </c>
      <c r="BP252" s="67">
        <f>IFERROR(Y252/J252,"0")</f>
        <v>0.1111111111111111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14</v>
      </c>
      <c r="Y255" s="270">
        <f>IFERROR(SUM(Y252:Y254),"0")</f>
        <v>14</v>
      </c>
      <c r="Z255" s="270">
        <f>IFERROR(IF(Z252="",0,Z252),"0")+IFERROR(IF(Z253="",0,Z253),"0")+IFERROR(IF(Z254="",0,Z254),"0")</f>
        <v>0.13103999999999999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37.800000000000004</v>
      </c>
      <c r="Y256" s="270">
        <f>IFERROR(SUMPRODUCT(Y252:Y254*H252:H254),"0")</f>
        <v>37.800000000000004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14</v>
      </c>
      <c r="Y268" s="270">
        <f>IFERROR(SUM(Y258:Y267),"0")</f>
        <v>14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0.13103999999999999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42</v>
      </c>
      <c r="Y269" s="270">
        <f>IFERROR(SUMPRODUCT(Y258:Y267*H258:H267),"0")</f>
        <v>42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2834.28</v>
      </c>
      <c r="Y270" s="270">
        <f>IFERROR(Y29+Y35+Y42+Y49+Y57+Y62+Y66+Y71+Y77+Y83+Y88+Y94+Y104+Y110+Y122+Y126+Y130+Y136+Y142+Y148+Y153+Y158+Y163+Y168+Y175+Y183+Y187+Y193+Y201+Y206+Y211+Y216+Y222+Y228+Y234+Y238+Y245+Y250+Y256+Y269,"0")</f>
        <v>2834.28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3143.2812000000004</v>
      </c>
      <c r="Y271" s="270">
        <f>IFERROR(SUM(BN22:BN267),"0")</f>
        <v>3143.2812000000004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10</v>
      </c>
      <c r="Y272" s="38">
        <f>ROUNDUP(SUM(BP22:BP267),0)</f>
        <v>10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3393.2812000000004</v>
      </c>
      <c r="Y273" s="270">
        <f>GrossWeightTotalR+PalletQtyTotalR*25</f>
        <v>3393.2812000000004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736</v>
      </c>
      <c r="Y274" s="270">
        <f>IFERROR(Y28+Y34+Y41+Y48+Y56+Y61+Y65+Y70+Y76+Y82+Y87+Y93+Y103+Y109+Y121+Y125+Y129+Y135+Y141+Y147+Y152+Y157+Y162+Y167+Y174+Y182+Y186+Y192+Y200+Y205+Y210+Y215+Y221+Y227+Y233+Y237+Y244+Y249+Y255+Y268,"0")</f>
        <v>736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11.877800000000001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172.8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100.8</v>
      </c>
      <c r="K280" s="46">
        <f>IFERROR(X97*H97,"0")+IFERROR(X98*H98,"0")+IFERROR(X99*H99,"0")+IFERROR(X100*H100,"0")+IFERROR(X101*H101,"0")+IFERROR(X102*H102,"0")</f>
        <v>120.96000000000001</v>
      </c>
      <c r="L280" s="46">
        <f>IFERROR(X107*H107,"0")+IFERROR(X108*H108,"0")</f>
        <v>60.480000000000004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840</v>
      </c>
      <c r="N280" s="266"/>
      <c r="O280" s="46">
        <f>IFERROR(X133*H133,"0")+IFERROR(X134*H134,"0")</f>
        <v>252</v>
      </c>
      <c r="P280" s="46">
        <f>IFERROR(X139*H139,"0")+IFERROR(X140*H140,"0")</f>
        <v>0</v>
      </c>
      <c r="Q280" s="46">
        <f>IFERROR(X145*H145,"0")+IFERROR(X146*H146,"0")</f>
        <v>134.4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47.04</v>
      </c>
      <c r="V280" s="46">
        <f>IFERROR(X172*H172,"0")+IFERROR(X173*H173,"0")</f>
        <v>60</v>
      </c>
      <c r="W280" s="46">
        <f>IFERROR(X179*H179,"0")+IFERROR(X180*H180,"0")+IFERROR(X181*H181,"0")+IFERROR(X185*H185,"0")</f>
        <v>714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151.80000000000001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1252.8</v>
      </c>
      <c r="B283" s="60">
        <f>SUMPRODUCT(--(BB:BB="ПГП"),--(W:W="кор"),H:H,Y:Y)+SUMPRODUCT(--(BB:BB="ПГП"),--(W:W="кг"),Y:Y)</f>
        <v>1581.4799999999998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