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заказы\статистика филиалы\2025\12,25\16,12,25 ПОКОМ КИ филиалы\"/>
    </mc:Choice>
  </mc:AlternateContent>
  <xr:revisionPtr revIDLastSave="0" documentId="13_ncr:1_{C060F03B-2463-4D67-B248-AEBC7D41953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Sheet!$A$3:$AK$94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6" i="1"/>
  <c r="R5" i="1" l="1"/>
  <c r="V8" i="1" l="1"/>
  <c r="V12" i="1"/>
  <c r="V17" i="1"/>
  <c r="V18" i="1"/>
  <c r="V19" i="1"/>
  <c r="AK19" i="1" s="1"/>
  <c r="V23" i="1"/>
  <c r="AK23" i="1" s="1"/>
  <c r="V25" i="1"/>
  <c r="AK25" i="1" s="1"/>
  <c r="V26" i="1"/>
  <c r="V28" i="1"/>
  <c r="V29" i="1"/>
  <c r="AK29" i="1" s="1"/>
  <c r="V30" i="1"/>
  <c r="V31" i="1"/>
  <c r="V32" i="1"/>
  <c r="V40" i="1"/>
  <c r="V47" i="1"/>
  <c r="AK47" i="1" s="1"/>
  <c r="V48" i="1"/>
  <c r="V59" i="1"/>
  <c r="AK59" i="1" s="1"/>
  <c r="V64" i="1"/>
  <c r="V67" i="1"/>
  <c r="V68" i="1"/>
  <c r="V70" i="1"/>
  <c r="V72" i="1"/>
  <c r="V73" i="1"/>
  <c r="AK73" i="1" s="1"/>
  <c r="V78" i="1"/>
  <c r="V80" i="1"/>
  <c r="V85" i="1"/>
  <c r="AK85" i="1" s="1"/>
  <c r="V86" i="1"/>
  <c r="V88" i="1"/>
  <c r="V89" i="1"/>
  <c r="AK89" i="1" s="1"/>
  <c r="V93" i="1"/>
  <c r="AK93" i="1" s="1"/>
  <c r="AK17" i="1"/>
  <c r="AK31" i="1"/>
  <c r="AK67" i="1"/>
  <c r="AK88" i="1" l="1"/>
  <c r="AK86" i="1"/>
  <c r="AK80" i="1"/>
  <c r="AK78" i="1"/>
  <c r="AK72" i="1"/>
  <c r="AK70" i="1"/>
  <c r="AK68" i="1"/>
  <c r="AK64" i="1"/>
  <c r="AK48" i="1"/>
  <c r="AK40" i="1"/>
  <c r="AK32" i="1"/>
  <c r="AK30" i="1"/>
  <c r="AK28" i="1"/>
  <c r="AK26" i="1"/>
  <c r="AK18" i="1"/>
  <c r="AK12" i="1"/>
  <c r="AK8" i="1"/>
  <c r="Y5" i="1"/>
  <c r="M7" i="1"/>
  <c r="S7" i="1" s="1"/>
  <c r="M8" i="1"/>
  <c r="S8" i="1" s="1"/>
  <c r="Z8" i="1" s="1"/>
  <c r="M9" i="1"/>
  <c r="S9" i="1" s="1"/>
  <c r="M10" i="1"/>
  <c r="S10" i="1" s="1"/>
  <c r="M11" i="1"/>
  <c r="S11" i="1" s="1"/>
  <c r="M12" i="1"/>
  <c r="S12" i="1" s="1"/>
  <c r="Z12" i="1" s="1"/>
  <c r="M13" i="1"/>
  <c r="S13" i="1" s="1"/>
  <c r="M14" i="1"/>
  <c r="S14" i="1" s="1"/>
  <c r="M15" i="1"/>
  <c r="S15" i="1" s="1"/>
  <c r="M16" i="1"/>
  <c r="S16" i="1" s="1"/>
  <c r="M17" i="1"/>
  <c r="S17" i="1" s="1"/>
  <c r="Z17" i="1" s="1"/>
  <c r="M18" i="1"/>
  <c r="S18" i="1" s="1"/>
  <c r="Z18" i="1" s="1"/>
  <c r="M19" i="1"/>
  <c r="S19" i="1" s="1"/>
  <c r="Z19" i="1" s="1"/>
  <c r="M20" i="1"/>
  <c r="S20" i="1" s="1"/>
  <c r="U20" i="1" s="1"/>
  <c r="M21" i="1"/>
  <c r="S21" i="1" s="1"/>
  <c r="M22" i="1"/>
  <c r="S22" i="1" s="1"/>
  <c r="U22" i="1" s="1"/>
  <c r="M23" i="1"/>
  <c r="S23" i="1" s="1"/>
  <c r="Z23" i="1" s="1"/>
  <c r="M24" i="1"/>
  <c r="S24" i="1" s="1"/>
  <c r="U24" i="1" s="1"/>
  <c r="M25" i="1"/>
  <c r="S25" i="1" s="1"/>
  <c r="Z25" i="1" s="1"/>
  <c r="M26" i="1"/>
  <c r="S26" i="1" s="1"/>
  <c r="Z26" i="1" s="1"/>
  <c r="M27" i="1"/>
  <c r="S27" i="1" s="1"/>
  <c r="M28" i="1"/>
  <c r="S28" i="1" s="1"/>
  <c r="Z28" i="1" s="1"/>
  <c r="M29" i="1"/>
  <c r="S29" i="1" s="1"/>
  <c r="Z29" i="1" s="1"/>
  <c r="M30" i="1"/>
  <c r="S30" i="1" s="1"/>
  <c r="Z30" i="1" s="1"/>
  <c r="M31" i="1"/>
  <c r="S31" i="1" s="1"/>
  <c r="Z31" i="1" s="1"/>
  <c r="M32" i="1"/>
  <c r="S32" i="1" s="1"/>
  <c r="Z32" i="1" s="1"/>
  <c r="M33" i="1"/>
  <c r="S33" i="1" s="1"/>
  <c r="M34" i="1"/>
  <c r="S34" i="1" s="1"/>
  <c r="U34" i="1" s="1"/>
  <c r="M35" i="1"/>
  <c r="S35" i="1" s="1"/>
  <c r="M36" i="1"/>
  <c r="S36" i="1" s="1"/>
  <c r="M37" i="1"/>
  <c r="S37" i="1" s="1"/>
  <c r="M38" i="1"/>
  <c r="S38" i="1" s="1"/>
  <c r="U38" i="1" s="1"/>
  <c r="M39" i="1"/>
  <c r="S39" i="1" s="1"/>
  <c r="M40" i="1"/>
  <c r="S40" i="1" s="1"/>
  <c r="Z40" i="1" s="1"/>
  <c r="M41" i="1"/>
  <c r="S41" i="1" s="1"/>
  <c r="M42" i="1"/>
  <c r="S42" i="1" s="1"/>
  <c r="U42" i="1" s="1"/>
  <c r="M43" i="1"/>
  <c r="S43" i="1" s="1"/>
  <c r="M44" i="1"/>
  <c r="S44" i="1" s="1"/>
  <c r="M45" i="1"/>
  <c r="S45" i="1" s="1"/>
  <c r="M46" i="1"/>
  <c r="S46" i="1" s="1"/>
  <c r="U46" i="1" s="1"/>
  <c r="M47" i="1"/>
  <c r="S47" i="1" s="1"/>
  <c r="Z47" i="1" s="1"/>
  <c r="M48" i="1"/>
  <c r="S48" i="1" s="1"/>
  <c r="Z48" i="1" s="1"/>
  <c r="M49" i="1"/>
  <c r="S49" i="1" s="1"/>
  <c r="M50" i="1"/>
  <c r="S50" i="1" s="1"/>
  <c r="M51" i="1"/>
  <c r="S51" i="1" s="1"/>
  <c r="M52" i="1"/>
  <c r="S52" i="1" s="1"/>
  <c r="M53" i="1"/>
  <c r="S53" i="1" s="1"/>
  <c r="M54" i="1"/>
  <c r="S54" i="1" s="1"/>
  <c r="M55" i="1"/>
  <c r="S55" i="1" s="1"/>
  <c r="M56" i="1"/>
  <c r="S56" i="1" s="1"/>
  <c r="M57" i="1"/>
  <c r="S57" i="1" s="1"/>
  <c r="M58" i="1"/>
  <c r="S58" i="1" s="1"/>
  <c r="M59" i="1"/>
  <c r="S59" i="1" s="1"/>
  <c r="Z59" i="1" s="1"/>
  <c r="M60" i="1"/>
  <c r="S60" i="1" s="1"/>
  <c r="M61" i="1"/>
  <c r="S61" i="1" s="1"/>
  <c r="M62" i="1"/>
  <c r="S62" i="1" s="1"/>
  <c r="M63" i="1"/>
  <c r="S63" i="1" s="1"/>
  <c r="M64" i="1"/>
  <c r="S64" i="1" s="1"/>
  <c r="Z64" i="1" s="1"/>
  <c r="M65" i="1"/>
  <c r="S65" i="1" s="1"/>
  <c r="M66" i="1"/>
  <c r="S66" i="1" s="1"/>
  <c r="M67" i="1"/>
  <c r="S67" i="1" s="1"/>
  <c r="Z67" i="1" s="1"/>
  <c r="M68" i="1"/>
  <c r="S68" i="1" s="1"/>
  <c r="Z68" i="1" s="1"/>
  <c r="M69" i="1"/>
  <c r="S69" i="1" s="1"/>
  <c r="M70" i="1"/>
  <c r="S70" i="1" s="1"/>
  <c r="Z70" i="1" s="1"/>
  <c r="M71" i="1"/>
  <c r="S71" i="1" s="1"/>
  <c r="T71" i="1" s="1"/>
  <c r="V71" i="1" s="1"/>
  <c r="M72" i="1"/>
  <c r="S72" i="1" s="1"/>
  <c r="Z72" i="1" s="1"/>
  <c r="M73" i="1"/>
  <c r="S73" i="1" s="1"/>
  <c r="Z73" i="1" s="1"/>
  <c r="M74" i="1"/>
  <c r="S74" i="1" s="1"/>
  <c r="M75" i="1"/>
  <c r="S75" i="1" s="1"/>
  <c r="M76" i="1"/>
  <c r="S76" i="1" s="1"/>
  <c r="M77" i="1"/>
  <c r="S77" i="1" s="1"/>
  <c r="M78" i="1"/>
  <c r="S78" i="1" s="1"/>
  <c r="Z78" i="1" s="1"/>
  <c r="M79" i="1"/>
  <c r="S79" i="1" s="1"/>
  <c r="M80" i="1"/>
  <c r="S80" i="1" s="1"/>
  <c r="Z80" i="1" s="1"/>
  <c r="M81" i="1"/>
  <c r="S81" i="1" s="1"/>
  <c r="T81" i="1" s="1"/>
  <c r="V81" i="1" s="1"/>
  <c r="M82" i="1"/>
  <c r="S82" i="1" s="1"/>
  <c r="M83" i="1"/>
  <c r="S83" i="1" s="1"/>
  <c r="T83" i="1" s="1"/>
  <c r="V83" i="1" s="1"/>
  <c r="M84" i="1"/>
  <c r="S84" i="1" s="1"/>
  <c r="T84" i="1" s="1"/>
  <c r="V84" i="1" s="1"/>
  <c r="AK84" i="1" s="1"/>
  <c r="M85" i="1"/>
  <c r="S85" i="1" s="1"/>
  <c r="Z85" i="1" s="1"/>
  <c r="M86" i="1"/>
  <c r="S86" i="1" s="1"/>
  <c r="Z86" i="1" s="1"/>
  <c r="M87" i="1"/>
  <c r="S87" i="1" s="1"/>
  <c r="M88" i="1"/>
  <c r="S88" i="1" s="1"/>
  <c r="Z88" i="1" s="1"/>
  <c r="M89" i="1"/>
  <c r="S89" i="1" s="1"/>
  <c r="Z89" i="1" s="1"/>
  <c r="M90" i="1"/>
  <c r="S90" i="1" s="1"/>
  <c r="M91" i="1"/>
  <c r="S91" i="1" s="1"/>
  <c r="M92" i="1"/>
  <c r="S92" i="1" s="1"/>
  <c r="U92" i="1" s="1"/>
  <c r="M93" i="1"/>
  <c r="S93" i="1" s="1"/>
  <c r="Z93" i="1" s="1"/>
  <c r="M94" i="1"/>
  <c r="S94" i="1" s="1"/>
  <c r="M6" i="1"/>
  <c r="S6" i="1" s="1"/>
  <c r="T90" i="1" l="1"/>
  <c r="U90" i="1"/>
  <c r="T82" i="1"/>
  <c r="U82" i="1"/>
  <c r="T76" i="1"/>
  <c r="U76" i="1"/>
  <c r="T74" i="1"/>
  <c r="U74" i="1"/>
  <c r="T66" i="1"/>
  <c r="U66" i="1"/>
  <c r="T62" i="1"/>
  <c r="U62" i="1"/>
  <c r="T60" i="1"/>
  <c r="U60" i="1"/>
  <c r="T58" i="1"/>
  <c r="U58" i="1"/>
  <c r="T56" i="1"/>
  <c r="U56" i="1"/>
  <c r="T54" i="1"/>
  <c r="U54" i="1"/>
  <c r="T52" i="1"/>
  <c r="U52" i="1"/>
  <c r="T50" i="1"/>
  <c r="U50" i="1"/>
  <c r="T44" i="1"/>
  <c r="U44" i="1"/>
  <c r="T36" i="1"/>
  <c r="U36" i="1"/>
  <c r="T16" i="1"/>
  <c r="U16" i="1"/>
  <c r="T14" i="1"/>
  <c r="U14" i="1"/>
  <c r="T10" i="1"/>
  <c r="U10" i="1"/>
  <c r="AA6" i="1"/>
  <c r="U6" i="1"/>
  <c r="T91" i="1"/>
  <c r="U91" i="1"/>
  <c r="T87" i="1"/>
  <c r="U87" i="1"/>
  <c r="T79" i="1"/>
  <c r="U79" i="1"/>
  <c r="T77" i="1"/>
  <c r="U77" i="1"/>
  <c r="T75" i="1"/>
  <c r="U75" i="1"/>
  <c r="T69" i="1"/>
  <c r="U69" i="1"/>
  <c r="T65" i="1"/>
  <c r="U65" i="1"/>
  <c r="T63" i="1"/>
  <c r="U63" i="1"/>
  <c r="T61" i="1"/>
  <c r="U61" i="1"/>
  <c r="T57" i="1"/>
  <c r="U57" i="1"/>
  <c r="T55" i="1"/>
  <c r="U55" i="1"/>
  <c r="T53" i="1"/>
  <c r="U53" i="1"/>
  <c r="T51" i="1"/>
  <c r="U51" i="1"/>
  <c r="T49" i="1"/>
  <c r="U49" i="1"/>
  <c r="T45" i="1"/>
  <c r="U45" i="1"/>
  <c r="T43" i="1"/>
  <c r="U43" i="1"/>
  <c r="T41" i="1"/>
  <c r="U41" i="1"/>
  <c r="T39" i="1"/>
  <c r="U39" i="1"/>
  <c r="T37" i="1"/>
  <c r="U37" i="1"/>
  <c r="T35" i="1"/>
  <c r="U35" i="1"/>
  <c r="T33" i="1"/>
  <c r="U33" i="1"/>
  <c r="T27" i="1"/>
  <c r="U27" i="1"/>
  <c r="T21" i="1"/>
  <c r="U21" i="1"/>
  <c r="T15" i="1"/>
  <c r="U15" i="1"/>
  <c r="T13" i="1"/>
  <c r="U13" i="1"/>
  <c r="T11" i="1"/>
  <c r="U11" i="1"/>
  <c r="T9" i="1"/>
  <c r="U9" i="1"/>
  <c r="T7" i="1"/>
  <c r="U7" i="1"/>
  <c r="U5" i="1" s="1"/>
  <c r="Z84" i="1"/>
  <c r="AK83" i="1"/>
  <c r="Z83" i="1"/>
  <c r="AK81" i="1"/>
  <c r="Z81" i="1"/>
  <c r="AK71" i="1"/>
  <c r="Z71" i="1"/>
  <c r="AK21" i="1"/>
  <c r="Z21" i="1"/>
  <c r="T6" i="1"/>
  <c r="V6" i="1" s="1"/>
  <c r="T20" i="1"/>
  <c r="V20" i="1" s="1"/>
  <c r="T22" i="1"/>
  <c r="V22" i="1" s="1"/>
  <c r="T24" i="1"/>
  <c r="V24" i="1" s="1"/>
  <c r="T34" i="1"/>
  <c r="V34" i="1" s="1"/>
  <c r="T38" i="1"/>
  <c r="V38" i="1" s="1"/>
  <c r="T42" i="1"/>
  <c r="V42" i="1" s="1"/>
  <c r="T46" i="1"/>
  <c r="V46" i="1" s="1"/>
  <c r="T92" i="1"/>
  <c r="V92" i="1" s="1"/>
  <c r="T94" i="1"/>
  <c r="V94" i="1" s="1"/>
  <c r="AA94" i="1"/>
  <c r="AA92" i="1"/>
  <c r="AA83" i="1"/>
  <c r="AA81" i="1"/>
  <c r="AA79" i="1"/>
  <c r="AA77" i="1"/>
  <c r="AA75" i="1"/>
  <c r="AA73" i="1"/>
  <c r="AA71" i="1"/>
  <c r="AA69" i="1"/>
  <c r="AA67" i="1"/>
  <c r="AA65" i="1"/>
  <c r="AA63" i="1"/>
  <c r="AA61" i="1"/>
  <c r="AA59" i="1"/>
  <c r="AA57" i="1"/>
  <c r="AA55" i="1"/>
  <c r="AA53" i="1"/>
  <c r="AA51" i="1"/>
  <c r="AA49" i="1"/>
  <c r="AA47" i="1"/>
  <c r="AA45" i="1"/>
  <c r="AA43" i="1"/>
  <c r="AA41" i="1"/>
  <c r="AA39" i="1"/>
  <c r="AA37" i="1"/>
  <c r="AA35" i="1"/>
  <c r="AA33" i="1"/>
  <c r="AA31" i="1"/>
  <c r="AA29" i="1"/>
  <c r="AA27" i="1"/>
  <c r="AA25" i="1"/>
  <c r="AA23" i="1"/>
  <c r="AA21" i="1"/>
  <c r="AA19" i="1"/>
  <c r="AA17" i="1"/>
  <c r="AA15" i="1"/>
  <c r="AA13" i="1"/>
  <c r="AA11" i="1"/>
  <c r="AA9" i="1"/>
  <c r="AA7" i="1"/>
  <c r="AA93" i="1"/>
  <c r="AA91" i="1"/>
  <c r="AA87" i="1"/>
  <c r="AA89" i="1"/>
  <c r="AA85" i="1"/>
  <c r="AA90" i="1"/>
  <c r="AA88" i="1"/>
  <c r="AA86" i="1"/>
  <c r="AA84" i="1"/>
  <c r="AA82" i="1"/>
  <c r="AA80" i="1"/>
  <c r="AA78" i="1"/>
  <c r="AA76" i="1"/>
  <c r="AA74" i="1"/>
  <c r="AA72" i="1"/>
  <c r="AA70" i="1"/>
  <c r="AA68" i="1"/>
  <c r="AA66" i="1"/>
  <c r="AA64" i="1"/>
  <c r="AA62" i="1"/>
  <c r="AA60" i="1"/>
  <c r="AA58" i="1"/>
  <c r="AA56" i="1"/>
  <c r="AA54" i="1"/>
  <c r="AA52" i="1"/>
  <c r="AA50" i="1"/>
  <c r="AA48" i="1"/>
  <c r="AA46" i="1"/>
  <c r="AA44" i="1"/>
  <c r="AA42" i="1"/>
  <c r="AA40" i="1"/>
  <c r="AA38" i="1"/>
  <c r="AA36" i="1"/>
  <c r="AA34" i="1"/>
  <c r="AA32" i="1"/>
  <c r="AA30" i="1"/>
  <c r="AA28" i="1"/>
  <c r="AA26" i="1"/>
  <c r="AA24" i="1"/>
  <c r="AA22" i="1"/>
  <c r="AA20" i="1"/>
  <c r="AA18" i="1"/>
  <c r="AA16" i="1"/>
  <c r="AA14" i="1"/>
  <c r="AA12" i="1"/>
  <c r="AA10" i="1"/>
  <c r="AA8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I5" i="1"/>
  <c r="AH5" i="1"/>
  <c r="AG5" i="1"/>
  <c r="AF5" i="1"/>
  <c r="AE5" i="1"/>
  <c r="AD5" i="1"/>
  <c r="AC5" i="1"/>
  <c r="AB5" i="1"/>
  <c r="W5" i="1"/>
  <c r="S5" i="1"/>
  <c r="Q5" i="1"/>
  <c r="P5" i="1"/>
  <c r="O5" i="1"/>
  <c r="N5" i="1"/>
  <c r="M5" i="1"/>
  <c r="K5" i="1"/>
  <c r="F5" i="1"/>
  <c r="E5" i="1"/>
  <c r="V7" i="1" l="1"/>
  <c r="V9" i="1"/>
  <c r="V11" i="1"/>
  <c r="V13" i="1"/>
  <c r="V15" i="1"/>
  <c r="V27" i="1"/>
  <c r="V33" i="1"/>
  <c r="V35" i="1"/>
  <c r="V37" i="1"/>
  <c r="V39" i="1"/>
  <c r="V41" i="1"/>
  <c r="V43" i="1"/>
  <c r="V45" i="1"/>
  <c r="V49" i="1"/>
  <c r="V51" i="1"/>
  <c r="V53" i="1"/>
  <c r="V55" i="1"/>
  <c r="V57" i="1"/>
  <c r="V61" i="1"/>
  <c r="V63" i="1"/>
  <c r="V65" i="1"/>
  <c r="V69" i="1"/>
  <c r="V75" i="1"/>
  <c r="V77" i="1"/>
  <c r="V79" i="1"/>
  <c r="V87" i="1"/>
  <c r="V91" i="1"/>
  <c r="V10" i="1"/>
  <c r="V14" i="1"/>
  <c r="AK14" i="1" s="1"/>
  <c r="V16" i="1"/>
  <c r="V36" i="1"/>
  <c r="AK36" i="1" s="1"/>
  <c r="V44" i="1"/>
  <c r="V50" i="1"/>
  <c r="AK50" i="1" s="1"/>
  <c r="V52" i="1"/>
  <c r="V54" i="1"/>
  <c r="AK54" i="1" s="1"/>
  <c r="V56" i="1"/>
  <c r="V58" i="1"/>
  <c r="AK58" i="1" s="1"/>
  <c r="V60" i="1"/>
  <c r="V62" i="1"/>
  <c r="AK62" i="1" s="1"/>
  <c r="V66" i="1"/>
  <c r="V74" i="1"/>
  <c r="AK74" i="1" s="1"/>
  <c r="V76" i="1"/>
  <c r="V82" i="1"/>
  <c r="AK82" i="1" s="1"/>
  <c r="V90" i="1"/>
  <c r="Z82" i="1"/>
  <c r="Z36" i="1"/>
  <c r="AK92" i="1"/>
  <c r="Z92" i="1"/>
  <c r="AK42" i="1"/>
  <c r="Z42" i="1"/>
  <c r="AK34" i="1"/>
  <c r="Z34" i="1"/>
  <c r="AK22" i="1"/>
  <c r="Z22" i="1"/>
  <c r="AK6" i="1"/>
  <c r="Z6" i="1"/>
  <c r="AK94" i="1"/>
  <c r="Z94" i="1"/>
  <c r="AK46" i="1"/>
  <c r="Z46" i="1"/>
  <c r="AK38" i="1"/>
  <c r="Z38" i="1"/>
  <c r="AK24" i="1"/>
  <c r="Z24" i="1"/>
  <c r="AK20" i="1"/>
  <c r="Z20" i="1"/>
  <c r="T5" i="1"/>
  <c r="L5" i="1"/>
  <c r="Z54" i="1" l="1"/>
  <c r="Z14" i="1"/>
  <c r="Z50" i="1"/>
  <c r="Z62" i="1"/>
  <c r="Z58" i="1"/>
  <c r="Z74" i="1"/>
  <c r="Z90" i="1"/>
  <c r="AK90" i="1"/>
  <c r="AK76" i="1"/>
  <c r="Z76" i="1"/>
  <c r="AK66" i="1"/>
  <c r="Z66" i="1"/>
  <c r="AK60" i="1"/>
  <c r="Z60" i="1"/>
  <c r="AK56" i="1"/>
  <c r="Z56" i="1"/>
  <c r="AK52" i="1"/>
  <c r="Z52" i="1"/>
  <c r="AK44" i="1"/>
  <c r="Z44" i="1"/>
  <c r="AK16" i="1"/>
  <c r="Z16" i="1"/>
  <c r="AK10" i="1"/>
  <c r="Z10" i="1"/>
  <c r="AK87" i="1"/>
  <c r="Z87" i="1"/>
  <c r="AK77" i="1"/>
  <c r="Z77" i="1"/>
  <c r="AK69" i="1"/>
  <c r="Z69" i="1"/>
  <c r="AK63" i="1"/>
  <c r="Z63" i="1"/>
  <c r="AK57" i="1"/>
  <c r="Z57" i="1"/>
  <c r="AK53" i="1"/>
  <c r="Z53" i="1"/>
  <c r="AK49" i="1"/>
  <c r="Z49" i="1"/>
  <c r="AK43" i="1"/>
  <c r="Z43" i="1"/>
  <c r="AK39" i="1"/>
  <c r="Z39" i="1"/>
  <c r="AK35" i="1"/>
  <c r="Z35" i="1"/>
  <c r="AK27" i="1"/>
  <c r="Z27" i="1"/>
  <c r="AK13" i="1"/>
  <c r="Z13" i="1"/>
  <c r="AK9" i="1"/>
  <c r="Z9" i="1"/>
  <c r="V5" i="1"/>
  <c r="Z91" i="1"/>
  <c r="AK91" i="1"/>
  <c r="Z79" i="1"/>
  <c r="AK79" i="1"/>
  <c r="AK75" i="1"/>
  <c r="Z75" i="1"/>
  <c r="AK65" i="1"/>
  <c r="Z65" i="1"/>
  <c r="AK61" i="1"/>
  <c r="Z61" i="1"/>
  <c r="AK55" i="1"/>
  <c r="Z55" i="1"/>
  <c r="AK51" i="1"/>
  <c r="Z51" i="1"/>
  <c r="AK45" i="1"/>
  <c r="Z45" i="1"/>
  <c r="AK41" i="1"/>
  <c r="Z41" i="1"/>
  <c r="AK37" i="1"/>
  <c r="Z37" i="1"/>
  <c r="AK33" i="1"/>
  <c r="Z33" i="1"/>
  <c r="Z15" i="1"/>
  <c r="AK15" i="1"/>
  <c r="AK11" i="1"/>
  <c r="Z11" i="1"/>
  <c r="Z7" i="1"/>
  <c r="AK7" i="1"/>
  <c r="AK5" i="1" l="1"/>
</calcChain>
</file>

<file path=xl/sharedStrings.xml><?xml version="1.0" encoding="utf-8"?>
<sst xmlns="http://schemas.openxmlformats.org/spreadsheetml/2006/main" count="361" uniqueCount="151">
  <si>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</si>
  <si>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</si>
  <si>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</si>
  <si>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</si>
  <si>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</si>
  <si>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</si>
  <si>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</si>
  <si>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</si>
  <si>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</si>
  <si>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</si>
  <si>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</si>
  <si>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</si>
  <si>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</si>
  <si>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</si>
  <si>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</si>
  <si>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</si>
  <si>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</si>
  <si>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</si>
  <si>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</si>
  <si>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</si>
  <si>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</si>
  <si>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</si>
  <si>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</si>
  <si>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</si>
  <si>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13,12,(2)</t>
  </si>
  <si>
    <t>15,12,</t>
  </si>
  <si>
    <t>17,12,</t>
  </si>
  <si>
    <t>16,12,</t>
  </si>
  <si>
    <t>11,12,</t>
  </si>
  <si>
    <t>09,12,</t>
  </si>
  <si>
    <t>04,12,</t>
  </si>
  <si>
    <t>02,12,</t>
  </si>
  <si>
    <t>27,11,</t>
  </si>
  <si>
    <t>25,11,</t>
  </si>
  <si>
    <t>20,11,</t>
  </si>
  <si>
    <t>18,11,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</si>
  <si>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</si>
  <si>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</si>
  <si>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</si>
  <si>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</si>
  <si>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</si>
  <si>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</si>
  <si>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</si>
  <si>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</si>
  <si>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</si>
  <si>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</si>
  <si>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</si>
  <si>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нужно увеличить продажи!!!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</si>
  <si>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</si>
  <si>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</si>
  <si>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</si>
  <si>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</si>
  <si>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</si>
  <si>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</si>
  <si>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</si>
  <si>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</si>
  <si>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</si>
  <si>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</si>
  <si>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</si>
  <si>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</si>
  <si>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</si>
  <si>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</si>
  <si>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</si>
  <si>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</si>
  <si>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</si>
  <si>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</si>
  <si>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</si>
  <si>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</si>
  <si>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</si>
  <si>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</si>
  <si>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</si>
  <si>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</si>
  <si>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</si>
  <si>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</si>
  <si>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</si>
  <si>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</si>
  <si>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</si>
  <si>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</si>
  <si>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</si>
  <si>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</si>
  <si>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</si>
  <si>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</si>
  <si>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</si>
  <si>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</si>
  <si>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</si>
  <si>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</si>
  <si>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</si>
  <si>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</si>
  <si>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</si>
  <si>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</si>
  <si>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</si>
  <si>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ноябрь_декабрь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</si>
  <si>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</si>
  <si>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</si>
  <si>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</si>
  <si>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</si>
  <si>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</si>
  <si>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</si>
  <si>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</si>
  <si>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</si>
  <si>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</si>
  <si>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</si>
  <si>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</si>
  <si>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</si>
  <si>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</si>
  <si>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</si>
  <si>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</si>
  <si>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</si>
  <si>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ВНИМАНИЕ / матрица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</si>
  <si>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</si>
  <si>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</si>
  <si>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</si>
  <si>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</si>
  <si>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</si>
  <si>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</si>
  <si>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</si>
  <si>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</si>
  <si>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</si>
  <si>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>нужно увеличить продажи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</si>
  <si>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</si>
  <si>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</si>
  <si>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</si>
  <si>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ноябрь_декабрь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</si>
  <si>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</si>
  <si>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</si>
  <si>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</si>
  <si>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</si>
  <si>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</si>
  <si>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</si>
  <si>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</si>
  <si>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</si>
  <si>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</si>
  <si>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</si>
  <si>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</si>
  <si>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</si>
  <si>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</si>
  <si>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05,12,25 списание 29кг (сроки) / нет в бланке</t>
  </si>
  <si>
    <t>377  Колбаса Молочная Дугушка 0,6кг ТМ Стародворье 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</si>
  <si>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</si>
  <si>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</si>
  <si>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</si>
  <si>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</si>
  <si>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</si>
  <si>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</si>
  <si>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</si>
  <si>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Химич</t>
  </si>
  <si>
    <t>нужно увеличить продажи / 23,06,25 в уценку 6кг / 22,04,25 в уценку 34 кг / 25,01,25 в уценку 108кг</t>
  </si>
  <si>
    <t>до машины</t>
  </si>
  <si>
    <t>заказ</t>
  </si>
  <si>
    <t>20,12,</t>
  </si>
  <si>
    <t>Бутырин(20,12)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</si>
</sst>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5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1" fillId="0" borderId="1" xfId="1" applyNumberFormat="1" applyFill="1"/>
    <xf numFmtId="164" fontId="4" fillId="8" borderId="1" xfId="1" applyNumberFormat="1" applyFont="1" applyFill="1"/>
    <xf numFmtId="164" fontId="1" fillId="8" borderId="1" xfId="1" applyNumberFormat="1" applyFill="1"/>
    <xf numFmtId="164" fontId="6" fillId="8" borderId="1" xfId="1" applyNumberFormat="1" applyFon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56;&#1040;&#1041;&#1054;&#1063;&#1048;&#1049;%20&#1057;&#1058;&#1054;&#1051;/15,12,25%20&#1041;&#1091;&#1090;&#1099;&#1088;&#1080;&#1085;%20&#1085;&#1072;%20&#1087;&#1086;&#1075;&#1088;&#1091;&#1079;&#1082;&#1091;%20&#1089;%20&#1092;&#1080;&#1083;&#1080;&#1072;&#1083;&#1072;&#1084;&#1080;%2020,12,25/&#1041;&#1091;&#1090;&#1099;&#1088;&#1080;&#1085;%20&#1044;.&#1042;%2023.12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 t="str">
            <v xml:space="preserve">Ип Бутырин Д.В Донецк Отоская 79а 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крат</v>
          </cell>
          <cell r="D3" t="str">
            <v>заказ шт/кг</v>
          </cell>
        </row>
        <row r="4">
          <cell r="D4">
            <v>1869</v>
          </cell>
        </row>
        <row r="5">
          <cell r="A5" t="str">
            <v xml:space="preserve"> 005  Колбаса Докторская ГОСТ, Вязанка вектор,ВЕС. ПОКОМ</v>
          </cell>
          <cell r="B5" t="str">
            <v>кг</v>
          </cell>
          <cell r="C5">
            <v>1</v>
          </cell>
        </row>
        <row r="6">
          <cell r="A6" t="str">
            <v xml:space="preserve"> 016  Сосиски Вязанка Молочные, Вязанка вискофан  ВЕС.ПОКОМ</v>
          </cell>
          <cell r="B6" t="str">
            <v>кг</v>
          </cell>
          <cell r="C6">
            <v>1</v>
          </cell>
          <cell r="D6">
            <v>94</v>
          </cell>
        </row>
        <row r="7">
          <cell r="A7" t="str">
            <v xml:space="preserve"> 017  Сосиски Вязанка Сливочные, Вязанка амицел ВЕС.ПОКОМ</v>
          </cell>
          <cell r="B7" t="str">
            <v>кг</v>
          </cell>
          <cell r="C7">
            <v>1</v>
          </cell>
          <cell r="D7">
            <v>110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B8" t="str">
            <v>шт</v>
          </cell>
          <cell r="C8">
            <v>0.45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B9" t="str">
            <v>шт</v>
          </cell>
          <cell r="C9">
            <v>0.45</v>
          </cell>
        </row>
        <row r="10">
          <cell r="A10" t="str">
            <v xml:space="preserve"> 047  Кол Баварская, белков.обол. в термоусад. пакете 0.17 кг, ТМ Стародворье  ПОКОМ</v>
          </cell>
          <cell r="B10" t="str">
            <v>шт</v>
          </cell>
          <cell r="C10">
            <v>0.17</v>
          </cell>
        </row>
        <row r="11">
          <cell r="A11" t="str">
            <v xml:space="preserve"> 062  Колбаса Кракушка пряная с сальцем, 0.3кг в/у п/к, БАВАРУШКА ПОКОМ</v>
          </cell>
          <cell r="B11" t="str">
            <v>шт</v>
          </cell>
          <cell r="C11">
            <v>0.3</v>
          </cell>
        </row>
        <row r="12">
          <cell r="A12" t="str">
            <v xml:space="preserve"> 083  Колбаса Швейцарская 0,17 кг., ШТ., сырокопченая   ПОКОМ</v>
          </cell>
          <cell r="B12" t="str">
            <v>шт</v>
          </cell>
          <cell r="C12">
            <v>0.17</v>
          </cell>
        </row>
        <row r="13">
          <cell r="A13" t="str">
            <v xml:space="preserve"> 117  Колбаса Сервелат Филейбургский с ароматными пряностями, в/у 0,35 кг срез, БАВАРУШКА ПОКОМ</v>
          </cell>
          <cell r="B13" t="str">
            <v>шт</v>
          </cell>
          <cell r="C13">
            <v>0.35</v>
          </cell>
        </row>
        <row r="14">
          <cell r="A14" t="str">
            <v xml:space="preserve"> 118  Колбаса Сервелат Филейбургский с филе сочного окорока, в/у 0,35 кг срез, БАВАРУШКА ПОКОМ</v>
          </cell>
          <cell r="B14" t="str">
            <v>шт</v>
          </cell>
          <cell r="C14">
            <v>0.35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</v>
          </cell>
          <cell r="D15">
            <v>105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</v>
          </cell>
          <cell r="D16">
            <v>132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1</v>
          </cell>
        </row>
        <row r="18">
          <cell r="A18" t="str">
            <v xml:space="preserve"> 219  Колбаса Докторская Особая ТМ Особый рецепт, ВЕС  ПОКОМ</v>
          </cell>
          <cell r="B18" t="str">
            <v>кг</v>
          </cell>
          <cell r="C18">
            <v>1</v>
          </cell>
          <cell r="D18">
            <v>128</v>
          </cell>
        </row>
        <row r="19">
          <cell r="A19" t="str">
            <v xml:space="preserve"> 229  Колбаса Молочная Дугушка, в/у, ВЕС, ТМ Стародворье   ПОКОМ</v>
          </cell>
          <cell r="B19" t="str">
            <v>кг</v>
          </cell>
          <cell r="C19">
            <v>1</v>
          </cell>
          <cell r="D19">
            <v>314</v>
          </cell>
        </row>
        <row r="20">
          <cell r="A20" t="str">
            <v xml:space="preserve"> 236  Колбаса Рубленая ЗАПЕЧ. Дугушка ТМ Стародворье, вектор, в/к    ПОКОМ</v>
          </cell>
          <cell r="B20" t="str">
            <v>кг</v>
          </cell>
          <cell r="C20">
            <v>1</v>
          </cell>
          <cell r="D20">
            <v>88</v>
          </cell>
        </row>
        <row r="21">
          <cell r="A21" t="str">
            <v xml:space="preserve"> 239  Колбаса Салями запеч Дугушка, оболочка вектор, ВЕС, ТМ Стародворье  ПОКОМ</v>
          </cell>
          <cell r="B21" t="str">
            <v>кг</v>
          </cell>
          <cell r="C21">
            <v>1</v>
          </cell>
          <cell r="D21">
            <v>64</v>
          </cell>
        </row>
        <row r="22">
          <cell r="A22" t="str">
            <v xml:space="preserve"> 242  Колбаса Сервелат ЗАПЕЧ.Дугушка ТМ Стародворье, вектор, в/к     ПОКОМ</v>
          </cell>
          <cell r="B22" t="str">
            <v>кг</v>
          </cell>
          <cell r="C22">
            <v>1</v>
          </cell>
          <cell r="D22">
            <v>63</v>
          </cell>
        </row>
        <row r="23">
          <cell r="A23" t="str">
            <v xml:space="preserve"> 250  Сардельки стародворские с говядиной в обол. NDX, ВЕС. ПОКОМ</v>
          </cell>
          <cell r="B23" t="str">
            <v>кг</v>
          </cell>
          <cell r="C23">
            <v>1</v>
          </cell>
          <cell r="D23">
            <v>60</v>
          </cell>
        </row>
        <row r="24">
          <cell r="A24" t="str">
            <v xml:space="preserve"> 267  Колбаса Салями Филейбургская зернистая, оболочка фиброуз, ВЕС, ТМ Баварушка  ПОКОМ</v>
          </cell>
          <cell r="B24" t="str">
            <v>кг</v>
          </cell>
          <cell r="C24">
            <v>1</v>
          </cell>
        </row>
        <row r="25">
          <cell r="A25" t="str">
            <v xml:space="preserve"> 273  Сосиски Сочинки с сочной грудинкой, МГС 0.4кг,   ПОКОМ</v>
          </cell>
          <cell r="B25" t="str">
            <v>шт</v>
          </cell>
          <cell r="C25">
            <v>0.4</v>
          </cell>
          <cell r="D25">
            <v>211</v>
          </cell>
        </row>
        <row r="26">
          <cell r="A26" t="str">
            <v xml:space="preserve"> 276  Колбаса Сливушка ТМ Вязанка в оболочке полиамид 0,45 кг  ПОКОМ</v>
          </cell>
          <cell r="B26" t="str">
            <v>шт</v>
          </cell>
          <cell r="C26">
            <v>0.45</v>
          </cell>
        </row>
        <row r="27">
          <cell r="A27" t="str">
            <v xml:space="preserve"> 278  Сосиски Сочинки с сочным окороком, МГС 0.4кг,   ПОКОМ</v>
          </cell>
          <cell r="B27" t="str">
            <v>шт</v>
          </cell>
          <cell r="C27">
            <v>0.4</v>
          </cell>
          <cell r="D27">
            <v>211</v>
          </cell>
        </row>
        <row r="28">
          <cell r="A28" t="str">
            <v xml:space="preserve"> 283  Сосиски Сочинки, ВЕС, ТМ Стародворье ПОКОМ</v>
          </cell>
          <cell r="B28" t="str">
            <v>кг</v>
          </cell>
          <cell r="C28">
            <v>1</v>
          </cell>
        </row>
        <row r="29">
          <cell r="A29" t="str">
            <v xml:space="preserve"> 296  Колбаса Мясорубская с рубленой грудинкой 0,35кг срез ТМ Стародворье  ПОКОМ</v>
          </cell>
          <cell r="B29" t="str">
            <v>шт</v>
          </cell>
          <cell r="C29">
            <v>0.35</v>
          </cell>
        </row>
        <row r="30">
          <cell r="A30" t="str">
            <v xml:space="preserve"> 297  Колбаса Мясорубская с рубленой грудинкой ВЕС ТМ Стародворье  ПОКОМ</v>
          </cell>
          <cell r="B30" t="str">
            <v>кг</v>
          </cell>
          <cell r="C30">
            <v>1</v>
          </cell>
        </row>
        <row r="31">
          <cell r="A31" t="str">
            <v xml:space="preserve"> 301  Сосиски Сочинки по-баварски с сыром,  0.4кг, ТМ Стародворье  ПОКОМ</v>
          </cell>
          <cell r="B31" t="str">
            <v>шт</v>
          </cell>
          <cell r="C31">
            <v>0.4</v>
          </cell>
          <cell r="D31">
            <v>84</v>
          </cell>
        </row>
        <row r="32">
          <cell r="A32" t="str">
            <v xml:space="preserve"> 302  Сосиски Сочинки по-баварски,  0.4кг, ТМ Стародворье  ПОКОМ</v>
          </cell>
          <cell r="B32" t="str">
            <v>шт</v>
          </cell>
          <cell r="C32">
            <v>0.4</v>
          </cell>
          <cell r="D32">
            <v>78</v>
          </cell>
        </row>
        <row r="33">
          <cell r="A33" t="str">
            <v xml:space="preserve"> 305  Колбаса Сервелат Мясорубский с мелкорубленным окороком в/у  ТМ Стародворье ВЕС   ПОКОМ</v>
          </cell>
          <cell r="B33" t="str">
            <v>кг</v>
          </cell>
          <cell r="C33">
            <v>1</v>
          </cell>
        </row>
        <row r="34">
          <cell r="A34" t="str">
            <v xml:space="preserve"> 307  Колбаса Сервелат Мясорубский с мелкорубленным окороком 0,35 кг срез ТМ Стародворье   Поком</v>
          </cell>
          <cell r="B34" t="str">
            <v>шт</v>
          </cell>
          <cell r="C34">
            <v>0.35</v>
          </cell>
        </row>
        <row r="35">
          <cell r="A35" t="str">
            <v xml:space="preserve"> 309  Сосиски Сочинки с сыром 0,4 кг ТМ Стародворье  ПОКОМ</v>
          </cell>
          <cell r="B35" t="str">
            <v>шт</v>
          </cell>
          <cell r="C35">
            <v>0.4</v>
          </cell>
        </row>
        <row r="36">
          <cell r="A36" t="str">
            <v xml:space="preserve"> 312  Ветчина Филейская ВЕС ТМ  Вязанка ТС Столичная  ПОКОМ</v>
          </cell>
          <cell r="B36" t="str">
            <v>кг</v>
          </cell>
          <cell r="C36">
            <v>1</v>
          </cell>
        </row>
        <row r="37">
          <cell r="A37" t="str">
            <v xml:space="preserve"> 315  Колбаса вареная Молокуша ТМ Вязанка ВЕС, ПОКОМ</v>
          </cell>
          <cell r="B37" t="str">
            <v>кг</v>
          </cell>
          <cell r="C37">
            <v>1</v>
          </cell>
        </row>
        <row r="38">
          <cell r="A38" t="str">
            <v xml:space="preserve"> 322  Колбаса вареная Молокуша 0,45кг ТМ Вязанка  ПОКОМ</v>
          </cell>
          <cell r="B38" t="str">
            <v>шт</v>
          </cell>
          <cell r="C38">
            <v>0.45</v>
          </cell>
        </row>
        <row r="39">
          <cell r="A39" t="str">
            <v xml:space="preserve"> 328  Сардельки Сочинки Стародворье ТМ  0,4 кг ПОКОМ</v>
          </cell>
          <cell r="B39" t="str">
            <v>шт</v>
          </cell>
          <cell r="C39">
            <v>0.4</v>
          </cell>
        </row>
        <row r="40">
          <cell r="A40" t="str">
            <v xml:space="preserve"> 329  Сардельки Сочинки с сыром Стародворье ТМ, 0,4 кг. ПОКОМ</v>
          </cell>
          <cell r="B40" t="str">
            <v>шт</v>
          </cell>
          <cell r="C40">
            <v>0.4</v>
          </cell>
        </row>
        <row r="41">
          <cell r="A41" t="str">
            <v xml:space="preserve"> 330  Колбаса вареная Филейская ТМ Вязанка ТС Классическая ВЕС  ПОКОМ</v>
          </cell>
          <cell r="B41" t="str">
            <v>кг</v>
          </cell>
          <cell r="C41">
            <v>1</v>
          </cell>
        </row>
        <row r="42">
          <cell r="A42" t="str">
            <v xml:space="preserve"> 335  Колбаса Сливушка ТМ Вязанка. ВЕС.  ПОКОМ </v>
          </cell>
          <cell r="B42" t="str">
            <v>кг</v>
          </cell>
          <cell r="C42">
            <v>1</v>
          </cell>
        </row>
        <row r="43">
          <cell r="A43" t="str">
            <v xml:space="preserve"> 336  Ветчина Сливушка с индейкой ТМ Вязанка. ВЕС  ПОКОМ</v>
          </cell>
          <cell r="B43" t="str">
            <v>кг</v>
          </cell>
          <cell r="C43">
            <v>1</v>
          </cell>
        </row>
        <row r="44">
          <cell r="A44" t="str">
            <v xml:space="preserve"> 339  Колбаса вареная Филейская ТМ Вязанка ТС Классическая, 0,40 кг.  ПОКОМ</v>
          </cell>
          <cell r="B44" t="str">
            <v>шт</v>
          </cell>
          <cell r="C44">
            <v>0.4</v>
          </cell>
        </row>
        <row r="45">
          <cell r="A45" t="str">
            <v xml:space="preserve"> 342 Сосиски Сочинки Молочные ТМ Стародворье 0,4 кг ПОКОМ</v>
          </cell>
          <cell r="B45" t="str">
            <v>шт</v>
          </cell>
          <cell r="C45">
            <v>0.4</v>
          </cell>
        </row>
        <row r="46">
          <cell r="A46" t="str">
            <v xml:space="preserve"> 343 Сосиски Сочинки Сливочные ТМ Стародворье  0,4 кг</v>
          </cell>
          <cell r="B46" t="str">
            <v>шт</v>
          </cell>
          <cell r="C46">
            <v>0.4</v>
          </cell>
        </row>
        <row r="47">
          <cell r="A47" t="str">
            <v xml:space="preserve"> 344  Колбаса Сочинка по-европейски с сочной грудинкой ТМ Стародворье, ВЕС ПОКОМ</v>
          </cell>
          <cell r="B47" t="str">
            <v>кг</v>
          </cell>
          <cell r="C47">
            <v>1</v>
          </cell>
        </row>
        <row r="48">
          <cell r="A48" t="str">
            <v xml:space="preserve"> 345  Колбаса Сочинка по-фински с сочным окроком ТМ Стародворье ВЕС ПОКОМ</v>
          </cell>
          <cell r="B48" t="str">
            <v>кг</v>
          </cell>
          <cell r="C48">
            <v>1</v>
          </cell>
        </row>
        <row r="49">
          <cell r="A49" t="str">
            <v xml:space="preserve"> 347  Колбаса Сочинка рубленая с сочным окороком ТМ Стародворье ВЕС ПОКОМ</v>
          </cell>
          <cell r="B49" t="str">
            <v>кг</v>
          </cell>
          <cell r="C49">
            <v>1</v>
          </cell>
        </row>
        <row r="50">
          <cell r="A50" t="str">
            <v xml:space="preserve"> 364  Сардельки Филейские Вязанка ВЕС NDX ТМ Вязанка  ПОКОМ</v>
          </cell>
          <cell r="B50" t="str">
            <v>кг</v>
          </cell>
          <cell r="C50">
            <v>1</v>
          </cell>
        </row>
        <row r="51">
          <cell r="A51" t="str">
            <v xml:space="preserve"> 376  Колбаса Докторская Дугушка 0,6кг ГОСТ ТМ Стародворье  ПОКОМ </v>
          </cell>
          <cell r="B51" t="str">
            <v>шт</v>
          </cell>
          <cell r="C51">
            <v>0.6</v>
          </cell>
        </row>
        <row r="52">
          <cell r="A52" t="str">
            <v xml:space="preserve"> 397  Ветчина Дугушка ТМ Стародворье ТС Дугушка в полиамидной оболочке 0,6 кг. ПОКОМ</v>
          </cell>
          <cell r="B52" t="str">
            <v>шт</v>
          </cell>
          <cell r="C52">
            <v>0.6</v>
          </cell>
        </row>
        <row r="53">
          <cell r="A53" t="str">
            <v xml:space="preserve"> 408  Ветчина Сливушка с индейкой ТМ Вязанка, 0,4кг  ПОКОМ</v>
          </cell>
          <cell r="B53" t="str">
            <v>шт</v>
          </cell>
          <cell r="C53">
            <v>0.4</v>
          </cell>
        </row>
        <row r="54">
          <cell r="A54" t="str">
            <v xml:space="preserve"> 435  Колбаса Молочная Стародворская  с молоком в оболочке полиамид 0,4 кг.ТМ Стародворье ПОКОМ</v>
          </cell>
          <cell r="B54" t="str">
            <v>шт</v>
          </cell>
          <cell r="C54">
            <v>0.4</v>
          </cell>
        </row>
        <row r="55">
          <cell r="A55" t="str">
            <v xml:space="preserve"> 436  Колбаса Молочная стародворская с молоком, ВЕС, ТМ Стародворье  ПОКОМ</v>
          </cell>
          <cell r="B55" t="str">
            <v>кг</v>
          </cell>
          <cell r="C55">
            <v>1</v>
          </cell>
        </row>
        <row r="56">
          <cell r="A56" t="str">
            <v xml:space="preserve"> 447  Колбаски Краковюрст ТМ Баварушка с изысканными пряностями в оболочке NDX в в.у 0,2 кг. ПОКОМ </v>
          </cell>
          <cell r="B56" t="str">
            <v>шт</v>
          </cell>
          <cell r="C56">
            <v>0.2</v>
          </cell>
        </row>
        <row r="57">
          <cell r="A57" t="str">
            <v xml:space="preserve"> 449  Колбаса Дугушка Стародворская ВЕС ТС Дугушка ПОКОМ</v>
          </cell>
          <cell r="B57" t="str">
            <v>кг</v>
          </cell>
          <cell r="C57">
            <v>1</v>
          </cell>
        </row>
        <row r="58">
          <cell r="A58" t="str">
            <v xml:space="preserve"> 452  Колбаса Со шпиком ВЕС большой батон ТМ Особый рецепт  ПОКОМ</v>
          </cell>
          <cell r="B58" t="str">
            <v>кг</v>
          </cell>
          <cell r="C58">
            <v>1</v>
          </cell>
        </row>
        <row r="59">
          <cell r="A59" t="str">
            <v xml:space="preserve"> 456  Колбаса Филейная ТМ Особый рецепт ВЕС большой батон  ПОКОМ</v>
          </cell>
          <cell r="B59" t="str">
            <v>кг</v>
          </cell>
          <cell r="C59">
            <v>1</v>
          </cell>
        </row>
        <row r="60">
          <cell r="A60" t="str">
            <v xml:space="preserve"> 457  Колбаса Молочная ТМ Особый рецепт ВЕС большой батон  ПОКОМ</v>
          </cell>
          <cell r="B60" t="str">
            <v>кг</v>
          </cell>
          <cell r="C60">
            <v>1</v>
          </cell>
          <cell r="D60">
            <v>127</v>
          </cell>
        </row>
        <row r="61">
          <cell r="A61" t="str">
            <v xml:space="preserve"> 460  Колбаса Стародворская Традиционная ВЕС ТМ Стародворье в оболочке полиамид. ПОКОМ</v>
          </cell>
          <cell r="B61" t="str">
            <v>кг</v>
          </cell>
          <cell r="C61">
            <v>1</v>
          </cell>
        </row>
        <row r="62">
          <cell r="A62" t="str">
            <v xml:space="preserve"> 463  Колбаса Молочная Традиционнаяв оболочке полиамид.ТМ Стародворье. ВЕС ПОКОМ</v>
          </cell>
          <cell r="B62" t="str">
            <v>кг</v>
          </cell>
          <cell r="C62">
            <v>1</v>
          </cell>
        </row>
        <row r="63">
          <cell r="A63" t="str">
            <v xml:space="preserve"> 464  Колбаса Стародворская Традиционная со шпиком оболочке полиамид ТМ Стародворье.</v>
          </cell>
          <cell r="B63" t="str">
            <v>кг</v>
          </cell>
          <cell r="C63">
            <v>1</v>
          </cell>
        </row>
        <row r="64">
          <cell r="A64" t="str">
            <v xml:space="preserve"> 465  Колбаса Филейная оригинальная ВЕС 0,8кг ТМ Особый рецепт в оболочке полиамид  ПОКОМ</v>
          </cell>
          <cell r="B64" t="str">
            <v>кг</v>
          </cell>
          <cell r="C64">
            <v>1</v>
          </cell>
        </row>
        <row r="65">
          <cell r="A65" t="str">
            <v xml:space="preserve"> 490  Колбаса Сервелат Филейский ТМ Вязанка  0,3 кг. срез  ПОКОМ</v>
          </cell>
          <cell r="B65" t="str">
            <v>шт</v>
          </cell>
          <cell r="C65">
            <v>0.3</v>
          </cell>
        </row>
        <row r="66">
          <cell r="A66" t="str">
            <v xml:space="preserve"> 491  Колбаса Филейская Рубленая ТМ Вязанка  0,3 кг. срез.  ПОКОМ</v>
          </cell>
          <cell r="B66" t="str">
            <v>шт</v>
          </cell>
          <cell r="C66">
            <v>0.3</v>
          </cell>
        </row>
        <row r="67">
          <cell r="A67" t="str">
            <v xml:space="preserve"> 498  Колбаса Сочинка рубленая с сочным окороком 0,3кг ТМ Стародворье  ПОКОМ</v>
          </cell>
          <cell r="B67" t="str">
            <v>шт</v>
          </cell>
          <cell r="C67">
            <v>0.3</v>
          </cell>
        </row>
        <row r="68">
          <cell r="A68" t="str">
            <v>255  Сосиски Молочные для завтрака ТМ Особый рецепт, п/а МГС, ВЕС, ТМ Стародворье  ПОКОМ</v>
          </cell>
          <cell r="B68" t="str">
            <v>кг</v>
          </cell>
          <cell r="C68">
            <v>1</v>
          </cell>
        </row>
        <row r="69">
          <cell r="A69" t="str">
            <v>495  Колбаса Сочинка по-европейски с сочной грудинкой 0,3кг ТМ Стародворье  ПОКОМ</v>
          </cell>
          <cell r="B69" t="str">
            <v>шт</v>
          </cell>
          <cell r="C69">
            <v>0.3</v>
          </cell>
        </row>
        <row r="70">
          <cell r="A70" t="str">
            <v>496  Колбаса Сочинка по-фински с сочным окроком 0,3кг ТМ Стародворье  ПОКОМ</v>
          </cell>
          <cell r="B70" t="str">
            <v>шт</v>
          </cell>
          <cell r="C70">
            <v>0.3</v>
          </cell>
        </row>
        <row r="71">
          <cell r="A71" t="str">
            <v>501 Сосиски Филейские по-ганноверски ТМ Вязанка.в оболочке амицел в м.г.с ВЕС. ПОКОМ</v>
          </cell>
          <cell r="B71" t="str">
            <v>кг</v>
          </cell>
          <cell r="C71">
            <v>1</v>
          </cell>
        </row>
        <row r="72">
          <cell r="A72" t="str">
            <v>504  Ветчина Мясорубская с окороком 0,33кг срез ТМ Стародворье  ПОКОМ</v>
          </cell>
          <cell r="B72" t="str">
            <v>шт</v>
          </cell>
          <cell r="C72">
            <v>0.33</v>
          </cell>
        </row>
        <row r="73">
          <cell r="A73" t="str">
            <v>515  Колбаса Сервелат Мясорубский Делюкс 0,3кг ТМ Стародворье  ПОКОМ</v>
          </cell>
          <cell r="B73" t="str">
            <v>шт</v>
          </cell>
          <cell r="C73">
            <v>0.3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6" sqref="X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42578125" customWidth="1"/>
    <col min="10" max="10" width="1" customWidth="1"/>
    <col min="11" max="17" width="7" customWidth="1"/>
    <col min="18" max="18" width="7" style="23" customWidth="1"/>
    <col min="19" max="20" width="7" customWidth="1"/>
    <col min="21" max="22" width="7" style="23" customWidth="1"/>
    <col min="23" max="23" width="7" customWidth="1"/>
    <col min="24" max="24" width="13.140625" customWidth="1"/>
    <col min="25" max="25" width="7" customWidth="1"/>
    <col min="26" max="27" width="5" customWidth="1"/>
    <col min="28" max="35" width="6" customWidth="1"/>
    <col min="36" max="36" width="15.85546875" customWidth="1"/>
    <col min="37" max="37" width="7" customWidth="1"/>
    <col min="38" max="52" width="3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4">
        <v>-1.24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147</v>
      </c>
      <c r="V3" s="3" t="s">
        <v>148</v>
      </c>
      <c r="W3" s="7" t="s">
        <v>17</v>
      </c>
      <c r="X3" s="7" t="s">
        <v>18</v>
      </c>
      <c r="Y3" s="10" t="s">
        <v>145</v>
      </c>
      <c r="Z3" s="2" t="s">
        <v>19</v>
      </c>
      <c r="AA3" s="2" t="s">
        <v>20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22</v>
      </c>
      <c r="AK3" s="2" t="s">
        <v>23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150</v>
      </c>
      <c r="S4" s="1" t="s">
        <v>27</v>
      </c>
      <c r="T4" s="1"/>
      <c r="U4" s="1"/>
      <c r="V4" s="1" t="s">
        <v>149</v>
      </c>
      <c r="W4" s="1"/>
      <c r="X4" s="1"/>
      <c r="Y4" s="1"/>
      <c r="Z4" s="1"/>
      <c r="AA4" s="1"/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SUM(E6:E499)</f>
        <v>38611.589999999997</v>
      </c>
      <c r="F5" s="4">
        <f>SUM(F6:F499)</f>
        <v>47488.731</v>
      </c>
      <c r="G5" s="8"/>
      <c r="H5" s="1"/>
      <c r="I5" s="1"/>
      <c r="J5" s="1"/>
      <c r="K5" s="4">
        <f t="shared" ref="K5:Y5" si="0">SUM(K6:K499)</f>
        <v>44551.858</v>
      </c>
      <c r="L5" s="4">
        <f t="shared" si="0"/>
        <v>-5940.268</v>
      </c>
      <c r="M5" s="4">
        <f t="shared" si="0"/>
        <v>34767.902999999998</v>
      </c>
      <c r="N5" s="4">
        <f t="shared" si="0"/>
        <v>3843.6869999999999</v>
      </c>
      <c r="O5" s="4">
        <f t="shared" si="0"/>
        <v>4537.3072499999989</v>
      </c>
      <c r="P5" s="4">
        <f t="shared" si="0"/>
        <v>16216.848925999995</v>
      </c>
      <c r="Q5" s="4">
        <f t="shared" si="0"/>
        <v>3507.2027999999996</v>
      </c>
      <c r="R5" s="4">
        <f t="shared" ref="R5" si="1">SUM(R6:R499)</f>
        <v>1869</v>
      </c>
      <c r="S5" s="4">
        <f t="shared" si="0"/>
        <v>6953.5805999999984</v>
      </c>
      <c r="T5" s="4">
        <f t="shared" si="0"/>
        <v>32159.528160000013</v>
      </c>
      <c r="U5" s="4">
        <f t="shared" si="0"/>
        <v>-8156.4598480000004</v>
      </c>
      <c r="V5" s="4">
        <f t="shared" si="0"/>
        <v>24025.44073200001</v>
      </c>
      <c r="W5" s="4">
        <f t="shared" si="0"/>
        <v>0</v>
      </c>
      <c r="X5" s="1"/>
      <c r="Y5" s="4">
        <f t="shared" si="0"/>
        <v>0</v>
      </c>
      <c r="Z5" s="1"/>
      <c r="AA5" s="1"/>
      <c r="AB5" s="4">
        <f t="shared" ref="AB5:AI5" si="2">SUM(AB6:AB499)</f>
        <v>6680.8209999999999</v>
      </c>
      <c r="AC5" s="4">
        <f t="shared" si="2"/>
        <v>6846.5255999999999</v>
      </c>
      <c r="AD5" s="4">
        <f t="shared" si="2"/>
        <v>6312.9053999999996</v>
      </c>
      <c r="AE5" s="4">
        <f t="shared" si="2"/>
        <v>5752.2629999999999</v>
      </c>
      <c r="AF5" s="4">
        <f t="shared" si="2"/>
        <v>6866.8038000000015</v>
      </c>
      <c r="AG5" s="4">
        <f t="shared" si="2"/>
        <v>6386.0083999999988</v>
      </c>
      <c r="AH5" s="4">
        <f t="shared" si="2"/>
        <v>6783.7095999999992</v>
      </c>
      <c r="AI5" s="4">
        <f t="shared" si="2"/>
        <v>7266.0890000000036</v>
      </c>
      <c r="AJ5" s="1"/>
      <c r="AK5" s="4">
        <f>SUM(AK6:AK499)</f>
        <v>17702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36</v>
      </c>
      <c r="B6" s="1" t="s">
        <v>37</v>
      </c>
      <c r="C6" s="1">
        <v>11.218999999999999</v>
      </c>
      <c r="D6" s="1">
        <v>1101.837</v>
      </c>
      <c r="E6" s="1">
        <v>656.96600000000001</v>
      </c>
      <c r="F6" s="1">
        <v>66.040999999999997</v>
      </c>
      <c r="G6" s="8">
        <v>1</v>
      </c>
      <c r="H6" s="1">
        <v>50</v>
      </c>
      <c r="I6" s="1" t="s">
        <v>38</v>
      </c>
      <c r="J6" s="1"/>
      <c r="K6" s="1">
        <v>770.72500000000002</v>
      </c>
      <c r="L6" s="1">
        <f t="shared" ref="L6:L37" si="3">E6-K6</f>
        <v>-113.75900000000001</v>
      </c>
      <c r="M6" s="1">
        <f>E6-N6</f>
        <v>539.64099999999996</v>
      </c>
      <c r="N6" s="1">
        <v>117.325</v>
      </c>
      <c r="O6" s="1"/>
      <c r="P6" s="1">
        <v>0</v>
      </c>
      <c r="Q6" s="1"/>
      <c r="R6" s="1">
        <f>IFERROR(VLOOKUP(A6,[1]Sheet!$A:$D,4,0),0)</f>
        <v>0</v>
      </c>
      <c r="S6" s="1">
        <f>M6/5</f>
        <v>107.92819999999999</v>
      </c>
      <c r="T6" s="5">
        <f>9*S6-Q6-P6-O6-F6</f>
        <v>905.31279999999992</v>
      </c>
      <c r="U6" s="5">
        <f>$U$1*S6</f>
        <v>-133.83096799999998</v>
      </c>
      <c r="V6" s="5">
        <f>U6+T6</f>
        <v>771.48183199999994</v>
      </c>
      <c r="W6" s="5"/>
      <c r="X6" s="1"/>
      <c r="Y6" s="1"/>
      <c r="Z6" s="1">
        <f>(F6+O6+P6+Q6+V6)/S6</f>
        <v>7.76</v>
      </c>
      <c r="AA6" s="1">
        <f>(F6+O6+P6+Q6)/S6</f>
        <v>0.61189753929000945</v>
      </c>
      <c r="AB6" s="1">
        <v>34.925199999999997</v>
      </c>
      <c r="AC6" s="1">
        <v>21.172999999999998</v>
      </c>
      <c r="AD6" s="1">
        <v>57.832000000000008</v>
      </c>
      <c r="AE6" s="1">
        <v>49.332799999999999</v>
      </c>
      <c r="AF6" s="1">
        <v>31.3186</v>
      </c>
      <c r="AG6" s="1">
        <v>41.005799999999986</v>
      </c>
      <c r="AH6" s="1">
        <v>51.827199999999991</v>
      </c>
      <c r="AI6" s="1">
        <v>36.511000000000003</v>
      </c>
      <c r="AJ6" s="1"/>
      <c r="AK6" s="1">
        <f>ROUND(G6*V6,0)</f>
        <v>771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39</v>
      </c>
      <c r="B7" s="1" t="s">
        <v>37</v>
      </c>
      <c r="C7" s="1">
        <v>89.747</v>
      </c>
      <c r="D7" s="1">
        <v>809.74599999999998</v>
      </c>
      <c r="E7" s="1">
        <v>344.23500000000001</v>
      </c>
      <c r="F7" s="1">
        <v>281.90199999999999</v>
      </c>
      <c r="G7" s="8">
        <v>1</v>
      </c>
      <c r="H7" s="1">
        <v>45</v>
      </c>
      <c r="I7" s="1" t="s">
        <v>38</v>
      </c>
      <c r="J7" s="1"/>
      <c r="K7" s="1">
        <v>505.25799999999998</v>
      </c>
      <c r="L7" s="1">
        <f t="shared" si="3"/>
        <v>-161.02299999999997</v>
      </c>
      <c r="M7" s="1">
        <f t="shared" ref="M7:M70" si="4">E7-N7</f>
        <v>172.16300000000001</v>
      </c>
      <c r="N7" s="1">
        <v>172.072</v>
      </c>
      <c r="O7" s="1"/>
      <c r="P7" s="1">
        <v>171.8296000000002</v>
      </c>
      <c r="Q7" s="1"/>
      <c r="R7" s="1">
        <f>IFERROR(VLOOKUP(A7,[1]Sheet!$A:$D,4,0),0)</f>
        <v>94</v>
      </c>
      <c r="S7" s="1">
        <f t="shared" ref="S7:S70" si="5">M7/5</f>
        <v>34.432600000000001</v>
      </c>
      <c r="T7" s="5">
        <f t="shared" ref="T7:T16" si="6">15*S7-Q7-P7-O7-F7</f>
        <v>62.757399999999848</v>
      </c>
      <c r="U7" s="5">
        <f>$U$1*S7</f>
        <v>-42.696424</v>
      </c>
      <c r="V7" s="5">
        <f t="shared" ref="V7:V70" si="7">U7+T7</f>
        <v>20.060975999999847</v>
      </c>
      <c r="W7" s="5"/>
      <c r="X7" s="1"/>
      <c r="Y7" s="1"/>
      <c r="Z7" s="1">
        <f t="shared" ref="Z7:Z70" si="8">(F7+O7+P7+Q7+V7)/S7</f>
        <v>13.760000000000002</v>
      </c>
      <c r="AA7" s="1">
        <f t="shared" ref="AA7:AA70" si="9">(F7+O7+P7+Q7)/S7</f>
        <v>13.177384223090913</v>
      </c>
      <c r="AB7" s="1">
        <v>36.957800000000013</v>
      </c>
      <c r="AC7" s="1">
        <v>35.177799999999998</v>
      </c>
      <c r="AD7" s="1">
        <v>28.428999999999998</v>
      </c>
      <c r="AE7" s="1">
        <v>22.7546</v>
      </c>
      <c r="AF7" s="1">
        <v>28.552800000000001</v>
      </c>
      <c r="AG7" s="1">
        <v>28.0106</v>
      </c>
      <c r="AH7" s="1">
        <v>30.247199999999999</v>
      </c>
      <c r="AI7" s="1">
        <v>30.461200000000002</v>
      </c>
      <c r="AJ7" s="1"/>
      <c r="AK7" s="1">
        <f t="shared" ref="AK7:AK70" si="10">ROUND(G7*V7,0)</f>
        <v>20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40</v>
      </c>
      <c r="B8" s="1" t="s">
        <v>37</v>
      </c>
      <c r="C8" s="1">
        <v>504.11200000000002</v>
      </c>
      <c r="D8" s="1">
        <v>1693.8019999999999</v>
      </c>
      <c r="E8" s="1">
        <v>841.07299999999998</v>
      </c>
      <c r="F8" s="1">
        <v>624.32299999999998</v>
      </c>
      <c r="G8" s="8">
        <v>1</v>
      </c>
      <c r="H8" s="1">
        <v>45</v>
      </c>
      <c r="I8" s="1" t="s">
        <v>38</v>
      </c>
      <c r="J8" s="1"/>
      <c r="K8" s="1">
        <v>1253.806</v>
      </c>
      <c r="L8" s="1">
        <f t="shared" si="3"/>
        <v>-412.73300000000006</v>
      </c>
      <c r="M8" s="1">
        <f t="shared" si="4"/>
        <v>424.48999999999995</v>
      </c>
      <c r="N8" s="1">
        <v>416.58300000000003</v>
      </c>
      <c r="O8" s="1"/>
      <c r="P8" s="1">
        <v>971.87029000000041</v>
      </c>
      <c r="Q8" s="1"/>
      <c r="R8" s="1">
        <f>IFERROR(VLOOKUP(A8,[1]Sheet!$A:$D,4,0),0)</f>
        <v>110</v>
      </c>
      <c r="S8" s="1">
        <f t="shared" si="5"/>
        <v>84.897999999999996</v>
      </c>
      <c r="T8" s="5"/>
      <c r="U8" s="5"/>
      <c r="V8" s="5">
        <f t="shared" si="7"/>
        <v>0</v>
      </c>
      <c r="W8" s="5"/>
      <c r="X8" s="1"/>
      <c r="Y8" s="1"/>
      <c r="Z8" s="1">
        <f t="shared" si="8"/>
        <v>18.801306155622047</v>
      </c>
      <c r="AA8" s="1">
        <f t="shared" si="9"/>
        <v>18.801306155622047</v>
      </c>
      <c r="AB8" s="1">
        <v>144.35059999999999</v>
      </c>
      <c r="AC8" s="1">
        <v>122.66119999999999</v>
      </c>
      <c r="AD8" s="1">
        <v>92.555399999999992</v>
      </c>
      <c r="AE8" s="1">
        <v>83.119</v>
      </c>
      <c r="AF8" s="1">
        <v>114.33620000000001</v>
      </c>
      <c r="AG8" s="1">
        <v>107.63379999999999</v>
      </c>
      <c r="AH8" s="1">
        <v>124.9104</v>
      </c>
      <c r="AI8" s="1">
        <v>127.4502</v>
      </c>
      <c r="AJ8" s="1"/>
      <c r="AK8" s="1">
        <f t="shared" si="10"/>
        <v>0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41</v>
      </c>
      <c r="B9" s="1" t="s">
        <v>42</v>
      </c>
      <c r="C9" s="1">
        <v>1371</v>
      </c>
      <c r="D9" s="1">
        <v>407</v>
      </c>
      <c r="E9" s="1">
        <v>1064</v>
      </c>
      <c r="F9" s="1">
        <v>612</v>
      </c>
      <c r="G9" s="8">
        <v>0.45</v>
      </c>
      <c r="H9" s="1">
        <v>45</v>
      </c>
      <c r="I9" s="1" t="s">
        <v>38</v>
      </c>
      <c r="J9" s="1"/>
      <c r="K9" s="1">
        <v>1124</v>
      </c>
      <c r="L9" s="1">
        <f t="shared" si="3"/>
        <v>-60</v>
      </c>
      <c r="M9" s="1">
        <f t="shared" si="4"/>
        <v>1016</v>
      </c>
      <c r="N9" s="1">
        <v>48</v>
      </c>
      <c r="O9" s="1"/>
      <c r="P9" s="1">
        <v>1183.8</v>
      </c>
      <c r="Q9" s="1"/>
      <c r="R9" s="1">
        <f>IFERROR(VLOOKUP(A9,[1]Sheet!$A:$D,4,0),0)</f>
        <v>0</v>
      </c>
      <c r="S9" s="1">
        <f t="shared" si="5"/>
        <v>203.2</v>
      </c>
      <c r="T9" s="5">
        <f t="shared" si="6"/>
        <v>1252.2</v>
      </c>
      <c r="U9" s="5">
        <f t="shared" ref="U9:U11" si="11">$U$1*S9</f>
        <v>-251.96799999999999</v>
      </c>
      <c r="V9" s="5">
        <f t="shared" si="7"/>
        <v>1000.2320000000001</v>
      </c>
      <c r="W9" s="5"/>
      <c r="X9" s="1"/>
      <c r="Y9" s="1"/>
      <c r="Z9" s="1">
        <f t="shared" si="8"/>
        <v>13.760000000000002</v>
      </c>
      <c r="AA9" s="1">
        <f t="shared" si="9"/>
        <v>8.83759842519685</v>
      </c>
      <c r="AB9" s="1">
        <v>188.4</v>
      </c>
      <c r="AC9" s="1">
        <v>156.6</v>
      </c>
      <c r="AD9" s="1">
        <v>144.6</v>
      </c>
      <c r="AE9" s="1">
        <v>164.2</v>
      </c>
      <c r="AF9" s="1">
        <v>172.6</v>
      </c>
      <c r="AG9" s="1">
        <v>146.6</v>
      </c>
      <c r="AH9" s="1">
        <v>141</v>
      </c>
      <c r="AI9" s="1">
        <v>133.80000000000001</v>
      </c>
      <c r="AJ9" s="1" t="s">
        <v>43</v>
      </c>
      <c r="AK9" s="1">
        <f t="shared" si="10"/>
        <v>450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44</v>
      </c>
      <c r="B10" s="1" t="s">
        <v>42</v>
      </c>
      <c r="C10" s="1">
        <v>2025</v>
      </c>
      <c r="D10" s="1">
        <v>785</v>
      </c>
      <c r="E10" s="1">
        <v>1525</v>
      </c>
      <c r="F10" s="1">
        <v>894</v>
      </c>
      <c r="G10" s="8">
        <v>0.45</v>
      </c>
      <c r="H10" s="1">
        <v>45</v>
      </c>
      <c r="I10" s="1" t="s">
        <v>38</v>
      </c>
      <c r="J10" s="1"/>
      <c r="K10" s="1">
        <v>1764</v>
      </c>
      <c r="L10" s="1">
        <f t="shared" si="3"/>
        <v>-239</v>
      </c>
      <c r="M10" s="1">
        <f t="shared" si="4"/>
        <v>1303</v>
      </c>
      <c r="N10" s="1">
        <v>222</v>
      </c>
      <c r="O10" s="1"/>
      <c r="P10" s="1">
        <v>1623.8</v>
      </c>
      <c r="Q10" s="1"/>
      <c r="R10" s="1">
        <f>IFERROR(VLOOKUP(A10,[1]Sheet!$A:$D,4,0),0)</f>
        <v>0</v>
      </c>
      <c r="S10" s="1">
        <f t="shared" si="5"/>
        <v>260.60000000000002</v>
      </c>
      <c r="T10" s="5">
        <f t="shared" si="6"/>
        <v>1391.2000000000007</v>
      </c>
      <c r="U10" s="5">
        <f t="shared" si="11"/>
        <v>-323.14400000000001</v>
      </c>
      <c r="V10" s="5">
        <f t="shared" si="7"/>
        <v>1068.0560000000007</v>
      </c>
      <c r="W10" s="5"/>
      <c r="X10" s="1"/>
      <c r="Y10" s="1"/>
      <c r="Z10" s="1">
        <f t="shared" si="8"/>
        <v>13.760000000000002</v>
      </c>
      <c r="AA10" s="1">
        <f t="shared" si="9"/>
        <v>9.6615502686108972</v>
      </c>
      <c r="AB10" s="1">
        <v>270.2</v>
      </c>
      <c r="AC10" s="1">
        <v>249.2</v>
      </c>
      <c r="AD10" s="1">
        <v>219.4</v>
      </c>
      <c r="AE10" s="1">
        <v>240.4</v>
      </c>
      <c r="AF10" s="1">
        <v>272.39999999999998</v>
      </c>
      <c r="AG10" s="1">
        <v>258.2</v>
      </c>
      <c r="AH10" s="1">
        <v>335.8</v>
      </c>
      <c r="AI10" s="1">
        <v>416.4</v>
      </c>
      <c r="AJ10" s="1" t="s">
        <v>43</v>
      </c>
      <c r="AK10" s="1">
        <f t="shared" si="10"/>
        <v>481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45</v>
      </c>
      <c r="B11" s="1" t="s">
        <v>42</v>
      </c>
      <c r="C11" s="1">
        <v>71</v>
      </c>
      <c r="D11" s="1">
        <v>106</v>
      </c>
      <c r="E11" s="1">
        <v>73</v>
      </c>
      <c r="F11" s="1">
        <v>41</v>
      </c>
      <c r="G11" s="8">
        <v>0.17</v>
      </c>
      <c r="H11" s="1">
        <v>180</v>
      </c>
      <c r="I11" s="1" t="s">
        <v>38</v>
      </c>
      <c r="J11" s="1"/>
      <c r="K11" s="1">
        <v>73</v>
      </c>
      <c r="L11" s="1">
        <f t="shared" si="3"/>
        <v>0</v>
      </c>
      <c r="M11" s="1">
        <f t="shared" si="4"/>
        <v>73</v>
      </c>
      <c r="N11" s="1"/>
      <c r="O11" s="1"/>
      <c r="P11" s="1">
        <v>5.8000000000000114</v>
      </c>
      <c r="Q11" s="1"/>
      <c r="R11" s="1">
        <f>IFERROR(VLOOKUP(A11,[1]Sheet!$A:$D,4,0),0)</f>
        <v>0</v>
      </c>
      <c r="S11" s="1">
        <f t="shared" si="5"/>
        <v>14.6</v>
      </c>
      <c r="T11" s="5">
        <f>13*S11-Q11-P11-O11-F11</f>
        <v>142.99999999999997</v>
      </c>
      <c r="U11" s="5">
        <f t="shared" si="11"/>
        <v>-18.103999999999999</v>
      </c>
      <c r="V11" s="5">
        <f t="shared" si="7"/>
        <v>124.89599999999997</v>
      </c>
      <c r="W11" s="5"/>
      <c r="X11" s="1"/>
      <c r="Y11" s="1"/>
      <c r="Z11" s="1">
        <f t="shared" si="8"/>
        <v>11.759999999999998</v>
      </c>
      <c r="AA11" s="1">
        <f t="shared" si="9"/>
        <v>3.2054794520547953</v>
      </c>
      <c r="AB11" s="1">
        <v>8.4</v>
      </c>
      <c r="AC11" s="1">
        <v>13.8</v>
      </c>
      <c r="AD11" s="1">
        <v>14.8</v>
      </c>
      <c r="AE11" s="1">
        <v>13.2</v>
      </c>
      <c r="AF11" s="1">
        <v>13.6</v>
      </c>
      <c r="AG11" s="1">
        <v>16</v>
      </c>
      <c r="AH11" s="1">
        <v>14.2</v>
      </c>
      <c r="AI11" s="1">
        <v>11</v>
      </c>
      <c r="AJ11" s="1" t="s">
        <v>43</v>
      </c>
      <c r="AK11" s="1">
        <f t="shared" si="10"/>
        <v>21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46</v>
      </c>
      <c r="B12" s="1" t="s">
        <v>42</v>
      </c>
      <c r="C12" s="1">
        <v>10</v>
      </c>
      <c r="D12" s="1">
        <v>72</v>
      </c>
      <c r="E12" s="1">
        <v>20</v>
      </c>
      <c r="F12" s="1">
        <v>59</v>
      </c>
      <c r="G12" s="8">
        <v>0.3</v>
      </c>
      <c r="H12" s="1">
        <v>40</v>
      </c>
      <c r="I12" s="1" t="s">
        <v>38</v>
      </c>
      <c r="J12" s="1"/>
      <c r="K12" s="1">
        <v>20</v>
      </c>
      <c r="L12" s="1">
        <f t="shared" si="3"/>
        <v>0</v>
      </c>
      <c r="M12" s="1">
        <f t="shared" si="4"/>
        <v>20</v>
      </c>
      <c r="N12" s="1"/>
      <c r="O12" s="1"/>
      <c r="P12" s="1">
        <v>0</v>
      </c>
      <c r="Q12" s="1"/>
      <c r="R12" s="1">
        <f>IFERROR(VLOOKUP(A12,[1]Sheet!$A:$D,4,0),0)</f>
        <v>0</v>
      </c>
      <c r="S12" s="1">
        <f t="shared" si="5"/>
        <v>4</v>
      </c>
      <c r="T12" s="5"/>
      <c r="U12" s="5"/>
      <c r="V12" s="5">
        <f t="shared" si="7"/>
        <v>0</v>
      </c>
      <c r="W12" s="5"/>
      <c r="X12" s="1"/>
      <c r="Y12" s="1"/>
      <c r="Z12" s="1">
        <f t="shared" si="8"/>
        <v>14.75</v>
      </c>
      <c r="AA12" s="1">
        <f t="shared" si="9"/>
        <v>14.75</v>
      </c>
      <c r="AB12" s="1">
        <v>3</v>
      </c>
      <c r="AC12" s="1">
        <v>7.2</v>
      </c>
      <c r="AD12" s="1">
        <v>5.6</v>
      </c>
      <c r="AE12" s="1">
        <v>2</v>
      </c>
      <c r="AF12" s="1">
        <v>1.4</v>
      </c>
      <c r="AG12" s="1">
        <v>3</v>
      </c>
      <c r="AH12" s="1">
        <v>4.5999999999999996</v>
      </c>
      <c r="AI12" s="1">
        <v>3.4</v>
      </c>
      <c r="AJ12" s="1"/>
      <c r="AK12" s="1">
        <f t="shared" si="10"/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48</v>
      </c>
      <c r="B13" s="1" t="s">
        <v>42</v>
      </c>
      <c r="C13" s="1">
        <v>72</v>
      </c>
      <c r="D13" s="1">
        <v>446</v>
      </c>
      <c r="E13" s="1">
        <v>222</v>
      </c>
      <c r="F13" s="1">
        <v>169</v>
      </c>
      <c r="G13" s="8">
        <v>0.17</v>
      </c>
      <c r="H13" s="1">
        <v>180</v>
      </c>
      <c r="I13" s="1" t="s">
        <v>38</v>
      </c>
      <c r="J13" s="1"/>
      <c r="K13" s="1">
        <v>279</v>
      </c>
      <c r="L13" s="1">
        <f t="shared" si="3"/>
        <v>-57</v>
      </c>
      <c r="M13" s="1">
        <f t="shared" si="4"/>
        <v>207</v>
      </c>
      <c r="N13" s="1">
        <v>15</v>
      </c>
      <c r="O13" s="1"/>
      <c r="P13" s="1">
        <v>186.1999999999999</v>
      </c>
      <c r="Q13" s="1">
        <v>83.25</v>
      </c>
      <c r="R13" s="1">
        <f>IFERROR(VLOOKUP(A13,[1]Sheet!$A:$D,4,0),0)</f>
        <v>0</v>
      </c>
      <c r="S13" s="1">
        <f t="shared" si="5"/>
        <v>41.4</v>
      </c>
      <c r="T13" s="5">
        <f t="shared" si="6"/>
        <v>182.55000000000007</v>
      </c>
      <c r="U13" s="5">
        <f t="shared" ref="U13:U16" si="12">$U$1*S13</f>
        <v>-51.335999999999999</v>
      </c>
      <c r="V13" s="5">
        <f t="shared" si="7"/>
        <v>131.21400000000006</v>
      </c>
      <c r="W13" s="5"/>
      <c r="X13" s="1"/>
      <c r="Y13" s="1"/>
      <c r="Z13" s="1">
        <f t="shared" si="8"/>
        <v>13.76</v>
      </c>
      <c r="AA13" s="1">
        <f t="shared" si="9"/>
        <v>10.590579710144926</v>
      </c>
      <c r="AB13" s="1">
        <v>37</v>
      </c>
      <c r="AC13" s="1">
        <v>39.6</v>
      </c>
      <c r="AD13" s="1">
        <v>23</v>
      </c>
      <c r="AE13" s="1">
        <v>24.8</v>
      </c>
      <c r="AF13" s="1">
        <v>33.799999999999997</v>
      </c>
      <c r="AG13" s="1">
        <v>26.2</v>
      </c>
      <c r="AH13" s="1">
        <v>20.8</v>
      </c>
      <c r="AI13" s="1">
        <v>18.600000000000001</v>
      </c>
      <c r="AJ13" s="1"/>
      <c r="AK13" s="1">
        <f t="shared" si="10"/>
        <v>22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49</v>
      </c>
      <c r="B14" s="1" t="s">
        <v>37</v>
      </c>
      <c r="C14" s="1">
        <v>2257.6579999999999</v>
      </c>
      <c r="D14" s="1">
        <v>3769.087</v>
      </c>
      <c r="E14" s="1">
        <v>1726.605</v>
      </c>
      <c r="F14" s="1">
        <v>3881.029</v>
      </c>
      <c r="G14" s="8">
        <v>1</v>
      </c>
      <c r="H14" s="1">
        <v>55</v>
      </c>
      <c r="I14" s="1" t="s">
        <v>38</v>
      </c>
      <c r="J14" s="1"/>
      <c r="K14" s="1">
        <v>1789.07</v>
      </c>
      <c r="L14" s="1">
        <f t="shared" si="3"/>
        <v>-62.464999999999918</v>
      </c>
      <c r="M14" s="1">
        <f t="shared" si="4"/>
        <v>1726.605</v>
      </c>
      <c r="N14" s="1"/>
      <c r="O14" s="1">
        <v>611.72455000000002</v>
      </c>
      <c r="P14" s="1">
        <v>0</v>
      </c>
      <c r="Q14" s="1"/>
      <c r="R14" s="1">
        <f>IFERROR(VLOOKUP(A14,[1]Sheet!$A:$D,4,0),0)</f>
        <v>105</v>
      </c>
      <c r="S14" s="1">
        <f t="shared" si="5"/>
        <v>345.32100000000003</v>
      </c>
      <c r="T14" s="5">
        <f t="shared" si="6"/>
        <v>687.0614500000006</v>
      </c>
      <c r="U14" s="5">
        <f t="shared" si="12"/>
        <v>-428.19804000000005</v>
      </c>
      <c r="V14" s="5">
        <f t="shared" si="7"/>
        <v>258.86341000000056</v>
      </c>
      <c r="W14" s="5"/>
      <c r="X14" s="1"/>
      <c r="Y14" s="1"/>
      <c r="Z14" s="1">
        <f t="shared" si="8"/>
        <v>13.760000000000002</v>
      </c>
      <c r="AA14" s="1">
        <f t="shared" si="9"/>
        <v>13.010368758343686</v>
      </c>
      <c r="AB14" s="1">
        <v>333.00639999999999</v>
      </c>
      <c r="AC14" s="1">
        <v>394.661</v>
      </c>
      <c r="AD14" s="1">
        <v>323.76679999999999</v>
      </c>
      <c r="AE14" s="1">
        <v>244.8562</v>
      </c>
      <c r="AF14" s="1">
        <v>340.5652</v>
      </c>
      <c r="AG14" s="1">
        <v>343.31139999999999</v>
      </c>
      <c r="AH14" s="1">
        <v>303.4008</v>
      </c>
      <c r="AI14" s="1">
        <v>324.76</v>
      </c>
      <c r="AJ14" s="1" t="s">
        <v>50</v>
      </c>
      <c r="AK14" s="1">
        <f t="shared" si="10"/>
        <v>259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51</v>
      </c>
      <c r="B15" s="1" t="s">
        <v>37</v>
      </c>
      <c r="C15" s="1">
        <v>2195.817</v>
      </c>
      <c r="D15" s="1">
        <v>4048.518</v>
      </c>
      <c r="E15" s="1">
        <v>1944.8630000000001</v>
      </c>
      <c r="F15" s="1">
        <v>3723.4389999999999</v>
      </c>
      <c r="G15" s="8">
        <v>1</v>
      </c>
      <c r="H15" s="1">
        <v>50</v>
      </c>
      <c r="I15" s="1" t="s">
        <v>38</v>
      </c>
      <c r="J15" s="1"/>
      <c r="K15" s="1">
        <v>2158.0300000000002</v>
      </c>
      <c r="L15" s="1">
        <f t="shared" si="3"/>
        <v>-213.16700000000014</v>
      </c>
      <c r="M15" s="1">
        <f t="shared" si="4"/>
        <v>1944.8630000000001</v>
      </c>
      <c r="N15" s="1"/>
      <c r="O15" s="1">
        <v>617.27757999999994</v>
      </c>
      <c r="P15" s="1">
        <v>0</v>
      </c>
      <c r="Q15" s="1">
        <v>889.17074999999988</v>
      </c>
      <c r="R15" s="1">
        <f>IFERROR(VLOOKUP(A15,[1]Sheet!$A:$D,4,0),0)</f>
        <v>132</v>
      </c>
      <c r="S15" s="1">
        <f t="shared" si="5"/>
        <v>388.9726</v>
      </c>
      <c r="T15" s="5">
        <f t="shared" si="6"/>
        <v>604.70166999999992</v>
      </c>
      <c r="U15" s="5">
        <f t="shared" si="12"/>
        <v>-482.32602400000002</v>
      </c>
      <c r="V15" s="5">
        <f t="shared" si="7"/>
        <v>122.3756459999999</v>
      </c>
      <c r="W15" s="5"/>
      <c r="X15" s="1"/>
      <c r="Y15" s="1"/>
      <c r="Z15" s="1">
        <f t="shared" si="8"/>
        <v>13.76</v>
      </c>
      <c r="AA15" s="1">
        <f t="shared" si="9"/>
        <v>13.445387490018579</v>
      </c>
      <c r="AB15" s="1">
        <v>395.18700000000001</v>
      </c>
      <c r="AC15" s="1">
        <v>398.24360000000001</v>
      </c>
      <c r="AD15" s="1">
        <v>378.39319999999998</v>
      </c>
      <c r="AE15" s="1">
        <v>325.65100000000001</v>
      </c>
      <c r="AF15" s="1">
        <v>355.86079999999998</v>
      </c>
      <c r="AG15" s="1">
        <v>327.43279999999999</v>
      </c>
      <c r="AH15" s="1">
        <v>320.59660000000002</v>
      </c>
      <c r="AI15" s="1">
        <v>356.32499999999999</v>
      </c>
      <c r="AJ15" s="1" t="s">
        <v>50</v>
      </c>
      <c r="AK15" s="1">
        <f t="shared" si="10"/>
        <v>122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52</v>
      </c>
      <c r="B16" s="1" t="s">
        <v>37</v>
      </c>
      <c r="C16" s="1">
        <v>203.48699999999999</v>
      </c>
      <c r="D16" s="1">
        <v>294.87799999999999</v>
      </c>
      <c r="E16" s="1">
        <v>198.39099999999999</v>
      </c>
      <c r="F16" s="1">
        <v>268.80900000000003</v>
      </c>
      <c r="G16" s="8">
        <v>1</v>
      </c>
      <c r="H16" s="1">
        <v>60</v>
      </c>
      <c r="I16" s="1" t="s">
        <v>38</v>
      </c>
      <c r="J16" s="1"/>
      <c r="K16" s="1">
        <v>185.4</v>
      </c>
      <c r="L16" s="1">
        <f t="shared" si="3"/>
        <v>12.990999999999985</v>
      </c>
      <c r="M16" s="1">
        <f t="shared" si="4"/>
        <v>198.39099999999999</v>
      </c>
      <c r="N16" s="1"/>
      <c r="O16" s="1">
        <v>55.213170000000012</v>
      </c>
      <c r="P16" s="1">
        <v>0</v>
      </c>
      <c r="Q16" s="1"/>
      <c r="R16" s="1">
        <f>IFERROR(VLOOKUP(A16,[1]Sheet!$A:$D,4,0),0)</f>
        <v>0</v>
      </c>
      <c r="S16" s="1">
        <f t="shared" si="5"/>
        <v>39.678199999999997</v>
      </c>
      <c r="T16" s="5">
        <f t="shared" si="6"/>
        <v>271.15082999999998</v>
      </c>
      <c r="U16" s="5">
        <f t="shared" si="12"/>
        <v>-49.200967999999996</v>
      </c>
      <c r="V16" s="5">
        <f t="shared" si="7"/>
        <v>221.949862</v>
      </c>
      <c r="W16" s="5"/>
      <c r="X16" s="1"/>
      <c r="Y16" s="1"/>
      <c r="Z16" s="1">
        <f t="shared" si="8"/>
        <v>13.760000000000002</v>
      </c>
      <c r="AA16" s="1">
        <f t="shared" si="9"/>
        <v>8.1662517452908663</v>
      </c>
      <c r="AB16" s="1">
        <v>30.9574</v>
      </c>
      <c r="AC16" s="1">
        <v>35.621400000000001</v>
      </c>
      <c r="AD16" s="1">
        <v>30.276199999999999</v>
      </c>
      <c r="AE16" s="1">
        <v>27.043199999999999</v>
      </c>
      <c r="AF16" s="1">
        <v>37.480800000000002</v>
      </c>
      <c r="AG16" s="1">
        <v>35.740400000000001</v>
      </c>
      <c r="AH16" s="1">
        <v>24.6844</v>
      </c>
      <c r="AI16" s="1">
        <v>33.172999999999988</v>
      </c>
      <c r="AJ16" s="1"/>
      <c r="AK16" s="1">
        <f t="shared" si="10"/>
        <v>222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53</v>
      </c>
      <c r="B17" s="1" t="s">
        <v>37</v>
      </c>
      <c r="C17" s="1">
        <v>450.55</v>
      </c>
      <c r="D17" s="1">
        <v>2376.4299999999998</v>
      </c>
      <c r="E17" s="1">
        <v>748.53300000000002</v>
      </c>
      <c r="F17" s="1">
        <v>1499.7660000000001</v>
      </c>
      <c r="G17" s="8">
        <v>1</v>
      </c>
      <c r="H17" s="1">
        <v>60</v>
      </c>
      <c r="I17" s="1" t="s">
        <v>38</v>
      </c>
      <c r="J17" s="1"/>
      <c r="K17" s="1">
        <v>884.60199999999998</v>
      </c>
      <c r="L17" s="1">
        <f t="shared" si="3"/>
        <v>-136.06899999999996</v>
      </c>
      <c r="M17" s="1">
        <f t="shared" si="4"/>
        <v>748.53300000000002</v>
      </c>
      <c r="N17" s="1"/>
      <c r="O17" s="1"/>
      <c r="P17" s="1">
        <v>1592.9530460000001</v>
      </c>
      <c r="Q17" s="1"/>
      <c r="R17" s="1">
        <f>IFERROR(VLOOKUP(A17,[1]Sheet!$A:$D,4,0),0)</f>
        <v>128</v>
      </c>
      <c r="S17" s="1">
        <f t="shared" si="5"/>
        <v>149.70660000000001</v>
      </c>
      <c r="T17" s="5"/>
      <c r="U17" s="5"/>
      <c r="V17" s="5">
        <f t="shared" si="7"/>
        <v>0</v>
      </c>
      <c r="W17" s="5"/>
      <c r="X17" s="1"/>
      <c r="Y17" s="1"/>
      <c r="Z17" s="1">
        <f t="shared" si="8"/>
        <v>20.658535067926199</v>
      </c>
      <c r="AA17" s="1">
        <f t="shared" si="9"/>
        <v>20.658535067926199</v>
      </c>
      <c r="AB17" s="1">
        <v>254.6002</v>
      </c>
      <c r="AC17" s="1">
        <v>220.2482</v>
      </c>
      <c r="AD17" s="1">
        <v>120.8116</v>
      </c>
      <c r="AE17" s="1">
        <v>94.181799999999996</v>
      </c>
      <c r="AF17" s="1">
        <v>120.8854</v>
      </c>
      <c r="AG17" s="1">
        <v>123.5022</v>
      </c>
      <c r="AH17" s="1">
        <v>119.4024</v>
      </c>
      <c r="AI17" s="1">
        <v>147.22900000000001</v>
      </c>
      <c r="AJ17" s="1"/>
      <c r="AK17" s="1">
        <f t="shared" si="10"/>
        <v>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5" t="s">
        <v>54</v>
      </c>
      <c r="B18" s="15" t="s">
        <v>37</v>
      </c>
      <c r="C18" s="15"/>
      <c r="D18" s="15"/>
      <c r="E18" s="15"/>
      <c r="F18" s="15"/>
      <c r="G18" s="16">
        <v>0</v>
      </c>
      <c r="H18" s="15">
        <v>60</v>
      </c>
      <c r="I18" s="15" t="s">
        <v>38</v>
      </c>
      <c r="J18" s="15"/>
      <c r="K18" s="15"/>
      <c r="L18" s="15">
        <f t="shared" si="3"/>
        <v>0</v>
      </c>
      <c r="M18" s="15">
        <f t="shared" si="4"/>
        <v>0</v>
      </c>
      <c r="N18" s="15"/>
      <c r="O18" s="15"/>
      <c r="P18" s="15">
        <v>0</v>
      </c>
      <c r="Q18" s="15"/>
      <c r="R18" s="1">
        <f>IFERROR(VLOOKUP(A18,[1]Sheet!$A:$D,4,0),0)</f>
        <v>0</v>
      </c>
      <c r="S18" s="15">
        <f t="shared" si="5"/>
        <v>0</v>
      </c>
      <c r="T18" s="17"/>
      <c r="U18" s="17"/>
      <c r="V18" s="5">
        <f t="shared" si="7"/>
        <v>0</v>
      </c>
      <c r="W18" s="17"/>
      <c r="X18" s="15"/>
      <c r="Y18" s="15"/>
      <c r="Z18" s="1" t="e">
        <f t="shared" si="8"/>
        <v>#DIV/0!</v>
      </c>
      <c r="AA18" s="15" t="e">
        <f t="shared" si="9"/>
        <v>#DIV/0!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 t="s">
        <v>55</v>
      </c>
      <c r="AK18" s="1">
        <f t="shared" si="10"/>
        <v>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56</v>
      </c>
      <c r="B19" s="1" t="s">
        <v>37</v>
      </c>
      <c r="C19" s="1">
        <v>16.603000000000002</v>
      </c>
      <c r="D19" s="1"/>
      <c r="E19" s="1">
        <v>3.5920000000000001</v>
      </c>
      <c r="F19" s="1">
        <v>11.846</v>
      </c>
      <c r="G19" s="8">
        <v>1</v>
      </c>
      <c r="H19" s="1">
        <v>180</v>
      </c>
      <c r="I19" s="1" t="s">
        <v>38</v>
      </c>
      <c r="J19" s="1"/>
      <c r="K19" s="1">
        <v>3.1</v>
      </c>
      <c r="L19" s="1">
        <f t="shared" si="3"/>
        <v>0.49199999999999999</v>
      </c>
      <c r="M19" s="1">
        <f t="shared" si="4"/>
        <v>3.5920000000000001</v>
      </c>
      <c r="N19" s="1"/>
      <c r="O19" s="1"/>
      <c r="P19" s="1">
        <v>0</v>
      </c>
      <c r="Q19" s="1"/>
      <c r="R19" s="1">
        <f>IFERROR(VLOOKUP(A19,[1]Sheet!$A:$D,4,0),0)</f>
        <v>0</v>
      </c>
      <c r="S19" s="1">
        <f t="shared" si="5"/>
        <v>0.71840000000000004</v>
      </c>
      <c r="T19" s="5"/>
      <c r="U19" s="5"/>
      <c r="V19" s="5">
        <f t="shared" si="7"/>
        <v>0</v>
      </c>
      <c r="W19" s="5"/>
      <c r="X19" s="1"/>
      <c r="Y19" s="1"/>
      <c r="Z19" s="1">
        <f t="shared" si="8"/>
        <v>16.489420935412024</v>
      </c>
      <c r="AA19" s="1">
        <f t="shared" si="9"/>
        <v>16.489420935412024</v>
      </c>
      <c r="AB19" s="1">
        <v>0.39600000000000002</v>
      </c>
      <c r="AC19" s="1">
        <v>0.7994</v>
      </c>
      <c r="AD19" s="1">
        <v>0.95459999999999989</v>
      </c>
      <c r="AE19" s="1">
        <v>0.47639999999999999</v>
      </c>
      <c r="AF19" s="1">
        <v>0.63159999999999994</v>
      </c>
      <c r="AG19" s="1">
        <v>0.62739999999999996</v>
      </c>
      <c r="AH19" s="1">
        <v>0.72399999999999998</v>
      </c>
      <c r="AI19" s="1">
        <v>0.80120000000000002</v>
      </c>
      <c r="AJ19" s="20" t="s">
        <v>118</v>
      </c>
      <c r="AK19" s="1">
        <f t="shared" si="10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57</v>
      </c>
      <c r="B20" s="1" t="s">
        <v>37</v>
      </c>
      <c r="C20" s="1">
        <v>5132.1329999999998</v>
      </c>
      <c r="D20" s="1">
        <v>3069.7379999999998</v>
      </c>
      <c r="E20" s="1">
        <v>2756.7809999999999</v>
      </c>
      <c r="F20" s="1">
        <v>4663.4740000000002</v>
      </c>
      <c r="G20" s="8">
        <v>1</v>
      </c>
      <c r="H20" s="1">
        <v>60</v>
      </c>
      <c r="I20" s="1" t="s">
        <v>38</v>
      </c>
      <c r="J20" s="1"/>
      <c r="K20" s="1">
        <v>2976.7750000000001</v>
      </c>
      <c r="L20" s="1">
        <f t="shared" si="3"/>
        <v>-219.99400000000014</v>
      </c>
      <c r="M20" s="1">
        <f t="shared" si="4"/>
        <v>2392.5810000000001</v>
      </c>
      <c r="N20" s="1">
        <v>364.2</v>
      </c>
      <c r="O20" s="1">
        <v>786.05894000000001</v>
      </c>
      <c r="P20" s="1">
        <v>0</v>
      </c>
      <c r="Q20" s="1"/>
      <c r="R20" s="1">
        <f>IFERROR(VLOOKUP(A20,[1]Sheet!$A:$D,4,0),0)</f>
        <v>314</v>
      </c>
      <c r="S20" s="1">
        <f t="shared" si="5"/>
        <v>478.51620000000003</v>
      </c>
      <c r="T20" s="5">
        <f t="shared" ref="T20:T24" si="13">15*S20-Q20-P20-O20-F20</f>
        <v>1728.2100600000003</v>
      </c>
      <c r="U20" s="5">
        <f t="shared" ref="U20:U22" si="14">$U$1*S20</f>
        <v>-593.36008800000002</v>
      </c>
      <c r="V20" s="5">
        <f t="shared" si="7"/>
        <v>1134.8499720000004</v>
      </c>
      <c r="W20" s="5"/>
      <c r="X20" s="1"/>
      <c r="Y20" s="1"/>
      <c r="Z20" s="1">
        <f t="shared" si="8"/>
        <v>13.760000000000002</v>
      </c>
      <c r="AA20" s="1">
        <f t="shared" si="9"/>
        <v>11.388398010349492</v>
      </c>
      <c r="AB20" s="1">
        <v>470.24</v>
      </c>
      <c r="AC20" s="1">
        <v>507.13479999999998</v>
      </c>
      <c r="AD20" s="1">
        <v>444.26359999999988</v>
      </c>
      <c r="AE20" s="1">
        <v>462.14479999999998</v>
      </c>
      <c r="AF20" s="1">
        <v>598.63080000000002</v>
      </c>
      <c r="AG20" s="1">
        <v>533.14740000000006</v>
      </c>
      <c r="AH20" s="1">
        <v>493.63819999999998</v>
      </c>
      <c r="AI20" s="1">
        <v>556.68439999999998</v>
      </c>
      <c r="AJ20" s="1" t="s">
        <v>50</v>
      </c>
      <c r="AK20" s="1">
        <f t="shared" si="10"/>
        <v>1135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58</v>
      </c>
      <c r="B21" s="1" t="s">
        <v>37</v>
      </c>
      <c r="C21" s="1">
        <v>976.202</v>
      </c>
      <c r="D21" s="1">
        <v>393.25</v>
      </c>
      <c r="E21" s="1">
        <v>463.58</v>
      </c>
      <c r="F21" s="1">
        <v>659.59100000000001</v>
      </c>
      <c r="G21" s="8">
        <v>1</v>
      </c>
      <c r="H21" s="1">
        <v>60</v>
      </c>
      <c r="I21" s="1" t="s">
        <v>38</v>
      </c>
      <c r="J21" s="1"/>
      <c r="K21" s="1">
        <v>572.29999999999995</v>
      </c>
      <c r="L21" s="1">
        <f t="shared" si="3"/>
        <v>-108.71999999999997</v>
      </c>
      <c r="M21" s="1">
        <f t="shared" si="4"/>
        <v>336.11</v>
      </c>
      <c r="N21" s="1">
        <v>127.47</v>
      </c>
      <c r="O21" s="1">
        <v>126.32314</v>
      </c>
      <c r="P21" s="1">
        <v>0</v>
      </c>
      <c r="Q21" s="1">
        <v>161.43299999999999</v>
      </c>
      <c r="R21" s="1">
        <f>IFERROR(VLOOKUP(A21,[1]Sheet!$A:$D,4,0),0)</f>
        <v>88</v>
      </c>
      <c r="S21" s="1">
        <f t="shared" si="5"/>
        <v>67.222000000000008</v>
      </c>
      <c r="T21" s="5">
        <f t="shared" si="13"/>
        <v>60.982860000000187</v>
      </c>
      <c r="U21" s="5">
        <f t="shared" si="14"/>
        <v>-83.355280000000008</v>
      </c>
      <c r="V21" s="5">
        <v>0</v>
      </c>
      <c r="W21" s="5"/>
      <c r="X21" s="1"/>
      <c r="Y21" s="1"/>
      <c r="Z21" s="1">
        <f t="shared" si="8"/>
        <v>14.092813959715567</v>
      </c>
      <c r="AA21" s="1">
        <f t="shared" si="9"/>
        <v>14.092813959715567</v>
      </c>
      <c r="AB21" s="1">
        <v>71.748000000000005</v>
      </c>
      <c r="AC21" s="1">
        <v>81.498799999999989</v>
      </c>
      <c r="AD21" s="1">
        <v>75.505799999999994</v>
      </c>
      <c r="AE21" s="1">
        <v>81.349599999999995</v>
      </c>
      <c r="AF21" s="1">
        <v>107.3248</v>
      </c>
      <c r="AG21" s="1">
        <v>103.1934</v>
      </c>
      <c r="AH21" s="1">
        <v>71.532799999999995</v>
      </c>
      <c r="AI21" s="1">
        <v>82.011799999999994</v>
      </c>
      <c r="AJ21" s="1"/>
      <c r="AK21" s="1">
        <f t="shared" si="10"/>
        <v>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59</v>
      </c>
      <c r="B22" s="1" t="s">
        <v>37</v>
      </c>
      <c r="C22" s="1">
        <v>1026.287</v>
      </c>
      <c r="D22" s="1">
        <v>1032.981</v>
      </c>
      <c r="E22" s="1">
        <v>560.37099999999998</v>
      </c>
      <c r="F22" s="1">
        <v>1246.8109999999999</v>
      </c>
      <c r="G22" s="8">
        <v>1</v>
      </c>
      <c r="H22" s="1">
        <v>60</v>
      </c>
      <c r="I22" s="1" t="s">
        <v>38</v>
      </c>
      <c r="J22" s="1"/>
      <c r="K22" s="1">
        <v>633.82000000000005</v>
      </c>
      <c r="L22" s="1">
        <f t="shared" si="3"/>
        <v>-73.449000000000069</v>
      </c>
      <c r="M22" s="1">
        <f t="shared" si="4"/>
        <v>560.37099999999998</v>
      </c>
      <c r="N22" s="1"/>
      <c r="O22" s="1">
        <v>191.89155</v>
      </c>
      <c r="P22" s="1">
        <v>0</v>
      </c>
      <c r="Q22" s="1"/>
      <c r="R22" s="1">
        <f>IFERROR(VLOOKUP(A22,[1]Sheet!$A:$D,4,0),0)</f>
        <v>64</v>
      </c>
      <c r="S22" s="1">
        <f t="shared" si="5"/>
        <v>112.07419999999999</v>
      </c>
      <c r="T22" s="5">
        <f t="shared" si="13"/>
        <v>242.41044999999986</v>
      </c>
      <c r="U22" s="5">
        <f t="shared" si="14"/>
        <v>-138.97200799999999</v>
      </c>
      <c r="V22" s="5">
        <f t="shared" si="7"/>
        <v>103.43844199999987</v>
      </c>
      <c r="W22" s="5"/>
      <c r="X22" s="1"/>
      <c r="Y22" s="1"/>
      <c r="Z22" s="1">
        <f t="shared" si="8"/>
        <v>13.76</v>
      </c>
      <c r="AA22" s="1">
        <f t="shared" si="9"/>
        <v>12.837053933911642</v>
      </c>
      <c r="AB22" s="1">
        <v>117.4408</v>
      </c>
      <c r="AC22" s="1">
        <v>123.801</v>
      </c>
      <c r="AD22" s="1">
        <v>113.193</v>
      </c>
      <c r="AE22" s="1">
        <v>102.5826</v>
      </c>
      <c r="AF22" s="1">
        <v>127.6872</v>
      </c>
      <c r="AG22" s="1">
        <v>124.87260000000001</v>
      </c>
      <c r="AH22" s="1">
        <v>107.78579999999999</v>
      </c>
      <c r="AI22" s="1">
        <v>108.6494</v>
      </c>
      <c r="AJ22" s="1"/>
      <c r="AK22" s="1">
        <f t="shared" si="10"/>
        <v>103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60</v>
      </c>
      <c r="B23" s="1" t="s">
        <v>37</v>
      </c>
      <c r="C23" s="1">
        <v>25.577999999999999</v>
      </c>
      <c r="D23" s="1"/>
      <c r="E23" s="1">
        <v>6.952</v>
      </c>
      <c r="F23" s="1">
        <v>17.579000000000001</v>
      </c>
      <c r="G23" s="8">
        <v>1</v>
      </c>
      <c r="H23" s="1">
        <v>180</v>
      </c>
      <c r="I23" s="1" t="s">
        <v>38</v>
      </c>
      <c r="J23" s="1"/>
      <c r="K23" s="1">
        <v>7</v>
      </c>
      <c r="L23" s="1">
        <f t="shared" si="3"/>
        <v>-4.8000000000000043E-2</v>
      </c>
      <c r="M23" s="1">
        <f t="shared" si="4"/>
        <v>6.952</v>
      </c>
      <c r="N23" s="1"/>
      <c r="O23" s="1"/>
      <c r="P23" s="1">
        <v>0</v>
      </c>
      <c r="Q23" s="1"/>
      <c r="R23" s="1">
        <f>IFERROR(VLOOKUP(A23,[1]Sheet!$A:$D,4,0),0)</f>
        <v>0</v>
      </c>
      <c r="S23" s="1">
        <f t="shared" si="5"/>
        <v>1.3904000000000001</v>
      </c>
      <c r="T23" s="5">
        <v>4</v>
      </c>
      <c r="U23" s="5"/>
      <c r="V23" s="5">
        <f t="shared" si="7"/>
        <v>4</v>
      </c>
      <c r="W23" s="5"/>
      <c r="X23" s="1"/>
      <c r="Y23" s="1"/>
      <c r="Z23" s="1">
        <f t="shared" si="8"/>
        <v>15.519994246260069</v>
      </c>
      <c r="AA23" s="1">
        <f t="shared" si="9"/>
        <v>12.643124280782509</v>
      </c>
      <c r="AB23" s="1">
        <v>0.35139999999999999</v>
      </c>
      <c r="AC23" s="1">
        <v>0.98520000000000008</v>
      </c>
      <c r="AD23" s="1">
        <v>1.1292</v>
      </c>
      <c r="AE23" s="1">
        <v>0.56580000000000008</v>
      </c>
      <c r="AF23" s="1">
        <v>1.0658000000000001</v>
      </c>
      <c r="AG23" s="1">
        <v>0.92880000000000007</v>
      </c>
      <c r="AH23" s="1">
        <v>2.3759999999999999</v>
      </c>
      <c r="AI23" s="1">
        <v>2.4468000000000001</v>
      </c>
      <c r="AJ23" s="1"/>
      <c r="AK23" s="1">
        <f t="shared" si="10"/>
        <v>4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61</v>
      </c>
      <c r="B24" s="1" t="s">
        <v>37</v>
      </c>
      <c r="C24" s="1">
        <v>1575.876</v>
      </c>
      <c r="D24" s="1">
        <v>3152.127</v>
      </c>
      <c r="E24" s="1">
        <v>1338.615</v>
      </c>
      <c r="F24" s="1">
        <v>3111.0219999999999</v>
      </c>
      <c r="G24" s="8">
        <v>1</v>
      </c>
      <c r="H24" s="1">
        <v>60</v>
      </c>
      <c r="I24" s="1" t="s">
        <v>38</v>
      </c>
      <c r="J24" s="1"/>
      <c r="K24" s="1">
        <v>1386.32</v>
      </c>
      <c r="L24" s="1">
        <f t="shared" si="3"/>
        <v>-47.704999999999927</v>
      </c>
      <c r="M24" s="1">
        <f t="shared" si="4"/>
        <v>1338.615</v>
      </c>
      <c r="N24" s="1"/>
      <c r="O24" s="1">
        <v>488.26116000000002</v>
      </c>
      <c r="P24" s="1">
        <v>0</v>
      </c>
      <c r="Q24" s="1"/>
      <c r="R24" s="1">
        <f>IFERROR(VLOOKUP(A24,[1]Sheet!$A:$D,4,0),0)</f>
        <v>63</v>
      </c>
      <c r="S24" s="1">
        <f t="shared" si="5"/>
        <v>267.72300000000001</v>
      </c>
      <c r="T24" s="5">
        <f t="shared" si="13"/>
        <v>416.5618400000003</v>
      </c>
      <c r="U24" s="5">
        <f>$U$1*S24</f>
        <v>-331.97651999999999</v>
      </c>
      <c r="V24" s="5">
        <f t="shared" si="7"/>
        <v>84.585320000000308</v>
      </c>
      <c r="W24" s="5"/>
      <c r="X24" s="1"/>
      <c r="Y24" s="1"/>
      <c r="Z24" s="1">
        <f t="shared" si="8"/>
        <v>13.76</v>
      </c>
      <c r="AA24" s="1">
        <f t="shared" si="9"/>
        <v>13.444056580869031</v>
      </c>
      <c r="AB24" s="1">
        <v>266.43220000000002</v>
      </c>
      <c r="AC24" s="1">
        <v>315.00720000000001</v>
      </c>
      <c r="AD24" s="1">
        <v>251.37479999999999</v>
      </c>
      <c r="AE24" s="1">
        <v>179.57560000000001</v>
      </c>
      <c r="AF24" s="1">
        <v>251.23220000000001</v>
      </c>
      <c r="AG24" s="1">
        <v>230.3176</v>
      </c>
      <c r="AH24" s="1">
        <v>201.70679999999999</v>
      </c>
      <c r="AI24" s="1">
        <v>217.13900000000001</v>
      </c>
      <c r="AJ24" s="1" t="s">
        <v>50</v>
      </c>
      <c r="AK24" s="1">
        <f t="shared" si="10"/>
        <v>85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5" t="s">
        <v>62</v>
      </c>
      <c r="B25" s="15" t="s">
        <v>37</v>
      </c>
      <c r="C25" s="15"/>
      <c r="D25" s="15"/>
      <c r="E25" s="15"/>
      <c r="F25" s="15"/>
      <c r="G25" s="16">
        <v>0</v>
      </c>
      <c r="H25" s="15">
        <v>30</v>
      </c>
      <c r="I25" s="15" t="s">
        <v>38</v>
      </c>
      <c r="J25" s="15"/>
      <c r="K25" s="15"/>
      <c r="L25" s="15">
        <f t="shared" si="3"/>
        <v>0</v>
      </c>
      <c r="M25" s="15">
        <f t="shared" si="4"/>
        <v>0</v>
      </c>
      <c r="N25" s="15"/>
      <c r="O25" s="15"/>
      <c r="P25" s="15">
        <v>0</v>
      </c>
      <c r="Q25" s="15"/>
      <c r="R25" s="1">
        <f>IFERROR(VLOOKUP(A25,[1]Sheet!$A:$D,4,0),0)</f>
        <v>0</v>
      </c>
      <c r="S25" s="15">
        <f t="shared" si="5"/>
        <v>0</v>
      </c>
      <c r="T25" s="17"/>
      <c r="U25" s="17"/>
      <c r="V25" s="5">
        <f t="shared" si="7"/>
        <v>0</v>
      </c>
      <c r="W25" s="17"/>
      <c r="X25" s="15"/>
      <c r="Y25" s="15"/>
      <c r="Z25" s="1" t="e">
        <f t="shared" si="8"/>
        <v>#DIV/0!</v>
      </c>
      <c r="AA25" s="15" t="e">
        <f t="shared" si="9"/>
        <v>#DIV/0!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 t="s">
        <v>55</v>
      </c>
      <c r="AK25" s="1">
        <f t="shared" si="10"/>
        <v>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5" t="s">
        <v>63</v>
      </c>
      <c r="B26" s="15" t="s">
        <v>37</v>
      </c>
      <c r="C26" s="15"/>
      <c r="D26" s="15"/>
      <c r="E26" s="15"/>
      <c r="F26" s="15"/>
      <c r="G26" s="16">
        <v>0</v>
      </c>
      <c r="H26" s="15">
        <v>30</v>
      </c>
      <c r="I26" s="15" t="s">
        <v>38</v>
      </c>
      <c r="J26" s="15"/>
      <c r="K26" s="15"/>
      <c r="L26" s="15">
        <f t="shared" si="3"/>
        <v>0</v>
      </c>
      <c r="M26" s="15">
        <f t="shared" si="4"/>
        <v>0</v>
      </c>
      <c r="N26" s="15"/>
      <c r="O26" s="15"/>
      <c r="P26" s="15">
        <v>0</v>
      </c>
      <c r="Q26" s="15"/>
      <c r="R26" s="1">
        <f>IFERROR(VLOOKUP(A26,[1]Sheet!$A:$D,4,0),0)</f>
        <v>0</v>
      </c>
      <c r="S26" s="15">
        <f t="shared" si="5"/>
        <v>0</v>
      </c>
      <c r="T26" s="17"/>
      <c r="U26" s="17"/>
      <c r="V26" s="5">
        <f t="shared" si="7"/>
        <v>0</v>
      </c>
      <c r="W26" s="17"/>
      <c r="X26" s="15"/>
      <c r="Y26" s="15"/>
      <c r="Z26" s="1" t="e">
        <f t="shared" si="8"/>
        <v>#DIV/0!</v>
      </c>
      <c r="AA26" s="15" t="e">
        <f t="shared" si="9"/>
        <v>#DIV/0!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 t="s">
        <v>55</v>
      </c>
      <c r="AK26" s="1">
        <f t="shared" si="10"/>
        <v>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64</v>
      </c>
      <c r="B27" s="1" t="s">
        <v>37</v>
      </c>
      <c r="C27" s="1">
        <v>243.69900000000001</v>
      </c>
      <c r="D27" s="1">
        <v>2539.8200000000002</v>
      </c>
      <c r="E27" s="1">
        <v>1178.4490000000001</v>
      </c>
      <c r="F27" s="1">
        <v>1087.7059999999999</v>
      </c>
      <c r="G27" s="8">
        <v>1</v>
      </c>
      <c r="H27" s="1">
        <v>30</v>
      </c>
      <c r="I27" s="1" t="s">
        <v>38</v>
      </c>
      <c r="J27" s="1"/>
      <c r="K27" s="1">
        <v>1429.913</v>
      </c>
      <c r="L27" s="1">
        <f t="shared" si="3"/>
        <v>-251.46399999999994</v>
      </c>
      <c r="M27" s="1">
        <f t="shared" si="4"/>
        <v>1178.4490000000001</v>
      </c>
      <c r="N27" s="1"/>
      <c r="O27" s="1"/>
      <c r="P27" s="1">
        <v>446.68319999999977</v>
      </c>
      <c r="Q27" s="1"/>
      <c r="R27" s="1">
        <f>IFERROR(VLOOKUP(A27,[1]Sheet!$A:$D,4,0),0)</f>
        <v>60</v>
      </c>
      <c r="S27" s="1">
        <f t="shared" si="5"/>
        <v>235.68980000000002</v>
      </c>
      <c r="T27" s="5">
        <f>14*S27-Q27-P27-O27-F27</f>
        <v>1765.2680000000003</v>
      </c>
      <c r="U27" s="5">
        <f>$U$1*S27</f>
        <v>-292.25535200000002</v>
      </c>
      <c r="V27" s="5">
        <f t="shared" si="7"/>
        <v>1473.0126480000004</v>
      </c>
      <c r="W27" s="5"/>
      <c r="X27" s="1"/>
      <c r="Y27" s="1"/>
      <c r="Z27" s="1">
        <f t="shared" si="8"/>
        <v>12.759999999999998</v>
      </c>
      <c r="AA27" s="1">
        <f t="shared" si="9"/>
        <v>6.5102062117240518</v>
      </c>
      <c r="AB27" s="1">
        <v>181.5676</v>
      </c>
      <c r="AC27" s="1">
        <v>204.2704</v>
      </c>
      <c r="AD27" s="1">
        <v>155.9264</v>
      </c>
      <c r="AE27" s="1">
        <v>116.1802</v>
      </c>
      <c r="AF27" s="1">
        <v>143.58860000000001</v>
      </c>
      <c r="AG27" s="1">
        <v>147.16900000000001</v>
      </c>
      <c r="AH27" s="1">
        <v>145.21</v>
      </c>
      <c r="AI27" s="1">
        <v>137.3604</v>
      </c>
      <c r="AJ27" s="1" t="s">
        <v>50</v>
      </c>
      <c r="AK27" s="1">
        <f t="shared" si="10"/>
        <v>1473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5" t="s">
        <v>65</v>
      </c>
      <c r="B28" s="15" t="s">
        <v>37</v>
      </c>
      <c r="C28" s="15"/>
      <c r="D28" s="15"/>
      <c r="E28" s="15"/>
      <c r="F28" s="15"/>
      <c r="G28" s="16">
        <v>0</v>
      </c>
      <c r="H28" s="15">
        <v>45</v>
      </c>
      <c r="I28" s="15" t="s">
        <v>38</v>
      </c>
      <c r="J28" s="15"/>
      <c r="K28" s="15"/>
      <c r="L28" s="15">
        <f t="shared" si="3"/>
        <v>0</v>
      </c>
      <c r="M28" s="15">
        <f t="shared" si="4"/>
        <v>0</v>
      </c>
      <c r="N28" s="15"/>
      <c r="O28" s="15"/>
      <c r="P28" s="15">
        <v>0</v>
      </c>
      <c r="Q28" s="15"/>
      <c r="R28" s="1">
        <f>IFERROR(VLOOKUP(A28,[1]Sheet!$A:$D,4,0),0)</f>
        <v>0</v>
      </c>
      <c r="S28" s="15">
        <f t="shared" si="5"/>
        <v>0</v>
      </c>
      <c r="T28" s="17"/>
      <c r="U28" s="17"/>
      <c r="V28" s="5">
        <f t="shared" si="7"/>
        <v>0</v>
      </c>
      <c r="W28" s="17"/>
      <c r="X28" s="15"/>
      <c r="Y28" s="15"/>
      <c r="Z28" s="1" t="e">
        <f t="shared" si="8"/>
        <v>#DIV/0!</v>
      </c>
      <c r="AA28" s="15" t="e">
        <f t="shared" si="9"/>
        <v>#DIV/0!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 t="s">
        <v>55</v>
      </c>
      <c r="AK28" s="1">
        <f t="shared" si="10"/>
        <v>0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5" t="s">
        <v>66</v>
      </c>
      <c r="B29" s="15" t="s">
        <v>37</v>
      </c>
      <c r="C29" s="15"/>
      <c r="D29" s="15"/>
      <c r="E29" s="15"/>
      <c r="F29" s="15"/>
      <c r="G29" s="16">
        <v>0</v>
      </c>
      <c r="H29" s="15">
        <v>40</v>
      </c>
      <c r="I29" s="15" t="s">
        <v>38</v>
      </c>
      <c r="J29" s="15"/>
      <c r="K29" s="15"/>
      <c r="L29" s="15">
        <f t="shared" si="3"/>
        <v>0</v>
      </c>
      <c r="M29" s="15">
        <f t="shared" si="4"/>
        <v>0</v>
      </c>
      <c r="N29" s="15"/>
      <c r="O29" s="15"/>
      <c r="P29" s="15">
        <v>0</v>
      </c>
      <c r="Q29" s="15"/>
      <c r="R29" s="1">
        <f>IFERROR(VLOOKUP(A29,[1]Sheet!$A:$D,4,0),0)</f>
        <v>0</v>
      </c>
      <c r="S29" s="15">
        <f t="shared" si="5"/>
        <v>0</v>
      </c>
      <c r="T29" s="17"/>
      <c r="U29" s="17"/>
      <c r="V29" s="5">
        <f t="shared" si="7"/>
        <v>0</v>
      </c>
      <c r="W29" s="17"/>
      <c r="X29" s="15"/>
      <c r="Y29" s="15"/>
      <c r="Z29" s="1" t="e">
        <f t="shared" si="8"/>
        <v>#DIV/0!</v>
      </c>
      <c r="AA29" s="15" t="e">
        <f t="shared" si="9"/>
        <v>#DIV/0!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 t="s">
        <v>55</v>
      </c>
      <c r="AK29" s="1">
        <f t="shared" si="10"/>
        <v>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5" t="s">
        <v>67</v>
      </c>
      <c r="B30" s="15" t="s">
        <v>37</v>
      </c>
      <c r="C30" s="15"/>
      <c r="D30" s="15"/>
      <c r="E30" s="15"/>
      <c r="F30" s="15"/>
      <c r="G30" s="16">
        <v>0</v>
      </c>
      <c r="H30" s="15">
        <v>30</v>
      </c>
      <c r="I30" s="15" t="s">
        <v>38</v>
      </c>
      <c r="J30" s="15"/>
      <c r="K30" s="15"/>
      <c r="L30" s="15">
        <f t="shared" si="3"/>
        <v>0</v>
      </c>
      <c r="M30" s="15">
        <f t="shared" si="4"/>
        <v>0</v>
      </c>
      <c r="N30" s="15"/>
      <c r="O30" s="15"/>
      <c r="P30" s="15">
        <v>0</v>
      </c>
      <c r="Q30" s="15"/>
      <c r="R30" s="1">
        <f>IFERROR(VLOOKUP(A30,[1]Sheet!$A:$D,4,0),0)</f>
        <v>0</v>
      </c>
      <c r="S30" s="15">
        <f t="shared" si="5"/>
        <v>0</v>
      </c>
      <c r="T30" s="17"/>
      <c r="U30" s="17"/>
      <c r="V30" s="5">
        <f t="shared" si="7"/>
        <v>0</v>
      </c>
      <c r="W30" s="17"/>
      <c r="X30" s="15"/>
      <c r="Y30" s="15"/>
      <c r="Z30" s="1" t="e">
        <f t="shared" si="8"/>
        <v>#DIV/0!</v>
      </c>
      <c r="AA30" s="15" t="e">
        <f t="shared" si="9"/>
        <v>#DIV/0!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 t="s">
        <v>55</v>
      </c>
      <c r="AK30" s="1">
        <f t="shared" si="10"/>
        <v>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5" t="s">
        <v>68</v>
      </c>
      <c r="B31" s="15" t="s">
        <v>37</v>
      </c>
      <c r="C31" s="15"/>
      <c r="D31" s="15"/>
      <c r="E31" s="15"/>
      <c r="F31" s="15"/>
      <c r="G31" s="16">
        <v>0</v>
      </c>
      <c r="H31" s="15">
        <v>50</v>
      </c>
      <c r="I31" s="15" t="s">
        <v>38</v>
      </c>
      <c r="J31" s="15"/>
      <c r="K31" s="15"/>
      <c r="L31" s="15">
        <f t="shared" si="3"/>
        <v>0</v>
      </c>
      <c r="M31" s="15">
        <f t="shared" si="4"/>
        <v>0</v>
      </c>
      <c r="N31" s="15"/>
      <c r="O31" s="15"/>
      <c r="P31" s="15">
        <v>0</v>
      </c>
      <c r="Q31" s="15"/>
      <c r="R31" s="1">
        <f>IFERROR(VLOOKUP(A31,[1]Sheet!$A:$D,4,0),0)</f>
        <v>0</v>
      </c>
      <c r="S31" s="15">
        <f t="shared" si="5"/>
        <v>0</v>
      </c>
      <c r="T31" s="17"/>
      <c r="U31" s="17"/>
      <c r="V31" s="5">
        <f t="shared" si="7"/>
        <v>0</v>
      </c>
      <c r="W31" s="17"/>
      <c r="X31" s="15"/>
      <c r="Y31" s="15"/>
      <c r="Z31" s="1" t="e">
        <f t="shared" si="8"/>
        <v>#DIV/0!</v>
      </c>
      <c r="AA31" s="15" t="e">
        <f t="shared" si="9"/>
        <v>#DIV/0!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 t="s">
        <v>55</v>
      </c>
      <c r="AK31" s="1">
        <f t="shared" si="10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69</v>
      </c>
      <c r="B32" s="1" t="s">
        <v>37</v>
      </c>
      <c r="C32" s="1">
        <v>17.045999999999999</v>
      </c>
      <c r="D32" s="1"/>
      <c r="E32" s="1">
        <v>6.2489999999999997</v>
      </c>
      <c r="F32" s="1">
        <v>10.797000000000001</v>
      </c>
      <c r="G32" s="8">
        <v>1</v>
      </c>
      <c r="H32" s="1">
        <v>50</v>
      </c>
      <c r="I32" s="1" t="s">
        <v>38</v>
      </c>
      <c r="J32" s="1"/>
      <c r="K32" s="1">
        <v>5.4</v>
      </c>
      <c r="L32" s="1">
        <f t="shared" si="3"/>
        <v>0.84899999999999931</v>
      </c>
      <c r="M32" s="1">
        <f t="shared" si="4"/>
        <v>6.2489999999999997</v>
      </c>
      <c r="N32" s="1"/>
      <c r="O32" s="1"/>
      <c r="P32" s="1">
        <v>15.1754</v>
      </c>
      <c r="Q32" s="1"/>
      <c r="R32" s="1">
        <f>IFERROR(VLOOKUP(A32,[1]Sheet!$A:$D,4,0),0)</f>
        <v>0</v>
      </c>
      <c r="S32" s="1">
        <f t="shared" si="5"/>
        <v>1.2498</v>
      </c>
      <c r="T32" s="5"/>
      <c r="U32" s="5"/>
      <c r="V32" s="5">
        <f t="shared" si="7"/>
        <v>0</v>
      </c>
      <c r="W32" s="5"/>
      <c r="X32" s="1"/>
      <c r="Y32" s="1"/>
      <c r="Z32" s="1">
        <f t="shared" si="8"/>
        <v>20.78124499919987</v>
      </c>
      <c r="AA32" s="1">
        <f t="shared" si="9"/>
        <v>20.78124499919987</v>
      </c>
      <c r="AB32" s="1">
        <v>2.3142</v>
      </c>
      <c r="AC32" s="1">
        <v>1.6046</v>
      </c>
      <c r="AD32" s="1">
        <v>0.71699999999999997</v>
      </c>
      <c r="AE32" s="1">
        <v>0.53520000000000001</v>
      </c>
      <c r="AF32" s="1">
        <v>1.073</v>
      </c>
      <c r="AG32" s="1">
        <v>1.974</v>
      </c>
      <c r="AH32" s="1">
        <v>1.6204000000000001</v>
      </c>
      <c r="AI32" s="1">
        <v>1.2534000000000001</v>
      </c>
      <c r="AJ32" s="20" t="s">
        <v>146</v>
      </c>
      <c r="AK32" s="1">
        <f t="shared" si="10"/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70</v>
      </c>
      <c r="B33" s="1" t="s">
        <v>42</v>
      </c>
      <c r="C33" s="1">
        <v>1916</v>
      </c>
      <c r="D33" s="1">
        <v>1525</v>
      </c>
      <c r="E33" s="1">
        <v>1587</v>
      </c>
      <c r="F33" s="1">
        <v>1260</v>
      </c>
      <c r="G33" s="8">
        <v>0.4</v>
      </c>
      <c r="H33" s="1">
        <v>45</v>
      </c>
      <c r="I33" s="1" t="s">
        <v>38</v>
      </c>
      <c r="J33" s="1"/>
      <c r="K33" s="1">
        <v>1896</v>
      </c>
      <c r="L33" s="1">
        <f t="shared" si="3"/>
        <v>-309</v>
      </c>
      <c r="M33" s="1">
        <f t="shared" si="4"/>
        <v>1263</v>
      </c>
      <c r="N33" s="1">
        <v>324</v>
      </c>
      <c r="O33" s="1"/>
      <c r="P33" s="1">
        <v>950.39999999999964</v>
      </c>
      <c r="Q33" s="1"/>
      <c r="R33" s="1">
        <f>IFERROR(VLOOKUP(A33,[1]Sheet!$A:$D,4,0),0)</f>
        <v>211</v>
      </c>
      <c r="S33" s="1">
        <f t="shared" si="5"/>
        <v>252.6</v>
      </c>
      <c r="T33" s="5">
        <f t="shared" ref="T33:T46" si="15">15*S33-Q33-P33-O33-F33</f>
        <v>1578.6000000000004</v>
      </c>
      <c r="U33" s="5">
        <f t="shared" ref="U33:U39" si="16">$U$1*S33</f>
        <v>-313.22399999999999</v>
      </c>
      <c r="V33" s="5">
        <f t="shared" si="7"/>
        <v>1265.3760000000004</v>
      </c>
      <c r="W33" s="5"/>
      <c r="X33" s="1"/>
      <c r="Y33" s="1"/>
      <c r="Z33" s="1">
        <f t="shared" si="8"/>
        <v>13.76</v>
      </c>
      <c r="AA33" s="1">
        <f t="shared" si="9"/>
        <v>8.7505938242280266</v>
      </c>
      <c r="AB33" s="1">
        <v>229.2</v>
      </c>
      <c r="AC33" s="1">
        <v>238.6</v>
      </c>
      <c r="AD33" s="1">
        <v>223.8</v>
      </c>
      <c r="AE33" s="1">
        <v>240</v>
      </c>
      <c r="AF33" s="1">
        <v>250.8</v>
      </c>
      <c r="AG33" s="1">
        <v>231.8</v>
      </c>
      <c r="AH33" s="1">
        <v>246.8</v>
      </c>
      <c r="AI33" s="1">
        <v>260.8</v>
      </c>
      <c r="AJ33" s="1" t="s">
        <v>71</v>
      </c>
      <c r="AK33" s="1">
        <f t="shared" si="10"/>
        <v>506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72</v>
      </c>
      <c r="B34" s="1" t="s">
        <v>42</v>
      </c>
      <c r="C34" s="1">
        <v>425</v>
      </c>
      <c r="D34" s="1">
        <v>336</v>
      </c>
      <c r="E34" s="1">
        <v>322</v>
      </c>
      <c r="F34" s="1">
        <v>382</v>
      </c>
      <c r="G34" s="8">
        <v>0.45</v>
      </c>
      <c r="H34" s="1">
        <v>50</v>
      </c>
      <c r="I34" s="1" t="s">
        <v>38</v>
      </c>
      <c r="J34" s="1"/>
      <c r="K34" s="1">
        <v>362</v>
      </c>
      <c r="L34" s="1">
        <f t="shared" si="3"/>
        <v>-40</v>
      </c>
      <c r="M34" s="1">
        <f t="shared" si="4"/>
        <v>282</v>
      </c>
      <c r="N34" s="1">
        <v>40</v>
      </c>
      <c r="O34" s="1">
        <v>78.430000000000007</v>
      </c>
      <c r="P34" s="1">
        <v>0</v>
      </c>
      <c r="Q34" s="1"/>
      <c r="R34" s="1">
        <f>IFERROR(VLOOKUP(A34,[1]Sheet!$A:$D,4,0),0)</f>
        <v>0</v>
      </c>
      <c r="S34" s="1">
        <f t="shared" si="5"/>
        <v>56.4</v>
      </c>
      <c r="T34" s="5">
        <f t="shared" si="15"/>
        <v>385.56999999999994</v>
      </c>
      <c r="U34" s="5">
        <f t="shared" si="16"/>
        <v>-69.935999999999993</v>
      </c>
      <c r="V34" s="5">
        <f t="shared" si="7"/>
        <v>315.63399999999996</v>
      </c>
      <c r="W34" s="5"/>
      <c r="X34" s="1"/>
      <c r="Y34" s="1"/>
      <c r="Z34" s="1">
        <f t="shared" si="8"/>
        <v>13.76</v>
      </c>
      <c r="AA34" s="1">
        <f t="shared" si="9"/>
        <v>8.1636524822695034</v>
      </c>
      <c r="AB34" s="1">
        <v>42.8</v>
      </c>
      <c r="AC34" s="1">
        <v>50.6</v>
      </c>
      <c r="AD34" s="1">
        <v>53.8</v>
      </c>
      <c r="AE34" s="1">
        <v>52</v>
      </c>
      <c r="AF34" s="1">
        <v>53.4</v>
      </c>
      <c r="AG34" s="1">
        <v>52</v>
      </c>
      <c r="AH34" s="1">
        <v>86</v>
      </c>
      <c r="AI34" s="1">
        <v>132.4</v>
      </c>
      <c r="AJ34" s="1" t="s">
        <v>43</v>
      </c>
      <c r="AK34" s="1">
        <f t="shared" si="10"/>
        <v>142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73</v>
      </c>
      <c r="B35" s="1" t="s">
        <v>42</v>
      </c>
      <c r="C35" s="1">
        <v>2012</v>
      </c>
      <c r="D35" s="1">
        <v>1800</v>
      </c>
      <c r="E35" s="1">
        <v>1315</v>
      </c>
      <c r="F35" s="1">
        <v>1807</v>
      </c>
      <c r="G35" s="8">
        <v>0.4</v>
      </c>
      <c r="H35" s="1">
        <v>45</v>
      </c>
      <c r="I35" s="1" t="s">
        <v>38</v>
      </c>
      <c r="J35" s="1"/>
      <c r="K35" s="1">
        <v>1732</v>
      </c>
      <c r="L35" s="1">
        <f t="shared" si="3"/>
        <v>-417</v>
      </c>
      <c r="M35" s="1">
        <f t="shared" si="4"/>
        <v>1291</v>
      </c>
      <c r="N35" s="1">
        <v>24</v>
      </c>
      <c r="O35" s="1"/>
      <c r="P35" s="1">
        <v>58.600000000000357</v>
      </c>
      <c r="Q35" s="1"/>
      <c r="R35" s="1">
        <f>IFERROR(VLOOKUP(A35,[1]Sheet!$A:$D,4,0),0)</f>
        <v>211</v>
      </c>
      <c r="S35" s="1">
        <f t="shared" si="5"/>
        <v>258.2</v>
      </c>
      <c r="T35" s="5">
        <f t="shared" si="15"/>
        <v>2007.3999999999996</v>
      </c>
      <c r="U35" s="5">
        <f t="shared" si="16"/>
        <v>-320.16800000000001</v>
      </c>
      <c r="V35" s="5">
        <f t="shared" si="7"/>
        <v>1687.2319999999995</v>
      </c>
      <c r="W35" s="5"/>
      <c r="X35" s="1"/>
      <c r="Y35" s="1"/>
      <c r="Z35" s="1">
        <f t="shared" si="8"/>
        <v>13.76</v>
      </c>
      <c r="AA35" s="1">
        <f t="shared" si="9"/>
        <v>7.2254066615027126</v>
      </c>
      <c r="AB35" s="1">
        <v>190.8</v>
      </c>
      <c r="AC35" s="1">
        <v>257.39999999999998</v>
      </c>
      <c r="AD35" s="1">
        <v>270</v>
      </c>
      <c r="AE35" s="1">
        <v>250.8</v>
      </c>
      <c r="AF35" s="1">
        <v>238.8</v>
      </c>
      <c r="AG35" s="1">
        <v>264.2</v>
      </c>
      <c r="AH35" s="1">
        <v>235.8</v>
      </c>
      <c r="AI35" s="1">
        <v>260.8</v>
      </c>
      <c r="AJ35" s="1"/>
      <c r="AK35" s="1">
        <f t="shared" si="10"/>
        <v>675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74</v>
      </c>
      <c r="B36" s="1" t="s">
        <v>42</v>
      </c>
      <c r="C36" s="1">
        <v>146</v>
      </c>
      <c r="D36" s="1">
        <v>55</v>
      </c>
      <c r="E36" s="1">
        <v>150</v>
      </c>
      <c r="F36" s="1">
        <v>43</v>
      </c>
      <c r="G36" s="8">
        <v>0.4</v>
      </c>
      <c r="H36" s="1">
        <v>40</v>
      </c>
      <c r="I36" s="1" t="s">
        <v>38</v>
      </c>
      <c r="J36" s="1"/>
      <c r="K36" s="1">
        <v>150</v>
      </c>
      <c r="L36" s="1">
        <f t="shared" si="3"/>
        <v>0</v>
      </c>
      <c r="M36" s="1">
        <f t="shared" si="4"/>
        <v>150</v>
      </c>
      <c r="N36" s="1"/>
      <c r="O36" s="1"/>
      <c r="P36" s="1">
        <v>139.6</v>
      </c>
      <c r="Q36" s="1"/>
      <c r="R36" s="1">
        <f>IFERROR(VLOOKUP(A36,[1]Sheet!$A:$D,4,0),0)</f>
        <v>0</v>
      </c>
      <c r="S36" s="1">
        <f t="shared" si="5"/>
        <v>30</v>
      </c>
      <c r="T36" s="5">
        <f>14*S36-Q36-P36-O36-F36</f>
        <v>237.39999999999998</v>
      </c>
      <c r="U36" s="5">
        <f t="shared" si="16"/>
        <v>-37.200000000000003</v>
      </c>
      <c r="V36" s="5">
        <f t="shared" si="7"/>
        <v>200.2</v>
      </c>
      <c r="W36" s="5"/>
      <c r="X36" s="1"/>
      <c r="Y36" s="1"/>
      <c r="Z36" s="1">
        <f t="shared" si="8"/>
        <v>12.759999999999998</v>
      </c>
      <c r="AA36" s="1">
        <f t="shared" si="9"/>
        <v>6.0866666666666669</v>
      </c>
      <c r="AB36" s="1">
        <v>21.8</v>
      </c>
      <c r="AC36" s="1">
        <v>12.6</v>
      </c>
      <c r="AD36" s="1">
        <v>10.4</v>
      </c>
      <c r="AE36" s="1">
        <v>17</v>
      </c>
      <c r="AF36" s="1">
        <v>20.6</v>
      </c>
      <c r="AG36" s="1">
        <v>12.6</v>
      </c>
      <c r="AH36" s="1">
        <v>15.4</v>
      </c>
      <c r="AI36" s="1">
        <v>19</v>
      </c>
      <c r="AJ36" s="1" t="s">
        <v>75</v>
      </c>
      <c r="AK36" s="1">
        <f t="shared" si="10"/>
        <v>80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76</v>
      </c>
      <c r="B37" s="1" t="s">
        <v>37</v>
      </c>
      <c r="C37" s="1">
        <v>562.74</v>
      </c>
      <c r="D37" s="1">
        <v>654.75800000000004</v>
      </c>
      <c r="E37" s="1">
        <v>339.89299999999997</v>
      </c>
      <c r="F37" s="1">
        <v>729.98299999999995</v>
      </c>
      <c r="G37" s="8">
        <v>1</v>
      </c>
      <c r="H37" s="1">
        <v>45</v>
      </c>
      <c r="I37" s="1" t="s">
        <v>38</v>
      </c>
      <c r="J37" s="1"/>
      <c r="K37" s="1">
        <v>439.66399999999999</v>
      </c>
      <c r="L37" s="1">
        <f t="shared" si="3"/>
        <v>-99.771000000000015</v>
      </c>
      <c r="M37" s="1">
        <f t="shared" si="4"/>
        <v>339.89299999999997</v>
      </c>
      <c r="N37" s="1"/>
      <c r="O37" s="1"/>
      <c r="P37" s="1">
        <v>0</v>
      </c>
      <c r="Q37" s="1"/>
      <c r="R37" s="1">
        <f>IFERROR(VLOOKUP(A37,[1]Sheet!$A:$D,4,0),0)</f>
        <v>0</v>
      </c>
      <c r="S37" s="1">
        <f t="shared" si="5"/>
        <v>67.9786</v>
      </c>
      <c r="T37" s="5">
        <f t="shared" si="15"/>
        <v>289.69600000000003</v>
      </c>
      <c r="U37" s="5">
        <f t="shared" si="16"/>
        <v>-84.293464</v>
      </c>
      <c r="V37" s="5">
        <f t="shared" si="7"/>
        <v>205.40253600000003</v>
      </c>
      <c r="W37" s="5"/>
      <c r="X37" s="1"/>
      <c r="Y37" s="1"/>
      <c r="Z37" s="1">
        <f t="shared" si="8"/>
        <v>13.76</v>
      </c>
      <c r="AA37" s="1">
        <f t="shared" si="9"/>
        <v>10.738423562709441</v>
      </c>
      <c r="AB37" s="1">
        <v>64.661199999999994</v>
      </c>
      <c r="AC37" s="1">
        <v>58.102600000000002</v>
      </c>
      <c r="AD37" s="1">
        <v>74.066200000000009</v>
      </c>
      <c r="AE37" s="1">
        <v>96.037400000000005</v>
      </c>
      <c r="AF37" s="1">
        <v>76.811599999999999</v>
      </c>
      <c r="AG37" s="1">
        <v>61.268600000000013</v>
      </c>
      <c r="AH37" s="1">
        <v>76.885999999999996</v>
      </c>
      <c r="AI37" s="1">
        <v>77.734999999999999</v>
      </c>
      <c r="AJ37" s="1"/>
      <c r="AK37" s="1">
        <f t="shared" si="10"/>
        <v>205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77</v>
      </c>
      <c r="B38" s="1" t="s">
        <v>42</v>
      </c>
      <c r="C38" s="1">
        <v>91</v>
      </c>
      <c r="D38" s="1">
        <v>451</v>
      </c>
      <c r="E38" s="1">
        <v>130</v>
      </c>
      <c r="F38" s="1">
        <v>253</v>
      </c>
      <c r="G38" s="8">
        <v>0.1</v>
      </c>
      <c r="H38" s="1">
        <v>730</v>
      </c>
      <c r="I38" s="1" t="s">
        <v>38</v>
      </c>
      <c r="J38" s="1"/>
      <c r="K38" s="1">
        <v>130</v>
      </c>
      <c r="L38" s="1">
        <f t="shared" ref="L38:L69" si="17">E38-K38</f>
        <v>0</v>
      </c>
      <c r="M38" s="1">
        <f t="shared" si="4"/>
        <v>130</v>
      </c>
      <c r="N38" s="1"/>
      <c r="O38" s="1">
        <v>49.91</v>
      </c>
      <c r="P38" s="1">
        <v>0</v>
      </c>
      <c r="Q38" s="1"/>
      <c r="R38" s="1">
        <f>IFERROR(VLOOKUP(A38,[1]Sheet!$A:$D,4,0),0)</f>
        <v>0</v>
      </c>
      <c r="S38" s="1">
        <f t="shared" si="5"/>
        <v>26</v>
      </c>
      <c r="T38" s="5">
        <f t="shared" si="15"/>
        <v>87.090000000000032</v>
      </c>
      <c r="U38" s="5">
        <f t="shared" si="16"/>
        <v>-32.24</v>
      </c>
      <c r="V38" s="5">
        <f t="shared" si="7"/>
        <v>54.85000000000003</v>
      </c>
      <c r="W38" s="5"/>
      <c r="X38" s="1"/>
      <c r="Y38" s="1"/>
      <c r="Z38" s="1">
        <f t="shared" si="8"/>
        <v>13.76</v>
      </c>
      <c r="AA38" s="1">
        <f t="shared" si="9"/>
        <v>11.650384615384613</v>
      </c>
      <c r="AB38" s="1">
        <v>24.4</v>
      </c>
      <c r="AC38" s="1">
        <v>32.200000000000003</v>
      </c>
      <c r="AD38" s="1">
        <v>34.6</v>
      </c>
      <c r="AE38" s="1">
        <v>28.2</v>
      </c>
      <c r="AF38" s="1">
        <v>27.6</v>
      </c>
      <c r="AG38" s="1">
        <v>28.6</v>
      </c>
      <c r="AH38" s="1">
        <v>31.2</v>
      </c>
      <c r="AI38" s="1">
        <v>31.8</v>
      </c>
      <c r="AJ38" s="1"/>
      <c r="AK38" s="1">
        <f t="shared" si="10"/>
        <v>5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78</v>
      </c>
      <c r="B39" s="1" t="s">
        <v>42</v>
      </c>
      <c r="C39" s="1">
        <v>274</v>
      </c>
      <c r="D39" s="1">
        <v>368</v>
      </c>
      <c r="E39" s="1">
        <v>358</v>
      </c>
      <c r="F39" s="1">
        <v>201</v>
      </c>
      <c r="G39" s="8">
        <v>0.35</v>
      </c>
      <c r="H39" s="1">
        <v>40</v>
      </c>
      <c r="I39" s="1" t="s">
        <v>38</v>
      </c>
      <c r="J39" s="1"/>
      <c r="K39" s="1">
        <v>416</v>
      </c>
      <c r="L39" s="1">
        <f t="shared" si="17"/>
        <v>-58</v>
      </c>
      <c r="M39" s="1">
        <f t="shared" si="4"/>
        <v>358</v>
      </c>
      <c r="N39" s="1"/>
      <c r="O39" s="1"/>
      <c r="P39" s="1">
        <v>193.8</v>
      </c>
      <c r="Q39" s="1"/>
      <c r="R39" s="1">
        <f>IFERROR(VLOOKUP(A39,[1]Sheet!$A:$D,4,0),0)</f>
        <v>0</v>
      </c>
      <c r="S39" s="1">
        <f t="shared" si="5"/>
        <v>71.599999999999994</v>
      </c>
      <c r="T39" s="5">
        <f>14*S39-Q39-P39-O39-F39</f>
        <v>607.59999999999991</v>
      </c>
      <c r="U39" s="5">
        <f t="shared" si="16"/>
        <v>-88.783999999999992</v>
      </c>
      <c r="V39" s="5">
        <f t="shared" si="7"/>
        <v>518.81599999999992</v>
      </c>
      <c r="W39" s="5"/>
      <c r="X39" s="1"/>
      <c r="Y39" s="1"/>
      <c r="Z39" s="1">
        <f t="shared" si="8"/>
        <v>12.760000000000002</v>
      </c>
      <c r="AA39" s="1">
        <f t="shared" si="9"/>
        <v>5.5139664804469284</v>
      </c>
      <c r="AB39" s="1">
        <v>46.4</v>
      </c>
      <c r="AC39" s="1">
        <v>34.4</v>
      </c>
      <c r="AD39" s="1">
        <v>51</v>
      </c>
      <c r="AE39" s="1">
        <v>48.6</v>
      </c>
      <c r="AF39" s="1">
        <v>46.8</v>
      </c>
      <c r="AG39" s="1">
        <v>36.200000000000003</v>
      </c>
      <c r="AH39" s="1">
        <v>37.200000000000003</v>
      </c>
      <c r="AI39" s="1">
        <v>39</v>
      </c>
      <c r="AJ39" s="1"/>
      <c r="AK39" s="1">
        <f t="shared" si="10"/>
        <v>182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79</v>
      </c>
      <c r="B40" s="1" t="s">
        <v>37</v>
      </c>
      <c r="C40" s="1">
        <v>29.256</v>
      </c>
      <c r="D40" s="1">
        <v>101.733</v>
      </c>
      <c r="E40" s="1">
        <v>33.298000000000002</v>
      </c>
      <c r="F40" s="1">
        <v>77.460999999999999</v>
      </c>
      <c r="G40" s="8">
        <v>1</v>
      </c>
      <c r="H40" s="1">
        <v>40</v>
      </c>
      <c r="I40" s="1" t="s">
        <v>38</v>
      </c>
      <c r="J40" s="1"/>
      <c r="K40" s="1">
        <v>40.4</v>
      </c>
      <c r="L40" s="1">
        <f t="shared" si="17"/>
        <v>-7.1019999999999968</v>
      </c>
      <c r="M40" s="1">
        <f t="shared" si="4"/>
        <v>33.298000000000002</v>
      </c>
      <c r="N40" s="1"/>
      <c r="O40" s="1"/>
      <c r="P40" s="1">
        <v>48.213200000000029</v>
      </c>
      <c r="Q40" s="1"/>
      <c r="R40" s="1">
        <f>IFERROR(VLOOKUP(A40,[1]Sheet!$A:$D,4,0),0)</f>
        <v>0</v>
      </c>
      <c r="S40" s="1">
        <f t="shared" si="5"/>
        <v>6.6596000000000002</v>
      </c>
      <c r="T40" s="5"/>
      <c r="U40" s="5"/>
      <c r="V40" s="5">
        <f t="shared" si="7"/>
        <v>0</v>
      </c>
      <c r="W40" s="5"/>
      <c r="X40" s="1"/>
      <c r="Y40" s="1"/>
      <c r="Z40" s="1">
        <f t="shared" si="8"/>
        <v>18.871133401405494</v>
      </c>
      <c r="AA40" s="1">
        <f t="shared" si="9"/>
        <v>18.871133401405494</v>
      </c>
      <c r="AB40" s="1">
        <v>11.127599999999999</v>
      </c>
      <c r="AC40" s="1">
        <v>10.8368</v>
      </c>
      <c r="AD40" s="1">
        <v>6.8138000000000014</v>
      </c>
      <c r="AE40" s="1">
        <v>6.9438000000000004</v>
      </c>
      <c r="AF40" s="1">
        <v>7.7876000000000003</v>
      </c>
      <c r="AG40" s="1">
        <v>7.6316000000000006</v>
      </c>
      <c r="AH40" s="1">
        <v>6.4818000000000016</v>
      </c>
      <c r="AI40" s="1">
        <v>8.1997999999999998</v>
      </c>
      <c r="AJ40" s="1"/>
      <c r="AK40" s="1">
        <f t="shared" si="10"/>
        <v>0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80</v>
      </c>
      <c r="B41" s="1" t="s">
        <v>42</v>
      </c>
      <c r="C41" s="1">
        <v>159</v>
      </c>
      <c r="D41" s="1">
        <v>744</v>
      </c>
      <c r="E41" s="1">
        <v>284</v>
      </c>
      <c r="F41" s="1">
        <v>395</v>
      </c>
      <c r="G41" s="8">
        <v>0.4</v>
      </c>
      <c r="H41" s="1">
        <v>40</v>
      </c>
      <c r="I41" s="1" t="s">
        <v>38</v>
      </c>
      <c r="J41" s="1"/>
      <c r="K41" s="1">
        <v>414</v>
      </c>
      <c r="L41" s="1">
        <f t="shared" si="17"/>
        <v>-130</v>
      </c>
      <c r="M41" s="1">
        <f t="shared" si="4"/>
        <v>158</v>
      </c>
      <c r="N41" s="1">
        <v>126</v>
      </c>
      <c r="O41" s="1"/>
      <c r="P41" s="1">
        <v>0</v>
      </c>
      <c r="Q41" s="1"/>
      <c r="R41" s="1">
        <f>IFERROR(VLOOKUP(A41,[1]Sheet!$A:$D,4,0),0)</f>
        <v>84</v>
      </c>
      <c r="S41" s="1">
        <f t="shared" si="5"/>
        <v>31.6</v>
      </c>
      <c r="T41" s="5">
        <f>14*S41-Q41-P41-O41-F41</f>
        <v>47.400000000000034</v>
      </c>
      <c r="U41" s="5">
        <f t="shared" ref="U41:U46" si="18">$U$1*S41</f>
        <v>-39.184000000000005</v>
      </c>
      <c r="V41" s="5">
        <f t="shared" si="7"/>
        <v>8.2160000000000295</v>
      </c>
      <c r="W41" s="5"/>
      <c r="X41" s="1"/>
      <c r="Y41" s="1"/>
      <c r="Z41" s="1">
        <f t="shared" si="8"/>
        <v>12.76</v>
      </c>
      <c r="AA41" s="1">
        <f t="shared" si="9"/>
        <v>12.5</v>
      </c>
      <c r="AB41" s="1">
        <v>25.8</v>
      </c>
      <c r="AC41" s="1">
        <v>42.2</v>
      </c>
      <c r="AD41" s="1">
        <v>42.4</v>
      </c>
      <c r="AE41" s="1">
        <v>28</v>
      </c>
      <c r="AF41" s="1">
        <v>36.4</v>
      </c>
      <c r="AG41" s="1">
        <v>34.6</v>
      </c>
      <c r="AH41" s="1">
        <v>28.4</v>
      </c>
      <c r="AI41" s="1">
        <v>31.8</v>
      </c>
      <c r="AJ41" s="1"/>
      <c r="AK41" s="1">
        <f t="shared" si="10"/>
        <v>3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81</v>
      </c>
      <c r="B42" s="1" t="s">
        <v>42</v>
      </c>
      <c r="C42" s="1">
        <v>605</v>
      </c>
      <c r="D42" s="1">
        <v>657</v>
      </c>
      <c r="E42" s="1">
        <v>521</v>
      </c>
      <c r="F42" s="1">
        <v>491</v>
      </c>
      <c r="G42" s="8">
        <v>0.4</v>
      </c>
      <c r="H42" s="1">
        <v>45</v>
      </c>
      <c r="I42" s="1" t="s">
        <v>38</v>
      </c>
      <c r="J42" s="1"/>
      <c r="K42" s="1">
        <v>664</v>
      </c>
      <c r="L42" s="1">
        <f t="shared" si="17"/>
        <v>-143</v>
      </c>
      <c r="M42" s="1">
        <f t="shared" si="4"/>
        <v>383</v>
      </c>
      <c r="N42" s="1">
        <v>138</v>
      </c>
      <c r="O42" s="1"/>
      <c r="P42" s="1">
        <v>225.40000000000009</v>
      </c>
      <c r="Q42" s="1"/>
      <c r="R42" s="1">
        <f>IFERROR(VLOOKUP(A42,[1]Sheet!$A:$D,4,0),0)</f>
        <v>78</v>
      </c>
      <c r="S42" s="1">
        <f t="shared" si="5"/>
        <v>76.599999999999994</v>
      </c>
      <c r="T42" s="5">
        <f t="shared" si="15"/>
        <v>432.59999999999991</v>
      </c>
      <c r="U42" s="5">
        <f t="shared" si="18"/>
        <v>-94.983999999999995</v>
      </c>
      <c r="V42" s="5">
        <f t="shared" si="7"/>
        <v>337.61599999999993</v>
      </c>
      <c r="W42" s="5"/>
      <c r="X42" s="1"/>
      <c r="Y42" s="1"/>
      <c r="Z42" s="1">
        <f t="shared" si="8"/>
        <v>13.760000000000002</v>
      </c>
      <c r="AA42" s="1">
        <f t="shared" si="9"/>
        <v>9.3524804177545704</v>
      </c>
      <c r="AB42" s="1">
        <v>67.2</v>
      </c>
      <c r="AC42" s="1">
        <v>72</v>
      </c>
      <c r="AD42" s="1">
        <v>66</v>
      </c>
      <c r="AE42" s="1">
        <v>72.8</v>
      </c>
      <c r="AF42" s="1">
        <v>72.599999999999994</v>
      </c>
      <c r="AG42" s="1">
        <v>97.8</v>
      </c>
      <c r="AH42" s="1">
        <v>65.8</v>
      </c>
      <c r="AI42" s="1">
        <v>84.6</v>
      </c>
      <c r="AJ42" s="1" t="s">
        <v>43</v>
      </c>
      <c r="AK42" s="1">
        <f t="shared" si="10"/>
        <v>135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82</v>
      </c>
      <c r="B43" s="1" t="s">
        <v>37</v>
      </c>
      <c r="C43" s="1">
        <v>-2.351</v>
      </c>
      <c r="D43" s="1">
        <v>260.15699999999998</v>
      </c>
      <c r="E43" s="1">
        <v>131.69900000000001</v>
      </c>
      <c r="F43" s="1">
        <v>80.247</v>
      </c>
      <c r="G43" s="8">
        <v>1</v>
      </c>
      <c r="H43" s="1">
        <v>40</v>
      </c>
      <c r="I43" s="1" t="s">
        <v>38</v>
      </c>
      <c r="J43" s="1"/>
      <c r="K43" s="1">
        <v>175.62100000000001</v>
      </c>
      <c r="L43" s="1">
        <f t="shared" si="17"/>
        <v>-43.921999999999997</v>
      </c>
      <c r="M43" s="1">
        <f t="shared" si="4"/>
        <v>88.378000000000014</v>
      </c>
      <c r="N43" s="1">
        <v>43.320999999999998</v>
      </c>
      <c r="O43" s="1"/>
      <c r="P43" s="1">
        <v>0</v>
      </c>
      <c r="Q43" s="1"/>
      <c r="R43" s="1">
        <f>IFERROR(VLOOKUP(A43,[1]Sheet!$A:$D,4,0),0)</f>
        <v>0</v>
      </c>
      <c r="S43" s="1">
        <f t="shared" si="5"/>
        <v>17.675600000000003</v>
      </c>
      <c r="T43" s="5">
        <f t="shared" ref="T43:T45" si="19">14*S43-Q43-P43-O43-F43</f>
        <v>167.21140000000003</v>
      </c>
      <c r="U43" s="5">
        <f t="shared" si="18"/>
        <v>-21.917744000000003</v>
      </c>
      <c r="V43" s="5">
        <f t="shared" si="7"/>
        <v>145.29365600000003</v>
      </c>
      <c r="W43" s="5"/>
      <c r="X43" s="1"/>
      <c r="Y43" s="1"/>
      <c r="Z43" s="1">
        <f t="shared" si="8"/>
        <v>12.759999999999998</v>
      </c>
      <c r="AA43" s="1">
        <f t="shared" si="9"/>
        <v>4.5399873271628675</v>
      </c>
      <c r="AB43" s="1">
        <v>5.4978000000000007</v>
      </c>
      <c r="AC43" s="1">
        <v>18.39</v>
      </c>
      <c r="AD43" s="1">
        <v>23.522400000000001</v>
      </c>
      <c r="AE43" s="1">
        <v>12.7408</v>
      </c>
      <c r="AF43" s="1">
        <v>11.8408</v>
      </c>
      <c r="AG43" s="1">
        <v>19.4712</v>
      </c>
      <c r="AH43" s="1">
        <v>18.616</v>
      </c>
      <c r="AI43" s="1">
        <v>17.1266</v>
      </c>
      <c r="AJ43" s="1"/>
      <c r="AK43" s="1">
        <f t="shared" si="10"/>
        <v>145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83</v>
      </c>
      <c r="B44" s="1" t="s">
        <v>42</v>
      </c>
      <c r="C44" s="1">
        <v>578</v>
      </c>
      <c r="D44" s="1">
        <v>725</v>
      </c>
      <c r="E44" s="1">
        <v>521</v>
      </c>
      <c r="F44" s="1">
        <v>745</v>
      </c>
      <c r="G44" s="8">
        <v>0.35</v>
      </c>
      <c r="H44" s="1">
        <v>40</v>
      </c>
      <c r="I44" s="1" t="s">
        <v>38</v>
      </c>
      <c r="J44" s="1"/>
      <c r="K44" s="1">
        <v>539</v>
      </c>
      <c r="L44" s="1">
        <f t="shared" si="17"/>
        <v>-18</v>
      </c>
      <c r="M44" s="1">
        <f t="shared" si="4"/>
        <v>521</v>
      </c>
      <c r="N44" s="1"/>
      <c r="O44" s="1"/>
      <c r="P44" s="1">
        <v>380.2</v>
      </c>
      <c r="Q44" s="1"/>
      <c r="R44" s="1">
        <f>IFERROR(VLOOKUP(A44,[1]Sheet!$A:$D,4,0),0)</f>
        <v>0</v>
      </c>
      <c r="S44" s="1">
        <f t="shared" si="5"/>
        <v>104.2</v>
      </c>
      <c r="T44" s="5">
        <f t="shared" si="19"/>
        <v>333.59999999999991</v>
      </c>
      <c r="U44" s="5">
        <f t="shared" si="18"/>
        <v>-129.208</v>
      </c>
      <c r="V44" s="5">
        <f t="shared" si="7"/>
        <v>204.39199999999991</v>
      </c>
      <c r="W44" s="5"/>
      <c r="X44" s="1"/>
      <c r="Y44" s="1"/>
      <c r="Z44" s="1">
        <f t="shared" si="8"/>
        <v>12.759999999999998</v>
      </c>
      <c r="AA44" s="1">
        <f t="shared" si="9"/>
        <v>10.798464491362765</v>
      </c>
      <c r="AB44" s="1">
        <v>119.2</v>
      </c>
      <c r="AC44" s="1">
        <v>117.2</v>
      </c>
      <c r="AD44" s="1">
        <v>97.4</v>
      </c>
      <c r="AE44" s="1">
        <v>102.6</v>
      </c>
      <c r="AF44" s="1">
        <v>122</v>
      </c>
      <c r="AG44" s="1">
        <v>112.2</v>
      </c>
      <c r="AH44" s="1">
        <v>101.6</v>
      </c>
      <c r="AI44" s="1">
        <v>104.2</v>
      </c>
      <c r="AJ44" s="1" t="s">
        <v>50</v>
      </c>
      <c r="AK44" s="1">
        <f t="shared" si="10"/>
        <v>72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84</v>
      </c>
      <c r="B45" s="1" t="s">
        <v>42</v>
      </c>
      <c r="C45" s="1">
        <v>238</v>
      </c>
      <c r="D45" s="1">
        <v>666</v>
      </c>
      <c r="E45" s="1">
        <v>319</v>
      </c>
      <c r="F45" s="1">
        <v>532</v>
      </c>
      <c r="G45" s="8">
        <v>0.4</v>
      </c>
      <c r="H45" s="1">
        <v>40</v>
      </c>
      <c r="I45" s="1" t="s">
        <v>38</v>
      </c>
      <c r="J45" s="1"/>
      <c r="K45" s="1">
        <v>345</v>
      </c>
      <c r="L45" s="1">
        <f t="shared" si="17"/>
        <v>-26</v>
      </c>
      <c r="M45" s="1">
        <f t="shared" si="4"/>
        <v>295</v>
      </c>
      <c r="N45" s="1">
        <v>24</v>
      </c>
      <c r="O45" s="1"/>
      <c r="P45" s="1">
        <v>83.800000000000068</v>
      </c>
      <c r="Q45" s="1"/>
      <c r="R45" s="1">
        <f>IFERROR(VLOOKUP(A45,[1]Sheet!$A:$D,4,0),0)</f>
        <v>0</v>
      </c>
      <c r="S45" s="1">
        <f t="shared" si="5"/>
        <v>59</v>
      </c>
      <c r="T45" s="5">
        <f t="shared" si="19"/>
        <v>210.19999999999993</v>
      </c>
      <c r="U45" s="5">
        <f t="shared" si="18"/>
        <v>-73.16</v>
      </c>
      <c r="V45" s="5">
        <f t="shared" si="7"/>
        <v>137.03999999999994</v>
      </c>
      <c r="W45" s="5"/>
      <c r="X45" s="1"/>
      <c r="Y45" s="1"/>
      <c r="Z45" s="1">
        <f t="shared" si="8"/>
        <v>12.76</v>
      </c>
      <c r="AA45" s="1">
        <f t="shared" si="9"/>
        <v>10.437288135593221</v>
      </c>
      <c r="AB45" s="1">
        <v>65</v>
      </c>
      <c r="AC45" s="1">
        <v>86.2</v>
      </c>
      <c r="AD45" s="1">
        <v>82.2</v>
      </c>
      <c r="AE45" s="1">
        <v>63.2</v>
      </c>
      <c r="AF45" s="1">
        <v>63.8</v>
      </c>
      <c r="AG45" s="1">
        <v>59.6</v>
      </c>
      <c r="AH45" s="1">
        <v>71.8</v>
      </c>
      <c r="AI45" s="1">
        <v>79.400000000000006</v>
      </c>
      <c r="AJ45" s="1" t="s">
        <v>43</v>
      </c>
      <c r="AK45" s="1">
        <f t="shared" si="10"/>
        <v>55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85</v>
      </c>
      <c r="B46" s="1" t="s">
        <v>37</v>
      </c>
      <c r="C46" s="1">
        <v>14.762</v>
      </c>
      <c r="D46" s="1">
        <v>272.21100000000001</v>
      </c>
      <c r="E46" s="1">
        <v>132.43700000000001</v>
      </c>
      <c r="F46" s="1">
        <v>96.366</v>
      </c>
      <c r="G46" s="8">
        <v>1</v>
      </c>
      <c r="H46" s="1">
        <v>50</v>
      </c>
      <c r="I46" s="1" t="s">
        <v>38</v>
      </c>
      <c r="J46" s="1"/>
      <c r="K46" s="1">
        <v>168.08</v>
      </c>
      <c r="L46" s="1">
        <f t="shared" si="17"/>
        <v>-35.643000000000001</v>
      </c>
      <c r="M46" s="1">
        <f t="shared" si="4"/>
        <v>100.30700000000002</v>
      </c>
      <c r="N46" s="1">
        <v>32.130000000000003</v>
      </c>
      <c r="O46" s="1"/>
      <c r="P46" s="1">
        <v>18.91079999999997</v>
      </c>
      <c r="Q46" s="1"/>
      <c r="R46" s="1">
        <f>IFERROR(VLOOKUP(A46,[1]Sheet!$A:$D,4,0),0)</f>
        <v>0</v>
      </c>
      <c r="S46" s="1">
        <f t="shared" si="5"/>
        <v>20.061400000000003</v>
      </c>
      <c r="T46" s="5">
        <f t="shared" si="15"/>
        <v>185.64420000000007</v>
      </c>
      <c r="U46" s="5">
        <f t="shared" si="18"/>
        <v>-24.876136000000002</v>
      </c>
      <c r="V46" s="5">
        <f t="shared" si="7"/>
        <v>160.76806400000007</v>
      </c>
      <c r="W46" s="5"/>
      <c r="X46" s="1"/>
      <c r="Y46" s="1"/>
      <c r="Z46" s="1">
        <f t="shared" si="8"/>
        <v>13.76</v>
      </c>
      <c r="AA46" s="1">
        <f t="shared" si="9"/>
        <v>5.7461991685525415</v>
      </c>
      <c r="AB46" s="1">
        <v>16.882400000000001</v>
      </c>
      <c r="AC46" s="1">
        <v>21.015599999999999</v>
      </c>
      <c r="AD46" s="1">
        <v>17.166</v>
      </c>
      <c r="AE46" s="1">
        <v>13.372400000000001</v>
      </c>
      <c r="AF46" s="1">
        <v>16.836600000000001</v>
      </c>
      <c r="AG46" s="1">
        <v>15.747999999999999</v>
      </c>
      <c r="AH46" s="1">
        <v>14.630800000000001</v>
      </c>
      <c r="AI46" s="1">
        <v>17.389399999999998</v>
      </c>
      <c r="AJ46" s="1"/>
      <c r="AK46" s="1">
        <f t="shared" si="10"/>
        <v>161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86</v>
      </c>
      <c r="B47" s="1" t="s">
        <v>37</v>
      </c>
      <c r="C47" s="1">
        <v>669.69799999999998</v>
      </c>
      <c r="D47" s="1">
        <v>1017.927</v>
      </c>
      <c r="E47" s="1">
        <v>517.69899999999996</v>
      </c>
      <c r="F47" s="1">
        <v>814.55499999999995</v>
      </c>
      <c r="G47" s="8">
        <v>1</v>
      </c>
      <c r="H47" s="1">
        <v>50</v>
      </c>
      <c r="I47" s="1" t="s">
        <v>38</v>
      </c>
      <c r="J47" s="1"/>
      <c r="K47" s="1">
        <v>976.41700000000003</v>
      </c>
      <c r="L47" s="1">
        <f t="shared" si="17"/>
        <v>-458.71800000000007</v>
      </c>
      <c r="M47" s="1">
        <f t="shared" si="4"/>
        <v>293.38199999999995</v>
      </c>
      <c r="N47" s="1">
        <v>224.31700000000001</v>
      </c>
      <c r="O47" s="1">
        <v>154.43611000000001</v>
      </c>
      <c r="P47" s="1">
        <v>282.44679000000031</v>
      </c>
      <c r="Q47" s="1">
        <v>247.61070000000001</v>
      </c>
      <c r="R47" s="1">
        <f>IFERROR(VLOOKUP(A47,[1]Sheet!$A:$D,4,0),0)</f>
        <v>0</v>
      </c>
      <c r="S47" s="1">
        <f t="shared" si="5"/>
        <v>58.676399999999987</v>
      </c>
      <c r="T47" s="5"/>
      <c r="U47" s="5"/>
      <c r="V47" s="5">
        <f t="shared" si="7"/>
        <v>0</v>
      </c>
      <c r="W47" s="5"/>
      <c r="X47" s="1"/>
      <c r="Y47" s="1"/>
      <c r="Z47" s="1">
        <f t="shared" si="8"/>
        <v>25.547726172703175</v>
      </c>
      <c r="AA47" s="1">
        <f t="shared" si="9"/>
        <v>25.547726172703175</v>
      </c>
      <c r="AB47" s="1">
        <v>110.0492</v>
      </c>
      <c r="AC47" s="1">
        <v>99.636199999999988</v>
      </c>
      <c r="AD47" s="1">
        <v>44.864999999999988</v>
      </c>
      <c r="AE47" s="1">
        <v>26.1844</v>
      </c>
      <c r="AF47" s="1">
        <v>110.61839999999999</v>
      </c>
      <c r="AG47" s="1">
        <v>105.82640000000001</v>
      </c>
      <c r="AH47" s="1">
        <v>53.627800000000001</v>
      </c>
      <c r="AI47" s="1">
        <v>76.497199999999992</v>
      </c>
      <c r="AJ47" s="1"/>
      <c r="AK47" s="1">
        <f t="shared" si="10"/>
        <v>0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5" t="s">
        <v>87</v>
      </c>
      <c r="B48" s="15" t="s">
        <v>37</v>
      </c>
      <c r="C48" s="15"/>
      <c r="D48" s="15"/>
      <c r="E48" s="15"/>
      <c r="F48" s="15"/>
      <c r="G48" s="16">
        <v>0</v>
      </c>
      <c r="H48" s="15">
        <v>40</v>
      </c>
      <c r="I48" s="15" t="s">
        <v>38</v>
      </c>
      <c r="J48" s="15"/>
      <c r="K48" s="15"/>
      <c r="L48" s="15">
        <f t="shared" si="17"/>
        <v>0</v>
      </c>
      <c r="M48" s="15">
        <f t="shared" si="4"/>
        <v>0</v>
      </c>
      <c r="N48" s="15"/>
      <c r="O48" s="15"/>
      <c r="P48" s="15">
        <v>0</v>
      </c>
      <c r="Q48" s="15"/>
      <c r="R48" s="1">
        <f>IFERROR(VLOOKUP(A48,[1]Sheet!$A:$D,4,0),0)</f>
        <v>0</v>
      </c>
      <c r="S48" s="15">
        <f t="shared" si="5"/>
        <v>0</v>
      </c>
      <c r="T48" s="17"/>
      <c r="U48" s="17"/>
      <c r="V48" s="5">
        <f t="shared" si="7"/>
        <v>0</v>
      </c>
      <c r="W48" s="17"/>
      <c r="X48" s="15"/>
      <c r="Y48" s="15"/>
      <c r="Z48" s="1" t="e">
        <f t="shared" si="8"/>
        <v>#DIV/0!</v>
      </c>
      <c r="AA48" s="15" t="e">
        <f t="shared" si="9"/>
        <v>#DIV/0!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 t="s">
        <v>55</v>
      </c>
      <c r="AK48" s="1">
        <f t="shared" si="10"/>
        <v>0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88</v>
      </c>
      <c r="B49" s="1" t="s">
        <v>42</v>
      </c>
      <c r="C49" s="1">
        <v>141</v>
      </c>
      <c r="D49" s="1">
        <v>392</v>
      </c>
      <c r="E49" s="1">
        <v>311</v>
      </c>
      <c r="F49" s="1">
        <v>184</v>
      </c>
      <c r="G49" s="8">
        <v>0.45</v>
      </c>
      <c r="H49" s="1">
        <v>50</v>
      </c>
      <c r="I49" s="1" t="s">
        <v>38</v>
      </c>
      <c r="J49" s="1"/>
      <c r="K49" s="1">
        <v>334</v>
      </c>
      <c r="L49" s="1">
        <f t="shared" si="17"/>
        <v>-23</v>
      </c>
      <c r="M49" s="1">
        <f t="shared" si="4"/>
        <v>291</v>
      </c>
      <c r="N49" s="1">
        <v>20</v>
      </c>
      <c r="O49" s="1">
        <v>54.87</v>
      </c>
      <c r="P49" s="1">
        <v>31.729999999999961</v>
      </c>
      <c r="Q49" s="1">
        <v>87.3</v>
      </c>
      <c r="R49" s="1">
        <f>IFERROR(VLOOKUP(A49,[1]Sheet!$A:$D,4,0),0)</f>
        <v>0</v>
      </c>
      <c r="S49" s="1">
        <f t="shared" si="5"/>
        <v>58.2</v>
      </c>
      <c r="T49" s="5">
        <f t="shared" ref="T49:T66" si="20">15*S49-Q49-P49-O49-F49</f>
        <v>515.1</v>
      </c>
      <c r="U49" s="5">
        <f t="shared" ref="U49:U58" si="21">$U$1*S49</f>
        <v>-72.168000000000006</v>
      </c>
      <c r="V49" s="5">
        <f t="shared" si="7"/>
        <v>442.93200000000002</v>
      </c>
      <c r="W49" s="5"/>
      <c r="X49" s="1"/>
      <c r="Y49" s="1"/>
      <c r="Z49" s="1">
        <f t="shared" si="8"/>
        <v>13.76</v>
      </c>
      <c r="AA49" s="1">
        <f t="shared" si="9"/>
        <v>6.1494845360824737</v>
      </c>
      <c r="AB49" s="1">
        <v>38.799999999999997</v>
      </c>
      <c r="AC49" s="1">
        <v>35.4</v>
      </c>
      <c r="AD49" s="1">
        <v>32.799999999999997</v>
      </c>
      <c r="AE49" s="1">
        <v>31.4</v>
      </c>
      <c r="AF49" s="1">
        <v>35</v>
      </c>
      <c r="AG49" s="1">
        <v>33.4</v>
      </c>
      <c r="AH49" s="1">
        <v>29.8</v>
      </c>
      <c r="AI49" s="1">
        <v>33</v>
      </c>
      <c r="AJ49" s="1" t="s">
        <v>43</v>
      </c>
      <c r="AK49" s="1">
        <f t="shared" si="10"/>
        <v>199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89</v>
      </c>
      <c r="B50" s="1" t="s">
        <v>42</v>
      </c>
      <c r="C50" s="1">
        <v>60</v>
      </c>
      <c r="D50" s="1">
        <v>69</v>
      </c>
      <c r="E50" s="1">
        <v>48</v>
      </c>
      <c r="F50" s="1">
        <v>73</v>
      </c>
      <c r="G50" s="8">
        <v>0.4</v>
      </c>
      <c r="H50" s="1">
        <v>40</v>
      </c>
      <c r="I50" s="1" t="s">
        <v>38</v>
      </c>
      <c r="J50" s="1"/>
      <c r="K50" s="1">
        <v>55</v>
      </c>
      <c r="L50" s="1">
        <f t="shared" si="17"/>
        <v>-7</v>
      </c>
      <c r="M50" s="1">
        <f t="shared" si="4"/>
        <v>48</v>
      </c>
      <c r="N50" s="1"/>
      <c r="O50" s="1"/>
      <c r="P50" s="1">
        <v>19.800000000000011</v>
      </c>
      <c r="Q50" s="1"/>
      <c r="R50" s="1">
        <f>IFERROR(VLOOKUP(A50,[1]Sheet!$A:$D,4,0),0)</f>
        <v>0</v>
      </c>
      <c r="S50" s="1">
        <f t="shared" si="5"/>
        <v>9.6</v>
      </c>
      <c r="T50" s="5">
        <f t="shared" ref="T50:T51" si="22">14*S50-Q50-P50-O50-F50</f>
        <v>41.599999999999994</v>
      </c>
      <c r="U50" s="5">
        <f t="shared" si="21"/>
        <v>-11.904</v>
      </c>
      <c r="V50" s="5">
        <f t="shared" si="7"/>
        <v>29.695999999999994</v>
      </c>
      <c r="W50" s="5"/>
      <c r="X50" s="1"/>
      <c r="Y50" s="1"/>
      <c r="Z50" s="1">
        <f t="shared" si="8"/>
        <v>12.760000000000002</v>
      </c>
      <c r="AA50" s="1">
        <f t="shared" si="9"/>
        <v>9.6666666666666679</v>
      </c>
      <c r="AB50" s="1">
        <v>10</v>
      </c>
      <c r="AC50" s="1">
        <v>12.6</v>
      </c>
      <c r="AD50" s="1">
        <v>12.4</v>
      </c>
      <c r="AE50" s="1">
        <v>11</v>
      </c>
      <c r="AF50" s="1">
        <v>12.8</v>
      </c>
      <c r="AG50" s="1">
        <v>13</v>
      </c>
      <c r="AH50" s="1">
        <v>11.2</v>
      </c>
      <c r="AI50" s="1">
        <v>8.6</v>
      </c>
      <c r="AJ50" s="1"/>
      <c r="AK50" s="1">
        <f t="shared" si="10"/>
        <v>12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90</v>
      </c>
      <c r="B51" s="1" t="s">
        <v>42</v>
      </c>
      <c r="C51" s="1">
        <v>61</v>
      </c>
      <c r="D51" s="1">
        <v>114</v>
      </c>
      <c r="E51" s="1">
        <v>70</v>
      </c>
      <c r="F51" s="1">
        <v>93</v>
      </c>
      <c r="G51" s="8">
        <v>0.4</v>
      </c>
      <c r="H51" s="1">
        <v>40</v>
      </c>
      <c r="I51" s="1" t="s">
        <v>38</v>
      </c>
      <c r="J51" s="1"/>
      <c r="K51" s="1">
        <v>79</v>
      </c>
      <c r="L51" s="1">
        <f t="shared" si="17"/>
        <v>-9</v>
      </c>
      <c r="M51" s="1">
        <f t="shared" si="4"/>
        <v>70</v>
      </c>
      <c r="N51" s="1"/>
      <c r="O51" s="1"/>
      <c r="P51" s="1">
        <v>40.999999999999972</v>
      </c>
      <c r="Q51" s="1"/>
      <c r="R51" s="1">
        <f>IFERROR(VLOOKUP(A51,[1]Sheet!$A:$D,4,0),0)</f>
        <v>0</v>
      </c>
      <c r="S51" s="1">
        <f t="shared" si="5"/>
        <v>14</v>
      </c>
      <c r="T51" s="5">
        <f t="shared" si="22"/>
        <v>62.000000000000028</v>
      </c>
      <c r="U51" s="5">
        <f t="shared" si="21"/>
        <v>-17.36</v>
      </c>
      <c r="V51" s="5">
        <f t="shared" si="7"/>
        <v>44.640000000000029</v>
      </c>
      <c r="W51" s="5"/>
      <c r="X51" s="1"/>
      <c r="Y51" s="1"/>
      <c r="Z51" s="1">
        <f t="shared" si="8"/>
        <v>12.76</v>
      </c>
      <c r="AA51" s="1">
        <f t="shared" si="9"/>
        <v>9.5714285714285694</v>
      </c>
      <c r="AB51" s="1">
        <v>14.6</v>
      </c>
      <c r="AC51" s="1">
        <v>17</v>
      </c>
      <c r="AD51" s="1">
        <v>16.399999999999999</v>
      </c>
      <c r="AE51" s="1">
        <v>16.8</v>
      </c>
      <c r="AF51" s="1">
        <v>19</v>
      </c>
      <c r="AG51" s="1">
        <v>19</v>
      </c>
      <c r="AH51" s="1">
        <v>23.8</v>
      </c>
      <c r="AI51" s="1">
        <v>20.399999999999999</v>
      </c>
      <c r="AJ51" s="1" t="s">
        <v>91</v>
      </c>
      <c r="AK51" s="1">
        <f t="shared" si="10"/>
        <v>18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92</v>
      </c>
      <c r="B52" s="1" t="s">
        <v>37</v>
      </c>
      <c r="C52" s="1">
        <v>98.174999999999997</v>
      </c>
      <c r="D52" s="1">
        <v>228.87299999999999</v>
      </c>
      <c r="E52" s="1">
        <v>232.72900000000001</v>
      </c>
      <c r="F52" s="1">
        <v>14.762</v>
      </c>
      <c r="G52" s="8">
        <v>1</v>
      </c>
      <c r="H52" s="1">
        <v>50</v>
      </c>
      <c r="I52" s="1" t="s">
        <v>38</v>
      </c>
      <c r="J52" s="1"/>
      <c r="K52" s="1">
        <v>264.3</v>
      </c>
      <c r="L52" s="1">
        <f t="shared" si="17"/>
        <v>-31.570999999999998</v>
      </c>
      <c r="M52" s="1">
        <f t="shared" si="4"/>
        <v>232.72900000000001</v>
      </c>
      <c r="N52" s="1"/>
      <c r="O52" s="1"/>
      <c r="P52" s="1">
        <v>249.9020000000001</v>
      </c>
      <c r="Q52" s="1">
        <v>75.291300000000007</v>
      </c>
      <c r="R52" s="1">
        <f>IFERROR(VLOOKUP(A52,[1]Sheet!$A:$D,4,0),0)</f>
        <v>0</v>
      </c>
      <c r="S52" s="1">
        <f t="shared" si="5"/>
        <v>46.5458</v>
      </c>
      <c r="T52" s="5">
        <f t="shared" si="20"/>
        <v>358.23169999999993</v>
      </c>
      <c r="U52" s="5">
        <f t="shared" si="21"/>
        <v>-57.716791999999998</v>
      </c>
      <c r="V52" s="5">
        <f t="shared" si="7"/>
        <v>300.51490799999993</v>
      </c>
      <c r="W52" s="5"/>
      <c r="X52" s="1"/>
      <c r="Y52" s="1"/>
      <c r="Z52" s="1">
        <f t="shared" si="8"/>
        <v>13.76</v>
      </c>
      <c r="AA52" s="1">
        <f t="shared" si="9"/>
        <v>7.3036729414898893</v>
      </c>
      <c r="AB52" s="1">
        <v>33.462800000000001</v>
      </c>
      <c r="AC52" s="1">
        <v>19.481000000000002</v>
      </c>
      <c r="AD52" s="1">
        <v>17.349799999999998</v>
      </c>
      <c r="AE52" s="1">
        <v>27.253599999999999</v>
      </c>
      <c r="AF52" s="1">
        <v>33.127000000000002</v>
      </c>
      <c r="AG52" s="1">
        <v>25.907599999999999</v>
      </c>
      <c r="AH52" s="1">
        <v>23.498799999999999</v>
      </c>
      <c r="AI52" s="1">
        <v>44.981200000000001</v>
      </c>
      <c r="AJ52" s="1"/>
      <c r="AK52" s="1">
        <f t="shared" si="10"/>
        <v>301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93</v>
      </c>
      <c r="B53" s="1" t="s">
        <v>42</v>
      </c>
      <c r="C53" s="1">
        <v>28</v>
      </c>
      <c r="D53" s="1">
        <v>305</v>
      </c>
      <c r="E53" s="1">
        <v>130</v>
      </c>
      <c r="F53" s="1">
        <v>195</v>
      </c>
      <c r="G53" s="8">
        <v>0.1</v>
      </c>
      <c r="H53" s="1">
        <v>730</v>
      </c>
      <c r="I53" s="1" t="s">
        <v>38</v>
      </c>
      <c r="J53" s="1"/>
      <c r="K53" s="1">
        <v>130</v>
      </c>
      <c r="L53" s="1">
        <f t="shared" si="17"/>
        <v>0</v>
      </c>
      <c r="M53" s="1">
        <f t="shared" si="4"/>
        <v>130</v>
      </c>
      <c r="N53" s="1"/>
      <c r="O53" s="1"/>
      <c r="P53" s="1">
        <v>0</v>
      </c>
      <c r="Q53" s="1"/>
      <c r="R53" s="1">
        <f>IFERROR(VLOOKUP(A53,[1]Sheet!$A:$D,4,0),0)</f>
        <v>0</v>
      </c>
      <c r="S53" s="1">
        <f t="shared" si="5"/>
        <v>26</v>
      </c>
      <c r="T53" s="5">
        <f t="shared" si="20"/>
        <v>195</v>
      </c>
      <c r="U53" s="5">
        <f t="shared" si="21"/>
        <v>-32.24</v>
      </c>
      <c r="V53" s="5">
        <f t="shared" si="7"/>
        <v>162.76</v>
      </c>
      <c r="W53" s="5"/>
      <c r="X53" s="1"/>
      <c r="Y53" s="1"/>
      <c r="Z53" s="1">
        <f t="shared" si="8"/>
        <v>13.76</v>
      </c>
      <c r="AA53" s="1">
        <f t="shared" si="9"/>
        <v>7.5</v>
      </c>
      <c r="AB53" s="1">
        <v>21</v>
      </c>
      <c r="AC53" s="1">
        <v>23.8</v>
      </c>
      <c r="AD53" s="1">
        <v>25</v>
      </c>
      <c r="AE53" s="1">
        <v>23</v>
      </c>
      <c r="AF53" s="1">
        <v>17.8</v>
      </c>
      <c r="AG53" s="1">
        <v>19.399999999999999</v>
      </c>
      <c r="AH53" s="1">
        <v>25.2</v>
      </c>
      <c r="AI53" s="1">
        <v>24</v>
      </c>
      <c r="AJ53" s="1"/>
      <c r="AK53" s="1">
        <f t="shared" si="10"/>
        <v>16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94</v>
      </c>
      <c r="B54" s="1" t="s">
        <v>37</v>
      </c>
      <c r="C54" s="1">
        <v>377.84500000000003</v>
      </c>
      <c r="D54" s="1">
        <v>2151.5819999999999</v>
      </c>
      <c r="E54" s="1">
        <v>663.42399999999998</v>
      </c>
      <c r="F54" s="1">
        <v>928.55700000000002</v>
      </c>
      <c r="G54" s="8">
        <v>1</v>
      </c>
      <c r="H54" s="1">
        <v>50</v>
      </c>
      <c r="I54" s="1" t="s">
        <v>38</v>
      </c>
      <c r="J54" s="1"/>
      <c r="K54" s="1">
        <v>771.18299999999999</v>
      </c>
      <c r="L54" s="1">
        <f t="shared" si="17"/>
        <v>-107.75900000000001</v>
      </c>
      <c r="M54" s="1">
        <f t="shared" si="4"/>
        <v>663.42399999999998</v>
      </c>
      <c r="N54" s="1"/>
      <c r="O54" s="1">
        <v>177.91613000000001</v>
      </c>
      <c r="P54" s="1">
        <v>0</v>
      </c>
      <c r="Q54" s="1">
        <v>245.15235000000001</v>
      </c>
      <c r="R54" s="1">
        <f>IFERROR(VLOOKUP(A54,[1]Sheet!$A:$D,4,0),0)</f>
        <v>0</v>
      </c>
      <c r="S54" s="1">
        <f t="shared" si="5"/>
        <v>132.6848</v>
      </c>
      <c r="T54" s="5">
        <f t="shared" si="20"/>
        <v>638.64651999999978</v>
      </c>
      <c r="U54" s="5">
        <f t="shared" si="21"/>
        <v>-164.52915199999998</v>
      </c>
      <c r="V54" s="5">
        <f t="shared" si="7"/>
        <v>474.11736799999983</v>
      </c>
      <c r="W54" s="5"/>
      <c r="X54" s="1"/>
      <c r="Y54" s="1"/>
      <c r="Z54" s="1">
        <f t="shared" si="8"/>
        <v>13.76</v>
      </c>
      <c r="AA54" s="1">
        <f t="shared" si="9"/>
        <v>10.186739400443759</v>
      </c>
      <c r="AB54" s="1">
        <v>108.95659999999999</v>
      </c>
      <c r="AC54" s="1">
        <v>114.7846</v>
      </c>
      <c r="AD54" s="1">
        <v>101.64019999999999</v>
      </c>
      <c r="AE54" s="1">
        <v>65.553399999999982</v>
      </c>
      <c r="AF54" s="1">
        <v>91.80019999999999</v>
      </c>
      <c r="AG54" s="1">
        <v>77.473200000000006</v>
      </c>
      <c r="AH54" s="1">
        <v>85.9816</v>
      </c>
      <c r="AI54" s="1">
        <v>88.577799999999996</v>
      </c>
      <c r="AJ54" s="1"/>
      <c r="AK54" s="1">
        <f t="shared" si="10"/>
        <v>474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95</v>
      </c>
      <c r="B55" s="1" t="s">
        <v>37</v>
      </c>
      <c r="C55" s="1">
        <v>8.1039999999999992</v>
      </c>
      <c r="D55" s="1">
        <v>129.85400000000001</v>
      </c>
      <c r="E55" s="1">
        <v>44.587000000000003</v>
      </c>
      <c r="F55" s="1">
        <v>51.496000000000002</v>
      </c>
      <c r="G55" s="8">
        <v>1</v>
      </c>
      <c r="H55" s="1">
        <v>50</v>
      </c>
      <c r="I55" s="1" t="s">
        <v>38</v>
      </c>
      <c r="J55" s="1"/>
      <c r="K55" s="1">
        <v>54.2</v>
      </c>
      <c r="L55" s="1">
        <f t="shared" si="17"/>
        <v>-9.6129999999999995</v>
      </c>
      <c r="M55" s="1">
        <f t="shared" si="4"/>
        <v>44.587000000000003</v>
      </c>
      <c r="N55" s="1"/>
      <c r="O55" s="1"/>
      <c r="P55" s="1">
        <v>3.5134000000000039</v>
      </c>
      <c r="Q55" s="1"/>
      <c r="R55" s="1">
        <f>IFERROR(VLOOKUP(A55,[1]Sheet!$A:$D,4,0),0)</f>
        <v>0</v>
      </c>
      <c r="S55" s="1">
        <f t="shared" si="5"/>
        <v>8.9174000000000007</v>
      </c>
      <c r="T55" s="5">
        <f t="shared" si="20"/>
        <v>78.751600000000025</v>
      </c>
      <c r="U55" s="5">
        <f t="shared" si="21"/>
        <v>-11.057576000000001</v>
      </c>
      <c r="V55" s="5">
        <f t="shared" si="7"/>
        <v>67.694024000000027</v>
      </c>
      <c r="W55" s="5"/>
      <c r="X55" s="1"/>
      <c r="Y55" s="1"/>
      <c r="Z55" s="1">
        <f t="shared" si="8"/>
        <v>13.760000000000003</v>
      </c>
      <c r="AA55" s="1">
        <f t="shared" si="9"/>
        <v>6.1687711664835048</v>
      </c>
      <c r="AB55" s="1">
        <v>7.0279999999999996</v>
      </c>
      <c r="AC55" s="1">
        <v>7.0244</v>
      </c>
      <c r="AD55" s="1">
        <v>6.4551999999999996</v>
      </c>
      <c r="AE55" s="1">
        <v>7.2674000000000003</v>
      </c>
      <c r="AF55" s="1">
        <v>5.3938000000000006</v>
      </c>
      <c r="AG55" s="1">
        <v>4.0502000000000002</v>
      </c>
      <c r="AH55" s="1">
        <v>6.4906000000000006</v>
      </c>
      <c r="AI55" s="1">
        <v>6.5042</v>
      </c>
      <c r="AJ55" s="1" t="s">
        <v>96</v>
      </c>
      <c r="AK55" s="1">
        <f t="shared" si="10"/>
        <v>68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97</v>
      </c>
      <c r="B56" s="1" t="s">
        <v>42</v>
      </c>
      <c r="C56" s="1">
        <v>89</v>
      </c>
      <c r="D56" s="1">
        <v>267</v>
      </c>
      <c r="E56" s="1">
        <v>127</v>
      </c>
      <c r="F56" s="1">
        <v>133</v>
      </c>
      <c r="G56" s="8">
        <v>0.1</v>
      </c>
      <c r="H56" s="1">
        <v>730</v>
      </c>
      <c r="I56" s="1" t="s">
        <v>38</v>
      </c>
      <c r="J56" s="1"/>
      <c r="K56" s="1">
        <v>127</v>
      </c>
      <c r="L56" s="1">
        <f t="shared" si="17"/>
        <v>0</v>
      </c>
      <c r="M56" s="1">
        <f t="shared" si="4"/>
        <v>127</v>
      </c>
      <c r="N56" s="1"/>
      <c r="O56" s="1"/>
      <c r="P56" s="1">
        <v>45</v>
      </c>
      <c r="Q56" s="1"/>
      <c r="R56" s="1">
        <f>IFERROR(VLOOKUP(A56,[1]Sheet!$A:$D,4,0),0)</f>
        <v>0</v>
      </c>
      <c r="S56" s="1">
        <f t="shared" si="5"/>
        <v>25.4</v>
      </c>
      <c r="T56" s="5">
        <f t="shared" si="20"/>
        <v>203</v>
      </c>
      <c r="U56" s="5">
        <f t="shared" si="21"/>
        <v>-31.495999999999999</v>
      </c>
      <c r="V56" s="5">
        <f t="shared" si="7"/>
        <v>171.50399999999999</v>
      </c>
      <c r="W56" s="5"/>
      <c r="X56" s="1"/>
      <c r="Y56" s="1"/>
      <c r="Z56" s="1">
        <f t="shared" si="8"/>
        <v>13.760000000000002</v>
      </c>
      <c r="AA56" s="1">
        <f t="shared" si="9"/>
        <v>7.0078740157480315</v>
      </c>
      <c r="AB56" s="1">
        <v>22</v>
      </c>
      <c r="AC56" s="1">
        <v>23.6</v>
      </c>
      <c r="AD56" s="1">
        <v>26.2</v>
      </c>
      <c r="AE56" s="1">
        <v>27.6</v>
      </c>
      <c r="AF56" s="1">
        <v>22.6</v>
      </c>
      <c r="AG56" s="1">
        <v>22.2</v>
      </c>
      <c r="AH56" s="1">
        <v>23.6</v>
      </c>
      <c r="AI56" s="1">
        <v>22.6</v>
      </c>
      <c r="AJ56" s="1"/>
      <c r="AK56" s="1">
        <f t="shared" si="10"/>
        <v>17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98</v>
      </c>
      <c r="B57" s="1" t="s">
        <v>42</v>
      </c>
      <c r="C57" s="1">
        <v>212</v>
      </c>
      <c r="D57" s="1">
        <v>70</v>
      </c>
      <c r="E57" s="1">
        <v>118</v>
      </c>
      <c r="F57" s="1">
        <v>140</v>
      </c>
      <c r="G57" s="8">
        <v>0.4</v>
      </c>
      <c r="H57" s="1">
        <v>50</v>
      </c>
      <c r="I57" s="1" t="s">
        <v>38</v>
      </c>
      <c r="J57" s="1"/>
      <c r="K57" s="1">
        <v>139</v>
      </c>
      <c r="L57" s="1">
        <f t="shared" si="17"/>
        <v>-21</v>
      </c>
      <c r="M57" s="1">
        <f t="shared" si="4"/>
        <v>108</v>
      </c>
      <c r="N57" s="1">
        <v>10</v>
      </c>
      <c r="O57" s="1"/>
      <c r="P57" s="1">
        <v>98.199999999999989</v>
      </c>
      <c r="Q57" s="1"/>
      <c r="R57" s="1">
        <f>IFERROR(VLOOKUP(A57,[1]Sheet!$A:$D,4,0),0)</f>
        <v>0</v>
      </c>
      <c r="S57" s="1">
        <f t="shared" si="5"/>
        <v>21.6</v>
      </c>
      <c r="T57" s="5">
        <f t="shared" si="20"/>
        <v>85.800000000000011</v>
      </c>
      <c r="U57" s="5">
        <f t="shared" si="21"/>
        <v>-26.784000000000002</v>
      </c>
      <c r="V57" s="5">
        <f t="shared" si="7"/>
        <v>59.016000000000005</v>
      </c>
      <c r="W57" s="5"/>
      <c r="X57" s="1"/>
      <c r="Y57" s="1"/>
      <c r="Z57" s="1">
        <f t="shared" si="8"/>
        <v>13.76</v>
      </c>
      <c r="AA57" s="1">
        <f t="shared" si="9"/>
        <v>11.027777777777777</v>
      </c>
      <c r="AB57" s="1">
        <v>23.8</v>
      </c>
      <c r="AC57" s="1">
        <v>22</v>
      </c>
      <c r="AD57" s="1">
        <v>25.4</v>
      </c>
      <c r="AE57" s="1">
        <v>27.4</v>
      </c>
      <c r="AF57" s="1">
        <v>33.6</v>
      </c>
      <c r="AG57" s="1">
        <v>26</v>
      </c>
      <c r="AH57" s="1">
        <v>33.799999999999997</v>
      </c>
      <c r="AI57" s="1">
        <v>30</v>
      </c>
      <c r="AJ57" s="1"/>
      <c r="AK57" s="1">
        <f t="shared" si="10"/>
        <v>24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99</v>
      </c>
      <c r="B58" s="1" t="s">
        <v>37</v>
      </c>
      <c r="C58" s="1">
        <v>28.234999999999999</v>
      </c>
      <c r="D58" s="1">
        <v>65.287999999999997</v>
      </c>
      <c r="E58" s="1">
        <v>71.584000000000003</v>
      </c>
      <c r="F58" s="1">
        <v>21.939</v>
      </c>
      <c r="G58" s="8">
        <v>1</v>
      </c>
      <c r="H58" s="1">
        <v>40</v>
      </c>
      <c r="I58" s="1" t="s">
        <v>38</v>
      </c>
      <c r="J58" s="1"/>
      <c r="K58" s="1">
        <v>64.400000000000006</v>
      </c>
      <c r="L58" s="1">
        <f t="shared" si="17"/>
        <v>7.1839999999999975</v>
      </c>
      <c r="M58" s="1">
        <f t="shared" si="4"/>
        <v>71.584000000000003</v>
      </c>
      <c r="N58" s="1"/>
      <c r="O58" s="1"/>
      <c r="P58" s="1">
        <v>33.108800000000009</v>
      </c>
      <c r="Q58" s="1"/>
      <c r="R58" s="1">
        <f>IFERROR(VLOOKUP(A58,[1]Sheet!$A:$D,4,0),0)</f>
        <v>0</v>
      </c>
      <c r="S58" s="1">
        <f t="shared" si="5"/>
        <v>14.316800000000001</v>
      </c>
      <c r="T58" s="5">
        <f>13*S58-Q58-P58-O58-F58</f>
        <v>131.07060000000001</v>
      </c>
      <c r="U58" s="5">
        <f t="shared" si="21"/>
        <v>-17.752832000000001</v>
      </c>
      <c r="V58" s="5">
        <f t="shared" si="7"/>
        <v>113.31776800000002</v>
      </c>
      <c r="W58" s="5"/>
      <c r="X58" s="1"/>
      <c r="Y58" s="1"/>
      <c r="Z58" s="1">
        <f t="shared" si="8"/>
        <v>11.760000000000002</v>
      </c>
      <c r="AA58" s="1">
        <f t="shared" si="9"/>
        <v>3.8449793249888247</v>
      </c>
      <c r="AB58" s="1">
        <v>7.9794</v>
      </c>
      <c r="AC58" s="1">
        <v>6.9054000000000002</v>
      </c>
      <c r="AD58" s="1">
        <v>6.2113999999999994</v>
      </c>
      <c r="AE58" s="1">
        <v>4.8975999999999997</v>
      </c>
      <c r="AF58" s="1">
        <v>6.1856000000000009</v>
      </c>
      <c r="AG58" s="1">
        <v>10.2956</v>
      </c>
      <c r="AH58" s="1">
        <v>1.349</v>
      </c>
      <c r="AI58" s="1">
        <v>6.6890000000000001</v>
      </c>
      <c r="AJ58" s="1"/>
      <c r="AK58" s="1">
        <f t="shared" si="10"/>
        <v>113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100</v>
      </c>
      <c r="B59" s="1" t="s">
        <v>37</v>
      </c>
      <c r="C59" s="1">
        <v>2.7890000000000001</v>
      </c>
      <c r="D59" s="1">
        <v>72.813999999999993</v>
      </c>
      <c r="E59" s="1">
        <v>8.1549999999999994</v>
      </c>
      <c r="F59" s="1">
        <v>67.447999999999993</v>
      </c>
      <c r="G59" s="8">
        <v>1</v>
      </c>
      <c r="H59" s="1">
        <v>40</v>
      </c>
      <c r="I59" s="1" t="s">
        <v>38</v>
      </c>
      <c r="J59" s="1"/>
      <c r="K59" s="1">
        <v>20.5</v>
      </c>
      <c r="L59" s="1">
        <f t="shared" si="17"/>
        <v>-12.345000000000001</v>
      </c>
      <c r="M59" s="1">
        <f t="shared" si="4"/>
        <v>8.1549999999999994</v>
      </c>
      <c r="N59" s="1"/>
      <c r="O59" s="1"/>
      <c r="P59" s="1">
        <v>0</v>
      </c>
      <c r="Q59" s="1"/>
      <c r="R59" s="1">
        <f>IFERROR(VLOOKUP(A59,[1]Sheet!$A:$D,4,0),0)</f>
        <v>0</v>
      </c>
      <c r="S59" s="1">
        <f t="shared" si="5"/>
        <v>1.6309999999999998</v>
      </c>
      <c r="T59" s="5"/>
      <c r="U59" s="5"/>
      <c r="V59" s="5">
        <f t="shared" si="7"/>
        <v>0</v>
      </c>
      <c r="W59" s="5"/>
      <c r="X59" s="1"/>
      <c r="Y59" s="1"/>
      <c r="Z59" s="1">
        <f t="shared" si="8"/>
        <v>41.353770692826487</v>
      </c>
      <c r="AA59" s="1">
        <f t="shared" si="9"/>
        <v>41.353770692826487</v>
      </c>
      <c r="AB59" s="1">
        <v>1.9201999999999999</v>
      </c>
      <c r="AC59" s="1">
        <v>4.9551999999999996</v>
      </c>
      <c r="AD59" s="1">
        <v>5.2279999999999998</v>
      </c>
      <c r="AE59" s="1">
        <v>3.0215999999999998</v>
      </c>
      <c r="AF59" s="1">
        <v>1.9358</v>
      </c>
      <c r="AG59" s="1">
        <v>1.9308000000000001</v>
      </c>
      <c r="AH59" s="1">
        <v>1.0986</v>
      </c>
      <c r="AI59" s="1">
        <v>5.2514000000000003</v>
      </c>
      <c r="AJ59" s="1"/>
      <c r="AK59" s="1">
        <f t="shared" si="10"/>
        <v>0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101</v>
      </c>
      <c r="B60" s="1" t="s">
        <v>42</v>
      </c>
      <c r="C60" s="1">
        <v>5</v>
      </c>
      <c r="D60" s="1">
        <v>1674</v>
      </c>
      <c r="E60" s="1">
        <v>812</v>
      </c>
      <c r="F60" s="1">
        <v>667</v>
      </c>
      <c r="G60" s="8">
        <v>0.4</v>
      </c>
      <c r="H60" s="1">
        <v>40</v>
      </c>
      <c r="I60" s="1" t="s">
        <v>38</v>
      </c>
      <c r="J60" s="1"/>
      <c r="K60" s="1">
        <v>992</v>
      </c>
      <c r="L60" s="1">
        <f t="shared" si="17"/>
        <v>-180</v>
      </c>
      <c r="M60" s="1">
        <f t="shared" si="4"/>
        <v>812</v>
      </c>
      <c r="N60" s="1"/>
      <c r="O60" s="1"/>
      <c r="P60" s="1">
        <v>434.59999999999951</v>
      </c>
      <c r="Q60" s="1"/>
      <c r="R60" s="1">
        <f>IFERROR(VLOOKUP(A60,[1]Sheet!$A:$D,4,0),0)</f>
        <v>0</v>
      </c>
      <c r="S60" s="1">
        <f t="shared" si="5"/>
        <v>162.4</v>
      </c>
      <c r="T60" s="5">
        <f t="shared" ref="T60:T63" si="23">14*S60-Q60-P60-O60-F60</f>
        <v>1172.0000000000005</v>
      </c>
      <c r="U60" s="5">
        <f t="shared" ref="U60:U63" si="24">$U$1*S60</f>
        <v>-201.376</v>
      </c>
      <c r="V60" s="5">
        <f t="shared" si="7"/>
        <v>970.62400000000048</v>
      </c>
      <c r="W60" s="5"/>
      <c r="X60" s="1"/>
      <c r="Y60" s="1"/>
      <c r="Z60" s="1">
        <f t="shared" si="8"/>
        <v>12.76</v>
      </c>
      <c r="AA60" s="1">
        <f t="shared" si="9"/>
        <v>6.7832512315270899</v>
      </c>
      <c r="AB60" s="1">
        <v>141</v>
      </c>
      <c r="AC60" s="1">
        <v>149.19999999999999</v>
      </c>
      <c r="AD60" s="1">
        <v>132.6</v>
      </c>
      <c r="AE60" s="1">
        <v>109.2</v>
      </c>
      <c r="AF60" s="1">
        <v>108.4</v>
      </c>
      <c r="AG60" s="1">
        <v>128.19999999999999</v>
      </c>
      <c r="AH60" s="1">
        <v>117.8</v>
      </c>
      <c r="AI60" s="1">
        <v>125.6</v>
      </c>
      <c r="AJ60" s="1"/>
      <c r="AK60" s="1">
        <f t="shared" si="10"/>
        <v>388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102</v>
      </c>
      <c r="B61" s="1" t="s">
        <v>42</v>
      </c>
      <c r="C61" s="1">
        <v>65</v>
      </c>
      <c r="D61" s="1">
        <v>1214</v>
      </c>
      <c r="E61" s="1">
        <v>592</v>
      </c>
      <c r="F61" s="1">
        <v>515</v>
      </c>
      <c r="G61" s="8">
        <v>0.4</v>
      </c>
      <c r="H61" s="1">
        <v>40</v>
      </c>
      <c r="I61" s="1" t="s">
        <v>38</v>
      </c>
      <c r="J61" s="1"/>
      <c r="K61" s="1">
        <v>710</v>
      </c>
      <c r="L61" s="1">
        <f t="shared" si="17"/>
        <v>-118</v>
      </c>
      <c r="M61" s="1">
        <f t="shared" si="4"/>
        <v>562</v>
      </c>
      <c r="N61" s="1">
        <v>30</v>
      </c>
      <c r="O61" s="1"/>
      <c r="P61" s="1">
        <v>387.40000000000009</v>
      </c>
      <c r="Q61" s="1"/>
      <c r="R61" s="1">
        <f>IFERROR(VLOOKUP(A61,[1]Sheet!$A:$D,4,0),0)</f>
        <v>0</v>
      </c>
      <c r="S61" s="1">
        <f t="shared" si="5"/>
        <v>112.4</v>
      </c>
      <c r="T61" s="5">
        <f t="shared" si="23"/>
        <v>671.2</v>
      </c>
      <c r="U61" s="5">
        <f t="shared" si="24"/>
        <v>-139.376</v>
      </c>
      <c r="V61" s="5">
        <f t="shared" si="7"/>
        <v>531.82400000000007</v>
      </c>
      <c r="W61" s="5"/>
      <c r="X61" s="1"/>
      <c r="Y61" s="1"/>
      <c r="Z61" s="1">
        <f t="shared" si="8"/>
        <v>12.760000000000002</v>
      </c>
      <c r="AA61" s="1">
        <f t="shared" si="9"/>
        <v>8.0284697508896805</v>
      </c>
      <c r="AB61" s="1">
        <v>104.4</v>
      </c>
      <c r="AC61" s="1">
        <v>112</v>
      </c>
      <c r="AD61" s="1">
        <v>91.2</v>
      </c>
      <c r="AE61" s="1">
        <v>82</v>
      </c>
      <c r="AF61" s="1">
        <v>82.2</v>
      </c>
      <c r="AG61" s="1">
        <v>90</v>
      </c>
      <c r="AH61" s="1">
        <v>89</v>
      </c>
      <c r="AI61" s="1">
        <v>104.6</v>
      </c>
      <c r="AJ61" s="1"/>
      <c r="AK61" s="1">
        <f t="shared" si="10"/>
        <v>213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103</v>
      </c>
      <c r="B62" s="1" t="s">
        <v>37</v>
      </c>
      <c r="C62" s="1">
        <v>86.221999999999994</v>
      </c>
      <c r="D62" s="1">
        <v>2117.8510000000001</v>
      </c>
      <c r="E62" s="1">
        <v>762.05100000000004</v>
      </c>
      <c r="F62" s="1">
        <v>868.11300000000006</v>
      </c>
      <c r="G62" s="8">
        <v>1</v>
      </c>
      <c r="H62" s="1">
        <v>40</v>
      </c>
      <c r="I62" s="1" t="s">
        <v>38</v>
      </c>
      <c r="J62" s="1"/>
      <c r="K62" s="1">
        <v>1184.4639999999999</v>
      </c>
      <c r="L62" s="1">
        <f t="shared" si="17"/>
        <v>-422.4129999999999</v>
      </c>
      <c r="M62" s="1">
        <f t="shared" si="4"/>
        <v>729.61900000000003</v>
      </c>
      <c r="N62" s="1">
        <v>32.432000000000002</v>
      </c>
      <c r="O62" s="1"/>
      <c r="P62" s="1">
        <v>643.05699999999968</v>
      </c>
      <c r="Q62" s="1"/>
      <c r="R62" s="1">
        <f>IFERROR(VLOOKUP(A62,[1]Sheet!$A:$D,4,0),0)</f>
        <v>0</v>
      </c>
      <c r="S62" s="1">
        <f t="shared" si="5"/>
        <v>145.9238</v>
      </c>
      <c r="T62" s="5">
        <f t="shared" si="23"/>
        <v>531.7632000000001</v>
      </c>
      <c r="U62" s="5">
        <f t="shared" si="24"/>
        <v>-180.94551200000001</v>
      </c>
      <c r="V62" s="5">
        <f t="shared" si="7"/>
        <v>350.81768800000009</v>
      </c>
      <c r="W62" s="5"/>
      <c r="X62" s="1"/>
      <c r="Y62" s="1"/>
      <c r="Z62" s="1">
        <f t="shared" si="8"/>
        <v>12.759999999999998</v>
      </c>
      <c r="AA62" s="1">
        <f t="shared" si="9"/>
        <v>10.355884372528672</v>
      </c>
      <c r="AB62" s="1">
        <v>154.0566</v>
      </c>
      <c r="AC62" s="1">
        <v>143.7722</v>
      </c>
      <c r="AD62" s="1">
        <v>147.16999999999999</v>
      </c>
      <c r="AE62" s="1">
        <v>132.55840000000001</v>
      </c>
      <c r="AF62" s="1">
        <v>118.876</v>
      </c>
      <c r="AG62" s="1">
        <v>86.885599999999997</v>
      </c>
      <c r="AH62" s="1">
        <v>134.798</v>
      </c>
      <c r="AI62" s="1">
        <v>142.23079999999999</v>
      </c>
      <c r="AJ62" s="1"/>
      <c r="AK62" s="1">
        <f t="shared" si="10"/>
        <v>351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104</v>
      </c>
      <c r="B63" s="1" t="s">
        <v>37</v>
      </c>
      <c r="C63" s="1">
        <v>0.65300000000000002</v>
      </c>
      <c r="D63" s="1">
        <v>614.09299999999996</v>
      </c>
      <c r="E63" s="1">
        <v>307.76600000000002</v>
      </c>
      <c r="F63" s="1">
        <v>143.44800000000001</v>
      </c>
      <c r="G63" s="8">
        <v>1</v>
      </c>
      <c r="H63" s="1">
        <v>40</v>
      </c>
      <c r="I63" s="1" t="s">
        <v>38</v>
      </c>
      <c r="J63" s="1"/>
      <c r="K63" s="1">
        <v>501.31799999999998</v>
      </c>
      <c r="L63" s="1">
        <f t="shared" si="17"/>
        <v>-193.55199999999996</v>
      </c>
      <c r="M63" s="1">
        <f t="shared" si="4"/>
        <v>150.54800000000003</v>
      </c>
      <c r="N63" s="1">
        <v>157.21799999999999</v>
      </c>
      <c r="O63" s="1"/>
      <c r="P63" s="1">
        <v>0</v>
      </c>
      <c r="Q63" s="1"/>
      <c r="R63" s="1">
        <f>IFERROR(VLOOKUP(A63,[1]Sheet!$A:$D,4,0),0)</f>
        <v>0</v>
      </c>
      <c r="S63" s="1">
        <f t="shared" si="5"/>
        <v>30.109600000000007</v>
      </c>
      <c r="T63" s="5">
        <f t="shared" si="23"/>
        <v>278.08640000000014</v>
      </c>
      <c r="U63" s="5">
        <f t="shared" si="24"/>
        <v>-37.335904000000006</v>
      </c>
      <c r="V63" s="5">
        <f t="shared" si="7"/>
        <v>240.75049600000014</v>
      </c>
      <c r="W63" s="5"/>
      <c r="X63" s="1"/>
      <c r="Y63" s="1"/>
      <c r="Z63" s="1">
        <f t="shared" si="8"/>
        <v>12.760000000000002</v>
      </c>
      <c r="AA63" s="1">
        <f t="shared" si="9"/>
        <v>4.764194808300342</v>
      </c>
      <c r="AB63" s="1">
        <v>11.0832</v>
      </c>
      <c r="AC63" s="1">
        <v>20.750800000000002</v>
      </c>
      <c r="AD63" s="1">
        <v>39.793799999999997</v>
      </c>
      <c r="AE63" s="1">
        <v>35.145799999999987</v>
      </c>
      <c r="AF63" s="1">
        <v>28.92</v>
      </c>
      <c r="AG63" s="1">
        <v>35.021999999999998</v>
      </c>
      <c r="AH63" s="1">
        <v>38.9268</v>
      </c>
      <c r="AI63" s="1">
        <v>41.825000000000003</v>
      </c>
      <c r="AJ63" s="1"/>
      <c r="AK63" s="1">
        <f t="shared" si="10"/>
        <v>241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105</v>
      </c>
      <c r="B64" s="1" t="s">
        <v>37</v>
      </c>
      <c r="C64" s="1">
        <v>1.6919999999999999</v>
      </c>
      <c r="D64" s="1">
        <v>370.661</v>
      </c>
      <c r="E64" s="1">
        <v>154.52500000000001</v>
      </c>
      <c r="F64" s="1">
        <v>134.15799999999999</v>
      </c>
      <c r="G64" s="8">
        <v>1</v>
      </c>
      <c r="H64" s="1">
        <v>40</v>
      </c>
      <c r="I64" s="1" t="s">
        <v>38</v>
      </c>
      <c r="J64" s="1"/>
      <c r="K64" s="1">
        <v>415.11799999999999</v>
      </c>
      <c r="L64" s="1">
        <f t="shared" si="17"/>
        <v>-260.59299999999996</v>
      </c>
      <c r="M64" s="1">
        <f t="shared" si="4"/>
        <v>78.106999999999999</v>
      </c>
      <c r="N64" s="1">
        <v>76.418000000000006</v>
      </c>
      <c r="O64" s="1"/>
      <c r="P64" s="1">
        <v>135.4467999999998</v>
      </c>
      <c r="Q64" s="1"/>
      <c r="R64" s="1">
        <f>IFERROR(VLOOKUP(A64,[1]Sheet!$A:$D,4,0),0)</f>
        <v>0</v>
      </c>
      <c r="S64" s="1">
        <f t="shared" si="5"/>
        <v>15.6214</v>
      </c>
      <c r="T64" s="5"/>
      <c r="U64" s="5"/>
      <c r="V64" s="5">
        <f t="shared" si="7"/>
        <v>0</v>
      </c>
      <c r="W64" s="5"/>
      <c r="X64" s="1"/>
      <c r="Y64" s="1"/>
      <c r="Z64" s="1">
        <f t="shared" si="8"/>
        <v>17.258683600701588</v>
      </c>
      <c r="AA64" s="1">
        <f t="shared" si="9"/>
        <v>17.258683600701588</v>
      </c>
      <c r="AB64" s="1">
        <v>30.359200000000001</v>
      </c>
      <c r="AC64" s="1">
        <v>25.82180000000001</v>
      </c>
      <c r="AD64" s="1">
        <v>32.968800000000002</v>
      </c>
      <c r="AE64" s="1">
        <v>35.78860000000001</v>
      </c>
      <c r="AF64" s="1">
        <v>48.407200000000003</v>
      </c>
      <c r="AG64" s="1">
        <v>42.871199999999988</v>
      </c>
      <c r="AH64" s="1">
        <v>60.671799999999998</v>
      </c>
      <c r="AI64" s="1">
        <v>72.136400000000009</v>
      </c>
      <c r="AJ64" s="1"/>
      <c r="AK64" s="1">
        <f t="shared" si="10"/>
        <v>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106</v>
      </c>
      <c r="B65" s="1" t="s">
        <v>37</v>
      </c>
      <c r="C65" s="1">
        <v>26.350999999999999</v>
      </c>
      <c r="D65" s="1">
        <v>189.381</v>
      </c>
      <c r="E65" s="1">
        <v>62.046999999999997</v>
      </c>
      <c r="F65" s="1">
        <v>94.671999999999997</v>
      </c>
      <c r="G65" s="8">
        <v>1</v>
      </c>
      <c r="H65" s="1">
        <v>30</v>
      </c>
      <c r="I65" s="1" t="s">
        <v>38</v>
      </c>
      <c r="J65" s="1"/>
      <c r="K65" s="1">
        <v>73.12</v>
      </c>
      <c r="L65" s="1">
        <f t="shared" si="17"/>
        <v>-11.073000000000008</v>
      </c>
      <c r="M65" s="1">
        <f t="shared" si="4"/>
        <v>62.046999999999997</v>
      </c>
      <c r="N65" s="1"/>
      <c r="O65" s="1"/>
      <c r="P65" s="1">
        <v>37.347199999999987</v>
      </c>
      <c r="Q65" s="1"/>
      <c r="R65" s="1">
        <f>IFERROR(VLOOKUP(A65,[1]Sheet!$A:$D,4,0),0)</f>
        <v>0</v>
      </c>
      <c r="S65" s="1">
        <f t="shared" si="5"/>
        <v>12.4094</v>
      </c>
      <c r="T65" s="5">
        <f>14*S65-Q65-P65-O65-F65</f>
        <v>41.712400000000002</v>
      </c>
      <c r="U65" s="5">
        <f t="shared" ref="U65:U66" si="25">$U$1*S65</f>
        <v>-15.387656</v>
      </c>
      <c r="V65" s="5">
        <f t="shared" si="7"/>
        <v>26.324744000000003</v>
      </c>
      <c r="W65" s="5"/>
      <c r="X65" s="1"/>
      <c r="Y65" s="1"/>
      <c r="Z65" s="1">
        <f t="shared" si="8"/>
        <v>12.76</v>
      </c>
      <c r="AA65" s="1">
        <f t="shared" si="9"/>
        <v>10.638644898222314</v>
      </c>
      <c r="AB65" s="1">
        <v>14.855</v>
      </c>
      <c r="AC65" s="1">
        <v>16.055199999999999</v>
      </c>
      <c r="AD65" s="1">
        <v>11.606999999999999</v>
      </c>
      <c r="AE65" s="1">
        <v>9.7897999999999996</v>
      </c>
      <c r="AF65" s="1">
        <v>10.714600000000001</v>
      </c>
      <c r="AG65" s="1">
        <v>10.331799999999999</v>
      </c>
      <c r="AH65" s="1">
        <v>9.1194000000000006</v>
      </c>
      <c r="AI65" s="1">
        <v>10.2104</v>
      </c>
      <c r="AJ65" s="1"/>
      <c r="AK65" s="1">
        <f t="shared" si="10"/>
        <v>26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107</v>
      </c>
      <c r="B66" s="1" t="s">
        <v>42</v>
      </c>
      <c r="C66" s="1">
        <v>109</v>
      </c>
      <c r="D66" s="1">
        <v>306</v>
      </c>
      <c r="E66" s="1">
        <v>210</v>
      </c>
      <c r="F66" s="1">
        <v>200</v>
      </c>
      <c r="G66" s="8">
        <v>0.6</v>
      </c>
      <c r="H66" s="1">
        <v>60</v>
      </c>
      <c r="I66" s="11" t="s">
        <v>108</v>
      </c>
      <c r="J66" s="1"/>
      <c r="K66" s="1">
        <v>276</v>
      </c>
      <c r="L66" s="1">
        <f t="shared" si="17"/>
        <v>-66</v>
      </c>
      <c r="M66" s="1">
        <f t="shared" si="4"/>
        <v>210</v>
      </c>
      <c r="N66" s="1"/>
      <c r="O66" s="1"/>
      <c r="P66" s="1">
        <v>126.6</v>
      </c>
      <c r="Q66" s="1"/>
      <c r="R66" s="1">
        <f>IFERROR(VLOOKUP(A66,[1]Sheet!$A:$D,4,0),0)</f>
        <v>0</v>
      </c>
      <c r="S66" s="1">
        <f t="shared" si="5"/>
        <v>42</v>
      </c>
      <c r="T66" s="5">
        <f t="shared" si="20"/>
        <v>303.39999999999998</v>
      </c>
      <c r="U66" s="5">
        <f t="shared" si="25"/>
        <v>-52.08</v>
      </c>
      <c r="V66" s="5">
        <f t="shared" si="7"/>
        <v>251.32</v>
      </c>
      <c r="W66" s="5"/>
      <c r="X66" s="1"/>
      <c r="Y66" s="1"/>
      <c r="Z66" s="1">
        <f t="shared" si="8"/>
        <v>13.760000000000002</v>
      </c>
      <c r="AA66" s="1">
        <f t="shared" si="9"/>
        <v>7.776190476190477</v>
      </c>
      <c r="AB66" s="1">
        <v>33.799999999999997</v>
      </c>
      <c r="AC66" s="1">
        <v>18.2</v>
      </c>
      <c r="AD66" s="1">
        <v>16.2</v>
      </c>
      <c r="AE66" s="1">
        <v>15.6</v>
      </c>
      <c r="AF66" s="1">
        <v>19.399999999999999</v>
      </c>
      <c r="AG66" s="1">
        <v>21.4</v>
      </c>
      <c r="AH66" s="1">
        <v>21.4</v>
      </c>
      <c r="AI66" s="1">
        <v>14.4</v>
      </c>
      <c r="AJ66" s="1" t="s">
        <v>43</v>
      </c>
      <c r="AK66" s="1">
        <f t="shared" si="10"/>
        <v>151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5" t="s">
        <v>109</v>
      </c>
      <c r="B67" s="15" t="s">
        <v>42</v>
      </c>
      <c r="C67" s="15"/>
      <c r="D67" s="15"/>
      <c r="E67" s="15"/>
      <c r="F67" s="15"/>
      <c r="G67" s="16">
        <v>0</v>
      </c>
      <c r="H67" s="15">
        <v>50</v>
      </c>
      <c r="I67" s="15" t="s">
        <v>38</v>
      </c>
      <c r="J67" s="15"/>
      <c r="K67" s="15"/>
      <c r="L67" s="15">
        <f t="shared" si="17"/>
        <v>0</v>
      </c>
      <c r="M67" s="15">
        <f t="shared" si="4"/>
        <v>0</v>
      </c>
      <c r="N67" s="15"/>
      <c r="O67" s="15"/>
      <c r="P67" s="15">
        <v>0</v>
      </c>
      <c r="Q67" s="15"/>
      <c r="R67" s="1">
        <f>IFERROR(VLOOKUP(A67,[1]Sheet!$A:$D,4,0),0)</f>
        <v>0</v>
      </c>
      <c r="S67" s="15">
        <f t="shared" si="5"/>
        <v>0</v>
      </c>
      <c r="T67" s="17"/>
      <c r="U67" s="17"/>
      <c r="V67" s="5">
        <f t="shared" si="7"/>
        <v>0</v>
      </c>
      <c r="W67" s="17"/>
      <c r="X67" s="15"/>
      <c r="Y67" s="15"/>
      <c r="Z67" s="1" t="e">
        <f t="shared" si="8"/>
        <v>#DIV/0!</v>
      </c>
      <c r="AA67" s="15" t="e">
        <f t="shared" si="9"/>
        <v>#DIV/0!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 t="s">
        <v>55</v>
      </c>
      <c r="AK67" s="1">
        <f t="shared" si="10"/>
        <v>0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5" t="s">
        <v>110</v>
      </c>
      <c r="B68" s="15" t="s">
        <v>42</v>
      </c>
      <c r="C68" s="15"/>
      <c r="D68" s="15"/>
      <c r="E68" s="15"/>
      <c r="F68" s="15"/>
      <c r="G68" s="16">
        <v>0</v>
      </c>
      <c r="H68" s="15">
        <v>30</v>
      </c>
      <c r="I68" s="15" t="s">
        <v>38</v>
      </c>
      <c r="J68" s="15"/>
      <c r="K68" s="15"/>
      <c r="L68" s="15">
        <f t="shared" si="17"/>
        <v>0</v>
      </c>
      <c r="M68" s="15">
        <f t="shared" si="4"/>
        <v>0</v>
      </c>
      <c r="N68" s="15"/>
      <c r="O68" s="15"/>
      <c r="P68" s="15">
        <v>0</v>
      </c>
      <c r="Q68" s="15"/>
      <c r="R68" s="1">
        <f>IFERROR(VLOOKUP(A68,[1]Sheet!$A:$D,4,0),0)</f>
        <v>0</v>
      </c>
      <c r="S68" s="15">
        <f t="shared" si="5"/>
        <v>0</v>
      </c>
      <c r="T68" s="17"/>
      <c r="U68" s="17"/>
      <c r="V68" s="5">
        <f t="shared" si="7"/>
        <v>0</v>
      </c>
      <c r="W68" s="17"/>
      <c r="X68" s="15"/>
      <c r="Y68" s="15"/>
      <c r="Z68" s="1" t="e">
        <f t="shared" si="8"/>
        <v>#DIV/0!</v>
      </c>
      <c r="AA68" s="15" t="e">
        <f t="shared" si="9"/>
        <v>#DIV/0!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 t="s">
        <v>55</v>
      </c>
      <c r="AK68" s="1">
        <f t="shared" si="10"/>
        <v>0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111</v>
      </c>
      <c r="B69" s="1" t="s">
        <v>42</v>
      </c>
      <c r="C69" s="1">
        <v>45</v>
      </c>
      <c r="D69" s="1">
        <v>305</v>
      </c>
      <c r="E69" s="1">
        <v>187</v>
      </c>
      <c r="F69" s="1">
        <v>161</v>
      </c>
      <c r="G69" s="8">
        <v>0.6</v>
      </c>
      <c r="H69" s="1">
        <v>55</v>
      </c>
      <c r="I69" s="11" t="s">
        <v>108</v>
      </c>
      <c r="J69" s="1"/>
      <c r="K69" s="1">
        <v>189.4</v>
      </c>
      <c r="L69" s="1">
        <f t="shared" si="17"/>
        <v>-2.4000000000000057</v>
      </c>
      <c r="M69" s="1">
        <f t="shared" si="4"/>
        <v>187</v>
      </c>
      <c r="N69" s="1"/>
      <c r="O69" s="1"/>
      <c r="P69" s="1">
        <v>145</v>
      </c>
      <c r="Q69" s="1"/>
      <c r="R69" s="1">
        <f>IFERROR(VLOOKUP(A69,[1]Sheet!$A:$D,4,0),0)</f>
        <v>0</v>
      </c>
      <c r="S69" s="1">
        <f t="shared" si="5"/>
        <v>37.4</v>
      </c>
      <c r="T69" s="5">
        <f>15*S69-Q69-P69-O69-F69</f>
        <v>255</v>
      </c>
      <c r="U69" s="5">
        <f>$U$1*S69</f>
        <v>-46.375999999999998</v>
      </c>
      <c r="V69" s="5">
        <f t="shared" si="7"/>
        <v>208.624</v>
      </c>
      <c r="W69" s="5"/>
      <c r="X69" s="1"/>
      <c r="Y69" s="1"/>
      <c r="Z69" s="1">
        <f t="shared" si="8"/>
        <v>13.760000000000002</v>
      </c>
      <c r="AA69" s="1">
        <f t="shared" si="9"/>
        <v>8.1818181818181817</v>
      </c>
      <c r="AB69" s="1">
        <v>31</v>
      </c>
      <c r="AC69" s="1">
        <v>16</v>
      </c>
      <c r="AD69" s="1">
        <v>12.4</v>
      </c>
      <c r="AE69" s="1">
        <v>10</v>
      </c>
      <c r="AF69" s="1">
        <v>10.6</v>
      </c>
      <c r="AG69" s="1">
        <v>15.2</v>
      </c>
      <c r="AH69" s="1">
        <v>16.399999999999999</v>
      </c>
      <c r="AI69" s="1">
        <v>9.4</v>
      </c>
      <c r="AJ69" s="1"/>
      <c r="AK69" s="1">
        <f t="shared" si="10"/>
        <v>125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5" t="s">
        <v>112</v>
      </c>
      <c r="B70" s="15" t="s">
        <v>42</v>
      </c>
      <c r="C70" s="15"/>
      <c r="D70" s="15"/>
      <c r="E70" s="15"/>
      <c r="F70" s="15"/>
      <c r="G70" s="16">
        <v>0</v>
      </c>
      <c r="H70" s="15">
        <v>40</v>
      </c>
      <c r="I70" s="15" t="s">
        <v>38</v>
      </c>
      <c r="J70" s="15"/>
      <c r="K70" s="15"/>
      <c r="L70" s="15">
        <f t="shared" ref="L70:L94" si="26">E70-K70</f>
        <v>0</v>
      </c>
      <c r="M70" s="15">
        <f t="shared" si="4"/>
        <v>0</v>
      </c>
      <c r="N70" s="15"/>
      <c r="O70" s="15"/>
      <c r="P70" s="15">
        <v>0</v>
      </c>
      <c r="Q70" s="15"/>
      <c r="R70" s="1">
        <f>IFERROR(VLOOKUP(A70,[1]Sheet!$A:$D,4,0),0)</f>
        <v>0</v>
      </c>
      <c r="S70" s="15">
        <f t="shared" si="5"/>
        <v>0</v>
      </c>
      <c r="T70" s="17"/>
      <c r="U70" s="17"/>
      <c r="V70" s="5">
        <f t="shared" si="7"/>
        <v>0</v>
      </c>
      <c r="W70" s="17"/>
      <c r="X70" s="15"/>
      <c r="Y70" s="15"/>
      <c r="Z70" s="1" t="e">
        <f t="shared" si="8"/>
        <v>#DIV/0!</v>
      </c>
      <c r="AA70" s="15" t="e">
        <f t="shared" si="9"/>
        <v>#DIV/0!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 t="s">
        <v>113</v>
      </c>
      <c r="AK70" s="1">
        <f t="shared" si="10"/>
        <v>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114</v>
      </c>
      <c r="B71" s="1" t="s">
        <v>42</v>
      </c>
      <c r="C71" s="1">
        <v>82</v>
      </c>
      <c r="D71" s="1">
        <v>20</v>
      </c>
      <c r="E71" s="1">
        <v>43</v>
      </c>
      <c r="F71" s="1">
        <v>55</v>
      </c>
      <c r="G71" s="8">
        <v>0.4</v>
      </c>
      <c r="H71" s="1">
        <v>50</v>
      </c>
      <c r="I71" s="1" t="s">
        <v>38</v>
      </c>
      <c r="J71" s="1"/>
      <c r="K71" s="1">
        <v>46</v>
      </c>
      <c r="L71" s="1">
        <f t="shared" si="26"/>
        <v>-3</v>
      </c>
      <c r="M71" s="1">
        <f t="shared" ref="M71:M94" si="27">E71-N71</f>
        <v>43</v>
      </c>
      <c r="N71" s="1"/>
      <c r="O71" s="1"/>
      <c r="P71" s="1">
        <v>39.600000000000009</v>
      </c>
      <c r="Q71" s="1"/>
      <c r="R71" s="1">
        <f>IFERROR(VLOOKUP(A71,[1]Sheet!$A:$D,4,0),0)</f>
        <v>0</v>
      </c>
      <c r="S71" s="1">
        <f t="shared" ref="S71:S94" si="28">M71/5</f>
        <v>8.6</v>
      </c>
      <c r="T71" s="5">
        <f>15*S71-Q71-P71-O71-F71</f>
        <v>34.399999999999991</v>
      </c>
      <c r="U71" s="5"/>
      <c r="V71" s="5">
        <f t="shared" ref="V71:V94" si="29">U71+T71</f>
        <v>34.399999999999991</v>
      </c>
      <c r="W71" s="5"/>
      <c r="X71" s="1"/>
      <c r="Y71" s="1"/>
      <c r="Z71" s="1">
        <f t="shared" ref="Z71:Z94" si="30">(F71+O71+P71+Q71+V71)/S71</f>
        <v>15</v>
      </c>
      <c r="AA71" s="1">
        <f t="shared" ref="AA71:AA94" si="31">(F71+O71+P71+Q71)/S71</f>
        <v>11.000000000000002</v>
      </c>
      <c r="AB71" s="1">
        <v>9.8000000000000007</v>
      </c>
      <c r="AC71" s="1">
        <v>8.4</v>
      </c>
      <c r="AD71" s="1">
        <v>7.4</v>
      </c>
      <c r="AE71" s="1">
        <v>12</v>
      </c>
      <c r="AF71" s="1">
        <v>12</v>
      </c>
      <c r="AG71" s="1">
        <v>9</v>
      </c>
      <c r="AH71" s="1">
        <v>13.4</v>
      </c>
      <c r="AI71" s="1">
        <v>11</v>
      </c>
      <c r="AJ71" s="1" t="s">
        <v>43</v>
      </c>
      <c r="AK71" s="1">
        <f t="shared" ref="AK71:AK94" si="32">ROUND(G71*V71,0)</f>
        <v>14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5" t="s">
        <v>115</v>
      </c>
      <c r="B72" s="15" t="s">
        <v>42</v>
      </c>
      <c r="C72" s="15"/>
      <c r="D72" s="15"/>
      <c r="E72" s="15"/>
      <c r="F72" s="15"/>
      <c r="G72" s="16">
        <v>0</v>
      </c>
      <c r="H72" s="15">
        <v>55</v>
      </c>
      <c r="I72" s="15" t="s">
        <v>38</v>
      </c>
      <c r="J72" s="15"/>
      <c r="K72" s="15"/>
      <c r="L72" s="15">
        <f t="shared" si="26"/>
        <v>0</v>
      </c>
      <c r="M72" s="15">
        <f t="shared" si="27"/>
        <v>0</v>
      </c>
      <c r="N72" s="15"/>
      <c r="O72" s="15"/>
      <c r="P72" s="15">
        <v>0</v>
      </c>
      <c r="Q72" s="15"/>
      <c r="R72" s="1">
        <f>IFERROR(VLOOKUP(A72,[1]Sheet!$A:$D,4,0),0)</f>
        <v>0</v>
      </c>
      <c r="S72" s="15">
        <f t="shared" si="28"/>
        <v>0</v>
      </c>
      <c r="T72" s="17"/>
      <c r="U72" s="17"/>
      <c r="V72" s="5">
        <f t="shared" si="29"/>
        <v>0</v>
      </c>
      <c r="W72" s="17"/>
      <c r="X72" s="15"/>
      <c r="Y72" s="15"/>
      <c r="Z72" s="1" t="e">
        <f t="shared" si="30"/>
        <v>#DIV/0!</v>
      </c>
      <c r="AA72" s="15" t="e">
        <f t="shared" si="31"/>
        <v>#DIV/0!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 t="s">
        <v>116</v>
      </c>
      <c r="AK72" s="1">
        <f t="shared" si="32"/>
        <v>0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117</v>
      </c>
      <c r="B73" s="1" t="s">
        <v>37</v>
      </c>
      <c r="C73" s="1">
        <v>25.782</v>
      </c>
      <c r="D73" s="1"/>
      <c r="E73" s="1">
        <v>7.194</v>
      </c>
      <c r="F73" s="1">
        <v>18.588000000000001</v>
      </c>
      <c r="G73" s="8">
        <v>1</v>
      </c>
      <c r="H73" s="1">
        <v>55</v>
      </c>
      <c r="I73" s="1" t="s">
        <v>38</v>
      </c>
      <c r="J73" s="1"/>
      <c r="K73" s="1">
        <v>6.8</v>
      </c>
      <c r="L73" s="1">
        <f t="shared" si="26"/>
        <v>0.39400000000000013</v>
      </c>
      <c r="M73" s="1">
        <f t="shared" si="27"/>
        <v>7.194</v>
      </c>
      <c r="N73" s="1"/>
      <c r="O73" s="1"/>
      <c r="P73" s="1">
        <v>0</v>
      </c>
      <c r="Q73" s="1"/>
      <c r="R73" s="1">
        <f>IFERROR(VLOOKUP(A73,[1]Sheet!$A:$D,4,0),0)</f>
        <v>0</v>
      </c>
      <c r="S73" s="1">
        <f t="shared" si="28"/>
        <v>1.4388000000000001</v>
      </c>
      <c r="T73" s="5">
        <v>4</v>
      </c>
      <c r="U73" s="5"/>
      <c r="V73" s="5">
        <f t="shared" si="29"/>
        <v>4</v>
      </c>
      <c r="W73" s="5"/>
      <c r="X73" s="1"/>
      <c r="Y73" s="1"/>
      <c r="Z73" s="1">
        <f t="shared" si="30"/>
        <v>15.699193772588268</v>
      </c>
      <c r="AA73" s="1">
        <f t="shared" si="31"/>
        <v>12.919099249374479</v>
      </c>
      <c r="AB73" s="1">
        <v>1.7248000000000001</v>
      </c>
      <c r="AC73" s="1">
        <v>1.1499999999999999</v>
      </c>
      <c r="AD73" s="1">
        <v>0.28799999999999998</v>
      </c>
      <c r="AE73" s="1">
        <v>0.86720000000000008</v>
      </c>
      <c r="AF73" s="1">
        <v>2.3111999999999999</v>
      </c>
      <c r="AG73" s="1">
        <v>2.8879999999999999</v>
      </c>
      <c r="AH73" s="1">
        <v>2.5996000000000001</v>
      </c>
      <c r="AI73" s="1">
        <v>1.7298</v>
      </c>
      <c r="AJ73" s="21" t="s">
        <v>118</v>
      </c>
      <c r="AK73" s="1">
        <f t="shared" si="32"/>
        <v>4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119</v>
      </c>
      <c r="B74" s="1" t="s">
        <v>37</v>
      </c>
      <c r="C74" s="1">
        <v>3741.5390000000002</v>
      </c>
      <c r="D74" s="1">
        <v>1087.9280000000001</v>
      </c>
      <c r="E74" s="1">
        <v>1950.5039999999999</v>
      </c>
      <c r="F74" s="1">
        <v>2628.5169999999998</v>
      </c>
      <c r="G74" s="8">
        <v>1</v>
      </c>
      <c r="H74" s="1">
        <v>60</v>
      </c>
      <c r="I74" s="1" t="s">
        <v>38</v>
      </c>
      <c r="J74" s="1"/>
      <c r="K74" s="1">
        <v>2035.38</v>
      </c>
      <c r="L74" s="1">
        <f t="shared" si="26"/>
        <v>-84.876000000000204</v>
      </c>
      <c r="M74" s="1">
        <f t="shared" si="27"/>
        <v>1817.8239999999998</v>
      </c>
      <c r="N74" s="1">
        <v>132.68</v>
      </c>
      <c r="O74" s="1">
        <v>526.34155999999996</v>
      </c>
      <c r="P74" s="1">
        <v>351.21839999999997</v>
      </c>
      <c r="Q74" s="1">
        <v>790.24140000000011</v>
      </c>
      <c r="R74" s="1">
        <f>IFERROR(VLOOKUP(A74,[1]Sheet!$A:$D,4,0),0)</f>
        <v>0</v>
      </c>
      <c r="S74" s="1">
        <f t="shared" si="28"/>
        <v>363.56479999999999</v>
      </c>
      <c r="T74" s="5">
        <f t="shared" ref="T74:T84" si="33">15*S74-Q74-P74-O74-F74</f>
        <v>1157.1536400000005</v>
      </c>
      <c r="U74" s="5">
        <f t="shared" ref="U74:U77" si="34">$U$1*S74</f>
        <v>-450.82035200000001</v>
      </c>
      <c r="V74" s="5">
        <f t="shared" si="29"/>
        <v>706.33328800000049</v>
      </c>
      <c r="W74" s="5"/>
      <c r="X74" s="1"/>
      <c r="Y74" s="1"/>
      <c r="Z74" s="1">
        <f t="shared" si="30"/>
        <v>13.76</v>
      </c>
      <c r="AA74" s="1">
        <f t="shared" si="31"/>
        <v>11.817201115179465</v>
      </c>
      <c r="AB74" s="1">
        <v>351.21839999999997</v>
      </c>
      <c r="AC74" s="1">
        <v>339.5752</v>
      </c>
      <c r="AD74" s="1">
        <v>281.68239999999997</v>
      </c>
      <c r="AE74" s="1">
        <v>292.14519999999999</v>
      </c>
      <c r="AF74" s="1">
        <v>426.10300000000001</v>
      </c>
      <c r="AG74" s="1">
        <v>356.89120000000003</v>
      </c>
      <c r="AH74" s="1">
        <v>449.74619999999999</v>
      </c>
      <c r="AI74" s="1">
        <v>438.57800000000009</v>
      </c>
      <c r="AJ74" s="1" t="s">
        <v>50</v>
      </c>
      <c r="AK74" s="1">
        <f t="shared" si="32"/>
        <v>706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120</v>
      </c>
      <c r="B75" s="1" t="s">
        <v>37</v>
      </c>
      <c r="C75" s="1">
        <v>1197.596</v>
      </c>
      <c r="D75" s="1">
        <v>180.58</v>
      </c>
      <c r="E75" s="1">
        <v>591.89400000000001</v>
      </c>
      <c r="F75" s="1">
        <v>652.82799999999997</v>
      </c>
      <c r="G75" s="8">
        <v>1</v>
      </c>
      <c r="H75" s="1">
        <v>60</v>
      </c>
      <c r="I75" s="1" t="s">
        <v>38</v>
      </c>
      <c r="J75" s="1"/>
      <c r="K75" s="1">
        <v>682.31500000000005</v>
      </c>
      <c r="L75" s="1">
        <f t="shared" si="26"/>
        <v>-90.421000000000049</v>
      </c>
      <c r="M75" s="1">
        <f t="shared" si="27"/>
        <v>501.37900000000002</v>
      </c>
      <c r="N75" s="1">
        <v>90.515000000000001</v>
      </c>
      <c r="O75" s="1">
        <v>155.40796</v>
      </c>
      <c r="P75" s="1">
        <v>0</v>
      </c>
      <c r="Q75" s="1">
        <v>218.7045</v>
      </c>
      <c r="R75" s="1">
        <f>IFERROR(VLOOKUP(A75,[1]Sheet!$A:$D,4,0),0)</f>
        <v>0</v>
      </c>
      <c r="S75" s="1">
        <f t="shared" si="28"/>
        <v>100.2758</v>
      </c>
      <c r="T75" s="5">
        <f t="shared" si="33"/>
        <v>477.19654000000014</v>
      </c>
      <c r="U75" s="5">
        <f t="shared" si="34"/>
        <v>-124.341992</v>
      </c>
      <c r="V75" s="5">
        <f t="shared" si="29"/>
        <v>352.85454800000014</v>
      </c>
      <c r="W75" s="5"/>
      <c r="X75" s="1"/>
      <c r="Y75" s="1"/>
      <c r="Z75" s="1">
        <f t="shared" si="30"/>
        <v>13.76</v>
      </c>
      <c r="AA75" s="1">
        <f t="shared" si="31"/>
        <v>10.241159482148236</v>
      </c>
      <c r="AB75" s="1">
        <v>97.202000000000012</v>
      </c>
      <c r="AC75" s="1">
        <v>100.2632</v>
      </c>
      <c r="AD75" s="1">
        <v>114.20740000000001</v>
      </c>
      <c r="AE75" s="1">
        <v>92.879800000000003</v>
      </c>
      <c r="AF75" s="1">
        <v>145.39879999999999</v>
      </c>
      <c r="AG75" s="1">
        <v>123.854</v>
      </c>
      <c r="AH75" s="1">
        <v>217.0934</v>
      </c>
      <c r="AI75" s="1">
        <v>212.60059999999999</v>
      </c>
      <c r="AJ75" s="1"/>
      <c r="AK75" s="1">
        <f t="shared" si="32"/>
        <v>353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121</v>
      </c>
      <c r="B76" s="1" t="s">
        <v>37</v>
      </c>
      <c r="C76" s="1">
        <v>317.80099999999999</v>
      </c>
      <c r="D76" s="1">
        <v>2985.3009999999999</v>
      </c>
      <c r="E76" s="1">
        <v>1512.2339999999999</v>
      </c>
      <c r="F76" s="1">
        <v>1641.537</v>
      </c>
      <c r="G76" s="8">
        <v>1</v>
      </c>
      <c r="H76" s="1">
        <v>60</v>
      </c>
      <c r="I76" s="1" t="s">
        <v>38</v>
      </c>
      <c r="J76" s="1"/>
      <c r="K76" s="1">
        <v>1623.3920000000001</v>
      </c>
      <c r="L76" s="1">
        <f t="shared" si="26"/>
        <v>-111.15800000000013</v>
      </c>
      <c r="M76" s="1">
        <f t="shared" si="27"/>
        <v>1226.5899999999999</v>
      </c>
      <c r="N76" s="1">
        <v>285.64400000000001</v>
      </c>
      <c r="O76" s="1"/>
      <c r="P76" s="1">
        <v>0</v>
      </c>
      <c r="Q76" s="1"/>
      <c r="R76" s="1">
        <f>IFERROR(VLOOKUP(A76,[1]Sheet!$A:$D,4,0),0)</f>
        <v>0</v>
      </c>
      <c r="S76" s="1">
        <f t="shared" si="28"/>
        <v>245.31799999999998</v>
      </c>
      <c r="T76" s="5">
        <f t="shared" si="33"/>
        <v>2038.2329999999995</v>
      </c>
      <c r="U76" s="5">
        <f t="shared" si="34"/>
        <v>-304.19432</v>
      </c>
      <c r="V76" s="5">
        <f t="shared" si="29"/>
        <v>1734.0386799999994</v>
      </c>
      <c r="W76" s="5"/>
      <c r="X76" s="1"/>
      <c r="Y76" s="1"/>
      <c r="Z76" s="1">
        <f t="shared" si="30"/>
        <v>13.759999999999998</v>
      </c>
      <c r="AA76" s="1">
        <f t="shared" si="31"/>
        <v>6.6914657709585112</v>
      </c>
      <c r="AB76" s="1">
        <v>205.1558</v>
      </c>
      <c r="AC76" s="1">
        <v>218.61439999999999</v>
      </c>
      <c r="AD76" s="1">
        <v>337.26299999999998</v>
      </c>
      <c r="AE76" s="1">
        <v>184.1644</v>
      </c>
      <c r="AF76" s="1">
        <v>188.6756</v>
      </c>
      <c r="AG76" s="1">
        <v>191.93440000000001</v>
      </c>
      <c r="AH76" s="1">
        <v>222.18899999999999</v>
      </c>
      <c r="AI76" s="1">
        <v>257.75979999999998</v>
      </c>
      <c r="AJ76" s="1" t="s">
        <v>122</v>
      </c>
      <c r="AK76" s="1">
        <f t="shared" si="32"/>
        <v>1734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123</v>
      </c>
      <c r="B77" s="1" t="s">
        <v>37</v>
      </c>
      <c r="C77" s="1">
        <v>3534.3580000000002</v>
      </c>
      <c r="D77" s="1">
        <v>857.024</v>
      </c>
      <c r="E77" s="1">
        <v>1981.0309999999999</v>
      </c>
      <c r="F77" s="1">
        <v>1788.377</v>
      </c>
      <c r="G77" s="8">
        <v>1</v>
      </c>
      <c r="H77" s="1">
        <v>60</v>
      </c>
      <c r="I77" s="1" t="s">
        <v>38</v>
      </c>
      <c r="J77" s="1"/>
      <c r="K77" s="1">
        <v>2204.4859999999999</v>
      </c>
      <c r="L77" s="1">
        <f t="shared" si="26"/>
        <v>-223.45499999999993</v>
      </c>
      <c r="M77" s="1">
        <f t="shared" si="27"/>
        <v>1740.846</v>
      </c>
      <c r="N77" s="1">
        <v>240.185</v>
      </c>
      <c r="O77" s="1">
        <v>463.24540000000007</v>
      </c>
      <c r="P77" s="1">
        <v>946.71299999999997</v>
      </c>
      <c r="Q77" s="1">
        <v>709.04880000000003</v>
      </c>
      <c r="R77" s="1">
        <f>IFERROR(VLOOKUP(A77,[1]Sheet!$A:$D,4,0),0)</f>
        <v>127</v>
      </c>
      <c r="S77" s="1">
        <f t="shared" si="28"/>
        <v>348.16919999999999</v>
      </c>
      <c r="T77" s="5">
        <f t="shared" si="33"/>
        <v>1315.1538</v>
      </c>
      <c r="U77" s="5">
        <f t="shared" si="34"/>
        <v>-431.72980799999999</v>
      </c>
      <c r="V77" s="5">
        <f t="shared" si="29"/>
        <v>883.423992</v>
      </c>
      <c r="W77" s="5"/>
      <c r="X77" s="1"/>
      <c r="Y77" s="1"/>
      <c r="Z77" s="1">
        <f t="shared" si="30"/>
        <v>13.760000000000002</v>
      </c>
      <c r="AA77" s="1">
        <f t="shared" si="31"/>
        <v>11.222658983046175</v>
      </c>
      <c r="AB77" s="1">
        <v>315.13279999999997</v>
      </c>
      <c r="AC77" s="1">
        <v>298.86800000000011</v>
      </c>
      <c r="AD77" s="1">
        <v>282.35520000000002</v>
      </c>
      <c r="AE77" s="1">
        <v>298.19860000000011</v>
      </c>
      <c r="AF77" s="1">
        <v>418.76859999999999</v>
      </c>
      <c r="AG77" s="1">
        <v>363.77280000000002</v>
      </c>
      <c r="AH77" s="1">
        <v>424.80040000000002</v>
      </c>
      <c r="AI77" s="1">
        <v>503.06060000000002</v>
      </c>
      <c r="AJ77" s="1" t="s">
        <v>50</v>
      </c>
      <c r="AK77" s="1">
        <f t="shared" si="32"/>
        <v>883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124</v>
      </c>
      <c r="B78" s="1" t="s">
        <v>37</v>
      </c>
      <c r="C78" s="1">
        <v>145.703</v>
      </c>
      <c r="D78" s="1"/>
      <c r="E78" s="1"/>
      <c r="F78" s="1">
        <v>145.703</v>
      </c>
      <c r="G78" s="8">
        <v>1</v>
      </c>
      <c r="H78" s="1">
        <v>60</v>
      </c>
      <c r="I78" s="1" t="s">
        <v>38</v>
      </c>
      <c r="J78" s="1"/>
      <c r="K78" s="1">
        <v>28</v>
      </c>
      <c r="L78" s="1">
        <f t="shared" si="26"/>
        <v>-28</v>
      </c>
      <c r="M78" s="1">
        <f t="shared" si="27"/>
        <v>0</v>
      </c>
      <c r="N78" s="1"/>
      <c r="O78" s="1"/>
      <c r="P78" s="1">
        <v>0</v>
      </c>
      <c r="Q78" s="1"/>
      <c r="R78" s="1">
        <f>IFERROR(VLOOKUP(A78,[1]Sheet!$A:$D,4,0),0)</f>
        <v>0</v>
      </c>
      <c r="S78" s="1">
        <f t="shared" si="28"/>
        <v>0</v>
      </c>
      <c r="T78" s="5"/>
      <c r="U78" s="5"/>
      <c r="V78" s="5">
        <f t="shared" si="29"/>
        <v>0</v>
      </c>
      <c r="W78" s="5"/>
      <c r="X78" s="1"/>
      <c r="Y78" s="1"/>
      <c r="Z78" s="1" t="e">
        <f t="shared" si="30"/>
        <v>#DIV/0!</v>
      </c>
      <c r="AA78" s="1" t="e">
        <f t="shared" si="31"/>
        <v>#DIV/0!</v>
      </c>
      <c r="AB78" s="1">
        <v>0</v>
      </c>
      <c r="AC78" s="1">
        <v>0</v>
      </c>
      <c r="AD78" s="1">
        <v>0</v>
      </c>
      <c r="AE78" s="1">
        <v>0</v>
      </c>
      <c r="AF78" s="1">
        <v>2.3967999999999998</v>
      </c>
      <c r="AG78" s="1">
        <v>0</v>
      </c>
      <c r="AH78" s="1">
        <v>2.4283999999999999</v>
      </c>
      <c r="AI78" s="1">
        <v>0</v>
      </c>
      <c r="AJ78" s="22" t="s">
        <v>47</v>
      </c>
      <c r="AK78" s="1">
        <f t="shared" si="32"/>
        <v>0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125</v>
      </c>
      <c r="B79" s="1" t="s">
        <v>42</v>
      </c>
      <c r="C79" s="1">
        <v>32</v>
      </c>
      <c r="D79" s="1">
        <v>222</v>
      </c>
      <c r="E79" s="1">
        <v>109</v>
      </c>
      <c r="F79" s="1">
        <v>132</v>
      </c>
      <c r="G79" s="8">
        <v>0.3</v>
      </c>
      <c r="H79" s="1">
        <v>40</v>
      </c>
      <c r="I79" s="1" t="s">
        <v>38</v>
      </c>
      <c r="J79" s="1"/>
      <c r="K79" s="1">
        <v>116</v>
      </c>
      <c r="L79" s="1">
        <f t="shared" si="26"/>
        <v>-7</v>
      </c>
      <c r="M79" s="1">
        <f t="shared" si="27"/>
        <v>109</v>
      </c>
      <c r="N79" s="1"/>
      <c r="O79" s="1"/>
      <c r="P79" s="1">
        <v>23.200000000000049</v>
      </c>
      <c r="Q79" s="1"/>
      <c r="R79" s="1">
        <f>IFERROR(VLOOKUP(A79,[1]Sheet!$A:$D,4,0),0)</f>
        <v>0</v>
      </c>
      <c r="S79" s="1">
        <f t="shared" si="28"/>
        <v>21.8</v>
      </c>
      <c r="T79" s="5">
        <f>14*S79-Q79-P79-O79-F79</f>
        <v>149.99999999999994</v>
      </c>
      <c r="U79" s="5">
        <f>$U$1*S79</f>
        <v>-27.032</v>
      </c>
      <c r="V79" s="5">
        <f t="shared" si="29"/>
        <v>122.96799999999995</v>
      </c>
      <c r="W79" s="5"/>
      <c r="X79" s="1"/>
      <c r="Y79" s="1"/>
      <c r="Z79" s="1">
        <f t="shared" si="30"/>
        <v>12.76</v>
      </c>
      <c r="AA79" s="1">
        <f t="shared" si="31"/>
        <v>7.1192660550458733</v>
      </c>
      <c r="AB79" s="1">
        <v>19.399999999999999</v>
      </c>
      <c r="AC79" s="1">
        <v>22.6</v>
      </c>
      <c r="AD79" s="1">
        <v>20.6</v>
      </c>
      <c r="AE79" s="1">
        <v>17.600000000000001</v>
      </c>
      <c r="AF79" s="1">
        <v>16.2</v>
      </c>
      <c r="AG79" s="1">
        <v>16.600000000000001</v>
      </c>
      <c r="AH79" s="1">
        <v>18</v>
      </c>
      <c r="AI79" s="1">
        <v>18.600000000000001</v>
      </c>
      <c r="AJ79" s="1"/>
      <c r="AK79" s="1">
        <f t="shared" si="32"/>
        <v>37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126</v>
      </c>
      <c r="B80" s="1" t="s">
        <v>42</v>
      </c>
      <c r="C80" s="1">
        <v>100</v>
      </c>
      <c r="D80" s="1">
        <v>37</v>
      </c>
      <c r="E80" s="1">
        <v>39</v>
      </c>
      <c r="F80" s="1">
        <v>95</v>
      </c>
      <c r="G80" s="8">
        <v>7.0000000000000007E-2</v>
      </c>
      <c r="H80" s="1">
        <v>90</v>
      </c>
      <c r="I80" s="1" t="s">
        <v>38</v>
      </c>
      <c r="J80" s="1"/>
      <c r="K80" s="1">
        <v>40</v>
      </c>
      <c r="L80" s="1">
        <f t="shared" si="26"/>
        <v>-1</v>
      </c>
      <c r="M80" s="1">
        <f t="shared" si="27"/>
        <v>39</v>
      </c>
      <c r="N80" s="1"/>
      <c r="O80" s="1"/>
      <c r="P80" s="1">
        <v>41.400000000000027</v>
      </c>
      <c r="Q80" s="1"/>
      <c r="R80" s="1">
        <f>IFERROR(VLOOKUP(A80,[1]Sheet!$A:$D,4,0),0)</f>
        <v>0</v>
      </c>
      <c r="S80" s="1">
        <f t="shared" si="28"/>
        <v>7.8</v>
      </c>
      <c r="T80" s="5"/>
      <c r="U80" s="5"/>
      <c r="V80" s="5">
        <f t="shared" si="29"/>
        <v>0</v>
      </c>
      <c r="W80" s="5"/>
      <c r="X80" s="1"/>
      <c r="Y80" s="1"/>
      <c r="Z80" s="1">
        <f t="shared" si="30"/>
        <v>17.487179487179493</v>
      </c>
      <c r="AA80" s="1">
        <f t="shared" si="31"/>
        <v>17.487179487179493</v>
      </c>
      <c r="AB80" s="1">
        <v>11.8</v>
      </c>
      <c r="AC80" s="1">
        <v>11.2</v>
      </c>
      <c r="AD80" s="1">
        <v>8</v>
      </c>
      <c r="AE80" s="1">
        <v>9</v>
      </c>
      <c r="AF80" s="1">
        <v>12.6</v>
      </c>
      <c r="AG80" s="1">
        <v>10.8</v>
      </c>
      <c r="AH80" s="1">
        <v>12</v>
      </c>
      <c r="AI80" s="1">
        <v>13</v>
      </c>
      <c r="AJ80" s="1"/>
      <c r="AK80" s="1">
        <f t="shared" si="32"/>
        <v>0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127</v>
      </c>
      <c r="B81" s="1" t="s">
        <v>42</v>
      </c>
      <c r="C81" s="1">
        <v>97</v>
      </c>
      <c r="D81" s="1">
        <v>18</v>
      </c>
      <c r="E81" s="1">
        <v>44</v>
      </c>
      <c r="F81" s="1">
        <v>69</v>
      </c>
      <c r="G81" s="8">
        <v>7.0000000000000007E-2</v>
      </c>
      <c r="H81" s="1">
        <v>90</v>
      </c>
      <c r="I81" s="1" t="s">
        <v>38</v>
      </c>
      <c r="J81" s="1"/>
      <c r="K81" s="1">
        <v>44</v>
      </c>
      <c r="L81" s="1">
        <f t="shared" si="26"/>
        <v>0</v>
      </c>
      <c r="M81" s="1">
        <f t="shared" si="27"/>
        <v>44</v>
      </c>
      <c r="N81" s="1"/>
      <c r="O81" s="1"/>
      <c r="P81" s="1">
        <v>37.599999999999987</v>
      </c>
      <c r="Q81" s="1"/>
      <c r="R81" s="1">
        <f>IFERROR(VLOOKUP(A81,[1]Sheet!$A:$D,4,0),0)</f>
        <v>0</v>
      </c>
      <c r="S81" s="1">
        <f t="shared" si="28"/>
        <v>8.8000000000000007</v>
      </c>
      <c r="T81" s="5">
        <f t="shared" si="33"/>
        <v>25.400000000000006</v>
      </c>
      <c r="U81" s="5"/>
      <c r="V81" s="5">
        <f t="shared" si="29"/>
        <v>25.400000000000006</v>
      </c>
      <c r="W81" s="5"/>
      <c r="X81" s="1"/>
      <c r="Y81" s="1"/>
      <c r="Z81" s="1">
        <f t="shared" si="30"/>
        <v>14.999999999999998</v>
      </c>
      <c r="AA81" s="1">
        <f t="shared" si="31"/>
        <v>12.113636363636362</v>
      </c>
      <c r="AB81" s="1">
        <v>11</v>
      </c>
      <c r="AC81" s="1">
        <v>10.4</v>
      </c>
      <c r="AD81" s="1">
        <v>8.4</v>
      </c>
      <c r="AE81" s="1">
        <v>10.8</v>
      </c>
      <c r="AF81" s="1">
        <v>13</v>
      </c>
      <c r="AG81" s="1">
        <v>12.2</v>
      </c>
      <c r="AH81" s="1">
        <v>18</v>
      </c>
      <c r="AI81" s="1">
        <v>19.600000000000001</v>
      </c>
      <c r="AJ81" s="1"/>
      <c r="AK81" s="1">
        <f t="shared" si="32"/>
        <v>2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128</v>
      </c>
      <c r="B82" s="1" t="s">
        <v>42</v>
      </c>
      <c r="C82" s="1">
        <v>45</v>
      </c>
      <c r="D82" s="1">
        <v>90</v>
      </c>
      <c r="E82" s="1">
        <v>47</v>
      </c>
      <c r="F82" s="1">
        <v>85</v>
      </c>
      <c r="G82" s="8">
        <v>7.0000000000000007E-2</v>
      </c>
      <c r="H82" s="1">
        <v>90</v>
      </c>
      <c r="I82" s="1" t="s">
        <v>38</v>
      </c>
      <c r="J82" s="1"/>
      <c r="K82" s="1">
        <v>47</v>
      </c>
      <c r="L82" s="1">
        <f t="shared" si="26"/>
        <v>0</v>
      </c>
      <c r="M82" s="1">
        <f t="shared" si="27"/>
        <v>47</v>
      </c>
      <c r="N82" s="1"/>
      <c r="O82" s="1"/>
      <c r="P82" s="1">
        <v>5.1999999999999886</v>
      </c>
      <c r="Q82" s="1"/>
      <c r="R82" s="1">
        <f>IFERROR(VLOOKUP(A82,[1]Sheet!$A:$D,4,0),0)</f>
        <v>0</v>
      </c>
      <c r="S82" s="1">
        <f t="shared" si="28"/>
        <v>9.4</v>
      </c>
      <c r="T82" s="5">
        <f t="shared" si="33"/>
        <v>50.800000000000011</v>
      </c>
      <c r="U82" s="5">
        <f>$U$1*S82</f>
        <v>-11.656000000000001</v>
      </c>
      <c r="V82" s="5">
        <f t="shared" si="29"/>
        <v>39.144000000000013</v>
      </c>
      <c r="W82" s="5"/>
      <c r="X82" s="1"/>
      <c r="Y82" s="1"/>
      <c r="Z82" s="1">
        <f t="shared" si="30"/>
        <v>13.759999999999998</v>
      </c>
      <c r="AA82" s="1">
        <f t="shared" si="31"/>
        <v>9.5957446808510625</v>
      </c>
      <c r="AB82" s="1">
        <v>9.8000000000000007</v>
      </c>
      <c r="AC82" s="1">
        <v>10.8</v>
      </c>
      <c r="AD82" s="1">
        <v>10.199999999999999</v>
      </c>
      <c r="AE82" s="1">
        <v>10.4</v>
      </c>
      <c r="AF82" s="1">
        <v>9</v>
      </c>
      <c r="AG82" s="1">
        <v>8.8000000000000007</v>
      </c>
      <c r="AH82" s="1">
        <v>12</v>
      </c>
      <c r="AI82" s="1">
        <v>13.6</v>
      </c>
      <c r="AJ82" s="1"/>
      <c r="AK82" s="1">
        <f t="shared" si="32"/>
        <v>3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129</v>
      </c>
      <c r="B83" s="1" t="s">
        <v>42</v>
      </c>
      <c r="C83" s="1">
        <v>55</v>
      </c>
      <c r="D83" s="1">
        <v>72</v>
      </c>
      <c r="E83" s="1">
        <v>34</v>
      </c>
      <c r="F83" s="1">
        <v>91</v>
      </c>
      <c r="G83" s="8">
        <v>0.05</v>
      </c>
      <c r="H83" s="1">
        <v>90</v>
      </c>
      <c r="I83" s="1" t="s">
        <v>38</v>
      </c>
      <c r="J83" s="1"/>
      <c r="K83" s="1">
        <v>34</v>
      </c>
      <c r="L83" s="1">
        <f t="shared" si="26"/>
        <v>0</v>
      </c>
      <c r="M83" s="1">
        <f t="shared" si="27"/>
        <v>34</v>
      </c>
      <c r="N83" s="1"/>
      <c r="O83" s="1"/>
      <c r="P83" s="1">
        <v>0</v>
      </c>
      <c r="Q83" s="1"/>
      <c r="R83" s="1">
        <f>IFERROR(VLOOKUP(A83,[1]Sheet!$A:$D,4,0),0)</f>
        <v>0</v>
      </c>
      <c r="S83" s="1">
        <f t="shared" si="28"/>
        <v>6.8</v>
      </c>
      <c r="T83" s="5">
        <f t="shared" si="33"/>
        <v>11</v>
      </c>
      <c r="U83" s="5"/>
      <c r="V83" s="5">
        <f t="shared" si="29"/>
        <v>11</v>
      </c>
      <c r="W83" s="5"/>
      <c r="X83" s="1"/>
      <c r="Y83" s="1"/>
      <c r="Z83" s="1">
        <f t="shared" si="30"/>
        <v>15</v>
      </c>
      <c r="AA83" s="1">
        <f t="shared" si="31"/>
        <v>13.382352941176471</v>
      </c>
      <c r="AB83" s="1">
        <v>6.6</v>
      </c>
      <c r="AC83" s="1">
        <v>7.8</v>
      </c>
      <c r="AD83" s="1">
        <v>7.8</v>
      </c>
      <c r="AE83" s="1">
        <v>9.4</v>
      </c>
      <c r="AF83" s="1">
        <v>10</v>
      </c>
      <c r="AG83" s="1">
        <v>9</v>
      </c>
      <c r="AH83" s="1">
        <v>10.199999999999999</v>
      </c>
      <c r="AI83" s="1">
        <v>11.4</v>
      </c>
      <c r="AJ83" s="1"/>
      <c r="AK83" s="1">
        <f t="shared" si="32"/>
        <v>1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130</v>
      </c>
      <c r="B84" s="1" t="s">
        <v>42</v>
      </c>
      <c r="C84" s="1">
        <v>104</v>
      </c>
      <c r="D84" s="1"/>
      <c r="E84" s="1">
        <v>37</v>
      </c>
      <c r="F84" s="1">
        <v>59</v>
      </c>
      <c r="G84" s="8">
        <v>0.05</v>
      </c>
      <c r="H84" s="1">
        <v>90</v>
      </c>
      <c r="I84" s="1" t="s">
        <v>38</v>
      </c>
      <c r="J84" s="1"/>
      <c r="K84" s="1">
        <v>37</v>
      </c>
      <c r="L84" s="1">
        <f t="shared" si="26"/>
        <v>0</v>
      </c>
      <c r="M84" s="1">
        <f t="shared" si="27"/>
        <v>37</v>
      </c>
      <c r="N84" s="1"/>
      <c r="O84" s="1"/>
      <c r="P84" s="1">
        <v>30.399999999999991</v>
      </c>
      <c r="Q84" s="1"/>
      <c r="R84" s="1">
        <f>IFERROR(VLOOKUP(A84,[1]Sheet!$A:$D,4,0),0)</f>
        <v>0</v>
      </c>
      <c r="S84" s="1">
        <f t="shared" si="28"/>
        <v>7.4</v>
      </c>
      <c r="T84" s="5">
        <f t="shared" si="33"/>
        <v>21.600000000000009</v>
      </c>
      <c r="U84" s="5"/>
      <c r="V84" s="5">
        <f t="shared" si="29"/>
        <v>21.600000000000009</v>
      </c>
      <c r="W84" s="5"/>
      <c r="X84" s="1"/>
      <c r="Y84" s="1"/>
      <c r="Z84" s="1">
        <f t="shared" si="30"/>
        <v>15</v>
      </c>
      <c r="AA84" s="1">
        <f t="shared" si="31"/>
        <v>12.081081081081079</v>
      </c>
      <c r="AB84" s="1">
        <v>9.1999999999999993</v>
      </c>
      <c r="AC84" s="1">
        <v>8.1999999999999993</v>
      </c>
      <c r="AD84" s="1">
        <v>6.6</v>
      </c>
      <c r="AE84" s="1">
        <v>8.4</v>
      </c>
      <c r="AF84" s="1">
        <v>11.8</v>
      </c>
      <c r="AG84" s="1">
        <v>11</v>
      </c>
      <c r="AH84" s="1">
        <v>11.8</v>
      </c>
      <c r="AI84" s="1">
        <v>12.6</v>
      </c>
      <c r="AJ84" s="1"/>
      <c r="AK84" s="1">
        <f t="shared" si="32"/>
        <v>1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131</v>
      </c>
      <c r="B85" s="1" t="s">
        <v>42</v>
      </c>
      <c r="C85" s="1">
        <v>86</v>
      </c>
      <c r="D85" s="1">
        <v>34</v>
      </c>
      <c r="E85" s="1">
        <v>17</v>
      </c>
      <c r="F85" s="1">
        <v>66</v>
      </c>
      <c r="G85" s="8">
        <v>5.5E-2</v>
      </c>
      <c r="H85" s="1">
        <v>90</v>
      </c>
      <c r="I85" s="1" t="s">
        <v>38</v>
      </c>
      <c r="J85" s="1"/>
      <c r="K85" s="1">
        <v>17</v>
      </c>
      <c r="L85" s="1">
        <f t="shared" si="26"/>
        <v>0</v>
      </c>
      <c r="M85" s="1">
        <f t="shared" si="27"/>
        <v>17</v>
      </c>
      <c r="N85" s="1"/>
      <c r="O85" s="1"/>
      <c r="P85" s="1">
        <v>0</v>
      </c>
      <c r="Q85" s="1"/>
      <c r="R85" s="1">
        <f>IFERROR(VLOOKUP(A85,[1]Sheet!$A:$D,4,0),0)</f>
        <v>0</v>
      </c>
      <c r="S85" s="1">
        <f t="shared" si="28"/>
        <v>3.4</v>
      </c>
      <c r="T85" s="5"/>
      <c r="U85" s="5"/>
      <c r="V85" s="5">
        <f t="shared" si="29"/>
        <v>0</v>
      </c>
      <c r="W85" s="5"/>
      <c r="X85" s="1"/>
      <c r="Y85" s="1"/>
      <c r="Z85" s="1">
        <f t="shared" si="30"/>
        <v>19.411764705882355</v>
      </c>
      <c r="AA85" s="1">
        <f t="shared" si="31"/>
        <v>19.411764705882355</v>
      </c>
      <c r="AB85" s="1">
        <v>4.5999999999999996</v>
      </c>
      <c r="AC85" s="1">
        <v>7</v>
      </c>
      <c r="AD85" s="1">
        <v>6.8</v>
      </c>
      <c r="AE85" s="1">
        <v>6.8</v>
      </c>
      <c r="AF85" s="1">
        <v>10.199999999999999</v>
      </c>
      <c r="AG85" s="1">
        <v>8.1999999999999993</v>
      </c>
      <c r="AH85" s="1">
        <v>6.6</v>
      </c>
      <c r="AI85" s="1">
        <v>7.8</v>
      </c>
      <c r="AJ85" s="1"/>
      <c r="AK85" s="1">
        <f t="shared" si="32"/>
        <v>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2" t="s">
        <v>132</v>
      </c>
      <c r="B86" s="12" t="s">
        <v>42</v>
      </c>
      <c r="C86" s="12">
        <v>11</v>
      </c>
      <c r="D86" s="12"/>
      <c r="E86" s="12"/>
      <c r="F86" s="12">
        <v>11</v>
      </c>
      <c r="G86" s="13">
        <v>0</v>
      </c>
      <c r="H86" s="12">
        <v>120</v>
      </c>
      <c r="I86" s="12" t="s">
        <v>133</v>
      </c>
      <c r="J86" s="12"/>
      <c r="K86" s="12">
        <v>1</v>
      </c>
      <c r="L86" s="12">
        <f t="shared" si="26"/>
        <v>-1</v>
      </c>
      <c r="M86" s="12">
        <f t="shared" si="27"/>
        <v>0</v>
      </c>
      <c r="N86" s="12"/>
      <c r="O86" s="12"/>
      <c r="P86" s="12">
        <v>0</v>
      </c>
      <c r="Q86" s="12"/>
      <c r="R86" s="1">
        <f>IFERROR(VLOOKUP(A86,[1]Sheet!$A:$D,4,0),0)</f>
        <v>0</v>
      </c>
      <c r="S86" s="12">
        <f t="shared" si="28"/>
        <v>0</v>
      </c>
      <c r="T86" s="14"/>
      <c r="U86" s="14"/>
      <c r="V86" s="5">
        <f t="shared" si="29"/>
        <v>0</v>
      </c>
      <c r="W86" s="14"/>
      <c r="X86" s="12"/>
      <c r="Y86" s="12"/>
      <c r="Z86" s="1" t="e">
        <f t="shared" si="30"/>
        <v>#DIV/0!</v>
      </c>
      <c r="AA86" s="12" t="e">
        <f t="shared" si="31"/>
        <v>#DIV/0!</v>
      </c>
      <c r="AB86" s="12">
        <v>0.2</v>
      </c>
      <c r="AC86" s="12">
        <v>0.2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0.6</v>
      </c>
      <c r="AJ86" s="12"/>
      <c r="AK86" s="1">
        <f t="shared" si="32"/>
        <v>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134</v>
      </c>
      <c r="B87" s="1" t="s">
        <v>37</v>
      </c>
      <c r="C87" s="1">
        <v>3436.5790000000002</v>
      </c>
      <c r="D87" s="1">
        <v>5479.7420000000002</v>
      </c>
      <c r="E87" s="1">
        <v>4529.3180000000002</v>
      </c>
      <c r="F87" s="1">
        <v>3871.2669999999998</v>
      </c>
      <c r="G87" s="8">
        <v>1</v>
      </c>
      <c r="H87" s="1">
        <v>40</v>
      </c>
      <c r="I87" s="1" t="s">
        <v>38</v>
      </c>
      <c r="J87" s="1"/>
      <c r="K87" s="1">
        <v>4493.8209999999999</v>
      </c>
      <c r="L87" s="1">
        <f t="shared" si="26"/>
        <v>35.497000000000298</v>
      </c>
      <c r="M87" s="1">
        <f t="shared" si="27"/>
        <v>4230.0010000000002</v>
      </c>
      <c r="N87" s="1">
        <v>299.31700000000001</v>
      </c>
      <c r="O87" s="1"/>
      <c r="P87" s="1">
        <v>3377.329999999994</v>
      </c>
      <c r="Q87" s="1"/>
      <c r="R87" s="1">
        <f>IFERROR(VLOOKUP(A87,[1]Sheet!$A:$D,4,0),0)</f>
        <v>0</v>
      </c>
      <c r="S87" s="1">
        <f t="shared" si="28"/>
        <v>846.00020000000006</v>
      </c>
      <c r="T87" s="5">
        <f>14*S87-Q87-P87-O87-F87</f>
        <v>4595.4058000000059</v>
      </c>
      <c r="U87" s="5">
        <f>$U$1*S87</f>
        <v>-1049.040248</v>
      </c>
      <c r="V87" s="5">
        <f t="shared" si="29"/>
        <v>3546.3655520000057</v>
      </c>
      <c r="W87" s="5"/>
      <c r="X87" s="1"/>
      <c r="Y87" s="1"/>
      <c r="Z87" s="1">
        <f t="shared" si="30"/>
        <v>12.76</v>
      </c>
      <c r="AA87" s="1">
        <f t="shared" si="31"/>
        <v>8.5680795347329628</v>
      </c>
      <c r="AB87" s="1">
        <v>851.7657999999999</v>
      </c>
      <c r="AC87" s="1">
        <v>846.95600000000013</v>
      </c>
      <c r="AD87" s="1">
        <v>799.82920000000013</v>
      </c>
      <c r="AE87" s="1">
        <v>752.95440000000008</v>
      </c>
      <c r="AF87" s="1">
        <v>892.5472000000002</v>
      </c>
      <c r="AG87" s="1">
        <v>763.92160000000001</v>
      </c>
      <c r="AH87" s="1">
        <v>926.77520000000004</v>
      </c>
      <c r="AI87" s="1">
        <v>871.38319999999987</v>
      </c>
      <c r="AJ87" s="1" t="s">
        <v>50</v>
      </c>
      <c r="AK87" s="1">
        <f t="shared" si="32"/>
        <v>3546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1" t="s">
        <v>135</v>
      </c>
      <c r="B88" s="1" t="s">
        <v>37</v>
      </c>
      <c r="C88" s="1">
        <v>-1.6E-2</v>
      </c>
      <c r="D88" s="1">
        <v>1.6E-2</v>
      </c>
      <c r="E88" s="1"/>
      <c r="F88" s="1"/>
      <c r="G88" s="8">
        <v>1</v>
      </c>
      <c r="H88" s="1">
        <v>60</v>
      </c>
      <c r="I88" s="1" t="s">
        <v>38</v>
      </c>
      <c r="J88" s="1"/>
      <c r="K88" s="1"/>
      <c r="L88" s="1">
        <f t="shared" si="26"/>
        <v>0</v>
      </c>
      <c r="M88" s="1">
        <f t="shared" si="27"/>
        <v>0</v>
      </c>
      <c r="N88" s="1"/>
      <c r="O88" s="1"/>
      <c r="P88" s="11"/>
      <c r="Q88" s="1"/>
      <c r="R88" s="1">
        <f>IFERROR(VLOOKUP(A88,[1]Sheet!$A:$D,4,0),0)</f>
        <v>0</v>
      </c>
      <c r="S88" s="1">
        <f t="shared" si="28"/>
        <v>0</v>
      </c>
      <c r="T88" s="18">
        <v>4</v>
      </c>
      <c r="U88" s="5"/>
      <c r="V88" s="5">
        <f t="shared" si="29"/>
        <v>4</v>
      </c>
      <c r="W88" s="5"/>
      <c r="X88" s="1"/>
      <c r="Y88" s="1"/>
      <c r="Z88" s="1" t="e">
        <f t="shared" si="30"/>
        <v>#DIV/0!</v>
      </c>
      <c r="AA88" s="1" t="e">
        <f t="shared" si="31"/>
        <v>#DIV/0!</v>
      </c>
      <c r="AB88" s="1">
        <v>0</v>
      </c>
      <c r="AC88" s="1">
        <v>0</v>
      </c>
      <c r="AD88" s="1">
        <v>0.72300000000000009</v>
      </c>
      <c r="AE88" s="1">
        <v>1.7996000000000001</v>
      </c>
      <c r="AF88" s="1">
        <v>1.4376</v>
      </c>
      <c r="AG88" s="1">
        <v>2.16</v>
      </c>
      <c r="AH88" s="1">
        <v>3.5950000000000002</v>
      </c>
      <c r="AI88" s="1">
        <v>2.875</v>
      </c>
      <c r="AJ88" s="11" t="s">
        <v>136</v>
      </c>
      <c r="AK88" s="1">
        <f t="shared" si="32"/>
        <v>4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9" t="s">
        <v>137</v>
      </c>
      <c r="B89" s="1" t="s">
        <v>42</v>
      </c>
      <c r="C89" s="1"/>
      <c r="D89" s="1"/>
      <c r="E89" s="1"/>
      <c r="F89" s="1"/>
      <c r="G89" s="8">
        <v>0.6</v>
      </c>
      <c r="H89" s="1">
        <v>60</v>
      </c>
      <c r="I89" s="1" t="s">
        <v>38</v>
      </c>
      <c r="J89" s="1"/>
      <c r="K89" s="1"/>
      <c r="L89" s="1">
        <f t="shared" si="26"/>
        <v>0</v>
      </c>
      <c r="M89" s="1">
        <f t="shared" si="27"/>
        <v>0</v>
      </c>
      <c r="N89" s="1"/>
      <c r="O89" s="1"/>
      <c r="P89" s="1">
        <v>180</v>
      </c>
      <c r="Q89" s="1"/>
      <c r="R89" s="1">
        <f>IFERROR(VLOOKUP(A89,[1]Sheet!$A:$D,4,0),0)</f>
        <v>0</v>
      </c>
      <c r="S89" s="1">
        <f t="shared" si="28"/>
        <v>0</v>
      </c>
      <c r="T89" s="5"/>
      <c r="U89" s="5"/>
      <c r="V89" s="5">
        <f t="shared" si="29"/>
        <v>0</v>
      </c>
      <c r="W89" s="5"/>
      <c r="X89" s="1"/>
      <c r="Y89" s="1"/>
      <c r="Z89" s="1" t="e">
        <f t="shared" si="30"/>
        <v>#DIV/0!</v>
      </c>
      <c r="AA89" s="1" t="e">
        <f t="shared" si="31"/>
        <v>#DIV/0!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 t="s">
        <v>75</v>
      </c>
      <c r="AK89" s="1">
        <f t="shared" si="32"/>
        <v>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138</v>
      </c>
      <c r="B90" s="1" t="s">
        <v>42</v>
      </c>
      <c r="C90" s="1">
        <v>176</v>
      </c>
      <c r="D90" s="1">
        <v>333</v>
      </c>
      <c r="E90" s="1">
        <v>205</v>
      </c>
      <c r="F90" s="1">
        <v>184</v>
      </c>
      <c r="G90" s="8">
        <v>0.3</v>
      </c>
      <c r="H90" s="1">
        <v>40</v>
      </c>
      <c r="I90" s="1" t="s">
        <v>38</v>
      </c>
      <c r="J90" s="1"/>
      <c r="K90" s="1">
        <v>208</v>
      </c>
      <c r="L90" s="1">
        <f t="shared" si="26"/>
        <v>-3</v>
      </c>
      <c r="M90" s="1">
        <f t="shared" si="27"/>
        <v>205</v>
      </c>
      <c r="N90" s="1"/>
      <c r="O90" s="1"/>
      <c r="P90" s="1">
        <v>157.80000000000001</v>
      </c>
      <c r="Q90" s="1"/>
      <c r="R90" s="1">
        <f>IFERROR(VLOOKUP(A90,[1]Sheet!$A:$D,4,0),0)</f>
        <v>0</v>
      </c>
      <c r="S90" s="1">
        <f t="shared" si="28"/>
        <v>41</v>
      </c>
      <c r="T90" s="5">
        <f t="shared" ref="T90:T91" si="35">14*S90-Q90-P90-O90-F90</f>
        <v>232.2</v>
      </c>
      <c r="U90" s="5">
        <f t="shared" ref="U90:U92" si="36">$U$1*S90</f>
        <v>-50.839999999999996</v>
      </c>
      <c r="V90" s="5">
        <f t="shared" si="29"/>
        <v>181.35999999999999</v>
      </c>
      <c r="W90" s="5"/>
      <c r="X90" s="1"/>
      <c r="Y90" s="1"/>
      <c r="Z90" s="1">
        <f t="shared" si="30"/>
        <v>12.76</v>
      </c>
      <c r="AA90" s="1">
        <f t="shared" si="31"/>
        <v>8.3365853658536579</v>
      </c>
      <c r="AB90" s="1">
        <v>39.200000000000003</v>
      </c>
      <c r="AC90" s="1">
        <v>37</v>
      </c>
      <c r="AD90" s="1">
        <v>36.799999999999997</v>
      </c>
      <c r="AE90" s="1">
        <v>38</v>
      </c>
      <c r="AF90" s="1">
        <v>39</v>
      </c>
      <c r="AG90" s="1">
        <v>38.6</v>
      </c>
      <c r="AH90" s="1">
        <v>36.6</v>
      </c>
      <c r="AI90" s="1">
        <v>34.4</v>
      </c>
      <c r="AJ90" s="1"/>
      <c r="AK90" s="1">
        <f t="shared" si="32"/>
        <v>54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139</v>
      </c>
      <c r="B91" s="1" t="s">
        <v>42</v>
      </c>
      <c r="C91" s="1">
        <v>60</v>
      </c>
      <c r="D91" s="1">
        <v>333</v>
      </c>
      <c r="E91" s="1">
        <v>106</v>
      </c>
      <c r="F91" s="1">
        <v>177</v>
      </c>
      <c r="G91" s="8">
        <v>0.3</v>
      </c>
      <c r="H91" s="1">
        <v>40</v>
      </c>
      <c r="I91" s="1" t="s">
        <v>38</v>
      </c>
      <c r="J91" s="1"/>
      <c r="K91" s="1">
        <v>112</v>
      </c>
      <c r="L91" s="1">
        <f t="shared" si="26"/>
        <v>-6</v>
      </c>
      <c r="M91" s="1">
        <f t="shared" si="27"/>
        <v>106</v>
      </c>
      <c r="N91" s="1"/>
      <c r="O91" s="1"/>
      <c r="P91" s="1">
        <v>15.19999999999999</v>
      </c>
      <c r="Q91" s="1"/>
      <c r="R91" s="1">
        <f>IFERROR(VLOOKUP(A91,[1]Sheet!$A:$D,4,0),0)</f>
        <v>0</v>
      </c>
      <c r="S91" s="1">
        <f t="shared" si="28"/>
        <v>21.2</v>
      </c>
      <c r="T91" s="5">
        <f t="shared" si="35"/>
        <v>104.60000000000002</v>
      </c>
      <c r="U91" s="5">
        <f t="shared" si="36"/>
        <v>-26.288</v>
      </c>
      <c r="V91" s="5">
        <f t="shared" si="29"/>
        <v>78.312000000000026</v>
      </c>
      <c r="W91" s="5"/>
      <c r="X91" s="1"/>
      <c r="Y91" s="1"/>
      <c r="Z91" s="1">
        <f t="shared" si="30"/>
        <v>12.76</v>
      </c>
      <c r="AA91" s="1">
        <f t="shared" si="31"/>
        <v>9.066037735849056</v>
      </c>
      <c r="AB91" s="1">
        <v>18.2</v>
      </c>
      <c r="AC91" s="1">
        <v>22.2</v>
      </c>
      <c r="AD91" s="1">
        <v>22.8</v>
      </c>
      <c r="AE91" s="1">
        <v>20.8</v>
      </c>
      <c r="AF91" s="1">
        <v>18.8</v>
      </c>
      <c r="AG91" s="1">
        <v>17.2</v>
      </c>
      <c r="AH91" s="1">
        <v>20</v>
      </c>
      <c r="AI91" s="1">
        <v>21.2</v>
      </c>
      <c r="AJ91" s="1" t="s">
        <v>140</v>
      </c>
      <c r="AK91" s="1">
        <f t="shared" si="32"/>
        <v>23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141</v>
      </c>
      <c r="B92" s="1" t="s">
        <v>37</v>
      </c>
      <c r="C92" s="1">
        <v>36.863</v>
      </c>
      <c r="D92" s="1">
        <v>174.68299999999999</v>
      </c>
      <c r="E92" s="1">
        <v>70.266000000000005</v>
      </c>
      <c r="F92" s="1">
        <v>98.573999999999998</v>
      </c>
      <c r="G92" s="8">
        <v>1</v>
      </c>
      <c r="H92" s="1">
        <v>50</v>
      </c>
      <c r="I92" s="1" t="s">
        <v>38</v>
      </c>
      <c r="J92" s="1"/>
      <c r="K92" s="1">
        <v>76.959999999999994</v>
      </c>
      <c r="L92" s="1">
        <f t="shared" si="26"/>
        <v>-6.6939999999999884</v>
      </c>
      <c r="M92" s="1">
        <f t="shared" si="27"/>
        <v>59.406000000000006</v>
      </c>
      <c r="N92" s="1">
        <v>10.86</v>
      </c>
      <c r="O92" s="1"/>
      <c r="P92" s="1">
        <v>0</v>
      </c>
      <c r="Q92" s="1"/>
      <c r="R92" s="1">
        <f>IFERROR(VLOOKUP(A92,[1]Sheet!$A:$D,4,0),0)</f>
        <v>0</v>
      </c>
      <c r="S92" s="1">
        <f t="shared" si="28"/>
        <v>11.881200000000002</v>
      </c>
      <c r="T92" s="5">
        <f t="shared" ref="T92:T94" si="37">15*S92-Q92-P92-O92-F92</f>
        <v>79.64400000000002</v>
      </c>
      <c r="U92" s="5">
        <f t="shared" si="36"/>
        <v>-14.732688000000001</v>
      </c>
      <c r="V92" s="5">
        <f t="shared" si="29"/>
        <v>64.911312000000024</v>
      </c>
      <c r="W92" s="5"/>
      <c r="X92" s="1"/>
      <c r="Y92" s="1"/>
      <c r="Z92" s="1">
        <f t="shared" si="30"/>
        <v>13.76</v>
      </c>
      <c r="AA92" s="1">
        <f t="shared" si="31"/>
        <v>8.296636703363296</v>
      </c>
      <c r="AB92" s="1">
        <v>12.0274</v>
      </c>
      <c r="AC92" s="1">
        <v>14.679399999999999</v>
      </c>
      <c r="AD92" s="1">
        <v>10.170999999999999</v>
      </c>
      <c r="AE92" s="1">
        <v>7.35</v>
      </c>
      <c r="AF92" s="1">
        <v>9.4760000000000009</v>
      </c>
      <c r="AG92" s="1">
        <v>8.6053999999999995</v>
      </c>
      <c r="AH92" s="1">
        <v>5.0423999999999998</v>
      </c>
      <c r="AI92" s="1">
        <v>2.6920000000000002</v>
      </c>
      <c r="AJ92" s="1"/>
      <c r="AK92" s="1">
        <f t="shared" si="32"/>
        <v>65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142</v>
      </c>
      <c r="B93" s="1" t="s">
        <v>42</v>
      </c>
      <c r="C93" s="1">
        <v>17</v>
      </c>
      <c r="D93" s="1">
        <v>72</v>
      </c>
      <c r="E93" s="1">
        <v>21</v>
      </c>
      <c r="F93" s="1">
        <v>64</v>
      </c>
      <c r="G93" s="8">
        <v>0.3</v>
      </c>
      <c r="H93" s="1">
        <v>40</v>
      </c>
      <c r="I93" s="1" t="s">
        <v>38</v>
      </c>
      <c r="J93" s="1"/>
      <c r="K93" s="1">
        <v>21</v>
      </c>
      <c r="L93" s="1">
        <f t="shared" si="26"/>
        <v>0</v>
      </c>
      <c r="M93" s="1">
        <f t="shared" si="27"/>
        <v>21</v>
      </c>
      <c r="N93" s="1"/>
      <c r="O93" s="1"/>
      <c r="P93" s="1">
        <v>0</v>
      </c>
      <c r="Q93" s="1"/>
      <c r="R93" s="1">
        <f>IFERROR(VLOOKUP(A93,[1]Sheet!$A:$D,4,0),0)</f>
        <v>0</v>
      </c>
      <c r="S93" s="1">
        <f t="shared" si="28"/>
        <v>4.2</v>
      </c>
      <c r="T93" s="5"/>
      <c r="U93" s="5"/>
      <c r="V93" s="5">
        <f t="shared" si="29"/>
        <v>0</v>
      </c>
      <c r="W93" s="5"/>
      <c r="X93" s="1"/>
      <c r="Y93" s="1"/>
      <c r="Z93" s="1">
        <f t="shared" si="30"/>
        <v>15.238095238095237</v>
      </c>
      <c r="AA93" s="1">
        <f t="shared" si="31"/>
        <v>15.238095238095237</v>
      </c>
      <c r="AB93" s="1">
        <v>4.5999999999999996</v>
      </c>
      <c r="AC93" s="1">
        <v>5.6</v>
      </c>
      <c r="AD93" s="1">
        <v>7.6</v>
      </c>
      <c r="AE93" s="1">
        <v>5.8</v>
      </c>
      <c r="AF93" s="1">
        <v>3.8</v>
      </c>
      <c r="AG93" s="1">
        <v>3</v>
      </c>
      <c r="AH93" s="1">
        <v>3.4</v>
      </c>
      <c r="AI93" s="1">
        <v>5</v>
      </c>
      <c r="AJ93" s="1"/>
      <c r="AK93" s="1">
        <f t="shared" si="32"/>
        <v>0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143</v>
      </c>
      <c r="B94" s="1" t="s">
        <v>42</v>
      </c>
      <c r="C94" s="1">
        <v>44</v>
      </c>
      <c r="D94" s="1">
        <v>15</v>
      </c>
      <c r="E94" s="1">
        <v>14</v>
      </c>
      <c r="F94" s="1">
        <v>33</v>
      </c>
      <c r="G94" s="8">
        <v>0.12</v>
      </c>
      <c r="H94" s="1">
        <v>45</v>
      </c>
      <c r="I94" s="1" t="s">
        <v>38</v>
      </c>
      <c r="J94" s="1"/>
      <c r="K94" s="1">
        <v>28</v>
      </c>
      <c r="L94" s="1">
        <f t="shared" si="26"/>
        <v>-14</v>
      </c>
      <c r="M94" s="1">
        <f t="shared" si="27"/>
        <v>14</v>
      </c>
      <c r="N94" s="1"/>
      <c r="O94" s="1"/>
      <c r="P94" s="1">
        <v>0</v>
      </c>
      <c r="Q94" s="1"/>
      <c r="R94" s="1">
        <f>IFERROR(VLOOKUP(A94,[1]Sheet!$A:$D,4,0),0)</f>
        <v>0</v>
      </c>
      <c r="S94" s="1">
        <f t="shared" si="28"/>
        <v>2.8</v>
      </c>
      <c r="T94" s="5">
        <f t="shared" si="37"/>
        <v>9</v>
      </c>
      <c r="U94" s="5"/>
      <c r="V94" s="5">
        <f t="shared" si="29"/>
        <v>9</v>
      </c>
      <c r="W94" s="5"/>
      <c r="X94" s="1"/>
      <c r="Y94" s="1"/>
      <c r="Z94" s="1">
        <f t="shared" si="30"/>
        <v>15.000000000000002</v>
      </c>
      <c r="AA94" s="1">
        <f t="shared" si="31"/>
        <v>11.785714285714286</v>
      </c>
      <c r="AB94" s="1">
        <v>3.8</v>
      </c>
      <c r="AC94" s="1">
        <v>5</v>
      </c>
      <c r="AD94" s="1">
        <v>3.8</v>
      </c>
      <c r="AE94" s="1">
        <v>4.2</v>
      </c>
      <c r="AF94" s="1">
        <v>5.8</v>
      </c>
      <c r="AG94" s="1">
        <v>6.6</v>
      </c>
      <c r="AH94" s="1">
        <v>7.2</v>
      </c>
      <c r="AI94" s="1">
        <v>9.4</v>
      </c>
      <c r="AJ94" s="1" t="s">
        <v>144</v>
      </c>
      <c r="AK94" s="1">
        <f t="shared" si="32"/>
        <v>1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</sheetData>
  <autoFilter ref="A3:AK94" xr:uid="{D18A3D85-7D0C-4743-88F5-E9AD34114471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2025-12-16T12:24:57Z</dcterms:created>
  <dcterms:modified xsi:type="dcterms:W3CDTF">2025-12-17T09:28:11Z</dcterms:modified>
</cp:coreProperties>
</file>