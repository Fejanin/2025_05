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75159F6-4087-47B3-B377-4C93D81152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64" i="1"/>
  <c r="BP74" i="1"/>
  <c r="BN74" i="1"/>
  <c r="Z74" i="1"/>
  <c r="Y33" i="1"/>
  <c r="Y37" i="1"/>
  <c r="Y45" i="1"/>
  <c r="Y49" i="1"/>
  <c r="Y58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303" i="1"/>
  <c r="Z283" i="1"/>
  <c r="Z225" i="1"/>
  <c r="Z181" i="1"/>
  <c r="Z112" i="1"/>
  <c r="Z105" i="1"/>
  <c r="Z441" i="1"/>
  <c r="Z469" i="1"/>
  <c r="Z325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<sst xmlns="http://schemas.openxmlformats.org/spreadsheetml/2006/main" count="2320" uniqueCount="781">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</sst>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32</v>
      </c>
      <c r="Y52" s="554">
        <f t="shared" ref="Y52:Y57" si="0">IFERROR(IF(X52="",0,CEILING((X52/$H52),1)*$H52),"")</f>
        <v>33.599999999999994</v>
      </c>
      <c r="Z52" s="36">
        <f>IFERROR(IF(Y52=0,"",ROUNDUP(Y52/H52,0)*0.01898),"")</f>
        <v>5.6940000000000004E-2</v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33.171428571428571</v>
      </c>
      <c r="BN52" s="64">
        <f t="shared" ref="BN52:BN57" si="2">IFERROR(Y52*I52/H52,"0")</f>
        <v>34.829999999999991</v>
      </c>
      <c r="BO52" s="64">
        <f t="shared" ref="BO52:BO57" si="3">IFERROR(1/J52*(X52/H52),"0")</f>
        <v>4.4642857142857144E-2</v>
      </c>
      <c r="BP52" s="64">
        <f t="shared" ref="BP52:BP57" si="4">IFERROR(1/J52*(Y52/H52),"0")</f>
        <v>4.6874999999999993E-2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</v>
      </c>
      <c r="Y53" s="554">
        <f t="shared" si="0"/>
        <v>32.400000000000006</v>
      </c>
      <c r="Z53" s="36">
        <f>IFERROR(IF(Y53=0,"",ROUNDUP(Y53/H53,0)*0.01898),"")</f>
        <v>5.6940000000000004E-2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25.949074074074073</v>
      </c>
      <c r="BN53" s="64">
        <f t="shared" si="2"/>
        <v>33.630000000000003</v>
      </c>
      <c r="BO53" s="64">
        <f t="shared" si="3"/>
        <v>3.6168981481481483E-2</v>
      </c>
      <c r="BP53" s="64">
        <f t="shared" si="4"/>
        <v>4.6875000000000007E-2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61</v>
      </c>
      <c r="Y55" s="554">
        <f t="shared" si="0"/>
        <v>64</v>
      </c>
      <c r="Z55" s="36">
        <f>IFERROR(IF(Y55=0,"",ROUNDUP(Y55/H55,0)*0.00902),"")</f>
        <v>0.14432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63.897500000000008</v>
      </c>
      <c r="BN55" s="64">
        <f t="shared" si="2"/>
        <v>67.040000000000006</v>
      </c>
      <c r="BO55" s="64">
        <f t="shared" si="3"/>
        <v>0.11553030303030304</v>
      </c>
      <c r="BP55" s="64">
        <f t="shared" si="4"/>
        <v>0.12121212121212122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20.421957671957671</v>
      </c>
      <c r="Y58" s="555">
        <f>IFERROR(Y52/H52,"0")+IFERROR(Y53/H53,"0")+IFERROR(Y54/H54,"0")+IFERROR(Y55/H55,"0")+IFERROR(Y56/H56,"0")+IFERROR(Y57/H57,"0")</f>
        <v>22</v>
      </c>
      <c r="Z58" s="555">
        <f>IFERROR(IF(Z52="",0,Z52),"0")+IFERROR(IF(Z53="",0,Z53),"0")+IFERROR(IF(Z54="",0,Z54),"0")+IFERROR(IF(Z55="",0,Z55),"0")+IFERROR(IF(Z56="",0,Z56),"0")+IFERROR(IF(Z57="",0,Z57),"0")</f>
        <v>0.25819999999999999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118</v>
      </c>
      <c r="Y59" s="555">
        <f>IFERROR(SUM(Y52:Y57),"0")</f>
        <v>130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268</v>
      </c>
      <c r="Y85" s="554">
        <f>IFERROR(IF(X85="",0,CEILING((X85/$H85),1)*$H85),"")</f>
        <v>270</v>
      </c>
      <c r="Z85" s="36">
        <f>IFERROR(IF(Y85=0,"",ROUNDUP(Y85/H85,0)*0.01898),"")</f>
        <v>0.47450000000000003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278.1740740740741</v>
      </c>
      <c r="BN85" s="64">
        <f>IFERROR(Y85*I85/H85,"0")</f>
        <v>280.25</v>
      </c>
      <c r="BO85" s="64">
        <f>IFERROR(1/J85*(X85/H85),"0")</f>
        <v>0.38773148148148145</v>
      </c>
      <c r="BP85" s="64">
        <f>IFERROR(1/J85*(Y85/H85),"0")</f>
        <v>0.390625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115</v>
      </c>
      <c r="Y88" s="554">
        <f>IFERROR(IF(X88="",0,CEILING((X88/$H88),1)*$H88),"")</f>
        <v>117</v>
      </c>
      <c r="Z88" s="36">
        <f>IFERROR(IF(Y88=0,"",ROUNDUP(Y88/H88,0)*0.00902),"")</f>
        <v>0.23452000000000001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119.85555555555555</v>
      </c>
      <c r="BN88" s="64">
        <f>IFERROR(Y88*I88/H88,"0")</f>
        <v>121.94</v>
      </c>
      <c r="BO88" s="64">
        <f>IFERROR(1/J88*(X88/H88),"0")</f>
        <v>0.19360269360269361</v>
      </c>
      <c r="BP88" s="64">
        <f>IFERROR(1/J88*(Y88/H88),"0")</f>
        <v>0.19696969696969696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50.370370370370367</v>
      </c>
      <c r="Y89" s="555">
        <f>IFERROR(Y85/H85,"0")+IFERROR(Y86/H86,"0")+IFERROR(Y87/H87,"0")+IFERROR(Y88/H88,"0")</f>
        <v>51</v>
      </c>
      <c r="Z89" s="555">
        <f>IFERROR(IF(Z85="",0,Z85),"0")+IFERROR(IF(Z86="",0,Z86),"0")+IFERROR(IF(Z87="",0,Z87),"0")+IFERROR(IF(Z88="",0,Z88),"0")</f>
        <v>0.70901999999999998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383</v>
      </c>
      <c r="Y90" s="555">
        <f>IFERROR(SUM(Y85:Y88),"0")</f>
        <v>387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188</v>
      </c>
      <c r="Y92" s="554">
        <f>IFERROR(IF(X92="",0,CEILING((X92/$H92),1)*$H92),"")</f>
        <v>194.39999999999998</v>
      </c>
      <c r="Z92" s="36">
        <f>IFERROR(IF(Y92=0,"",ROUNDUP(Y92/H92,0)*0.01898),"")</f>
        <v>0.45552000000000004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199.46567901234567</v>
      </c>
      <c r="BN92" s="64">
        <f>IFERROR(Y92*I92/H92,"0")</f>
        <v>206.25599999999997</v>
      </c>
      <c r="BO92" s="64">
        <f>IFERROR(1/J92*(X92/H92),"0")</f>
        <v>0.36265432098765432</v>
      </c>
      <c r="BP92" s="64">
        <f>IFERROR(1/J92*(Y92/H92),"0")</f>
        <v>0.375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169</v>
      </c>
      <c r="Y94" s="554">
        <f>IFERROR(IF(X94="",0,CEILING((X94/$H94),1)*$H94),"")</f>
        <v>170.10000000000002</v>
      </c>
      <c r="Z94" s="36">
        <f>IFERROR(IF(Y94=0,"",ROUNDUP(Y94/H94,0)*0.00651),"")</f>
        <v>0.41012999999999999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184.77333333333331</v>
      </c>
      <c r="BN94" s="64">
        <f>IFERROR(Y94*I94/H94,"0")</f>
        <v>185.976</v>
      </c>
      <c r="BO94" s="64">
        <f>IFERROR(1/J94*(X94/H94),"0")</f>
        <v>0.3439153439153439</v>
      </c>
      <c r="BP94" s="64">
        <f>IFERROR(1/J94*(Y94/H94),"0")</f>
        <v>0.3461538461538462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85.802469135802468</v>
      </c>
      <c r="Y96" s="555">
        <f>IFERROR(Y92/H92,"0")+IFERROR(Y93/H93,"0")+IFERROR(Y94/H94,"0")+IFERROR(Y95/H95,"0")</f>
        <v>87</v>
      </c>
      <c r="Z96" s="555">
        <f>IFERROR(IF(Z92="",0,Z92),"0")+IFERROR(IF(Z93="",0,Z93),"0")+IFERROR(IF(Z94="",0,Z94),"0")+IFERROR(IF(Z95="",0,Z95),"0")</f>
        <v>0.86565000000000003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357</v>
      </c>
      <c r="Y97" s="555">
        <f>IFERROR(SUM(Y92:Y95),"0")</f>
        <v>364.5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558</v>
      </c>
      <c r="Y100" s="554">
        <f>IFERROR(IF(X100="",0,CEILING((X100/$H100),1)*$H100),"")</f>
        <v>561.6</v>
      </c>
      <c r="Z100" s="36">
        <f>IFERROR(IF(Y100=0,"",ROUNDUP(Y100/H100,0)*0.01898),"")</f>
        <v>0.98696000000000006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579.18333333333328</v>
      </c>
      <c r="BN100" s="64">
        <f>IFERROR(Y100*I100/H100,"0")</f>
        <v>582.92000000000007</v>
      </c>
      <c r="BO100" s="64">
        <f>IFERROR(1/J100*(X100/H100),"0")</f>
        <v>0.80729166666666663</v>
      </c>
      <c r="BP100" s="64">
        <f>IFERROR(1/J100*(Y100/H100),"0")</f>
        <v>0.8125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45</v>
      </c>
      <c r="Y103" s="554">
        <f>IFERROR(IF(X103="",0,CEILING((X103/$H103),1)*$H103),"")</f>
        <v>45</v>
      </c>
      <c r="Z103" s="36">
        <f>IFERROR(IF(Y103=0,"",ROUNDUP(Y103/H103,0)*0.00902),"")</f>
        <v>9.0200000000000002E-2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46.900000000000006</v>
      </c>
      <c r="BN103" s="64">
        <f>IFERROR(Y103*I103/H103,"0")</f>
        <v>46.900000000000006</v>
      </c>
      <c r="BO103" s="64">
        <f>IFERROR(1/J103*(X103/H103),"0")</f>
        <v>7.575757575757576E-2</v>
      </c>
      <c r="BP103" s="64">
        <f>IFERROR(1/J103*(Y103/H103),"0")</f>
        <v>7.575757575757576E-2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61.666666666666664</v>
      </c>
      <c r="Y105" s="555">
        <f>IFERROR(Y100/H100,"0")+IFERROR(Y101/H101,"0")+IFERROR(Y102/H102,"0")+IFERROR(Y103/H103,"0")+IFERROR(Y104/H104,"0")</f>
        <v>62</v>
      </c>
      <c r="Z105" s="555">
        <f>IFERROR(IF(Z100="",0,Z100),"0")+IFERROR(IF(Z101="",0,Z101),"0")+IFERROR(IF(Z102="",0,Z102),"0")+IFERROR(IF(Z103="",0,Z103),"0")+IFERROR(IF(Z104="",0,Z104),"0")</f>
        <v>1.0771600000000001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603</v>
      </c>
      <c r="Y106" s="555">
        <f>IFERROR(SUM(Y100:Y104),"0")</f>
        <v>606.6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25</v>
      </c>
      <c r="Y108" s="554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25.949074074074073</v>
      </c>
      <c r="BN108" s="64">
        <f>IFERROR(Y108*I108/H108,"0")</f>
        <v>33.630000000000003</v>
      </c>
      <c r="BO108" s="64">
        <f>IFERROR(1/J108*(X108/H108),"0")</f>
        <v>3.6168981481481483E-2</v>
      </c>
      <c r="BP108" s="64">
        <f>IFERROR(1/J108*(Y108/H108),"0")</f>
        <v>4.6875000000000007E-2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16</v>
      </c>
      <c r="Y111" s="554">
        <f>IFERROR(IF(X111="",0,CEILING((X111/$H111),1)*$H111),"")</f>
        <v>16.8</v>
      </c>
      <c r="Z111" s="36">
        <f>IFERROR(IF(Y111=0,"",ROUNDUP(Y111/H111,0)*0.00651),"")</f>
        <v>4.5569999999999999E-2</v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17.200000000000003</v>
      </c>
      <c r="BN111" s="64">
        <f>IFERROR(Y111*I111/H111,"0")</f>
        <v>18.060000000000002</v>
      </c>
      <c r="BO111" s="64">
        <f>IFERROR(1/J111*(X111/H111),"0")</f>
        <v>3.6630036630036632E-2</v>
      </c>
      <c r="BP111" s="64">
        <f>IFERROR(1/J111*(Y111/H111),"0")</f>
        <v>3.8461538461538471E-2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8.981481481481481</v>
      </c>
      <c r="Y112" s="555">
        <f>IFERROR(Y108/H108,"0")+IFERROR(Y109/H109,"0")+IFERROR(Y110/H110,"0")+IFERROR(Y111/H111,"0")</f>
        <v>10.000000000000002</v>
      </c>
      <c r="Z112" s="555">
        <f>IFERROR(IF(Z108="",0,Z108),"0")+IFERROR(IF(Z109="",0,Z109),"0")+IFERROR(IF(Z110="",0,Z110),"0")+IFERROR(IF(Z111="",0,Z111),"0")</f>
        <v>0.10251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41</v>
      </c>
      <c r="Y113" s="555">
        <f>IFERROR(SUM(Y108:Y111),"0")</f>
        <v>49.2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252</v>
      </c>
      <c r="Y115" s="554">
        <f>IFERROR(IF(X115="",0,CEILING((X115/$H115),1)*$H115),"")</f>
        <v>259.2</v>
      </c>
      <c r="Z115" s="36">
        <f>IFERROR(IF(Y115=0,"",ROUNDUP(Y115/H115,0)*0.01898),"")</f>
        <v>0.60736000000000001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267.18222222222221</v>
      </c>
      <c r="BN115" s="64">
        <f>IFERROR(Y115*I115/H115,"0")</f>
        <v>274.81599999999997</v>
      </c>
      <c r="BO115" s="64">
        <f>IFERROR(1/J115*(X115/H115),"0")</f>
        <v>0.4861111111111111</v>
      </c>
      <c r="BP115" s="64">
        <f>IFERROR(1/J115*(Y115/H115),"0")</f>
        <v>0.5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160</v>
      </c>
      <c r="Y117" s="554">
        <f>IFERROR(IF(X117="",0,CEILING((X117/$H117),1)*$H117),"")</f>
        <v>162</v>
      </c>
      <c r="Z117" s="36">
        <f>IFERROR(IF(Y117=0,"",ROUNDUP(Y117/H117,0)*0.00651),"")</f>
        <v>0.3906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174.93333333333331</v>
      </c>
      <c r="BN117" s="64">
        <f>IFERROR(Y117*I117/H117,"0")</f>
        <v>177.11999999999998</v>
      </c>
      <c r="BO117" s="64">
        <f>IFERROR(1/J117*(X117/H117),"0")</f>
        <v>0.32560032560032559</v>
      </c>
      <c r="BP117" s="64">
        <f>IFERROR(1/J117*(Y117/H117),"0")</f>
        <v>0.32967032967032966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90.370370370370367</v>
      </c>
      <c r="Y119" s="555">
        <f>IFERROR(Y115/H115,"0")+IFERROR(Y116/H116,"0")+IFERROR(Y117/H117,"0")+IFERROR(Y118/H118,"0")</f>
        <v>92</v>
      </c>
      <c r="Z119" s="555">
        <f>IFERROR(IF(Z115="",0,Z115),"0")+IFERROR(IF(Z116="",0,Z116),"0")+IFERROR(IF(Z117="",0,Z117),"0")+IFERROR(IF(Z118="",0,Z118),"0")</f>
        <v>0.99795999999999996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412</v>
      </c>
      <c r="Y120" s="555">
        <f>IFERROR(SUM(Y115:Y118),"0")</f>
        <v>421.2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42</v>
      </c>
      <c r="Y169" s="554">
        <f t="shared" si="10"/>
        <v>42</v>
      </c>
      <c r="Z169" s="36">
        <f>IFERROR(IF(Y169=0,"",ROUNDUP(Y169/H169,0)*0.00902),"")</f>
        <v>9.0200000000000002E-2</v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44.5</v>
      </c>
      <c r="BN169" s="64">
        <f t="shared" si="12"/>
        <v>44.5</v>
      </c>
      <c r="BO169" s="64">
        <f t="shared" si="13"/>
        <v>7.575757575757576E-2</v>
      </c>
      <c r="BP169" s="64">
        <f t="shared" si="14"/>
        <v>7.575757575757576E-2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35</v>
      </c>
      <c r="Y171" s="554">
        <f t="shared" si="10"/>
        <v>37.800000000000004</v>
      </c>
      <c r="Z171" s="36">
        <f>IFERROR(IF(Y171=0,"",ROUNDUP(Y171/H171,0)*0.00902),"")</f>
        <v>8.1180000000000002E-2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36.583333333333329</v>
      </c>
      <c r="BN171" s="64">
        <f t="shared" si="12"/>
        <v>39.51</v>
      </c>
      <c r="BO171" s="64">
        <f t="shared" si="13"/>
        <v>6.3131313131313122E-2</v>
      </c>
      <c r="BP171" s="64">
        <f t="shared" si="14"/>
        <v>6.8181818181818177E-2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47</v>
      </c>
      <c r="Y173" s="554">
        <f t="shared" si="10"/>
        <v>48.300000000000004</v>
      </c>
      <c r="Z173" s="36">
        <f>IFERROR(IF(Y173=0,"",ROUNDUP(Y173/H173,0)*0.00502),"")</f>
        <v>0.11546000000000001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49.909523809523812</v>
      </c>
      <c r="BN173" s="64">
        <f t="shared" si="12"/>
        <v>51.29</v>
      </c>
      <c r="BO173" s="64">
        <f t="shared" si="13"/>
        <v>9.5645095645095643E-2</v>
      </c>
      <c r="BP173" s="64">
        <f t="shared" si="14"/>
        <v>9.8290598290598302E-2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8</v>
      </c>
      <c r="Y176" s="554">
        <f t="shared" si="10"/>
        <v>9</v>
      </c>
      <c r="Z176" s="36">
        <f>IFERROR(IF(Y176=0,"",ROUNDUP(Y176/H176,0)*0.00502),"")</f>
        <v>2.5100000000000001E-2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8.5777777777777775</v>
      </c>
      <c r="BN176" s="64">
        <f t="shared" si="12"/>
        <v>9.65</v>
      </c>
      <c r="BO176" s="64">
        <f t="shared" si="13"/>
        <v>1.8993352326685663E-2</v>
      </c>
      <c r="BP176" s="64">
        <f t="shared" si="14"/>
        <v>2.1367521367521368E-2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171</v>
      </c>
      <c r="Y178" s="554">
        <f t="shared" si="10"/>
        <v>172.20000000000002</v>
      </c>
      <c r="Z178" s="36">
        <f>IFERROR(IF(Y178=0,"",ROUNDUP(Y178/H178,0)*0.00502),"")</f>
        <v>0.41164000000000001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179.14285714285717</v>
      </c>
      <c r="BN178" s="64">
        <f t="shared" si="12"/>
        <v>180.40000000000003</v>
      </c>
      <c r="BO178" s="64">
        <f t="shared" si="13"/>
        <v>0.34798534798534803</v>
      </c>
      <c r="BP178" s="64">
        <f t="shared" si="14"/>
        <v>0.35042735042735046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126.58730158730158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0.72358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303</v>
      </c>
      <c r="Y182" s="555">
        <f>IFERROR(SUM(Y167:Y180),"0")</f>
        <v>309.30000000000007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4</v>
      </c>
      <c r="Y185" s="554">
        <f>IFERROR(IF(X185="",0,CEILING((X185/$H185),1)*$H185),"")</f>
        <v>5.04</v>
      </c>
      <c r="Z185" s="36">
        <f>IFERROR(IF(Y185=0,"",ROUNDUP(Y185/H185,0)*0.0059),"")</f>
        <v>2.3599999999999999E-2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4.6031746031746028</v>
      </c>
      <c r="BN185" s="64">
        <f>IFERROR(Y185*I185/H185,"0")</f>
        <v>5.8</v>
      </c>
      <c r="BO185" s="64">
        <f>IFERROR(1/J185*(X185/H185),"0")</f>
        <v>1.469723691945914E-2</v>
      </c>
      <c r="BP185" s="64">
        <f>IFERROR(1/J185*(Y185/H185),"0")</f>
        <v>1.8518518518518517E-2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5</v>
      </c>
      <c r="Y186" s="554">
        <f>IFERROR(IF(X186="",0,CEILING((X186/$H186),1)*$H186),"")</f>
        <v>5.04</v>
      </c>
      <c r="Z186" s="36">
        <f>IFERROR(IF(Y186=0,"",ROUNDUP(Y186/H186,0)*0.0059),"")</f>
        <v>2.3599999999999999E-2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5.753968253968254</v>
      </c>
      <c r="BN186" s="64">
        <f>IFERROR(Y186*I186/H186,"0")</f>
        <v>5.8</v>
      </c>
      <c r="BO186" s="64">
        <f>IFERROR(1/J186*(X186/H186),"0")</f>
        <v>1.8371546149323927E-2</v>
      </c>
      <c r="BP186" s="64">
        <f>IFERROR(1/J186*(Y186/H186),"0")</f>
        <v>1.8518518518518517E-2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7.1428571428571423</v>
      </c>
      <c r="Y187" s="555">
        <f>IFERROR(Y184/H184,"0")+IFERROR(Y185/H185,"0")+IFERROR(Y186/H186,"0")</f>
        <v>8</v>
      </c>
      <c r="Z187" s="555">
        <f>IFERROR(IF(Z184="",0,Z184),"0")+IFERROR(IF(Z185="",0,Z185),"0")+IFERROR(IF(Z186="",0,Z186),"0")</f>
        <v>4.7199999999999999E-2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9</v>
      </c>
      <c r="Y188" s="555">
        <f>IFERROR(SUM(Y184:Y186),"0")</f>
        <v>10.08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1</v>
      </c>
      <c r="Y190" s="554">
        <f>IFERROR(IF(X190="",0,CEILING((X190/$H190),1)*$H190),"")</f>
        <v>1.26</v>
      </c>
      <c r="Z190" s="36">
        <f>IFERROR(IF(Y190=0,"",ROUNDUP(Y190/H190,0)*0.0059),"")</f>
        <v>5.8999999999999999E-3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1.1507936507936507</v>
      </c>
      <c r="BN190" s="64">
        <f>IFERROR(Y190*I190/H190,"0")</f>
        <v>1.45</v>
      </c>
      <c r="BO190" s="64">
        <f>IFERROR(1/J190*(X190/H190),"0")</f>
        <v>3.6743092298647849E-3</v>
      </c>
      <c r="BP190" s="64">
        <f>IFERROR(1/J190*(Y190/H190),"0")</f>
        <v>4.6296296296296294E-3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0.79365079365079361</v>
      </c>
      <c r="Y191" s="555">
        <f>IFERROR(Y190/H190,"0")</f>
        <v>1</v>
      </c>
      <c r="Z191" s="555">
        <f>IFERROR(IF(Z190="",0,Z190),"0")</f>
        <v>5.8999999999999999E-3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1</v>
      </c>
      <c r="Y192" s="555">
        <f>IFERROR(SUM(Y190:Y190),"0")</f>
        <v>1.26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355</v>
      </c>
      <c r="Y205" s="554">
        <f t="shared" ref="Y205:Y212" si="15">IFERROR(IF(X205="",0,CEILING((X205/$H205),1)*$H205),"")</f>
        <v>356.40000000000003</v>
      </c>
      <c r="Z205" s="36">
        <f>IFERROR(IF(Y205=0,"",ROUNDUP(Y205/H205,0)*0.00902),"")</f>
        <v>0.59532000000000007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367.4907407407407</v>
      </c>
      <c r="BN205" s="64">
        <f t="shared" ref="BN205:BN212" si="17">IFERROR(Y205*I205/H205,"0")</f>
        <v>368.94</v>
      </c>
      <c r="BO205" s="64">
        <f t="shared" ref="BO205:BO212" si="18">IFERROR(1/J205*(X205/H205),"0")</f>
        <v>0.49803591470258135</v>
      </c>
      <c r="BP205" s="64">
        <f t="shared" ref="BP205:BP212" si="19">IFERROR(1/J205*(Y205/H205),"0")</f>
        <v>0.5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39</v>
      </c>
      <c r="Y208" s="554">
        <f t="shared" si="15"/>
        <v>43.2</v>
      </c>
      <c r="Z208" s="36">
        <f>IFERROR(IF(Y208=0,"",ROUNDUP(Y208/H208,0)*0.00902),"")</f>
        <v>7.2160000000000002E-2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40.37222222222222</v>
      </c>
      <c r="BN208" s="64">
        <f t="shared" si="17"/>
        <v>44.72</v>
      </c>
      <c r="BO208" s="64">
        <f t="shared" si="18"/>
        <v>5.4713804713804708E-2</v>
      </c>
      <c r="BP208" s="64">
        <f t="shared" si="19"/>
        <v>6.0606060606060608E-2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45</v>
      </c>
      <c r="Y209" s="554">
        <f t="shared" si="15"/>
        <v>45</v>
      </c>
      <c r="Z209" s="36">
        <f>IFERROR(IF(Y209=0,"",ROUNDUP(Y209/H209,0)*0.00502),"")</f>
        <v>0.1255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48.249999999999993</v>
      </c>
      <c r="BN209" s="64">
        <f t="shared" si="17"/>
        <v>48.249999999999993</v>
      </c>
      <c r="BO209" s="64">
        <f t="shared" si="18"/>
        <v>0.10683760683760685</v>
      </c>
      <c r="BP209" s="64">
        <f t="shared" si="19"/>
        <v>0.10683760683760685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24</v>
      </c>
      <c r="Y210" s="554">
        <f t="shared" si="15"/>
        <v>25.2</v>
      </c>
      <c r="Z210" s="36">
        <f>IFERROR(IF(Y210=0,"",ROUNDUP(Y210/H210,0)*0.00502),"")</f>
        <v>7.0280000000000009E-2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25.333333333333329</v>
      </c>
      <c r="BN210" s="64">
        <f t="shared" si="17"/>
        <v>26.599999999999998</v>
      </c>
      <c r="BO210" s="64">
        <f t="shared" si="18"/>
        <v>5.6980056980056981E-2</v>
      </c>
      <c r="BP210" s="64">
        <f t="shared" si="19"/>
        <v>5.9829059829059839E-2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13</v>
      </c>
      <c r="Y212" s="554">
        <f t="shared" si="15"/>
        <v>14.4</v>
      </c>
      <c r="Z212" s="36">
        <f>IFERROR(IF(Y212=0,"",ROUNDUP(Y212/H212,0)*0.00502),"")</f>
        <v>4.0160000000000001E-2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13.722222222222221</v>
      </c>
      <c r="BN212" s="64">
        <f t="shared" si="17"/>
        <v>15.2</v>
      </c>
      <c r="BO212" s="64">
        <f t="shared" si="18"/>
        <v>3.0864197530864203E-2</v>
      </c>
      <c r="BP212" s="64">
        <f t="shared" si="19"/>
        <v>3.4188034188034191E-2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118.51851851851852</v>
      </c>
      <c r="Y213" s="555">
        <f>IFERROR(Y205/H205,"0")+IFERROR(Y206/H206,"0")+IFERROR(Y207/H207,"0")+IFERROR(Y208/H208,"0")+IFERROR(Y209/H209,"0")+IFERROR(Y210/H210,"0")+IFERROR(Y211/H211,"0")+IFERROR(Y212/H212,"0")</f>
        <v>121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0.90342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476</v>
      </c>
      <c r="Y214" s="555">
        <f>IFERROR(SUM(Y205:Y212),"0")</f>
        <v>484.2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35</v>
      </c>
      <c r="Y216" s="554">
        <f t="shared" ref="Y216:Y224" si="20">IFERROR(IF(X216="",0,CEILING((X216/$H216),1)*$H216),"")</f>
        <v>40.5</v>
      </c>
      <c r="Z216" s="36">
        <f>IFERROR(IF(Y216=0,"",ROUNDUP(Y216/H216,0)*0.01898),"")</f>
        <v>9.4899999999999998E-2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37.134567901234568</v>
      </c>
      <c r="BN216" s="64">
        <f t="shared" ref="BN216:BN224" si="22">IFERROR(Y216*I216/H216,"0")</f>
        <v>42.97</v>
      </c>
      <c r="BO216" s="64">
        <f t="shared" ref="BO216:BO224" si="23">IFERROR(1/J216*(X216/H216),"0")</f>
        <v>6.751543209876544E-2</v>
      </c>
      <c r="BP216" s="64">
        <f t="shared" ref="BP216:BP224" si="24">IFERROR(1/J216*(Y216/H216),"0")</f>
        <v>7.8125E-2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26</v>
      </c>
      <c r="Y217" s="554">
        <f t="shared" si="20"/>
        <v>32.4</v>
      </c>
      <c r="Z217" s="36">
        <f>IFERROR(IF(Y217=0,"",ROUNDUP(Y217/H217,0)*0.01898),"")</f>
        <v>7.5920000000000001E-2</v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27.527901234567903</v>
      </c>
      <c r="BN217" s="64">
        <f t="shared" si="22"/>
        <v>34.304000000000002</v>
      </c>
      <c r="BO217" s="64">
        <f t="shared" si="23"/>
        <v>5.0154320987654322E-2</v>
      </c>
      <c r="BP217" s="64">
        <f t="shared" si="24"/>
        <v>6.25E-2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262</v>
      </c>
      <c r="Y218" s="554">
        <f t="shared" si="20"/>
        <v>269.7</v>
      </c>
      <c r="Z218" s="36">
        <f>IFERROR(IF(Y218=0,"",ROUNDUP(Y218/H218,0)*0.01898),"")</f>
        <v>0.58838000000000001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276.87678160919546</v>
      </c>
      <c r="BN218" s="64">
        <f t="shared" si="22"/>
        <v>285.01400000000007</v>
      </c>
      <c r="BO218" s="64">
        <f t="shared" si="23"/>
        <v>0.47054597701149431</v>
      </c>
      <c r="BP218" s="64">
        <f t="shared" si="24"/>
        <v>0.484375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134</v>
      </c>
      <c r="Y219" s="554">
        <f t="shared" si="20"/>
        <v>134.4</v>
      </c>
      <c r="Z219" s="36">
        <f t="shared" ref="Z219:Z224" si="25">IFERROR(IF(Y219=0,"",ROUNDUP(Y219/H219,0)*0.00651),"")</f>
        <v>0.36456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149.07499999999999</v>
      </c>
      <c r="BN219" s="64">
        <f t="shared" si="22"/>
        <v>149.52000000000001</v>
      </c>
      <c r="BO219" s="64">
        <f t="shared" si="23"/>
        <v>0.3067765567765568</v>
      </c>
      <c r="BP219" s="64">
        <f t="shared" si="24"/>
        <v>0.30769230769230776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173</v>
      </c>
      <c r="Y221" s="554">
        <f t="shared" si="20"/>
        <v>175.2</v>
      </c>
      <c r="Z221" s="36">
        <f t="shared" si="25"/>
        <v>0.47522999999999999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191.16500000000002</v>
      </c>
      <c r="BN221" s="64">
        <f t="shared" si="22"/>
        <v>193.596</v>
      </c>
      <c r="BO221" s="64">
        <f t="shared" si="23"/>
        <v>0.39606227106227115</v>
      </c>
      <c r="BP221" s="64">
        <f t="shared" si="24"/>
        <v>0.40109890109890112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196</v>
      </c>
      <c r="Y222" s="554">
        <f t="shared" si="20"/>
        <v>196.79999999999998</v>
      </c>
      <c r="Z222" s="36">
        <f t="shared" si="25"/>
        <v>0.53381999999999996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216.58</v>
      </c>
      <c r="BN222" s="64">
        <f t="shared" si="22"/>
        <v>217.464</v>
      </c>
      <c r="BO222" s="64">
        <f t="shared" si="23"/>
        <v>0.44871794871794879</v>
      </c>
      <c r="BP222" s="64">
        <f t="shared" si="24"/>
        <v>0.45054945054945056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29</v>
      </c>
      <c r="Y223" s="554">
        <f t="shared" si="20"/>
        <v>31.2</v>
      </c>
      <c r="Z223" s="36">
        <f t="shared" si="25"/>
        <v>8.4629999999999997E-2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32.045000000000002</v>
      </c>
      <c r="BN223" s="64">
        <f t="shared" si="22"/>
        <v>34.476000000000006</v>
      </c>
      <c r="BO223" s="64">
        <f t="shared" si="23"/>
        <v>6.6391941391941406E-2</v>
      </c>
      <c r="BP223" s="64">
        <f t="shared" si="24"/>
        <v>7.1428571428571438E-2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117</v>
      </c>
      <c r="Y224" s="554">
        <f t="shared" si="20"/>
        <v>117.6</v>
      </c>
      <c r="Z224" s="36">
        <f t="shared" si="25"/>
        <v>0.31899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129.57750000000001</v>
      </c>
      <c r="BN224" s="64">
        <f t="shared" si="22"/>
        <v>130.24199999999999</v>
      </c>
      <c r="BO224" s="64">
        <f t="shared" si="23"/>
        <v>0.2678571428571429</v>
      </c>
      <c r="BP224" s="64">
        <f t="shared" si="24"/>
        <v>0.26923076923076927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308.06247339293316</v>
      </c>
      <c r="Y225" s="555">
        <f>IFERROR(Y216/H216,"0")+IFERROR(Y217/H217,"0")+IFERROR(Y218/H218,"0")+IFERROR(Y219/H219,"0")+IFERROR(Y220/H220,"0")+IFERROR(Y221/H221,"0")+IFERROR(Y222/H222,"0")+IFERROR(Y223/H223,"0")+IFERROR(Y224/H224,"0")</f>
        <v>313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2.5364300000000002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972</v>
      </c>
      <c r="Y226" s="555">
        <f>IFERROR(SUM(Y216:Y224),"0")</f>
        <v>997.80000000000007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</v>
      </c>
      <c r="Y228" s="554">
        <f>IFERROR(IF(X228="",0,CEILING((X228/$H228),1)*$H228),"")</f>
        <v>4.8</v>
      </c>
      <c r="Z228" s="36">
        <f>IFERROR(IF(Y228=0,"",ROUNDUP(Y228/H228,0)*0.00651),"")</f>
        <v>1.302E-2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3.3150000000000004</v>
      </c>
      <c r="BN228" s="64">
        <f>IFERROR(Y228*I228/H228,"0")</f>
        <v>5.3040000000000003</v>
      </c>
      <c r="BO228" s="64">
        <f>IFERROR(1/J228*(X228/H228),"0")</f>
        <v>6.8681318681318689E-3</v>
      </c>
      <c r="BP228" s="64">
        <f>IFERROR(1/J228*(Y228/H228),"0")</f>
        <v>1.098901098901099E-2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8</v>
      </c>
      <c r="Y229" s="554">
        <f>IFERROR(IF(X229="",0,CEILING((X229/$H229),1)*$H229),"")</f>
        <v>9.6</v>
      </c>
      <c r="Z229" s="36">
        <f>IFERROR(IF(Y229=0,"",ROUNDUP(Y229/H229,0)*0.00651),"")</f>
        <v>2.6040000000000001E-2</v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8.8400000000000016</v>
      </c>
      <c r="BN229" s="64">
        <f>IFERROR(Y229*I229/H229,"0")</f>
        <v>10.608000000000001</v>
      </c>
      <c r="BO229" s="64">
        <f>IFERROR(1/J229*(X229/H229),"0")</f>
        <v>1.8315018315018316E-2</v>
      </c>
      <c r="BP229" s="64">
        <f>IFERROR(1/J229*(Y229/H229),"0")</f>
        <v>2.197802197802198E-2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4.5833333333333339</v>
      </c>
      <c r="Y230" s="555">
        <f>IFERROR(Y228/H228,"0")+IFERROR(Y229/H229,"0")</f>
        <v>6</v>
      </c>
      <c r="Z230" s="555">
        <f>IFERROR(IF(Z228="",0,Z228),"0")+IFERROR(IF(Z229="",0,Z229),"0")</f>
        <v>3.9059999999999997E-2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11</v>
      </c>
      <c r="Y231" s="555">
        <f>IFERROR(SUM(Y228:Y229),"0")</f>
        <v>14.399999999999999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3</v>
      </c>
      <c r="Y256" s="554">
        <f>IFERROR(IF(X256="",0,CEILING((X256/$H256),1)*$H256),"")</f>
        <v>3.6</v>
      </c>
      <c r="Z256" s="36">
        <f>IFERROR(IF(Y256=0,"",ROUNDUP(Y256/H256,0)*0.0059),"")</f>
        <v>2.3599999999999999E-2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3.6333333333333337</v>
      </c>
      <c r="BN256" s="64">
        <f>IFERROR(Y256*I256/H256,"0")</f>
        <v>4.3600000000000003</v>
      </c>
      <c r="BO256" s="64">
        <f>IFERROR(1/J256*(X256/H256),"0")</f>
        <v>1.5432098765432096E-2</v>
      </c>
      <c r="BP256" s="64">
        <f>IFERROR(1/J256*(Y256/H256),"0")</f>
        <v>1.8518518518518517E-2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3</v>
      </c>
      <c r="Y257" s="554">
        <f>IFERROR(IF(X257="",0,CEILING((X257/$H257),1)*$H257),"")</f>
        <v>3.96</v>
      </c>
      <c r="Z257" s="36">
        <f>IFERROR(IF(Y257=0,"",ROUNDUP(Y257/H257,0)*0.0059),"")</f>
        <v>2.3599999999999999E-2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3.5757575757575757</v>
      </c>
      <c r="BN257" s="64">
        <f>IFERROR(Y257*I257/H257,"0")</f>
        <v>4.72</v>
      </c>
      <c r="BO257" s="64">
        <f>IFERROR(1/J257*(X257/H257),"0")</f>
        <v>1.4029180695847361E-2</v>
      </c>
      <c r="BP257" s="64">
        <f>IFERROR(1/J257*(Y257/H257),"0")</f>
        <v>1.8518518518518517E-2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2</v>
      </c>
      <c r="Y258" s="554">
        <f>IFERROR(IF(X258="",0,CEILING((X258/$H258),1)*$H258),"")</f>
        <v>2.9699999999999998</v>
      </c>
      <c r="Z258" s="36">
        <f>IFERROR(IF(Y258=0,"",ROUNDUP(Y258/H258,0)*0.0059),"")</f>
        <v>1.77E-2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2.3838383838383836</v>
      </c>
      <c r="BN258" s="64">
        <f>IFERROR(Y258*I258/H258,"0")</f>
        <v>3.5399999999999996</v>
      </c>
      <c r="BO258" s="64">
        <f>IFERROR(1/J258*(X258/H258),"0")</f>
        <v>9.3527871305649091E-3</v>
      </c>
      <c r="BP258" s="64">
        <f>IFERROR(1/J258*(Y258/H258),"0")</f>
        <v>1.3888888888888886E-2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8.3838383838383841</v>
      </c>
      <c r="Y259" s="555">
        <f>IFERROR(Y254/H254,"0")+IFERROR(Y255/H255,"0")+IFERROR(Y256/H256,"0")+IFERROR(Y257/H257,"0")+IFERROR(Y258/H258,"0")</f>
        <v>11</v>
      </c>
      <c r="Z259" s="555">
        <f>IFERROR(IF(Z254="",0,Z254),"0")+IFERROR(IF(Z255="",0,Z255),"0")+IFERROR(IF(Z256="",0,Z256),"0")+IFERROR(IF(Z257="",0,Z257),"0")+IFERROR(IF(Z258="",0,Z258),"0")</f>
        <v>6.4899999999999999E-2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8</v>
      </c>
      <c r="Y260" s="555">
        <f>IFERROR(SUM(Y254:Y258),"0")</f>
        <v>10.530000000000001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34</v>
      </c>
      <c r="Y281" s="554">
        <f>IFERROR(IF(X281="",0,CEILING((X281/$H281),1)*$H281),"")</f>
        <v>36</v>
      </c>
      <c r="Z281" s="36">
        <f>IFERROR(IF(Y281=0,"",ROUNDUP(Y281/H281,0)*0.00651),"")</f>
        <v>9.7650000000000001E-2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37.570000000000007</v>
      </c>
      <c r="BN281" s="64">
        <f>IFERROR(Y281*I281/H281,"0")</f>
        <v>39.780000000000008</v>
      </c>
      <c r="BO281" s="64">
        <f>IFERROR(1/J281*(X281/H281),"0")</f>
        <v>7.7838827838827854E-2</v>
      </c>
      <c r="BP281" s="64">
        <f>IFERROR(1/J281*(Y281/H281),"0")</f>
        <v>8.241758241758243E-2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59</v>
      </c>
      <c r="Y282" s="554">
        <f>IFERROR(IF(X282="",0,CEILING((X282/$H282),1)*$H282),"")</f>
        <v>60</v>
      </c>
      <c r="Z282" s="36">
        <f>IFERROR(IF(Y282=0,"",ROUNDUP(Y282/H282,0)*0.00651),"")</f>
        <v>0.16275000000000001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63.425000000000004</v>
      </c>
      <c r="BN282" s="64">
        <f>IFERROR(Y282*I282/H282,"0")</f>
        <v>64.500000000000014</v>
      </c>
      <c r="BO282" s="64">
        <f>IFERROR(1/J282*(X282/H282),"0")</f>
        <v>0.13507326007326009</v>
      </c>
      <c r="BP282" s="64">
        <f>IFERROR(1/J282*(Y282/H282),"0")</f>
        <v>0.13736263736263737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38.75</v>
      </c>
      <c r="Y283" s="555">
        <f>IFERROR(Y280/H280,"0")+IFERROR(Y281/H281,"0")+IFERROR(Y282/H282,"0")</f>
        <v>40</v>
      </c>
      <c r="Z283" s="555">
        <f>IFERROR(IF(Z280="",0,Z280),"0")+IFERROR(IF(Z281="",0,Z281),"0")+IFERROR(IF(Z282="",0,Z282),"0")</f>
        <v>0.26040000000000002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93</v>
      </c>
      <c r="Y284" s="555">
        <f>IFERROR(SUM(Y280:Y282),"0")</f>
        <v>96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4</v>
      </c>
      <c r="Y311" s="554">
        <f t="shared" si="31"/>
        <v>5.4</v>
      </c>
      <c r="Z311" s="36">
        <f>IFERROR(IF(Y311=0,"",ROUNDUP(Y311/H311,0)*0.00651),"")</f>
        <v>1.9529999999999999E-2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4.5066666666666668</v>
      </c>
      <c r="BN311" s="64">
        <f t="shared" si="33"/>
        <v>6.0839999999999996</v>
      </c>
      <c r="BO311" s="64">
        <f t="shared" si="34"/>
        <v>1.2210012210012212E-2</v>
      </c>
      <c r="BP311" s="64">
        <f t="shared" si="35"/>
        <v>1.6483516483516484E-2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2.2222222222222223</v>
      </c>
      <c r="Y312" s="555">
        <f>IFERROR(Y306/H306,"0")+IFERROR(Y307/H307,"0")+IFERROR(Y308/H308,"0")+IFERROR(Y309/H309,"0")+IFERROR(Y310/H310,"0")+IFERROR(Y311/H311,"0")</f>
        <v>3</v>
      </c>
      <c r="Z312" s="555">
        <f>IFERROR(IF(Z306="",0,Z306),"0")+IFERROR(IF(Z307="",0,Z307),"0")+IFERROR(IF(Z308="",0,Z308),"0")+IFERROR(IF(Z309="",0,Z309),"0")+IFERROR(IF(Z310="",0,Z310),"0")+IFERROR(IF(Z311="",0,Z311),"0")</f>
        <v>1.9529999999999999E-2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4</v>
      </c>
      <c r="Y313" s="555">
        <f>IFERROR(SUM(Y306:Y311),"0")</f>
        <v>5.4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166</v>
      </c>
      <c r="Y323" s="554">
        <f>IFERROR(IF(X323="",0,CEILING((X323/$H323),1)*$H323),"")</f>
        <v>171.6</v>
      </c>
      <c r="Z323" s="36">
        <f>IFERROR(IF(Y323=0,"",ROUNDUP(Y323/H323,0)*0.01898),"")</f>
        <v>0.41755999999999999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176.51333333333335</v>
      </c>
      <c r="BN323" s="64">
        <f>IFERROR(Y323*I323/H323,"0")</f>
        <v>182.46800000000002</v>
      </c>
      <c r="BO323" s="64">
        <f>IFERROR(1/J323*(X323/H323),"0")</f>
        <v>0.33253205128205127</v>
      </c>
      <c r="BP323" s="64">
        <f>IFERROR(1/J323*(Y323/H323),"0")</f>
        <v>0.34375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21.282051282051281</v>
      </c>
      <c r="Y325" s="555">
        <f>IFERROR(Y322/H322,"0")+IFERROR(Y323/H323,"0")+IFERROR(Y324/H324,"0")</f>
        <v>22</v>
      </c>
      <c r="Z325" s="555">
        <f>IFERROR(IF(Z322="",0,Z322),"0")+IFERROR(IF(Z323="",0,Z323),"0")+IFERROR(IF(Z324="",0,Z324),"0")</f>
        <v>0.41755999999999999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166</v>
      </c>
      <c r="Y326" s="555">
        <f>IFERROR(SUM(Y322:Y324),"0")</f>
        <v>171.6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6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6.5328947368421053</v>
      </c>
      <c r="BN328" s="64">
        <f>IFERROR(Y328*I328/H328,"0")</f>
        <v>6.62</v>
      </c>
      <c r="BO328" s="64">
        <f>IFERROR(1/J328*(X328/H328),"0")</f>
        <v>1.4952153110047847E-2</v>
      </c>
      <c r="BP328" s="64">
        <f>IFERROR(1/J328*(Y328/H328),"0")</f>
        <v>1.5151515151515152E-2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10</v>
      </c>
      <c r="Y329" s="554">
        <f>IFERROR(IF(X329="",0,CEILING((X329/$H329),1)*$H329),"")</f>
        <v>12.16</v>
      </c>
      <c r="Z329" s="36">
        <f>IFERROR(IF(Y329=0,"",ROUNDUP(Y329/H329,0)*0.00902),"")</f>
        <v>3.6080000000000001E-2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10.756578947368421</v>
      </c>
      <c r="BN329" s="64">
        <f>IFERROR(Y329*I329/H329,"0")</f>
        <v>13.079999999999998</v>
      </c>
      <c r="BO329" s="64">
        <f>IFERROR(1/J329*(X329/H329),"0")</f>
        <v>2.4920255183413079E-2</v>
      </c>
      <c r="BP329" s="64">
        <f>IFERROR(1/J329*(Y329/H329),"0")</f>
        <v>3.0303030303030304E-2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4</v>
      </c>
      <c r="Y330" s="554">
        <f>IFERROR(IF(X330="",0,CEILING((X330/$H330),1)*$H330),"")</f>
        <v>5.0999999999999996</v>
      </c>
      <c r="Z330" s="36">
        <f>IFERROR(IF(Y330=0,"",ROUNDUP(Y330/H330,0)*0.00651),"")</f>
        <v>1.302E-2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4.6352941176470592</v>
      </c>
      <c r="BN330" s="64">
        <f>IFERROR(Y330*I330/H330,"0")</f>
        <v>5.91</v>
      </c>
      <c r="BO330" s="64">
        <f>IFERROR(1/J330*(X330/H330),"0")</f>
        <v>8.6188321482439153E-3</v>
      </c>
      <c r="BP330" s="64">
        <f>IFERROR(1/J330*(Y330/H330),"0")</f>
        <v>1.098901098901099E-2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34</v>
      </c>
      <c r="Y331" s="554">
        <f>IFERROR(IF(X331="",0,CEILING((X331/$H331),1)*$H331),"")</f>
        <v>35.699999999999996</v>
      </c>
      <c r="Z331" s="36">
        <f>IFERROR(IF(Y331=0,"",ROUNDUP(Y331/H331,0)*0.00651),"")</f>
        <v>9.1139999999999999E-2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38.400000000000006</v>
      </c>
      <c r="BN331" s="64">
        <f>IFERROR(Y331*I331/H331,"0")</f>
        <v>40.32</v>
      </c>
      <c r="BO331" s="64">
        <f>IFERROR(1/J331*(X331/H331),"0")</f>
        <v>7.3260073260073263E-2</v>
      </c>
      <c r="BP331" s="64">
        <f>IFERROR(1/J331*(Y331/H331),"0")</f>
        <v>7.6923076923076927E-2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20.165118679050568</v>
      </c>
      <c r="Y332" s="555">
        <f>IFERROR(Y328/H328,"0")+IFERROR(Y329/H329,"0")+IFERROR(Y330/H330,"0")+IFERROR(Y331/H331,"0")</f>
        <v>22</v>
      </c>
      <c r="Z332" s="555">
        <f>IFERROR(IF(Z328="",0,Z328),"0")+IFERROR(IF(Z329="",0,Z329),"0")+IFERROR(IF(Z330="",0,Z330),"0")+IFERROR(IF(Z331="",0,Z331),"0")</f>
        <v>0.15828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54</v>
      </c>
      <c r="Y333" s="555">
        <f>IFERROR(SUM(Y328:Y331),"0")</f>
        <v>59.04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7</v>
      </c>
      <c r="Y337" s="554">
        <f>IFERROR(IF(X337="",0,CEILING((X337/$H337),1)*$H337),"")</f>
        <v>8</v>
      </c>
      <c r="Z337" s="36">
        <f>IFERROR(IF(Y337=0,"",ROUNDUP(Y337/H337,0)*0.00474),"")</f>
        <v>1.8960000000000001E-2</v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7.8400000000000007</v>
      </c>
      <c r="BN337" s="64">
        <f>IFERROR(Y337*I337/H337,"0")</f>
        <v>8.9600000000000009</v>
      </c>
      <c r="BO337" s="64">
        <f>IFERROR(1/J337*(X337/H337),"0")</f>
        <v>1.4705882352941176E-2</v>
      </c>
      <c r="BP337" s="64">
        <f>IFERROR(1/J337*(Y337/H337),"0")</f>
        <v>1.680672268907563E-2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3.5</v>
      </c>
      <c r="Y338" s="555">
        <f>IFERROR(Y335/H335,"0")+IFERROR(Y336/H336,"0")+IFERROR(Y337/H337,"0")</f>
        <v>4</v>
      </c>
      <c r="Z338" s="555">
        <f>IFERROR(IF(Z335="",0,Z335),"0")+IFERROR(IF(Z336="",0,Z336),"0")+IFERROR(IF(Z337="",0,Z337),"0")</f>
        <v>1.8960000000000001E-2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7</v>
      </c>
      <c r="Y339" s="555">
        <f>IFERROR(SUM(Y335:Y337),"0")</f>
        <v>8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586</v>
      </c>
      <c r="Y350" s="554">
        <f t="shared" ref="Y350:Y356" si="36">IFERROR(IF(X350="",0,CEILING((X350/$H350),1)*$H350),"")</f>
        <v>600</v>
      </c>
      <c r="Z350" s="36">
        <f>IFERROR(IF(Y350=0,"",ROUNDUP(Y350/H350,0)*0.02175),"")</f>
        <v>0.86999999999999988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604.36133333333339</v>
      </c>
      <c r="BN350" s="64">
        <f t="shared" ref="BN350:BN356" si="38">IFERROR(Y350*I350/H350,"0")</f>
        <v>618.79999999999995</v>
      </c>
      <c r="BO350" s="64">
        <f t="shared" ref="BO350:BO356" si="39">IFERROR(1/J350*(X350/H350),"0")</f>
        <v>0.81388888888888888</v>
      </c>
      <c r="BP350" s="64">
        <f t="shared" ref="BP350:BP356" si="40">IFERROR(1/J350*(Y350/H350),"0")</f>
        <v>0.83333333333333326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127</v>
      </c>
      <c r="Y351" s="554">
        <f t="shared" si="36"/>
        <v>135</v>
      </c>
      <c r="Z351" s="36">
        <f>IFERROR(IF(Y351=0,"",ROUNDUP(Y351/H351,0)*0.02175),"")</f>
        <v>0.19574999999999998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130.97933333333333</v>
      </c>
      <c r="BN351" s="64">
        <f t="shared" si="38"/>
        <v>139.23000000000002</v>
      </c>
      <c r="BO351" s="64">
        <f t="shared" si="39"/>
        <v>0.17638888888888887</v>
      </c>
      <c r="BP351" s="64">
        <f t="shared" si="40"/>
        <v>0.1875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300</v>
      </c>
      <c r="Y352" s="554">
        <f t="shared" si="36"/>
        <v>300</v>
      </c>
      <c r="Z352" s="36">
        <f>IFERROR(IF(Y352=0,"",ROUNDUP(Y352/H352,0)*0.02175),"")</f>
        <v>0.43499999999999994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309.39999999999998</v>
      </c>
      <c r="BN352" s="64">
        <f t="shared" si="38"/>
        <v>309.39999999999998</v>
      </c>
      <c r="BO352" s="64">
        <f t="shared" si="39"/>
        <v>0.41666666666666663</v>
      </c>
      <c r="BP352" s="64">
        <f t="shared" si="40"/>
        <v>0.41666666666666663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185</v>
      </c>
      <c r="Y353" s="554">
        <f t="shared" si="36"/>
        <v>195</v>
      </c>
      <c r="Z353" s="36">
        <f>IFERROR(IF(Y353=0,"",ROUNDUP(Y353/H353,0)*0.02175),"")</f>
        <v>0.28275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190.79666666666668</v>
      </c>
      <c r="BN353" s="64">
        <f t="shared" si="38"/>
        <v>201.11</v>
      </c>
      <c r="BO353" s="64">
        <f t="shared" si="39"/>
        <v>0.25694444444444442</v>
      </c>
      <c r="BP353" s="64">
        <f t="shared" si="40"/>
        <v>0.27083333333333331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79.86666666666666</v>
      </c>
      <c r="Y357" s="555">
        <f>IFERROR(Y350/H350,"0")+IFERROR(Y351/H351,"0")+IFERROR(Y352/H352,"0")+IFERROR(Y353/H353,"0")+IFERROR(Y354/H354,"0")+IFERROR(Y355/H355,"0")+IFERROR(Y356/H356,"0")</f>
        <v>82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1.7835000000000001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1198</v>
      </c>
      <c r="Y358" s="555">
        <f>IFERROR(SUM(Y350:Y356),"0")</f>
        <v>1230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529</v>
      </c>
      <c r="Y360" s="554">
        <f>IFERROR(IF(X360="",0,CEILING((X360/$H360),1)*$H360),"")</f>
        <v>540</v>
      </c>
      <c r="Z360" s="36">
        <f>IFERROR(IF(Y360=0,"",ROUNDUP(Y360/H360,0)*0.02175),"")</f>
        <v>0.78299999999999992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545.57533333333333</v>
      </c>
      <c r="BN360" s="64">
        <f>IFERROR(Y360*I360/H360,"0")</f>
        <v>556.92000000000007</v>
      </c>
      <c r="BO360" s="64">
        <f>IFERROR(1/J360*(X360/H360),"0")</f>
        <v>0.73472222222222217</v>
      </c>
      <c r="BP360" s="64">
        <f>IFERROR(1/J360*(Y360/H360),"0")</f>
        <v>0.75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35.266666666666666</v>
      </c>
      <c r="Y362" s="555">
        <f>IFERROR(Y360/H360,"0")+IFERROR(Y361/H361,"0")</f>
        <v>36</v>
      </c>
      <c r="Z362" s="555">
        <f>IFERROR(IF(Z360="",0,Z360),"0")+IFERROR(IF(Z361="",0,Z361),"0")</f>
        <v>0.78299999999999992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529</v>
      </c>
      <c r="Y363" s="555">
        <f>IFERROR(SUM(Y360:Y361),"0")</f>
        <v>540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20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20.683333333333334</v>
      </c>
      <c r="BN375" s="64">
        <f>IFERROR(Y375*I375/H375,"0")</f>
        <v>24.820000000000004</v>
      </c>
      <c r="BO375" s="64">
        <f>IFERROR(1/J375*(X375/H375),"0")</f>
        <v>2.6041666666666668E-2</v>
      </c>
      <c r="BP375" s="64">
        <f>IFERROR(1/J375*(Y375/H375),"0")</f>
        <v>3.125E-2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1.6666666666666667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20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845</v>
      </c>
      <c r="Y385" s="554">
        <f>IFERROR(IF(X385="",0,CEILING((X385/$H385),1)*$H385),"")</f>
        <v>846</v>
      </c>
      <c r="Z385" s="36">
        <f>IFERROR(IF(Y385=0,"",ROUNDUP(Y385/H385,0)*0.01898),"")</f>
        <v>1.7841199999999999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891.38111111111107</v>
      </c>
      <c r="BN385" s="64">
        <f>IFERROR(Y385*I385/H385,"0")</f>
        <v>892.43600000000004</v>
      </c>
      <c r="BO385" s="64">
        <f>IFERROR(1/J385*(X385/H385),"0")</f>
        <v>1.4670138888888888</v>
      </c>
      <c r="BP385" s="64">
        <f>IFERROR(1/J385*(Y385/H385),"0")</f>
        <v>1.46875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26</v>
      </c>
      <c r="Y386" s="554">
        <f>IFERROR(IF(X386="",0,CEILING((X386/$H386),1)*$H386),"")</f>
        <v>26.4</v>
      </c>
      <c r="Z386" s="36">
        <f>IFERROR(IF(Y386=0,"",ROUNDUP(Y386/H386,0)*0.00651),"")</f>
        <v>7.1610000000000007E-2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28.860000000000007</v>
      </c>
      <c r="BN386" s="64">
        <f>IFERROR(Y386*I386/H386,"0")</f>
        <v>29.304000000000002</v>
      </c>
      <c r="BO386" s="64">
        <f>IFERROR(1/J386*(X386/H386),"0")</f>
        <v>5.9523809523809534E-2</v>
      </c>
      <c r="BP386" s="64">
        <f>IFERROR(1/J386*(Y386/H386),"0")</f>
        <v>6.0439560439560447E-2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104.72222222222221</v>
      </c>
      <c r="Y388" s="555">
        <f>IFERROR(Y385/H385,"0")+IFERROR(Y386/H386,"0")+IFERROR(Y387/H387,"0")</f>
        <v>105</v>
      </c>
      <c r="Z388" s="555">
        <f>IFERROR(IF(Z385="",0,Z385),"0")+IFERROR(IF(Z386="",0,Z386),"0")+IFERROR(IF(Z387="",0,Z387),"0")</f>
        <v>1.8557299999999999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871</v>
      </c>
      <c r="Y389" s="555">
        <f>IFERROR(SUM(Y385:Y387),"0")</f>
        <v>872.4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19</v>
      </c>
      <c r="Y393" s="554">
        <f t="shared" ref="Y393:Y401" si="41">IFERROR(IF(X393="",0,CEILING((X393/$H393),1)*$H393),"")</f>
        <v>21.6</v>
      </c>
      <c r="Z393" s="36">
        <f>IFERROR(IF(Y393=0,"",ROUNDUP(Y393/H393,0)*0.00902),"")</f>
        <v>3.6080000000000001E-2</v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19.668518518518518</v>
      </c>
      <c r="BN393" s="64">
        <f t="shared" ref="BN393:BN401" si="43">IFERROR(Y393*I393/H393,"0")</f>
        <v>22.36</v>
      </c>
      <c r="BO393" s="64">
        <f t="shared" ref="BO393:BO401" si="44">IFERROR(1/J393*(X393/H393),"0")</f>
        <v>2.6655443322109985E-2</v>
      </c>
      <c r="BP393" s="64">
        <f t="shared" ref="BP393:BP401" si="45">IFERROR(1/J393*(Y393/H393),"0")</f>
        <v>3.0303030303030304E-2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3.5185185185185182</v>
      </c>
      <c r="Y402" s="555">
        <f>IFERROR(Y393/H393,"0")+IFERROR(Y394/H394,"0")+IFERROR(Y395/H395,"0")+IFERROR(Y396/H396,"0")+IFERROR(Y397/H397,"0")+IFERROR(Y398/H398,"0")+IFERROR(Y399/H399,"0")+IFERROR(Y400/H400,"0")+IFERROR(Y401/H401,"0")</f>
        <v>4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3.6080000000000001E-2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19</v>
      </c>
      <c r="Y403" s="555">
        <f>IFERROR(SUM(Y393:Y401),"0")</f>
        <v>21.6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211</v>
      </c>
      <c r="Y429" s="554">
        <f t="shared" ref="Y429:Y440" si="47">IFERROR(IF(X429="",0,CEILING((X429/$H429),1)*$H429),"")</f>
        <v>211.20000000000002</v>
      </c>
      <c r="Z429" s="36">
        <f t="shared" ref="Z429:Z435" si="48">IFERROR(IF(Y429=0,"",ROUNDUP(Y429/H429,0)*0.01196),"")</f>
        <v>0.47839999999999999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224.98674242424244</v>
      </c>
      <c r="BN429" s="64">
        <f t="shared" ref="BN429:BN440" si="50">IFERROR(Y429*I429/H429,"0")</f>
        <v>225.2</v>
      </c>
      <c r="BO429" s="64">
        <f t="shared" ref="BO429:BO440" si="51">IFERROR(1/J429*(X429/H429),"0")</f>
        <v>0.3842511655011655</v>
      </c>
      <c r="BP429" s="64">
        <f t="shared" ref="BP429:BP440" si="52">IFERROR(1/J429*(Y429/H429),"0")</f>
        <v>0.38461538461538464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531</v>
      </c>
      <c r="Y433" s="554">
        <f t="shared" si="47"/>
        <v>533.28</v>
      </c>
      <c r="Z433" s="36">
        <f t="shared" si="48"/>
        <v>1.2079599999999999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566.19886363636351</v>
      </c>
      <c r="BN433" s="64">
        <f t="shared" si="50"/>
        <v>568.63</v>
      </c>
      <c r="BO433" s="64">
        <f t="shared" si="51"/>
        <v>0.96700174825174823</v>
      </c>
      <c r="BP433" s="64">
        <f t="shared" si="52"/>
        <v>0.97115384615384603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1057</v>
      </c>
      <c r="Y435" s="554">
        <f t="shared" si="47"/>
        <v>1061.28</v>
      </c>
      <c r="Z435" s="36">
        <f t="shared" si="48"/>
        <v>2.4039600000000001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1127.0662878787878</v>
      </c>
      <c r="BN435" s="64">
        <f t="shared" si="50"/>
        <v>1131.6299999999999</v>
      </c>
      <c r="BO435" s="64">
        <f t="shared" si="51"/>
        <v>1.9248980186480187</v>
      </c>
      <c r="BP435" s="64">
        <f t="shared" si="52"/>
        <v>1.9326923076923075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80</v>
      </c>
      <c r="Y440" s="554">
        <f t="shared" si="47"/>
        <v>81.599999999999994</v>
      </c>
      <c r="Z440" s="36">
        <f>IFERROR(IF(Y440=0,"",ROUNDUP(Y440/H440,0)*0.00902),"")</f>
        <v>0.15334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115.16666666666666</v>
      </c>
      <c r="BN440" s="64">
        <f t="shared" si="50"/>
        <v>117.47</v>
      </c>
      <c r="BO440" s="64">
        <f t="shared" si="51"/>
        <v>0.12626262626262627</v>
      </c>
      <c r="BP440" s="64">
        <f t="shared" si="52"/>
        <v>0.12878787878787878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357.38636363636368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359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4.2436600000000002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1879</v>
      </c>
      <c r="Y442" s="555">
        <f>IFERROR(SUM(Y429:Y440),"0")</f>
        <v>1887.36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431</v>
      </c>
      <c r="Y444" s="554">
        <f>IFERROR(IF(X444="",0,CEILING((X444/$H444),1)*$H444),"")</f>
        <v>432.96000000000004</v>
      </c>
      <c r="Z444" s="36">
        <f>IFERROR(IF(Y444=0,"",ROUNDUP(Y444/H444,0)*0.01196),"")</f>
        <v>0.98072000000000004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459.57007575757569</v>
      </c>
      <c r="BN444" s="64">
        <f>IFERROR(Y444*I444/H444,"0")</f>
        <v>461.66</v>
      </c>
      <c r="BO444" s="64">
        <f>IFERROR(1/J444*(X444/H444),"0")</f>
        <v>0.78489219114219111</v>
      </c>
      <c r="BP444" s="64">
        <f>IFERROR(1/J444*(Y444/H444),"0")</f>
        <v>0.78846153846153855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81.628787878787875</v>
      </c>
      <c r="Y447" s="555">
        <f>IFERROR(Y444/H444,"0")+IFERROR(Y445/H445,"0")+IFERROR(Y446/H446,"0")</f>
        <v>82</v>
      </c>
      <c r="Z447" s="555">
        <f>IFERROR(IF(Z444="",0,Z444),"0")+IFERROR(IF(Z445="",0,Z445),"0")+IFERROR(IF(Z446="",0,Z446),"0")</f>
        <v>0.98072000000000004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431</v>
      </c>
      <c r="Y448" s="555">
        <f>IFERROR(SUM(Y444:Y446),"0")</f>
        <v>432.96000000000004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354</v>
      </c>
      <c r="Y450" s="554">
        <f t="shared" ref="Y450:Y455" si="53">IFERROR(IF(X450="",0,CEILING((X450/$H450),1)*$H450),"")</f>
        <v>359.04</v>
      </c>
      <c r="Z450" s="36">
        <f>IFERROR(IF(Y450=0,"",ROUNDUP(Y450/H450,0)*0.01196),"")</f>
        <v>0.81328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377.46590909090907</v>
      </c>
      <c r="BN450" s="64">
        <f t="shared" ref="BN450:BN455" si="55">IFERROR(Y450*I450/H450,"0")</f>
        <v>382.84000000000003</v>
      </c>
      <c r="BO450" s="64">
        <f t="shared" ref="BO450:BO455" si="56">IFERROR(1/J450*(X450/H450),"0")</f>
        <v>0.64466783216783219</v>
      </c>
      <c r="BP450" s="64">
        <f t="shared" ref="BP450:BP455" si="57">IFERROR(1/J450*(Y450/H450),"0")</f>
        <v>0.65384615384615385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213</v>
      </c>
      <c r="Y451" s="554">
        <f t="shared" si="53"/>
        <v>216.48000000000002</v>
      </c>
      <c r="Z451" s="36">
        <f>IFERROR(IF(Y451=0,"",ROUNDUP(Y451/H451,0)*0.01196),"")</f>
        <v>0.49036000000000002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227.11931818181819</v>
      </c>
      <c r="BN451" s="64">
        <f t="shared" si="55"/>
        <v>230.83</v>
      </c>
      <c r="BO451" s="64">
        <f t="shared" si="56"/>
        <v>0.38789335664335661</v>
      </c>
      <c r="BP451" s="64">
        <f t="shared" si="57"/>
        <v>0.39423076923076927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469</v>
      </c>
      <c r="Y452" s="554">
        <f t="shared" si="53"/>
        <v>469.92</v>
      </c>
      <c r="Z452" s="36">
        <f>IFERROR(IF(Y452=0,"",ROUNDUP(Y452/H452,0)*0.01196),"")</f>
        <v>1.0644400000000001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500.08901515151507</v>
      </c>
      <c r="BN452" s="64">
        <f t="shared" si="55"/>
        <v>501.07</v>
      </c>
      <c r="BO452" s="64">
        <f t="shared" si="56"/>
        <v>0.85409382284382296</v>
      </c>
      <c r="BP452" s="64">
        <f t="shared" si="57"/>
        <v>0.85576923076923084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196.21212121212119</v>
      </c>
      <c r="Y456" s="555">
        <f>IFERROR(Y450/H450,"0")+IFERROR(Y451/H451,"0")+IFERROR(Y452/H452,"0")+IFERROR(Y453/H453,"0")+IFERROR(Y454/H454,"0")+IFERROR(Y455/H455,"0")</f>
        <v>198</v>
      </c>
      <c r="Z456" s="555">
        <f>IFERROR(IF(Z450="",0,Z450),"0")+IFERROR(IF(Z451="",0,Z451),"0")+IFERROR(IF(Z452="",0,Z452),"0")+IFERROR(IF(Z453="",0,Z453),"0")+IFERROR(IF(Z454="",0,Z454),"0")+IFERROR(IF(Z455="",0,Z455),"0")</f>
        <v>2.36808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1036</v>
      </c>
      <c r="Y457" s="555">
        <f>IFERROR(SUM(Y450:Y455),"0")</f>
        <v>1045.44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10179.870000000001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10613.302510931017</v>
      </c>
      <c r="Y496" s="555">
        <f>IFERROR(SUM(BN22:BN492),"0")</f>
        <v>10803.027999999997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18</v>
      </c>
      <c r="Y497" s="38">
        <f>ROUNDUP(SUM(BP22:BP492),0)</f>
        <v>18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11063.302510931017</v>
      </c>
      <c r="Y498" s="555">
        <f>GrossWeightTotalR+PalletQtyTotalR*25</f>
        <v>11253.027999999997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1837.8726945004194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1872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21.294449999999998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130</v>
      </c>
      <c r="E505" s="46">
        <f>IFERROR(Y85*1,"0")+IFERROR(Y86*1,"0")+IFERROR(Y87*1,"0")+IFERROR(Y88*1,"0")+IFERROR(Y92*1,"0")+IFERROR(Y93*1,"0")+IFERROR(Y94*1,"0")+IFERROR(Y95*1,"0")</f>
        <v>751.5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1077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320.6400000000001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1496.3999999999996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10.530000000000001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96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244.04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1770</v>
      </c>
      <c r="T505" s="46">
        <f>IFERROR(Y375*1,"0")+IFERROR(Y376*1,"0")+IFERROR(Y380*1,"0")+IFERROR(Y381*1,"0")+IFERROR(Y385*1,"0")+IFERROR(Y386*1,"0")+IFERROR(Y387*1,"0")</f>
        <v>896.4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21.6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3365.7599999999998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2025-12-26T08:52:50Z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