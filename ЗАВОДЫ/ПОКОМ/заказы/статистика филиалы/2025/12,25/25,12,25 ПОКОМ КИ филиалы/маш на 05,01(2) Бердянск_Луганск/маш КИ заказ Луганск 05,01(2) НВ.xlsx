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EB25DCDD-F6FB-48F0-ABEF-FF480CD2AB7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505" i="1" l="1"/>
  <c r="X494" i="1"/>
  <c r="X493" i="1"/>
  <c r="BO492" i="1"/>
  <c r="BM492" i="1"/>
  <c r="Y492" i="1"/>
  <c r="P492" i="1"/>
  <c r="X489" i="1"/>
  <c r="X488" i="1"/>
  <c r="BO487" i="1"/>
  <c r="BM487" i="1"/>
  <c r="Y487" i="1"/>
  <c r="P487" i="1"/>
  <c r="BP486" i="1"/>
  <c r="BO486" i="1"/>
  <c r="BN486" i="1"/>
  <c r="BM486" i="1"/>
  <c r="Z486" i="1"/>
  <c r="Y486" i="1"/>
  <c r="P486" i="1"/>
  <c r="X484" i="1"/>
  <c r="Y483" i="1"/>
  <c r="X483" i="1"/>
  <c r="BP482" i="1"/>
  <c r="BO482" i="1"/>
  <c r="BN482" i="1"/>
  <c r="BM482" i="1"/>
  <c r="Z482" i="1"/>
  <c r="Z483" i="1" s="1"/>
  <c r="Y482" i="1"/>
  <c r="Y484" i="1" s="1"/>
  <c r="P482" i="1"/>
  <c r="X480" i="1"/>
  <c r="Y479" i="1"/>
  <c r="X479" i="1"/>
  <c r="BP478" i="1"/>
  <c r="BO478" i="1"/>
  <c r="BN478" i="1"/>
  <c r="BM478" i="1"/>
  <c r="Z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Y474" i="1" s="1"/>
  <c r="P472" i="1"/>
  <c r="X470" i="1"/>
  <c r="X469" i="1"/>
  <c r="BP468" i="1"/>
  <c r="BO468" i="1"/>
  <c r="BN468" i="1"/>
  <c r="BM468" i="1"/>
  <c r="Z468" i="1"/>
  <c r="Y468" i="1"/>
  <c r="P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Y456" i="1" s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X442" i="1"/>
  <c r="X441" i="1"/>
  <c r="BP440" i="1"/>
  <c r="BO440" i="1"/>
  <c r="BN440" i="1"/>
  <c r="BM440" i="1"/>
  <c r="Z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Y425" i="1"/>
  <c r="X425" i="1"/>
  <c r="X424" i="1"/>
  <c r="BP423" i="1"/>
  <c r="BO423" i="1"/>
  <c r="BN423" i="1"/>
  <c r="BM423" i="1"/>
  <c r="Z423" i="1"/>
  <c r="Z424" i="1" s="1"/>
  <c r="Y423" i="1"/>
  <c r="Y424" i="1" s="1"/>
  <c r="P423" i="1"/>
  <c r="X420" i="1"/>
  <c r="X419" i="1"/>
  <c r="BP418" i="1"/>
  <c r="BO418" i="1"/>
  <c r="BN418" i="1"/>
  <c r="BM418" i="1"/>
  <c r="Z418" i="1"/>
  <c r="Y418" i="1"/>
  <c r="P418" i="1"/>
  <c r="BO417" i="1"/>
  <c r="BM417" i="1"/>
  <c r="Y417" i="1"/>
  <c r="P417" i="1"/>
  <c r="BP416" i="1"/>
  <c r="BO416" i="1"/>
  <c r="BN416" i="1"/>
  <c r="BM416" i="1"/>
  <c r="Z416" i="1"/>
  <c r="Y416" i="1"/>
  <c r="P416" i="1"/>
  <c r="BO415" i="1"/>
  <c r="BM415" i="1"/>
  <c r="Y415" i="1"/>
  <c r="P415" i="1"/>
  <c r="X413" i="1"/>
  <c r="X412" i="1"/>
  <c r="BO411" i="1"/>
  <c r="BM411" i="1"/>
  <c r="Y411" i="1"/>
  <c r="P411" i="1"/>
  <c r="X408" i="1"/>
  <c r="X407" i="1"/>
  <c r="BO406" i="1"/>
  <c r="BM406" i="1"/>
  <c r="Y406" i="1"/>
  <c r="P406" i="1"/>
  <c r="BP405" i="1"/>
  <c r="BO405" i="1"/>
  <c r="BN405" i="1"/>
  <c r="BM405" i="1"/>
  <c r="Z405" i="1"/>
  <c r="Y405" i="1"/>
  <c r="Y407" i="1" s="1"/>
  <c r="P405" i="1"/>
  <c r="X403" i="1"/>
  <c r="X402" i="1"/>
  <c r="BP401" i="1"/>
  <c r="BO401" i="1"/>
  <c r="BN401" i="1"/>
  <c r="BM401" i="1"/>
  <c r="Z401" i="1"/>
  <c r="Y401" i="1"/>
  <c r="P401" i="1"/>
  <c r="BO400" i="1"/>
  <c r="BM400" i="1"/>
  <c r="Y400" i="1"/>
  <c r="P400" i="1"/>
  <c r="BP399" i="1"/>
  <c r="BO399" i="1"/>
  <c r="BN399" i="1"/>
  <c r="BM399" i="1"/>
  <c r="Z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U505" i="1" s="1"/>
  <c r="P393" i="1"/>
  <c r="X389" i="1"/>
  <c r="X388" i="1"/>
  <c r="BP387" i="1"/>
  <c r="BO387" i="1"/>
  <c r="BN387" i="1"/>
  <c r="BM387" i="1"/>
  <c r="Z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P385" i="1"/>
  <c r="X383" i="1"/>
  <c r="Y382" i="1"/>
  <c r="X382" i="1"/>
  <c r="BP381" i="1"/>
  <c r="BO381" i="1"/>
  <c r="BN381" i="1"/>
  <c r="BM381" i="1"/>
  <c r="Z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P375" i="1"/>
  <c r="BO375" i="1"/>
  <c r="BN375" i="1"/>
  <c r="BM375" i="1"/>
  <c r="Z375" i="1"/>
  <c r="Y375" i="1"/>
  <c r="P375" i="1"/>
  <c r="X372" i="1"/>
  <c r="Y371" i="1"/>
  <c r="X371" i="1"/>
  <c r="BP370" i="1"/>
  <c r="BO370" i="1"/>
  <c r="BN370" i="1"/>
  <c r="BM370" i="1"/>
  <c r="Z370" i="1"/>
  <c r="Z371" i="1" s="1"/>
  <c r="Y370" i="1"/>
  <c r="Y372" i="1" s="1"/>
  <c r="P370" i="1"/>
  <c r="X368" i="1"/>
  <c r="X367" i="1"/>
  <c r="BP366" i="1"/>
  <c r="BO366" i="1"/>
  <c r="BN366" i="1"/>
  <c r="BM366" i="1"/>
  <c r="Z366" i="1"/>
  <c r="Y366" i="1"/>
  <c r="P366" i="1"/>
  <c r="BO365" i="1"/>
  <c r="BM365" i="1"/>
  <c r="Y365" i="1"/>
  <c r="P365" i="1"/>
  <c r="X363" i="1"/>
  <c r="X362" i="1"/>
  <c r="BO361" i="1"/>
  <c r="BM361" i="1"/>
  <c r="Y361" i="1"/>
  <c r="P361" i="1"/>
  <c r="BP360" i="1"/>
  <c r="BO360" i="1"/>
  <c r="BN360" i="1"/>
  <c r="BM360" i="1"/>
  <c r="Z360" i="1"/>
  <c r="Y360" i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P354" i="1"/>
  <c r="BO354" i="1"/>
  <c r="BN354" i="1"/>
  <c r="BM354" i="1"/>
  <c r="Z354" i="1"/>
  <c r="Y354" i="1"/>
  <c r="P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Y358" i="1" s="1"/>
  <c r="P350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X339" i="1"/>
  <c r="Y338" i="1"/>
  <c r="X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Y339" i="1" s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Y319" i="1" s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X290" i="1"/>
  <c r="Y289" i="1"/>
  <c r="X289" i="1"/>
  <c r="BP288" i="1"/>
  <c r="BO288" i="1"/>
  <c r="BN288" i="1"/>
  <c r="BM288" i="1"/>
  <c r="Z288" i="1"/>
  <c r="Y288" i="1"/>
  <c r="P288" i="1"/>
  <c r="BO287" i="1"/>
  <c r="BM287" i="1"/>
  <c r="Y287" i="1"/>
  <c r="P287" i="1"/>
  <c r="X284" i="1"/>
  <c r="X283" i="1"/>
  <c r="BO282" i="1"/>
  <c r="BM282" i="1"/>
  <c r="Y282" i="1"/>
  <c r="P282" i="1"/>
  <c r="BP281" i="1"/>
  <c r="BO281" i="1"/>
  <c r="BN281" i="1"/>
  <c r="BM281" i="1"/>
  <c r="Z281" i="1"/>
  <c r="Y281" i="1"/>
  <c r="P281" i="1"/>
  <c r="BO280" i="1"/>
  <c r="BM280" i="1"/>
  <c r="Y280" i="1"/>
  <c r="P280" i="1"/>
  <c r="X277" i="1"/>
  <c r="X276" i="1"/>
  <c r="BO275" i="1"/>
  <c r="BM275" i="1"/>
  <c r="Y275" i="1"/>
  <c r="P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BP266" i="1" s="1"/>
  <c r="P266" i="1"/>
  <c r="BP265" i="1"/>
  <c r="BO265" i="1"/>
  <c r="BN265" i="1"/>
  <c r="BM265" i="1"/>
  <c r="Z265" i="1"/>
  <c r="Y265" i="1"/>
  <c r="P265" i="1"/>
  <c r="BO264" i="1"/>
  <c r="BM264" i="1"/>
  <c r="Y264" i="1"/>
  <c r="BP264" i="1" s="1"/>
  <c r="P264" i="1"/>
  <c r="BP263" i="1"/>
  <c r="BO263" i="1"/>
  <c r="BN263" i="1"/>
  <c r="BM263" i="1"/>
  <c r="Z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BP257" i="1" s="1"/>
  <c r="P257" i="1"/>
  <c r="BP256" i="1"/>
  <c r="BO256" i="1"/>
  <c r="BN256" i="1"/>
  <c r="BM256" i="1"/>
  <c r="Z256" i="1"/>
  <c r="Y256" i="1"/>
  <c r="P256" i="1"/>
  <c r="BO255" i="1"/>
  <c r="BM255" i="1"/>
  <c r="Y255" i="1"/>
  <c r="BP255" i="1" s="1"/>
  <c r="P255" i="1"/>
  <c r="BP254" i="1"/>
  <c r="BO254" i="1"/>
  <c r="BN254" i="1"/>
  <c r="BM254" i="1"/>
  <c r="Z254" i="1"/>
  <c r="Y254" i="1"/>
  <c r="Y260" i="1" s="1"/>
  <c r="P254" i="1"/>
  <c r="X252" i="1"/>
  <c r="Y251" i="1"/>
  <c r="X251" i="1"/>
  <c r="BP250" i="1"/>
  <c r="BO250" i="1"/>
  <c r="BN250" i="1"/>
  <c r="BM250" i="1"/>
  <c r="Z250" i="1"/>
  <c r="Z251" i="1" s="1"/>
  <c r="Y250" i="1"/>
  <c r="Y252" i="1" s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BP241" i="1" s="1"/>
  <c r="P241" i="1"/>
  <c r="BP240" i="1"/>
  <c r="BO240" i="1"/>
  <c r="BN240" i="1"/>
  <c r="BM240" i="1"/>
  <c r="Z240" i="1"/>
  <c r="Y240" i="1"/>
  <c r="P240" i="1"/>
  <c r="BO239" i="1"/>
  <c r="BM239" i="1"/>
  <c r="Y239" i="1"/>
  <c r="BP239" i="1" s="1"/>
  <c r="P239" i="1"/>
  <c r="BP238" i="1"/>
  <c r="BO238" i="1"/>
  <c r="BN238" i="1"/>
  <c r="BM238" i="1"/>
  <c r="Z238" i="1"/>
  <c r="Y238" i="1"/>
  <c r="P238" i="1"/>
  <c r="BO237" i="1"/>
  <c r="BM237" i="1"/>
  <c r="Y237" i="1"/>
  <c r="BP237" i="1" s="1"/>
  <c r="P237" i="1"/>
  <c r="BP236" i="1"/>
  <c r="BO236" i="1"/>
  <c r="BN236" i="1"/>
  <c r="BM236" i="1"/>
  <c r="Z236" i="1"/>
  <c r="Y236" i="1"/>
  <c r="P236" i="1"/>
  <c r="BO235" i="1"/>
  <c r="BM235" i="1"/>
  <c r="Y235" i="1"/>
  <c r="BP235" i="1" s="1"/>
  <c r="P235" i="1"/>
  <c r="BP234" i="1"/>
  <c r="BO234" i="1"/>
  <c r="BN234" i="1"/>
  <c r="BM234" i="1"/>
  <c r="Z234" i="1"/>
  <c r="Y234" i="1"/>
  <c r="P234" i="1"/>
  <c r="X231" i="1"/>
  <c r="X230" i="1"/>
  <c r="BP229" i="1"/>
  <c r="BO229" i="1"/>
  <c r="BN229" i="1"/>
  <c r="BM229" i="1"/>
  <c r="Z229" i="1"/>
  <c r="Y229" i="1"/>
  <c r="P229" i="1"/>
  <c r="BO228" i="1"/>
  <c r="BM228" i="1"/>
  <c r="Y228" i="1"/>
  <c r="Y231" i="1" s="1"/>
  <c r="P228" i="1"/>
  <c r="X226" i="1"/>
  <c r="X225" i="1"/>
  <c r="BO224" i="1"/>
  <c r="BM224" i="1"/>
  <c r="Y224" i="1"/>
  <c r="BP224" i="1" s="1"/>
  <c r="P224" i="1"/>
  <c r="BP223" i="1"/>
  <c r="BO223" i="1"/>
  <c r="BN223" i="1"/>
  <c r="BM223" i="1"/>
  <c r="Z223" i="1"/>
  <c r="Y223" i="1"/>
  <c r="P223" i="1"/>
  <c r="BO222" i="1"/>
  <c r="BM222" i="1"/>
  <c r="Y222" i="1"/>
  <c r="BP222" i="1" s="1"/>
  <c r="P222" i="1"/>
  <c r="BP221" i="1"/>
  <c r="BO221" i="1"/>
  <c r="BN221" i="1"/>
  <c r="BM221" i="1"/>
  <c r="Z221" i="1"/>
  <c r="Y221" i="1"/>
  <c r="P221" i="1"/>
  <c r="BO220" i="1"/>
  <c r="BM220" i="1"/>
  <c r="Y220" i="1"/>
  <c r="BP220" i="1" s="1"/>
  <c r="P220" i="1"/>
  <c r="BP219" i="1"/>
  <c r="BO219" i="1"/>
  <c r="BN219" i="1"/>
  <c r="BM219" i="1"/>
  <c r="Z219" i="1"/>
  <c r="Y219" i="1"/>
  <c r="P219" i="1"/>
  <c r="BO218" i="1"/>
  <c r="BM218" i="1"/>
  <c r="Y218" i="1"/>
  <c r="BP218" i="1" s="1"/>
  <c r="P218" i="1"/>
  <c r="BP217" i="1"/>
  <c r="BO217" i="1"/>
  <c r="BN217" i="1"/>
  <c r="BM217" i="1"/>
  <c r="Z217" i="1"/>
  <c r="Y217" i="1"/>
  <c r="P217" i="1"/>
  <c r="BO216" i="1"/>
  <c r="BM216" i="1"/>
  <c r="Y216" i="1"/>
  <c r="Y225" i="1" s="1"/>
  <c r="P216" i="1"/>
  <c r="X214" i="1"/>
  <c r="X213" i="1"/>
  <c r="BO212" i="1"/>
  <c r="BM212" i="1"/>
  <c r="Y212" i="1"/>
  <c r="BP212" i="1" s="1"/>
  <c r="P212" i="1"/>
  <c r="BP211" i="1"/>
  <c r="BO211" i="1"/>
  <c r="BN211" i="1"/>
  <c r="BM211" i="1"/>
  <c r="Z211" i="1"/>
  <c r="Y211" i="1"/>
  <c r="P211" i="1"/>
  <c r="BO210" i="1"/>
  <c r="BM210" i="1"/>
  <c r="Y210" i="1"/>
  <c r="BP210" i="1" s="1"/>
  <c r="P210" i="1"/>
  <c r="BP209" i="1"/>
  <c r="BO209" i="1"/>
  <c r="BN209" i="1"/>
  <c r="BM209" i="1"/>
  <c r="Z209" i="1"/>
  <c r="Y209" i="1"/>
  <c r="P209" i="1"/>
  <c r="BO208" i="1"/>
  <c r="BM208" i="1"/>
  <c r="Y208" i="1"/>
  <c r="BP208" i="1" s="1"/>
  <c r="P208" i="1"/>
  <c r="BP207" i="1"/>
  <c r="BO207" i="1"/>
  <c r="BN207" i="1"/>
  <c r="BM207" i="1"/>
  <c r="Z207" i="1"/>
  <c r="Y207" i="1"/>
  <c r="P207" i="1"/>
  <c r="BO206" i="1"/>
  <c r="BM206" i="1"/>
  <c r="Y206" i="1"/>
  <c r="BP206" i="1" s="1"/>
  <c r="P206" i="1"/>
  <c r="BP205" i="1"/>
  <c r="BO205" i="1"/>
  <c r="BN205" i="1"/>
  <c r="BM205" i="1"/>
  <c r="Z205" i="1"/>
  <c r="Y205" i="1"/>
  <c r="Y213" i="1" s="1"/>
  <c r="P205" i="1"/>
  <c r="X203" i="1"/>
  <c r="X202" i="1"/>
  <c r="BP201" i="1"/>
  <c r="BO201" i="1"/>
  <c r="BN201" i="1"/>
  <c r="BM201" i="1"/>
  <c r="Z201" i="1"/>
  <c r="Y201" i="1"/>
  <c r="P201" i="1"/>
  <c r="BO200" i="1"/>
  <c r="BM200" i="1"/>
  <c r="Y200" i="1"/>
  <c r="Y203" i="1" s="1"/>
  <c r="P200" i="1"/>
  <c r="X198" i="1"/>
  <c r="X197" i="1"/>
  <c r="BO196" i="1"/>
  <c r="BM196" i="1"/>
  <c r="Y196" i="1"/>
  <c r="BP196" i="1" s="1"/>
  <c r="P196" i="1"/>
  <c r="BP195" i="1"/>
  <c r="BO195" i="1"/>
  <c r="BN195" i="1"/>
  <c r="BM195" i="1"/>
  <c r="Z195" i="1"/>
  <c r="Y195" i="1"/>
  <c r="Y197" i="1" s="1"/>
  <c r="P195" i="1"/>
  <c r="X192" i="1"/>
  <c r="Y191" i="1"/>
  <c r="X191" i="1"/>
  <c r="BP190" i="1"/>
  <c r="BO190" i="1"/>
  <c r="BN190" i="1"/>
  <c r="BM190" i="1"/>
  <c r="Z190" i="1"/>
  <c r="Z191" i="1" s="1"/>
  <c r="Y190" i="1"/>
  <c r="Y192" i="1" s="1"/>
  <c r="P190" i="1"/>
  <c r="X188" i="1"/>
  <c r="X187" i="1"/>
  <c r="BP186" i="1"/>
  <c r="BO186" i="1"/>
  <c r="BN186" i="1"/>
  <c r="BM186" i="1"/>
  <c r="Z186" i="1"/>
  <c r="Y186" i="1"/>
  <c r="P186" i="1"/>
  <c r="BO185" i="1"/>
  <c r="BM185" i="1"/>
  <c r="Y185" i="1"/>
  <c r="BP185" i="1" s="1"/>
  <c r="P185" i="1"/>
  <c r="BP184" i="1"/>
  <c r="BO184" i="1"/>
  <c r="BN184" i="1"/>
  <c r="BM184" i="1"/>
  <c r="Z184" i="1"/>
  <c r="Y184" i="1"/>
  <c r="Y188" i="1" s="1"/>
  <c r="P184" i="1"/>
  <c r="X182" i="1"/>
  <c r="X181" i="1"/>
  <c r="BP180" i="1"/>
  <c r="BO180" i="1"/>
  <c r="BN180" i="1"/>
  <c r="BM180" i="1"/>
  <c r="Z180" i="1"/>
  <c r="Y180" i="1"/>
  <c r="P180" i="1"/>
  <c r="BO179" i="1"/>
  <c r="BM179" i="1"/>
  <c r="Y179" i="1"/>
  <c r="BP179" i="1" s="1"/>
  <c r="P179" i="1"/>
  <c r="BP178" i="1"/>
  <c r="BO178" i="1"/>
  <c r="BN178" i="1"/>
  <c r="BM178" i="1"/>
  <c r="Z178" i="1"/>
  <c r="Y178" i="1"/>
  <c r="P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P174" i="1"/>
  <c r="BO173" i="1"/>
  <c r="BM173" i="1"/>
  <c r="Y173" i="1"/>
  <c r="BP173" i="1" s="1"/>
  <c r="P173" i="1"/>
  <c r="BP172" i="1"/>
  <c r="BO172" i="1"/>
  <c r="BN172" i="1"/>
  <c r="BM172" i="1"/>
  <c r="Z172" i="1"/>
  <c r="Y172" i="1"/>
  <c r="P172" i="1"/>
  <c r="BO171" i="1"/>
  <c r="BM171" i="1"/>
  <c r="Y171" i="1"/>
  <c r="BP171" i="1" s="1"/>
  <c r="P171" i="1"/>
  <c r="BP170" i="1"/>
  <c r="BO170" i="1"/>
  <c r="BN170" i="1"/>
  <c r="BM170" i="1"/>
  <c r="Z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BP167" i="1"/>
  <c r="BO167" i="1"/>
  <c r="BN167" i="1"/>
  <c r="BM167" i="1"/>
  <c r="Z167" i="1"/>
  <c r="Y167" i="1"/>
  <c r="Y182" i="1" s="1"/>
  <c r="X165" i="1"/>
  <c r="X164" i="1"/>
  <c r="BO163" i="1"/>
  <c r="BM163" i="1"/>
  <c r="Y163" i="1"/>
  <c r="I505" i="1" s="1"/>
  <c r="P163" i="1"/>
  <c r="X159" i="1"/>
  <c r="X158" i="1"/>
  <c r="BO157" i="1"/>
  <c r="BM157" i="1"/>
  <c r="Y157" i="1"/>
  <c r="Y158" i="1" s="1"/>
  <c r="P157" i="1"/>
  <c r="X155" i="1"/>
  <c r="X154" i="1"/>
  <c r="BO153" i="1"/>
  <c r="BM153" i="1"/>
  <c r="Y153" i="1"/>
  <c r="BP153" i="1" s="1"/>
  <c r="P153" i="1"/>
  <c r="BP152" i="1"/>
  <c r="BO152" i="1"/>
  <c r="BN152" i="1"/>
  <c r="BM152" i="1"/>
  <c r="Z152" i="1"/>
  <c r="Y152" i="1"/>
  <c r="P152" i="1"/>
  <c r="BO151" i="1"/>
  <c r="BM151" i="1"/>
  <c r="Y151" i="1"/>
  <c r="BP151" i="1" s="1"/>
  <c r="P151" i="1"/>
  <c r="BP150" i="1"/>
  <c r="BO150" i="1"/>
  <c r="BN150" i="1"/>
  <c r="BM150" i="1"/>
  <c r="Z150" i="1"/>
  <c r="Y150" i="1"/>
  <c r="P150" i="1"/>
  <c r="BO149" i="1"/>
  <c r="BM149" i="1"/>
  <c r="Y149" i="1"/>
  <c r="BP149" i="1" s="1"/>
  <c r="P149" i="1"/>
  <c r="BP148" i="1"/>
  <c r="BO148" i="1"/>
  <c r="BN148" i="1"/>
  <c r="BM148" i="1"/>
  <c r="Z148" i="1"/>
  <c r="Y148" i="1"/>
  <c r="Y154" i="1" s="1"/>
  <c r="P148" i="1"/>
  <c r="X146" i="1"/>
  <c r="X145" i="1"/>
  <c r="BP144" i="1"/>
  <c r="BO144" i="1"/>
  <c r="BN144" i="1"/>
  <c r="BM144" i="1"/>
  <c r="Z144" i="1"/>
  <c r="Y144" i="1"/>
  <c r="P144" i="1"/>
  <c r="BO143" i="1"/>
  <c r="BM143" i="1"/>
  <c r="Y143" i="1"/>
  <c r="H505" i="1" s="1"/>
  <c r="P143" i="1"/>
  <c r="X140" i="1"/>
  <c r="X139" i="1"/>
  <c r="BO138" i="1"/>
  <c r="BM138" i="1"/>
  <c r="Y138" i="1"/>
  <c r="BP138" i="1" s="1"/>
  <c r="P138" i="1"/>
  <c r="BP137" i="1"/>
  <c r="BO137" i="1"/>
  <c r="BN137" i="1"/>
  <c r="BM137" i="1"/>
  <c r="Z137" i="1"/>
  <c r="Y137" i="1"/>
  <c r="Y139" i="1" s="1"/>
  <c r="P137" i="1"/>
  <c r="X135" i="1"/>
  <c r="X134" i="1"/>
  <c r="BP133" i="1"/>
  <c r="BO133" i="1"/>
  <c r="BN133" i="1"/>
  <c r="BM133" i="1"/>
  <c r="Z133" i="1"/>
  <c r="Y133" i="1"/>
  <c r="P133" i="1"/>
  <c r="BO132" i="1"/>
  <c r="BM132" i="1"/>
  <c r="Y132" i="1"/>
  <c r="Y135" i="1" s="1"/>
  <c r="P132" i="1"/>
  <c r="X130" i="1"/>
  <c r="X129" i="1"/>
  <c r="BO128" i="1"/>
  <c r="BM128" i="1"/>
  <c r="Y128" i="1"/>
  <c r="BP128" i="1" s="1"/>
  <c r="P128" i="1"/>
  <c r="BP127" i="1"/>
  <c r="BO127" i="1"/>
  <c r="BN127" i="1"/>
  <c r="BM127" i="1"/>
  <c r="Z127" i="1"/>
  <c r="Y127" i="1"/>
  <c r="P127" i="1"/>
  <c r="X124" i="1"/>
  <c r="Y123" i="1"/>
  <c r="X123" i="1"/>
  <c r="BP122" i="1"/>
  <c r="BO122" i="1"/>
  <c r="BN122" i="1"/>
  <c r="BM122" i="1"/>
  <c r="Z122" i="1"/>
  <c r="Z123" i="1" s="1"/>
  <c r="Y122" i="1"/>
  <c r="Y124" i="1" s="1"/>
  <c r="P122" i="1"/>
  <c r="X120" i="1"/>
  <c r="X119" i="1"/>
  <c r="BP118" i="1"/>
  <c r="BO118" i="1"/>
  <c r="BN118" i="1"/>
  <c r="BM118" i="1"/>
  <c r="Z118" i="1"/>
  <c r="Y118" i="1"/>
  <c r="P118" i="1"/>
  <c r="BO117" i="1"/>
  <c r="BM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Y115" i="1"/>
  <c r="Y120" i="1" s="1"/>
  <c r="P115" i="1"/>
  <c r="X113" i="1"/>
  <c r="X112" i="1"/>
  <c r="BO111" i="1"/>
  <c r="BM111" i="1"/>
  <c r="Y111" i="1"/>
  <c r="BP111" i="1" s="1"/>
  <c r="P111" i="1"/>
  <c r="BP110" i="1"/>
  <c r="BO110" i="1"/>
  <c r="BN110" i="1"/>
  <c r="BM110" i="1"/>
  <c r="Z110" i="1"/>
  <c r="Y110" i="1"/>
  <c r="P110" i="1"/>
  <c r="BO109" i="1"/>
  <c r="BM109" i="1"/>
  <c r="Y109" i="1"/>
  <c r="BP109" i="1" s="1"/>
  <c r="P109" i="1"/>
  <c r="BP108" i="1"/>
  <c r="BO108" i="1"/>
  <c r="BN108" i="1"/>
  <c r="BM108" i="1"/>
  <c r="Z108" i="1"/>
  <c r="Y108" i="1"/>
  <c r="Y112" i="1" s="1"/>
  <c r="P108" i="1"/>
  <c r="X106" i="1"/>
  <c r="X105" i="1"/>
  <c r="BP104" i="1"/>
  <c r="BO104" i="1"/>
  <c r="BN104" i="1"/>
  <c r="BM104" i="1"/>
  <c r="Z104" i="1"/>
  <c r="Y104" i="1"/>
  <c r="P104" i="1"/>
  <c r="BO103" i="1"/>
  <c r="BM103" i="1"/>
  <c r="Y103" i="1"/>
  <c r="BP103" i="1" s="1"/>
  <c r="P103" i="1"/>
  <c r="BP102" i="1"/>
  <c r="BO102" i="1"/>
  <c r="BN102" i="1"/>
  <c r="BM102" i="1"/>
  <c r="Z102" i="1"/>
  <c r="Y102" i="1"/>
  <c r="P102" i="1"/>
  <c r="BO101" i="1"/>
  <c r="BM101" i="1"/>
  <c r="Y101" i="1"/>
  <c r="BP101" i="1" s="1"/>
  <c r="P101" i="1"/>
  <c r="BP100" i="1"/>
  <c r="BO100" i="1"/>
  <c r="BN100" i="1"/>
  <c r="BM100" i="1"/>
  <c r="Z100" i="1"/>
  <c r="Y100" i="1"/>
  <c r="F505" i="1" s="1"/>
  <c r="P100" i="1"/>
  <c r="X97" i="1"/>
  <c r="X96" i="1"/>
  <c r="BP95" i="1"/>
  <c r="BO95" i="1"/>
  <c r="BN95" i="1"/>
  <c r="BM95" i="1"/>
  <c r="Z95" i="1"/>
  <c r="Y95" i="1"/>
  <c r="P95" i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Y92" i="1"/>
  <c r="Y97" i="1" s="1"/>
  <c r="P92" i="1"/>
  <c r="X90" i="1"/>
  <c r="X89" i="1"/>
  <c r="BO88" i="1"/>
  <c r="BM88" i="1"/>
  <c r="Y88" i="1"/>
  <c r="P88" i="1"/>
  <c r="BP87" i="1"/>
  <c r="BO87" i="1"/>
  <c r="BN87" i="1"/>
  <c r="BM87" i="1"/>
  <c r="Z87" i="1"/>
  <c r="Y87" i="1"/>
  <c r="P87" i="1"/>
  <c r="BO86" i="1"/>
  <c r="BM86" i="1"/>
  <c r="Y86" i="1"/>
  <c r="P86" i="1"/>
  <c r="BP85" i="1"/>
  <c r="BO85" i="1"/>
  <c r="BN85" i="1"/>
  <c r="BM85" i="1"/>
  <c r="Z85" i="1"/>
  <c r="Y85" i="1"/>
  <c r="P85" i="1"/>
  <c r="X82" i="1"/>
  <c r="X81" i="1"/>
  <c r="BP80" i="1"/>
  <c r="BO80" i="1"/>
  <c r="BN80" i="1"/>
  <c r="BM80" i="1"/>
  <c r="Z80" i="1"/>
  <c r="Y80" i="1"/>
  <c r="P80" i="1"/>
  <c r="BO79" i="1"/>
  <c r="BM79" i="1"/>
  <c r="Y79" i="1"/>
  <c r="P79" i="1"/>
  <c r="X77" i="1"/>
  <c r="X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BP72" i="1"/>
  <c r="BO72" i="1"/>
  <c r="BN72" i="1"/>
  <c r="BM72" i="1"/>
  <c r="Z72" i="1"/>
  <c r="Y72" i="1"/>
  <c r="Y76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P67" i="1"/>
  <c r="X65" i="1"/>
  <c r="X64" i="1"/>
  <c r="BO63" i="1"/>
  <c r="BM63" i="1"/>
  <c r="Y63" i="1"/>
  <c r="P63" i="1"/>
  <c r="BP62" i="1"/>
  <c r="BO62" i="1"/>
  <c r="BN62" i="1"/>
  <c r="BM62" i="1"/>
  <c r="Z62" i="1"/>
  <c r="Y62" i="1"/>
  <c r="P62" i="1"/>
  <c r="BO61" i="1"/>
  <c r="BM61" i="1"/>
  <c r="Y61" i="1"/>
  <c r="P61" i="1"/>
  <c r="X59" i="1"/>
  <c r="X58" i="1"/>
  <c r="BO57" i="1"/>
  <c r="BM57" i="1"/>
  <c r="Y57" i="1"/>
  <c r="P57" i="1"/>
  <c r="BP56" i="1"/>
  <c r="BO56" i="1"/>
  <c r="BN56" i="1"/>
  <c r="BM56" i="1"/>
  <c r="Z56" i="1"/>
  <c r="Y56" i="1"/>
  <c r="P56" i="1"/>
  <c r="BO55" i="1"/>
  <c r="BM55" i="1"/>
  <c r="Y55" i="1"/>
  <c r="P55" i="1"/>
  <c r="BP54" i="1"/>
  <c r="BO54" i="1"/>
  <c r="BN54" i="1"/>
  <c r="BM54" i="1"/>
  <c r="Z54" i="1"/>
  <c r="Y54" i="1"/>
  <c r="P54" i="1"/>
  <c r="BO53" i="1"/>
  <c r="BM53" i="1"/>
  <c r="Y53" i="1"/>
  <c r="P53" i="1"/>
  <c r="BP52" i="1"/>
  <c r="BO52" i="1"/>
  <c r="BN52" i="1"/>
  <c r="BM52" i="1"/>
  <c r="Z52" i="1"/>
  <c r="Y52" i="1"/>
  <c r="P52" i="1"/>
  <c r="X49" i="1"/>
  <c r="Y48" i="1"/>
  <c r="X48" i="1"/>
  <c r="BP47" i="1"/>
  <c r="BO47" i="1"/>
  <c r="BN47" i="1"/>
  <c r="BM47" i="1"/>
  <c r="Z47" i="1"/>
  <c r="Z48" i="1" s="1"/>
  <c r="Y47" i="1"/>
  <c r="Y49" i="1" s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P30" i="1"/>
  <c r="BP29" i="1"/>
  <c r="BO29" i="1"/>
  <c r="BN29" i="1"/>
  <c r="BM29" i="1"/>
  <c r="Z29" i="1"/>
  <c r="Y29" i="1"/>
  <c r="P29" i="1"/>
  <c r="BO28" i="1"/>
  <c r="BM28" i="1"/>
  <c r="Y28" i="1"/>
  <c r="P28" i="1"/>
  <c r="BP27" i="1"/>
  <c r="BO27" i="1"/>
  <c r="BN27" i="1"/>
  <c r="BM27" i="1"/>
  <c r="Z27" i="1"/>
  <c r="Y27" i="1"/>
  <c r="P27" i="1"/>
  <c r="X25" i="1"/>
  <c r="X495" i="1" s="1"/>
  <c r="Y24" i="1"/>
  <c r="X24" i="1"/>
  <c r="BP23" i="1"/>
  <c r="BO23" i="1"/>
  <c r="BN23" i="1"/>
  <c r="BM23" i="1"/>
  <c r="Z23" i="1"/>
  <c r="Y23" i="1"/>
  <c r="P23" i="1"/>
  <c r="BO22" i="1"/>
  <c r="BM22" i="1"/>
  <c r="X496" i="1" s="1"/>
  <c r="Y22" i="1"/>
  <c r="P22" i="1"/>
  <c r="H10" i="1"/>
  <c r="A9" i="1"/>
  <c r="D7" i="1"/>
  <c r="Q6" i="1"/>
  <c r="P2" i="1"/>
  <c r="BP28" i="1" l="1"/>
  <c r="BN28" i="1"/>
  <c r="Z28" i="1"/>
  <c r="Z32" i="1" s="1"/>
  <c r="Y32" i="1"/>
  <c r="Y499" i="1" s="1"/>
  <c r="BP42" i="1"/>
  <c r="BN42" i="1"/>
  <c r="Z42" i="1"/>
  <c r="Z44" i="1" s="1"/>
  <c r="BP55" i="1"/>
  <c r="BN55" i="1"/>
  <c r="Z55" i="1"/>
  <c r="BP63" i="1"/>
  <c r="BN63" i="1"/>
  <c r="Z63" i="1"/>
  <c r="Y65" i="1"/>
  <c r="Y70" i="1"/>
  <c r="BP67" i="1"/>
  <c r="BN67" i="1"/>
  <c r="Z67" i="1"/>
  <c r="Z69" i="1" s="1"/>
  <c r="BP75" i="1"/>
  <c r="BN75" i="1"/>
  <c r="Z75" i="1"/>
  <c r="Y77" i="1"/>
  <c r="Y82" i="1"/>
  <c r="BP79" i="1"/>
  <c r="BN79" i="1"/>
  <c r="Z79" i="1"/>
  <c r="Z81" i="1" s="1"/>
  <c r="BP88" i="1"/>
  <c r="BN88" i="1"/>
  <c r="Z88" i="1"/>
  <c r="F10" i="1"/>
  <c r="J9" i="1"/>
  <c r="F9" i="1"/>
  <c r="A10" i="1"/>
  <c r="H9" i="1"/>
  <c r="Y25" i="1"/>
  <c r="BP22" i="1"/>
  <c r="BN22" i="1"/>
  <c r="Z22" i="1"/>
  <c r="Z24" i="1" s="1"/>
  <c r="B505" i="1"/>
  <c r="X497" i="1"/>
  <c r="X498" i="1" s="1"/>
  <c r="Y33" i="1"/>
  <c r="BP30" i="1"/>
  <c r="BN30" i="1"/>
  <c r="Z30" i="1"/>
  <c r="Y44" i="1"/>
  <c r="BP53" i="1"/>
  <c r="BN53" i="1"/>
  <c r="Z53" i="1"/>
  <c r="Z58" i="1" s="1"/>
  <c r="BP57" i="1"/>
  <c r="BN57" i="1"/>
  <c r="Z57" i="1"/>
  <c r="Y59" i="1"/>
  <c r="Y64" i="1"/>
  <c r="BP61" i="1"/>
  <c r="BN61" i="1"/>
  <c r="Z61" i="1"/>
  <c r="Z64" i="1" s="1"/>
  <c r="Y69" i="1"/>
  <c r="BP73" i="1"/>
  <c r="BN73" i="1"/>
  <c r="Z73" i="1"/>
  <c r="Z76" i="1" s="1"/>
  <c r="Y81" i="1"/>
  <c r="BP86" i="1"/>
  <c r="BN86" i="1"/>
  <c r="Z86" i="1"/>
  <c r="Z89" i="1" s="1"/>
  <c r="Y90" i="1"/>
  <c r="Z294" i="1"/>
  <c r="Y96" i="1"/>
  <c r="Y105" i="1"/>
  <c r="Y113" i="1"/>
  <c r="Y119" i="1"/>
  <c r="Y130" i="1"/>
  <c r="Y134" i="1"/>
  <c r="Y140" i="1"/>
  <c r="Y145" i="1"/>
  <c r="Y155" i="1"/>
  <c r="Y159" i="1"/>
  <c r="Y165" i="1"/>
  <c r="Y181" i="1"/>
  <c r="Y187" i="1"/>
  <c r="Y198" i="1"/>
  <c r="Y202" i="1"/>
  <c r="Y214" i="1"/>
  <c r="Y226" i="1"/>
  <c r="Y230" i="1"/>
  <c r="Y243" i="1"/>
  <c r="Y259" i="1"/>
  <c r="BP275" i="1"/>
  <c r="BN275" i="1"/>
  <c r="Z275" i="1"/>
  <c r="Y277" i="1"/>
  <c r="Y283" i="1"/>
  <c r="BP280" i="1"/>
  <c r="BN280" i="1"/>
  <c r="Z280" i="1"/>
  <c r="BP293" i="1"/>
  <c r="BN293" i="1"/>
  <c r="Z293" i="1"/>
  <c r="Y295" i="1"/>
  <c r="Q505" i="1"/>
  <c r="Y303" i="1"/>
  <c r="BP298" i="1"/>
  <c r="BN298" i="1"/>
  <c r="Z298" i="1"/>
  <c r="BP302" i="1"/>
  <c r="BN302" i="1"/>
  <c r="Z302" i="1"/>
  <c r="Y304" i="1"/>
  <c r="Y313" i="1"/>
  <c r="BP306" i="1"/>
  <c r="BN306" i="1"/>
  <c r="Z306" i="1"/>
  <c r="BP310" i="1"/>
  <c r="BN310" i="1"/>
  <c r="Z310" i="1"/>
  <c r="BP318" i="1"/>
  <c r="BN318" i="1"/>
  <c r="Z318" i="1"/>
  <c r="Y320" i="1"/>
  <c r="Y325" i="1"/>
  <c r="BP322" i="1"/>
  <c r="BN322" i="1"/>
  <c r="Z322" i="1"/>
  <c r="BP330" i="1"/>
  <c r="BN330" i="1"/>
  <c r="Z330" i="1"/>
  <c r="Z345" i="1"/>
  <c r="BP343" i="1"/>
  <c r="BN343" i="1"/>
  <c r="Z343" i="1"/>
  <c r="BP353" i="1"/>
  <c r="BN353" i="1"/>
  <c r="Z353" i="1"/>
  <c r="Y357" i="1"/>
  <c r="BP361" i="1"/>
  <c r="BN361" i="1"/>
  <c r="Z361" i="1"/>
  <c r="Z362" i="1" s="1"/>
  <c r="Y363" i="1"/>
  <c r="Y368" i="1"/>
  <c r="BP365" i="1"/>
  <c r="BN365" i="1"/>
  <c r="Z365" i="1"/>
  <c r="Z367" i="1" s="1"/>
  <c r="Z388" i="1"/>
  <c r="BP386" i="1"/>
  <c r="BN386" i="1"/>
  <c r="Z386" i="1"/>
  <c r="BP396" i="1"/>
  <c r="BN396" i="1"/>
  <c r="Z396" i="1"/>
  <c r="BP400" i="1"/>
  <c r="BN400" i="1"/>
  <c r="Z400" i="1"/>
  <c r="BP417" i="1"/>
  <c r="BN417" i="1"/>
  <c r="Z417" i="1"/>
  <c r="BP453" i="1"/>
  <c r="BN453" i="1"/>
  <c r="Z453" i="1"/>
  <c r="BP467" i="1"/>
  <c r="BN467" i="1"/>
  <c r="Z467" i="1"/>
  <c r="J505" i="1"/>
  <c r="S505" i="1"/>
  <c r="X499" i="1"/>
  <c r="C505" i="1"/>
  <c r="Y45" i="1"/>
  <c r="D505" i="1"/>
  <c r="Y58" i="1"/>
  <c r="E505" i="1"/>
  <c r="Y89" i="1"/>
  <c r="Z92" i="1"/>
  <c r="BN92" i="1"/>
  <c r="BP92" i="1"/>
  <c r="Z94" i="1"/>
  <c r="BN94" i="1"/>
  <c r="Z101" i="1"/>
  <c r="Z105" i="1" s="1"/>
  <c r="BN101" i="1"/>
  <c r="Z103" i="1"/>
  <c r="BN103" i="1"/>
  <c r="Y106" i="1"/>
  <c r="Z109" i="1"/>
  <c r="Z112" i="1" s="1"/>
  <c r="BN109" i="1"/>
  <c r="Z111" i="1"/>
  <c r="BN111" i="1"/>
  <c r="Z115" i="1"/>
  <c r="BN115" i="1"/>
  <c r="BP115" i="1"/>
  <c r="Z117" i="1"/>
  <c r="BN117" i="1"/>
  <c r="G505" i="1"/>
  <c r="Z128" i="1"/>
  <c r="Z129" i="1" s="1"/>
  <c r="BN128" i="1"/>
  <c r="Y129" i="1"/>
  <c r="Z132" i="1"/>
  <c r="Z134" i="1" s="1"/>
  <c r="BN132" i="1"/>
  <c r="BP132" i="1"/>
  <c r="Z138" i="1"/>
  <c r="Z139" i="1" s="1"/>
  <c r="BN138" i="1"/>
  <c r="Z143" i="1"/>
  <c r="Z145" i="1" s="1"/>
  <c r="BN143" i="1"/>
  <c r="BP143" i="1"/>
  <c r="Y146" i="1"/>
  <c r="Z149" i="1"/>
  <c r="Z154" i="1" s="1"/>
  <c r="BN149" i="1"/>
  <c r="Z151" i="1"/>
  <c r="BN151" i="1"/>
  <c r="Z153" i="1"/>
  <c r="BN153" i="1"/>
  <c r="Z157" i="1"/>
  <c r="Z158" i="1" s="1"/>
  <c r="BN157" i="1"/>
  <c r="BP157" i="1"/>
  <c r="Z163" i="1"/>
  <c r="Z164" i="1" s="1"/>
  <c r="BN163" i="1"/>
  <c r="BP163" i="1"/>
  <c r="Y164" i="1"/>
  <c r="Z169" i="1"/>
  <c r="Z181" i="1" s="1"/>
  <c r="BN169" i="1"/>
  <c r="Z171" i="1"/>
  <c r="BN171" i="1"/>
  <c r="Z173" i="1"/>
  <c r="BN173" i="1"/>
  <c r="Z175" i="1"/>
  <c r="BN175" i="1"/>
  <c r="Z177" i="1"/>
  <c r="BN177" i="1"/>
  <c r="Z179" i="1"/>
  <c r="BN179" i="1"/>
  <c r="Z185" i="1"/>
  <c r="Z187" i="1" s="1"/>
  <c r="BN185" i="1"/>
  <c r="Z196" i="1"/>
  <c r="Z197" i="1" s="1"/>
  <c r="BN196" i="1"/>
  <c r="Z200" i="1"/>
  <c r="Z202" i="1" s="1"/>
  <c r="BN200" i="1"/>
  <c r="BP200" i="1"/>
  <c r="Z206" i="1"/>
  <c r="Z213" i="1" s="1"/>
  <c r="BN206" i="1"/>
  <c r="Z208" i="1"/>
  <c r="BN208" i="1"/>
  <c r="Z210" i="1"/>
  <c r="BN210" i="1"/>
  <c r="Z212" i="1"/>
  <c r="BN212" i="1"/>
  <c r="Z216" i="1"/>
  <c r="BN216" i="1"/>
  <c r="BP216" i="1"/>
  <c r="Z218" i="1"/>
  <c r="BN218" i="1"/>
  <c r="Z220" i="1"/>
  <c r="BN220" i="1"/>
  <c r="Z222" i="1"/>
  <c r="BN222" i="1"/>
  <c r="Z224" i="1"/>
  <c r="BN224" i="1"/>
  <c r="Z228" i="1"/>
  <c r="Z230" i="1" s="1"/>
  <c r="BN228" i="1"/>
  <c r="BP228" i="1"/>
  <c r="K505" i="1"/>
  <c r="Z235" i="1"/>
  <c r="Z243" i="1" s="1"/>
  <c r="BN235" i="1"/>
  <c r="Z237" i="1"/>
  <c r="BN237" i="1"/>
  <c r="Z239" i="1"/>
  <c r="BN239" i="1"/>
  <c r="Z241" i="1"/>
  <c r="BN241" i="1"/>
  <c r="Y244" i="1"/>
  <c r="Z255" i="1"/>
  <c r="Z259" i="1" s="1"/>
  <c r="BN255" i="1"/>
  <c r="Z257" i="1"/>
  <c r="BN257" i="1"/>
  <c r="L505" i="1"/>
  <c r="Y269" i="1"/>
  <c r="Z264" i="1"/>
  <c r="Z268" i="1" s="1"/>
  <c r="BN264" i="1"/>
  <c r="Z266" i="1"/>
  <c r="BN266" i="1"/>
  <c r="Y268" i="1"/>
  <c r="BP273" i="1"/>
  <c r="BN273" i="1"/>
  <c r="Z273" i="1"/>
  <c r="Z276" i="1" s="1"/>
  <c r="BP282" i="1"/>
  <c r="BN282" i="1"/>
  <c r="Z282" i="1"/>
  <c r="Y284" i="1"/>
  <c r="P505" i="1"/>
  <c r="Y290" i="1"/>
  <c r="BP287" i="1"/>
  <c r="BN287" i="1"/>
  <c r="Z287" i="1"/>
  <c r="Z289" i="1" s="1"/>
  <c r="Y294" i="1"/>
  <c r="BP300" i="1"/>
  <c r="BN300" i="1"/>
  <c r="Z300" i="1"/>
  <c r="BP308" i="1"/>
  <c r="BN308" i="1"/>
  <c r="Z308" i="1"/>
  <c r="Y312" i="1"/>
  <c r="BP316" i="1"/>
  <c r="BN316" i="1"/>
  <c r="Z316" i="1"/>
  <c r="Z319" i="1" s="1"/>
  <c r="BP324" i="1"/>
  <c r="BN324" i="1"/>
  <c r="Z324" i="1"/>
  <c r="Y326" i="1"/>
  <c r="Y333" i="1"/>
  <c r="BP328" i="1"/>
  <c r="BN328" i="1"/>
  <c r="Z328" i="1"/>
  <c r="Z332" i="1" s="1"/>
  <c r="Y332" i="1"/>
  <c r="Z338" i="1"/>
  <c r="BP336" i="1"/>
  <c r="BN336" i="1"/>
  <c r="Z336" i="1"/>
  <c r="Y345" i="1"/>
  <c r="BP351" i="1"/>
  <c r="BN351" i="1"/>
  <c r="Z351" i="1"/>
  <c r="Z357" i="1" s="1"/>
  <c r="BP355" i="1"/>
  <c r="BN355" i="1"/>
  <c r="Z355" i="1"/>
  <c r="Y362" i="1"/>
  <c r="Y367" i="1"/>
  <c r="BP376" i="1"/>
  <c r="BN376" i="1"/>
  <c r="Z376" i="1"/>
  <c r="Z377" i="1" s="1"/>
  <c r="Y378" i="1"/>
  <c r="Y383" i="1"/>
  <c r="BP380" i="1"/>
  <c r="BN380" i="1"/>
  <c r="Z380" i="1"/>
  <c r="Z382" i="1" s="1"/>
  <c r="Y389" i="1"/>
  <c r="Y388" i="1"/>
  <c r="BP394" i="1"/>
  <c r="BN394" i="1"/>
  <c r="Z394" i="1"/>
  <c r="BP398" i="1"/>
  <c r="BN398" i="1"/>
  <c r="Z398" i="1"/>
  <c r="Z402" i="1" s="1"/>
  <c r="Y402" i="1"/>
  <c r="BP406" i="1"/>
  <c r="BN406" i="1"/>
  <c r="Z406" i="1"/>
  <c r="Z407" i="1" s="1"/>
  <c r="Y408" i="1"/>
  <c r="V505" i="1"/>
  <c r="Y412" i="1"/>
  <c r="BP411" i="1"/>
  <c r="BN411" i="1"/>
  <c r="Z411" i="1"/>
  <c r="Z412" i="1" s="1"/>
  <c r="Y413" i="1"/>
  <c r="Y420" i="1"/>
  <c r="BP415" i="1"/>
  <c r="BN415" i="1"/>
  <c r="Z415" i="1"/>
  <c r="Z419" i="1" s="1"/>
  <c r="Y419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BP445" i="1"/>
  <c r="BN445" i="1"/>
  <c r="Z445" i="1"/>
  <c r="Z447" i="1" s="1"/>
  <c r="Y447" i="1"/>
  <c r="BP487" i="1"/>
  <c r="BN487" i="1"/>
  <c r="Z487" i="1"/>
  <c r="Z488" i="1" s="1"/>
  <c r="Y489" i="1"/>
  <c r="Z505" i="1"/>
  <c r="Y493" i="1"/>
  <c r="BP492" i="1"/>
  <c r="BN492" i="1"/>
  <c r="Z492" i="1"/>
  <c r="Z493" i="1" s="1"/>
  <c r="Y494" i="1"/>
  <c r="O505" i="1"/>
  <c r="M505" i="1"/>
  <c r="Y276" i="1"/>
  <c r="R505" i="1"/>
  <c r="Y346" i="1"/>
  <c r="T505" i="1"/>
  <c r="Y377" i="1"/>
  <c r="Y403" i="1"/>
  <c r="BP431" i="1"/>
  <c r="BN431" i="1"/>
  <c r="Z431" i="1"/>
  <c r="BP435" i="1"/>
  <c r="BN435" i="1"/>
  <c r="Z435" i="1"/>
  <c r="BP439" i="1"/>
  <c r="BN439" i="1"/>
  <c r="Z439" i="1"/>
  <c r="Y448" i="1"/>
  <c r="BP451" i="1"/>
  <c r="BN451" i="1"/>
  <c r="Z451" i="1"/>
  <c r="Z456" i="1" s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Z469" i="1" s="1"/>
  <c r="Y469" i="1"/>
  <c r="BP473" i="1"/>
  <c r="BN473" i="1"/>
  <c r="Z473" i="1"/>
  <c r="Z474" i="1" s="1"/>
  <c r="Y475" i="1"/>
  <c r="Y480" i="1"/>
  <c r="BP477" i="1"/>
  <c r="BN477" i="1"/>
  <c r="Z477" i="1"/>
  <c r="Z479" i="1" s="1"/>
  <c r="Y488" i="1"/>
  <c r="Y505" i="1"/>
  <c r="Z441" i="1" l="1"/>
  <c r="Z225" i="1"/>
  <c r="Z119" i="1"/>
  <c r="Z96" i="1"/>
  <c r="Z312" i="1"/>
  <c r="Z303" i="1"/>
  <c r="Y496" i="1"/>
  <c r="Y495" i="1"/>
  <c r="Z325" i="1"/>
  <c r="Z283" i="1"/>
  <c r="Z500" i="1"/>
  <c r="Y497" i="1"/>
  <c r="Y498" i="1" l="1"/>
</calcChain>
</file>

<file path=xl/sharedStrings.xml><?xml version="1.0" encoding="utf-8"?>
<sst xmlns="http://schemas.openxmlformats.org/spreadsheetml/2006/main" count="2294" uniqueCount="781">
  <si>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</si>
  <si>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</si>
  <si>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</si>
  <si>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</si>
  <si>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</si>
  <si>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</si>
  <si>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</si>
  <si>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</si>
  <si>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</si>
  <si>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</si>
  <si>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</si>
  <si>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</si>
  <si>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</si>
  <si>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</si>
  <si>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</si>
  <si>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</si>
  <si>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</si>
  <si>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</si>
  <si>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</si>
  <si>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</si>
  <si>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</si>
  <si>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</si>
  <si>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</si>
  <si>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</si>
  <si>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</si>
  <si>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</si>
  <si>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</si>
  <si>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</si>
  <si>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</si>
  <si>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</si>
  <si>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</si>
  <si>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</si>
  <si>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</si>
  <si>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</si>
  <si>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</si>
  <si>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</si>
  <si>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</si>
  <si>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</si>
  <si>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</si>
  <si>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</si>
  <si>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</si>
  <si>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</si>
  <si>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</si>
  <si>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</si>
  <si>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</si>
  <si>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</si>
  <si>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</si>
  <si>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</si>
  <si>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</si>
  <si>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</si>
  <si>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</si>
  <si>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</si>
  <si>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</si>
  <si>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</si>
  <si>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</si>
  <si>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</si>
  <si>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</si>
  <si>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</si>
  <si>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</si>
  <si>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</si>
  <si>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</si>
  <si>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</si>
  <si>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</si>
  <si>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</si>
  <si>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</si>
  <si>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</si>
  <si>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</si>
  <si>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</si>
  <si>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</si>
  <si>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</si>
  <si>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</si>
  <si>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</si>
  <si>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</si>
  <si>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</si>
  <si>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</si>
  <si>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</si>
  <si>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</si>
  <si>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</si>
  <si>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</si>
  <si>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</si>
  <si>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</si>
  <si>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</si>
  <si>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</si>
  <si>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</si>
  <si>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</si>
  <si>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</si>
  <si>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</si>
  <si>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</si>
  <si>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</si>
  <si>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</si>
  <si>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</si>
  <si>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</si>
  <si>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</si>
  <si>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</si>
  <si>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</si>
  <si>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</si>
  <si>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</si>
  <si>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</si>
  <si>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</si>
  <si>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</si>
  <si>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</si>
  <si>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</si>
  <si>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</si>
  <si>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</si>
  <si>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</si>
  <si>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</si>
  <si>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</si>
  <si>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</si>
  <si>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</si>
  <si>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</si>
  <si>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</si>
  <si>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</si>
  <si>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Короб, мин. 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</si>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</sst>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5"/>
  <sheetViews>
    <sheetView showGridLines="0" tabSelected="1" topLeftCell="A473" zoomScaleNormal="100" zoomScaleSheetLayoutView="100" workbookViewId="0">
      <selection activeCell="AA501" sqref="AA501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36" t="s">
        <v>0</v>
      </c>
      <c r="E1" s="588"/>
      <c r="F1" s="588"/>
      <c r="G1" s="12" t="s">
        <v>1</v>
      </c>
      <c r="H1" s="636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3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683" t="s">
        <v>8</v>
      </c>
      <c r="B5" s="684"/>
      <c r="C5" s="685"/>
      <c r="D5" s="641"/>
      <c r="E5" s="642"/>
      <c r="F5" s="847" t="s">
        <v>9</v>
      </c>
      <c r="G5" s="685"/>
      <c r="H5" s="641"/>
      <c r="I5" s="800"/>
      <c r="J5" s="800"/>
      <c r="K5" s="800"/>
      <c r="L5" s="800"/>
      <c r="M5" s="642"/>
      <c r="N5" s="58"/>
      <c r="P5" s="24" t="s">
        <v>10</v>
      </c>
      <c r="Q5" s="861">
        <v>46025</v>
      </c>
      <c r="R5" s="682"/>
      <c r="T5" s="732" t="s">
        <v>11</v>
      </c>
      <c r="U5" s="733"/>
      <c r="V5" s="734" t="s">
        <v>12</v>
      </c>
      <c r="W5" s="682"/>
      <c r="AB5" s="51"/>
      <c r="AC5" s="51"/>
      <c r="AD5" s="51"/>
      <c r="AE5" s="51"/>
    </row>
    <row r="6" spans="1:32" s="547" customFormat="1" ht="24" customHeight="1" x14ac:dyDescent="0.2">
      <c r="A6" s="683" t="s">
        <v>13</v>
      </c>
      <c r="B6" s="684"/>
      <c r="C6" s="685"/>
      <c r="D6" s="802" t="s">
        <v>14</v>
      </c>
      <c r="E6" s="803"/>
      <c r="F6" s="803"/>
      <c r="G6" s="803"/>
      <c r="H6" s="803"/>
      <c r="I6" s="803"/>
      <c r="J6" s="803"/>
      <c r="K6" s="803"/>
      <c r="L6" s="803"/>
      <c r="M6" s="682"/>
      <c r="N6" s="59"/>
      <c r="P6" s="24" t="s">
        <v>15</v>
      </c>
      <c r="Q6" s="869" t="str">
        <f>IF(Q5=0," ",CHOOSE(WEEKDAY(Q5,2),"Понедельник","Вторник","Среда","Четверг","Пятница","Суббота","Воскресенье"))</f>
        <v>Суббота</v>
      </c>
      <c r="R6" s="561"/>
      <c r="T6" s="739" t="s">
        <v>16</v>
      </c>
      <c r="U6" s="733"/>
      <c r="V6" s="787" t="s">
        <v>17</v>
      </c>
      <c r="W6" s="602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13" t="str">
        <f>IFERROR(VLOOKUP(DeliveryAddress,Table,3,0),1)</f>
        <v>1</v>
      </c>
      <c r="E7" s="614"/>
      <c r="F7" s="614"/>
      <c r="G7" s="614"/>
      <c r="H7" s="614"/>
      <c r="I7" s="614"/>
      <c r="J7" s="614"/>
      <c r="K7" s="614"/>
      <c r="L7" s="614"/>
      <c r="M7" s="615"/>
      <c r="N7" s="60"/>
      <c r="P7" s="24"/>
      <c r="Q7" s="42"/>
      <c r="R7" s="42"/>
      <c r="T7" s="568"/>
      <c r="U7" s="733"/>
      <c r="V7" s="788"/>
      <c r="W7" s="789"/>
      <c r="AB7" s="51"/>
      <c r="AC7" s="51"/>
      <c r="AD7" s="51"/>
      <c r="AE7" s="51"/>
    </row>
    <row r="8" spans="1:32" s="547" customFormat="1" ht="25.5" customHeight="1" x14ac:dyDescent="0.2">
      <c r="A8" s="880" t="s">
        <v>18</v>
      </c>
      <c r="B8" s="573"/>
      <c r="C8" s="574"/>
      <c r="D8" s="624" t="s">
        <v>19</v>
      </c>
      <c r="E8" s="625"/>
      <c r="F8" s="625"/>
      <c r="G8" s="625"/>
      <c r="H8" s="625"/>
      <c r="I8" s="625"/>
      <c r="J8" s="625"/>
      <c r="K8" s="625"/>
      <c r="L8" s="625"/>
      <c r="M8" s="626"/>
      <c r="N8" s="61"/>
      <c r="P8" s="24" t="s">
        <v>20</v>
      </c>
      <c r="Q8" s="693">
        <v>0.41666666666666669</v>
      </c>
      <c r="R8" s="615"/>
      <c r="T8" s="568"/>
      <c r="U8" s="733"/>
      <c r="V8" s="788"/>
      <c r="W8" s="789"/>
      <c r="AB8" s="51"/>
      <c r="AC8" s="51"/>
      <c r="AD8" s="51"/>
      <c r="AE8" s="51"/>
    </row>
    <row r="9" spans="1:32" s="547" customFormat="1" ht="39.950000000000003" customHeight="1" x14ac:dyDescent="0.2">
      <c r="A9" s="70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704"/>
      <c r="E9" s="571"/>
      <c r="F9" s="70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70" t="str">
        <f>IF(AND($A$9="Тип доверенности/получателя при получении в адресе перегруза:",$D$9="Разовая доверенность"),"Введите ФИО","")</f>
        <v/>
      </c>
      <c r="I9" s="571"/>
      <c r="J9" s="57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1"/>
      <c r="L9" s="571"/>
      <c r="M9" s="571"/>
      <c r="N9" s="545"/>
      <c r="P9" s="26" t="s">
        <v>21</v>
      </c>
      <c r="Q9" s="677"/>
      <c r="R9" s="678"/>
      <c r="T9" s="568"/>
      <c r="U9" s="733"/>
      <c r="V9" s="790"/>
      <c r="W9" s="791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704"/>
      <c r="E10" s="571"/>
      <c r="F10" s="70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79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40"/>
      <c r="R10" s="741"/>
      <c r="U10" s="24" t="s">
        <v>23</v>
      </c>
      <c r="V10" s="601" t="s">
        <v>24</v>
      </c>
      <c r="W10" s="602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81"/>
      <c r="R11" s="682"/>
      <c r="U11" s="24" t="s">
        <v>27</v>
      </c>
      <c r="V11" s="817" t="s">
        <v>28</v>
      </c>
      <c r="W11" s="678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26" t="s">
        <v>29</v>
      </c>
      <c r="B12" s="684"/>
      <c r="C12" s="684"/>
      <c r="D12" s="684"/>
      <c r="E12" s="684"/>
      <c r="F12" s="684"/>
      <c r="G12" s="684"/>
      <c r="H12" s="684"/>
      <c r="I12" s="684"/>
      <c r="J12" s="684"/>
      <c r="K12" s="684"/>
      <c r="L12" s="684"/>
      <c r="M12" s="685"/>
      <c r="N12" s="62"/>
      <c r="P12" s="24" t="s">
        <v>30</v>
      </c>
      <c r="Q12" s="693"/>
      <c r="R12" s="615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26" t="s">
        <v>31</v>
      </c>
      <c r="B13" s="684"/>
      <c r="C13" s="684"/>
      <c r="D13" s="684"/>
      <c r="E13" s="684"/>
      <c r="F13" s="684"/>
      <c r="G13" s="684"/>
      <c r="H13" s="684"/>
      <c r="I13" s="684"/>
      <c r="J13" s="684"/>
      <c r="K13" s="684"/>
      <c r="L13" s="684"/>
      <c r="M13" s="685"/>
      <c r="N13" s="62"/>
      <c r="O13" s="26"/>
      <c r="P13" s="26" t="s">
        <v>32</v>
      </c>
      <c r="Q13" s="817"/>
      <c r="R13" s="67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26" t="s">
        <v>33</v>
      </c>
      <c r="B14" s="684"/>
      <c r="C14" s="684"/>
      <c r="D14" s="684"/>
      <c r="E14" s="684"/>
      <c r="F14" s="684"/>
      <c r="G14" s="684"/>
      <c r="H14" s="684"/>
      <c r="I14" s="684"/>
      <c r="J14" s="684"/>
      <c r="K14" s="684"/>
      <c r="L14" s="684"/>
      <c r="M14" s="68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7" t="s">
        <v>34</v>
      </c>
      <c r="B15" s="684"/>
      <c r="C15" s="684"/>
      <c r="D15" s="684"/>
      <c r="E15" s="684"/>
      <c r="F15" s="684"/>
      <c r="G15" s="684"/>
      <c r="H15" s="684"/>
      <c r="I15" s="684"/>
      <c r="J15" s="684"/>
      <c r="K15" s="684"/>
      <c r="L15" s="684"/>
      <c r="M15" s="685"/>
      <c r="N15" s="63"/>
      <c r="P15" s="71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16"/>
      <c r="Q16" s="716"/>
      <c r="R16" s="716"/>
      <c r="S16" s="716"/>
      <c r="T16" s="71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702" t="s">
        <v>38</v>
      </c>
      <c r="D17" s="596" t="s">
        <v>39</v>
      </c>
      <c r="E17" s="661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60"/>
      <c r="R17" s="660"/>
      <c r="S17" s="660"/>
      <c r="T17" s="661"/>
      <c r="U17" s="876" t="s">
        <v>51</v>
      </c>
      <c r="V17" s="685"/>
      <c r="W17" s="596" t="s">
        <v>52</v>
      </c>
      <c r="X17" s="596" t="s">
        <v>53</v>
      </c>
      <c r="Y17" s="878" t="s">
        <v>54</v>
      </c>
      <c r="Z17" s="798" t="s">
        <v>55</v>
      </c>
      <c r="AA17" s="777" t="s">
        <v>56</v>
      </c>
      <c r="AB17" s="777" t="s">
        <v>57</v>
      </c>
      <c r="AC17" s="777" t="s">
        <v>58</v>
      </c>
      <c r="AD17" s="777" t="s">
        <v>59</v>
      </c>
      <c r="AE17" s="842"/>
      <c r="AF17" s="843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62"/>
      <c r="E18" s="664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62"/>
      <c r="Q18" s="663"/>
      <c r="R18" s="663"/>
      <c r="S18" s="663"/>
      <c r="T18" s="664"/>
      <c r="U18" s="67" t="s">
        <v>61</v>
      </c>
      <c r="V18" s="67" t="s">
        <v>62</v>
      </c>
      <c r="W18" s="597"/>
      <c r="X18" s="597"/>
      <c r="Y18" s="879"/>
      <c r="Z18" s="799"/>
      <c r="AA18" s="778"/>
      <c r="AB18" s="778"/>
      <c r="AC18" s="778"/>
      <c r="AD18" s="844"/>
      <c r="AE18" s="845"/>
      <c r="AF18" s="846"/>
      <c r="AG18" s="66"/>
      <c r="BD18" s="65"/>
    </row>
    <row r="19" spans="1:68" ht="27.75" customHeight="1" x14ac:dyDescent="0.2">
      <c r="A19" s="630" t="s">
        <v>63</v>
      </c>
      <c r="B19" s="631"/>
      <c r="C19" s="631"/>
      <c r="D19" s="631"/>
      <c r="E19" s="631"/>
      <c r="F19" s="631"/>
      <c r="G19" s="631"/>
      <c r="H19" s="631"/>
      <c r="I19" s="631"/>
      <c r="J19" s="631"/>
      <c r="K19" s="631"/>
      <c r="L19" s="631"/>
      <c r="M19" s="631"/>
      <c r="N19" s="631"/>
      <c r="O19" s="631"/>
      <c r="P19" s="631"/>
      <c r="Q19" s="631"/>
      <c r="R19" s="631"/>
      <c r="S19" s="631"/>
      <c r="T19" s="631"/>
      <c r="U19" s="631"/>
      <c r="V19" s="631"/>
      <c r="W19" s="631"/>
      <c r="X19" s="631"/>
      <c r="Y19" s="631"/>
      <c r="Z19" s="631"/>
      <c r="AA19" s="48"/>
      <c r="AB19" s="48"/>
      <c r="AC19" s="48"/>
    </row>
    <row r="20" spans="1:68" ht="16.5" customHeight="1" x14ac:dyDescent="0.25">
      <c r="A20" s="567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customHeight="1" x14ac:dyDescent="0.25">
      <c r="A21" s="569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60">
        <v>4680115887510</v>
      </c>
      <c r="E22" s="561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60">
        <v>4680115886643</v>
      </c>
      <c r="E23" s="561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82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83"/>
      <c r="P24" s="572" t="s">
        <v>75</v>
      </c>
      <c r="Q24" s="573"/>
      <c r="R24" s="573"/>
      <c r="S24" s="573"/>
      <c r="T24" s="573"/>
      <c r="U24" s="573"/>
      <c r="V24" s="574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83"/>
      <c r="P25" s="572" t="s">
        <v>75</v>
      </c>
      <c r="Q25" s="573"/>
      <c r="R25" s="573"/>
      <c r="S25" s="573"/>
      <c r="T25" s="573"/>
      <c r="U25" s="573"/>
      <c r="V25" s="574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customHeight="1" x14ac:dyDescent="0.25">
      <c r="A26" s="569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60">
        <v>4680115885912</v>
      </c>
      <c r="E27" s="561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60">
        <v>4607091388237</v>
      </c>
      <c r="E28" s="561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60">
        <v>4680115887350</v>
      </c>
      <c r="E29" s="561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2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60">
        <v>4680115885905</v>
      </c>
      <c r="E30" s="561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91</v>
      </c>
      <c r="B31" s="54" t="s">
        <v>92</v>
      </c>
      <c r="C31" s="31">
        <v>4301051851</v>
      </c>
      <c r="D31" s="560">
        <v>4607091388244</v>
      </c>
      <c r="E31" s="561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82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83"/>
      <c r="P32" s="572" t="s">
        <v>75</v>
      </c>
      <c r="Q32" s="573"/>
      <c r="R32" s="573"/>
      <c r="S32" s="573"/>
      <c r="T32" s="573"/>
      <c r="U32" s="573"/>
      <c r="V32" s="574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83"/>
      <c r="P33" s="572" t="s">
        <v>75</v>
      </c>
      <c r="Q33" s="573"/>
      <c r="R33" s="573"/>
      <c r="S33" s="573"/>
      <c r="T33" s="573"/>
      <c r="U33" s="573"/>
      <c r="V33" s="574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customHeight="1" x14ac:dyDescent="0.25">
      <c r="A34" s="569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customHeight="1" x14ac:dyDescent="0.25">
      <c r="A35" s="54" t="s">
        <v>94</v>
      </c>
      <c r="B35" s="54" t="s">
        <v>95</v>
      </c>
      <c r="C35" s="31">
        <v>4301032013</v>
      </c>
      <c r="D35" s="560">
        <v>4607091388503</v>
      </c>
      <c r="E35" s="561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82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83"/>
      <c r="P36" s="572" t="s">
        <v>75</v>
      </c>
      <c r="Q36" s="573"/>
      <c r="R36" s="573"/>
      <c r="S36" s="573"/>
      <c r="T36" s="573"/>
      <c r="U36" s="573"/>
      <c r="V36" s="574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83"/>
      <c r="P37" s="572" t="s">
        <v>75</v>
      </c>
      <c r="Q37" s="573"/>
      <c r="R37" s="573"/>
      <c r="S37" s="573"/>
      <c r="T37" s="573"/>
      <c r="U37" s="573"/>
      <c r="V37" s="574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customHeight="1" x14ac:dyDescent="0.2">
      <c r="A38" s="630" t="s">
        <v>99</v>
      </c>
      <c r="B38" s="631"/>
      <c r="C38" s="631"/>
      <c r="D38" s="631"/>
      <c r="E38" s="631"/>
      <c r="F38" s="631"/>
      <c r="G38" s="631"/>
      <c r="H38" s="631"/>
      <c r="I38" s="631"/>
      <c r="J38" s="631"/>
      <c r="K38" s="631"/>
      <c r="L38" s="631"/>
      <c r="M38" s="631"/>
      <c r="N38" s="631"/>
      <c r="O38" s="631"/>
      <c r="P38" s="631"/>
      <c r="Q38" s="631"/>
      <c r="R38" s="631"/>
      <c r="S38" s="631"/>
      <c r="T38" s="631"/>
      <c r="U38" s="631"/>
      <c r="V38" s="631"/>
      <c r="W38" s="631"/>
      <c r="X38" s="631"/>
      <c r="Y38" s="631"/>
      <c r="Z38" s="631"/>
      <c r="AA38" s="48"/>
      <c r="AB38" s="48"/>
      <c r="AC38" s="48"/>
    </row>
    <row r="39" spans="1:68" ht="16.5" customHeight="1" x14ac:dyDescent="0.25">
      <c r="A39" s="567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customHeight="1" x14ac:dyDescent="0.25">
      <c r="A40" s="569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60">
        <v>4607091385670</v>
      </c>
      <c r="E41" s="561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2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398</v>
      </c>
      <c r="Y41" s="554">
        <f>IFERROR(IF(X41="",0,CEILING((X41/$H41),1)*$H41),"")</f>
        <v>399.6</v>
      </c>
      <c r="Z41" s="36">
        <f>IFERROR(IF(Y41=0,"",ROUNDUP(Y41/H41,0)*0.01898),"")</f>
        <v>0.70226</v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413.1092592592592</v>
      </c>
      <c r="BN41" s="64">
        <f>IFERROR(Y41*I41/H41,"0")</f>
        <v>414.77000000000004</v>
      </c>
      <c r="BO41" s="64">
        <f>IFERROR(1/J41*(X41/H41),"0")</f>
        <v>0.57581018518518512</v>
      </c>
      <c r="BP41" s="64">
        <f>IFERROR(1/J41*(Y41/H41),"0")</f>
        <v>0.578125</v>
      </c>
    </row>
    <row r="42" spans="1:68" ht="27" customHeight="1" x14ac:dyDescent="0.25">
      <c r="A42" s="54" t="s">
        <v>109</v>
      </c>
      <c r="B42" s="54" t="s">
        <v>110</v>
      </c>
      <c r="C42" s="31">
        <v>4301011565</v>
      </c>
      <c r="D42" s="560">
        <v>4680115882539</v>
      </c>
      <c r="E42" s="561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 t="s">
        <v>112</v>
      </c>
      <c r="M42" s="33" t="s">
        <v>80</v>
      </c>
      <c r="N42" s="33"/>
      <c r="O42" s="32">
        <v>50</v>
      </c>
      <c r="P42" s="64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169</v>
      </c>
      <c r="Y42" s="554">
        <f>IFERROR(IF(X42="",0,CEILING((X42/$H42),1)*$H42),"")</f>
        <v>170.20000000000002</v>
      </c>
      <c r="Z42" s="36">
        <f>IFERROR(IF(Y42=0,"",ROUNDUP(Y42/H42,0)*0.00902),"")</f>
        <v>0.41492000000000001</v>
      </c>
      <c r="AA42" s="56"/>
      <c r="AB42" s="57"/>
      <c r="AC42" s="87" t="s">
        <v>107</v>
      </c>
      <c r="AG42" s="64"/>
      <c r="AJ42" s="68" t="s">
        <v>108</v>
      </c>
      <c r="AK42" s="68">
        <v>44.4</v>
      </c>
      <c r="BB42" s="88" t="s">
        <v>1</v>
      </c>
      <c r="BM42" s="64">
        <f>IFERROR(X42*I42/H42,"0")</f>
        <v>177.67837837837837</v>
      </c>
      <c r="BN42" s="64">
        <f>IFERROR(Y42*I42/H42,"0")</f>
        <v>178.94000000000003</v>
      </c>
      <c r="BO42" s="64">
        <f>IFERROR(1/J42*(X42/H42),"0")</f>
        <v>0.34602784602784598</v>
      </c>
      <c r="BP42" s="64">
        <f>IFERROR(1/J42*(Y42/H42),"0")</f>
        <v>0.34848484848484851</v>
      </c>
    </row>
    <row r="43" spans="1:68" ht="27" customHeight="1" x14ac:dyDescent="0.25">
      <c r="A43" s="54" t="s">
        <v>113</v>
      </c>
      <c r="B43" s="54" t="s">
        <v>114</v>
      </c>
      <c r="C43" s="31">
        <v>4301011382</v>
      </c>
      <c r="D43" s="560">
        <v>4607091385687</v>
      </c>
      <c r="E43" s="561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/>
      <c r="M43" s="33" t="s">
        <v>80</v>
      </c>
      <c r="N43" s="33"/>
      <c r="O43" s="32">
        <v>50</v>
      </c>
      <c r="P43" s="72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0</v>
      </c>
      <c r="Y43" s="55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82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83"/>
      <c r="P44" s="572" t="s">
        <v>75</v>
      </c>
      <c r="Q44" s="573"/>
      <c r="R44" s="573"/>
      <c r="S44" s="573"/>
      <c r="T44" s="573"/>
      <c r="U44" s="573"/>
      <c r="V44" s="574"/>
      <c r="W44" s="37" t="s">
        <v>76</v>
      </c>
      <c r="X44" s="555">
        <f>IFERROR(X41/H41,"0")+IFERROR(X42/H42,"0")+IFERROR(X43/H43,"0")</f>
        <v>82.527527527527525</v>
      </c>
      <c r="Y44" s="555">
        <f>IFERROR(Y41/H41,"0")+IFERROR(Y42/H42,"0")+IFERROR(Y43/H43,"0")</f>
        <v>83</v>
      </c>
      <c r="Z44" s="555">
        <f>IFERROR(IF(Z41="",0,Z41),"0")+IFERROR(IF(Z42="",0,Z42),"0")+IFERROR(IF(Z43="",0,Z43),"0")</f>
        <v>1.1171800000000001</v>
      </c>
      <c r="AA44" s="556"/>
      <c r="AB44" s="556"/>
      <c r="AC44" s="556"/>
    </row>
    <row r="45" spans="1:68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83"/>
      <c r="P45" s="572" t="s">
        <v>75</v>
      </c>
      <c r="Q45" s="573"/>
      <c r="R45" s="573"/>
      <c r="S45" s="573"/>
      <c r="T45" s="573"/>
      <c r="U45" s="573"/>
      <c r="V45" s="574"/>
      <c r="W45" s="37" t="s">
        <v>69</v>
      </c>
      <c r="X45" s="555">
        <f>IFERROR(SUM(X41:X43),"0")</f>
        <v>567</v>
      </c>
      <c r="Y45" s="555">
        <f>IFERROR(SUM(Y41:Y43),"0")</f>
        <v>569.80000000000007</v>
      </c>
      <c r="Z45" s="37"/>
      <c r="AA45" s="556"/>
      <c r="AB45" s="556"/>
      <c r="AC45" s="556"/>
    </row>
    <row r="46" spans="1:68" ht="14.25" customHeight="1" x14ac:dyDescent="0.25">
      <c r="A46" s="569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customHeight="1" x14ac:dyDescent="0.25">
      <c r="A47" s="54" t="s">
        <v>115</v>
      </c>
      <c r="B47" s="54" t="s">
        <v>116</v>
      </c>
      <c r="C47" s="31">
        <v>4301051820</v>
      </c>
      <c r="D47" s="560">
        <v>4680115884915</v>
      </c>
      <c r="E47" s="561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82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83"/>
      <c r="P48" s="572" t="s">
        <v>75</v>
      </c>
      <c r="Q48" s="573"/>
      <c r="R48" s="573"/>
      <c r="S48" s="573"/>
      <c r="T48" s="573"/>
      <c r="U48" s="573"/>
      <c r="V48" s="574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83"/>
      <c r="P49" s="572" t="s">
        <v>75</v>
      </c>
      <c r="Q49" s="573"/>
      <c r="R49" s="573"/>
      <c r="S49" s="573"/>
      <c r="T49" s="573"/>
      <c r="U49" s="573"/>
      <c r="V49" s="574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customHeight="1" x14ac:dyDescent="0.25">
      <c r="A50" s="567" t="s">
        <v>118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customHeight="1" x14ac:dyDescent="0.25">
      <c r="A51" s="569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customHeight="1" x14ac:dyDescent="0.25">
      <c r="A52" s="54" t="s">
        <v>119</v>
      </c>
      <c r="B52" s="54" t="s">
        <v>120</v>
      </c>
      <c r="C52" s="31">
        <v>4301012030</v>
      </c>
      <c r="D52" s="560">
        <v>4680115885882</v>
      </c>
      <c r="E52" s="561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 t="s">
        <v>105</v>
      </c>
      <c r="M52" s="33" t="s">
        <v>80</v>
      </c>
      <c r="N52" s="33"/>
      <c r="O52" s="32">
        <v>50</v>
      </c>
      <c r="P52" s="67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82</v>
      </c>
      <c r="Y52" s="554">
        <f t="shared" ref="Y52:Y57" si="0">IFERROR(IF(X52="",0,CEILING((X52/$H52),1)*$H52),"")</f>
        <v>89.6</v>
      </c>
      <c r="Z52" s="36">
        <f>IFERROR(IF(Y52=0,"",ROUNDUP(Y52/H52,0)*0.01898),"")</f>
        <v>0.15184</v>
      </c>
      <c r="AA52" s="56"/>
      <c r="AB52" s="57"/>
      <c r="AC52" s="93" t="s">
        <v>121</v>
      </c>
      <c r="AG52" s="64"/>
      <c r="AJ52" s="68" t="s">
        <v>108</v>
      </c>
      <c r="AK52" s="68">
        <v>89.6</v>
      </c>
      <c r="BB52" s="94" t="s">
        <v>1</v>
      </c>
      <c r="BM52" s="64">
        <f t="shared" ref="BM52:BM57" si="1">IFERROR(X52*I52/H52,"0")</f>
        <v>85.001785714285717</v>
      </c>
      <c r="BN52" s="64">
        <f t="shared" ref="BN52:BN57" si="2">IFERROR(Y52*I52/H52,"0")</f>
        <v>92.88</v>
      </c>
      <c r="BO52" s="64">
        <f t="shared" ref="BO52:BO57" si="3">IFERROR(1/J52*(X52/H52),"0")</f>
        <v>0.11439732142857144</v>
      </c>
      <c r="BP52" s="64">
        <f t="shared" ref="BP52:BP57" si="4">IFERROR(1/J52*(Y52/H52),"0")</f>
        <v>0.125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60">
        <v>4680115881426</v>
      </c>
      <c r="E53" s="561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 t="s">
        <v>105</v>
      </c>
      <c r="M53" s="33" t="s">
        <v>106</v>
      </c>
      <c r="N53" s="33"/>
      <c r="O53" s="32">
        <v>50</v>
      </c>
      <c r="P53" s="70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198</v>
      </c>
      <c r="Y53" s="554">
        <f t="shared" si="0"/>
        <v>205.20000000000002</v>
      </c>
      <c r="Z53" s="36">
        <f>IFERROR(IF(Y53=0,"",ROUNDUP(Y53/H53,0)*0.01898),"")</f>
        <v>0.36062</v>
      </c>
      <c r="AA53" s="56"/>
      <c r="AB53" s="57"/>
      <c r="AC53" s="95" t="s">
        <v>124</v>
      </c>
      <c r="AG53" s="64"/>
      <c r="AJ53" s="68" t="s">
        <v>108</v>
      </c>
      <c r="AK53" s="68">
        <v>86.4</v>
      </c>
      <c r="BB53" s="96" t="s">
        <v>1</v>
      </c>
      <c r="BM53" s="64">
        <f t="shared" si="1"/>
        <v>205.51666666666668</v>
      </c>
      <c r="BN53" s="64">
        <f t="shared" si="2"/>
        <v>212.99</v>
      </c>
      <c r="BO53" s="64">
        <f t="shared" si="3"/>
        <v>0.28645833333333331</v>
      </c>
      <c r="BP53" s="64">
        <f t="shared" si="4"/>
        <v>0.296875</v>
      </c>
    </row>
    <row r="54" spans="1:68" ht="27" customHeight="1" x14ac:dyDescent="0.25">
      <c r="A54" s="54" t="s">
        <v>125</v>
      </c>
      <c r="B54" s="54" t="s">
        <v>126</v>
      </c>
      <c r="C54" s="31">
        <v>4301011386</v>
      </c>
      <c r="D54" s="560">
        <v>4680115880283</v>
      </c>
      <c r="E54" s="561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128</v>
      </c>
      <c r="B55" s="54" t="s">
        <v>129</v>
      </c>
      <c r="C55" s="31">
        <v>4301011806</v>
      </c>
      <c r="D55" s="560">
        <v>4680115881525</v>
      </c>
      <c r="E55" s="561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 t="s">
        <v>112</v>
      </c>
      <c r="M55" s="33" t="s">
        <v>106</v>
      </c>
      <c r="N55" s="33"/>
      <c r="O55" s="32">
        <v>50</v>
      </c>
      <c r="P55" s="69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87</v>
      </c>
      <c r="Y55" s="554">
        <f t="shared" si="0"/>
        <v>88</v>
      </c>
      <c r="Z55" s="36">
        <f>IFERROR(IF(Y55=0,"",ROUNDUP(Y55/H55,0)*0.00902),"")</f>
        <v>0.19844000000000001</v>
      </c>
      <c r="AA55" s="56"/>
      <c r="AB55" s="57"/>
      <c r="AC55" s="99" t="s">
        <v>130</v>
      </c>
      <c r="AG55" s="64"/>
      <c r="AJ55" s="68" t="s">
        <v>108</v>
      </c>
      <c r="AK55" s="68">
        <v>48</v>
      </c>
      <c r="BB55" s="100" t="s">
        <v>1</v>
      </c>
      <c r="BM55" s="64">
        <f t="shared" si="1"/>
        <v>91.132500000000007</v>
      </c>
      <c r="BN55" s="64">
        <f t="shared" si="2"/>
        <v>92.18</v>
      </c>
      <c r="BO55" s="64">
        <f t="shared" si="3"/>
        <v>0.16477272727272727</v>
      </c>
      <c r="BP55" s="64">
        <f t="shared" si="4"/>
        <v>0.16666666666666669</v>
      </c>
    </row>
    <row r="56" spans="1:68" ht="27" customHeight="1" x14ac:dyDescent="0.25">
      <c r="A56" s="54" t="s">
        <v>131</v>
      </c>
      <c r="B56" s="54" t="s">
        <v>132</v>
      </c>
      <c r="C56" s="31">
        <v>4301011589</v>
      </c>
      <c r="D56" s="560">
        <v>4680115885899</v>
      </c>
      <c r="E56" s="561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60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134</v>
      </c>
      <c r="B57" s="54" t="s">
        <v>135</v>
      </c>
      <c r="C57" s="31">
        <v>4301011801</v>
      </c>
      <c r="D57" s="560">
        <v>4680115881419</v>
      </c>
      <c r="E57" s="561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/>
      <c r="M57" s="33" t="s">
        <v>106</v>
      </c>
      <c r="N57" s="33"/>
      <c r="O57" s="32">
        <v>50</v>
      </c>
      <c r="P57" s="85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0</v>
      </c>
      <c r="Y57" s="554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136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82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83"/>
      <c r="P58" s="572" t="s">
        <v>75</v>
      </c>
      <c r="Q58" s="573"/>
      <c r="R58" s="573"/>
      <c r="S58" s="573"/>
      <c r="T58" s="573"/>
      <c r="U58" s="573"/>
      <c r="V58" s="574"/>
      <c r="W58" s="37" t="s">
        <v>76</v>
      </c>
      <c r="X58" s="555">
        <f>IFERROR(X52/H52,"0")+IFERROR(X53/H53,"0")+IFERROR(X54/H54,"0")+IFERROR(X55/H55,"0")+IFERROR(X56/H56,"0")+IFERROR(X57/H57,"0")</f>
        <v>47.404761904761905</v>
      </c>
      <c r="Y58" s="555">
        <f>IFERROR(Y52/H52,"0")+IFERROR(Y53/H53,"0")+IFERROR(Y54/H54,"0")+IFERROR(Y55/H55,"0")+IFERROR(Y56/H56,"0")+IFERROR(Y57/H57,"0")</f>
        <v>49</v>
      </c>
      <c r="Z58" s="555">
        <f>IFERROR(IF(Z52="",0,Z52),"0")+IFERROR(IF(Z53="",0,Z53),"0")+IFERROR(IF(Z54="",0,Z54),"0")+IFERROR(IF(Z55="",0,Z55),"0")+IFERROR(IF(Z56="",0,Z56),"0")+IFERROR(IF(Z57="",0,Z57),"0")</f>
        <v>0.71090000000000009</v>
      </c>
      <c r="AA58" s="556"/>
      <c r="AB58" s="556"/>
      <c r="AC58" s="556"/>
    </row>
    <row r="59" spans="1:68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83"/>
      <c r="P59" s="572" t="s">
        <v>75</v>
      </c>
      <c r="Q59" s="573"/>
      <c r="R59" s="573"/>
      <c r="S59" s="573"/>
      <c r="T59" s="573"/>
      <c r="U59" s="573"/>
      <c r="V59" s="574"/>
      <c r="W59" s="37" t="s">
        <v>69</v>
      </c>
      <c r="X59" s="555">
        <f>IFERROR(SUM(X52:X57),"0")</f>
        <v>367</v>
      </c>
      <c r="Y59" s="555">
        <f>IFERROR(SUM(Y52:Y57),"0")</f>
        <v>382.8</v>
      </c>
      <c r="Z59" s="37"/>
      <c r="AA59" s="556"/>
      <c r="AB59" s="556"/>
      <c r="AC59" s="556"/>
    </row>
    <row r="60" spans="1:68" ht="14.25" customHeight="1" x14ac:dyDescent="0.25">
      <c r="A60" s="569" t="s">
        <v>137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60">
        <v>4680115881440</v>
      </c>
      <c r="E61" s="561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81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467</v>
      </c>
      <c r="Y61" s="554">
        <f>IFERROR(IF(X61="",0,CEILING((X61/$H61),1)*$H61),"")</f>
        <v>475.20000000000005</v>
      </c>
      <c r="Z61" s="36">
        <f>IFERROR(IF(Y61=0,"",ROUNDUP(Y61/H61,0)*0.01898),"")</f>
        <v>0.83511999999999997</v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484.72870370370373</v>
      </c>
      <c r="BN61" s="64">
        <f>IFERROR(Y61*I61/H61,"0")</f>
        <v>493.24000000000007</v>
      </c>
      <c r="BO61" s="64">
        <f>IFERROR(1/J61*(X61/H61),"0")</f>
        <v>0.67563657407407407</v>
      </c>
      <c r="BP61" s="64">
        <f>IFERROR(1/J61*(Y61/H61),"0")</f>
        <v>0.6875</v>
      </c>
    </row>
    <row r="62" spans="1:68" ht="16.5" customHeight="1" x14ac:dyDescent="0.25">
      <c r="A62" s="54" t="s">
        <v>141</v>
      </c>
      <c r="B62" s="54" t="s">
        <v>142</v>
      </c>
      <c r="C62" s="31">
        <v>4301020358</v>
      </c>
      <c r="D62" s="560">
        <v>4680115885950</v>
      </c>
      <c r="E62" s="561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3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143</v>
      </c>
      <c r="B63" s="54" t="s">
        <v>144</v>
      </c>
      <c r="C63" s="31">
        <v>4301020296</v>
      </c>
      <c r="D63" s="560">
        <v>4680115881433</v>
      </c>
      <c r="E63" s="561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6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0</v>
      </c>
      <c r="Y63" s="55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82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83"/>
      <c r="P64" s="572" t="s">
        <v>75</v>
      </c>
      <c r="Q64" s="573"/>
      <c r="R64" s="573"/>
      <c r="S64" s="573"/>
      <c r="T64" s="573"/>
      <c r="U64" s="573"/>
      <c r="V64" s="574"/>
      <c r="W64" s="37" t="s">
        <v>76</v>
      </c>
      <c r="X64" s="555">
        <f>IFERROR(X61/H61,"0")+IFERROR(X62/H62,"0")+IFERROR(X63/H63,"0")</f>
        <v>43.24074074074074</v>
      </c>
      <c r="Y64" s="555">
        <f>IFERROR(Y61/H61,"0")+IFERROR(Y62/H62,"0")+IFERROR(Y63/H63,"0")</f>
        <v>44</v>
      </c>
      <c r="Z64" s="555">
        <f>IFERROR(IF(Z61="",0,Z61),"0")+IFERROR(IF(Z62="",0,Z62),"0")+IFERROR(IF(Z63="",0,Z63),"0")</f>
        <v>0.83511999999999997</v>
      </c>
      <c r="AA64" s="556"/>
      <c r="AB64" s="556"/>
      <c r="AC64" s="556"/>
    </row>
    <row r="65" spans="1:68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83"/>
      <c r="P65" s="572" t="s">
        <v>75</v>
      </c>
      <c r="Q65" s="573"/>
      <c r="R65" s="573"/>
      <c r="S65" s="573"/>
      <c r="T65" s="573"/>
      <c r="U65" s="573"/>
      <c r="V65" s="574"/>
      <c r="W65" s="37" t="s">
        <v>69</v>
      </c>
      <c r="X65" s="555">
        <f>IFERROR(SUM(X61:X63),"0")</f>
        <v>467</v>
      </c>
      <c r="Y65" s="555">
        <f>IFERROR(SUM(Y61:Y63),"0")</f>
        <v>475.20000000000005</v>
      </c>
      <c r="Z65" s="37"/>
      <c r="AA65" s="556"/>
      <c r="AB65" s="556"/>
      <c r="AC65" s="556"/>
    </row>
    <row r="66" spans="1:68" ht="14.25" customHeight="1" x14ac:dyDescent="0.25">
      <c r="A66" s="569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customHeight="1" x14ac:dyDescent="0.25">
      <c r="A67" s="54" t="s">
        <v>145</v>
      </c>
      <c r="B67" s="54" t="s">
        <v>146</v>
      </c>
      <c r="C67" s="31">
        <v>4301031243</v>
      </c>
      <c r="D67" s="560">
        <v>4680115885073</v>
      </c>
      <c r="E67" s="561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148</v>
      </c>
      <c r="B68" s="54" t="s">
        <v>149</v>
      </c>
      <c r="C68" s="31">
        <v>4301031316</v>
      </c>
      <c r="D68" s="560">
        <v>4680115885097</v>
      </c>
      <c r="E68" s="561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1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82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83"/>
      <c r="P69" s="572" t="s">
        <v>75</v>
      </c>
      <c r="Q69" s="573"/>
      <c r="R69" s="573"/>
      <c r="S69" s="573"/>
      <c r="T69" s="573"/>
      <c r="U69" s="573"/>
      <c r="V69" s="574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83"/>
      <c r="P70" s="572" t="s">
        <v>75</v>
      </c>
      <c r="Q70" s="573"/>
      <c r="R70" s="573"/>
      <c r="S70" s="573"/>
      <c r="T70" s="573"/>
      <c r="U70" s="573"/>
      <c r="V70" s="574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customHeight="1" x14ac:dyDescent="0.25">
      <c r="A71" s="569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customHeight="1" x14ac:dyDescent="0.25">
      <c r="A72" s="54" t="s">
        <v>151</v>
      </c>
      <c r="B72" s="54" t="s">
        <v>152</v>
      </c>
      <c r="C72" s="31">
        <v>4301051846</v>
      </c>
      <c r="D72" s="560">
        <v>4680115885769</v>
      </c>
      <c r="E72" s="561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 t="s">
        <v>105</v>
      </c>
      <c r="M72" s="33" t="s">
        <v>80</v>
      </c>
      <c r="N72" s="33"/>
      <c r="O72" s="32">
        <v>45</v>
      </c>
      <c r="P72" s="85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 t="s">
        <v>108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154</v>
      </c>
      <c r="B73" s="54" t="s">
        <v>155</v>
      </c>
      <c r="C73" s="31">
        <v>4301051837</v>
      </c>
      <c r="D73" s="560">
        <v>4680115884311</v>
      </c>
      <c r="E73" s="561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6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4301051844</v>
      </c>
      <c r="D74" s="560">
        <v>4680115885929</v>
      </c>
      <c r="E74" s="561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2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159</v>
      </c>
      <c r="B75" s="54" t="s">
        <v>160</v>
      </c>
      <c r="C75" s="31">
        <v>4301051929</v>
      </c>
      <c r="D75" s="560">
        <v>4680115884403</v>
      </c>
      <c r="E75" s="561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82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83"/>
      <c r="P76" s="572" t="s">
        <v>75</v>
      </c>
      <c r="Q76" s="573"/>
      <c r="R76" s="573"/>
      <c r="S76" s="573"/>
      <c r="T76" s="573"/>
      <c r="U76" s="573"/>
      <c r="V76" s="574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83"/>
      <c r="P77" s="572" t="s">
        <v>75</v>
      </c>
      <c r="Q77" s="573"/>
      <c r="R77" s="573"/>
      <c r="S77" s="573"/>
      <c r="T77" s="573"/>
      <c r="U77" s="573"/>
      <c r="V77" s="574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customHeight="1" x14ac:dyDescent="0.25">
      <c r="A78" s="569" t="s">
        <v>162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60">
        <v>4680115881532</v>
      </c>
      <c r="E79" s="561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55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42</v>
      </c>
      <c r="Y79" s="554">
        <f>IFERROR(IF(X79="",0,CEILING((X79/$H79),1)*$H79),"")</f>
        <v>46.8</v>
      </c>
      <c r="Z79" s="36">
        <f>IFERROR(IF(Y79=0,"",ROUNDUP(Y79/H79,0)*0.01898),"")</f>
        <v>0.11388000000000001</v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44.207692307692312</v>
      </c>
      <c r="BN79" s="64">
        <f>IFERROR(Y79*I79/H79,"0")</f>
        <v>49.260000000000005</v>
      </c>
      <c r="BO79" s="64">
        <f>IFERROR(1/J79*(X79/H79),"0")</f>
        <v>8.4134615384615391E-2</v>
      </c>
      <c r="BP79" s="64">
        <f>IFERROR(1/J79*(Y79/H79),"0")</f>
        <v>9.375E-2</v>
      </c>
    </row>
    <row r="80" spans="1:68" ht="27" customHeight="1" x14ac:dyDescent="0.25">
      <c r="A80" s="54" t="s">
        <v>166</v>
      </c>
      <c r="B80" s="54" t="s">
        <v>167</v>
      </c>
      <c r="C80" s="31">
        <v>4301060351</v>
      </c>
      <c r="D80" s="560">
        <v>4680115881464</v>
      </c>
      <c r="E80" s="561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11</v>
      </c>
      <c r="Y80" s="554">
        <f>IFERROR(IF(X80="",0,CEILING((X80/$H80),1)*$H80),"")</f>
        <v>12</v>
      </c>
      <c r="Z80" s="36">
        <f>IFERROR(IF(Y80=0,"",ROUNDUP(Y80/H80,0)*0.00902),"")</f>
        <v>4.5100000000000001E-2</v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11.870833333333334</v>
      </c>
      <c r="BN80" s="64">
        <f>IFERROR(Y80*I80/H80,"0")</f>
        <v>12.95</v>
      </c>
      <c r="BO80" s="64">
        <f>IFERROR(1/J80*(X80/H80),"0")</f>
        <v>3.4722222222222231E-2</v>
      </c>
      <c r="BP80" s="64">
        <f>IFERROR(1/J80*(Y80/H80),"0")</f>
        <v>3.787878787878788E-2</v>
      </c>
    </row>
    <row r="81" spans="1:68" x14ac:dyDescent="0.2">
      <c r="A81" s="582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83"/>
      <c r="P81" s="572" t="s">
        <v>75</v>
      </c>
      <c r="Q81" s="573"/>
      <c r="R81" s="573"/>
      <c r="S81" s="573"/>
      <c r="T81" s="573"/>
      <c r="U81" s="573"/>
      <c r="V81" s="574"/>
      <c r="W81" s="37" t="s">
        <v>76</v>
      </c>
      <c r="X81" s="555">
        <f>IFERROR(X79/H79,"0")+IFERROR(X80/H80,"0")</f>
        <v>9.967948717948719</v>
      </c>
      <c r="Y81" s="555">
        <f>IFERROR(Y79/H79,"0")+IFERROR(Y80/H80,"0")</f>
        <v>11</v>
      </c>
      <c r="Z81" s="555">
        <f>IFERROR(IF(Z79="",0,Z79),"0")+IFERROR(IF(Z80="",0,Z80),"0")</f>
        <v>0.15898000000000001</v>
      </c>
      <c r="AA81" s="556"/>
      <c r="AB81" s="556"/>
      <c r="AC81" s="556"/>
    </row>
    <row r="82" spans="1:68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83"/>
      <c r="P82" s="572" t="s">
        <v>75</v>
      </c>
      <c r="Q82" s="573"/>
      <c r="R82" s="573"/>
      <c r="S82" s="573"/>
      <c r="T82" s="573"/>
      <c r="U82" s="573"/>
      <c r="V82" s="574"/>
      <c r="W82" s="37" t="s">
        <v>69</v>
      </c>
      <c r="X82" s="555">
        <f>IFERROR(SUM(X79:X80),"0")</f>
        <v>53</v>
      </c>
      <c r="Y82" s="555">
        <f>IFERROR(SUM(Y79:Y80),"0")</f>
        <v>58.8</v>
      </c>
      <c r="Z82" s="37"/>
      <c r="AA82" s="556"/>
      <c r="AB82" s="556"/>
      <c r="AC82" s="556"/>
    </row>
    <row r="83" spans="1:68" ht="16.5" customHeight="1" x14ac:dyDescent="0.25">
      <c r="A83" s="567" t="s">
        <v>169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customHeight="1" x14ac:dyDescent="0.25">
      <c r="A84" s="569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60">
        <v>4680115881327</v>
      </c>
      <c r="E85" s="561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7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304</v>
      </c>
      <c r="Y85" s="554">
        <f>IFERROR(IF(X85="",0,CEILING((X85/$H85),1)*$H85),"")</f>
        <v>313.20000000000005</v>
      </c>
      <c r="Z85" s="36">
        <f>IFERROR(IF(Y85=0,"",ROUNDUP(Y85/H85,0)*0.01898),"")</f>
        <v>0.55042000000000002</v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315.54074074074072</v>
      </c>
      <c r="BN85" s="64">
        <f>IFERROR(Y85*I85/H85,"0")</f>
        <v>325.09000000000003</v>
      </c>
      <c r="BO85" s="64">
        <f>IFERROR(1/J85*(X85/H85),"0")</f>
        <v>0.43981481481481477</v>
      </c>
      <c r="BP85" s="64">
        <f>IFERROR(1/J85*(Y85/H85),"0")</f>
        <v>0.45312500000000006</v>
      </c>
    </row>
    <row r="86" spans="1:68" ht="27" customHeight="1" x14ac:dyDescent="0.25">
      <c r="A86" s="54" t="s">
        <v>173</v>
      </c>
      <c r="B86" s="54" t="s">
        <v>174</v>
      </c>
      <c r="C86" s="31">
        <v>4301011261</v>
      </c>
      <c r="D86" s="560">
        <v>4680115887732</v>
      </c>
      <c r="E86" s="561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57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4301011476</v>
      </c>
      <c r="D87" s="560">
        <v>4680115881518</v>
      </c>
      <c r="E87" s="561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4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60">
        <v>4680115881303</v>
      </c>
      <c r="E88" s="561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 t="s">
        <v>112</v>
      </c>
      <c r="M88" s="33" t="s">
        <v>86</v>
      </c>
      <c r="N88" s="33"/>
      <c r="O88" s="32">
        <v>50</v>
      </c>
      <c r="P88" s="75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160</v>
      </c>
      <c r="Y88" s="554">
        <f>IFERROR(IF(X88="",0,CEILING((X88/$H88),1)*$H88),"")</f>
        <v>162</v>
      </c>
      <c r="Z88" s="36">
        <f>IFERROR(IF(Y88=0,"",ROUNDUP(Y88/H88,0)*0.00902),"")</f>
        <v>0.32472000000000001</v>
      </c>
      <c r="AA88" s="56"/>
      <c r="AB88" s="57"/>
      <c r="AC88" s="133" t="s">
        <v>172</v>
      </c>
      <c r="AG88" s="64"/>
      <c r="AJ88" s="68" t="s">
        <v>108</v>
      </c>
      <c r="AK88" s="68">
        <v>54</v>
      </c>
      <c r="BB88" s="134" t="s">
        <v>1</v>
      </c>
      <c r="BM88" s="64">
        <f>IFERROR(X88*I88/H88,"0")</f>
        <v>166.75555555555559</v>
      </c>
      <c r="BN88" s="64">
        <f>IFERROR(Y88*I88/H88,"0")</f>
        <v>168.84000000000003</v>
      </c>
      <c r="BO88" s="64">
        <f>IFERROR(1/J88*(X88/H88),"0")</f>
        <v>0.26936026936026936</v>
      </c>
      <c r="BP88" s="64">
        <f>IFERROR(1/J88*(Y88/H88),"0")</f>
        <v>0.27272727272727271</v>
      </c>
    </row>
    <row r="89" spans="1:68" x14ac:dyDescent="0.2">
      <c r="A89" s="582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83"/>
      <c r="P89" s="572" t="s">
        <v>75</v>
      </c>
      <c r="Q89" s="573"/>
      <c r="R89" s="573"/>
      <c r="S89" s="573"/>
      <c r="T89" s="573"/>
      <c r="U89" s="573"/>
      <c r="V89" s="574"/>
      <c r="W89" s="37" t="s">
        <v>76</v>
      </c>
      <c r="X89" s="555">
        <f>IFERROR(X85/H85,"0")+IFERROR(X86/H86,"0")+IFERROR(X87/H87,"0")+IFERROR(X88/H88,"0")</f>
        <v>63.703703703703702</v>
      </c>
      <c r="Y89" s="555">
        <f>IFERROR(Y85/H85,"0")+IFERROR(Y86/H86,"0")+IFERROR(Y87/H87,"0")+IFERROR(Y88/H88,"0")</f>
        <v>65</v>
      </c>
      <c r="Z89" s="555">
        <f>IFERROR(IF(Z85="",0,Z85),"0")+IFERROR(IF(Z86="",0,Z86),"0")+IFERROR(IF(Z87="",0,Z87),"0")+IFERROR(IF(Z88="",0,Z88),"0")</f>
        <v>0.87514000000000003</v>
      </c>
      <c r="AA89" s="556"/>
      <c r="AB89" s="556"/>
      <c r="AC89" s="556"/>
    </row>
    <row r="90" spans="1:68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83"/>
      <c r="P90" s="572" t="s">
        <v>75</v>
      </c>
      <c r="Q90" s="573"/>
      <c r="R90" s="573"/>
      <c r="S90" s="573"/>
      <c r="T90" s="573"/>
      <c r="U90" s="573"/>
      <c r="V90" s="574"/>
      <c r="W90" s="37" t="s">
        <v>69</v>
      </c>
      <c r="X90" s="555">
        <f>IFERROR(SUM(X85:X88),"0")</f>
        <v>464</v>
      </c>
      <c r="Y90" s="555">
        <f>IFERROR(SUM(Y85:Y88),"0")</f>
        <v>475.20000000000005</v>
      </c>
      <c r="Z90" s="37"/>
      <c r="AA90" s="556"/>
      <c r="AB90" s="556"/>
      <c r="AC90" s="556"/>
    </row>
    <row r="91" spans="1:68" ht="14.25" customHeight="1" x14ac:dyDescent="0.25">
      <c r="A91" s="569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60">
        <v>4607091386967</v>
      </c>
      <c r="E92" s="561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64</v>
      </c>
      <c r="Y92" s="554">
        <f>IFERROR(IF(X92="",0,CEILING((X92/$H92),1)*$H92),"")</f>
        <v>64.8</v>
      </c>
      <c r="Z92" s="36">
        <f>IFERROR(IF(Y92=0,"",ROUNDUP(Y92/H92,0)*0.01898),"")</f>
        <v>0.15184</v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67.903209876543215</v>
      </c>
      <c r="BN92" s="64">
        <f>IFERROR(Y92*I92/H92,"0")</f>
        <v>68.751999999999995</v>
      </c>
      <c r="BO92" s="64">
        <f>IFERROR(1/J92*(X92/H92),"0")</f>
        <v>0.1234567901234568</v>
      </c>
      <c r="BP92" s="64">
        <f>IFERROR(1/J92*(Y92/H92),"0")</f>
        <v>0.125</v>
      </c>
    </row>
    <row r="93" spans="1:68" ht="27" customHeight="1" x14ac:dyDescent="0.25">
      <c r="A93" s="54" t="s">
        <v>184</v>
      </c>
      <c r="B93" s="54" t="s">
        <v>185</v>
      </c>
      <c r="C93" s="31">
        <v>4301051788</v>
      </c>
      <c r="D93" s="560">
        <v>4680115884953</v>
      </c>
      <c r="E93" s="561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0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186</v>
      </c>
      <c r="B94" s="54" t="s">
        <v>187</v>
      </c>
      <c r="C94" s="31">
        <v>4301051718</v>
      </c>
      <c r="D94" s="560">
        <v>4607091385731</v>
      </c>
      <c r="E94" s="561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2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118</v>
      </c>
      <c r="Y94" s="554">
        <f>IFERROR(IF(X94="",0,CEILING((X94/$H94),1)*$H94),"")</f>
        <v>118.80000000000001</v>
      </c>
      <c r="Z94" s="36">
        <f>IFERROR(IF(Y94=0,"",ROUNDUP(Y94/H94,0)*0.00651),"")</f>
        <v>0.28644000000000003</v>
      </c>
      <c r="AA94" s="56"/>
      <c r="AB94" s="57"/>
      <c r="AC94" s="139" t="s">
        <v>183</v>
      </c>
      <c r="AG94" s="64"/>
      <c r="AJ94" s="68"/>
      <c r="AK94" s="68">
        <v>0</v>
      </c>
      <c r="BB94" s="140" t="s">
        <v>1</v>
      </c>
      <c r="BM94" s="64">
        <f>IFERROR(X94*I94/H94,"0")</f>
        <v>129.01333333333332</v>
      </c>
      <c r="BN94" s="64">
        <f>IFERROR(Y94*I94/H94,"0")</f>
        <v>129.88800000000001</v>
      </c>
      <c r="BO94" s="64">
        <f>IFERROR(1/J94*(X94/H94),"0")</f>
        <v>0.24013024013024015</v>
      </c>
      <c r="BP94" s="64">
        <f>IFERROR(1/J94*(Y94/H94),"0")</f>
        <v>0.24175824175824179</v>
      </c>
    </row>
    <row r="95" spans="1:68" ht="16.5" customHeight="1" x14ac:dyDescent="0.25">
      <c r="A95" s="54" t="s">
        <v>188</v>
      </c>
      <c r="B95" s="54" t="s">
        <v>189</v>
      </c>
      <c r="C95" s="31">
        <v>4301051438</v>
      </c>
      <c r="D95" s="560">
        <v>4680115880894</v>
      </c>
      <c r="E95" s="561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/>
      <c r="M95" s="33" t="s">
        <v>80</v>
      </c>
      <c r="N95" s="33"/>
      <c r="O95" s="32">
        <v>45</v>
      </c>
      <c r="P95" s="63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190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82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83"/>
      <c r="P96" s="572" t="s">
        <v>75</v>
      </c>
      <c r="Q96" s="573"/>
      <c r="R96" s="573"/>
      <c r="S96" s="573"/>
      <c r="T96" s="573"/>
      <c r="U96" s="573"/>
      <c r="V96" s="574"/>
      <c r="W96" s="37" t="s">
        <v>76</v>
      </c>
      <c r="X96" s="555">
        <f>IFERROR(X92/H92,"0")+IFERROR(X93/H93,"0")+IFERROR(X94/H94,"0")+IFERROR(X95/H95,"0")</f>
        <v>51.604938271604937</v>
      </c>
      <c r="Y96" s="555">
        <f>IFERROR(Y92/H92,"0")+IFERROR(Y93/H93,"0")+IFERROR(Y94/H94,"0")+IFERROR(Y95/H95,"0")</f>
        <v>52</v>
      </c>
      <c r="Z96" s="555">
        <f>IFERROR(IF(Z92="",0,Z92),"0")+IFERROR(IF(Z93="",0,Z93),"0")+IFERROR(IF(Z94="",0,Z94),"0")+IFERROR(IF(Z95="",0,Z95),"0")</f>
        <v>0.43828</v>
      </c>
      <c r="AA96" s="556"/>
      <c r="AB96" s="556"/>
      <c r="AC96" s="556"/>
    </row>
    <row r="97" spans="1:68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83"/>
      <c r="P97" s="572" t="s">
        <v>75</v>
      </c>
      <c r="Q97" s="573"/>
      <c r="R97" s="573"/>
      <c r="S97" s="573"/>
      <c r="T97" s="573"/>
      <c r="U97" s="573"/>
      <c r="V97" s="574"/>
      <c r="W97" s="37" t="s">
        <v>69</v>
      </c>
      <c r="X97" s="555">
        <f>IFERROR(SUM(X92:X95),"0")</f>
        <v>182</v>
      </c>
      <c r="Y97" s="555">
        <f>IFERROR(SUM(Y92:Y95),"0")</f>
        <v>183.60000000000002</v>
      </c>
      <c r="Z97" s="37"/>
      <c r="AA97" s="556"/>
      <c r="AB97" s="556"/>
      <c r="AC97" s="556"/>
    </row>
    <row r="98" spans="1:68" ht="16.5" customHeight="1" x14ac:dyDescent="0.25">
      <c r="A98" s="567" t="s">
        <v>191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customHeight="1" x14ac:dyDescent="0.25">
      <c r="A99" s="569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customHeight="1" x14ac:dyDescent="0.25">
      <c r="A100" s="54" t="s">
        <v>192</v>
      </c>
      <c r="B100" s="54" t="s">
        <v>193</v>
      </c>
      <c r="C100" s="31">
        <v>4301011514</v>
      </c>
      <c r="D100" s="560">
        <v>4680115882133</v>
      </c>
      <c r="E100" s="561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2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329</v>
      </c>
      <c r="Y100" s="554">
        <f>IFERROR(IF(X100="",0,CEILING((X100/$H100),1)*$H100),"")</f>
        <v>334.8</v>
      </c>
      <c r="Z100" s="36">
        <f>IFERROR(IF(Y100=0,"",ROUNDUP(Y100/H100,0)*0.01898),"")</f>
        <v>0.58838000000000001</v>
      </c>
      <c r="AA100" s="56"/>
      <c r="AB100" s="57"/>
      <c r="AC100" s="143" t="s">
        <v>194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341.48981481481479</v>
      </c>
      <c r="BN100" s="64">
        <f>IFERROR(Y100*I100/H100,"0")</f>
        <v>347.51000000000005</v>
      </c>
      <c r="BO100" s="64">
        <f>IFERROR(1/J100*(X100/H100),"0")</f>
        <v>0.47598379629629628</v>
      </c>
      <c r="BP100" s="64">
        <f>IFERROR(1/J100*(Y100/H100),"0")</f>
        <v>0.484375</v>
      </c>
    </row>
    <row r="101" spans="1:68" ht="27" customHeight="1" x14ac:dyDescent="0.25">
      <c r="A101" s="54" t="s">
        <v>195</v>
      </c>
      <c r="B101" s="54" t="s">
        <v>196</v>
      </c>
      <c r="C101" s="31">
        <v>4301012051</v>
      </c>
      <c r="D101" s="560">
        <v>4680115887718</v>
      </c>
      <c r="E101" s="561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2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197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4301011417</v>
      </c>
      <c r="D102" s="560">
        <v>4680115880269</v>
      </c>
      <c r="E102" s="561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/>
      <c r="M102" s="33" t="s">
        <v>80</v>
      </c>
      <c r="N102" s="33"/>
      <c r="O102" s="32">
        <v>50</v>
      </c>
      <c r="P102" s="83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194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200</v>
      </c>
      <c r="B103" s="54" t="s">
        <v>201</v>
      </c>
      <c r="C103" s="31">
        <v>4301011415</v>
      </c>
      <c r="D103" s="560">
        <v>4680115880429</v>
      </c>
      <c r="E103" s="561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112</v>
      </c>
      <c r="M103" s="33" t="s">
        <v>80</v>
      </c>
      <c r="N103" s="33"/>
      <c r="O103" s="32">
        <v>50</v>
      </c>
      <c r="P103" s="65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187</v>
      </c>
      <c r="Y103" s="554">
        <f>IFERROR(IF(X103="",0,CEILING((X103/$H103),1)*$H103),"")</f>
        <v>189</v>
      </c>
      <c r="Z103" s="36">
        <f>IFERROR(IF(Y103=0,"",ROUNDUP(Y103/H103,0)*0.00902),"")</f>
        <v>0.37884000000000001</v>
      </c>
      <c r="AA103" s="56"/>
      <c r="AB103" s="57"/>
      <c r="AC103" s="149" t="s">
        <v>194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194.89555555555557</v>
      </c>
      <c r="BN103" s="64">
        <f>IFERROR(Y103*I103/H103,"0")</f>
        <v>196.98000000000002</v>
      </c>
      <c r="BO103" s="64">
        <f>IFERROR(1/J103*(X103/H103),"0")</f>
        <v>0.31481481481481483</v>
      </c>
      <c r="BP103" s="64">
        <f>IFERROR(1/J103*(Y103/H103),"0")</f>
        <v>0.31818181818181818</v>
      </c>
    </row>
    <row r="104" spans="1:68" ht="37.5" customHeight="1" x14ac:dyDescent="0.25">
      <c r="A104" s="54" t="s">
        <v>202</v>
      </c>
      <c r="B104" s="54" t="s">
        <v>203</v>
      </c>
      <c r="C104" s="31">
        <v>4301011462</v>
      </c>
      <c r="D104" s="560">
        <v>4680115881457</v>
      </c>
      <c r="E104" s="561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194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82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83"/>
      <c r="P105" s="572" t="s">
        <v>75</v>
      </c>
      <c r="Q105" s="573"/>
      <c r="R105" s="573"/>
      <c r="S105" s="573"/>
      <c r="T105" s="573"/>
      <c r="U105" s="573"/>
      <c r="V105" s="574"/>
      <c r="W105" s="37" t="s">
        <v>76</v>
      </c>
      <c r="X105" s="555">
        <f>IFERROR(X100/H100,"0")+IFERROR(X101/H101,"0")+IFERROR(X102/H102,"0")+IFERROR(X103/H103,"0")+IFERROR(X104/H104,"0")</f>
        <v>72.018518518518519</v>
      </c>
      <c r="Y105" s="555">
        <f>IFERROR(Y100/H100,"0")+IFERROR(Y101/H101,"0")+IFERROR(Y102/H102,"0")+IFERROR(Y103/H103,"0")+IFERROR(Y104/H104,"0")</f>
        <v>73</v>
      </c>
      <c r="Z105" s="555">
        <f>IFERROR(IF(Z100="",0,Z100),"0")+IFERROR(IF(Z101="",0,Z101),"0")+IFERROR(IF(Z102="",0,Z102),"0")+IFERROR(IF(Z103="",0,Z103),"0")+IFERROR(IF(Z104="",0,Z104),"0")</f>
        <v>0.96721999999999997</v>
      </c>
      <c r="AA105" s="556"/>
      <c r="AB105" s="556"/>
      <c r="AC105" s="556"/>
    </row>
    <row r="106" spans="1:68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83"/>
      <c r="P106" s="572" t="s">
        <v>75</v>
      </c>
      <c r="Q106" s="573"/>
      <c r="R106" s="573"/>
      <c r="S106" s="573"/>
      <c r="T106" s="573"/>
      <c r="U106" s="573"/>
      <c r="V106" s="574"/>
      <c r="W106" s="37" t="s">
        <v>69</v>
      </c>
      <c r="X106" s="555">
        <f>IFERROR(SUM(X100:X104),"0")</f>
        <v>516</v>
      </c>
      <c r="Y106" s="555">
        <f>IFERROR(SUM(Y100:Y104),"0")</f>
        <v>523.79999999999995</v>
      </c>
      <c r="Z106" s="37"/>
      <c r="AA106" s="556"/>
      <c r="AB106" s="556"/>
      <c r="AC106" s="556"/>
    </row>
    <row r="107" spans="1:68" ht="14.25" customHeight="1" x14ac:dyDescent="0.25">
      <c r="A107" s="569" t="s">
        <v>137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customHeight="1" x14ac:dyDescent="0.25">
      <c r="A108" s="54" t="s">
        <v>204</v>
      </c>
      <c r="B108" s="54" t="s">
        <v>205</v>
      </c>
      <c r="C108" s="31">
        <v>4301020345</v>
      </c>
      <c r="D108" s="560">
        <v>4680115881488</v>
      </c>
      <c r="E108" s="561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8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67</v>
      </c>
      <c r="Y108" s="554">
        <f>IFERROR(IF(X108="",0,CEILING((X108/$H108),1)*$H108),"")</f>
        <v>75.600000000000009</v>
      </c>
      <c r="Z108" s="36">
        <f>IFERROR(IF(Y108=0,"",ROUNDUP(Y108/H108,0)*0.01898),"")</f>
        <v>0.13286000000000001</v>
      </c>
      <c r="AA108" s="56"/>
      <c r="AB108" s="57"/>
      <c r="AC108" s="153" t="s">
        <v>206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69.543518518518525</v>
      </c>
      <c r="BN108" s="64">
        <f>IFERROR(Y108*I108/H108,"0")</f>
        <v>78.47</v>
      </c>
      <c r="BO108" s="64">
        <f>IFERROR(1/J108*(X108/H108),"0")</f>
        <v>9.6932870370370364E-2</v>
      </c>
      <c r="BP108" s="64">
        <f>IFERROR(1/J108*(Y108/H108),"0")</f>
        <v>0.109375</v>
      </c>
    </row>
    <row r="109" spans="1:68" ht="27" customHeight="1" x14ac:dyDescent="0.25">
      <c r="A109" s="54" t="s">
        <v>207</v>
      </c>
      <c r="B109" s="54" t="s">
        <v>208</v>
      </c>
      <c r="C109" s="31">
        <v>4301020186</v>
      </c>
      <c r="D109" s="560">
        <v>4680115887664</v>
      </c>
      <c r="E109" s="561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209</v>
      </c>
      <c r="L109" s="32"/>
      <c r="M109" s="33" t="s">
        <v>68</v>
      </c>
      <c r="N109" s="33"/>
      <c r="O109" s="32">
        <v>30</v>
      </c>
      <c r="P109" s="79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210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211</v>
      </c>
      <c r="B110" s="54" t="s">
        <v>212</v>
      </c>
      <c r="C110" s="31">
        <v>4301020346</v>
      </c>
      <c r="D110" s="560">
        <v>4680115882775</v>
      </c>
      <c r="E110" s="561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5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206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213</v>
      </c>
      <c r="B111" s="54" t="s">
        <v>214</v>
      </c>
      <c r="C111" s="31">
        <v>4301020344</v>
      </c>
      <c r="D111" s="560">
        <v>4680115880658</v>
      </c>
      <c r="E111" s="561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 t="s">
        <v>215</v>
      </c>
      <c r="M111" s="33" t="s">
        <v>106</v>
      </c>
      <c r="N111" s="33"/>
      <c r="O111" s="32">
        <v>55</v>
      </c>
      <c r="P111" s="81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153</v>
      </c>
      <c r="Y111" s="554">
        <f>IFERROR(IF(X111="",0,CEILING((X111/$H111),1)*$H111),"")</f>
        <v>153.6</v>
      </c>
      <c r="Z111" s="36">
        <f>IFERROR(IF(Y111=0,"",ROUNDUP(Y111/H111,0)*0.00651),"")</f>
        <v>0.41664000000000001</v>
      </c>
      <c r="AA111" s="56"/>
      <c r="AB111" s="57"/>
      <c r="AC111" s="159" t="s">
        <v>206</v>
      </c>
      <c r="AG111" s="64"/>
      <c r="AJ111" s="68" t="s">
        <v>108</v>
      </c>
      <c r="AK111" s="68">
        <v>33.6</v>
      </c>
      <c r="BB111" s="160" t="s">
        <v>1</v>
      </c>
      <c r="BM111" s="64">
        <f>IFERROR(X111*I111/H111,"0")</f>
        <v>164.47500000000002</v>
      </c>
      <c r="BN111" s="64">
        <f>IFERROR(Y111*I111/H111,"0")</f>
        <v>165.12</v>
      </c>
      <c r="BO111" s="64">
        <f>IFERROR(1/J111*(X111/H111),"0")</f>
        <v>0.35027472527472531</v>
      </c>
      <c r="BP111" s="64">
        <f>IFERROR(1/J111*(Y111/H111),"0")</f>
        <v>0.35164835164835168</v>
      </c>
    </row>
    <row r="112" spans="1:68" x14ac:dyDescent="0.2">
      <c r="A112" s="582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83"/>
      <c r="P112" s="572" t="s">
        <v>75</v>
      </c>
      <c r="Q112" s="573"/>
      <c r="R112" s="573"/>
      <c r="S112" s="573"/>
      <c r="T112" s="573"/>
      <c r="U112" s="573"/>
      <c r="V112" s="574"/>
      <c r="W112" s="37" t="s">
        <v>76</v>
      </c>
      <c r="X112" s="555">
        <f>IFERROR(X108/H108,"0")+IFERROR(X109/H109,"0")+IFERROR(X110/H110,"0")+IFERROR(X111/H111,"0")</f>
        <v>69.953703703703709</v>
      </c>
      <c r="Y112" s="555">
        <f>IFERROR(Y108/H108,"0")+IFERROR(Y109/H109,"0")+IFERROR(Y110/H110,"0")+IFERROR(Y111/H111,"0")</f>
        <v>71</v>
      </c>
      <c r="Z112" s="555">
        <f>IFERROR(IF(Z108="",0,Z108),"0")+IFERROR(IF(Z109="",0,Z109),"0")+IFERROR(IF(Z110="",0,Z110),"0")+IFERROR(IF(Z111="",0,Z111),"0")</f>
        <v>0.54949999999999999</v>
      </c>
      <c r="AA112" s="556"/>
      <c r="AB112" s="556"/>
      <c r="AC112" s="556"/>
    </row>
    <row r="113" spans="1:68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83"/>
      <c r="P113" s="572" t="s">
        <v>75</v>
      </c>
      <c r="Q113" s="573"/>
      <c r="R113" s="573"/>
      <c r="S113" s="573"/>
      <c r="T113" s="573"/>
      <c r="U113" s="573"/>
      <c r="V113" s="574"/>
      <c r="W113" s="37" t="s">
        <v>69</v>
      </c>
      <c r="X113" s="555">
        <f>IFERROR(SUM(X108:X111),"0")</f>
        <v>220</v>
      </c>
      <c r="Y113" s="555">
        <f>IFERROR(SUM(Y108:Y111),"0")</f>
        <v>229.2</v>
      </c>
      <c r="Z113" s="37"/>
      <c r="AA113" s="556"/>
      <c r="AB113" s="556"/>
      <c r="AC113" s="556"/>
    </row>
    <row r="114" spans="1:68" ht="14.25" customHeight="1" x14ac:dyDescent="0.25">
      <c r="A114" s="569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60">
        <v>4607091385168</v>
      </c>
      <c r="E115" s="561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80</v>
      </c>
      <c r="Y115" s="554">
        <f>IFERROR(IF(X115="",0,CEILING((X115/$H115),1)*$H115),"")</f>
        <v>81</v>
      </c>
      <c r="Z115" s="36">
        <f>IFERROR(IF(Y115=0,"",ROUNDUP(Y115/H115,0)*0.01898),"")</f>
        <v>0.1898</v>
      </c>
      <c r="AA115" s="56"/>
      <c r="AB115" s="57"/>
      <c r="AC115" s="161" t="s">
        <v>218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84.819753086419752</v>
      </c>
      <c r="BN115" s="64">
        <f>IFERROR(Y115*I115/H115,"0")</f>
        <v>85.88</v>
      </c>
      <c r="BO115" s="64">
        <f>IFERROR(1/J115*(X115/H115),"0")</f>
        <v>0.15432098765432101</v>
      </c>
      <c r="BP115" s="64">
        <f>IFERROR(1/J115*(Y115/H115),"0")</f>
        <v>0.15625</v>
      </c>
    </row>
    <row r="116" spans="1:68" ht="27" customHeight="1" x14ac:dyDescent="0.25">
      <c r="A116" s="54" t="s">
        <v>219</v>
      </c>
      <c r="B116" s="54" t="s">
        <v>220</v>
      </c>
      <c r="C116" s="31">
        <v>4301051730</v>
      </c>
      <c r="D116" s="560">
        <v>4607091383256</v>
      </c>
      <c r="E116" s="561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221</v>
      </c>
      <c r="B117" s="54" t="s">
        <v>222</v>
      </c>
      <c r="C117" s="31">
        <v>4301051721</v>
      </c>
      <c r="D117" s="560">
        <v>4607091385748</v>
      </c>
      <c r="E117" s="561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215</v>
      </c>
      <c r="M117" s="33" t="s">
        <v>86</v>
      </c>
      <c r="N117" s="33"/>
      <c r="O117" s="32">
        <v>45</v>
      </c>
      <c r="P117" s="69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317</v>
      </c>
      <c r="Y117" s="554">
        <f>IFERROR(IF(X117="",0,CEILING((X117/$H117),1)*$H117),"")</f>
        <v>318.60000000000002</v>
      </c>
      <c r="Z117" s="36">
        <f>IFERROR(IF(Y117=0,"",ROUNDUP(Y117/H117,0)*0.00651),"")</f>
        <v>0.76817999999999997</v>
      </c>
      <c r="AA117" s="56"/>
      <c r="AB117" s="57"/>
      <c r="AC117" s="165" t="s">
        <v>218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346.58666666666664</v>
      </c>
      <c r="BN117" s="64">
        <f>IFERROR(Y117*I117/H117,"0")</f>
        <v>348.33599999999996</v>
      </c>
      <c r="BO117" s="64">
        <f>IFERROR(1/J117*(X117/H117),"0")</f>
        <v>0.6450956450956451</v>
      </c>
      <c r="BP117" s="64">
        <f>IFERROR(1/J117*(Y117/H117),"0")</f>
        <v>0.64835164835164838</v>
      </c>
    </row>
    <row r="118" spans="1:68" ht="16.5" customHeight="1" x14ac:dyDescent="0.25">
      <c r="A118" s="54" t="s">
        <v>223</v>
      </c>
      <c r="B118" s="54" t="s">
        <v>224</v>
      </c>
      <c r="C118" s="31">
        <v>4301051740</v>
      </c>
      <c r="D118" s="560">
        <v>4680115884533</v>
      </c>
      <c r="E118" s="561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68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0</v>
      </c>
      <c r="Y118" s="55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82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83"/>
      <c r="P119" s="572" t="s">
        <v>75</v>
      </c>
      <c r="Q119" s="573"/>
      <c r="R119" s="573"/>
      <c r="S119" s="573"/>
      <c r="T119" s="573"/>
      <c r="U119" s="573"/>
      <c r="V119" s="574"/>
      <c r="W119" s="37" t="s">
        <v>76</v>
      </c>
      <c r="X119" s="555">
        <f>IFERROR(X115/H115,"0")+IFERROR(X116/H116,"0")+IFERROR(X117/H117,"0")+IFERROR(X118/H118,"0")</f>
        <v>127.28395061728395</v>
      </c>
      <c r="Y119" s="555">
        <f>IFERROR(Y115/H115,"0")+IFERROR(Y116/H116,"0")+IFERROR(Y117/H117,"0")+IFERROR(Y118/H118,"0")</f>
        <v>128</v>
      </c>
      <c r="Z119" s="555">
        <f>IFERROR(IF(Z115="",0,Z115),"0")+IFERROR(IF(Z116="",0,Z116),"0")+IFERROR(IF(Z117="",0,Z117),"0")+IFERROR(IF(Z118="",0,Z118),"0")</f>
        <v>0.95797999999999994</v>
      </c>
      <c r="AA119" s="556"/>
      <c r="AB119" s="556"/>
      <c r="AC119" s="556"/>
    </row>
    <row r="120" spans="1:68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83"/>
      <c r="P120" s="572" t="s">
        <v>75</v>
      </c>
      <c r="Q120" s="573"/>
      <c r="R120" s="573"/>
      <c r="S120" s="573"/>
      <c r="T120" s="573"/>
      <c r="U120" s="573"/>
      <c r="V120" s="574"/>
      <c r="W120" s="37" t="s">
        <v>69</v>
      </c>
      <c r="X120" s="555">
        <f>IFERROR(SUM(X115:X118),"0")</f>
        <v>397</v>
      </c>
      <c r="Y120" s="555">
        <f>IFERROR(SUM(Y115:Y118),"0")</f>
        <v>399.6</v>
      </c>
      <c r="Z120" s="37"/>
      <c r="AA120" s="556"/>
      <c r="AB120" s="556"/>
      <c r="AC120" s="556"/>
    </row>
    <row r="121" spans="1:68" ht="14.25" customHeight="1" x14ac:dyDescent="0.25">
      <c r="A121" s="569" t="s">
        <v>162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customHeight="1" x14ac:dyDescent="0.25">
      <c r="A122" s="54" t="s">
        <v>226</v>
      </c>
      <c r="B122" s="54" t="s">
        <v>227</v>
      </c>
      <c r="C122" s="31">
        <v>4301060317</v>
      </c>
      <c r="D122" s="560">
        <v>4680115880238</v>
      </c>
      <c r="E122" s="561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2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0</v>
      </c>
      <c r="Y122" s="554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582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83"/>
      <c r="P123" s="572" t="s">
        <v>75</v>
      </c>
      <c r="Q123" s="573"/>
      <c r="R123" s="573"/>
      <c r="S123" s="573"/>
      <c r="T123" s="573"/>
      <c r="U123" s="573"/>
      <c r="V123" s="574"/>
      <c r="W123" s="37" t="s">
        <v>76</v>
      </c>
      <c r="X123" s="555">
        <f>IFERROR(X122/H122,"0")</f>
        <v>0</v>
      </c>
      <c r="Y123" s="555">
        <f>IFERROR(Y122/H122,"0")</f>
        <v>0</v>
      </c>
      <c r="Z123" s="555">
        <f>IFERROR(IF(Z122="",0,Z122),"0")</f>
        <v>0</v>
      </c>
      <c r="AA123" s="556"/>
      <c r="AB123" s="556"/>
      <c r="AC123" s="556"/>
    </row>
    <row r="124" spans="1:68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83"/>
      <c r="P124" s="572" t="s">
        <v>75</v>
      </c>
      <c r="Q124" s="573"/>
      <c r="R124" s="573"/>
      <c r="S124" s="573"/>
      <c r="T124" s="573"/>
      <c r="U124" s="573"/>
      <c r="V124" s="574"/>
      <c r="W124" s="37" t="s">
        <v>69</v>
      </c>
      <c r="X124" s="555">
        <f>IFERROR(SUM(X122:X122),"0")</f>
        <v>0</v>
      </c>
      <c r="Y124" s="555">
        <f>IFERROR(SUM(Y122:Y122),"0")</f>
        <v>0</v>
      </c>
      <c r="Z124" s="37"/>
      <c r="AA124" s="556"/>
      <c r="AB124" s="556"/>
      <c r="AC124" s="556"/>
    </row>
    <row r="125" spans="1:68" ht="16.5" customHeight="1" x14ac:dyDescent="0.25">
      <c r="A125" s="567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customHeight="1" x14ac:dyDescent="0.25">
      <c r="A126" s="569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customHeight="1" x14ac:dyDescent="0.25">
      <c r="A127" s="54" t="s">
        <v>230</v>
      </c>
      <c r="B127" s="54" t="s">
        <v>231</v>
      </c>
      <c r="C127" s="31">
        <v>4301011562</v>
      </c>
      <c r="D127" s="560">
        <v>4680115882577</v>
      </c>
      <c r="E127" s="561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/>
      <c r="M127" s="33" t="s">
        <v>96</v>
      </c>
      <c r="N127" s="33"/>
      <c r="O127" s="32">
        <v>90</v>
      </c>
      <c r="P127" s="83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0</v>
      </c>
      <c r="Y127" s="554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customHeight="1" x14ac:dyDescent="0.25">
      <c r="A128" s="54" t="s">
        <v>230</v>
      </c>
      <c r="B128" s="54" t="s">
        <v>233</v>
      </c>
      <c r="C128" s="31">
        <v>4301011564</v>
      </c>
      <c r="D128" s="560">
        <v>4680115882577</v>
      </c>
      <c r="E128" s="561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/>
      <c r="M128" s="33" t="s">
        <v>96</v>
      </c>
      <c r="N128" s="33"/>
      <c r="O128" s="32">
        <v>90</v>
      </c>
      <c r="P128" s="84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82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83"/>
      <c r="P129" s="572" t="s">
        <v>75</v>
      </c>
      <c r="Q129" s="573"/>
      <c r="R129" s="573"/>
      <c r="S129" s="573"/>
      <c r="T129" s="573"/>
      <c r="U129" s="573"/>
      <c r="V129" s="574"/>
      <c r="W129" s="37" t="s">
        <v>76</v>
      </c>
      <c r="X129" s="555">
        <f>IFERROR(X127/H127,"0")+IFERROR(X128/H128,"0")</f>
        <v>0</v>
      </c>
      <c r="Y129" s="555">
        <f>IFERROR(Y127/H127,"0")+IFERROR(Y128/H128,"0")</f>
        <v>0</v>
      </c>
      <c r="Z129" s="555">
        <f>IFERROR(IF(Z127="",0,Z127),"0")+IFERROR(IF(Z128="",0,Z128),"0")</f>
        <v>0</v>
      </c>
      <c r="AA129" s="556"/>
      <c r="AB129" s="556"/>
      <c r="AC129" s="556"/>
    </row>
    <row r="130" spans="1:68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83"/>
      <c r="P130" s="572" t="s">
        <v>75</v>
      </c>
      <c r="Q130" s="573"/>
      <c r="R130" s="573"/>
      <c r="S130" s="573"/>
      <c r="T130" s="573"/>
      <c r="U130" s="573"/>
      <c r="V130" s="574"/>
      <c r="W130" s="37" t="s">
        <v>69</v>
      </c>
      <c r="X130" s="555">
        <f>IFERROR(SUM(X127:X128),"0")</f>
        <v>0</v>
      </c>
      <c r="Y130" s="555">
        <f>IFERROR(SUM(Y127:Y128),"0")</f>
        <v>0</v>
      </c>
      <c r="Z130" s="37"/>
      <c r="AA130" s="556"/>
      <c r="AB130" s="556"/>
      <c r="AC130" s="556"/>
    </row>
    <row r="131" spans="1:68" ht="14.25" customHeight="1" x14ac:dyDescent="0.25">
      <c r="A131" s="569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customHeight="1" x14ac:dyDescent="0.25">
      <c r="A132" s="54" t="s">
        <v>234</v>
      </c>
      <c r="B132" s="54" t="s">
        <v>235</v>
      </c>
      <c r="C132" s="31">
        <v>4301031235</v>
      </c>
      <c r="D132" s="560">
        <v>4680115883444</v>
      </c>
      <c r="E132" s="561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71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234</v>
      </c>
      <c r="B133" s="54" t="s">
        <v>237</v>
      </c>
      <c r="C133" s="31">
        <v>4301031234</v>
      </c>
      <c r="D133" s="560">
        <v>4680115883444</v>
      </c>
      <c r="E133" s="561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/>
      <c r="M133" s="33" t="s">
        <v>96</v>
      </c>
      <c r="N133" s="33"/>
      <c r="O133" s="32">
        <v>90</v>
      </c>
      <c r="P133" s="83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0</v>
      </c>
      <c r="Y133" s="55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582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83"/>
      <c r="P134" s="572" t="s">
        <v>75</v>
      </c>
      <c r="Q134" s="573"/>
      <c r="R134" s="573"/>
      <c r="S134" s="573"/>
      <c r="T134" s="573"/>
      <c r="U134" s="573"/>
      <c r="V134" s="574"/>
      <c r="W134" s="37" t="s">
        <v>76</v>
      </c>
      <c r="X134" s="555">
        <f>IFERROR(X132/H132,"0")+IFERROR(X133/H133,"0")</f>
        <v>0</v>
      </c>
      <c r="Y134" s="555">
        <f>IFERROR(Y132/H132,"0")+IFERROR(Y133/H133,"0")</f>
        <v>0</v>
      </c>
      <c r="Z134" s="555">
        <f>IFERROR(IF(Z132="",0,Z132),"0")+IFERROR(IF(Z133="",0,Z133),"0")</f>
        <v>0</v>
      </c>
      <c r="AA134" s="556"/>
      <c r="AB134" s="556"/>
      <c r="AC134" s="556"/>
    </row>
    <row r="135" spans="1:68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83"/>
      <c r="P135" s="572" t="s">
        <v>75</v>
      </c>
      <c r="Q135" s="573"/>
      <c r="R135" s="573"/>
      <c r="S135" s="573"/>
      <c r="T135" s="573"/>
      <c r="U135" s="573"/>
      <c r="V135" s="574"/>
      <c r="W135" s="37" t="s">
        <v>69</v>
      </c>
      <c r="X135" s="555">
        <f>IFERROR(SUM(X132:X133),"0")</f>
        <v>0</v>
      </c>
      <c r="Y135" s="555">
        <f>IFERROR(SUM(Y132:Y133),"0")</f>
        <v>0</v>
      </c>
      <c r="Z135" s="37"/>
      <c r="AA135" s="556"/>
      <c r="AB135" s="556"/>
      <c r="AC135" s="556"/>
    </row>
    <row r="136" spans="1:68" ht="14.25" customHeight="1" x14ac:dyDescent="0.25">
      <c r="A136" s="569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customHeight="1" x14ac:dyDescent="0.25">
      <c r="A137" s="54" t="s">
        <v>238</v>
      </c>
      <c r="B137" s="54" t="s">
        <v>239</v>
      </c>
      <c r="C137" s="31">
        <v>4301051477</v>
      </c>
      <c r="D137" s="560">
        <v>4680115882584</v>
      </c>
      <c r="E137" s="561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70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238</v>
      </c>
      <c r="B138" s="54" t="s">
        <v>240</v>
      </c>
      <c r="C138" s="31">
        <v>4301051476</v>
      </c>
      <c r="D138" s="560">
        <v>4680115882584</v>
      </c>
      <c r="E138" s="561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3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0</v>
      </c>
      <c r="Y138" s="55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582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83"/>
      <c r="P139" s="572" t="s">
        <v>75</v>
      </c>
      <c r="Q139" s="573"/>
      <c r="R139" s="573"/>
      <c r="S139" s="573"/>
      <c r="T139" s="573"/>
      <c r="U139" s="573"/>
      <c r="V139" s="574"/>
      <c r="W139" s="37" t="s">
        <v>76</v>
      </c>
      <c r="X139" s="555">
        <f>IFERROR(X137/H137,"0")+IFERROR(X138/H138,"0")</f>
        <v>0</v>
      </c>
      <c r="Y139" s="555">
        <f>IFERROR(Y137/H137,"0")+IFERROR(Y138/H138,"0")</f>
        <v>0</v>
      </c>
      <c r="Z139" s="555">
        <f>IFERROR(IF(Z137="",0,Z137),"0")+IFERROR(IF(Z138="",0,Z138),"0")</f>
        <v>0</v>
      </c>
      <c r="AA139" s="556"/>
      <c r="AB139" s="556"/>
      <c r="AC139" s="556"/>
    </row>
    <row r="140" spans="1:68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83"/>
      <c r="P140" s="572" t="s">
        <v>75</v>
      </c>
      <c r="Q140" s="573"/>
      <c r="R140" s="573"/>
      <c r="S140" s="573"/>
      <c r="T140" s="573"/>
      <c r="U140" s="573"/>
      <c r="V140" s="574"/>
      <c r="W140" s="37" t="s">
        <v>69</v>
      </c>
      <c r="X140" s="555">
        <f>IFERROR(SUM(X137:X138),"0")</f>
        <v>0</v>
      </c>
      <c r="Y140" s="555">
        <f>IFERROR(SUM(Y137:Y138),"0")</f>
        <v>0</v>
      </c>
      <c r="Z140" s="37"/>
      <c r="AA140" s="556"/>
      <c r="AB140" s="556"/>
      <c r="AC140" s="556"/>
    </row>
    <row r="141" spans="1:68" ht="16.5" customHeight="1" x14ac:dyDescent="0.25">
      <c r="A141" s="567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customHeight="1" x14ac:dyDescent="0.25">
      <c r="A142" s="569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customHeight="1" x14ac:dyDescent="0.25">
      <c r="A143" s="54" t="s">
        <v>241</v>
      </c>
      <c r="B143" s="54" t="s">
        <v>242</v>
      </c>
      <c r="C143" s="31">
        <v>4301012244</v>
      </c>
      <c r="D143" s="560">
        <v>4680115887374</v>
      </c>
      <c r="E143" s="561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244</v>
      </c>
      <c r="B144" s="54" t="s">
        <v>245</v>
      </c>
      <c r="C144" s="31">
        <v>4301011705</v>
      </c>
      <c r="D144" s="560">
        <v>4607091384604</v>
      </c>
      <c r="E144" s="561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6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582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83"/>
      <c r="P145" s="572" t="s">
        <v>75</v>
      </c>
      <c r="Q145" s="573"/>
      <c r="R145" s="573"/>
      <c r="S145" s="573"/>
      <c r="T145" s="573"/>
      <c r="U145" s="573"/>
      <c r="V145" s="574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83"/>
      <c r="P146" s="572" t="s">
        <v>75</v>
      </c>
      <c r="Q146" s="573"/>
      <c r="R146" s="573"/>
      <c r="S146" s="573"/>
      <c r="T146" s="573"/>
      <c r="U146" s="573"/>
      <c r="V146" s="574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customHeight="1" x14ac:dyDescent="0.25">
      <c r="A147" s="569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customHeight="1" x14ac:dyDescent="0.25">
      <c r="A148" s="54" t="s">
        <v>247</v>
      </c>
      <c r="B148" s="54" t="s">
        <v>248</v>
      </c>
      <c r="C148" s="31">
        <v>4301030895</v>
      </c>
      <c r="D148" s="560">
        <v>4607091387667</v>
      </c>
      <c r="E148" s="561"/>
      <c r="F148" s="552">
        <v>0.9</v>
      </c>
      <c r="G148" s="32">
        <v>10</v>
      </c>
      <c r="H148" s="552">
        <v>9</v>
      </c>
      <c r="I148" s="552">
        <v>9.56</v>
      </c>
      <c r="J148" s="32">
        <v>64</v>
      </c>
      <c r="K148" s="32" t="s">
        <v>104</v>
      </c>
      <c r="L148" s="32"/>
      <c r="M148" s="33" t="s">
        <v>106</v>
      </c>
      <c r="N148" s="33"/>
      <c r="O148" s="32">
        <v>40</v>
      </c>
      <c r="P148" s="645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customHeight="1" x14ac:dyDescent="0.25">
      <c r="A149" s="54" t="s">
        <v>250</v>
      </c>
      <c r="B149" s="54" t="s">
        <v>251</v>
      </c>
      <c r="C149" s="31">
        <v>4301031450</v>
      </c>
      <c r="D149" s="560">
        <v>4680115887428</v>
      </c>
      <c r="E149" s="561"/>
      <c r="F149" s="552">
        <v>0.7</v>
      </c>
      <c r="G149" s="32">
        <v>6</v>
      </c>
      <c r="H149" s="552">
        <v>4.2</v>
      </c>
      <c r="I149" s="552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75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customHeight="1" x14ac:dyDescent="0.25">
      <c r="A150" s="54" t="s">
        <v>253</v>
      </c>
      <c r="B150" s="54" t="s">
        <v>254</v>
      </c>
      <c r="C150" s="31">
        <v>4301030961</v>
      </c>
      <c r="D150" s="560">
        <v>4607091387636</v>
      </c>
      <c r="E150" s="561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8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256</v>
      </c>
      <c r="B151" s="54" t="s">
        <v>257</v>
      </c>
      <c r="C151" s="31">
        <v>4301031453</v>
      </c>
      <c r="D151" s="560">
        <v>4680115887336</v>
      </c>
      <c r="E151" s="561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82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259</v>
      </c>
      <c r="B152" s="54" t="s">
        <v>260</v>
      </c>
      <c r="C152" s="31">
        <v>4301030963</v>
      </c>
      <c r="D152" s="560">
        <v>4607091382426</v>
      </c>
      <c r="E152" s="561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262</v>
      </c>
      <c r="B153" s="54" t="s">
        <v>263</v>
      </c>
      <c r="C153" s="31">
        <v>4301031456</v>
      </c>
      <c r="D153" s="560">
        <v>4680115887398</v>
      </c>
      <c r="E153" s="561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75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x14ac:dyDescent="0.2">
      <c r="A154" s="582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83"/>
      <c r="P154" s="572" t="s">
        <v>75</v>
      </c>
      <c r="Q154" s="573"/>
      <c r="R154" s="573"/>
      <c r="S154" s="573"/>
      <c r="T154" s="573"/>
      <c r="U154" s="573"/>
      <c r="V154" s="574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83"/>
      <c r="P155" s="572" t="s">
        <v>75</v>
      </c>
      <c r="Q155" s="573"/>
      <c r="R155" s="573"/>
      <c r="S155" s="573"/>
      <c r="T155" s="573"/>
      <c r="U155" s="573"/>
      <c r="V155" s="574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customHeight="1" x14ac:dyDescent="0.25">
      <c r="A156" s="569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customHeight="1" x14ac:dyDescent="0.25">
      <c r="A157" s="54" t="s">
        <v>265</v>
      </c>
      <c r="B157" s="54" t="s">
        <v>266</v>
      </c>
      <c r="C157" s="31">
        <v>4301052064</v>
      </c>
      <c r="D157" s="560">
        <v>4680115887459</v>
      </c>
      <c r="E157" s="561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82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83"/>
      <c r="P158" s="572" t="s">
        <v>75</v>
      </c>
      <c r="Q158" s="573"/>
      <c r="R158" s="573"/>
      <c r="S158" s="573"/>
      <c r="T158" s="573"/>
      <c r="U158" s="573"/>
      <c r="V158" s="574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83"/>
      <c r="P159" s="572" t="s">
        <v>75</v>
      </c>
      <c r="Q159" s="573"/>
      <c r="R159" s="573"/>
      <c r="S159" s="573"/>
      <c r="T159" s="573"/>
      <c r="U159" s="573"/>
      <c r="V159" s="574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customHeight="1" x14ac:dyDescent="0.2">
      <c r="A160" s="630" t="s">
        <v>268</v>
      </c>
      <c r="B160" s="631"/>
      <c r="C160" s="631"/>
      <c r="D160" s="631"/>
      <c r="E160" s="631"/>
      <c r="F160" s="631"/>
      <c r="G160" s="631"/>
      <c r="H160" s="631"/>
      <c r="I160" s="631"/>
      <c r="J160" s="631"/>
      <c r="K160" s="631"/>
      <c r="L160" s="631"/>
      <c r="M160" s="631"/>
      <c r="N160" s="631"/>
      <c r="O160" s="631"/>
      <c r="P160" s="631"/>
      <c r="Q160" s="631"/>
      <c r="R160" s="631"/>
      <c r="S160" s="631"/>
      <c r="T160" s="631"/>
      <c r="U160" s="631"/>
      <c r="V160" s="631"/>
      <c r="W160" s="631"/>
      <c r="X160" s="631"/>
      <c r="Y160" s="631"/>
      <c r="Z160" s="631"/>
      <c r="AA160" s="48"/>
      <c r="AB160" s="48"/>
      <c r="AC160" s="48"/>
    </row>
    <row r="161" spans="1:68" ht="16.5" customHeight="1" x14ac:dyDescent="0.25">
      <c r="A161" s="567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customHeight="1" x14ac:dyDescent="0.25">
      <c r="A162" s="569" t="s">
        <v>137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customHeight="1" x14ac:dyDescent="0.25">
      <c r="A163" s="54" t="s">
        <v>270</v>
      </c>
      <c r="B163" s="54" t="s">
        <v>271</v>
      </c>
      <c r="C163" s="31">
        <v>4301020323</v>
      </c>
      <c r="D163" s="560">
        <v>4680115886223</v>
      </c>
      <c r="E163" s="561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82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83"/>
      <c r="P164" s="572" t="s">
        <v>75</v>
      </c>
      <c r="Q164" s="573"/>
      <c r="R164" s="573"/>
      <c r="S164" s="573"/>
      <c r="T164" s="573"/>
      <c r="U164" s="573"/>
      <c r="V164" s="574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83"/>
      <c r="P165" s="572" t="s">
        <v>75</v>
      </c>
      <c r="Q165" s="573"/>
      <c r="R165" s="573"/>
      <c r="S165" s="573"/>
      <c r="T165" s="573"/>
      <c r="U165" s="573"/>
      <c r="V165" s="574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customHeight="1" x14ac:dyDescent="0.25">
      <c r="A166" s="569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customHeight="1" x14ac:dyDescent="0.25">
      <c r="A167" s="54" t="s">
        <v>273</v>
      </c>
      <c r="B167" s="54" t="s">
        <v>274</v>
      </c>
      <c r="C167" s="31">
        <v>4301031463</v>
      </c>
      <c r="D167" s="560">
        <v>4680115887824</v>
      </c>
      <c r="E167" s="561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689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customHeight="1" x14ac:dyDescent="0.25">
      <c r="A168" s="54" t="s">
        <v>279</v>
      </c>
      <c r="B168" s="54" t="s">
        <v>280</v>
      </c>
      <c r="C168" s="31">
        <v>4301031464</v>
      </c>
      <c r="D168" s="560">
        <v>4680115887701</v>
      </c>
      <c r="E168" s="561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56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0">
        <v>4680115880993</v>
      </c>
      <c r="E169" s="561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 t="s">
        <v>112</v>
      </c>
      <c r="M169" s="33" t="s">
        <v>68</v>
      </c>
      <c r="N169" s="33"/>
      <c r="O169" s="32">
        <v>40</v>
      </c>
      <c r="P169" s="69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81</v>
      </c>
      <c r="Y169" s="554">
        <f t="shared" si="10"/>
        <v>84</v>
      </c>
      <c r="Z169" s="36">
        <f>IFERROR(IF(Y169=0,"",ROUNDUP(Y169/H169,0)*0.00902),"")</f>
        <v>0.1804</v>
      </c>
      <c r="AA169" s="56"/>
      <c r="AB169" s="57"/>
      <c r="AC169" s="207" t="s">
        <v>284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85.821428571428569</v>
      </c>
      <c r="BN169" s="64">
        <f t="shared" si="12"/>
        <v>89</v>
      </c>
      <c r="BO169" s="64">
        <f t="shared" si="13"/>
        <v>0.1461038961038961</v>
      </c>
      <c r="BP169" s="64">
        <f t="shared" si="14"/>
        <v>0.15151515151515152</v>
      </c>
    </row>
    <row r="170" spans="1:68" ht="27" customHeight="1" x14ac:dyDescent="0.25">
      <c r="A170" s="54" t="s">
        <v>285</v>
      </c>
      <c r="B170" s="54" t="s">
        <v>286</v>
      </c>
      <c r="C170" s="31">
        <v>4301031204</v>
      </c>
      <c r="D170" s="560">
        <v>4680115881761</v>
      </c>
      <c r="E170" s="561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/>
      <c r="M170" s="33" t="s">
        <v>68</v>
      </c>
      <c r="N170" s="33"/>
      <c r="O170" s="32">
        <v>40</v>
      </c>
      <c r="P170" s="60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0</v>
      </c>
      <c r="Y170" s="554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0">
        <v>4680115881563</v>
      </c>
      <c r="E171" s="561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112</v>
      </c>
      <c r="M171" s="33" t="s">
        <v>68</v>
      </c>
      <c r="N171" s="33"/>
      <c r="O171" s="32">
        <v>40</v>
      </c>
      <c r="P171" s="63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293</v>
      </c>
      <c r="Y171" s="554">
        <f t="shared" si="10"/>
        <v>294</v>
      </c>
      <c r="Z171" s="36">
        <f>IFERROR(IF(Y171=0,"",ROUNDUP(Y171/H171,0)*0.00902),"")</f>
        <v>0.63139999999999996</v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306.25476190476189</v>
      </c>
      <c r="BN171" s="64">
        <f t="shared" si="12"/>
        <v>307.29999999999995</v>
      </c>
      <c r="BO171" s="64">
        <f t="shared" si="13"/>
        <v>0.52849927849927847</v>
      </c>
      <c r="BP171" s="64">
        <f t="shared" si="14"/>
        <v>0.53030303030303028</v>
      </c>
    </row>
    <row r="172" spans="1:68" ht="37.5" customHeight="1" x14ac:dyDescent="0.25">
      <c r="A172" s="54" t="s">
        <v>291</v>
      </c>
      <c r="B172" s="54" t="s">
        <v>292</v>
      </c>
      <c r="C172" s="31">
        <v>4301031447</v>
      </c>
      <c r="D172" s="560">
        <v>4680115887565</v>
      </c>
      <c r="E172" s="561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58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0">
        <v>4680115880986</v>
      </c>
      <c r="E173" s="561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134</v>
      </c>
      <c r="Y173" s="554">
        <f t="shared" si="10"/>
        <v>134.4</v>
      </c>
      <c r="Z173" s="36">
        <f>IFERROR(IF(Y173=0,"",ROUNDUP(Y173/H173,0)*0.00502),"")</f>
        <v>0.32128000000000001</v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142.29523809523809</v>
      </c>
      <c r="BN173" s="64">
        <f t="shared" si="12"/>
        <v>142.72</v>
      </c>
      <c r="BO173" s="64">
        <f t="shared" si="13"/>
        <v>0.27269027269027274</v>
      </c>
      <c r="BP173" s="64">
        <f t="shared" si="14"/>
        <v>0.27350427350427353</v>
      </c>
    </row>
    <row r="174" spans="1:68" ht="27" customHeight="1" x14ac:dyDescent="0.25">
      <c r="A174" s="54" t="s">
        <v>297</v>
      </c>
      <c r="B174" s="54" t="s">
        <v>298</v>
      </c>
      <c r="C174" s="31">
        <v>4301031443</v>
      </c>
      <c r="D174" s="560">
        <v>4680115887213</v>
      </c>
      <c r="E174" s="561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7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300</v>
      </c>
      <c r="B175" s="54" t="s">
        <v>301</v>
      </c>
      <c r="C175" s="31">
        <v>4301031205</v>
      </c>
      <c r="D175" s="560">
        <v>4680115881785</v>
      </c>
      <c r="E175" s="561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80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0</v>
      </c>
      <c r="Y175" s="554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302</v>
      </c>
      <c r="B176" s="54" t="s">
        <v>303</v>
      </c>
      <c r="C176" s="31">
        <v>4301031399</v>
      </c>
      <c r="D176" s="560">
        <v>4680115886537</v>
      </c>
      <c r="E176" s="561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 t="s">
        <v>296</v>
      </c>
      <c r="M176" s="33" t="s">
        <v>68</v>
      </c>
      <c r="N176" s="33"/>
      <c r="O176" s="32">
        <v>40</v>
      </c>
      <c r="P176" s="81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70</v>
      </c>
      <c r="Y176" s="554">
        <f t="shared" si="10"/>
        <v>70.2</v>
      </c>
      <c r="Z176" s="36">
        <f>IFERROR(IF(Y176=0,"",ROUNDUP(Y176/H176,0)*0.00502),"")</f>
        <v>0.19578000000000001</v>
      </c>
      <c r="AA176" s="56"/>
      <c r="AB176" s="57"/>
      <c r="AC176" s="221" t="s">
        <v>304</v>
      </c>
      <c r="AG176" s="64"/>
      <c r="AJ176" s="68" t="s">
        <v>108</v>
      </c>
      <c r="AK176" s="68">
        <v>32.4</v>
      </c>
      <c r="BB176" s="222" t="s">
        <v>1</v>
      </c>
      <c r="BM176" s="64">
        <f t="shared" si="11"/>
        <v>75.055555555555557</v>
      </c>
      <c r="BN176" s="64">
        <f t="shared" si="12"/>
        <v>75.27</v>
      </c>
      <c r="BO176" s="64">
        <f t="shared" si="13"/>
        <v>0.16619183285849953</v>
      </c>
      <c r="BP176" s="64">
        <f t="shared" si="14"/>
        <v>0.16666666666666669</v>
      </c>
    </row>
    <row r="177" spans="1:68" ht="27" customHeight="1" x14ac:dyDescent="0.25">
      <c r="A177" s="54" t="s">
        <v>305</v>
      </c>
      <c r="B177" s="54" t="s">
        <v>306</v>
      </c>
      <c r="C177" s="31">
        <v>4301031279</v>
      </c>
      <c r="D177" s="560">
        <v>4680115887596</v>
      </c>
      <c r="E177" s="561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175</v>
      </c>
      <c r="L177" s="32"/>
      <c r="M177" s="33" t="s">
        <v>68</v>
      </c>
      <c r="N177" s="33"/>
      <c r="O177" s="32">
        <v>45</v>
      </c>
      <c r="P177" s="80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0">
        <v>4680115881679</v>
      </c>
      <c r="E178" s="561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315</v>
      </c>
      <c r="Y178" s="554">
        <f t="shared" si="10"/>
        <v>315</v>
      </c>
      <c r="Z178" s="36">
        <f>IFERROR(IF(Y178=0,"",ROUNDUP(Y178/H178,0)*0.00502),"")</f>
        <v>0.753</v>
      </c>
      <c r="AA178" s="56"/>
      <c r="AB178" s="57"/>
      <c r="AC178" s="225" t="s">
        <v>290</v>
      </c>
      <c r="AG178" s="64"/>
      <c r="AJ178" s="68" t="s">
        <v>108</v>
      </c>
      <c r="AK178" s="68">
        <v>37.799999999999997</v>
      </c>
      <c r="BB178" s="226" t="s">
        <v>1</v>
      </c>
      <c r="BM178" s="64">
        <f t="shared" si="11"/>
        <v>330</v>
      </c>
      <c r="BN178" s="64">
        <f t="shared" si="12"/>
        <v>330</v>
      </c>
      <c r="BO178" s="64">
        <f t="shared" si="13"/>
        <v>0.64102564102564108</v>
      </c>
      <c r="BP178" s="64">
        <f t="shared" si="14"/>
        <v>0.64102564102564108</v>
      </c>
    </row>
    <row r="179" spans="1:68" ht="27" customHeight="1" x14ac:dyDescent="0.25">
      <c r="A179" s="54" t="s">
        <v>310</v>
      </c>
      <c r="B179" s="54" t="s">
        <v>311</v>
      </c>
      <c r="C179" s="31">
        <v>4301031158</v>
      </c>
      <c r="D179" s="560">
        <v>4680115880191</v>
      </c>
      <c r="E179" s="561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customHeight="1" x14ac:dyDescent="0.25">
      <c r="A180" s="54" t="s">
        <v>312</v>
      </c>
      <c r="B180" s="54" t="s">
        <v>313</v>
      </c>
      <c r="C180" s="31">
        <v>4301031245</v>
      </c>
      <c r="D180" s="560">
        <v>4680115883963</v>
      </c>
      <c r="E180" s="561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68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82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83"/>
      <c r="P181" s="572" t="s">
        <v>75</v>
      </c>
      <c r="Q181" s="573"/>
      <c r="R181" s="573"/>
      <c r="S181" s="573"/>
      <c r="T181" s="573"/>
      <c r="U181" s="573"/>
      <c r="V181" s="574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341.74603174603169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343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2.0818600000000003</v>
      </c>
      <c r="AA181" s="556"/>
      <c r="AB181" s="556"/>
      <c r="AC181" s="556"/>
    </row>
    <row r="182" spans="1:68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83"/>
      <c r="P182" s="572" t="s">
        <v>75</v>
      </c>
      <c r="Q182" s="573"/>
      <c r="R182" s="573"/>
      <c r="S182" s="573"/>
      <c r="T182" s="573"/>
      <c r="U182" s="573"/>
      <c r="V182" s="574"/>
      <c r="W182" s="37" t="s">
        <v>69</v>
      </c>
      <c r="X182" s="555">
        <f>IFERROR(SUM(X167:X180),"0")</f>
        <v>893</v>
      </c>
      <c r="Y182" s="555">
        <f>IFERROR(SUM(Y167:Y180),"0")</f>
        <v>897.6</v>
      </c>
      <c r="Z182" s="37"/>
      <c r="AA182" s="556"/>
      <c r="AB182" s="556"/>
      <c r="AC182" s="556"/>
    </row>
    <row r="183" spans="1:68" ht="14.25" customHeight="1" x14ac:dyDescent="0.25">
      <c r="A183" s="569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customHeight="1" x14ac:dyDescent="0.25">
      <c r="A184" s="54" t="s">
        <v>315</v>
      </c>
      <c r="B184" s="54" t="s">
        <v>316</v>
      </c>
      <c r="C184" s="31">
        <v>4301032053</v>
      </c>
      <c r="D184" s="560">
        <v>4680115886780</v>
      </c>
      <c r="E184" s="561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3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0</v>
      </c>
      <c r="Y184" s="554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319</v>
      </c>
      <c r="B185" s="54" t="s">
        <v>320</v>
      </c>
      <c r="C185" s="31">
        <v>4301032051</v>
      </c>
      <c r="D185" s="560">
        <v>4680115886742</v>
      </c>
      <c r="E185" s="561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2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7</v>
      </c>
      <c r="Y185" s="554">
        <f>IFERROR(IF(X185="",0,CEILING((X185/$H185),1)*$H185),"")</f>
        <v>7.5600000000000005</v>
      </c>
      <c r="Z185" s="36">
        <f>IFERROR(IF(Y185=0,"",ROUNDUP(Y185/H185,0)*0.0059),"")</f>
        <v>3.5400000000000001E-2</v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8.0555555555555554</v>
      </c>
      <c r="BN185" s="64">
        <f>IFERROR(Y185*I185/H185,"0")</f>
        <v>8.6999999999999993</v>
      </c>
      <c r="BO185" s="64">
        <f>IFERROR(1/J185*(X185/H185),"0")</f>
        <v>2.5720164609053495E-2</v>
      </c>
      <c r="BP185" s="64">
        <f>IFERROR(1/J185*(Y185/H185),"0")</f>
        <v>2.7777777777777776E-2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0">
        <v>4680115886766</v>
      </c>
      <c r="E186" s="561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13</v>
      </c>
      <c r="Y186" s="554">
        <f>IFERROR(IF(X186="",0,CEILING((X186/$H186),1)*$H186),"")</f>
        <v>13.86</v>
      </c>
      <c r="Z186" s="36">
        <f>IFERROR(IF(Y186=0,"",ROUNDUP(Y186/H186,0)*0.0059),"")</f>
        <v>6.4899999999999999E-2</v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14.960317460317459</v>
      </c>
      <c r="BN186" s="64">
        <f>IFERROR(Y186*I186/H186,"0")</f>
        <v>15.949999999999998</v>
      </c>
      <c r="BO186" s="64">
        <f>IFERROR(1/J186*(X186/H186),"0")</f>
        <v>4.776601998824221E-2</v>
      </c>
      <c r="BP186" s="64">
        <f>IFERROR(1/J186*(Y186/H186),"0")</f>
        <v>5.0925925925925923E-2</v>
      </c>
    </row>
    <row r="187" spans="1:68" x14ac:dyDescent="0.2">
      <c r="A187" s="582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83"/>
      <c r="P187" s="572" t="s">
        <v>75</v>
      </c>
      <c r="Q187" s="573"/>
      <c r="R187" s="573"/>
      <c r="S187" s="573"/>
      <c r="T187" s="573"/>
      <c r="U187" s="573"/>
      <c r="V187" s="574"/>
      <c r="W187" s="37" t="s">
        <v>76</v>
      </c>
      <c r="X187" s="555">
        <f>IFERROR(X184/H184,"0")+IFERROR(X185/H185,"0")+IFERROR(X186/H186,"0")</f>
        <v>15.873015873015873</v>
      </c>
      <c r="Y187" s="555">
        <f>IFERROR(Y184/H184,"0")+IFERROR(Y185/H185,"0")+IFERROR(Y186/H186,"0")</f>
        <v>17</v>
      </c>
      <c r="Z187" s="555">
        <f>IFERROR(IF(Z184="",0,Z184),"0")+IFERROR(IF(Z185="",0,Z185),"0")+IFERROR(IF(Z186="",0,Z186),"0")</f>
        <v>0.1003</v>
      </c>
      <c r="AA187" s="556"/>
      <c r="AB187" s="556"/>
      <c r="AC187" s="556"/>
    </row>
    <row r="188" spans="1:68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83"/>
      <c r="P188" s="572" t="s">
        <v>75</v>
      </c>
      <c r="Q188" s="573"/>
      <c r="R188" s="573"/>
      <c r="S188" s="573"/>
      <c r="T188" s="573"/>
      <c r="U188" s="573"/>
      <c r="V188" s="574"/>
      <c r="W188" s="37" t="s">
        <v>69</v>
      </c>
      <c r="X188" s="555">
        <f>IFERROR(SUM(X184:X186),"0")</f>
        <v>20</v>
      </c>
      <c r="Y188" s="555">
        <f>IFERROR(SUM(Y184:Y186),"0")</f>
        <v>21.42</v>
      </c>
      <c r="Z188" s="37"/>
      <c r="AA188" s="556"/>
      <c r="AB188" s="556"/>
      <c r="AC188" s="556"/>
    </row>
    <row r="189" spans="1:68" ht="14.25" customHeight="1" x14ac:dyDescent="0.25">
      <c r="A189" s="569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customHeight="1" x14ac:dyDescent="0.25">
      <c r="A190" s="54" t="s">
        <v>325</v>
      </c>
      <c r="B190" s="54" t="s">
        <v>326</v>
      </c>
      <c r="C190" s="31">
        <v>4301170013</v>
      </c>
      <c r="D190" s="560">
        <v>4680115886797</v>
      </c>
      <c r="E190" s="561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1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9</v>
      </c>
      <c r="Y190" s="554">
        <f>IFERROR(IF(X190="",0,CEILING((X190/$H190),1)*$H190),"")</f>
        <v>10.08</v>
      </c>
      <c r="Z190" s="36">
        <f>IFERROR(IF(Y190=0,"",ROUNDUP(Y190/H190,0)*0.0059),"")</f>
        <v>4.7199999999999999E-2</v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10.357142857142856</v>
      </c>
      <c r="BN190" s="64">
        <f>IFERROR(Y190*I190/H190,"0")</f>
        <v>11.6</v>
      </c>
      <c r="BO190" s="64">
        <f>IFERROR(1/J190*(X190/H190),"0")</f>
        <v>3.3068783068783067E-2</v>
      </c>
      <c r="BP190" s="64">
        <f>IFERROR(1/J190*(Y190/H190),"0")</f>
        <v>3.7037037037037035E-2</v>
      </c>
    </row>
    <row r="191" spans="1:68" x14ac:dyDescent="0.2">
      <c r="A191" s="582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83"/>
      <c r="P191" s="572" t="s">
        <v>75</v>
      </c>
      <c r="Q191" s="573"/>
      <c r="R191" s="573"/>
      <c r="S191" s="573"/>
      <c r="T191" s="573"/>
      <c r="U191" s="573"/>
      <c r="V191" s="574"/>
      <c r="W191" s="37" t="s">
        <v>76</v>
      </c>
      <c r="X191" s="555">
        <f>IFERROR(X190/H190,"0")</f>
        <v>7.1428571428571432</v>
      </c>
      <c r="Y191" s="555">
        <f>IFERROR(Y190/H190,"0")</f>
        <v>8</v>
      </c>
      <c r="Z191" s="555">
        <f>IFERROR(IF(Z190="",0,Z190),"0")</f>
        <v>4.7199999999999999E-2</v>
      </c>
      <c r="AA191" s="556"/>
      <c r="AB191" s="556"/>
      <c r="AC191" s="556"/>
    </row>
    <row r="192" spans="1:68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83"/>
      <c r="P192" s="572" t="s">
        <v>75</v>
      </c>
      <c r="Q192" s="573"/>
      <c r="R192" s="573"/>
      <c r="S192" s="573"/>
      <c r="T192" s="573"/>
      <c r="U192" s="573"/>
      <c r="V192" s="574"/>
      <c r="W192" s="37" t="s">
        <v>69</v>
      </c>
      <c r="X192" s="555">
        <f>IFERROR(SUM(X190:X190),"0")</f>
        <v>9</v>
      </c>
      <c r="Y192" s="555">
        <f>IFERROR(SUM(Y190:Y190),"0")</f>
        <v>10.08</v>
      </c>
      <c r="Z192" s="37"/>
      <c r="AA192" s="556"/>
      <c r="AB192" s="556"/>
      <c r="AC192" s="556"/>
    </row>
    <row r="193" spans="1:68" ht="16.5" customHeight="1" x14ac:dyDescent="0.25">
      <c r="A193" s="567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customHeight="1" x14ac:dyDescent="0.25">
      <c r="A194" s="569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customHeight="1" x14ac:dyDescent="0.25">
      <c r="A195" s="54" t="s">
        <v>328</v>
      </c>
      <c r="B195" s="54" t="s">
        <v>329</v>
      </c>
      <c r="C195" s="31">
        <v>4301011450</v>
      </c>
      <c r="D195" s="560">
        <v>4680115881402</v>
      </c>
      <c r="E195" s="561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69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331</v>
      </c>
      <c r="B196" s="54" t="s">
        <v>332</v>
      </c>
      <c r="C196" s="31">
        <v>4301011768</v>
      </c>
      <c r="D196" s="560">
        <v>4680115881396</v>
      </c>
      <c r="E196" s="561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/>
      <c r="M196" s="33" t="s">
        <v>106</v>
      </c>
      <c r="N196" s="33"/>
      <c r="O196" s="32">
        <v>55</v>
      </c>
      <c r="P196" s="83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/>
      <c r="AK196" s="68">
        <v>0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582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83"/>
      <c r="P197" s="572" t="s">
        <v>75</v>
      </c>
      <c r="Q197" s="573"/>
      <c r="R197" s="573"/>
      <c r="S197" s="573"/>
      <c r="T197" s="573"/>
      <c r="U197" s="573"/>
      <c r="V197" s="574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83"/>
      <c r="P198" s="572" t="s">
        <v>75</v>
      </c>
      <c r="Q198" s="573"/>
      <c r="R198" s="573"/>
      <c r="S198" s="573"/>
      <c r="T198" s="573"/>
      <c r="U198" s="573"/>
      <c r="V198" s="574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customHeight="1" x14ac:dyDescent="0.25">
      <c r="A199" s="569" t="s">
        <v>137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customHeight="1" x14ac:dyDescent="0.25">
      <c r="A200" s="54" t="s">
        <v>333</v>
      </c>
      <c r="B200" s="54" t="s">
        <v>334</v>
      </c>
      <c r="C200" s="31">
        <v>4301020261</v>
      </c>
      <c r="D200" s="560">
        <v>4680115882935</v>
      </c>
      <c r="E200" s="561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7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customHeight="1" x14ac:dyDescent="0.25">
      <c r="A201" s="54" t="s">
        <v>336</v>
      </c>
      <c r="B201" s="54" t="s">
        <v>337</v>
      </c>
      <c r="C201" s="31">
        <v>4301020220</v>
      </c>
      <c r="D201" s="560">
        <v>4680115880764</v>
      </c>
      <c r="E201" s="561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 t="s">
        <v>215</v>
      </c>
      <c r="M201" s="33" t="s">
        <v>106</v>
      </c>
      <c r="N201" s="33"/>
      <c r="O201" s="32">
        <v>50</v>
      </c>
      <c r="P201" s="8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 t="s">
        <v>108</v>
      </c>
      <c r="AK201" s="68">
        <v>29.4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582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83"/>
      <c r="P202" s="572" t="s">
        <v>75</v>
      </c>
      <c r="Q202" s="573"/>
      <c r="R202" s="573"/>
      <c r="S202" s="573"/>
      <c r="T202" s="573"/>
      <c r="U202" s="573"/>
      <c r="V202" s="574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83"/>
      <c r="P203" s="572" t="s">
        <v>75</v>
      </c>
      <c r="Q203" s="573"/>
      <c r="R203" s="573"/>
      <c r="S203" s="573"/>
      <c r="T203" s="573"/>
      <c r="U203" s="573"/>
      <c r="V203" s="574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customHeight="1" x14ac:dyDescent="0.25">
      <c r="A204" s="569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0">
        <v>4680115882683</v>
      </c>
      <c r="E205" s="561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112</v>
      </c>
      <c r="M205" s="33" t="s">
        <v>68</v>
      </c>
      <c r="N205" s="33"/>
      <c r="O205" s="32">
        <v>40</v>
      </c>
      <c r="P205" s="68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233</v>
      </c>
      <c r="Y205" s="554">
        <f t="shared" ref="Y205:Y212" si="15">IFERROR(IF(X205="",0,CEILING((X205/$H205),1)*$H205),"")</f>
        <v>237.60000000000002</v>
      </c>
      <c r="Z205" s="36">
        <f>IFERROR(IF(Y205=0,"",ROUNDUP(Y205/H205,0)*0.00902),"")</f>
        <v>0.39688000000000001</v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241.19814814814814</v>
      </c>
      <c r="BN205" s="64">
        <f t="shared" ref="BN205:BN212" si="17">IFERROR(Y205*I205/H205,"0")</f>
        <v>245.96</v>
      </c>
      <c r="BO205" s="64">
        <f t="shared" ref="BO205:BO212" si="18">IFERROR(1/J205*(X205/H205),"0")</f>
        <v>0.32687991021324353</v>
      </c>
      <c r="BP205" s="64">
        <f t="shared" ref="BP205:BP212" si="19">IFERROR(1/J205*(Y205/H205),"0")</f>
        <v>0.33333333333333337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0">
        <v>4680115882690</v>
      </c>
      <c r="E206" s="561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112</v>
      </c>
      <c r="M206" s="33" t="s">
        <v>68</v>
      </c>
      <c r="N206" s="33"/>
      <c r="O206" s="32">
        <v>40</v>
      </c>
      <c r="P206" s="76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138</v>
      </c>
      <c r="Y206" s="554">
        <f t="shared" si="15"/>
        <v>140.4</v>
      </c>
      <c r="Z206" s="36">
        <f>IFERROR(IF(Y206=0,"",ROUNDUP(Y206/H206,0)*0.00902),"")</f>
        <v>0.23452000000000001</v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142.85555555555553</v>
      </c>
      <c r="BN206" s="64">
        <f t="shared" si="17"/>
        <v>145.34</v>
      </c>
      <c r="BO206" s="64">
        <f t="shared" si="18"/>
        <v>0.19360269360269358</v>
      </c>
      <c r="BP206" s="64">
        <f t="shared" si="19"/>
        <v>0.19696969696969696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0">
        <v>4680115882669</v>
      </c>
      <c r="E207" s="561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/>
      <c r="M207" s="33" t="s">
        <v>68</v>
      </c>
      <c r="N207" s="33"/>
      <c r="O207" s="32">
        <v>40</v>
      </c>
      <c r="P207" s="7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0</v>
      </c>
      <c r="Y207" s="554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346</v>
      </c>
      <c r="AG207" s="64"/>
      <c r="AJ207" s="68"/>
      <c r="AK207" s="68">
        <v>0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0">
        <v>4680115882676</v>
      </c>
      <c r="E208" s="561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112</v>
      </c>
      <c r="M208" s="33" t="s">
        <v>68</v>
      </c>
      <c r="N208" s="33"/>
      <c r="O208" s="32">
        <v>40</v>
      </c>
      <c r="P208" s="7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168</v>
      </c>
      <c r="Y208" s="554">
        <f t="shared" si="15"/>
        <v>172.8</v>
      </c>
      <c r="Z208" s="36">
        <f>IFERROR(IF(Y208=0,"",ROUNDUP(Y208/H208,0)*0.00902),"")</f>
        <v>0.28864000000000001</v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173.9111111111111</v>
      </c>
      <c r="BN208" s="64">
        <f t="shared" si="17"/>
        <v>178.88</v>
      </c>
      <c r="BO208" s="64">
        <f t="shared" si="18"/>
        <v>0.2356902356902357</v>
      </c>
      <c r="BP208" s="64">
        <f t="shared" si="19"/>
        <v>0.24242424242424243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0">
        <v>4680115884014</v>
      </c>
      <c r="E209" s="561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1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57</v>
      </c>
      <c r="Y209" s="554">
        <f t="shared" si="15"/>
        <v>57.6</v>
      </c>
      <c r="Z209" s="36">
        <f>IFERROR(IF(Y209=0,"",ROUNDUP(Y209/H209,0)*0.00502),"")</f>
        <v>0.16064000000000001</v>
      </c>
      <c r="AA209" s="56"/>
      <c r="AB209" s="57"/>
      <c r="AC209" s="255" t="s">
        <v>340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61.11666666666666</v>
      </c>
      <c r="BN209" s="64">
        <f t="shared" si="17"/>
        <v>61.759999999999991</v>
      </c>
      <c r="BO209" s="64">
        <f t="shared" si="18"/>
        <v>0.13532763532763534</v>
      </c>
      <c r="BP209" s="64">
        <f t="shared" si="19"/>
        <v>0.13675213675213677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0">
        <v>4680115884007</v>
      </c>
      <c r="E210" s="561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2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59</v>
      </c>
      <c r="Y210" s="554">
        <f t="shared" si="15"/>
        <v>59.4</v>
      </c>
      <c r="Z210" s="36">
        <f>IFERROR(IF(Y210=0,"",ROUNDUP(Y210/H210,0)*0.00502),"")</f>
        <v>0.16566</v>
      </c>
      <c r="AA210" s="56"/>
      <c r="AB210" s="57"/>
      <c r="AC210" s="257" t="s">
        <v>343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62.277777777777771</v>
      </c>
      <c r="BN210" s="64">
        <f t="shared" si="17"/>
        <v>62.699999999999989</v>
      </c>
      <c r="BO210" s="64">
        <f t="shared" si="18"/>
        <v>0.14007597340930675</v>
      </c>
      <c r="BP210" s="64">
        <f t="shared" si="19"/>
        <v>0.14102564102564105</v>
      </c>
    </row>
    <row r="211" spans="1:68" ht="27" customHeight="1" x14ac:dyDescent="0.25">
      <c r="A211" s="54" t="s">
        <v>354</v>
      </c>
      <c r="B211" s="54" t="s">
        <v>355</v>
      </c>
      <c r="C211" s="31">
        <v>4301031229</v>
      </c>
      <c r="D211" s="560">
        <v>4680115884038</v>
      </c>
      <c r="E211" s="561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7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0</v>
      </c>
      <c r="Y211" s="554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0">
        <v>4680115884021</v>
      </c>
      <c r="E212" s="561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77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73</v>
      </c>
      <c r="Y212" s="554">
        <f t="shared" si="15"/>
        <v>73.8</v>
      </c>
      <c r="Z212" s="36">
        <f>IFERROR(IF(Y212=0,"",ROUNDUP(Y212/H212,0)*0.00502),"")</f>
        <v>0.20582</v>
      </c>
      <c r="AA212" s="56"/>
      <c r="AB212" s="57"/>
      <c r="AC212" s="261" t="s">
        <v>349</v>
      </c>
      <c r="AG212" s="64"/>
      <c r="AJ212" s="68" t="s">
        <v>108</v>
      </c>
      <c r="AK212" s="68">
        <v>32.4</v>
      </c>
      <c r="BB212" s="262" t="s">
        <v>1</v>
      </c>
      <c r="BM212" s="64">
        <f t="shared" si="16"/>
        <v>77.055555555555543</v>
      </c>
      <c r="BN212" s="64">
        <f t="shared" si="17"/>
        <v>77.899999999999991</v>
      </c>
      <c r="BO212" s="64">
        <f t="shared" si="18"/>
        <v>0.17331433998100668</v>
      </c>
      <c r="BP212" s="64">
        <f t="shared" si="19"/>
        <v>0.17521367521367523</v>
      </c>
    </row>
    <row r="213" spans="1:68" x14ac:dyDescent="0.2">
      <c r="A213" s="582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83"/>
      <c r="P213" s="572" t="s">
        <v>75</v>
      </c>
      <c r="Q213" s="573"/>
      <c r="R213" s="573"/>
      <c r="S213" s="573"/>
      <c r="T213" s="573"/>
      <c r="U213" s="573"/>
      <c r="V213" s="574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204.81481481481478</v>
      </c>
      <c r="Y213" s="555">
        <f>IFERROR(Y205/H205,"0")+IFERROR(Y206/H206,"0")+IFERROR(Y207/H207,"0")+IFERROR(Y208/H208,"0")+IFERROR(Y209/H209,"0")+IFERROR(Y210/H210,"0")+IFERROR(Y211/H211,"0")+IFERROR(Y212/H212,"0")</f>
        <v>208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1.4521600000000001</v>
      </c>
      <c r="AA213" s="556"/>
      <c r="AB213" s="556"/>
      <c r="AC213" s="556"/>
    </row>
    <row r="214" spans="1:68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83"/>
      <c r="P214" s="572" t="s">
        <v>75</v>
      </c>
      <c r="Q214" s="573"/>
      <c r="R214" s="573"/>
      <c r="S214" s="573"/>
      <c r="T214" s="573"/>
      <c r="U214" s="573"/>
      <c r="V214" s="574"/>
      <c r="W214" s="37" t="s">
        <v>69</v>
      </c>
      <c r="X214" s="555">
        <f>IFERROR(SUM(X205:X212),"0")</f>
        <v>728</v>
      </c>
      <c r="Y214" s="555">
        <f>IFERROR(SUM(Y205:Y212),"0")</f>
        <v>741.59999999999991</v>
      </c>
      <c r="Z214" s="37"/>
      <c r="AA214" s="556"/>
      <c r="AB214" s="556"/>
      <c r="AC214" s="556"/>
    </row>
    <row r="215" spans="1:68" ht="14.25" customHeight="1" x14ac:dyDescent="0.25">
      <c r="A215" s="569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customHeight="1" x14ac:dyDescent="0.25">
      <c r="A216" s="54" t="s">
        <v>358</v>
      </c>
      <c r="B216" s="54" t="s">
        <v>359</v>
      </c>
      <c r="C216" s="31">
        <v>4301051408</v>
      </c>
      <c r="D216" s="560">
        <v>4680115881594</v>
      </c>
      <c r="E216" s="561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/>
      <c r="M216" s="33" t="s">
        <v>80</v>
      </c>
      <c r="N216" s="33"/>
      <c r="O216" s="32">
        <v>40</v>
      </c>
      <c r="P216" s="74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28</v>
      </c>
      <c r="Y216" s="554">
        <f t="shared" ref="Y216:Y224" si="20">IFERROR(IF(X216="",0,CEILING((X216/$H216),1)*$H216),"")</f>
        <v>32.4</v>
      </c>
      <c r="Z216" s="36">
        <f>IFERROR(IF(Y216=0,"",ROUNDUP(Y216/H216,0)*0.01898),"")</f>
        <v>7.5920000000000001E-2</v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29.707654320987654</v>
      </c>
      <c r="BN216" s="64">
        <f t="shared" ref="BN216:BN224" si="22">IFERROR(Y216*I216/H216,"0")</f>
        <v>34.375999999999998</v>
      </c>
      <c r="BO216" s="64">
        <f t="shared" ref="BO216:BO224" si="23">IFERROR(1/J216*(X216/H216),"0")</f>
        <v>5.401234567901235E-2</v>
      </c>
      <c r="BP216" s="64">
        <f t="shared" ref="BP216:BP224" si="24">IFERROR(1/J216*(Y216/H216),"0")</f>
        <v>6.25E-2</v>
      </c>
    </row>
    <row r="217" spans="1:68" ht="27" customHeight="1" x14ac:dyDescent="0.25">
      <c r="A217" s="54" t="s">
        <v>361</v>
      </c>
      <c r="B217" s="54" t="s">
        <v>362</v>
      </c>
      <c r="C217" s="31">
        <v>4301051411</v>
      </c>
      <c r="D217" s="560">
        <v>4680115881617</v>
      </c>
      <c r="E217" s="561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/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0">
        <v>4680115880573</v>
      </c>
      <c r="E218" s="561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 t="s">
        <v>105</v>
      </c>
      <c r="M218" s="33" t="s">
        <v>80</v>
      </c>
      <c r="N218" s="33"/>
      <c r="O218" s="32">
        <v>45</v>
      </c>
      <c r="P218" s="8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141</v>
      </c>
      <c r="Y218" s="554">
        <f t="shared" si="20"/>
        <v>147.89999999999998</v>
      </c>
      <c r="Z218" s="36">
        <f>IFERROR(IF(Y218=0,"",ROUNDUP(Y218/H218,0)*0.01898),"")</f>
        <v>0.32266</v>
      </c>
      <c r="AA218" s="56"/>
      <c r="AB218" s="57"/>
      <c r="AC218" s="267" t="s">
        <v>366</v>
      </c>
      <c r="AG218" s="64"/>
      <c r="AJ218" s="68" t="s">
        <v>108</v>
      </c>
      <c r="AK218" s="68">
        <v>69.599999999999994</v>
      </c>
      <c r="BB218" s="268" t="s">
        <v>1</v>
      </c>
      <c r="BM218" s="64">
        <f t="shared" si="21"/>
        <v>149.00620689655173</v>
      </c>
      <c r="BN218" s="64">
        <f t="shared" si="22"/>
        <v>156.298</v>
      </c>
      <c r="BO218" s="64">
        <f t="shared" si="23"/>
        <v>0.25323275862068967</v>
      </c>
      <c r="BP218" s="64">
        <f t="shared" si="24"/>
        <v>0.265625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0">
        <v>4680115882195</v>
      </c>
      <c r="E219" s="561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215</v>
      </c>
      <c r="M219" s="33" t="s">
        <v>80</v>
      </c>
      <c r="N219" s="33"/>
      <c r="O219" s="32">
        <v>40</v>
      </c>
      <c r="P219" s="71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150</v>
      </c>
      <c r="Y219" s="554">
        <f t="shared" si="20"/>
        <v>151.19999999999999</v>
      </c>
      <c r="Z219" s="36">
        <f t="shared" ref="Z219:Z224" si="25">IFERROR(IF(Y219=0,"",ROUNDUP(Y219/H219,0)*0.00651),"")</f>
        <v>0.41012999999999999</v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166.875</v>
      </c>
      <c r="BN219" s="64">
        <f t="shared" si="22"/>
        <v>168.20999999999998</v>
      </c>
      <c r="BO219" s="64">
        <f t="shared" si="23"/>
        <v>0.34340659340659341</v>
      </c>
      <c r="BP219" s="64">
        <f t="shared" si="24"/>
        <v>0.3461538461538462</v>
      </c>
    </row>
    <row r="220" spans="1:68" ht="27" customHeight="1" x14ac:dyDescent="0.25">
      <c r="A220" s="54" t="s">
        <v>370</v>
      </c>
      <c r="B220" s="54" t="s">
        <v>371</v>
      </c>
      <c r="C220" s="31">
        <v>4301051752</v>
      </c>
      <c r="D220" s="560">
        <v>4680115882607</v>
      </c>
      <c r="E220" s="561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7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0">
        <v>4680115880092</v>
      </c>
      <c r="E221" s="561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215</v>
      </c>
      <c r="M221" s="33" t="s">
        <v>80</v>
      </c>
      <c r="N221" s="33"/>
      <c r="O221" s="32">
        <v>45</v>
      </c>
      <c r="P221" s="58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271</v>
      </c>
      <c r="Y221" s="554">
        <f t="shared" si="20"/>
        <v>271.2</v>
      </c>
      <c r="Z221" s="36">
        <f t="shared" si="25"/>
        <v>0.73563000000000001</v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299.45500000000004</v>
      </c>
      <c r="BN221" s="64">
        <f t="shared" si="22"/>
        <v>299.67599999999999</v>
      </c>
      <c r="BO221" s="64">
        <f t="shared" si="23"/>
        <v>0.62042124542124555</v>
      </c>
      <c r="BP221" s="64">
        <f t="shared" si="24"/>
        <v>0.62087912087912089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0">
        <v>4680115880221</v>
      </c>
      <c r="E222" s="561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 t="s">
        <v>215</v>
      </c>
      <c r="M222" s="33" t="s">
        <v>80</v>
      </c>
      <c r="N222" s="33"/>
      <c r="O222" s="32">
        <v>45</v>
      </c>
      <c r="P222" s="79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160</v>
      </c>
      <c r="Y222" s="554">
        <f t="shared" si="20"/>
        <v>160.79999999999998</v>
      </c>
      <c r="Z222" s="36">
        <f t="shared" si="25"/>
        <v>0.43617</v>
      </c>
      <c r="AA222" s="56"/>
      <c r="AB222" s="57"/>
      <c r="AC222" s="275" t="s">
        <v>366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176.80000000000004</v>
      </c>
      <c r="BN222" s="64">
        <f t="shared" si="22"/>
        <v>177.684</v>
      </c>
      <c r="BO222" s="64">
        <f t="shared" si="23"/>
        <v>0.36630036630036633</v>
      </c>
      <c r="BP222" s="64">
        <f t="shared" si="24"/>
        <v>0.36813186813186816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0">
        <v>4680115880504</v>
      </c>
      <c r="E223" s="561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215</v>
      </c>
      <c r="M223" s="33" t="s">
        <v>86</v>
      </c>
      <c r="N223" s="33"/>
      <c r="O223" s="32">
        <v>40</v>
      </c>
      <c r="P223" s="67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94</v>
      </c>
      <c r="Y223" s="554">
        <f t="shared" si="20"/>
        <v>96</v>
      </c>
      <c r="Z223" s="36">
        <f t="shared" si="25"/>
        <v>0.26040000000000002</v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103.87</v>
      </c>
      <c r="BN223" s="64">
        <f t="shared" si="22"/>
        <v>106.08000000000001</v>
      </c>
      <c r="BO223" s="64">
        <f t="shared" si="23"/>
        <v>0.21520146520146524</v>
      </c>
      <c r="BP223" s="64">
        <f t="shared" si="24"/>
        <v>0.2197802197802198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0">
        <v>4680115882164</v>
      </c>
      <c r="E224" s="561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215</v>
      </c>
      <c r="M224" s="33" t="s">
        <v>80</v>
      </c>
      <c r="N224" s="33"/>
      <c r="O224" s="32">
        <v>40</v>
      </c>
      <c r="P224" s="7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138</v>
      </c>
      <c r="Y224" s="554">
        <f t="shared" si="20"/>
        <v>139.19999999999999</v>
      </c>
      <c r="Z224" s="36">
        <f t="shared" si="25"/>
        <v>0.37758000000000003</v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152.83500000000001</v>
      </c>
      <c r="BN224" s="64">
        <f t="shared" si="22"/>
        <v>154.16399999999999</v>
      </c>
      <c r="BO224" s="64">
        <f t="shared" si="23"/>
        <v>0.31593406593406598</v>
      </c>
      <c r="BP224" s="64">
        <f t="shared" si="24"/>
        <v>0.31868131868131871</v>
      </c>
    </row>
    <row r="225" spans="1:68" x14ac:dyDescent="0.2">
      <c r="A225" s="582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83"/>
      <c r="P225" s="572" t="s">
        <v>75</v>
      </c>
      <c r="Q225" s="573"/>
      <c r="R225" s="573"/>
      <c r="S225" s="573"/>
      <c r="T225" s="573"/>
      <c r="U225" s="573"/>
      <c r="V225" s="574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358.41368667518094</v>
      </c>
      <c r="Y225" s="555">
        <f>IFERROR(Y216/H216,"0")+IFERROR(Y217/H217,"0")+IFERROR(Y218/H218,"0")+IFERROR(Y219/H219,"0")+IFERROR(Y220/H220,"0")+IFERROR(Y221/H221,"0")+IFERROR(Y222/H222,"0")+IFERROR(Y223/H223,"0")+IFERROR(Y224/H224,"0")</f>
        <v>362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2.61849</v>
      </c>
      <c r="AA225" s="556"/>
      <c r="AB225" s="556"/>
      <c r="AC225" s="556"/>
    </row>
    <row r="226" spans="1:68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83"/>
      <c r="P226" s="572" t="s">
        <v>75</v>
      </c>
      <c r="Q226" s="573"/>
      <c r="R226" s="573"/>
      <c r="S226" s="573"/>
      <c r="T226" s="573"/>
      <c r="U226" s="573"/>
      <c r="V226" s="574"/>
      <c r="W226" s="37" t="s">
        <v>69</v>
      </c>
      <c r="X226" s="555">
        <f>IFERROR(SUM(X216:X224),"0")</f>
        <v>982</v>
      </c>
      <c r="Y226" s="555">
        <f>IFERROR(SUM(Y216:Y224),"0")</f>
        <v>998.7</v>
      </c>
      <c r="Z226" s="37"/>
      <c r="AA226" s="556"/>
      <c r="AB226" s="556"/>
      <c r="AC226" s="556"/>
    </row>
    <row r="227" spans="1:68" ht="14.25" customHeight="1" x14ac:dyDescent="0.25">
      <c r="A227" s="569" t="s">
        <v>162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customHeight="1" x14ac:dyDescent="0.25">
      <c r="A228" s="54" t="s">
        <v>381</v>
      </c>
      <c r="B228" s="54" t="s">
        <v>382</v>
      </c>
      <c r="C228" s="31">
        <v>4301060463</v>
      </c>
      <c r="D228" s="560">
        <v>4680115880818</v>
      </c>
      <c r="E228" s="561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/>
      <c r="M228" s="33" t="s">
        <v>86</v>
      </c>
      <c r="N228" s="33"/>
      <c r="O228" s="32">
        <v>40</v>
      </c>
      <c r="P228" s="86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28</v>
      </c>
      <c r="Y228" s="554">
        <f>IFERROR(IF(X228="",0,CEILING((X228/$H228),1)*$H228),"")</f>
        <v>28.799999999999997</v>
      </c>
      <c r="Z228" s="36">
        <f>IFERROR(IF(Y228=0,"",ROUNDUP(Y228/H228,0)*0.00651),"")</f>
        <v>7.8119999999999995E-2</v>
      </c>
      <c r="AA228" s="56"/>
      <c r="AB228" s="57"/>
      <c r="AC228" s="281" t="s">
        <v>383</v>
      </c>
      <c r="AG228" s="64"/>
      <c r="AJ228" s="68"/>
      <c r="AK228" s="68">
        <v>0</v>
      </c>
      <c r="BB228" s="282" t="s">
        <v>1</v>
      </c>
      <c r="BM228" s="64">
        <f>IFERROR(X228*I228/H228,"0")</f>
        <v>30.94</v>
      </c>
      <c r="BN228" s="64">
        <f>IFERROR(Y228*I228/H228,"0")</f>
        <v>31.824000000000002</v>
      </c>
      <c r="BO228" s="64">
        <f>IFERROR(1/J228*(X228/H228),"0")</f>
        <v>6.4102564102564111E-2</v>
      </c>
      <c r="BP228" s="64">
        <f>IFERROR(1/J228*(Y228/H228),"0")</f>
        <v>6.5934065934065936E-2</v>
      </c>
    </row>
    <row r="229" spans="1:68" ht="37.5" customHeight="1" x14ac:dyDescent="0.25">
      <c r="A229" s="54" t="s">
        <v>384</v>
      </c>
      <c r="B229" s="54" t="s">
        <v>385</v>
      </c>
      <c r="C229" s="31">
        <v>4301060389</v>
      </c>
      <c r="D229" s="560">
        <v>4680115880801</v>
      </c>
      <c r="E229" s="561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 t="s">
        <v>215</v>
      </c>
      <c r="M229" s="33" t="s">
        <v>80</v>
      </c>
      <c r="N229" s="33"/>
      <c r="O229" s="32">
        <v>40</v>
      </c>
      <c r="P229" s="75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20</v>
      </c>
      <c r="Y229" s="554">
        <f>IFERROR(IF(X229="",0,CEILING((X229/$H229),1)*$H229),"")</f>
        <v>21.599999999999998</v>
      </c>
      <c r="Z229" s="36">
        <f>IFERROR(IF(Y229=0,"",ROUNDUP(Y229/H229,0)*0.00651),"")</f>
        <v>5.8590000000000003E-2</v>
      </c>
      <c r="AA229" s="56"/>
      <c r="AB229" s="57"/>
      <c r="AC229" s="283" t="s">
        <v>386</v>
      </c>
      <c r="AG229" s="64"/>
      <c r="AJ229" s="68" t="s">
        <v>108</v>
      </c>
      <c r="AK229" s="68">
        <v>33.6</v>
      </c>
      <c r="BB229" s="284" t="s">
        <v>1</v>
      </c>
      <c r="BM229" s="64">
        <f>IFERROR(X229*I229/H229,"0")</f>
        <v>22.100000000000005</v>
      </c>
      <c r="BN229" s="64">
        <f>IFERROR(Y229*I229/H229,"0")</f>
        <v>23.868000000000002</v>
      </c>
      <c r="BO229" s="64">
        <f>IFERROR(1/J229*(X229/H229),"0")</f>
        <v>4.5787545787545791E-2</v>
      </c>
      <c r="BP229" s="64">
        <f>IFERROR(1/J229*(Y229/H229),"0")</f>
        <v>4.9450549450549455E-2</v>
      </c>
    </row>
    <row r="230" spans="1:68" x14ac:dyDescent="0.2">
      <c r="A230" s="582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83"/>
      <c r="P230" s="572" t="s">
        <v>75</v>
      </c>
      <c r="Q230" s="573"/>
      <c r="R230" s="573"/>
      <c r="S230" s="573"/>
      <c r="T230" s="573"/>
      <c r="U230" s="573"/>
      <c r="V230" s="574"/>
      <c r="W230" s="37" t="s">
        <v>76</v>
      </c>
      <c r="X230" s="555">
        <f>IFERROR(X228/H228,"0")+IFERROR(X229/H229,"0")</f>
        <v>20</v>
      </c>
      <c r="Y230" s="555">
        <f>IFERROR(Y228/H228,"0")+IFERROR(Y229/H229,"0")</f>
        <v>21</v>
      </c>
      <c r="Z230" s="555">
        <f>IFERROR(IF(Z228="",0,Z228),"0")+IFERROR(IF(Z229="",0,Z229),"0")</f>
        <v>0.13671</v>
      </c>
      <c r="AA230" s="556"/>
      <c r="AB230" s="556"/>
      <c r="AC230" s="556"/>
    </row>
    <row r="231" spans="1:68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83"/>
      <c r="P231" s="572" t="s">
        <v>75</v>
      </c>
      <c r="Q231" s="573"/>
      <c r="R231" s="573"/>
      <c r="S231" s="573"/>
      <c r="T231" s="573"/>
      <c r="U231" s="573"/>
      <c r="V231" s="574"/>
      <c r="W231" s="37" t="s">
        <v>69</v>
      </c>
      <c r="X231" s="555">
        <f>IFERROR(SUM(X228:X229),"0")</f>
        <v>48</v>
      </c>
      <c r="Y231" s="555">
        <f>IFERROR(SUM(Y228:Y229),"0")</f>
        <v>50.399999999999991</v>
      </c>
      <c r="Z231" s="37"/>
      <c r="AA231" s="556"/>
      <c r="AB231" s="556"/>
      <c r="AC231" s="556"/>
    </row>
    <row r="232" spans="1:68" ht="16.5" customHeight="1" x14ac:dyDescent="0.25">
      <c r="A232" s="567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customHeight="1" x14ac:dyDescent="0.25">
      <c r="A233" s="569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customHeight="1" x14ac:dyDescent="0.25">
      <c r="A234" s="54" t="s">
        <v>388</v>
      </c>
      <c r="B234" s="54" t="s">
        <v>389</v>
      </c>
      <c r="C234" s="31">
        <v>4301011826</v>
      </c>
      <c r="D234" s="560">
        <v>4680115884137</v>
      </c>
      <c r="E234" s="561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 t="s">
        <v>105</v>
      </c>
      <c r="M234" s="33" t="s">
        <v>106</v>
      </c>
      <c r="N234" s="33"/>
      <c r="O234" s="32">
        <v>55</v>
      </c>
      <c r="P234" s="61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259</v>
      </c>
      <c r="Y234" s="554">
        <f t="shared" ref="Y234:Y242" si="26">IFERROR(IF(X234="",0,CEILING((X234/$H234),1)*$H234),"")</f>
        <v>266.8</v>
      </c>
      <c r="Z234" s="36">
        <f>IFERROR(IF(Y234=0,"",ROUNDUP(Y234/H234,0)*0.01898),"")</f>
        <v>0.43653999999999998</v>
      </c>
      <c r="AA234" s="56"/>
      <c r="AB234" s="57"/>
      <c r="AC234" s="285" t="s">
        <v>390</v>
      </c>
      <c r="AG234" s="64"/>
      <c r="AJ234" s="68" t="s">
        <v>108</v>
      </c>
      <c r="AK234" s="68">
        <v>92.8</v>
      </c>
      <c r="BB234" s="286" t="s">
        <v>1</v>
      </c>
      <c r="BM234" s="64">
        <f t="shared" ref="BM234:BM242" si="27">IFERROR(X234*I234/H234,"0")</f>
        <v>268.15431034482759</v>
      </c>
      <c r="BN234" s="64">
        <f t="shared" ref="BN234:BN242" si="28">IFERROR(Y234*I234/H234,"0")</f>
        <v>276.23</v>
      </c>
      <c r="BO234" s="64">
        <f t="shared" ref="BO234:BO242" si="29">IFERROR(1/J234*(X234/H234),"0")</f>
        <v>0.34886853448275862</v>
      </c>
      <c r="BP234" s="64">
        <f t="shared" ref="BP234:BP242" si="30">IFERROR(1/J234*(Y234/H234),"0")</f>
        <v>0.359375</v>
      </c>
    </row>
    <row r="235" spans="1:68" ht="27" customHeight="1" x14ac:dyDescent="0.25">
      <c r="A235" s="54" t="s">
        <v>391</v>
      </c>
      <c r="B235" s="54" t="s">
        <v>392</v>
      </c>
      <c r="C235" s="31">
        <v>4301011724</v>
      </c>
      <c r="D235" s="560">
        <v>4680115884236</v>
      </c>
      <c r="E235" s="561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394</v>
      </c>
      <c r="B236" s="54" t="s">
        <v>395</v>
      </c>
      <c r="C236" s="31">
        <v>4301011721</v>
      </c>
      <c r="D236" s="560">
        <v>4680115884175</v>
      </c>
      <c r="E236" s="561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/>
      <c r="M236" s="33" t="s">
        <v>106</v>
      </c>
      <c r="N236" s="33"/>
      <c r="O236" s="32">
        <v>55</v>
      </c>
      <c r="P236" s="61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0</v>
      </c>
      <c r="Y236" s="554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397</v>
      </c>
      <c r="B237" s="54" t="s">
        <v>398</v>
      </c>
      <c r="C237" s="31">
        <v>4301011824</v>
      </c>
      <c r="D237" s="560">
        <v>4680115884144</v>
      </c>
      <c r="E237" s="561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8</v>
      </c>
      <c r="Y237" s="554">
        <f t="shared" si="26"/>
        <v>8</v>
      </c>
      <c r="Z237" s="36">
        <f>IFERROR(IF(Y237=0,"",ROUNDUP(Y237/H237,0)*0.00902),"")</f>
        <v>1.804E-2</v>
      </c>
      <c r="AA237" s="56"/>
      <c r="AB237" s="57"/>
      <c r="AC237" s="291" t="s">
        <v>390</v>
      </c>
      <c r="AG237" s="64"/>
      <c r="AJ237" s="68"/>
      <c r="AK237" s="68">
        <v>0</v>
      </c>
      <c r="BB237" s="292" t="s">
        <v>1</v>
      </c>
      <c r="BM237" s="64">
        <f t="shared" si="27"/>
        <v>8.3800000000000008</v>
      </c>
      <c r="BN237" s="64">
        <f t="shared" si="28"/>
        <v>8.3800000000000008</v>
      </c>
      <c r="BO237" s="64">
        <f t="shared" si="29"/>
        <v>1.5151515151515152E-2</v>
      </c>
      <c r="BP237" s="64">
        <f t="shared" si="30"/>
        <v>1.5151515151515152E-2</v>
      </c>
    </row>
    <row r="238" spans="1:68" ht="27" customHeight="1" x14ac:dyDescent="0.25">
      <c r="A238" s="54" t="s">
        <v>397</v>
      </c>
      <c r="B238" s="54" t="s">
        <v>399</v>
      </c>
      <c r="C238" s="31">
        <v>4301012196</v>
      </c>
      <c r="D238" s="560">
        <v>4680115884144</v>
      </c>
      <c r="E238" s="561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400</v>
      </c>
      <c r="B239" s="54" t="s">
        <v>401</v>
      </c>
      <c r="C239" s="31">
        <v>4301012149</v>
      </c>
      <c r="D239" s="560">
        <v>4680115886551</v>
      </c>
      <c r="E239" s="561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403</v>
      </c>
      <c r="B240" s="54" t="s">
        <v>404</v>
      </c>
      <c r="C240" s="31">
        <v>4301012228</v>
      </c>
      <c r="D240" s="560">
        <v>4680115887282</v>
      </c>
      <c r="E240" s="561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4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406</v>
      </c>
      <c r="B241" s="54" t="s">
        <v>407</v>
      </c>
      <c r="C241" s="31">
        <v>4301011722</v>
      </c>
      <c r="D241" s="560">
        <v>4680115884205</v>
      </c>
      <c r="E241" s="561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/>
      <c r="M241" s="33" t="s">
        <v>106</v>
      </c>
      <c r="N241" s="33"/>
      <c r="O241" s="32">
        <v>55</v>
      </c>
      <c r="P241" s="81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0</v>
      </c>
      <c r="Y241" s="554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customHeight="1" x14ac:dyDescent="0.25">
      <c r="A242" s="54" t="s">
        <v>406</v>
      </c>
      <c r="B242" s="54" t="s">
        <v>408</v>
      </c>
      <c r="C242" s="31">
        <v>4301012195</v>
      </c>
      <c r="D242" s="560">
        <v>4680115884205</v>
      </c>
      <c r="E242" s="561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4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x14ac:dyDescent="0.2">
      <c r="A243" s="582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83"/>
      <c r="P243" s="572" t="s">
        <v>75</v>
      </c>
      <c r="Q243" s="573"/>
      <c r="R243" s="573"/>
      <c r="S243" s="573"/>
      <c r="T243" s="573"/>
      <c r="U243" s="573"/>
      <c r="V243" s="574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24.327586206896552</v>
      </c>
      <c r="Y243" s="555">
        <f>IFERROR(Y234/H234,"0")+IFERROR(Y235/H235,"0")+IFERROR(Y236/H236,"0")+IFERROR(Y237/H237,"0")+IFERROR(Y238/H238,"0")+IFERROR(Y239/H239,"0")+IFERROR(Y240/H240,"0")+IFERROR(Y241/H241,"0")+IFERROR(Y242/H242,"0")</f>
        <v>25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0.45457999999999998</v>
      </c>
      <c r="AA243" s="556"/>
      <c r="AB243" s="556"/>
      <c r="AC243" s="556"/>
    </row>
    <row r="244" spans="1:68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83"/>
      <c r="P244" s="572" t="s">
        <v>75</v>
      </c>
      <c r="Q244" s="573"/>
      <c r="R244" s="573"/>
      <c r="S244" s="573"/>
      <c r="T244" s="573"/>
      <c r="U244" s="573"/>
      <c r="V244" s="574"/>
      <c r="W244" s="37" t="s">
        <v>69</v>
      </c>
      <c r="X244" s="555">
        <f>IFERROR(SUM(X234:X242),"0")</f>
        <v>267</v>
      </c>
      <c r="Y244" s="555">
        <f>IFERROR(SUM(Y234:Y242),"0")</f>
        <v>274.8</v>
      </c>
      <c r="Z244" s="37"/>
      <c r="AA244" s="556"/>
      <c r="AB244" s="556"/>
      <c r="AC244" s="556"/>
    </row>
    <row r="245" spans="1:68" ht="14.25" customHeight="1" x14ac:dyDescent="0.25">
      <c r="A245" s="569" t="s">
        <v>137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customHeight="1" x14ac:dyDescent="0.25">
      <c r="A246" s="54" t="s">
        <v>409</v>
      </c>
      <c r="B246" s="54" t="s">
        <v>410</v>
      </c>
      <c r="C246" s="31">
        <v>4301020377</v>
      </c>
      <c r="D246" s="560">
        <v>4680115885981</v>
      </c>
      <c r="E246" s="561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69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82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83"/>
      <c r="P247" s="572" t="s">
        <v>75</v>
      </c>
      <c r="Q247" s="573"/>
      <c r="R247" s="573"/>
      <c r="S247" s="573"/>
      <c r="T247" s="573"/>
      <c r="U247" s="573"/>
      <c r="V247" s="574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83"/>
      <c r="P248" s="572" t="s">
        <v>75</v>
      </c>
      <c r="Q248" s="573"/>
      <c r="R248" s="573"/>
      <c r="S248" s="573"/>
      <c r="T248" s="573"/>
      <c r="U248" s="573"/>
      <c r="V248" s="574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customHeight="1" x14ac:dyDescent="0.25">
      <c r="A249" s="569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customHeight="1" x14ac:dyDescent="0.25">
      <c r="A250" s="54" t="s">
        <v>413</v>
      </c>
      <c r="B250" s="54" t="s">
        <v>414</v>
      </c>
      <c r="C250" s="31">
        <v>4301040362</v>
      </c>
      <c r="D250" s="560">
        <v>4680115886803</v>
      </c>
      <c r="E250" s="561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6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8</v>
      </c>
      <c r="Y250" s="554">
        <f>IFERROR(IF(X250="",0,CEILING((X250/$H250),1)*$H250),"")</f>
        <v>9</v>
      </c>
      <c r="Z250" s="36">
        <f>IFERROR(IF(Y250=0,"",ROUNDUP(Y250/H250,0)*0.0059),"")</f>
        <v>2.9499999999999998E-2</v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8.7777777777777786</v>
      </c>
      <c r="BN250" s="64">
        <f>IFERROR(Y250*I250/H250,"0")</f>
        <v>9.8750000000000018</v>
      </c>
      <c r="BO250" s="64">
        <f>IFERROR(1/J250*(X250/H250),"0")</f>
        <v>2.0576131687242798E-2</v>
      </c>
      <c r="BP250" s="64">
        <f>IFERROR(1/J250*(Y250/H250),"0")</f>
        <v>2.3148148148148147E-2</v>
      </c>
    </row>
    <row r="251" spans="1:68" x14ac:dyDescent="0.2">
      <c r="A251" s="582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83"/>
      <c r="P251" s="572" t="s">
        <v>75</v>
      </c>
      <c r="Q251" s="573"/>
      <c r="R251" s="573"/>
      <c r="S251" s="573"/>
      <c r="T251" s="573"/>
      <c r="U251" s="573"/>
      <c r="V251" s="574"/>
      <c r="W251" s="37" t="s">
        <v>76</v>
      </c>
      <c r="X251" s="555">
        <f>IFERROR(X250/H250,"0")</f>
        <v>4.4444444444444446</v>
      </c>
      <c r="Y251" s="555">
        <f>IFERROR(Y250/H250,"0")</f>
        <v>5</v>
      </c>
      <c r="Z251" s="555">
        <f>IFERROR(IF(Z250="",0,Z250),"0")</f>
        <v>2.9499999999999998E-2</v>
      </c>
      <c r="AA251" s="556"/>
      <c r="AB251" s="556"/>
      <c r="AC251" s="556"/>
    </row>
    <row r="252" spans="1:68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83"/>
      <c r="P252" s="572" t="s">
        <v>75</v>
      </c>
      <c r="Q252" s="573"/>
      <c r="R252" s="573"/>
      <c r="S252" s="573"/>
      <c r="T252" s="573"/>
      <c r="U252" s="573"/>
      <c r="V252" s="574"/>
      <c r="W252" s="37" t="s">
        <v>69</v>
      </c>
      <c r="X252" s="555">
        <f>IFERROR(SUM(X250:X250),"0")</f>
        <v>8</v>
      </c>
      <c r="Y252" s="555">
        <f>IFERROR(SUM(Y250:Y250),"0")</f>
        <v>9</v>
      </c>
      <c r="Z252" s="37"/>
      <c r="AA252" s="556"/>
      <c r="AB252" s="556"/>
      <c r="AC252" s="556"/>
    </row>
    <row r="253" spans="1:68" ht="14.25" customHeight="1" x14ac:dyDescent="0.25">
      <c r="A253" s="569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customHeight="1" x14ac:dyDescent="0.25">
      <c r="A254" s="54" t="s">
        <v>417</v>
      </c>
      <c r="B254" s="54" t="s">
        <v>418</v>
      </c>
      <c r="C254" s="31">
        <v>4301041004</v>
      </c>
      <c r="D254" s="560">
        <v>4680115886704</v>
      </c>
      <c r="E254" s="561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420</v>
      </c>
      <c r="B255" s="54" t="s">
        <v>421</v>
      </c>
      <c r="C255" s="31">
        <v>4301041008</v>
      </c>
      <c r="D255" s="560">
        <v>4680115886681</v>
      </c>
      <c r="E255" s="561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5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0</v>
      </c>
      <c r="Y255" s="554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422</v>
      </c>
      <c r="B256" s="54" t="s">
        <v>423</v>
      </c>
      <c r="C256" s="31">
        <v>4301041007</v>
      </c>
      <c r="D256" s="560">
        <v>4680115886735</v>
      </c>
      <c r="E256" s="561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6</v>
      </c>
      <c r="Y256" s="554">
        <f>IFERROR(IF(X256="",0,CEILING((X256/$H256),1)*$H256),"")</f>
        <v>6.3</v>
      </c>
      <c r="Z256" s="36">
        <f>IFERROR(IF(Y256=0,"",ROUNDUP(Y256/H256,0)*0.0059),"")</f>
        <v>4.1299999999999996E-2</v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7.2666666666666675</v>
      </c>
      <c r="BN256" s="64">
        <f>IFERROR(Y256*I256/H256,"0")</f>
        <v>7.63</v>
      </c>
      <c r="BO256" s="64">
        <f>IFERROR(1/J256*(X256/H256),"0")</f>
        <v>3.0864197530864192E-2</v>
      </c>
      <c r="BP256" s="64">
        <f>IFERROR(1/J256*(Y256/H256),"0")</f>
        <v>3.2407407407407406E-2</v>
      </c>
    </row>
    <row r="257" spans="1:68" ht="27" customHeight="1" x14ac:dyDescent="0.25">
      <c r="A257" s="54" t="s">
        <v>424</v>
      </c>
      <c r="B257" s="54" t="s">
        <v>425</v>
      </c>
      <c r="C257" s="31">
        <v>4301041006</v>
      </c>
      <c r="D257" s="560">
        <v>4680115886728</v>
      </c>
      <c r="E257" s="561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8</v>
      </c>
      <c r="Y257" s="554">
        <f>IFERROR(IF(X257="",0,CEILING((X257/$H257),1)*$H257),"")</f>
        <v>8.91</v>
      </c>
      <c r="Z257" s="36">
        <f>IFERROR(IF(Y257=0,"",ROUNDUP(Y257/H257,0)*0.0059),"")</f>
        <v>5.3100000000000001E-2</v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9.5353535353535346</v>
      </c>
      <c r="BN257" s="64">
        <f>IFERROR(Y257*I257/H257,"0")</f>
        <v>10.62</v>
      </c>
      <c r="BO257" s="64">
        <f>IFERROR(1/J257*(X257/H257),"0")</f>
        <v>3.7411148522259637E-2</v>
      </c>
      <c r="BP257" s="64">
        <f>IFERROR(1/J257*(Y257/H257),"0")</f>
        <v>4.1666666666666664E-2</v>
      </c>
    </row>
    <row r="258" spans="1:68" ht="27" customHeight="1" x14ac:dyDescent="0.25">
      <c r="A258" s="54" t="s">
        <v>426</v>
      </c>
      <c r="B258" s="54" t="s">
        <v>427</v>
      </c>
      <c r="C258" s="31">
        <v>4301041005</v>
      </c>
      <c r="D258" s="560">
        <v>4680115886711</v>
      </c>
      <c r="E258" s="561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6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6</v>
      </c>
      <c r="Y258" s="554">
        <f>IFERROR(IF(X258="",0,CEILING((X258/$H258),1)*$H258),"")</f>
        <v>6.93</v>
      </c>
      <c r="Z258" s="36">
        <f>IFERROR(IF(Y258=0,"",ROUNDUP(Y258/H258,0)*0.0059),"")</f>
        <v>4.1299999999999996E-2</v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7.1515151515151514</v>
      </c>
      <c r="BN258" s="64">
        <f>IFERROR(Y258*I258/H258,"0")</f>
        <v>8.259999999999998</v>
      </c>
      <c r="BO258" s="64">
        <f>IFERROR(1/J258*(X258/H258),"0")</f>
        <v>2.8058361391694722E-2</v>
      </c>
      <c r="BP258" s="64">
        <f>IFERROR(1/J258*(Y258/H258),"0")</f>
        <v>3.2407407407407406E-2</v>
      </c>
    </row>
    <row r="259" spans="1:68" x14ac:dyDescent="0.2">
      <c r="A259" s="582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83"/>
      <c r="P259" s="572" t="s">
        <v>75</v>
      </c>
      <c r="Q259" s="573"/>
      <c r="R259" s="573"/>
      <c r="S259" s="573"/>
      <c r="T259" s="573"/>
      <c r="U259" s="573"/>
      <c r="V259" s="574"/>
      <c r="W259" s="37" t="s">
        <v>76</v>
      </c>
      <c r="X259" s="555">
        <f>IFERROR(X254/H254,"0")+IFERROR(X255/H255,"0")+IFERROR(X256/H256,"0")+IFERROR(X257/H257,"0")+IFERROR(X258/H258,"0")</f>
        <v>20.80808080808081</v>
      </c>
      <c r="Y259" s="555">
        <f>IFERROR(Y254/H254,"0")+IFERROR(Y255/H255,"0")+IFERROR(Y256/H256,"0")+IFERROR(Y257/H257,"0")+IFERROR(Y258/H258,"0")</f>
        <v>23</v>
      </c>
      <c r="Z259" s="555">
        <f>IFERROR(IF(Z254="",0,Z254),"0")+IFERROR(IF(Z255="",0,Z255),"0")+IFERROR(IF(Z256="",0,Z256),"0")+IFERROR(IF(Z257="",0,Z257),"0")+IFERROR(IF(Z258="",0,Z258),"0")</f>
        <v>0.13569999999999999</v>
      </c>
      <c r="AA259" s="556"/>
      <c r="AB259" s="556"/>
      <c r="AC259" s="556"/>
    </row>
    <row r="260" spans="1:68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83"/>
      <c r="P260" s="572" t="s">
        <v>75</v>
      </c>
      <c r="Q260" s="573"/>
      <c r="R260" s="573"/>
      <c r="S260" s="573"/>
      <c r="T260" s="573"/>
      <c r="U260" s="573"/>
      <c r="V260" s="574"/>
      <c r="W260" s="37" t="s">
        <v>69</v>
      </c>
      <c r="X260" s="555">
        <f>IFERROR(SUM(X254:X258),"0")</f>
        <v>20</v>
      </c>
      <c r="Y260" s="555">
        <f>IFERROR(SUM(Y254:Y258),"0")</f>
        <v>22.14</v>
      </c>
      <c r="Z260" s="37"/>
      <c r="AA260" s="556"/>
      <c r="AB260" s="556"/>
      <c r="AC260" s="556"/>
    </row>
    <row r="261" spans="1:68" ht="16.5" customHeight="1" x14ac:dyDescent="0.25">
      <c r="A261" s="567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customHeight="1" x14ac:dyDescent="0.25">
      <c r="A262" s="569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customHeight="1" x14ac:dyDescent="0.25">
      <c r="A263" s="54" t="s">
        <v>429</v>
      </c>
      <c r="B263" s="54" t="s">
        <v>430</v>
      </c>
      <c r="C263" s="31">
        <v>4301011855</v>
      </c>
      <c r="D263" s="560">
        <v>4680115885837</v>
      </c>
      <c r="E263" s="561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86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432</v>
      </c>
      <c r="B264" s="54" t="s">
        <v>433</v>
      </c>
      <c r="C264" s="31">
        <v>4301011853</v>
      </c>
      <c r="D264" s="560">
        <v>4680115885851</v>
      </c>
      <c r="E264" s="561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435</v>
      </c>
      <c r="B265" s="54" t="s">
        <v>436</v>
      </c>
      <c r="C265" s="31">
        <v>4301011850</v>
      </c>
      <c r="D265" s="560">
        <v>4680115885806</v>
      </c>
      <c r="E265" s="561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/>
      <c r="M265" s="33" t="s">
        <v>106</v>
      </c>
      <c r="N265" s="33"/>
      <c r="O265" s="32">
        <v>55</v>
      </c>
      <c r="P265" s="62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438</v>
      </c>
      <c r="B266" s="54" t="s">
        <v>439</v>
      </c>
      <c r="C266" s="31">
        <v>4301011852</v>
      </c>
      <c r="D266" s="560">
        <v>4680115885844</v>
      </c>
      <c r="E266" s="561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3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441</v>
      </c>
      <c r="B267" s="54" t="s">
        <v>442</v>
      </c>
      <c r="C267" s="31">
        <v>4301011851</v>
      </c>
      <c r="D267" s="560">
        <v>4680115885820</v>
      </c>
      <c r="E267" s="561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3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82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83"/>
      <c r="P268" s="572" t="s">
        <v>75</v>
      </c>
      <c r="Q268" s="573"/>
      <c r="R268" s="573"/>
      <c r="S268" s="573"/>
      <c r="T268" s="573"/>
      <c r="U268" s="573"/>
      <c r="V268" s="574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83"/>
      <c r="P269" s="572" t="s">
        <v>75</v>
      </c>
      <c r="Q269" s="573"/>
      <c r="R269" s="573"/>
      <c r="S269" s="573"/>
      <c r="T269" s="573"/>
      <c r="U269" s="573"/>
      <c r="V269" s="574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customHeight="1" x14ac:dyDescent="0.25">
      <c r="A270" s="567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customHeight="1" x14ac:dyDescent="0.25">
      <c r="A271" s="569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customHeight="1" x14ac:dyDescent="0.25">
      <c r="A272" s="54" t="s">
        <v>445</v>
      </c>
      <c r="B272" s="54" t="s">
        <v>446</v>
      </c>
      <c r="C272" s="31">
        <v>4301011223</v>
      </c>
      <c r="D272" s="560">
        <v>4607091383423</v>
      </c>
      <c r="E272" s="561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1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447</v>
      </c>
      <c r="B273" s="54" t="s">
        <v>448</v>
      </c>
      <c r="C273" s="31">
        <v>4301012199</v>
      </c>
      <c r="D273" s="560">
        <v>4680115886957</v>
      </c>
      <c r="E273" s="561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5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450</v>
      </c>
      <c r="B274" s="54" t="s">
        <v>451</v>
      </c>
      <c r="C274" s="31">
        <v>4301012098</v>
      </c>
      <c r="D274" s="560">
        <v>4680115885660</v>
      </c>
      <c r="E274" s="561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customHeight="1" x14ac:dyDescent="0.25">
      <c r="A275" s="54" t="s">
        <v>452</v>
      </c>
      <c r="B275" s="54" t="s">
        <v>453</v>
      </c>
      <c r="C275" s="31">
        <v>4301012176</v>
      </c>
      <c r="D275" s="560">
        <v>4680115886773</v>
      </c>
      <c r="E275" s="561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x14ac:dyDescent="0.2">
      <c r="A276" s="582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83"/>
      <c r="P276" s="572" t="s">
        <v>75</v>
      </c>
      <c r="Q276" s="573"/>
      <c r="R276" s="573"/>
      <c r="S276" s="573"/>
      <c r="T276" s="573"/>
      <c r="U276" s="573"/>
      <c r="V276" s="574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83"/>
      <c r="P277" s="572" t="s">
        <v>75</v>
      </c>
      <c r="Q277" s="573"/>
      <c r="R277" s="573"/>
      <c r="S277" s="573"/>
      <c r="T277" s="573"/>
      <c r="U277" s="573"/>
      <c r="V277" s="574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customHeight="1" x14ac:dyDescent="0.25">
      <c r="A278" s="567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customHeight="1" x14ac:dyDescent="0.25">
      <c r="A279" s="569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customHeight="1" x14ac:dyDescent="0.25">
      <c r="A280" s="54" t="s">
        <v>456</v>
      </c>
      <c r="B280" s="54" t="s">
        <v>457</v>
      </c>
      <c r="C280" s="31">
        <v>4301051893</v>
      </c>
      <c r="D280" s="560">
        <v>4680115886186</v>
      </c>
      <c r="E280" s="561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9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0">
        <v>4680115881228</v>
      </c>
      <c r="E281" s="561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215</v>
      </c>
      <c r="M281" s="33" t="s">
        <v>86</v>
      </c>
      <c r="N281" s="33"/>
      <c r="O281" s="32">
        <v>40</v>
      </c>
      <c r="P281" s="67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38</v>
      </c>
      <c r="Y281" s="554">
        <f>IFERROR(IF(X281="",0,CEILING((X281/$H281),1)*$H281),"")</f>
        <v>38.4</v>
      </c>
      <c r="Z281" s="36">
        <f>IFERROR(IF(Y281=0,"",ROUNDUP(Y281/H281,0)*0.00651),"")</f>
        <v>0.10416</v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41.990000000000009</v>
      </c>
      <c r="BN281" s="64">
        <f>IFERROR(Y281*I281/H281,"0")</f>
        <v>42.432000000000002</v>
      </c>
      <c r="BO281" s="64">
        <f>IFERROR(1/J281*(X281/H281),"0")</f>
        <v>8.6996336996337006E-2</v>
      </c>
      <c r="BP281" s="64">
        <f>IFERROR(1/J281*(Y281/H281),"0")</f>
        <v>8.7912087912087919E-2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0">
        <v>4680115881211</v>
      </c>
      <c r="E282" s="561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 t="s">
        <v>215</v>
      </c>
      <c r="M282" s="33" t="s">
        <v>80</v>
      </c>
      <c r="N282" s="33"/>
      <c r="O282" s="32">
        <v>45</v>
      </c>
      <c r="P282" s="81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51</v>
      </c>
      <c r="Y282" s="554">
        <f>IFERROR(IF(X282="",0,CEILING((X282/$H282),1)*$H282),"")</f>
        <v>52.8</v>
      </c>
      <c r="Z282" s="36">
        <f>IFERROR(IF(Y282=0,"",ROUNDUP(Y282/H282,0)*0.00651),"")</f>
        <v>0.14322000000000001</v>
      </c>
      <c r="AA282" s="56"/>
      <c r="AB282" s="57"/>
      <c r="AC282" s="339" t="s">
        <v>458</v>
      </c>
      <c r="AG282" s="64"/>
      <c r="AJ282" s="68" t="s">
        <v>108</v>
      </c>
      <c r="AK282" s="68">
        <v>33.6</v>
      </c>
      <c r="BB282" s="340" t="s">
        <v>1</v>
      </c>
      <c r="BM282" s="64">
        <f>IFERROR(X282*I282/H282,"0")</f>
        <v>54.82500000000001</v>
      </c>
      <c r="BN282" s="64">
        <f>IFERROR(Y282*I282/H282,"0")</f>
        <v>56.76</v>
      </c>
      <c r="BO282" s="64">
        <f>IFERROR(1/J282*(X282/H282),"0")</f>
        <v>0.11675824175824177</v>
      </c>
      <c r="BP282" s="64">
        <f>IFERROR(1/J282*(Y282/H282),"0")</f>
        <v>0.12087912087912089</v>
      </c>
    </row>
    <row r="283" spans="1:68" x14ac:dyDescent="0.2">
      <c r="A283" s="582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83"/>
      <c r="P283" s="572" t="s">
        <v>75</v>
      </c>
      <c r="Q283" s="573"/>
      <c r="R283" s="573"/>
      <c r="S283" s="573"/>
      <c r="T283" s="573"/>
      <c r="U283" s="573"/>
      <c r="V283" s="574"/>
      <c r="W283" s="37" t="s">
        <v>76</v>
      </c>
      <c r="X283" s="555">
        <f>IFERROR(X280/H280,"0")+IFERROR(X281/H281,"0")+IFERROR(X282/H282,"0")</f>
        <v>37.083333333333336</v>
      </c>
      <c r="Y283" s="555">
        <f>IFERROR(Y280/H280,"0")+IFERROR(Y281/H281,"0")+IFERROR(Y282/H282,"0")</f>
        <v>38</v>
      </c>
      <c r="Z283" s="555">
        <f>IFERROR(IF(Z280="",0,Z280),"0")+IFERROR(IF(Z281="",0,Z281),"0")+IFERROR(IF(Z282="",0,Z282),"0")</f>
        <v>0.24738000000000002</v>
      </c>
      <c r="AA283" s="556"/>
      <c r="AB283" s="556"/>
      <c r="AC283" s="556"/>
    </row>
    <row r="284" spans="1:68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83"/>
      <c r="P284" s="572" t="s">
        <v>75</v>
      </c>
      <c r="Q284" s="573"/>
      <c r="R284" s="573"/>
      <c r="S284" s="573"/>
      <c r="T284" s="573"/>
      <c r="U284" s="573"/>
      <c r="V284" s="574"/>
      <c r="W284" s="37" t="s">
        <v>69</v>
      </c>
      <c r="X284" s="555">
        <f>IFERROR(SUM(X280:X282),"0")</f>
        <v>89</v>
      </c>
      <c r="Y284" s="555">
        <f>IFERROR(SUM(Y280:Y282),"0")</f>
        <v>91.199999999999989</v>
      </c>
      <c r="Z284" s="37"/>
      <c r="AA284" s="556"/>
      <c r="AB284" s="556"/>
      <c r="AC284" s="556"/>
    </row>
    <row r="285" spans="1:68" ht="16.5" customHeight="1" x14ac:dyDescent="0.25">
      <c r="A285" s="567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customHeight="1" x14ac:dyDescent="0.25">
      <c r="A286" s="569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customHeight="1" x14ac:dyDescent="0.25">
      <c r="A287" s="54" t="s">
        <v>465</v>
      </c>
      <c r="B287" s="54" t="s">
        <v>466</v>
      </c>
      <c r="C287" s="31">
        <v>4301031307</v>
      </c>
      <c r="D287" s="560">
        <v>4680115880344</v>
      </c>
      <c r="E287" s="561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7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customHeight="1" x14ac:dyDescent="0.25">
      <c r="A288" s="54" t="s">
        <v>468</v>
      </c>
      <c r="B288" s="54" t="s">
        <v>469</v>
      </c>
      <c r="C288" s="31">
        <v>4301031429</v>
      </c>
      <c r="D288" s="560">
        <v>4680115886919</v>
      </c>
      <c r="E288" s="561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x14ac:dyDescent="0.2">
      <c r="A289" s="582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83"/>
      <c r="P289" s="572" t="s">
        <v>75</v>
      </c>
      <c r="Q289" s="573"/>
      <c r="R289" s="573"/>
      <c r="S289" s="573"/>
      <c r="T289" s="573"/>
      <c r="U289" s="573"/>
      <c r="V289" s="574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83"/>
      <c r="P290" s="572" t="s">
        <v>75</v>
      </c>
      <c r="Q290" s="573"/>
      <c r="R290" s="573"/>
      <c r="S290" s="573"/>
      <c r="T290" s="573"/>
      <c r="U290" s="573"/>
      <c r="V290" s="574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customHeight="1" x14ac:dyDescent="0.25">
      <c r="A291" s="569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customHeight="1" x14ac:dyDescent="0.25">
      <c r="A292" s="54" t="s">
        <v>471</v>
      </c>
      <c r="B292" s="54" t="s">
        <v>472</v>
      </c>
      <c r="C292" s="31">
        <v>4301051782</v>
      </c>
      <c r="D292" s="560">
        <v>4680115884618</v>
      </c>
      <c r="E292" s="561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7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474</v>
      </c>
      <c r="B293" s="54" t="s">
        <v>475</v>
      </c>
      <c r="C293" s="31">
        <v>4301052057</v>
      </c>
      <c r="D293" s="560">
        <v>4680115887114</v>
      </c>
      <c r="E293" s="561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82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83"/>
      <c r="P294" s="572" t="s">
        <v>75</v>
      </c>
      <c r="Q294" s="573"/>
      <c r="R294" s="573"/>
      <c r="S294" s="573"/>
      <c r="T294" s="573"/>
      <c r="U294" s="573"/>
      <c r="V294" s="574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83"/>
      <c r="P295" s="572" t="s">
        <v>75</v>
      </c>
      <c r="Q295" s="573"/>
      <c r="R295" s="573"/>
      <c r="S295" s="573"/>
      <c r="T295" s="573"/>
      <c r="U295" s="573"/>
      <c r="V295" s="574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customHeight="1" x14ac:dyDescent="0.25">
      <c r="A296" s="567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customHeight="1" x14ac:dyDescent="0.25">
      <c r="A297" s="569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customHeight="1" x14ac:dyDescent="0.25">
      <c r="A298" s="54" t="s">
        <v>478</v>
      </c>
      <c r="B298" s="54" t="s">
        <v>479</v>
      </c>
      <c r="C298" s="31">
        <v>4301012024</v>
      </c>
      <c r="D298" s="560">
        <v>4680115885615</v>
      </c>
      <c r="E298" s="561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customHeight="1" x14ac:dyDescent="0.25">
      <c r="A299" s="54" t="s">
        <v>481</v>
      </c>
      <c r="B299" s="54" t="s">
        <v>482</v>
      </c>
      <c r="C299" s="31">
        <v>4301011858</v>
      </c>
      <c r="D299" s="560">
        <v>4680115885646</v>
      </c>
      <c r="E299" s="561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6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484</v>
      </c>
      <c r="B300" s="54" t="s">
        <v>485</v>
      </c>
      <c r="C300" s="31">
        <v>4301012016</v>
      </c>
      <c r="D300" s="560">
        <v>4680115885554</v>
      </c>
      <c r="E300" s="561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0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customHeight="1" x14ac:dyDescent="0.25">
      <c r="A301" s="54" t="s">
        <v>487</v>
      </c>
      <c r="B301" s="54" t="s">
        <v>488</v>
      </c>
      <c r="C301" s="31">
        <v>4301011857</v>
      </c>
      <c r="D301" s="560">
        <v>4680115885622</v>
      </c>
      <c r="E301" s="561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82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customHeight="1" x14ac:dyDescent="0.25">
      <c r="A302" s="54" t="s">
        <v>489</v>
      </c>
      <c r="B302" s="54" t="s">
        <v>490</v>
      </c>
      <c r="C302" s="31">
        <v>4301011859</v>
      </c>
      <c r="D302" s="560">
        <v>4680115885608</v>
      </c>
      <c r="E302" s="561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6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x14ac:dyDescent="0.2">
      <c r="A303" s="582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83"/>
      <c r="P303" s="572" t="s">
        <v>75</v>
      </c>
      <c r="Q303" s="573"/>
      <c r="R303" s="573"/>
      <c r="S303" s="573"/>
      <c r="T303" s="573"/>
      <c r="U303" s="573"/>
      <c r="V303" s="574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83"/>
      <c r="P304" s="572" t="s">
        <v>75</v>
      </c>
      <c r="Q304" s="573"/>
      <c r="R304" s="573"/>
      <c r="S304" s="573"/>
      <c r="T304" s="573"/>
      <c r="U304" s="573"/>
      <c r="V304" s="574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customHeight="1" x14ac:dyDescent="0.25">
      <c r="A305" s="569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customHeight="1" x14ac:dyDescent="0.25">
      <c r="A306" s="54" t="s">
        <v>492</v>
      </c>
      <c r="B306" s="54" t="s">
        <v>493</v>
      </c>
      <c r="C306" s="31">
        <v>4301030878</v>
      </c>
      <c r="D306" s="560">
        <v>4607091387193</v>
      </c>
      <c r="E306" s="561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6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customHeight="1" x14ac:dyDescent="0.25">
      <c r="A307" s="54" t="s">
        <v>495</v>
      </c>
      <c r="B307" s="54" t="s">
        <v>496</v>
      </c>
      <c r="C307" s="31">
        <v>4301031153</v>
      </c>
      <c r="D307" s="560">
        <v>4607091387230</v>
      </c>
      <c r="E307" s="561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/>
      <c r="M307" s="33" t="s">
        <v>68</v>
      </c>
      <c r="N307" s="33"/>
      <c r="O307" s="32">
        <v>40</v>
      </c>
      <c r="P307" s="88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498</v>
      </c>
      <c r="B308" s="54" t="s">
        <v>499</v>
      </c>
      <c r="C308" s="31">
        <v>4301031154</v>
      </c>
      <c r="D308" s="560">
        <v>4607091387292</v>
      </c>
      <c r="E308" s="561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2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501</v>
      </c>
      <c r="B309" s="54" t="s">
        <v>502</v>
      </c>
      <c r="C309" s="31">
        <v>4301031152</v>
      </c>
      <c r="D309" s="560">
        <v>4607091387285</v>
      </c>
      <c r="E309" s="561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customHeight="1" x14ac:dyDescent="0.25">
      <c r="A310" s="54" t="s">
        <v>503</v>
      </c>
      <c r="B310" s="54" t="s">
        <v>504</v>
      </c>
      <c r="C310" s="31">
        <v>4301031305</v>
      </c>
      <c r="D310" s="560">
        <v>4607091389845</v>
      </c>
      <c r="E310" s="561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/>
      <c r="M310" s="33" t="s">
        <v>68</v>
      </c>
      <c r="N310" s="33"/>
      <c r="O310" s="32">
        <v>40</v>
      </c>
      <c r="P310" s="72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0</v>
      </c>
      <c r="Y310" s="554">
        <f t="shared" si="31"/>
        <v>0</v>
      </c>
      <c r="Z310" s="36" t="str">
        <f>IFERROR(IF(Y310=0,"",ROUNDUP(Y310/H310,0)*0.00502),"")</f>
        <v/>
      </c>
      <c r="AA310" s="56"/>
      <c r="AB310" s="57"/>
      <c r="AC310" s="367" t="s">
        <v>505</v>
      </c>
      <c r="AG310" s="64"/>
      <c r="AJ310" s="68"/>
      <c r="AK310" s="68">
        <v>0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t="27" customHeight="1" x14ac:dyDescent="0.25">
      <c r="A311" s="54" t="s">
        <v>506</v>
      </c>
      <c r="B311" s="54" t="s">
        <v>507</v>
      </c>
      <c r="C311" s="31">
        <v>4301031066</v>
      </c>
      <c r="D311" s="560">
        <v>4607091383836</v>
      </c>
      <c r="E311" s="561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/>
      <c r="M311" s="33" t="s">
        <v>68</v>
      </c>
      <c r="N311" s="33"/>
      <c r="O311" s="32">
        <v>40</v>
      </c>
      <c r="P311" s="73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33</v>
      </c>
      <c r="Y311" s="554">
        <f t="shared" si="31"/>
        <v>34.200000000000003</v>
      </c>
      <c r="Z311" s="36">
        <f>IFERROR(IF(Y311=0,"",ROUNDUP(Y311/H311,0)*0.00651),"")</f>
        <v>0.12369000000000001</v>
      </c>
      <c r="AA311" s="56"/>
      <c r="AB311" s="57"/>
      <c r="AC311" s="369" t="s">
        <v>508</v>
      </c>
      <c r="AG311" s="64"/>
      <c r="AJ311" s="68"/>
      <c r="AK311" s="68">
        <v>0</v>
      </c>
      <c r="BB311" s="370" t="s">
        <v>1</v>
      </c>
      <c r="BM311" s="64">
        <f t="shared" si="32"/>
        <v>37.18</v>
      </c>
      <c r="BN311" s="64">
        <f t="shared" si="33"/>
        <v>38.532000000000004</v>
      </c>
      <c r="BO311" s="64">
        <f t="shared" si="34"/>
        <v>0.10073260073260074</v>
      </c>
      <c r="BP311" s="64">
        <f t="shared" si="35"/>
        <v>0.1043956043956044</v>
      </c>
    </row>
    <row r="312" spans="1:68" x14ac:dyDescent="0.2">
      <c r="A312" s="582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83"/>
      <c r="P312" s="572" t="s">
        <v>75</v>
      </c>
      <c r="Q312" s="573"/>
      <c r="R312" s="573"/>
      <c r="S312" s="573"/>
      <c r="T312" s="573"/>
      <c r="U312" s="573"/>
      <c r="V312" s="574"/>
      <c r="W312" s="37" t="s">
        <v>76</v>
      </c>
      <c r="X312" s="555">
        <f>IFERROR(X306/H306,"0")+IFERROR(X307/H307,"0")+IFERROR(X308/H308,"0")+IFERROR(X309/H309,"0")+IFERROR(X310/H310,"0")+IFERROR(X311/H311,"0")</f>
        <v>18.333333333333332</v>
      </c>
      <c r="Y312" s="555">
        <f>IFERROR(Y306/H306,"0")+IFERROR(Y307/H307,"0")+IFERROR(Y308/H308,"0")+IFERROR(Y309/H309,"0")+IFERROR(Y310/H310,"0")+IFERROR(Y311/H311,"0")</f>
        <v>19</v>
      </c>
      <c r="Z312" s="555">
        <f>IFERROR(IF(Z306="",0,Z306),"0")+IFERROR(IF(Z307="",0,Z307),"0")+IFERROR(IF(Z308="",0,Z308),"0")+IFERROR(IF(Z309="",0,Z309),"0")+IFERROR(IF(Z310="",0,Z310),"0")+IFERROR(IF(Z311="",0,Z311),"0")</f>
        <v>0.12369000000000001</v>
      </c>
      <c r="AA312" s="556"/>
      <c r="AB312" s="556"/>
      <c r="AC312" s="556"/>
    </row>
    <row r="313" spans="1:68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83"/>
      <c r="P313" s="572" t="s">
        <v>75</v>
      </c>
      <c r="Q313" s="573"/>
      <c r="R313" s="573"/>
      <c r="S313" s="573"/>
      <c r="T313" s="573"/>
      <c r="U313" s="573"/>
      <c r="V313" s="574"/>
      <c r="W313" s="37" t="s">
        <v>69</v>
      </c>
      <c r="X313" s="555">
        <f>IFERROR(SUM(X306:X311),"0")</f>
        <v>33</v>
      </c>
      <c r="Y313" s="555">
        <f>IFERROR(SUM(Y306:Y311),"0")</f>
        <v>34.200000000000003</v>
      </c>
      <c r="Z313" s="37"/>
      <c r="AA313" s="556"/>
      <c r="AB313" s="556"/>
      <c r="AC313" s="556"/>
    </row>
    <row r="314" spans="1:68" ht="14.25" customHeight="1" x14ac:dyDescent="0.25">
      <c r="A314" s="569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customHeight="1" x14ac:dyDescent="0.25">
      <c r="A315" s="54" t="s">
        <v>509</v>
      </c>
      <c r="B315" s="54" t="s">
        <v>510</v>
      </c>
      <c r="C315" s="31">
        <v>4301051100</v>
      </c>
      <c r="D315" s="560">
        <v>4607091387766</v>
      </c>
      <c r="E315" s="561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5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512</v>
      </c>
      <c r="B316" s="54" t="s">
        <v>513</v>
      </c>
      <c r="C316" s="31">
        <v>4301051818</v>
      </c>
      <c r="D316" s="560">
        <v>4607091387957</v>
      </c>
      <c r="E316" s="561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515</v>
      </c>
      <c r="B317" s="54" t="s">
        <v>516</v>
      </c>
      <c r="C317" s="31">
        <v>4301051819</v>
      </c>
      <c r="D317" s="560">
        <v>4607091387964</v>
      </c>
      <c r="E317" s="561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5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518</v>
      </c>
      <c r="B318" s="54" t="s">
        <v>519</v>
      </c>
      <c r="C318" s="31">
        <v>4301051734</v>
      </c>
      <c r="D318" s="560">
        <v>4680115884588</v>
      </c>
      <c r="E318" s="561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582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83"/>
      <c r="P319" s="572" t="s">
        <v>75</v>
      </c>
      <c r="Q319" s="573"/>
      <c r="R319" s="573"/>
      <c r="S319" s="573"/>
      <c r="T319" s="573"/>
      <c r="U319" s="573"/>
      <c r="V319" s="574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83"/>
      <c r="P320" s="572" t="s">
        <v>75</v>
      </c>
      <c r="Q320" s="573"/>
      <c r="R320" s="573"/>
      <c r="S320" s="573"/>
      <c r="T320" s="573"/>
      <c r="U320" s="573"/>
      <c r="V320" s="574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customHeight="1" x14ac:dyDescent="0.25">
      <c r="A321" s="569" t="s">
        <v>162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customHeight="1" x14ac:dyDescent="0.25">
      <c r="A322" s="54" t="s">
        <v>521</v>
      </c>
      <c r="B322" s="54" t="s">
        <v>522</v>
      </c>
      <c r="C322" s="31">
        <v>4301060387</v>
      </c>
      <c r="D322" s="560">
        <v>4607091380880</v>
      </c>
      <c r="E322" s="561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74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92</v>
      </c>
      <c r="Y322" s="554">
        <f>IFERROR(IF(X322="",0,CEILING((X322/$H322),1)*$H322),"")</f>
        <v>92.4</v>
      </c>
      <c r="Z322" s="36">
        <f>IFERROR(IF(Y322=0,"",ROUNDUP(Y322/H322,0)*0.01898),"")</f>
        <v>0.20877999999999999</v>
      </c>
      <c r="AA322" s="56"/>
      <c r="AB322" s="57"/>
      <c r="AC322" s="379" t="s">
        <v>523</v>
      </c>
      <c r="AG322" s="64"/>
      <c r="AJ322" s="68" t="s">
        <v>108</v>
      </c>
      <c r="AK322" s="68">
        <v>67.2</v>
      </c>
      <c r="BB322" s="380" t="s">
        <v>1</v>
      </c>
      <c r="BM322" s="64">
        <f>IFERROR(X322*I322/H322,"0")</f>
        <v>97.410476190476189</v>
      </c>
      <c r="BN322" s="64">
        <f>IFERROR(Y322*I322/H322,"0")</f>
        <v>97.834000000000003</v>
      </c>
      <c r="BO322" s="64">
        <f>IFERROR(1/J322*(X322/H322),"0")</f>
        <v>0.17113095238095238</v>
      </c>
      <c r="BP322" s="64">
        <f>IFERROR(1/J322*(Y322/H322),"0")</f>
        <v>0.171875</v>
      </c>
    </row>
    <row r="323" spans="1:68" ht="27" customHeight="1" x14ac:dyDescent="0.25">
      <c r="A323" s="54" t="s">
        <v>524</v>
      </c>
      <c r="B323" s="54" t="s">
        <v>525</v>
      </c>
      <c r="C323" s="31">
        <v>4301060406</v>
      </c>
      <c r="D323" s="560">
        <v>4607091384482</v>
      </c>
      <c r="E323" s="561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145</v>
      </c>
      <c r="Y323" s="554">
        <f>IFERROR(IF(X323="",0,CEILING((X323/$H323),1)*$H323),"")</f>
        <v>148.19999999999999</v>
      </c>
      <c r="Z323" s="36">
        <f>IFERROR(IF(Y323=0,"",ROUNDUP(Y323/H323,0)*0.01898),"")</f>
        <v>0.36062</v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154.18333333333334</v>
      </c>
      <c r="BN323" s="64">
        <f>IFERROR(Y323*I323/H323,"0")</f>
        <v>157.58599999999998</v>
      </c>
      <c r="BO323" s="64">
        <f>IFERROR(1/J323*(X323/H323),"0")</f>
        <v>0.29046474358974361</v>
      </c>
      <c r="BP323" s="64">
        <f>IFERROR(1/J323*(Y323/H323),"0")</f>
        <v>0.296875</v>
      </c>
    </row>
    <row r="324" spans="1:68" ht="16.5" customHeight="1" x14ac:dyDescent="0.25">
      <c r="A324" s="54" t="s">
        <v>527</v>
      </c>
      <c r="B324" s="54" t="s">
        <v>528</v>
      </c>
      <c r="C324" s="31">
        <v>4301060484</v>
      </c>
      <c r="D324" s="560">
        <v>4607091380897</v>
      </c>
      <c r="E324" s="561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 t="s">
        <v>105</v>
      </c>
      <c r="M324" s="33" t="s">
        <v>86</v>
      </c>
      <c r="N324" s="33"/>
      <c r="O324" s="32">
        <v>30</v>
      </c>
      <c r="P324" s="75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53</v>
      </c>
      <c r="Y324" s="554">
        <f>IFERROR(IF(X324="",0,CEILING((X324/$H324),1)*$H324),"")</f>
        <v>58.800000000000004</v>
      </c>
      <c r="Z324" s="36">
        <f>IFERROR(IF(Y324=0,"",ROUNDUP(Y324/H324,0)*0.01898),"")</f>
        <v>0.13286000000000001</v>
      </c>
      <c r="AA324" s="56"/>
      <c r="AB324" s="57"/>
      <c r="AC324" s="383" t="s">
        <v>529</v>
      </c>
      <c r="AG324" s="64"/>
      <c r="AJ324" s="68" t="s">
        <v>108</v>
      </c>
      <c r="AK324" s="68">
        <v>67.2</v>
      </c>
      <c r="BB324" s="384" t="s">
        <v>1</v>
      </c>
      <c r="BM324" s="64">
        <f>IFERROR(X324*I324/H324,"0")</f>
        <v>56.116904761904763</v>
      </c>
      <c r="BN324" s="64">
        <f>IFERROR(Y324*I324/H324,"0")</f>
        <v>62.258000000000003</v>
      </c>
      <c r="BO324" s="64">
        <f>IFERROR(1/J324*(X324/H324),"0")</f>
        <v>9.8586309523809521E-2</v>
      </c>
      <c r="BP324" s="64">
        <f>IFERROR(1/J324*(Y324/H324),"0")</f>
        <v>0.109375</v>
      </c>
    </row>
    <row r="325" spans="1:68" x14ac:dyDescent="0.2">
      <c r="A325" s="582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83"/>
      <c r="P325" s="572" t="s">
        <v>75</v>
      </c>
      <c r="Q325" s="573"/>
      <c r="R325" s="573"/>
      <c r="S325" s="573"/>
      <c r="T325" s="573"/>
      <c r="U325" s="573"/>
      <c r="V325" s="574"/>
      <c r="W325" s="37" t="s">
        <v>76</v>
      </c>
      <c r="X325" s="555">
        <f>IFERROR(X322/H322,"0")+IFERROR(X323/H323,"0")+IFERROR(X324/H324,"0")</f>
        <v>35.85164835164835</v>
      </c>
      <c r="Y325" s="555">
        <f>IFERROR(Y322/H322,"0")+IFERROR(Y323/H323,"0")+IFERROR(Y324/H324,"0")</f>
        <v>37</v>
      </c>
      <c r="Z325" s="555">
        <f>IFERROR(IF(Z322="",0,Z322),"0")+IFERROR(IF(Z323="",0,Z323),"0")+IFERROR(IF(Z324="",0,Z324),"0")</f>
        <v>0.70226</v>
      </c>
      <c r="AA325" s="556"/>
      <c r="AB325" s="556"/>
      <c r="AC325" s="556"/>
    </row>
    <row r="326" spans="1:68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83"/>
      <c r="P326" s="572" t="s">
        <v>75</v>
      </c>
      <c r="Q326" s="573"/>
      <c r="R326" s="573"/>
      <c r="S326" s="573"/>
      <c r="T326" s="573"/>
      <c r="U326" s="573"/>
      <c r="V326" s="574"/>
      <c r="W326" s="37" t="s">
        <v>69</v>
      </c>
      <c r="X326" s="555">
        <f>IFERROR(SUM(X322:X324),"0")</f>
        <v>290</v>
      </c>
      <c r="Y326" s="555">
        <f>IFERROR(SUM(Y322:Y324),"0")</f>
        <v>299.39999999999998</v>
      </c>
      <c r="Z326" s="37"/>
      <c r="AA326" s="556"/>
      <c r="AB326" s="556"/>
      <c r="AC326" s="556"/>
    </row>
    <row r="327" spans="1:68" ht="14.25" customHeight="1" x14ac:dyDescent="0.25">
      <c r="A327" s="569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customHeight="1" x14ac:dyDescent="0.25">
      <c r="A328" s="54" t="s">
        <v>530</v>
      </c>
      <c r="B328" s="54" t="s">
        <v>531</v>
      </c>
      <c r="C328" s="31">
        <v>4301030235</v>
      </c>
      <c r="D328" s="560">
        <v>4607091388381</v>
      </c>
      <c r="E328" s="561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57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11</v>
      </c>
      <c r="Y328" s="554">
        <f>IFERROR(IF(X328="",0,CEILING((X328/$H328),1)*$H328),"")</f>
        <v>12.16</v>
      </c>
      <c r="Z328" s="36">
        <f>IFERROR(IF(Y328=0,"",ROUNDUP(Y328/H328,0)*0.00902),"")</f>
        <v>3.6080000000000001E-2</v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11.976973684210527</v>
      </c>
      <c r="BN328" s="64">
        <f>IFERROR(Y328*I328/H328,"0")</f>
        <v>13.24</v>
      </c>
      <c r="BO328" s="64">
        <f>IFERROR(1/J328*(X328/H328),"0")</f>
        <v>2.7412280701754384E-2</v>
      </c>
      <c r="BP328" s="64">
        <f>IFERROR(1/J328*(Y328/H328),"0")</f>
        <v>3.0303030303030304E-2</v>
      </c>
    </row>
    <row r="329" spans="1:68" ht="27" customHeight="1" x14ac:dyDescent="0.25">
      <c r="A329" s="54" t="s">
        <v>533</v>
      </c>
      <c r="B329" s="54" t="s">
        <v>534</v>
      </c>
      <c r="C329" s="31">
        <v>4301030232</v>
      </c>
      <c r="D329" s="560">
        <v>4607091388374</v>
      </c>
      <c r="E329" s="561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3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8</v>
      </c>
      <c r="Y329" s="554">
        <f>IFERROR(IF(X329="",0,CEILING((X329/$H329),1)*$H329),"")</f>
        <v>9.120000000000001</v>
      </c>
      <c r="Z329" s="36">
        <f>IFERROR(IF(Y329=0,"",ROUNDUP(Y329/H329,0)*0.00902),"")</f>
        <v>2.7060000000000001E-2</v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8.6052631578947363</v>
      </c>
      <c r="BN329" s="64">
        <f>IFERROR(Y329*I329/H329,"0")</f>
        <v>9.81</v>
      </c>
      <c r="BO329" s="64">
        <f>IFERROR(1/J329*(X329/H329),"0")</f>
        <v>1.9936204146730464E-2</v>
      </c>
      <c r="BP329" s="64">
        <f>IFERROR(1/J329*(Y329/H329),"0")</f>
        <v>2.2727272727272731E-2</v>
      </c>
    </row>
    <row r="330" spans="1:68" ht="27" customHeight="1" x14ac:dyDescent="0.25">
      <c r="A330" s="54" t="s">
        <v>535</v>
      </c>
      <c r="B330" s="54" t="s">
        <v>536</v>
      </c>
      <c r="C330" s="31">
        <v>4301032015</v>
      </c>
      <c r="D330" s="560">
        <v>4607091383102</v>
      </c>
      <c r="E330" s="561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/>
      <c r="M330" s="33" t="s">
        <v>96</v>
      </c>
      <c r="N330" s="33"/>
      <c r="O330" s="32">
        <v>180</v>
      </c>
      <c r="P330" s="77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23</v>
      </c>
      <c r="Y330" s="554">
        <f>IFERROR(IF(X330="",0,CEILING((X330/$H330),1)*$H330),"")</f>
        <v>25.5</v>
      </c>
      <c r="Z330" s="36">
        <f>IFERROR(IF(Y330=0,"",ROUNDUP(Y330/H330,0)*0.00651),"")</f>
        <v>6.5100000000000005E-2</v>
      </c>
      <c r="AA330" s="56"/>
      <c r="AB330" s="57"/>
      <c r="AC330" s="389" t="s">
        <v>537</v>
      </c>
      <c r="AG330" s="64"/>
      <c r="AJ330" s="68"/>
      <c r="AK330" s="68">
        <v>0</v>
      </c>
      <c r="BB330" s="390" t="s">
        <v>1</v>
      </c>
      <c r="BM330" s="64">
        <f>IFERROR(X330*I330/H330,"0")</f>
        <v>26.652941176470591</v>
      </c>
      <c r="BN330" s="64">
        <f>IFERROR(Y330*I330/H330,"0")</f>
        <v>29.550000000000004</v>
      </c>
      <c r="BO330" s="64">
        <f>IFERROR(1/J330*(X330/H330),"0")</f>
        <v>4.9558284852402504E-2</v>
      </c>
      <c r="BP330" s="64">
        <f>IFERROR(1/J330*(Y330/H330),"0")</f>
        <v>5.4945054945054951E-2</v>
      </c>
    </row>
    <row r="331" spans="1:68" ht="27" customHeight="1" x14ac:dyDescent="0.25">
      <c r="A331" s="54" t="s">
        <v>538</v>
      </c>
      <c r="B331" s="54" t="s">
        <v>539</v>
      </c>
      <c r="C331" s="31">
        <v>4301030233</v>
      </c>
      <c r="D331" s="560">
        <v>4607091388404</v>
      </c>
      <c r="E331" s="561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 t="s">
        <v>215</v>
      </c>
      <c r="M331" s="33" t="s">
        <v>96</v>
      </c>
      <c r="N331" s="33"/>
      <c r="O331" s="32">
        <v>180</v>
      </c>
      <c r="P331" s="63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54</v>
      </c>
      <c r="Y331" s="554">
        <f>IFERROR(IF(X331="",0,CEILING((X331/$H331),1)*$H331),"")</f>
        <v>56.099999999999994</v>
      </c>
      <c r="Z331" s="36">
        <f>IFERROR(IF(Y331=0,"",ROUNDUP(Y331/H331,0)*0.00651),"")</f>
        <v>0.14322000000000001</v>
      </c>
      <c r="AA331" s="56"/>
      <c r="AB331" s="57"/>
      <c r="AC331" s="391" t="s">
        <v>532</v>
      </c>
      <c r="AG331" s="64"/>
      <c r="AJ331" s="68" t="s">
        <v>108</v>
      </c>
      <c r="AK331" s="68">
        <v>35.700000000000003</v>
      </c>
      <c r="BB331" s="392" t="s">
        <v>1</v>
      </c>
      <c r="BM331" s="64">
        <f>IFERROR(X331*I331/H331,"0")</f>
        <v>60.988235294117644</v>
      </c>
      <c r="BN331" s="64">
        <f>IFERROR(Y331*I331/H331,"0")</f>
        <v>63.36</v>
      </c>
      <c r="BO331" s="64">
        <f>IFERROR(1/J331*(X331/H331),"0")</f>
        <v>0.11635423400129286</v>
      </c>
      <c r="BP331" s="64">
        <f>IFERROR(1/J331*(Y331/H331),"0")</f>
        <v>0.12087912087912089</v>
      </c>
    </row>
    <row r="332" spans="1:68" x14ac:dyDescent="0.2">
      <c r="A332" s="582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83"/>
      <c r="P332" s="572" t="s">
        <v>75</v>
      </c>
      <c r="Q332" s="573"/>
      <c r="R332" s="573"/>
      <c r="S332" s="573"/>
      <c r="T332" s="573"/>
      <c r="U332" s="573"/>
      <c r="V332" s="574"/>
      <c r="W332" s="37" t="s">
        <v>76</v>
      </c>
      <c r="X332" s="555">
        <f>IFERROR(X328/H328,"0")+IFERROR(X329/H329,"0")+IFERROR(X330/H330,"0")+IFERROR(X331/H331,"0")</f>
        <v>36.446078431372555</v>
      </c>
      <c r="Y332" s="555">
        <f>IFERROR(Y328/H328,"0")+IFERROR(Y329/H329,"0")+IFERROR(Y330/H330,"0")+IFERROR(Y331/H331,"0")</f>
        <v>39</v>
      </c>
      <c r="Z332" s="555">
        <f>IFERROR(IF(Z328="",0,Z328),"0")+IFERROR(IF(Z329="",0,Z329),"0")+IFERROR(IF(Z330="",0,Z330),"0")+IFERROR(IF(Z331="",0,Z331),"0")</f>
        <v>0.27146000000000003</v>
      </c>
      <c r="AA332" s="556"/>
      <c r="AB332" s="556"/>
      <c r="AC332" s="556"/>
    </row>
    <row r="333" spans="1:68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83"/>
      <c r="P333" s="572" t="s">
        <v>75</v>
      </c>
      <c r="Q333" s="573"/>
      <c r="R333" s="573"/>
      <c r="S333" s="573"/>
      <c r="T333" s="573"/>
      <c r="U333" s="573"/>
      <c r="V333" s="574"/>
      <c r="W333" s="37" t="s">
        <v>69</v>
      </c>
      <c r="X333" s="555">
        <f>IFERROR(SUM(X328:X331),"0")</f>
        <v>96</v>
      </c>
      <c r="Y333" s="555">
        <f>IFERROR(SUM(Y328:Y331),"0")</f>
        <v>102.88</v>
      </c>
      <c r="Z333" s="37"/>
      <c r="AA333" s="556"/>
      <c r="AB333" s="556"/>
      <c r="AC333" s="556"/>
    </row>
    <row r="334" spans="1:68" ht="14.25" customHeight="1" x14ac:dyDescent="0.25">
      <c r="A334" s="569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customHeight="1" x14ac:dyDescent="0.25">
      <c r="A335" s="54" t="s">
        <v>541</v>
      </c>
      <c r="B335" s="54" t="s">
        <v>542</v>
      </c>
      <c r="C335" s="31">
        <v>4301180007</v>
      </c>
      <c r="D335" s="560">
        <v>4680115881808</v>
      </c>
      <c r="E335" s="561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/>
      <c r="M335" s="33" t="s">
        <v>543</v>
      </c>
      <c r="N335" s="33"/>
      <c r="O335" s="32">
        <v>730</v>
      </c>
      <c r="P335" s="80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1</v>
      </c>
      <c r="Y335" s="554">
        <f>IFERROR(IF(X335="",0,CEILING((X335/$H335),1)*$H335),"")</f>
        <v>2</v>
      </c>
      <c r="Z335" s="36">
        <f>IFERROR(IF(Y335=0,"",ROUNDUP(Y335/H335,0)*0.00474),"")</f>
        <v>4.7400000000000003E-3</v>
      </c>
      <c r="AA335" s="56"/>
      <c r="AB335" s="57"/>
      <c r="AC335" s="393" t="s">
        <v>544</v>
      </c>
      <c r="AG335" s="64"/>
      <c r="AJ335" s="68"/>
      <c r="AK335" s="68">
        <v>0</v>
      </c>
      <c r="BB335" s="394" t="s">
        <v>1</v>
      </c>
      <c r="BM335" s="64">
        <f>IFERROR(X335*I335/H335,"0")</f>
        <v>1.1200000000000001</v>
      </c>
      <c r="BN335" s="64">
        <f>IFERROR(Y335*I335/H335,"0")</f>
        <v>2.2400000000000002</v>
      </c>
      <c r="BO335" s="64">
        <f>IFERROR(1/J335*(X335/H335),"0")</f>
        <v>2.1008403361344537E-3</v>
      </c>
      <c r="BP335" s="64">
        <f>IFERROR(1/J335*(Y335/H335),"0")</f>
        <v>4.2016806722689074E-3</v>
      </c>
    </row>
    <row r="336" spans="1:68" ht="27" customHeight="1" x14ac:dyDescent="0.25">
      <c r="A336" s="54" t="s">
        <v>545</v>
      </c>
      <c r="B336" s="54" t="s">
        <v>546</v>
      </c>
      <c r="C336" s="31">
        <v>4301180006</v>
      </c>
      <c r="D336" s="560">
        <v>4680115881822</v>
      </c>
      <c r="E336" s="561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/>
      <c r="M336" s="33" t="s">
        <v>543</v>
      </c>
      <c r="N336" s="33"/>
      <c r="O336" s="32">
        <v>730</v>
      </c>
      <c r="P336" s="82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5</v>
      </c>
      <c r="Y336" s="554">
        <f>IFERROR(IF(X336="",0,CEILING((X336/$H336),1)*$H336),"")</f>
        <v>6</v>
      </c>
      <c r="Z336" s="36">
        <f>IFERROR(IF(Y336=0,"",ROUNDUP(Y336/H336,0)*0.00474),"")</f>
        <v>1.422E-2</v>
      </c>
      <c r="AA336" s="56"/>
      <c r="AB336" s="57"/>
      <c r="AC336" s="395" t="s">
        <v>544</v>
      </c>
      <c r="AG336" s="64"/>
      <c r="AJ336" s="68"/>
      <c r="AK336" s="68">
        <v>0</v>
      </c>
      <c r="BB336" s="396" t="s">
        <v>1</v>
      </c>
      <c r="BM336" s="64">
        <f>IFERROR(X336*I336/H336,"0")</f>
        <v>5.6000000000000005</v>
      </c>
      <c r="BN336" s="64">
        <f>IFERROR(Y336*I336/H336,"0")</f>
        <v>6.7200000000000006</v>
      </c>
      <c r="BO336" s="64">
        <f>IFERROR(1/J336*(X336/H336),"0")</f>
        <v>1.0504201680672268E-2</v>
      </c>
      <c r="BP336" s="64">
        <f>IFERROR(1/J336*(Y336/H336),"0")</f>
        <v>1.2605042016806723E-2</v>
      </c>
    </row>
    <row r="337" spans="1:68" ht="27" customHeight="1" x14ac:dyDescent="0.25">
      <c r="A337" s="54" t="s">
        <v>547</v>
      </c>
      <c r="B337" s="54" t="s">
        <v>548</v>
      </c>
      <c r="C337" s="31">
        <v>4301180001</v>
      </c>
      <c r="D337" s="560">
        <v>4680115880016</v>
      </c>
      <c r="E337" s="561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/>
      <c r="M337" s="33" t="s">
        <v>543</v>
      </c>
      <c r="N337" s="33"/>
      <c r="O337" s="32">
        <v>730</v>
      </c>
      <c r="P337" s="65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13</v>
      </c>
      <c r="Y337" s="554">
        <f>IFERROR(IF(X337="",0,CEILING((X337/$H337),1)*$H337),"")</f>
        <v>14</v>
      </c>
      <c r="Z337" s="36">
        <f>IFERROR(IF(Y337=0,"",ROUNDUP(Y337/H337,0)*0.00474),"")</f>
        <v>3.3180000000000001E-2</v>
      </c>
      <c r="AA337" s="56"/>
      <c r="AB337" s="57"/>
      <c r="AC337" s="397" t="s">
        <v>544</v>
      </c>
      <c r="AG337" s="64"/>
      <c r="AJ337" s="68"/>
      <c r="AK337" s="68">
        <v>0</v>
      </c>
      <c r="BB337" s="398" t="s">
        <v>1</v>
      </c>
      <c r="BM337" s="64">
        <f>IFERROR(X337*I337/H337,"0")</f>
        <v>14.560000000000002</v>
      </c>
      <c r="BN337" s="64">
        <f>IFERROR(Y337*I337/H337,"0")</f>
        <v>15.680000000000001</v>
      </c>
      <c r="BO337" s="64">
        <f>IFERROR(1/J337*(X337/H337),"0")</f>
        <v>2.7310924369747899E-2</v>
      </c>
      <c r="BP337" s="64">
        <f>IFERROR(1/J337*(Y337/H337),"0")</f>
        <v>2.9411764705882353E-2</v>
      </c>
    </row>
    <row r="338" spans="1:68" x14ac:dyDescent="0.2">
      <c r="A338" s="582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83"/>
      <c r="P338" s="572" t="s">
        <v>75</v>
      </c>
      <c r="Q338" s="573"/>
      <c r="R338" s="573"/>
      <c r="S338" s="573"/>
      <c r="T338" s="573"/>
      <c r="U338" s="573"/>
      <c r="V338" s="574"/>
      <c r="W338" s="37" t="s">
        <v>76</v>
      </c>
      <c r="X338" s="555">
        <f>IFERROR(X335/H335,"0")+IFERROR(X336/H336,"0")+IFERROR(X337/H337,"0")</f>
        <v>9.5</v>
      </c>
      <c r="Y338" s="555">
        <f>IFERROR(Y335/H335,"0")+IFERROR(Y336/H336,"0")+IFERROR(Y337/H337,"0")</f>
        <v>11</v>
      </c>
      <c r="Z338" s="555">
        <f>IFERROR(IF(Z335="",0,Z335),"0")+IFERROR(IF(Z336="",0,Z336),"0")+IFERROR(IF(Z337="",0,Z337),"0")</f>
        <v>5.2140000000000006E-2</v>
      </c>
      <c r="AA338" s="556"/>
      <c r="AB338" s="556"/>
      <c r="AC338" s="556"/>
    </row>
    <row r="339" spans="1:68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83"/>
      <c r="P339" s="572" t="s">
        <v>75</v>
      </c>
      <c r="Q339" s="573"/>
      <c r="R339" s="573"/>
      <c r="S339" s="573"/>
      <c r="T339" s="573"/>
      <c r="U339" s="573"/>
      <c r="V339" s="574"/>
      <c r="W339" s="37" t="s">
        <v>69</v>
      </c>
      <c r="X339" s="555">
        <f>IFERROR(SUM(X335:X337),"0")</f>
        <v>19</v>
      </c>
      <c r="Y339" s="555">
        <f>IFERROR(SUM(Y335:Y337),"0")</f>
        <v>22</v>
      </c>
      <c r="Z339" s="37"/>
      <c r="AA339" s="556"/>
      <c r="AB339" s="556"/>
      <c r="AC339" s="556"/>
    </row>
    <row r="340" spans="1:68" ht="16.5" customHeight="1" x14ac:dyDescent="0.25">
      <c r="A340" s="567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customHeight="1" x14ac:dyDescent="0.25">
      <c r="A341" s="569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customHeight="1" x14ac:dyDescent="0.25">
      <c r="A342" s="54" t="s">
        <v>550</v>
      </c>
      <c r="B342" s="54" t="s">
        <v>551</v>
      </c>
      <c r="C342" s="31">
        <v>4301051489</v>
      </c>
      <c r="D342" s="560">
        <v>4607091387919</v>
      </c>
      <c r="E342" s="561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 t="s">
        <v>105</v>
      </c>
      <c r="M342" s="33" t="s">
        <v>86</v>
      </c>
      <c r="N342" s="33"/>
      <c r="O342" s="32">
        <v>45</v>
      </c>
      <c r="P342" s="85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16</v>
      </c>
      <c r="Y342" s="554">
        <f>IFERROR(IF(X342="",0,CEILING((X342/$H342),1)*$H342),"")</f>
        <v>16.2</v>
      </c>
      <c r="Z342" s="36">
        <f>IFERROR(IF(Y342=0,"",ROUNDUP(Y342/H342,0)*0.01898),"")</f>
        <v>3.7960000000000001E-2</v>
      </c>
      <c r="AA342" s="56"/>
      <c r="AB342" s="57"/>
      <c r="AC342" s="399" t="s">
        <v>552</v>
      </c>
      <c r="AG342" s="64"/>
      <c r="AJ342" s="68" t="s">
        <v>108</v>
      </c>
      <c r="AK342" s="68">
        <v>64.8</v>
      </c>
      <c r="BB342" s="400" t="s">
        <v>1</v>
      </c>
      <c r="BM342" s="64">
        <f>IFERROR(X342*I342/H342,"0")</f>
        <v>16.975802469135804</v>
      </c>
      <c r="BN342" s="64">
        <f>IFERROR(Y342*I342/H342,"0")</f>
        <v>17.187999999999999</v>
      </c>
      <c r="BO342" s="64">
        <f>IFERROR(1/J342*(X342/H342),"0")</f>
        <v>3.0864197530864199E-2</v>
      </c>
      <c r="BP342" s="64">
        <f>IFERROR(1/J342*(Y342/H342),"0")</f>
        <v>3.125E-2</v>
      </c>
    </row>
    <row r="343" spans="1:68" ht="27" customHeight="1" x14ac:dyDescent="0.25">
      <c r="A343" s="54" t="s">
        <v>553</v>
      </c>
      <c r="B343" s="54" t="s">
        <v>554</v>
      </c>
      <c r="C343" s="31">
        <v>4301051461</v>
      </c>
      <c r="D343" s="560">
        <v>4680115883604</v>
      </c>
      <c r="E343" s="561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/>
      <c r="M343" s="33" t="s">
        <v>80</v>
      </c>
      <c r="N343" s="33"/>
      <c r="O343" s="32">
        <v>45</v>
      </c>
      <c r="P343" s="78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0</v>
      </c>
      <c r="Y343" s="55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555</v>
      </c>
      <c r="AG343" s="64"/>
      <c r="AJ343" s="68"/>
      <c r="AK343" s="68">
        <v>0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556</v>
      </c>
      <c r="B344" s="54" t="s">
        <v>557</v>
      </c>
      <c r="C344" s="31">
        <v>4301051864</v>
      </c>
      <c r="D344" s="560">
        <v>4680115883567</v>
      </c>
      <c r="E344" s="561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/>
      <c r="M344" s="33" t="s">
        <v>86</v>
      </c>
      <c r="N344" s="33"/>
      <c r="O344" s="32">
        <v>40</v>
      </c>
      <c r="P344" s="85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0</v>
      </c>
      <c r="Y344" s="554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/>
      <c r="AK344" s="68">
        <v>0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x14ac:dyDescent="0.2">
      <c r="A345" s="582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83"/>
      <c r="P345" s="572" t="s">
        <v>75</v>
      </c>
      <c r="Q345" s="573"/>
      <c r="R345" s="573"/>
      <c r="S345" s="573"/>
      <c r="T345" s="573"/>
      <c r="U345" s="573"/>
      <c r="V345" s="574"/>
      <c r="W345" s="37" t="s">
        <v>76</v>
      </c>
      <c r="X345" s="555">
        <f>IFERROR(X342/H342,"0")+IFERROR(X343/H343,"0")+IFERROR(X344/H344,"0")</f>
        <v>1.9753086419753088</v>
      </c>
      <c r="Y345" s="555">
        <f>IFERROR(Y342/H342,"0")+IFERROR(Y343/H343,"0")+IFERROR(Y344/H344,"0")</f>
        <v>2</v>
      </c>
      <c r="Z345" s="555">
        <f>IFERROR(IF(Z342="",0,Z342),"0")+IFERROR(IF(Z343="",0,Z343),"0")+IFERROR(IF(Z344="",0,Z344),"0")</f>
        <v>3.7960000000000001E-2</v>
      </c>
      <c r="AA345" s="556"/>
      <c r="AB345" s="556"/>
      <c r="AC345" s="556"/>
    </row>
    <row r="346" spans="1:68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83"/>
      <c r="P346" s="572" t="s">
        <v>75</v>
      </c>
      <c r="Q346" s="573"/>
      <c r="R346" s="573"/>
      <c r="S346" s="573"/>
      <c r="T346" s="573"/>
      <c r="U346" s="573"/>
      <c r="V346" s="574"/>
      <c r="W346" s="37" t="s">
        <v>69</v>
      </c>
      <c r="X346" s="555">
        <f>IFERROR(SUM(X342:X344),"0")</f>
        <v>16</v>
      </c>
      <c r="Y346" s="555">
        <f>IFERROR(SUM(Y342:Y344),"0")</f>
        <v>16.2</v>
      </c>
      <c r="Z346" s="37"/>
      <c r="AA346" s="556"/>
      <c r="AB346" s="556"/>
      <c r="AC346" s="556"/>
    </row>
    <row r="347" spans="1:68" ht="27.75" customHeight="1" x14ac:dyDescent="0.2">
      <c r="A347" s="630" t="s">
        <v>559</v>
      </c>
      <c r="B347" s="631"/>
      <c r="C347" s="631"/>
      <c r="D347" s="631"/>
      <c r="E347" s="631"/>
      <c r="F347" s="631"/>
      <c r="G347" s="631"/>
      <c r="H347" s="631"/>
      <c r="I347" s="631"/>
      <c r="J347" s="631"/>
      <c r="K347" s="631"/>
      <c r="L347" s="631"/>
      <c r="M347" s="631"/>
      <c r="N347" s="631"/>
      <c r="O347" s="631"/>
      <c r="P347" s="631"/>
      <c r="Q347" s="631"/>
      <c r="R347" s="631"/>
      <c r="S347" s="631"/>
      <c r="T347" s="631"/>
      <c r="U347" s="631"/>
      <c r="V347" s="631"/>
      <c r="W347" s="631"/>
      <c r="X347" s="631"/>
      <c r="Y347" s="631"/>
      <c r="Z347" s="631"/>
      <c r="AA347" s="48"/>
      <c r="AB347" s="48"/>
      <c r="AC347" s="48"/>
    </row>
    <row r="348" spans="1:68" ht="16.5" customHeight="1" x14ac:dyDescent="0.25">
      <c r="A348" s="567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customHeight="1" x14ac:dyDescent="0.25">
      <c r="A349" s="569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0">
        <v>4680115884847</v>
      </c>
      <c r="E350" s="561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 t="s">
        <v>105</v>
      </c>
      <c r="M350" s="33" t="s">
        <v>68</v>
      </c>
      <c r="N350" s="33"/>
      <c r="O350" s="32">
        <v>60</v>
      </c>
      <c r="P350" s="67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499</v>
      </c>
      <c r="Y350" s="554">
        <f t="shared" ref="Y350:Y356" si="36">IFERROR(IF(X350="",0,CEILING((X350/$H350),1)*$H350),"")</f>
        <v>510</v>
      </c>
      <c r="Z350" s="36">
        <f>IFERROR(IF(Y350=0,"",ROUNDUP(Y350/H350,0)*0.02175),"")</f>
        <v>0.73949999999999994</v>
      </c>
      <c r="AA350" s="56"/>
      <c r="AB350" s="57"/>
      <c r="AC350" s="405" t="s">
        <v>563</v>
      </c>
      <c r="AG350" s="64"/>
      <c r="AJ350" s="68" t="s">
        <v>108</v>
      </c>
      <c r="AK350" s="68">
        <v>120</v>
      </c>
      <c r="BB350" s="406" t="s">
        <v>1</v>
      </c>
      <c r="BM350" s="64">
        <f t="shared" ref="BM350:BM356" si="37">IFERROR(X350*I350/H350,"0")</f>
        <v>514.63533333333339</v>
      </c>
      <c r="BN350" s="64">
        <f t="shared" ref="BN350:BN356" si="38">IFERROR(Y350*I350/H350,"0")</f>
        <v>525.98</v>
      </c>
      <c r="BO350" s="64">
        <f t="shared" ref="BO350:BO356" si="39">IFERROR(1/J350*(X350/H350),"0")</f>
        <v>0.69305555555555554</v>
      </c>
      <c r="BP350" s="64">
        <f t="shared" ref="BP350:BP356" si="40">IFERROR(1/J350*(Y350/H350),"0")</f>
        <v>0.70833333333333326</v>
      </c>
    </row>
    <row r="351" spans="1:68" ht="27" customHeight="1" x14ac:dyDescent="0.25">
      <c r="A351" s="54" t="s">
        <v>564</v>
      </c>
      <c r="B351" s="54" t="s">
        <v>565</v>
      </c>
      <c r="C351" s="31">
        <v>4301011870</v>
      </c>
      <c r="D351" s="560">
        <v>4680115884854</v>
      </c>
      <c r="E351" s="561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 t="s">
        <v>105</v>
      </c>
      <c r="M351" s="33" t="s">
        <v>68</v>
      </c>
      <c r="N351" s="33"/>
      <c r="O351" s="32">
        <v>60</v>
      </c>
      <c r="P351" s="70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246</v>
      </c>
      <c r="Y351" s="554">
        <f t="shared" si="36"/>
        <v>255</v>
      </c>
      <c r="Z351" s="36">
        <f>IFERROR(IF(Y351=0,"",ROUNDUP(Y351/H351,0)*0.02175),"")</f>
        <v>0.36974999999999997</v>
      </c>
      <c r="AA351" s="56"/>
      <c r="AB351" s="57"/>
      <c r="AC351" s="407" t="s">
        <v>566</v>
      </c>
      <c r="AG351" s="64"/>
      <c r="AJ351" s="68" t="s">
        <v>108</v>
      </c>
      <c r="AK351" s="68">
        <v>120</v>
      </c>
      <c r="BB351" s="408" t="s">
        <v>1</v>
      </c>
      <c r="BM351" s="64">
        <f t="shared" si="37"/>
        <v>253.70800000000003</v>
      </c>
      <c r="BN351" s="64">
        <f t="shared" si="38"/>
        <v>262.99</v>
      </c>
      <c r="BO351" s="64">
        <f t="shared" si="39"/>
        <v>0.34166666666666662</v>
      </c>
      <c r="BP351" s="64">
        <f t="shared" si="40"/>
        <v>0.35416666666666663</v>
      </c>
    </row>
    <row r="352" spans="1:68" ht="37.5" customHeight="1" x14ac:dyDescent="0.25">
      <c r="A352" s="54" t="s">
        <v>567</v>
      </c>
      <c r="B352" s="54" t="s">
        <v>568</v>
      </c>
      <c r="C352" s="31">
        <v>4301011867</v>
      </c>
      <c r="D352" s="560">
        <v>4680115884830</v>
      </c>
      <c r="E352" s="561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 t="s">
        <v>105</v>
      </c>
      <c r="M352" s="33" t="s">
        <v>68</v>
      </c>
      <c r="N352" s="33"/>
      <c r="O352" s="32">
        <v>60</v>
      </c>
      <c r="P352" s="67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411</v>
      </c>
      <c r="Y352" s="554">
        <f t="shared" si="36"/>
        <v>420</v>
      </c>
      <c r="Z352" s="36">
        <f>IFERROR(IF(Y352=0,"",ROUNDUP(Y352/H352,0)*0.02175),"")</f>
        <v>0.60899999999999999</v>
      </c>
      <c r="AA352" s="56"/>
      <c r="AB352" s="57"/>
      <c r="AC352" s="409" t="s">
        <v>569</v>
      </c>
      <c r="AG352" s="64"/>
      <c r="AJ352" s="68" t="s">
        <v>108</v>
      </c>
      <c r="AK352" s="68">
        <v>120</v>
      </c>
      <c r="BB352" s="410" t="s">
        <v>1</v>
      </c>
      <c r="BM352" s="64">
        <f t="shared" si="37"/>
        <v>423.87799999999999</v>
      </c>
      <c r="BN352" s="64">
        <f t="shared" si="38"/>
        <v>433.16</v>
      </c>
      <c r="BO352" s="64">
        <f t="shared" si="39"/>
        <v>0.5708333333333333</v>
      </c>
      <c r="BP352" s="64">
        <f t="shared" si="40"/>
        <v>0.58333333333333326</v>
      </c>
    </row>
    <row r="353" spans="1:68" ht="27" customHeight="1" x14ac:dyDescent="0.25">
      <c r="A353" s="54" t="s">
        <v>570</v>
      </c>
      <c r="B353" s="54" t="s">
        <v>571</v>
      </c>
      <c r="C353" s="31">
        <v>4301012215</v>
      </c>
      <c r="D353" s="560">
        <v>4680115887046</v>
      </c>
      <c r="E353" s="561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/>
      <c r="M353" s="33" t="s">
        <v>86</v>
      </c>
      <c r="N353" s="33"/>
      <c r="O353" s="32">
        <v>60</v>
      </c>
      <c r="P353" s="711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504</v>
      </c>
      <c r="Y353" s="554">
        <f t="shared" si="36"/>
        <v>510</v>
      </c>
      <c r="Z353" s="36">
        <f>IFERROR(IF(Y353=0,"",ROUNDUP(Y353/H353,0)*0.02175),"")</f>
        <v>0.73949999999999994</v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37"/>
        <v>519.79200000000003</v>
      </c>
      <c r="BN353" s="64">
        <f t="shared" si="38"/>
        <v>525.98</v>
      </c>
      <c r="BO353" s="64">
        <f t="shared" si="39"/>
        <v>0.7</v>
      </c>
      <c r="BP353" s="64">
        <f t="shared" si="40"/>
        <v>0.70833333333333326</v>
      </c>
    </row>
    <row r="354" spans="1:68" ht="27" customHeight="1" x14ac:dyDescent="0.25">
      <c r="A354" s="54" t="s">
        <v>573</v>
      </c>
      <c r="B354" s="54" t="s">
        <v>574</v>
      </c>
      <c r="C354" s="31">
        <v>4301011433</v>
      </c>
      <c r="D354" s="560">
        <v>4680115882638</v>
      </c>
      <c r="E354" s="561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customHeight="1" x14ac:dyDescent="0.25">
      <c r="A355" s="54" t="s">
        <v>576</v>
      </c>
      <c r="B355" s="54" t="s">
        <v>577</v>
      </c>
      <c r="C355" s="31">
        <v>4301011952</v>
      </c>
      <c r="D355" s="560">
        <v>4680115884922</v>
      </c>
      <c r="E355" s="561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customHeight="1" x14ac:dyDescent="0.25">
      <c r="A356" s="54" t="s">
        <v>578</v>
      </c>
      <c r="B356" s="54" t="s">
        <v>579</v>
      </c>
      <c r="C356" s="31">
        <v>4301011868</v>
      </c>
      <c r="D356" s="560">
        <v>4680115884861</v>
      </c>
      <c r="E356" s="561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0</v>
      </c>
      <c r="Y356" s="554">
        <f t="shared" si="36"/>
        <v>0</v>
      </c>
      <c r="Z356" s="36" t="str">
        <f>IFERROR(IF(Y356=0,"",ROUNDUP(Y356/H356,0)*0.00902),"")</f>
        <v/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37"/>
        <v>0</v>
      </c>
      <c r="BN356" s="64">
        <f t="shared" si="38"/>
        <v>0</v>
      </c>
      <c r="BO356" s="64">
        <f t="shared" si="39"/>
        <v>0</v>
      </c>
      <c r="BP356" s="64">
        <f t="shared" si="40"/>
        <v>0</v>
      </c>
    </row>
    <row r="357" spans="1:68" x14ac:dyDescent="0.2">
      <c r="A357" s="582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83"/>
      <c r="P357" s="572" t="s">
        <v>75</v>
      </c>
      <c r="Q357" s="573"/>
      <c r="R357" s="573"/>
      <c r="S357" s="573"/>
      <c r="T357" s="573"/>
      <c r="U357" s="573"/>
      <c r="V357" s="574"/>
      <c r="W357" s="37" t="s">
        <v>76</v>
      </c>
      <c r="X357" s="555">
        <f>IFERROR(X350/H350,"0")+IFERROR(X351/H351,"0")+IFERROR(X352/H352,"0")+IFERROR(X353/H353,"0")+IFERROR(X354/H354,"0")+IFERROR(X355/H355,"0")+IFERROR(X356/H356,"0")</f>
        <v>110.66666666666666</v>
      </c>
      <c r="Y357" s="555">
        <f>IFERROR(Y350/H350,"0")+IFERROR(Y351/H351,"0")+IFERROR(Y352/H352,"0")+IFERROR(Y353/H353,"0")+IFERROR(Y354/H354,"0")+IFERROR(Y355/H355,"0")+IFERROR(Y356/H356,"0")</f>
        <v>113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2.4577499999999999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83"/>
      <c r="P358" s="572" t="s">
        <v>75</v>
      </c>
      <c r="Q358" s="573"/>
      <c r="R358" s="573"/>
      <c r="S358" s="573"/>
      <c r="T358" s="573"/>
      <c r="U358" s="573"/>
      <c r="V358" s="574"/>
      <c r="W358" s="37" t="s">
        <v>69</v>
      </c>
      <c r="X358" s="555">
        <f>IFERROR(SUM(X350:X356),"0")</f>
        <v>1660</v>
      </c>
      <c r="Y358" s="555">
        <f>IFERROR(SUM(Y350:Y356),"0")</f>
        <v>1695</v>
      </c>
      <c r="Z358" s="37"/>
      <c r="AA358" s="556"/>
      <c r="AB358" s="556"/>
      <c r="AC358" s="556"/>
    </row>
    <row r="359" spans="1:68" ht="14.25" customHeight="1" x14ac:dyDescent="0.25">
      <c r="A359" s="569" t="s">
        <v>137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customHeight="1" x14ac:dyDescent="0.25">
      <c r="A360" s="54" t="s">
        <v>580</v>
      </c>
      <c r="B360" s="54" t="s">
        <v>581</v>
      </c>
      <c r="C360" s="31">
        <v>4301020178</v>
      </c>
      <c r="D360" s="560">
        <v>4607091383980</v>
      </c>
      <c r="E360" s="561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 t="s">
        <v>105</v>
      </c>
      <c r="M360" s="33" t="s">
        <v>106</v>
      </c>
      <c r="N360" s="33"/>
      <c r="O360" s="32">
        <v>50</v>
      </c>
      <c r="P360" s="88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557</v>
      </c>
      <c r="Y360" s="554">
        <f>IFERROR(IF(X360="",0,CEILING((X360/$H360),1)*$H360),"")</f>
        <v>570</v>
      </c>
      <c r="Z360" s="36">
        <f>IFERROR(IF(Y360=0,"",ROUNDUP(Y360/H360,0)*0.02175),"")</f>
        <v>0.8264999999999999</v>
      </c>
      <c r="AA360" s="56"/>
      <c r="AB360" s="57"/>
      <c r="AC360" s="419" t="s">
        <v>582</v>
      </c>
      <c r="AG360" s="64"/>
      <c r="AJ360" s="68" t="s">
        <v>108</v>
      </c>
      <c r="AK360" s="68">
        <v>120</v>
      </c>
      <c r="BB360" s="420" t="s">
        <v>1</v>
      </c>
      <c r="BM360" s="64">
        <f>IFERROR(X360*I360/H360,"0")</f>
        <v>574.45266666666669</v>
      </c>
      <c r="BN360" s="64">
        <f>IFERROR(Y360*I360/H360,"0")</f>
        <v>587.86</v>
      </c>
      <c r="BO360" s="64">
        <f>IFERROR(1/J360*(X360/H360),"0")</f>
        <v>0.77361111111111103</v>
      </c>
      <c r="BP360" s="64">
        <f>IFERROR(1/J360*(Y360/H360),"0")</f>
        <v>0.79166666666666663</v>
      </c>
    </row>
    <row r="361" spans="1:68" ht="27" customHeight="1" x14ac:dyDescent="0.25">
      <c r="A361" s="54" t="s">
        <v>583</v>
      </c>
      <c r="B361" s="54" t="s">
        <v>584</v>
      </c>
      <c r="C361" s="31">
        <v>4301020179</v>
      </c>
      <c r="D361" s="560">
        <v>4607091384178</v>
      </c>
      <c r="E361" s="561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3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82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83"/>
      <c r="P362" s="572" t="s">
        <v>75</v>
      </c>
      <c r="Q362" s="573"/>
      <c r="R362" s="573"/>
      <c r="S362" s="573"/>
      <c r="T362" s="573"/>
      <c r="U362" s="573"/>
      <c r="V362" s="574"/>
      <c r="W362" s="37" t="s">
        <v>76</v>
      </c>
      <c r="X362" s="555">
        <f>IFERROR(X360/H360,"0")+IFERROR(X361/H361,"0")</f>
        <v>37.133333333333333</v>
      </c>
      <c r="Y362" s="555">
        <f>IFERROR(Y360/H360,"0")+IFERROR(Y361/H361,"0")</f>
        <v>38</v>
      </c>
      <c r="Z362" s="555">
        <f>IFERROR(IF(Z360="",0,Z360),"0")+IFERROR(IF(Z361="",0,Z361),"0")</f>
        <v>0.8264999999999999</v>
      </c>
      <c r="AA362" s="556"/>
      <c r="AB362" s="556"/>
      <c r="AC362" s="556"/>
    </row>
    <row r="363" spans="1:68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83"/>
      <c r="P363" s="572" t="s">
        <v>75</v>
      </c>
      <c r="Q363" s="573"/>
      <c r="R363" s="573"/>
      <c r="S363" s="573"/>
      <c r="T363" s="573"/>
      <c r="U363" s="573"/>
      <c r="V363" s="574"/>
      <c r="W363" s="37" t="s">
        <v>69</v>
      </c>
      <c r="X363" s="555">
        <f>IFERROR(SUM(X360:X361),"0")</f>
        <v>557</v>
      </c>
      <c r="Y363" s="555">
        <f>IFERROR(SUM(Y360:Y361),"0")</f>
        <v>570</v>
      </c>
      <c r="Z363" s="37"/>
      <c r="AA363" s="556"/>
      <c r="AB363" s="556"/>
      <c r="AC363" s="556"/>
    </row>
    <row r="364" spans="1:68" ht="14.25" customHeight="1" x14ac:dyDescent="0.25">
      <c r="A364" s="569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customHeight="1" x14ac:dyDescent="0.25">
      <c r="A365" s="54" t="s">
        <v>586</v>
      </c>
      <c r="B365" s="54" t="s">
        <v>587</v>
      </c>
      <c r="C365" s="31">
        <v>4301051903</v>
      </c>
      <c r="D365" s="560">
        <v>4607091383928</v>
      </c>
      <c r="E365" s="561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589</v>
      </c>
      <c r="B366" s="54" t="s">
        <v>590</v>
      </c>
      <c r="C366" s="31">
        <v>4301051897</v>
      </c>
      <c r="D366" s="560">
        <v>4607091384260</v>
      </c>
      <c r="E366" s="561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/>
      <c r="M366" s="33" t="s">
        <v>80</v>
      </c>
      <c r="N366" s="33"/>
      <c r="O366" s="32">
        <v>40</v>
      </c>
      <c r="P366" s="60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0</v>
      </c>
      <c r="Y366" s="55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/>
      <c r="AK366" s="68">
        <v>0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582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83"/>
      <c r="P367" s="572" t="s">
        <v>75</v>
      </c>
      <c r="Q367" s="573"/>
      <c r="R367" s="573"/>
      <c r="S367" s="573"/>
      <c r="T367" s="573"/>
      <c r="U367" s="573"/>
      <c r="V367" s="574"/>
      <c r="W367" s="37" t="s">
        <v>76</v>
      </c>
      <c r="X367" s="555">
        <f>IFERROR(X365/H365,"0")+IFERROR(X366/H366,"0")</f>
        <v>0</v>
      </c>
      <c r="Y367" s="555">
        <f>IFERROR(Y365/H365,"0")+IFERROR(Y366/H366,"0")</f>
        <v>0</v>
      </c>
      <c r="Z367" s="555">
        <f>IFERROR(IF(Z365="",0,Z365),"0")+IFERROR(IF(Z366="",0,Z366),"0")</f>
        <v>0</v>
      </c>
      <c r="AA367" s="556"/>
      <c r="AB367" s="556"/>
      <c r="AC367" s="556"/>
    </row>
    <row r="368" spans="1:68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83"/>
      <c r="P368" s="572" t="s">
        <v>75</v>
      </c>
      <c r="Q368" s="573"/>
      <c r="R368" s="573"/>
      <c r="S368" s="573"/>
      <c r="T368" s="573"/>
      <c r="U368" s="573"/>
      <c r="V368" s="574"/>
      <c r="W368" s="37" t="s">
        <v>69</v>
      </c>
      <c r="X368" s="555">
        <f>IFERROR(SUM(X365:X366),"0")</f>
        <v>0</v>
      </c>
      <c r="Y368" s="555">
        <f>IFERROR(SUM(Y365:Y366),"0")</f>
        <v>0</v>
      </c>
      <c r="Z368" s="37"/>
      <c r="AA368" s="556"/>
      <c r="AB368" s="556"/>
      <c r="AC368" s="556"/>
    </row>
    <row r="369" spans="1:68" ht="14.25" customHeight="1" x14ac:dyDescent="0.25">
      <c r="A369" s="569" t="s">
        <v>162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customHeight="1" x14ac:dyDescent="0.25">
      <c r="A370" s="54" t="s">
        <v>592</v>
      </c>
      <c r="B370" s="54" t="s">
        <v>593</v>
      </c>
      <c r="C370" s="31">
        <v>4301060524</v>
      </c>
      <c r="D370" s="560">
        <v>4607091384673</v>
      </c>
      <c r="E370" s="561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6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95</v>
      </c>
      <c r="Y370" s="554">
        <f>IFERROR(IF(X370="",0,CEILING((X370/$H370),1)*$H370),"")</f>
        <v>99</v>
      </c>
      <c r="Z370" s="36">
        <f>IFERROR(IF(Y370=0,"",ROUNDUP(Y370/H370,0)*0.01898),"")</f>
        <v>0.20877999999999999</v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100.21444444444444</v>
      </c>
      <c r="BN370" s="64">
        <f>IFERROR(Y370*I370/H370,"0")</f>
        <v>104.434</v>
      </c>
      <c r="BO370" s="64">
        <f>IFERROR(1/J370*(X370/H370),"0")</f>
        <v>0.16493055555555555</v>
      </c>
      <c r="BP370" s="64">
        <f>IFERROR(1/J370*(Y370/H370),"0")</f>
        <v>0.171875</v>
      </c>
    </row>
    <row r="371" spans="1:68" x14ac:dyDescent="0.2">
      <c r="A371" s="582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83"/>
      <c r="P371" s="572" t="s">
        <v>75</v>
      </c>
      <c r="Q371" s="573"/>
      <c r="R371" s="573"/>
      <c r="S371" s="573"/>
      <c r="T371" s="573"/>
      <c r="U371" s="573"/>
      <c r="V371" s="574"/>
      <c r="W371" s="37" t="s">
        <v>76</v>
      </c>
      <c r="X371" s="555">
        <f>IFERROR(X370/H370,"0")</f>
        <v>10.555555555555555</v>
      </c>
      <c r="Y371" s="555">
        <f>IFERROR(Y370/H370,"0")</f>
        <v>11</v>
      </c>
      <c r="Z371" s="555">
        <f>IFERROR(IF(Z370="",0,Z370),"0")</f>
        <v>0.20877999999999999</v>
      </c>
      <c r="AA371" s="556"/>
      <c r="AB371" s="556"/>
      <c r="AC371" s="556"/>
    </row>
    <row r="372" spans="1:68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83"/>
      <c r="P372" s="572" t="s">
        <v>75</v>
      </c>
      <c r="Q372" s="573"/>
      <c r="R372" s="573"/>
      <c r="S372" s="573"/>
      <c r="T372" s="573"/>
      <c r="U372" s="573"/>
      <c r="V372" s="574"/>
      <c r="W372" s="37" t="s">
        <v>69</v>
      </c>
      <c r="X372" s="555">
        <f>IFERROR(SUM(X370:X370),"0")</f>
        <v>95</v>
      </c>
      <c r="Y372" s="555">
        <f>IFERROR(SUM(Y370:Y370),"0")</f>
        <v>99</v>
      </c>
      <c r="Z372" s="37"/>
      <c r="AA372" s="556"/>
      <c r="AB372" s="556"/>
      <c r="AC372" s="556"/>
    </row>
    <row r="373" spans="1:68" ht="16.5" customHeight="1" x14ac:dyDescent="0.25">
      <c r="A373" s="567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customHeight="1" x14ac:dyDescent="0.25">
      <c r="A374" s="569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customHeight="1" x14ac:dyDescent="0.25">
      <c r="A375" s="54" t="s">
        <v>596</v>
      </c>
      <c r="B375" s="54" t="s">
        <v>597</v>
      </c>
      <c r="C375" s="31">
        <v>4301011875</v>
      </c>
      <c r="D375" s="560">
        <v>4680115884885</v>
      </c>
      <c r="E375" s="561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/>
      <c r="M375" s="33" t="s">
        <v>68</v>
      </c>
      <c r="N375" s="33"/>
      <c r="O375" s="32">
        <v>60</v>
      </c>
      <c r="P375" s="75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14</v>
      </c>
      <c r="Y375" s="554">
        <f>IFERROR(IF(X375="",0,CEILING((X375/$H375),1)*$H375),"")</f>
        <v>24</v>
      </c>
      <c r="Z375" s="36">
        <f>IFERROR(IF(Y375=0,"",ROUNDUP(Y375/H375,0)*0.01898),"")</f>
        <v>3.7960000000000001E-2</v>
      </c>
      <c r="AA375" s="56"/>
      <c r="AB375" s="57"/>
      <c r="AC375" s="429" t="s">
        <v>598</v>
      </c>
      <c r="AG375" s="64"/>
      <c r="AJ375" s="68"/>
      <c r="AK375" s="68">
        <v>0</v>
      </c>
      <c r="BB375" s="430" t="s">
        <v>1</v>
      </c>
      <c r="BM375" s="64">
        <f>IFERROR(X375*I375/H375,"0")</f>
        <v>14.478333333333333</v>
      </c>
      <c r="BN375" s="64">
        <f>IFERROR(Y375*I375/H375,"0")</f>
        <v>24.820000000000004</v>
      </c>
      <c r="BO375" s="64">
        <f>IFERROR(1/J375*(X375/H375),"0")</f>
        <v>1.8229166666666668E-2</v>
      </c>
      <c r="BP375" s="64">
        <f>IFERROR(1/J375*(Y375/H375),"0")</f>
        <v>3.125E-2</v>
      </c>
    </row>
    <row r="376" spans="1:68" ht="37.5" customHeight="1" x14ac:dyDescent="0.25">
      <c r="A376" s="54" t="s">
        <v>599</v>
      </c>
      <c r="B376" s="54" t="s">
        <v>600</v>
      </c>
      <c r="C376" s="31">
        <v>4301011871</v>
      </c>
      <c r="D376" s="560">
        <v>4680115884908</v>
      </c>
      <c r="E376" s="561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7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x14ac:dyDescent="0.2">
      <c r="A377" s="582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83"/>
      <c r="P377" s="572" t="s">
        <v>75</v>
      </c>
      <c r="Q377" s="573"/>
      <c r="R377" s="573"/>
      <c r="S377" s="573"/>
      <c r="T377" s="573"/>
      <c r="U377" s="573"/>
      <c r="V377" s="574"/>
      <c r="W377" s="37" t="s">
        <v>76</v>
      </c>
      <c r="X377" s="555">
        <f>IFERROR(X375/H375,"0")+IFERROR(X376/H376,"0")</f>
        <v>1.1666666666666667</v>
      </c>
      <c r="Y377" s="555">
        <f>IFERROR(Y375/H375,"0")+IFERROR(Y376/H376,"0")</f>
        <v>2</v>
      </c>
      <c r="Z377" s="555">
        <f>IFERROR(IF(Z375="",0,Z375),"0")+IFERROR(IF(Z376="",0,Z376),"0")</f>
        <v>3.7960000000000001E-2</v>
      </c>
      <c r="AA377" s="556"/>
      <c r="AB377" s="556"/>
      <c r="AC377" s="556"/>
    </row>
    <row r="378" spans="1:68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83"/>
      <c r="P378" s="572" t="s">
        <v>75</v>
      </c>
      <c r="Q378" s="573"/>
      <c r="R378" s="573"/>
      <c r="S378" s="573"/>
      <c r="T378" s="573"/>
      <c r="U378" s="573"/>
      <c r="V378" s="574"/>
      <c r="W378" s="37" t="s">
        <v>69</v>
      </c>
      <c r="X378" s="555">
        <f>IFERROR(SUM(X375:X376),"0")</f>
        <v>14</v>
      </c>
      <c r="Y378" s="555">
        <f>IFERROR(SUM(Y375:Y376),"0")</f>
        <v>24</v>
      </c>
      <c r="Z378" s="37"/>
      <c r="AA378" s="556"/>
      <c r="AB378" s="556"/>
      <c r="AC378" s="556"/>
    </row>
    <row r="379" spans="1:68" ht="14.25" customHeight="1" x14ac:dyDescent="0.25">
      <c r="A379" s="569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customHeight="1" x14ac:dyDescent="0.25">
      <c r="A380" s="54" t="s">
        <v>601</v>
      </c>
      <c r="B380" s="54" t="s">
        <v>602</v>
      </c>
      <c r="C380" s="31">
        <v>4301031303</v>
      </c>
      <c r="D380" s="560">
        <v>4607091384802</v>
      </c>
      <c r="E380" s="561"/>
      <c r="F380" s="552">
        <v>0.73</v>
      </c>
      <c r="G380" s="32">
        <v>6</v>
      </c>
      <c r="H380" s="552">
        <v>4.38</v>
      </c>
      <c r="I380" s="552">
        <v>4.63</v>
      </c>
      <c r="J380" s="32">
        <v>132</v>
      </c>
      <c r="K380" s="32" t="s">
        <v>111</v>
      </c>
      <c r="L380" s="32"/>
      <c r="M380" s="33" t="s">
        <v>68</v>
      </c>
      <c r="N380" s="33"/>
      <c r="O380" s="32">
        <v>35</v>
      </c>
      <c r="P380" s="75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601</v>
      </c>
      <c r="B381" s="54" t="s">
        <v>604</v>
      </c>
      <c r="C381" s="31">
        <v>4301031457</v>
      </c>
      <c r="D381" s="560">
        <v>4607091384802</v>
      </c>
      <c r="E381" s="561"/>
      <c r="F381" s="552">
        <v>0.7</v>
      </c>
      <c r="G381" s="32">
        <v>6</v>
      </c>
      <c r="H381" s="552">
        <v>4.2</v>
      </c>
      <c r="I381" s="552">
        <v>4.45</v>
      </c>
      <c r="J381" s="32">
        <v>132</v>
      </c>
      <c r="K381" s="32" t="s">
        <v>111</v>
      </c>
      <c r="L381" s="32"/>
      <c r="M381" s="33" t="s">
        <v>68</v>
      </c>
      <c r="N381" s="33"/>
      <c r="O381" s="32">
        <v>50</v>
      </c>
      <c r="P381" s="60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x14ac:dyDescent="0.2">
      <c r="A382" s="582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83"/>
      <c r="P382" s="572" t="s">
        <v>75</v>
      </c>
      <c r="Q382" s="573"/>
      <c r="R382" s="573"/>
      <c r="S382" s="573"/>
      <c r="T382" s="573"/>
      <c r="U382" s="573"/>
      <c r="V382" s="574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83"/>
      <c r="P383" s="572" t="s">
        <v>75</v>
      </c>
      <c r="Q383" s="573"/>
      <c r="R383" s="573"/>
      <c r="S383" s="573"/>
      <c r="T383" s="573"/>
      <c r="U383" s="573"/>
      <c r="V383" s="574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customHeight="1" x14ac:dyDescent="0.25">
      <c r="A384" s="569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customHeight="1" x14ac:dyDescent="0.25">
      <c r="A385" s="54" t="s">
        <v>606</v>
      </c>
      <c r="B385" s="54" t="s">
        <v>607</v>
      </c>
      <c r="C385" s="31">
        <v>4301051899</v>
      </c>
      <c r="D385" s="560">
        <v>4607091384246</v>
      </c>
      <c r="E385" s="561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363</v>
      </c>
      <c r="Y385" s="554">
        <f>IFERROR(IF(X385="",0,CEILING((X385/$H385),1)*$H385),"")</f>
        <v>369</v>
      </c>
      <c r="Z385" s="36">
        <f>IFERROR(IF(Y385=0,"",ROUNDUP(Y385/H385,0)*0.01898),"")</f>
        <v>0.77817999999999998</v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382.92466666666667</v>
      </c>
      <c r="BN385" s="64">
        <f>IFERROR(Y385*I385/H385,"0")</f>
        <v>389.25400000000002</v>
      </c>
      <c r="BO385" s="64">
        <f>IFERROR(1/J385*(X385/H385),"0")</f>
        <v>0.63020833333333337</v>
      </c>
      <c r="BP385" s="64">
        <f>IFERROR(1/J385*(Y385/H385),"0")</f>
        <v>0.640625</v>
      </c>
    </row>
    <row r="386" spans="1:68" ht="27" customHeight="1" x14ac:dyDescent="0.25">
      <c r="A386" s="54" t="s">
        <v>609</v>
      </c>
      <c r="B386" s="54" t="s">
        <v>610</v>
      </c>
      <c r="C386" s="31">
        <v>4301051660</v>
      </c>
      <c r="D386" s="560">
        <v>4607091384253</v>
      </c>
      <c r="E386" s="561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 t="s">
        <v>215</v>
      </c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0</v>
      </c>
      <c r="Y386" s="554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608</v>
      </c>
      <c r="AG386" s="64"/>
      <c r="AJ386" s="68" t="s">
        <v>108</v>
      </c>
      <c r="AK386" s="68">
        <v>33.6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609</v>
      </c>
      <c r="B387" s="54" t="s">
        <v>611</v>
      </c>
      <c r="C387" s="31">
        <v>4301052069</v>
      </c>
      <c r="D387" s="560">
        <v>4607091384253</v>
      </c>
      <c r="E387" s="561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82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83"/>
      <c r="P388" s="572" t="s">
        <v>75</v>
      </c>
      <c r="Q388" s="573"/>
      <c r="R388" s="573"/>
      <c r="S388" s="573"/>
      <c r="T388" s="573"/>
      <c r="U388" s="573"/>
      <c r="V388" s="574"/>
      <c r="W388" s="37" t="s">
        <v>76</v>
      </c>
      <c r="X388" s="555">
        <f>IFERROR(X385/H385,"0")+IFERROR(X386/H386,"0")+IFERROR(X387/H387,"0")</f>
        <v>40.333333333333336</v>
      </c>
      <c r="Y388" s="555">
        <f>IFERROR(Y385/H385,"0")+IFERROR(Y386/H386,"0")+IFERROR(Y387/H387,"0")</f>
        <v>41</v>
      </c>
      <c r="Z388" s="555">
        <f>IFERROR(IF(Z385="",0,Z385),"0")+IFERROR(IF(Z386="",0,Z386),"0")+IFERROR(IF(Z387="",0,Z387),"0")</f>
        <v>0.77817999999999998</v>
      </c>
      <c r="AA388" s="556"/>
      <c r="AB388" s="556"/>
      <c r="AC388" s="556"/>
    </row>
    <row r="389" spans="1:68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83"/>
      <c r="P389" s="572" t="s">
        <v>75</v>
      </c>
      <c r="Q389" s="573"/>
      <c r="R389" s="573"/>
      <c r="S389" s="573"/>
      <c r="T389" s="573"/>
      <c r="U389" s="573"/>
      <c r="V389" s="574"/>
      <c r="W389" s="37" t="s">
        <v>69</v>
      </c>
      <c r="X389" s="555">
        <f>IFERROR(SUM(X385:X387),"0")</f>
        <v>363</v>
      </c>
      <c r="Y389" s="555">
        <f>IFERROR(SUM(Y385:Y387),"0")</f>
        <v>369</v>
      </c>
      <c r="Z389" s="37"/>
      <c r="AA389" s="556"/>
      <c r="AB389" s="556"/>
      <c r="AC389" s="556"/>
    </row>
    <row r="390" spans="1:68" ht="27.75" customHeight="1" x14ac:dyDescent="0.2">
      <c r="A390" s="630" t="s">
        <v>613</v>
      </c>
      <c r="B390" s="631"/>
      <c r="C390" s="631"/>
      <c r="D390" s="631"/>
      <c r="E390" s="631"/>
      <c r="F390" s="631"/>
      <c r="G390" s="631"/>
      <c r="H390" s="631"/>
      <c r="I390" s="631"/>
      <c r="J390" s="631"/>
      <c r="K390" s="631"/>
      <c r="L390" s="631"/>
      <c r="M390" s="631"/>
      <c r="N390" s="631"/>
      <c r="O390" s="631"/>
      <c r="P390" s="631"/>
      <c r="Q390" s="631"/>
      <c r="R390" s="631"/>
      <c r="S390" s="631"/>
      <c r="T390" s="631"/>
      <c r="U390" s="631"/>
      <c r="V390" s="631"/>
      <c r="W390" s="631"/>
      <c r="X390" s="631"/>
      <c r="Y390" s="631"/>
      <c r="Z390" s="631"/>
      <c r="AA390" s="48"/>
      <c r="AB390" s="48"/>
      <c r="AC390" s="48"/>
    </row>
    <row r="391" spans="1:68" ht="16.5" customHeight="1" x14ac:dyDescent="0.25">
      <c r="A391" s="567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customHeight="1" x14ac:dyDescent="0.25">
      <c r="A392" s="569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customHeight="1" x14ac:dyDescent="0.25">
      <c r="A393" s="54" t="s">
        <v>615</v>
      </c>
      <c r="B393" s="54" t="s">
        <v>616</v>
      </c>
      <c r="C393" s="31">
        <v>4301031405</v>
      </c>
      <c r="D393" s="560">
        <v>4680115886100</v>
      </c>
      <c r="E393" s="561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/>
      <c r="M393" s="33" t="s">
        <v>68</v>
      </c>
      <c r="N393" s="33"/>
      <c r="O393" s="32">
        <v>50</v>
      </c>
      <c r="P393" s="77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0</v>
      </c>
      <c r="Y393" s="554">
        <f t="shared" ref="Y393:Y401" si="41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617</v>
      </c>
      <c r="AG393" s="64"/>
      <c r="AJ393" s="68"/>
      <c r="AK393" s="68">
        <v>0</v>
      </c>
      <c r="BB393" s="444" t="s">
        <v>1</v>
      </c>
      <c r="BM393" s="64">
        <f t="shared" ref="BM393:BM401" si="42">IFERROR(X393*I393/H393,"0")</f>
        <v>0</v>
      </c>
      <c r="BN393" s="64">
        <f t="shared" ref="BN393:BN401" si="43">IFERROR(Y393*I393/H393,"0")</f>
        <v>0</v>
      </c>
      <c r="BO393" s="64">
        <f t="shared" ref="BO393:BO401" si="44">IFERROR(1/J393*(X393/H393),"0")</f>
        <v>0</v>
      </c>
      <c r="BP393" s="64">
        <f t="shared" ref="BP393:BP401" si="45">IFERROR(1/J393*(Y393/H393),"0")</f>
        <v>0</v>
      </c>
    </row>
    <row r="394" spans="1:68" ht="27" customHeight="1" x14ac:dyDescent="0.25">
      <c r="A394" s="54" t="s">
        <v>618</v>
      </c>
      <c r="B394" s="54" t="s">
        <v>619</v>
      </c>
      <c r="C394" s="31">
        <v>4301031406</v>
      </c>
      <c r="D394" s="560">
        <v>4680115886117</v>
      </c>
      <c r="E394" s="561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621</v>
      </c>
      <c r="B395" s="54" t="s">
        <v>622</v>
      </c>
      <c r="C395" s="31">
        <v>4301031402</v>
      </c>
      <c r="D395" s="560">
        <v>4680115886124</v>
      </c>
      <c r="E395" s="561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/>
      <c r="M395" s="33" t="s">
        <v>68</v>
      </c>
      <c r="N395" s="33"/>
      <c r="O395" s="32">
        <v>50</v>
      </c>
      <c r="P395" s="7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624</v>
      </c>
      <c r="B396" s="54" t="s">
        <v>625</v>
      </c>
      <c r="C396" s="31">
        <v>4301031366</v>
      </c>
      <c r="D396" s="560">
        <v>4680115883147</v>
      </c>
      <c r="E396" s="561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customHeight="1" x14ac:dyDescent="0.25">
      <c r="A397" s="54" t="s">
        <v>626</v>
      </c>
      <c r="B397" s="54" t="s">
        <v>627</v>
      </c>
      <c r="C397" s="31">
        <v>4301031362</v>
      </c>
      <c r="D397" s="560">
        <v>4607091384338</v>
      </c>
      <c r="E397" s="561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2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0</v>
      </c>
      <c r="Y397" s="554">
        <f t="shared" si="41"/>
        <v>0</v>
      </c>
      <c r="Z397" s="36" t="str">
        <f t="shared" si="46"/>
        <v/>
      </c>
      <c r="AA397" s="56"/>
      <c r="AB397" s="57"/>
      <c r="AC397" s="451" t="s">
        <v>617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customHeight="1" x14ac:dyDescent="0.25">
      <c r="A398" s="54" t="s">
        <v>628</v>
      </c>
      <c r="B398" s="54" t="s">
        <v>629</v>
      </c>
      <c r="C398" s="31">
        <v>4301031361</v>
      </c>
      <c r="D398" s="560">
        <v>4607091389524</v>
      </c>
      <c r="E398" s="561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0</v>
      </c>
      <c r="Y398" s="554">
        <f t="shared" si="41"/>
        <v>0</v>
      </c>
      <c r="Z398" s="36" t="str">
        <f t="shared" si="46"/>
        <v/>
      </c>
      <c r="AA398" s="56"/>
      <c r="AB398" s="57"/>
      <c r="AC398" s="453" t="s">
        <v>630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customHeight="1" x14ac:dyDescent="0.25">
      <c r="A399" s="54" t="s">
        <v>631</v>
      </c>
      <c r="B399" s="54" t="s">
        <v>632</v>
      </c>
      <c r="C399" s="31">
        <v>4301031364</v>
      </c>
      <c r="D399" s="560">
        <v>4680115883161</v>
      </c>
      <c r="E399" s="561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customHeight="1" x14ac:dyDescent="0.25">
      <c r="A400" s="54" t="s">
        <v>634</v>
      </c>
      <c r="B400" s="54" t="s">
        <v>635</v>
      </c>
      <c r="C400" s="31">
        <v>4301031358</v>
      </c>
      <c r="D400" s="560">
        <v>4607091389531</v>
      </c>
      <c r="E400" s="561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5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0</v>
      </c>
      <c r="Y400" s="554">
        <f t="shared" si="41"/>
        <v>0</v>
      </c>
      <c r="Z400" s="36" t="str">
        <f t="shared" si="46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t="37.5" customHeight="1" x14ac:dyDescent="0.25">
      <c r="A401" s="54" t="s">
        <v>637</v>
      </c>
      <c r="B401" s="54" t="s">
        <v>638</v>
      </c>
      <c r="C401" s="31">
        <v>4301031360</v>
      </c>
      <c r="D401" s="560">
        <v>4607091384345</v>
      </c>
      <c r="E401" s="561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5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x14ac:dyDescent="0.2">
      <c r="A402" s="582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83"/>
      <c r="P402" s="572" t="s">
        <v>75</v>
      </c>
      <c r="Q402" s="573"/>
      <c r="R402" s="573"/>
      <c r="S402" s="573"/>
      <c r="T402" s="573"/>
      <c r="U402" s="573"/>
      <c r="V402" s="574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0</v>
      </c>
      <c r="Y402" s="555">
        <f>IFERROR(Y393/H393,"0")+IFERROR(Y394/H394,"0")+IFERROR(Y395/H395,"0")+IFERROR(Y396/H396,"0")+IFERROR(Y397/H397,"0")+IFERROR(Y398/H398,"0")+IFERROR(Y399/H399,"0")+IFERROR(Y400/H400,"0")+IFERROR(Y401/H401,"0")</f>
        <v>0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</v>
      </c>
      <c r="AA402" s="556"/>
      <c r="AB402" s="556"/>
      <c r="AC402" s="556"/>
    </row>
    <row r="403" spans="1:68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83"/>
      <c r="P403" s="572" t="s">
        <v>75</v>
      </c>
      <c r="Q403" s="573"/>
      <c r="R403" s="573"/>
      <c r="S403" s="573"/>
      <c r="T403" s="573"/>
      <c r="U403" s="573"/>
      <c r="V403" s="574"/>
      <c r="W403" s="37" t="s">
        <v>69</v>
      </c>
      <c r="X403" s="555">
        <f>IFERROR(SUM(X393:X401),"0")</f>
        <v>0</v>
      </c>
      <c r="Y403" s="555">
        <f>IFERROR(SUM(Y393:Y401),"0")</f>
        <v>0</v>
      </c>
      <c r="Z403" s="37"/>
      <c r="AA403" s="556"/>
      <c r="AB403" s="556"/>
      <c r="AC403" s="556"/>
    </row>
    <row r="404" spans="1:68" ht="14.25" customHeight="1" x14ac:dyDescent="0.25">
      <c r="A404" s="569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customHeight="1" x14ac:dyDescent="0.25">
      <c r="A405" s="54" t="s">
        <v>639</v>
      </c>
      <c r="B405" s="54" t="s">
        <v>640</v>
      </c>
      <c r="C405" s="31">
        <v>4301051284</v>
      </c>
      <c r="D405" s="560">
        <v>4607091384352</v>
      </c>
      <c r="E405" s="561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3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642</v>
      </c>
      <c r="B406" s="54" t="s">
        <v>643</v>
      </c>
      <c r="C406" s="31">
        <v>4301051431</v>
      </c>
      <c r="D406" s="560">
        <v>4607091389654</v>
      </c>
      <c r="E406" s="561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69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x14ac:dyDescent="0.2">
      <c r="A407" s="582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83"/>
      <c r="P407" s="572" t="s">
        <v>75</v>
      </c>
      <c r="Q407" s="573"/>
      <c r="R407" s="573"/>
      <c r="S407" s="573"/>
      <c r="T407" s="573"/>
      <c r="U407" s="573"/>
      <c r="V407" s="574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83"/>
      <c r="P408" s="572" t="s">
        <v>75</v>
      </c>
      <c r="Q408" s="573"/>
      <c r="R408" s="573"/>
      <c r="S408" s="573"/>
      <c r="T408" s="573"/>
      <c r="U408" s="573"/>
      <c r="V408" s="574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customHeight="1" x14ac:dyDescent="0.25">
      <c r="A409" s="567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customHeight="1" x14ac:dyDescent="0.25">
      <c r="A410" s="569" t="s">
        <v>137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customHeight="1" x14ac:dyDescent="0.25">
      <c r="A411" s="54" t="s">
        <v>646</v>
      </c>
      <c r="B411" s="54" t="s">
        <v>647</v>
      </c>
      <c r="C411" s="31">
        <v>4301020319</v>
      </c>
      <c r="D411" s="560">
        <v>4680115885240</v>
      </c>
      <c r="E411" s="561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69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82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83"/>
      <c r="P412" s="572" t="s">
        <v>75</v>
      </c>
      <c r="Q412" s="573"/>
      <c r="R412" s="573"/>
      <c r="S412" s="573"/>
      <c r="T412" s="573"/>
      <c r="U412" s="573"/>
      <c r="V412" s="574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83"/>
      <c r="P413" s="572" t="s">
        <v>75</v>
      </c>
      <c r="Q413" s="573"/>
      <c r="R413" s="573"/>
      <c r="S413" s="573"/>
      <c r="T413" s="573"/>
      <c r="U413" s="573"/>
      <c r="V413" s="574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customHeight="1" x14ac:dyDescent="0.25">
      <c r="A414" s="569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customHeight="1" x14ac:dyDescent="0.25">
      <c r="A415" s="54" t="s">
        <v>649</v>
      </c>
      <c r="B415" s="54" t="s">
        <v>650</v>
      </c>
      <c r="C415" s="31">
        <v>4301031403</v>
      </c>
      <c r="D415" s="560">
        <v>4680115886094</v>
      </c>
      <c r="E415" s="561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/>
      <c r="M415" s="33" t="s">
        <v>106</v>
      </c>
      <c r="N415" s="33"/>
      <c r="O415" s="32">
        <v>50</v>
      </c>
      <c r="P415" s="82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651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652</v>
      </c>
      <c r="B416" s="54" t="s">
        <v>653</v>
      </c>
      <c r="C416" s="31">
        <v>4301031363</v>
      </c>
      <c r="D416" s="560">
        <v>4607091389425</v>
      </c>
      <c r="E416" s="561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8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655</v>
      </c>
      <c r="B417" s="54" t="s">
        <v>656</v>
      </c>
      <c r="C417" s="31">
        <v>4301031373</v>
      </c>
      <c r="D417" s="560">
        <v>4680115880771</v>
      </c>
      <c r="E417" s="561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3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658</v>
      </c>
      <c r="B418" s="54" t="s">
        <v>659</v>
      </c>
      <c r="C418" s="31">
        <v>4301031359</v>
      </c>
      <c r="D418" s="560">
        <v>4607091389500</v>
      </c>
      <c r="E418" s="561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4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0</v>
      </c>
      <c r="Y418" s="554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x14ac:dyDescent="0.2">
      <c r="A419" s="582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83"/>
      <c r="P419" s="572" t="s">
        <v>75</v>
      </c>
      <c r="Q419" s="573"/>
      <c r="R419" s="573"/>
      <c r="S419" s="573"/>
      <c r="T419" s="573"/>
      <c r="U419" s="573"/>
      <c r="V419" s="574"/>
      <c r="W419" s="37" t="s">
        <v>76</v>
      </c>
      <c r="X419" s="555">
        <f>IFERROR(X415/H415,"0")+IFERROR(X416/H416,"0")+IFERROR(X417/H417,"0")+IFERROR(X418/H418,"0")</f>
        <v>0</v>
      </c>
      <c r="Y419" s="555">
        <f>IFERROR(Y415/H415,"0")+IFERROR(Y416/H416,"0")+IFERROR(Y417/H417,"0")+IFERROR(Y418/H418,"0")</f>
        <v>0</v>
      </c>
      <c r="Z419" s="555">
        <f>IFERROR(IF(Z415="",0,Z415),"0")+IFERROR(IF(Z416="",0,Z416),"0")+IFERROR(IF(Z417="",0,Z417),"0")+IFERROR(IF(Z418="",0,Z418),"0")</f>
        <v>0</v>
      </c>
      <c r="AA419" s="556"/>
      <c r="AB419" s="556"/>
      <c r="AC419" s="556"/>
    </row>
    <row r="420" spans="1:68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83"/>
      <c r="P420" s="572" t="s">
        <v>75</v>
      </c>
      <c r="Q420" s="573"/>
      <c r="R420" s="573"/>
      <c r="S420" s="573"/>
      <c r="T420" s="573"/>
      <c r="U420" s="573"/>
      <c r="V420" s="574"/>
      <c r="W420" s="37" t="s">
        <v>69</v>
      </c>
      <c r="X420" s="555">
        <f>IFERROR(SUM(X415:X418),"0")</f>
        <v>0</v>
      </c>
      <c r="Y420" s="555">
        <f>IFERROR(SUM(Y415:Y418),"0")</f>
        <v>0</v>
      </c>
      <c r="Z420" s="37"/>
      <c r="AA420" s="556"/>
      <c r="AB420" s="556"/>
      <c r="AC420" s="556"/>
    </row>
    <row r="421" spans="1:68" ht="16.5" customHeight="1" x14ac:dyDescent="0.25">
      <c r="A421" s="567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customHeight="1" x14ac:dyDescent="0.25">
      <c r="A422" s="569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customHeight="1" x14ac:dyDescent="0.25">
      <c r="A423" s="54" t="s">
        <v>661</v>
      </c>
      <c r="B423" s="54" t="s">
        <v>662</v>
      </c>
      <c r="C423" s="31">
        <v>4301031347</v>
      </c>
      <c r="D423" s="560">
        <v>4680115885110</v>
      </c>
      <c r="E423" s="561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7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0</v>
      </c>
      <c r="Y423" s="554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663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x14ac:dyDescent="0.2">
      <c r="A424" s="582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83"/>
      <c r="P424" s="572" t="s">
        <v>75</v>
      </c>
      <c r="Q424" s="573"/>
      <c r="R424" s="573"/>
      <c r="S424" s="573"/>
      <c r="T424" s="573"/>
      <c r="U424" s="573"/>
      <c r="V424" s="574"/>
      <c r="W424" s="37" t="s">
        <v>76</v>
      </c>
      <c r="X424" s="555">
        <f>IFERROR(X423/H423,"0")</f>
        <v>0</v>
      </c>
      <c r="Y424" s="555">
        <f>IFERROR(Y423/H423,"0")</f>
        <v>0</v>
      </c>
      <c r="Z424" s="555">
        <f>IFERROR(IF(Z423="",0,Z423),"0")</f>
        <v>0</v>
      </c>
      <c r="AA424" s="556"/>
      <c r="AB424" s="556"/>
      <c r="AC424" s="556"/>
    </row>
    <row r="425" spans="1:68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83"/>
      <c r="P425" s="572" t="s">
        <v>75</v>
      </c>
      <c r="Q425" s="573"/>
      <c r="R425" s="573"/>
      <c r="S425" s="573"/>
      <c r="T425" s="573"/>
      <c r="U425" s="573"/>
      <c r="V425" s="574"/>
      <c r="W425" s="37" t="s">
        <v>69</v>
      </c>
      <c r="X425" s="555">
        <f>IFERROR(SUM(X423:X423),"0")</f>
        <v>0</v>
      </c>
      <c r="Y425" s="555">
        <f>IFERROR(SUM(Y423:Y423),"0")</f>
        <v>0</v>
      </c>
      <c r="Z425" s="37"/>
      <c r="AA425" s="556"/>
      <c r="AB425" s="556"/>
      <c r="AC425" s="556"/>
    </row>
    <row r="426" spans="1:68" ht="27.75" customHeight="1" x14ac:dyDescent="0.2">
      <c r="A426" s="630" t="s">
        <v>664</v>
      </c>
      <c r="B426" s="631"/>
      <c r="C426" s="631"/>
      <c r="D426" s="631"/>
      <c r="E426" s="631"/>
      <c r="F426" s="631"/>
      <c r="G426" s="631"/>
      <c r="H426" s="631"/>
      <c r="I426" s="631"/>
      <c r="J426" s="631"/>
      <c r="K426" s="631"/>
      <c r="L426" s="631"/>
      <c r="M426" s="631"/>
      <c r="N426" s="631"/>
      <c r="O426" s="631"/>
      <c r="P426" s="631"/>
      <c r="Q426" s="631"/>
      <c r="R426" s="631"/>
      <c r="S426" s="631"/>
      <c r="T426" s="631"/>
      <c r="U426" s="631"/>
      <c r="V426" s="631"/>
      <c r="W426" s="631"/>
      <c r="X426" s="631"/>
      <c r="Y426" s="631"/>
      <c r="Z426" s="631"/>
      <c r="AA426" s="48"/>
      <c r="AB426" s="48"/>
      <c r="AC426" s="48"/>
    </row>
    <row r="427" spans="1:68" ht="16.5" customHeight="1" x14ac:dyDescent="0.25">
      <c r="A427" s="567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customHeight="1" x14ac:dyDescent="0.25">
      <c r="A428" s="569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customHeight="1" x14ac:dyDescent="0.25">
      <c r="A429" s="54" t="s">
        <v>665</v>
      </c>
      <c r="B429" s="54" t="s">
        <v>666</v>
      </c>
      <c r="C429" s="31">
        <v>4301011795</v>
      </c>
      <c r="D429" s="560">
        <v>4607091389067</v>
      </c>
      <c r="E429" s="561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6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137</v>
      </c>
      <c r="Y429" s="554">
        <f t="shared" ref="Y429:Y440" si="47">IFERROR(IF(X429="",0,CEILING((X429/$H429),1)*$H429),"")</f>
        <v>137.28</v>
      </c>
      <c r="Z429" s="36">
        <f t="shared" ref="Z429:Z435" si="48">IFERROR(IF(Y429=0,"",ROUNDUP(Y429/H429,0)*0.01196),"")</f>
        <v>0.31096000000000001</v>
      </c>
      <c r="AA429" s="56"/>
      <c r="AB429" s="57"/>
      <c r="AC429" s="477" t="s">
        <v>107</v>
      </c>
      <c r="AG429" s="64"/>
      <c r="AJ429" s="68" t="s">
        <v>108</v>
      </c>
      <c r="AK429" s="68">
        <v>42.24</v>
      </c>
      <c r="BB429" s="478" t="s">
        <v>1</v>
      </c>
      <c r="BM429" s="64">
        <f t="shared" ref="BM429:BM440" si="49">IFERROR(X429*I429/H429,"0")</f>
        <v>146.08143939393938</v>
      </c>
      <c r="BN429" s="64">
        <f t="shared" ref="BN429:BN440" si="50">IFERROR(Y429*I429/H429,"0")</f>
        <v>146.38</v>
      </c>
      <c r="BO429" s="64">
        <f t="shared" ref="BO429:BO440" si="51">IFERROR(1/J429*(X429/H429),"0")</f>
        <v>0.24949009324009325</v>
      </c>
      <c r="BP429" s="64">
        <f t="shared" ref="BP429:BP440" si="52">IFERROR(1/J429*(Y429/H429),"0")</f>
        <v>0.25</v>
      </c>
    </row>
    <row r="430" spans="1:68" ht="27" customHeight="1" x14ac:dyDescent="0.25">
      <c r="A430" s="54" t="s">
        <v>667</v>
      </c>
      <c r="B430" s="54" t="s">
        <v>668</v>
      </c>
      <c r="C430" s="31">
        <v>4301012210</v>
      </c>
      <c r="D430" s="560">
        <v>4607091383522</v>
      </c>
      <c r="E430" s="561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29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667</v>
      </c>
      <c r="B431" s="54" t="s">
        <v>670</v>
      </c>
      <c r="C431" s="31">
        <v>4301012145</v>
      </c>
      <c r="D431" s="560">
        <v>4607091383522</v>
      </c>
      <c r="E431" s="561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0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671</v>
      </c>
      <c r="B432" s="54" t="s">
        <v>672</v>
      </c>
      <c r="C432" s="31">
        <v>4301011961</v>
      </c>
      <c r="D432" s="560">
        <v>4680115885271</v>
      </c>
      <c r="E432" s="561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 t="s">
        <v>105</v>
      </c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42</v>
      </c>
      <c r="Y432" s="554">
        <f t="shared" si="47"/>
        <v>42.24</v>
      </c>
      <c r="Z432" s="36">
        <f t="shared" si="48"/>
        <v>9.5680000000000001E-2</v>
      </c>
      <c r="AA432" s="56"/>
      <c r="AB432" s="57"/>
      <c r="AC432" s="483" t="s">
        <v>673</v>
      </c>
      <c r="AG432" s="64"/>
      <c r="AJ432" s="68" t="s">
        <v>108</v>
      </c>
      <c r="AK432" s="68">
        <v>42.24</v>
      </c>
      <c r="BB432" s="484" t="s">
        <v>1</v>
      </c>
      <c r="BM432" s="64">
        <f t="shared" si="49"/>
        <v>44.784090909090907</v>
      </c>
      <c r="BN432" s="64">
        <f t="shared" si="50"/>
        <v>45.04</v>
      </c>
      <c r="BO432" s="64">
        <f t="shared" si="51"/>
        <v>7.6486013986013984E-2</v>
      </c>
      <c r="BP432" s="64">
        <f t="shared" si="52"/>
        <v>7.6923076923076927E-2</v>
      </c>
    </row>
    <row r="433" spans="1:68" ht="27" customHeight="1" x14ac:dyDescent="0.25">
      <c r="A433" s="54" t="s">
        <v>674</v>
      </c>
      <c r="B433" s="54" t="s">
        <v>675</v>
      </c>
      <c r="C433" s="31">
        <v>4301011376</v>
      </c>
      <c r="D433" s="560">
        <v>4680115885226</v>
      </c>
      <c r="E433" s="561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241</v>
      </c>
      <c r="Y433" s="554">
        <f t="shared" si="47"/>
        <v>242.88000000000002</v>
      </c>
      <c r="Z433" s="36">
        <f t="shared" si="48"/>
        <v>0.55015999999999998</v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256.97537878787875</v>
      </c>
      <c r="BN433" s="64">
        <f t="shared" si="50"/>
        <v>258.98</v>
      </c>
      <c r="BO433" s="64">
        <f t="shared" si="51"/>
        <v>0.43888403263403264</v>
      </c>
      <c r="BP433" s="64">
        <f t="shared" si="52"/>
        <v>0.44230769230769235</v>
      </c>
    </row>
    <row r="434" spans="1:68" ht="16.5" customHeight="1" x14ac:dyDescent="0.25">
      <c r="A434" s="54" t="s">
        <v>677</v>
      </c>
      <c r="B434" s="54" t="s">
        <v>678</v>
      </c>
      <c r="C434" s="31">
        <v>4301011774</v>
      </c>
      <c r="D434" s="560">
        <v>4680115884502</v>
      </c>
      <c r="E434" s="561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0">
        <v>4607091389104</v>
      </c>
      <c r="E435" s="561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272</v>
      </c>
      <c r="Y435" s="554">
        <f t="shared" si="47"/>
        <v>274.56</v>
      </c>
      <c r="Z435" s="36">
        <f t="shared" si="48"/>
        <v>0.62192000000000003</v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290.030303030303</v>
      </c>
      <c r="BN435" s="64">
        <f t="shared" si="50"/>
        <v>292.76</v>
      </c>
      <c r="BO435" s="64">
        <f t="shared" si="51"/>
        <v>0.49533799533799538</v>
      </c>
      <c r="BP435" s="64">
        <f t="shared" si="52"/>
        <v>0.5</v>
      </c>
    </row>
    <row r="436" spans="1:68" ht="27" customHeight="1" x14ac:dyDescent="0.25">
      <c r="A436" s="54" t="s">
        <v>683</v>
      </c>
      <c r="B436" s="54" t="s">
        <v>684</v>
      </c>
      <c r="C436" s="31">
        <v>4301012125</v>
      </c>
      <c r="D436" s="560">
        <v>4680115886391</v>
      </c>
      <c r="E436" s="561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7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685</v>
      </c>
      <c r="B437" s="54" t="s">
        <v>686</v>
      </c>
      <c r="C437" s="31">
        <v>4301012035</v>
      </c>
      <c r="D437" s="560">
        <v>4680115880603</v>
      </c>
      <c r="E437" s="561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6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61</v>
      </c>
      <c r="Y437" s="554">
        <f t="shared" si="47"/>
        <v>62.4</v>
      </c>
      <c r="Z437" s="36">
        <f>IFERROR(IF(Y437=0,"",ROUNDUP(Y437/H437,0)*0.00902),"")</f>
        <v>0.11726</v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87.814583333333331</v>
      </c>
      <c r="BN437" s="64">
        <f t="shared" si="50"/>
        <v>89.830000000000013</v>
      </c>
      <c r="BO437" s="64">
        <f t="shared" si="51"/>
        <v>9.6275252525252528E-2</v>
      </c>
      <c r="BP437" s="64">
        <f t="shared" si="52"/>
        <v>9.8484848484848481E-2</v>
      </c>
    </row>
    <row r="438" spans="1:68" ht="27" customHeight="1" x14ac:dyDescent="0.25">
      <c r="A438" s="54" t="s">
        <v>687</v>
      </c>
      <c r="B438" s="54" t="s">
        <v>688</v>
      </c>
      <c r="C438" s="31">
        <v>4301012036</v>
      </c>
      <c r="D438" s="560">
        <v>4680115882782</v>
      </c>
      <c r="E438" s="561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3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689</v>
      </c>
      <c r="B439" s="54" t="s">
        <v>690</v>
      </c>
      <c r="C439" s="31">
        <v>4301012050</v>
      </c>
      <c r="D439" s="560">
        <v>4680115885479</v>
      </c>
      <c r="E439" s="561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customHeight="1" x14ac:dyDescent="0.25">
      <c r="A440" s="54" t="s">
        <v>692</v>
      </c>
      <c r="B440" s="54" t="s">
        <v>693</v>
      </c>
      <c r="C440" s="31">
        <v>4301012034</v>
      </c>
      <c r="D440" s="560">
        <v>4607091389982</v>
      </c>
      <c r="E440" s="561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/>
      <c r="M440" s="33" t="s">
        <v>106</v>
      </c>
      <c r="N440" s="33"/>
      <c r="O440" s="32">
        <v>60</v>
      </c>
      <c r="P440" s="76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7</v>
      </c>
      <c r="Y440" s="554">
        <f t="shared" si="47"/>
        <v>9.6</v>
      </c>
      <c r="Z440" s="36">
        <f>IFERROR(IF(Y440=0,"",ROUNDUP(Y440/H440,0)*0.00902),"")</f>
        <v>1.804E-2</v>
      </c>
      <c r="AA440" s="56"/>
      <c r="AB440" s="57"/>
      <c r="AC440" s="499" t="s">
        <v>682</v>
      </c>
      <c r="AG440" s="64"/>
      <c r="AJ440" s="68"/>
      <c r="AK440" s="68">
        <v>0</v>
      </c>
      <c r="BB440" s="500" t="s">
        <v>1</v>
      </c>
      <c r="BM440" s="64">
        <f t="shared" si="49"/>
        <v>10.077083333333334</v>
      </c>
      <c r="BN440" s="64">
        <f t="shared" si="50"/>
        <v>13.82</v>
      </c>
      <c r="BO440" s="64">
        <f t="shared" si="51"/>
        <v>1.10479797979798E-2</v>
      </c>
      <c r="BP440" s="64">
        <f t="shared" si="52"/>
        <v>1.5151515151515152E-2</v>
      </c>
    </row>
    <row r="441" spans="1:68" x14ac:dyDescent="0.2">
      <c r="A441" s="582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83"/>
      <c r="P441" s="572" t="s">
        <v>75</v>
      </c>
      <c r="Q441" s="573"/>
      <c r="R441" s="573"/>
      <c r="S441" s="573"/>
      <c r="T441" s="573"/>
      <c r="U441" s="573"/>
      <c r="V441" s="574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145.22727272727275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147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1.7140200000000001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83"/>
      <c r="P442" s="572" t="s">
        <v>75</v>
      </c>
      <c r="Q442" s="573"/>
      <c r="R442" s="573"/>
      <c r="S442" s="573"/>
      <c r="T442" s="573"/>
      <c r="U442" s="573"/>
      <c r="V442" s="574"/>
      <c r="W442" s="37" t="s">
        <v>69</v>
      </c>
      <c r="X442" s="555">
        <f>IFERROR(SUM(X429:X440),"0")</f>
        <v>760</v>
      </c>
      <c r="Y442" s="555">
        <f>IFERROR(SUM(Y429:Y440),"0")</f>
        <v>768.96</v>
      </c>
      <c r="Z442" s="37"/>
      <c r="AA442" s="556"/>
      <c r="AB442" s="556"/>
      <c r="AC442" s="556"/>
    </row>
    <row r="443" spans="1:68" ht="14.25" customHeight="1" x14ac:dyDescent="0.25">
      <c r="A443" s="569" t="s">
        <v>137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customHeight="1" x14ac:dyDescent="0.25">
      <c r="A444" s="54" t="s">
        <v>694</v>
      </c>
      <c r="B444" s="54" t="s">
        <v>695</v>
      </c>
      <c r="C444" s="31">
        <v>4301020334</v>
      </c>
      <c r="D444" s="560">
        <v>4607091388930</v>
      </c>
      <c r="E444" s="561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280</v>
      </c>
      <c r="Y444" s="554">
        <f>IFERROR(IF(X444="",0,CEILING((X444/$H444),1)*$H444),"")</f>
        <v>285.12</v>
      </c>
      <c r="Z444" s="36">
        <f>IFERROR(IF(Y444=0,"",ROUNDUP(Y444/H444,0)*0.01196),"")</f>
        <v>0.64583999999999997</v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298.56060606060601</v>
      </c>
      <c r="BN444" s="64">
        <f>IFERROR(Y444*I444/H444,"0")</f>
        <v>304.02</v>
      </c>
      <c r="BO444" s="64">
        <f>IFERROR(1/J444*(X444/H444),"0")</f>
        <v>0.50990675990675993</v>
      </c>
      <c r="BP444" s="64">
        <f>IFERROR(1/J444*(Y444/H444),"0")</f>
        <v>0.51923076923076927</v>
      </c>
    </row>
    <row r="445" spans="1:68" ht="16.5" customHeight="1" x14ac:dyDescent="0.25">
      <c r="A445" s="54" t="s">
        <v>697</v>
      </c>
      <c r="B445" s="54" t="s">
        <v>698</v>
      </c>
      <c r="C445" s="31">
        <v>4301020384</v>
      </c>
      <c r="D445" s="560">
        <v>4680115886407</v>
      </c>
      <c r="E445" s="561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1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699</v>
      </c>
      <c r="B446" s="54" t="s">
        <v>700</v>
      </c>
      <c r="C446" s="31">
        <v>4301020385</v>
      </c>
      <c r="D446" s="560">
        <v>4680115880054</v>
      </c>
      <c r="E446" s="561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 t="s">
        <v>112</v>
      </c>
      <c r="M446" s="33" t="s">
        <v>106</v>
      </c>
      <c r="N446" s="33"/>
      <c r="O446" s="32">
        <v>70</v>
      </c>
      <c r="P446" s="76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54</v>
      </c>
      <c r="Y446" s="554">
        <f>IFERROR(IF(X446="",0,CEILING((X446/$H446),1)*$H446),"")</f>
        <v>57.599999999999994</v>
      </c>
      <c r="Z446" s="36">
        <f>IFERROR(IF(Y446=0,"",ROUNDUP(Y446/H446,0)*0.00902),"")</f>
        <v>0.10824</v>
      </c>
      <c r="AA446" s="56"/>
      <c r="AB446" s="57"/>
      <c r="AC446" s="505" t="s">
        <v>696</v>
      </c>
      <c r="AG446" s="64"/>
      <c r="AJ446" s="68" t="s">
        <v>108</v>
      </c>
      <c r="AK446" s="68">
        <v>57.6</v>
      </c>
      <c r="BB446" s="506" t="s">
        <v>1</v>
      </c>
      <c r="BM446" s="64">
        <f>IFERROR(X446*I446/H446,"0")</f>
        <v>77.737499999999997</v>
      </c>
      <c r="BN446" s="64">
        <f>IFERROR(Y446*I446/H446,"0")</f>
        <v>82.92</v>
      </c>
      <c r="BO446" s="64">
        <f>IFERROR(1/J446*(X446/H446),"0")</f>
        <v>8.5227272727272735E-2</v>
      </c>
      <c r="BP446" s="64">
        <f>IFERROR(1/J446*(Y446/H446),"0")</f>
        <v>9.0909090909090912E-2</v>
      </c>
    </row>
    <row r="447" spans="1:68" x14ac:dyDescent="0.2">
      <c r="A447" s="582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83"/>
      <c r="P447" s="572" t="s">
        <v>75</v>
      </c>
      <c r="Q447" s="573"/>
      <c r="R447" s="573"/>
      <c r="S447" s="573"/>
      <c r="T447" s="573"/>
      <c r="U447" s="573"/>
      <c r="V447" s="574"/>
      <c r="W447" s="37" t="s">
        <v>76</v>
      </c>
      <c r="X447" s="555">
        <f>IFERROR(X444/H444,"0")+IFERROR(X445/H445,"0")+IFERROR(X446/H446,"0")</f>
        <v>64.280303030303031</v>
      </c>
      <c r="Y447" s="555">
        <f>IFERROR(Y444/H444,"0")+IFERROR(Y445/H445,"0")+IFERROR(Y446/H446,"0")</f>
        <v>66</v>
      </c>
      <c r="Z447" s="555">
        <f>IFERROR(IF(Z444="",0,Z444),"0")+IFERROR(IF(Z445="",0,Z445),"0")+IFERROR(IF(Z446="",0,Z446),"0")</f>
        <v>0.75407999999999997</v>
      </c>
      <c r="AA447" s="556"/>
      <c r="AB447" s="556"/>
      <c r="AC447" s="556"/>
    </row>
    <row r="448" spans="1:68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83"/>
      <c r="P448" s="572" t="s">
        <v>75</v>
      </c>
      <c r="Q448" s="573"/>
      <c r="R448" s="573"/>
      <c r="S448" s="573"/>
      <c r="T448" s="573"/>
      <c r="U448" s="573"/>
      <c r="V448" s="574"/>
      <c r="W448" s="37" t="s">
        <v>69</v>
      </c>
      <c r="X448" s="555">
        <f>IFERROR(SUM(X444:X446),"0")</f>
        <v>334</v>
      </c>
      <c r="Y448" s="555">
        <f>IFERROR(SUM(Y444:Y446),"0")</f>
        <v>342.72</v>
      </c>
      <c r="Z448" s="37"/>
      <c r="AA448" s="556"/>
      <c r="AB448" s="556"/>
      <c r="AC448" s="556"/>
    </row>
    <row r="449" spans="1:68" ht="14.25" customHeight="1" x14ac:dyDescent="0.25">
      <c r="A449" s="569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customHeight="1" x14ac:dyDescent="0.25">
      <c r="A450" s="54" t="s">
        <v>701</v>
      </c>
      <c r="B450" s="54" t="s">
        <v>702</v>
      </c>
      <c r="C450" s="31">
        <v>4301031349</v>
      </c>
      <c r="D450" s="560">
        <v>4680115883116</v>
      </c>
      <c r="E450" s="561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1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117</v>
      </c>
      <c r="Y450" s="554">
        <f t="shared" ref="Y450:Y455" si="53">IFERROR(IF(X450="",0,CEILING((X450/$H450),1)*$H450),"")</f>
        <v>121.44000000000001</v>
      </c>
      <c r="Z450" s="36">
        <f>IFERROR(IF(Y450=0,"",ROUNDUP(Y450/H450,0)*0.01196),"")</f>
        <v>0.27507999999999999</v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124.75568181818181</v>
      </c>
      <c r="BN450" s="64">
        <f t="shared" ref="BN450:BN455" si="55">IFERROR(Y450*I450/H450,"0")</f>
        <v>129.49</v>
      </c>
      <c r="BO450" s="64">
        <f t="shared" ref="BO450:BO455" si="56">IFERROR(1/J450*(X450/H450),"0")</f>
        <v>0.2130681818181818</v>
      </c>
      <c r="BP450" s="64">
        <f t="shared" ref="BP450:BP455" si="57">IFERROR(1/J450*(Y450/H450),"0")</f>
        <v>0.22115384615384617</v>
      </c>
    </row>
    <row r="451" spans="1:68" ht="27" customHeight="1" x14ac:dyDescent="0.25">
      <c r="A451" s="54" t="s">
        <v>704</v>
      </c>
      <c r="B451" s="54" t="s">
        <v>705</v>
      </c>
      <c r="C451" s="31">
        <v>4301031350</v>
      </c>
      <c r="D451" s="560">
        <v>4680115883093</v>
      </c>
      <c r="E451" s="561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4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44</v>
      </c>
      <c r="Y451" s="554">
        <f t="shared" si="53"/>
        <v>47.52</v>
      </c>
      <c r="Z451" s="36">
        <f>IFERROR(IF(Y451=0,"",ROUNDUP(Y451/H451,0)*0.01196),"")</f>
        <v>0.10764</v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46.916666666666664</v>
      </c>
      <c r="BN451" s="64">
        <f t="shared" si="55"/>
        <v>50.669999999999995</v>
      </c>
      <c r="BO451" s="64">
        <f t="shared" si="56"/>
        <v>8.0128205128205121E-2</v>
      </c>
      <c r="BP451" s="64">
        <f t="shared" si="57"/>
        <v>8.6538461538461536E-2</v>
      </c>
    </row>
    <row r="452" spans="1:68" ht="27" customHeight="1" x14ac:dyDescent="0.25">
      <c r="A452" s="54" t="s">
        <v>707</v>
      </c>
      <c r="B452" s="54" t="s">
        <v>708</v>
      </c>
      <c r="C452" s="31">
        <v>4301031353</v>
      </c>
      <c r="D452" s="560">
        <v>4680115883109</v>
      </c>
      <c r="E452" s="561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59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197</v>
      </c>
      <c r="Y452" s="554">
        <f t="shared" si="53"/>
        <v>200.64000000000001</v>
      </c>
      <c r="Z452" s="36">
        <f>IFERROR(IF(Y452=0,"",ROUNDUP(Y452/H452,0)*0.01196),"")</f>
        <v>0.45448</v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210.0587121212121</v>
      </c>
      <c r="BN452" s="64">
        <f t="shared" si="55"/>
        <v>213.94</v>
      </c>
      <c r="BO452" s="64">
        <f t="shared" si="56"/>
        <v>0.35875582750582752</v>
      </c>
      <c r="BP452" s="64">
        <f t="shared" si="57"/>
        <v>0.36538461538461542</v>
      </c>
    </row>
    <row r="453" spans="1:68" ht="27" customHeight="1" x14ac:dyDescent="0.25">
      <c r="A453" s="54" t="s">
        <v>710</v>
      </c>
      <c r="B453" s="54" t="s">
        <v>711</v>
      </c>
      <c r="C453" s="31">
        <v>4301031419</v>
      </c>
      <c r="D453" s="560">
        <v>4680115882072</v>
      </c>
      <c r="E453" s="561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/>
      <c r="M453" s="33" t="s">
        <v>106</v>
      </c>
      <c r="N453" s="33"/>
      <c r="O453" s="32">
        <v>70</v>
      </c>
      <c r="P453" s="64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0</v>
      </c>
      <c r="Y453" s="554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703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customHeight="1" x14ac:dyDescent="0.25">
      <c r="A454" s="54" t="s">
        <v>712</v>
      </c>
      <c r="B454" s="54" t="s">
        <v>713</v>
      </c>
      <c r="C454" s="31">
        <v>4301031418</v>
      </c>
      <c r="D454" s="560">
        <v>4680115882102</v>
      </c>
      <c r="E454" s="561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/>
      <c r="M454" s="33" t="s">
        <v>68</v>
      </c>
      <c r="N454" s="33"/>
      <c r="O454" s="32">
        <v>70</v>
      </c>
      <c r="P454" s="5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0</v>
      </c>
      <c r="Y454" s="554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ht="27" customHeight="1" x14ac:dyDescent="0.25">
      <c r="A455" s="54" t="s">
        <v>714</v>
      </c>
      <c r="B455" s="54" t="s">
        <v>715</v>
      </c>
      <c r="C455" s="31">
        <v>4301031417</v>
      </c>
      <c r="D455" s="560">
        <v>4680115882096</v>
      </c>
      <c r="E455" s="561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/>
      <c r="M455" s="33" t="s">
        <v>68</v>
      </c>
      <c r="N455" s="33"/>
      <c r="O455" s="32">
        <v>70</v>
      </c>
      <c r="P455" s="58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0</v>
      </c>
      <c r="Y455" s="554">
        <f t="shared" si="53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4"/>
        <v>0</v>
      </c>
      <c r="BN455" s="64">
        <f t="shared" si="55"/>
        <v>0</v>
      </c>
      <c r="BO455" s="64">
        <f t="shared" si="56"/>
        <v>0</v>
      </c>
      <c r="BP455" s="64">
        <f t="shared" si="57"/>
        <v>0</v>
      </c>
    </row>
    <row r="456" spans="1:68" x14ac:dyDescent="0.2">
      <c r="A456" s="582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83"/>
      <c r="P456" s="572" t="s">
        <v>75</v>
      </c>
      <c r="Q456" s="573"/>
      <c r="R456" s="573"/>
      <c r="S456" s="573"/>
      <c r="T456" s="573"/>
      <c r="U456" s="573"/>
      <c r="V456" s="574"/>
      <c r="W456" s="37" t="s">
        <v>76</v>
      </c>
      <c r="X456" s="555">
        <f>IFERROR(X450/H450,"0")+IFERROR(X451/H451,"0")+IFERROR(X452/H452,"0")+IFERROR(X453/H453,"0")+IFERROR(X454/H454,"0")+IFERROR(X455/H455,"0")</f>
        <v>67.803030303030297</v>
      </c>
      <c r="Y456" s="555">
        <f>IFERROR(Y450/H450,"0")+IFERROR(Y451/H451,"0")+IFERROR(Y452/H452,"0")+IFERROR(Y453/H453,"0")+IFERROR(Y454/H454,"0")+IFERROR(Y455/H455,"0")</f>
        <v>70</v>
      </c>
      <c r="Z456" s="555">
        <f>IFERROR(IF(Z450="",0,Z450),"0")+IFERROR(IF(Z451="",0,Z451),"0")+IFERROR(IF(Z452="",0,Z452),"0")+IFERROR(IF(Z453="",0,Z453),"0")+IFERROR(IF(Z454="",0,Z454),"0")+IFERROR(IF(Z455="",0,Z455),"0")</f>
        <v>0.83719999999999994</v>
      </c>
      <c r="AA456" s="556"/>
      <c r="AB456" s="556"/>
      <c r="AC456" s="556"/>
    </row>
    <row r="457" spans="1:68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83"/>
      <c r="P457" s="572" t="s">
        <v>75</v>
      </c>
      <c r="Q457" s="573"/>
      <c r="R457" s="573"/>
      <c r="S457" s="573"/>
      <c r="T457" s="573"/>
      <c r="U457" s="573"/>
      <c r="V457" s="574"/>
      <c r="W457" s="37" t="s">
        <v>69</v>
      </c>
      <c r="X457" s="555">
        <f>IFERROR(SUM(X450:X455),"0")</f>
        <v>358</v>
      </c>
      <c r="Y457" s="555">
        <f>IFERROR(SUM(Y450:Y455),"0")</f>
        <v>369.6</v>
      </c>
      <c r="Z457" s="37"/>
      <c r="AA457" s="556"/>
      <c r="AB457" s="556"/>
      <c r="AC457" s="556"/>
    </row>
    <row r="458" spans="1:68" ht="14.25" customHeight="1" x14ac:dyDescent="0.25">
      <c r="A458" s="569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customHeight="1" x14ac:dyDescent="0.25">
      <c r="A459" s="54" t="s">
        <v>716</v>
      </c>
      <c r="B459" s="54" t="s">
        <v>717</v>
      </c>
      <c r="C459" s="31">
        <v>4301051064</v>
      </c>
      <c r="D459" s="560">
        <v>4680115883536</v>
      </c>
      <c r="E459" s="561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582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83"/>
      <c r="P460" s="572" t="s">
        <v>75</v>
      </c>
      <c r="Q460" s="573"/>
      <c r="R460" s="573"/>
      <c r="S460" s="573"/>
      <c r="T460" s="573"/>
      <c r="U460" s="573"/>
      <c r="V460" s="574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83"/>
      <c r="P461" s="572" t="s">
        <v>75</v>
      </c>
      <c r="Q461" s="573"/>
      <c r="R461" s="573"/>
      <c r="S461" s="573"/>
      <c r="T461" s="573"/>
      <c r="U461" s="573"/>
      <c r="V461" s="574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customHeight="1" x14ac:dyDescent="0.2">
      <c r="A462" s="630" t="s">
        <v>719</v>
      </c>
      <c r="B462" s="631"/>
      <c r="C462" s="631"/>
      <c r="D462" s="631"/>
      <c r="E462" s="631"/>
      <c r="F462" s="631"/>
      <c r="G462" s="631"/>
      <c r="H462" s="631"/>
      <c r="I462" s="631"/>
      <c r="J462" s="631"/>
      <c r="K462" s="631"/>
      <c r="L462" s="631"/>
      <c r="M462" s="631"/>
      <c r="N462" s="631"/>
      <c r="O462" s="631"/>
      <c r="P462" s="631"/>
      <c r="Q462" s="631"/>
      <c r="R462" s="631"/>
      <c r="S462" s="631"/>
      <c r="T462" s="631"/>
      <c r="U462" s="631"/>
      <c r="V462" s="631"/>
      <c r="W462" s="631"/>
      <c r="X462" s="631"/>
      <c r="Y462" s="631"/>
      <c r="Z462" s="631"/>
      <c r="AA462" s="48"/>
      <c r="AB462" s="48"/>
      <c r="AC462" s="48"/>
    </row>
    <row r="463" spans="1:68" ht="16.5" customHeight="1" x14ac:dyDescent="0.25">
      <c r="A463" s="567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customHeight="1" x14ac:dyDescent="0.25">
      <c r="A464" s="569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customHeight="1" x14ac:dyDescent="0.25">
      <c r="A465" s="54" t="s">
        <v>720</v>
      </c>
      <c r="B465" s="54" t="s">
        <v>721</v>
      </c>
      <c r="C465" s="31">
        <v>4301011763</v>
      </c>
      <c r="D465" s="560">
        <v>4640242181011</v>
      </c>
      <c r="E465" s="561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6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723</v>
      </c>
      <c r="B466" s="54" t="s">
        <v>724</v>
      </c>
      <c r="C466" s="31">
        <v>4301011585</v>
      </c>
      <c r="D466" s="560">
        <v>4640242180441</v>
      </c>
      <c r="E466" s="561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5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726</v>
      </c>
      <c r="B467" s="54" t="s">
        <v>727</v>
      </c>
      <c r="C467" s="31">
        <v>4301011584</v>
      </c>
      <c r="D467" s="560">
        <v>4640242180564</v>
      </c>
      <c r="E467" s="561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69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0</v>
      </c>
      <c r="Y467" s="55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729</v>
      </c>
      <c r="B468" s="54" t="s">
        <v>730</v>
      </c>
      <c r="C468" s="31">
        <v>4301011764</v>
      </c>
      <c r="D468" s="560">
        <v>4640242181189</v>
      </c>
      <c r="E468" s="561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82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83"/>
      <c r="P469" s="572" t="s">
        <v>75</v>
      </c>
      <c r="Q469" s="573"/>
      <c r="R469" s="573"/>
      <c r="S469" s="573"/>
      <c r="T469" s="573"/>
      <c r="U469" s="573"/>
      <c r="V469" s="574"/>
      <c r="W469" s="37" t="s">
        <v>76</v>
      </c>
      <c r="X469" s="555">
        <f>IFERROR(X465/H465,"0")+IFERROR(X466/H466,"0")+IFERROR(X467/H467,"0")+IFERROR(X468/H468,"0")</f>
        <v>0</v>
      </c>
      <c r="Y469" s="555">
        <f>IFERROR(Y465/H465,"0")+IFERROR(Y466/H466,"0")+IFERROR(Y467/H467,"0")+IFERROR(Y468/H468,"0")</f>
        <v>0</v>
      </c>
      <c r="Z469" s="555">
        <f>IFERROR(IF(Z465="",0,Z465),"0")+IFERROR(IF(Z466="",0,Z466),"0")+IFERROR(IF(Z467="",0,Z467),"0")+IFERROR(IF(Z468="",0,Z468),"0")</f>
        <v>0</v>
      </c>
      <c r="AA469" s="556"/>
      <c r="AB469" s="556"/>
      <c r="AC469" s="556"/>
    </row>
    <row r="470" spans="1:68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83"/>
      <c r="P470" s="572" t="s">
        <v>75</v>
      </c>
      <c r="Q470" s="573"/>
      <c r="R470" s="573"/>
      <c r="S470" s="573"/>
      <c r="T470" s="573"/>
      <c r="U470" s="573"/>
      <c r="V470" s="574"/>
      <c r="W470" s="37" t="s">
        <v>69</v>
      </c>
      <c r="X470" s="555">
        <f>IFERROR(SUM(X465:X468),"0")</f>
        <v>0</v>
      </c>
      <c r="Y470" s="555">
        <f>IFERROR(SUM(Y465:Y468),"0")</f>
        <v>0</v>
      </c>
      <c r="Z470" s="37"/>
      <c r="AA470" s="556"/>
      <c r="AB470" s="556"/>
      <c r="AC470" s="556"/>
    </row>
    <row r="471" spans="1:68" ht="14.25" customHeight="1" x14ac:dyDescent="0.25">
      <c r="A471" s="569" t="s">
        <v>137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customHeight="1" x14ac:dyDescent="0.25">
      <c r="A472" s="54" t="s">
        <v>731</v>
      </c>
      <c r="B472" s="54" t="s">
        <v>732</v>
      </c>
      <c r="C472" s="31">
        <v>4301020400</v>
      </c>
      <c r="D472" s="560">
        <v>4640242180519</v>
      </c>
      <c r="E472" s="561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734</v>
      </c>
      <c r="B473" s="54" t="s">
        <v>735</v>
      </c>
      <c r="C473" s="31">
        <v>4301020260</v>
      </c>
      <c r="D473" s="560">
        <v>4640242180526</v>
      </c>
      <c r="E473" s="561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62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582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83"/>
      <c r="P474" s="572" t="s">
        <v>75</v>
      </c>
      <c r="Q474" s="573"/>
      <c r="R474" s="573"/>
      <c r="S474" s="573"/>
      <c r="T474" s="573"/>
      <c r="U474" s="573"/>
      <c r="V474" s="574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83"/>
      <c r="P475" s="572" t="s">
        <v>75</v>
      </c>
      <c r="Q475" s="573"/>
      <c r="R475" s="573"/>
      <c r="S475" s="573"/>
      <c r="T475" s="573"/>
      <c r="U475" s="573"/>
      <c r="V475" s="574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customHeight="1" x14ac:dyDescent="0.25">
      <c r="A476" s="569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customHeight="1" x14ac:dyDescent="0.25">
      <c r="A477" s="54" t="s">
        <v>737</v>
      </c>
      <c r="B477" s="54" t="s">
        <v>738</v>
      </c>
      <c r="C477" s="31">
        <v>4301031244</v>
      </c>
      <c r="D477" s="560">
        <v>4640242180595</v>
      </c>
      <c r="E477" s="561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 t="s">
        <v>112</v>
      </c>
      <c r="M477" s="33" t="s">
        <v>68</v>
      </c>
      <c r="N477" s="33"/>
      <c r="O477" s="32">
        <v>40</v>
      </c>
      <c r="P477" s="76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 t="s">
        <v>108</v>
      </c>
      <c r="AK477" s="68">
        <v>50.4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customHeight="1" x14ac:dyDescent="0.25">
      <c r="A478" s="54" t="s">
        <v>737</v>
      </c>
      <c r="B478" s="54" t="s">
        <v>740</v>
      </c>
      <c r="C478" s="31">
        <v>4301031467</v>
      </c>
      <c r="D478" s="560">
        <v>4640242180595</v>
      </c>
      <c r="E478" s="561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2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582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83"/>
      <c r="P479" s="572" t="s">
        <v>75</v>
      </c>
      <c r="Q479" s="573"/>
      <c r="R479" s="573"/>
      <c r="S479" s="573"/>
      <c r="T479" s="573"/>
      <c r="U479" s="573"/>
      <c r="V479" s="574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83"/>
      <c r="P480" s="572" t="s">
        <v>75</v>
      </c>
      <c r="Q480" s="573"/>
      <c r="R480" s="573"/>
      <c r="S480" s="573"/>
      <c r="T480" s="573"/>
      <c r="U480" s="573"/>
      <c r="V480" s="574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customHeight="1" x14ac:dyDescent="0.25">
      <c r="A481" s="569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customHeight="1" x14ac:dyDescent="0.25">
      <c r="A482" s="54" t="s">
        <v>742</v>
      </c>
      <c r="B482" s="54" t="s">
        <v>743</v>
      </c>
      <c r="C482" s="31">
        <v>4301052046</v>
      </c>
      <c r="D482" s="560">
        <v>4640242180533</v>
      </c>
      <c r="E482" s="561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/>
      <c r="M482" s="33" t="s">
        <v>86</v>
      </c>
      <c r="N482" s="33"/>
      <c r="O482" s="32">
        <v>45</v>
      </c>
      <c r="P482" s="64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0</v>
      </c>
      <c r="Y482" s="55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7" t="s">
        <v>744</v>
      </c>
      <c r="AG482" s="64"/>
      <c r="AJ482" s="68"/>
      <c r="AK482" s="68">
        <v>0</v>
      </c>
      <c r="BB482" s="538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x14ac:dyDescent="0.2">
      <c r="A483" s="582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83"/>
      <c r="P483" s="572" t="s">
        <v>75</v>
      </c>
      <c r="Q483" s="573"/>
      <c r="R483" s="573"/>
      <c r="S483" s="573"/>
      <c r="T483" s="573"/>
      <c r="U483" s="573"/>
      <c r="V483" s="574"/>
      <c r="W483" s="37" t="s">
        <v>76</v>
      </c>
      <c r="X483" s="555">
        <f>IFERROR(X482/H482,"0")</f>
        <v>0</v>
      </c>
      <c r="Y483" s="555">
        <f>IFERROR(Y482/H482,"0")</f>
        <v>0</v>
      </c>
      <c r="Z483" s="555">
        <f>IFERROR(IF(Z482="",0,Z482),"0")</f>
        <v>0</v>
      </c>
      <c r="AA483" s="556"/>
      <c r="AB483" s="556"/>
      <c r="AC483" s="556"/>
    </row>
    <row r="484" spans="1:68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83"/>
      <c r="P484" s="572" t="s">
        <v>75</v>
      </c>
      <c r="Q484" s="573"/>
      <c r="R484" s="573"/>
      <c r="S484" s="573"/>
      <c r="T484" s="573"/>
      <c r="U484" s="573"/>
      <c r="V484" s="574"/>
      <c r="W484" s="37" t="s">
        <v>69</v>
      </c>
      <c r="X484" s="555">
        <f>IFERROR(SUM(X482:X482),"0")</f>
        <v>0</v>
      </c>
      <c r="Y484" s="555">
        <f>IFERROR(SUM(Y482:Y482),"0")</f>
        <v>0</v>
      </c>
      <c r="Z484" s="37"/>
      <c r="AA484" s="556"/>
      <c r="AB484" s="556"/>
      <c r="AC484" s="556"/>
    </row>
    <row r="485" spans="1:68" ht="14.25" customHeight="1" x14ac:dyDescent="0.25">
      <c r="A485" s="569" t="s">
        <v>162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customHeight="1" x14ac:dyDescent="0.25">
      <c r="A486" s="54" t="s">
        <v>745</v>
      </c>
      <c r="B486" s="54" t="s">
        <v>746</v>
      </c>
      <c r="C486" s="31">
        <v>4301060491</v>
      </c>
      <c r="D486" s="560">
        <v>4640242180120</v>
      </c>
      <c r="E486" s="561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5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customHeight="1" x14ac:dyDescent="0.25">
      <c r="A487" s="54" t="s">
        <v>748</v>
      </c>
      <c r="B487" s="54" t="s">
        <v>749</v>
      </c>
      <c r="C487" s="31">
        <v>4301060493</v>
      </c>
      <c r="D487" s="560">
        <v>4640242180137</v>
      </c>
      <c r="E487" s="561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3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582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83"/>
      <c r="P488" s="572" t="s">
        <v>75</v>
      </c>
      <c r="Q488" s="573"/>
      <c r="R488" s="573"/>
      <c r="S488" s="573"/>
      <c r="T488" s="573"/>
      <c r="U488" s="573"/>
      <c r="V488" s="574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83"/>
      <c r="P489" s="572" t="s">
        <v>75</v>
      </c>
      <c r="Q489" s="573"/>
      <c r="R489" s="573"/>
      <c r="S489" s="573"/>
      <c r="T489" s="573"/>
      <c r="U489" s="573"/>
      <c r="V489" s="574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customHeight="1" x14ac:dyDescent="0.25">
      <c r="A490" s="567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customHeight="1" x14ac:dyDescent="0.25">
      <c r="A491" s="569" t="s">
        <v>137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customHeight="1" x14ac:dyDescent="0.25">
      <c r="A492" s="54" t="s">
        <v>752</v>
      </c>
      <c r="B492" s="54" t="s">
        <v>753</v>
      </c>
      <c r="C492" s="31">
        <v>4301020314</v>
      </c>
      <c r="D492" s="560">
        <v>4640242180090</v>
      </c>
      <c r="E492" s="561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6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x14ac:dyDescent="0.2">
      <c r="A493" s="582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83"/>
      <c r="P493" s="572" t="s">
        <v>75</v>
      </c>
      <c r="Q493" s="573"/>
      <c r="R493" s="573"/>
      <c r="S493" s="573"/>
      <c r="T493" s="573"/>
      <c r="U493" s="573"/>
      <c r="V493" s="574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83"/>
      <c r="P494" s="572" t="s">
        <v>75</v>
      </c>
      <c r="Q494" s="573"/>
      <c r="R494" s="573"/>
      <c r="S494" s="573"/>
      <c r="T494" s="573"/>
      <c r="U494" s="573"/>
      <c r="V494" s="574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2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33"/>
      <c r="P495" s="723" t="s">
        <v>755</v>
      </c>
      <c r="Q495" s="684"/>
      <c r="R495" s="684"/>
      <c r="S495" s="684"/>
      <c r="T495" s="684"/>
      <c r="U495" s="684"/>
      <c r="V495" s="685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10892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11127.899999999998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33"/>
      <c r="P496" s="723" t="s">
        <v>756</v>
      </c>
      <c r="Q496" s="684"/>
      <c r="R496" s="684"/>
      <c r="S496" s="684"/>
      <c r="T496" s="684"/>
      <c r="U496" s="684"/>
      <c r="V496" s="685"/>
      <c r="W496" s="37" t="s">
        <v>69</v>
      </c>
      <c r="X496" s="555">
        <f>IFERROR(SUM(BM22:BM492),"0")</f>
        <v>11532.398686986491</v>
      </c>
      <c r="Y496" s="555">
        <f>IFERROR(SUM(BN22:BN492),"0")</f>
        <v>11783.849000000002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33"/>
      <c r="P497" s="723" t="s">
        <v>757</v>
      </c>
      <c r="Q497" s="684"/>
      <c r="R497" s="684"/>
      <c r="S497" s="684"/>
      <c r="T497" s="684"/>
      <c r="U497" s="684"/>
      <c r="V497" s="685"/>
      <c r="W497" s="37" t="s">
        <v>758</v>
      </c>
      <c r="X497" s="38">
        <f>ROUNDUP(SUM(BO22:BO492),0)</f>
        <v>19</v>
      </c>
      <c r="Y497" s="38">
        <f>ROUNDUP(SUM(BP22:BP492),0)</f>
        <v>20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33"/>
      <c r="P498" s="723" t="s">
        <v>759</v>
      </c>
      <c r="Q498" s="684"/>
      <c r="R498" s="684"/>
      <c r="S498" s="684"/>
      <c r="T498" s="684"/>
      <c r="U498" s="684"/>
      <c r="V498" s="685"/>
      <c r="W498" s="37" t="s">
        <v>69</v>
      </c>
      <c r="X498" s="555">
        <f>GrossWeightTotal+PalletQtyTotal*25</f>
        <v>12007.398686986491</v>
      </c>
      <c r="Y498" s="555">
        <f>GrossWeightTotalR+PalletQtyTotalR*25</f>
        <v>12283.849000000002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33"/>
      <c r="P499" s="723" t="s">
        <v>760</v>
      </c>
      <c r="Q499" s="684"/>
      <c r="R499" s="684"/>
      <c r="S499" s="684"/>
      <c r="T499" s="684"/>
      <c r="U499" s="684"/>
      <c r="V499" s="685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2181.6321751249411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2222</v>
      </c>
      <c r="Z499" s="37"/>
      <c r="AA499" s="556"/>
      <c r="AB499" s="556"/>
      <c r="AC499" s="556"/>
    </row>
    <row r="500" spans="1:32" ht="14.25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33"/>
      <c r="P500" s="723" t="s">
        <v>761</v>
      </c>
      <c r="Q500" s="684"/>
      <c r="R500" s="684"/>
      <c r="S500" s="684"/>
      <c r="T500" s="684"/>
      <c r="U500" s="684"/>
      <c r="V500" s="685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22.716160000000002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8" t="s">
        <v>99</v>
      </c>
      <c r="D502" s="648"/>
      <c r="E502" s="648"/>
      <c r="F502" s="648"/>
      <c r="G502" s="648"/>
      <c r="H502" s="649"/>
      <c r="I502" s="598" t="s">
        <v>268</v>
      </c>
      <c r="J502" s="648"/>
      <c r="K502" s="648"/>
      <c r="L502" s="648"/>
      <c r="M502" s="648"/>
      <c r="N502" s="648"/>
      <c r="O502" s="648"/>
      <c r="P502" s="648"/>
      <c r="Q502" s="648"/>
      <c r="R502" s="649"/>
      <c r="S502" s="598" t="s">
        <v>559</v>
      </c>
      <c r="T502" s="649"/>
      <c r="U502" s="598" t="s">
        <v>613</v>
      </c>
      <c r="V502" s="648"/>
      <c r="W502" s="649"/>
      <c r="X502" s="550" t="s">
        <v>664</v>
      </c>
      <c r="Y502" s="598" t="s">
        <v>719</v>
      </c>
      <c r="Z502" s="649"/>
      <c r="AB502" s="52"/>
      <c r="AC502" s="52"/>
      <c r="AF502" s="551"/>
    </row>
    <row r="503" spans="1:32" ht="14.25" customHeight="1" thickTop="1" x14ac:dyDescent="0.2">
      <c r="A503" s="603" t="s">
        <v>764</v>
      </c>
      <c r="B503" s="598" t="s">
        <v>63</v>
      </c>
      <c r="C503" s="598" t="s">
        <v>100</v>
      </c>
      <c r="D503" s="598" t="s">
        <v>118</v>
      </c>
      <c r="E503" s="598" t="s">
        <v>169</v>
      </c>
      <c r="F503" s="598" t="s">
        <v>191</v>
      </c>
      <c r="G503" s="598" t="s">
        <v>229</v>
      </c>
      <c r="H503" s="598" t="s">
        <v>99</v>
      </c>
      <c r="I503" s="598" t="s">
        <v>269</v>
      </c>
      <c r="J503" s="598" t="s">
        <v>327</v>
      </c>
      <c r="K503" s="598" t="s">
        <v>387</v>
      </c>
      <c r="L503" s="598" t="s">
        <v>428</v>
      </c>
      <c r="M503" s="598" t="s">
        <v>444</v>
      </c>
      <c r="N503" s="551"/>
      <c r="O503" s="598" t="s">
        <v>455</v>
      </c>
      <c r="P503" s="598" t="s">
        <v>464</v>
      </c>
      <c r="Q503" s="598" t="s">
        <v>477</v>
      </c>
      <c r="R503" s="598" t="s">
        <v>549</v>
      </c>
      <c r="S503" s="598" t="s">
        <v>560</v>
      </c>
      <c r="T503" s="598" t="s">
        <v>595</v>
      </c>
      <c r="U503" s="598" t="s">
        <v>614</v>
      </c>
      <c r="V503" s="598" t="s">
        <v>645</v>
      </c>
      <c r="W503" s="598" t="s">
        <v>660</v>
      </c>
      <c r="X503" s="598" t="s">
        <v>664</v>
      </c>
      <c r="Y503" s="598" t="s">
        <v>719</v>
      </c>
      <c r="Z503" s="598" t="s">
        <v>751</v>
      </c>
      <c r="AB503" s="52"/>
      <c r="AC503" s="52"/>
      <c r="AF503" s="551"/>
    </row>
    <row r="504" spans="1:32" ht="13.5" customHeight="1" thickBot="1" x14ac:dyDescent="0.25">
      <c r="A504" s="604"/>
      <c r="B504" s="599"/>
      <c r="C504" s="599"/>
      <c r="D504" s="599"/>
      <c r="E504" s="599"/>
      <c r="F504" s="599"/>
      <c r="G504" s="599"/>
      <c r="H504" s="599"/>
      <c r="I504" s="599"/>
      <c r="J504" s="599"/>
      <c r="K504" s="599"/>
      <c r="L504" s="599"/>
      <c r="M504" s="599"/>
      <c r="N504" s="551"/>
      <c r="O504" s="599"/>
      <c r="P504" s="599"/>
      <c r="Q504" s="599"/>
      <c r="R504" s="599"/>
      <c r="S504" s="599"/>
      <c r="T504" s="599"/>
      <c r="U504" s="599"/>
      <c r="V504" s="599"/>
      <c r="W504" s="599"/>
      <c r="X504" s="599"/>
      <c r="Y504" s="599"/>
      <c r="Z504" s="599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569.80000000000007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916.8</v>
      </c>
      <c r="E505" s="46">
        <f>IFERROR(Y85*1,"0")+IFERROR(Y86*1,"0")+IFERROR(Y87*1,"0")+IFERROR(Y88*1,"0")+IFERROR(Y92*1,"0")+IFERROR(Y93*1,"0")+IFERROR(Y94*1,"0")+IFERROR(Y95*1,"0")</f>
        <v>658.8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1152.5999999999999</v>
      </c>
      <c r="G505" s="46">
        <f>IFERROR(Y127*1,"0")+IFERROR(Y128*1,"0")+IFERROR(Y132*1,"0")+IFERROR(Y133*1,"0")+IFERROR(Y137*1,"0")+IFERROR(Y138*1,"0")</f>
        <v>0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929.1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1790.6999999999998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305.94000000000005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91.199999999999989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458.48</v>
      </c>
      <c r="R505" s="46">
        <f>IFERROR(Y342*1,"0")+IFERROR(Y343*1,"0")+IFERROR(Y344*1,"0")</f>
        <v>16.2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2364</v>
      </c>
      <c r="T505" s="46">
        <f>IFERROR(Y375*1,"0")+IFERROR(Y376*1,"0")+IFERROR(Y380*1,"0")+IFERROR(Y381*1,"0")+IFERROR(Y385*1,"0")+IFERROR(Y386*1,"0")+IFERROR(Y387*1,"0")</f>
        <v>393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0</v>
      </c>
      <c r="V505" s="46">
        <f>IFERROR(Y411*1,"0")+IFERROR(Y415*1,"0")+IFERROR(Y416*1,"0")+IFERROR(Y417*1,"0")+IFERROR(Y418*1,"0")</f>
        <v>0</v>
      </c>
      <c r="W505" s="46">
        <f>IFERROR(Y423*1,"0")</f>
        <v>0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1481.28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0</v>
      </c>
      <c r="Z505" s="46">
        <f>IFERROR(Y492*1,"0")</f>
        <v>0</v>
      </c>
      <c r="AB505" s="52"/>
      <c r="AC505" s="52"/>
      <c r="AF505" s="551"/>
    </row>
  </sheetData>
  <sheetProtection algorithmName="SHA-512" hashValue="PwOhk/+FNPKfjTxHeZTLtqLrm2FNjzrfHgo7fe5nb4UELP1K1uC6pDCiAtCL/lyBfNElLyQ2jEHWzjEkEKLUvg==" saltValue="Vw3zTUMxv86UlgwWDyTqL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P85:T85"/>
    <mergeCell ref="A202:O203"/>
    <mergeCell ref="D239:E239"/>
    <mergeCell ref="D266:E266"/>
    <mergeCell ref="P174:T174"/>
    <mergeCell ref="P149:T149"/>
    <mergeCell ref="D95:E9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P197:V197"/>
    <mergeCell ref="A249:Z249"/>
    <mergeCell ref="P495:V495"/>
    <mergeCell ref="A347:Z347"/>
    <mergeCell ref="A314:Z314"/>
    <mergeCell ref="P289:V289"/>
    <mergeCell ref="A114:Z114"/>
    <mergeCell ref="P439:T439"/>
    <mergeCell ref="P433:T433"/>
    <mergeCell ref="A107:Z107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23:E23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D102:E102"/>
    <mergeCell ref="P81:V81"/>
    <mergeCell ref="A204:Z204"/>
    <mergeCell ref="D196:E196"/>
    <mergeCell ref="A424:O425"/>
    <mergeCell ref="P419:V419"/>
    <mergeCell ref="P145:V145"/>
    <mergeCell ref="D133:E133"/>
    <mergeCell ref="A262:Z262"/>
    <mergeCell ref="D54:E54"/>
    <mergeCell ref="P283:V283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P494:V494"/>
    <mergeCell ref="P430:T430"/>
    <mergeCell ref="A297:Z297"/>
    <mergeCell ref="P417:T417"/>
    <mergeCell ref="P102:T102"/>
    <mergeCell ref="P456:V456"/>
    <mergeCell ref="P196:T196"/>
    <mergeCell ref="D177:E177"/>
    <mergeCell ref="P354:T354"/>
    <mergeCell ref="A404:Z404"/>
    <mergeCell ref="D152:E152"/>
    <mergeCell ref="D394:E394"/>
    <mergeCell ref="D450:E450"/>
    <mergeCell ref="D223:E223"/>
    <mergeCell ref="A495:O500"/>
    <mergeCell ref="P178:T178"/>
    <mergeCell ref="D257:E257"/>
    <mergeCell ref="D86:E86"/>
    <mergeCell ref="A64:O65"/>
    <mergeCell ref="P192:V192"/>
    <mergeCell ref="D151:E151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P483:V483"/>
    <mergeCell ref="D298:E298"/>
    <mergeCell ref="D273:E273"/>
    <mergeCell ref="P252:V252"/>
    <mergeCell ref="P105:V105"/>
    <mergeCell ref="A464:Z464"/>
    <mergeCell ref="A160:Z160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111:T111"/>
    <mergeCell ref="A227:Z227"/>
    <mergeCell ref="D200:E200"/>
    <mergeCell ref="D436:E436"/>
    <mergeCell ref="A340:Z340"/>
    <mergeCell ref="A276:O277"/>
    <mergeCell ref="D267:E267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D29:E29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P58:V58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15:T16"/>
    <mergeCell ref="A325:O326"/>
    <mergeCell ref="D116:E116"/>
    <mergeCell ref="D352:E352"/>
    <mergeCell ref="P219:T219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328:E328"/>
    <mergeCell ref="D157:E157"/>
    <mergeCell ref="P65:V65"/>
    <mergeCell ref="A126:Z126"/>
    <mergeCell ref="A253:Z253"/>
    <mergeCell ref="D137:E137"/>
    <mergeCell ref="P124:V124"/>
    <mergeCell ref="D74:E74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26:Z26"/>
    <mergeCell ref="P401:T401"/>
    <mergeCell ref="A469:O470"/>
    <mergeCell ref="D211:E211"/>
    <mergeCell ref="P168:T168"/>
    <mergeCell ref="P130:V130"/>
    <mergeCell ref="P466:T466"/>
    <mergeCell ref="A71:Z71"/>
    <mergeCell ref="P488:V488"/>
    <mergeCell ref="A456:O457"/>
    <mergeCell ref="P59:V59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D453:E453"/>
    <mergeCell ref="D466:E466"/>
    <mergeCell ref="A483:O484"/>
    <mergeCell ref="P181:V181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D486:E486"/>
    <mergeCell ref="P86:T86"/>
    <mergeCell ref="P328:T328"/>
    <mergeCell ref="P157:T157"/>
    <mergeCell ref="P455:T455"/>
    <mergeCell ref="D376:E376"/>
    <mergeCell ref="D205:E205"/>
    <mergeCell ref="P172:T172"/>
    <mergeCell ref="A158:O159"/>
    <mergeCell ref="P150:T150"/>
    <mergeCell ref="P221:T221"/>
    <mergeCell ref="P452:T452"/>
    <mergeCell ref="P448:V448"/>
    <mergeCell ref="D482:E482"/>
    <mergeCell ref="P209:T209"/>
    <mergeCell ref="P445:T445"/>
    <mergeCell ref="P96:V96"/>
    <mergeCell ref="P90:V90"/>
    <mergeCell ref="P332:V332"/>
    <mergeCell ref="P388:V388"/>
    <mergeCell ref="A384:Z384"/>
    <mergeCell ref="A449:Z449"/>
    <mergeCell ref="P234:T234"/>
    <mergeCell ref="P325:V325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9:T79"/>
    <mergeCell ref="D473:E473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88:T88"/>
    <mergeCell ref="P153:T153"/>
    <mergeCell ref="P202:V202"/>
    <mergeCell ref="P395:T395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:X42 X52:X53 X55 X61 X72 X79 X85 X88 X92 X100 X103 X108 X111 X115 X117 X169 X171 X173 X176 X178 X201 X205:X206 X208:X210 X212 X218:X219 X221:X224 X229 X234 X281:X282 X322:X324 X331 X342 X350:X352 X360 X385:X386 X429 X432:X433 X435 X444 X446 X450:X452 X477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algorithmName="SHA-512" hashValue="e0ysJODdXmvWnlG55Wu3VKTaWXTCHzliAWIb8aYNZiuRg35ja+ugBQAa2aA0Su9c2/6TQGdwwTlTWxqxibQGpg==" saltValue="JXmvD4beIuw/IS3rSW40k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2025-12-26T09:23:08Z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