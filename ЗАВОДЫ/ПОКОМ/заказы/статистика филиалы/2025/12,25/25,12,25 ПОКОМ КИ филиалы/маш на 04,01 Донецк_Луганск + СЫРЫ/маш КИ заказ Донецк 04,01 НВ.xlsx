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FDD15BA-54BB-4A3F-9374-7B73CEE5CC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Y25" i="1" s="1"/>
  <c r="P22" i="1"/>
  <c r="H10" i="1"/>
  <c r="A9" i="1"/>
  <c r="F10" i="1" s="1"/>
  <c r="D7" i="1"/>
  <c r="Q6" i="1"/>
  <c r="P2" i="1"/>
  <c r="Z129" i="1" l="1"/>
  <c r="Z154" i="1"/>
  <c r="Z362" i="1"/>
  <c r="Z58" i="1"/>
  <c r="Z259" i="1"/>
  <c r="H9" i="1"/>
  <c r="A10" i="1"/>
  <c r="Y24" i="1"/>
  <c r="Y32" i="1"/>
  <c r="Y44" i="1"/>
  <c r="Y59" i="1"/>
  <c r="Y65" i="1"/>
  <c r="Y495" i="1" s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B505" i="1"/>
  <c r="J505" i="1"/>
  <c r="S505" i="1"/>
  <c r="F9" i="1"/>
  <c r="J9" i="1"/>
  <c r="Z22" i="1"/>
  <c r="Z24" i="1" s="1"/>
  <c r="BN22" i="1"/>
  <c r="BP22" i="1"/>
  <c r="X499" i="1"/>
  <c r="Z28" i="1"/>
  <c r="Z32" i="1" s="1"/>
  <c r="BN28" i="1"/>
  <c r="Z30" i="1"/>
  <c r="BN30" i="1"/>
  <c r="C505" i="1"/>
  <c r="Z42" i="1"/>
  <c r="Z44" i="1" s="1"/>
  <c r="BN42" i="1"/>
  <c r="Y45" i="1"/>
  <c r="D505" i="1"/>
  <c r="Z53" i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Z268" i="1" s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Y497" i="1" l="1"/>
  <c r="Z312" i="1"/>
  <c r="Z441" i="1"/>
  <c r="Z225" i="1"/>
  <c r="Z119" i="1"/>
  <c r="Z500" i="1" s="1"/>
  <c r="Z96" i="1"/>
  <c r="Y496" i="1"/>
  <c r="Y498" i="1" s="1"/>
  <c r="Z325" i="1"/>
  <c r="Z283" i="1"/>
  <c r="Y499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<sst xmlns="http://schemas.openxmlformats.org/spreadsheetml/2006/main" count="2320" uniqueCount="781">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</sst>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33.333333333333336</v>
      </c>
      <c r="Y357" s="555">
        <f>IFERROR(Y350/H350,"0")+IFERROR(Y351/H351,"0")+IFERROR(Y352/H352,"0")+IFERROR(Y353/H353,"0")+IFERROR(Y354/H354,"0")+IFERROR(Y355/H355,"0")+IFERROR(Y356/H356,"0")</f>
        <v>34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0.73949999999999994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500</v>
      </c>
      <c r="Y358" s="555">
        <f>IFERROR(SUM(Y350:Y356),"0")</f>
        <v>510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500</v>
      </c>
      <c r="Y433" s="554">
        <f t="shared" si="47"/>
        <v>501.6</v>
      </c>
      <c r="Z433" s="36">
        <f t="shared" si="48"/>
        <v>1.1362000000000001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533.14393939393938</v>
      </c>
      <c r="BN433" s="64">
        <f t="shared" si="50"/>
        <v>534.85</v>
      </c>
      <c r="BO433" s="64">
        <f t="shared" si="51"/>
        <v>0.91054778554778548</v>
      </c>
      <c r="BP433" s="64">
        <f t="shared" si="52"/>
        <v>0.91346153846153855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284.09090909090907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285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3.4086000000000003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1500</v>
      </c>
      <c r="Y442" s="555">
        <f>IFERROR(SUM(Y429:Y440),"0")</f>
        <v>1504.8000000000002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500</v>
      </c>
      <c r="Y444" s="554">
        <f>IFERROR(IF(X444="",0,CEILING((X444/$H444),1)*$H444),"")</f>
        <v>501.6</v>
      </c>
      <c r="Z444" s="36">
        <f>IFERROR(IF(Y444=0,"",ROUNDUP(Y444/H444,0)*0.01196),"")</f>
        <v>1.1362000000000001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533.14393939393938</v>
      </c>
      <c r="BN444" s="64">
        <f>IFERROR(Y444*I444/H444,"0")</f>
        <v>534.85</v>
      </c>
      <c r="BO444" s="64">
        <f>IFERROR(1/J444*(X444/H444),"0")</f>
        <v>0.91054778554778548</v>
      </c>
      <c r="BP444" s="64">
        <f>IFERROR(1/J444*(Y444/H444),"0")</f>
        <v>0.91346153846153855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94.696969696969688</v>
      </c>
      <c r="Y447" s="555">
        <f>IFERROR(Y444/H444,"0")+IFERROR(Y445/H445,"0")+IFERROR(Y446/H446,"0")</f>
        <v>95</v>
      </c>
      <c r="Z447" s="555">
        <f>IFERROR(IF(Z444="",0,Z444),"0")+IFERROR(IF(Z445="",0,Z445),"0")+IFERROR(IF(Z446="",0,Z446),"0")</f>
        <v>1.1362000000000001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500</v>
      </c>
      <c r="Y448" s="555">
        <f>IFERROR(SUM(Y444:Y446),"0")</f>
        <v>501.6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4034.4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4218.7979797979797</v>
      </c>
      <c r="Y496" s="555">
        <f>IFERROR(SUM(BN22:BN492),"0")</f>
        <v>4254.6880000000001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7</v>
      </c>
      <c r="Y497" s="38">
        <f>ROUNDUP(SUM(BP22:BP492),0)</f>
        <v>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4393.7979797979797</v>
      </c>
      <c r="Y498" s="555">
        <f>GrossWeightTotalR+PalletQtyTotalR*25</f>
        <v>4429.6880000000001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556.56565656565658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560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8.149560000000001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1020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2006.4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