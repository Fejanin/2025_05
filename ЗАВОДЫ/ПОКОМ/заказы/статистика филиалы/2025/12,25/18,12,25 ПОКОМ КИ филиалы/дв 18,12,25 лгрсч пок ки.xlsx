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18,12,25 ПОКОМ КИ филиалы\"/>
    </mc:Choice>
  </mc:AlternateContent>
  <xr:revisionPtr revIDLastSave="0" documentId="13_ncr:1_{139AF78F-A1D3-4B69-B047-9FC7EE6BB9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9" i="1" l="1"/>
  <c r="T23" i="1"/>
  <c r="T26" i="1"/>
  <c r="T28" i="1"/>
  <c r="T30" i="1"/>
  <c r="T31" i="1"/>
  <c r="AI31" i="1" s="1"/>
  <c r="T32" i="1"/>
  <c r="T40" i="1"/>
  <c r="T48" i="1"/>
  <c r="T51" i="1"/>
  <c r="AI51" i="1" s="1"/>
  <c r="T60" i="1"/>
  <c r="T61" i="1"/>
  <c r="AI61" i="1" s="1"/>
  <c r="T67" i="1"/>
  <c r="T68" i="1"/>
  <c r="T72" i="1"/>
  <c r="T74" i="1"/>
  <c r="T87" i="1"/>
  <c r="T89" i="1"/>
  <c r="AI89" i="1" s="1"/>
  <c r="AI19" i="1"/>
  <c r="AI23" i="1"/>
  <c r="AI67" i="1"/>
  <c r="AI87" i="1"/>
  <c r="AI74" i="1" l="1"/>
  <c r="AI72" i="1"/>
  <c r="AI68" i="1"/>
  <c r="AI60" i="1"/>
  <c r="AI48" i="1"/>
  <c r="AI40" i="1"/>
  <c r="AI32" i="1"/>
  <c r="AI30" i="1"/>
  <c r="AI28" i="1"/>
  <c r="AI26" i="1"/>
  <c r="M7" i="1"/>
  <c r="Q7" i="1" s="1"/>
  <c r="M8" i="1"/>
  <c r="Q8" i="1" s="1"/>
  <c r="R8" i="1" s="1"/>
  <c r="T8" i="1" s="1"/>
  <c r="AI8" i="1" s="1"/>
  <c r="M9" i="1"/>
  <c r="Q9" i="1" s="1"/>
  <c r="M10" i="1"/>
  <c r="Q10" i="1" s="1"/>
  <c r="R10" i="1" s="1"/>
  <c r="T10" i="1" s="1"/>
  <c r="AI10" i="1" s="1"/>
  <c r="M11" i="1"/>
  <c r="Q11" i="1" s="1"/>
  <c r="M12" i="1"/>
  <c r="Q12" i="1" s="1"/>
  <c r="R12" i="1" s="1"/>
  <c r="T12" i="1" s="1"/>
  <c r="AI12" i="1" s="1"/>
  <c r="M13" i="1"/>
  <c r="Q13" i="1" s="1"/>
  <c r="S13" i="1" s="1"/>
  <c r="M14" i="1"/>
  <c r="Q14" i="1" s="1"/>
  <c r="M15" i="1"/>
  <c r="Q15" i="1" s="1"/>
  <c r="S15" i="1" s="1"/>
  <c r="M16" i="1"/>
  <c r="Q16" i="1" s="1"/>
  <c r="R16" i="1" s="1"/>
  <c r="T16" i="1" s="1"/>
  <c r="AI16" i="1" s="1"/>
  <c r="M17" i="1"/>
  <c r="Q17" i="1" s="1"/>
  <c r="S17" i="1" s="1"/>
  <c r="M18" i="1"/>
  <c r="Q18" i="1" s="1"/>
  <c r="R18" i="1" s="1"/>
  <c r="T18" i="1" s="1"/>
  <c r="AI18" i="1" s="1"/>
  <c r="M19" i="1"/>
  <c r="Q19" i="1" s="1"/>
  <c r="X19" i="1" s="1"/>
  <c r="M20" i="1"/>
  <c r="Q20" i="1" s="1"/>
  <c r="M21" i="1"/>
  <c r="Q21" i="1" s="1"/>
  <c r="S21" i="1" s="1"/>
  <c r="M22" i="1"/>
  <c r="Q22" i="1" s="1"/>
  <c r="R22" i="1" s="1"/>
  <c r="T22" i="1" s="1"/>
  <c r="AI22" i="1" s="1"/>
  <c r="M23" i="1"/>
  <c r="Q23" i="1" s="1"/>
  <c r="X23" i="1" s="1"/>
  <c r="M24" i="1"/>
  <c r="Q24" i="1" s="1"/>
  <c r="M25" i="1"/>
  <c r="Q25" i="1" s="1"/>
  <c r="R25" i="1" s="1"/>
  <c r="T25" i="1" s="1"/>
  <c r="M26" i="1"/>
  <c r="Q26" i="1" s="1"/>
  <c r="X26" i="1" s="1"/>
  <c r="M27" i="1"/>
  <c r="Q27" i="1" s="1"/>
  <c r="R27" i="1" s="1"/>
  <c r="T27" i="1" s="1"/>
  <c r="M28" i="1"/>
  <c r="Q28" i="1" s="1"/>
  <c r="X28" i="1" s="1"/>
  <c r="M29" i="1"/>
  <c r="Q29" i="1" s="1"/>
  <c r="R29" i="1" s="1"/>
  <c r="T29" i="1" s="1"/>
  <c r="M30" i="1"/>
  <c r="Q30" i="1" s="1"/>
  <c r="X30" i="1" s="1"/>
  <c r="M31" i="1"/>
  <c r="Q31" i="1" s="1"/>
  <c r="X31" i="1" s="1"/>
  <c r="M32" i="1"/>
  <c r="Q32" i="1" s="1"/>
  <c r="X32" i="1" s="1"/>
  <c r="M33" i="1"/>
  <c r="Q33" i="1" s="1"/>
  <c r="M34" i="1"/>
  <c r="Q34" i="1" s="1"/>
  <c r="M35" i="1"/>
  <c r="Q35" i="1" s="1"/>
  <c r="M36" i="1"/>
  <c r="Q36" i="1" s="1"/>
  <c r="R36" i="1" s="1"/>
  <c r="T36" i="1" s="1"/>
  <c r="AI36" i="1" s="1"/>
  <c r="M37" i="1"/>
  <c r="Q37" i="1" s="1"/>
  <c r="M38" i="1"/>
  <c r="Q38" i="1" s="1"/>
  <c r="R38" i="1" s="1"/>
  <c r="T38" i="1" s="1"/>
  <c r="AI38" i="1" s="1"/>
  <c r="M39" i="1"/>
  <c r="Q39" i="1" s="1"/>
  <c r="R39" i="1" s="1"/>
  <c r="T39" i="1" s="1"/>
  <c r="M40" i="1"/>
  <c r="Q40" i="1" s="1"/>
  <c r="X40" i="1" s="1"/>
  <c r="M41" i="1"/>
  <c r="Q41" i="1" s="1"/>
  <c r="R41" i="1" s="1"/>
  <c r="T41" i="1" s="1"/>
  <c r="M42" i="1"/>
  <c r="Q42" i="1" s="1"/>
  <c r="R42" i="1" s="1"/>
  <c r="T42" i="1" s="1"/>
  <c r="AI42" i="1" s="1"/>
  <c r="M43" i="1"/>
  <c r="Q43" i="1" s="1"/>
  <c r="R43" i="1" s="1"/>
  <c r="T43" i="1" s="1"/>
  <c r="M44" i="1"/>
  <c r="Q44" i="1" s="1"/>
  <c r="R44" i="1" s="1"/>
  <c r="T44" i="1" s="1"/>
  <c r="AI44" i="1" s="1"/>
  <c r="M45" i="1"/>
  <c r="Q45" i="1" s="1"/>
  <c r="R45" i="1" s="1"/>
  <c r="T45" i="1" s="1"/>
  <c r="M46" i="1"/>
  <c r="Q46" i="1" s="1"/>
  <c r="M47" i="1"/>
  <c r="Q47" i="1" s="1"/>
  <c r="S47" i="1" s="1"/>
  <c r="M48" i="1"/>
  <c r="Q48" i="1" s="1"/>
  <c r="X48" i="1" s="1"/>
  <c r="M49" i="1"/>
  <c r="Q49" i="1" s="1"/>
  <c r="S49" i="1" s="1"/>
  <c r="M50" i="1"/>
  <c r="Q50" i="1" s="1"/>
  <c r="R50" i="1" s="1"/>
  <c r="T50" i="1" s="1"/>
  <c r="AI50" i="1" s="1"/>
  <c r="M51" i="1"/>
  <c r="Q51" i="1" s="1"/>
  <c r="X51" i="1" s="1"/>
  <c r="M52" i="1"/>
  <c r="Q52" i="1" s="1"/>
  <c r="M53" i="1"/>
  <c r="Q53" i="1" s="1"/>
  <c r="M54" i="1"/>
  <c r="Q54" i="1" s="1"/>
  <c r="M55" i="1"/>
  <c r="Q55" i="1" s="1"/>
  <c r="M56" i="1"/>
  <c r="Q56" i="1" s="1"/>
  <c r="R56" i="1" s="1"/>
  <c r="T56" i="1" s="1"/>
  <c r="AI56" i="1" s="1"/>
  <c r="M57" i="1"/>
  <c r="Q57" i="1" s="1"/>
  <c r="S57" i="1" s="1"/>
  <c r="M58" i="1"/>
  <c r="Q58" i="1" s="1"/>
  <c r="R58" i="1" s="1"/>
  <c r="T58" i="1" s="1"/>
  <c r="AI58" i="1" s="1"/>
  <c r="M59" i="1"/>
  <c r="Q59" i="1" s="1"/>
  <c r="R59" i="1" s="1"/>
  <c r="T59" i="1" s="1"/>
  <c r="M60" i="1"/>
  <c r="Q60" i="1" s="1"/>
  <c r="X60" i="1" s="1"/>
  <c r="M61" i="1"/>
  <c r="Q61" i="1" s="1"/>
  <c r="X61" i="1" s="1"/>
  <c r="M62" i="1"/>
  <c r="Q62" i="1" s="1"/>
  <c r="R62" i="1" s="1"/>
  <c r="T62" i="1" s="1"/>
  <c r="AI62" i="1" s="1"/>
  <c r="M63" i="1"/>
  <c r="Q63" i="1" s="1"/>
  <c r="R63" i="1" s="1"/>
  <c r="T63" i="1" s="1"/>
  <c r="M64" i="1"/>
  <c r="Q64" i="1" s="1"/>
  <c r="R64" i="1" s="1"/>
  <c r="T64" i="1" s="1"/>
  <c r="AI64" i="1" s="1"/>
  <c r="M65" i="1"/>
  <c r="Q65" i="1" s="1"/>
  <c r="R65" i="1" s="1"/>
  <c r="T65" i="1" s="1"/>
  <c r="M66" i="1"/>
  <c r="Q66" i="1" s="1"/>
  <c r="R66" i="1" s="1"/>
  <c r="T66" i="1" s="1"/>
  <c r="AI66" i="1" s="1"/>
  <c r="M67" i="1"/>
  <c r="Q67" i="1" s="1"/>
  <c r="X67" i="1" s="1"/>
  <c r="M68" i="1"/>
  <c r="Q68" i="1" s="1"/>
  <c r="X68" i="1" s="1"/>
  <c r="M69" i="1"/>
  <c r="Q69" i="1" s="1"/>
  <c r="S69" i="1" s="1"/>
  <c r="M70" i="1"/>
  <c r="Q70" i="1" s="1"/>
  <c r="R70" i="1" s="1"/>
  <c r="T70" i="1" s="1"/>
  <c r="AI70" i="1" s="1"/>
  <c r="M71" i="1"/>
  <c r="Q71" i="1" s="1"/>
  <c r="M72" i="1"/>
  <c r="Q72" i="1" s="1"/>
  <c r="X72" i="1" s="1"/>
  <c r="M73" i="1"/>
  <c r="Q73" i="1" s="1"/>
  <c r="S73" i="1" s="1"/>
  <c r="M74" i="1"/>
  <c r="Q74" i="1" s="1"/>
  <c r="X74" i="1" s="1"/>
  <c r="M75" i="1"/>
  <c r="Q75" i="1" s="1"/>
  <c r="M76" i="1"/>
  <c r="Q76" i="1" s="1"/>
  <c r="M77" i="1"/>
  <c r="Q77" i="1" s="1"/>
  <c r="S77" i="1" s="1"/>
  <c r="M78" i="1"/>
  <c r="Q78" i="1" s="1"/>
  <c r="M79" i="1"/>
  <c r="Q79" i="1" s="1"/>
  <c r="S79" i="1" s="1"/>
  <c r="M80" i="1"/>
  <c r="Q80" i="1" s="1"/>
  <c r="R80" i="1" s="1"/>
  <c r="T80" i="1" s="1"/>
  <c r="AI80" i="1" s="1"/>
  <c r="M81" i="1"/>
  <c r="Q81" i="1" s="1"/>
  <c r="R81" i="1" s="1"/>
  <c r="T81" i="1" s="1"/>
  <c r="M82" i="1"/>
  <c r="Q82" i="1" s="1"/>
  <c r="R82" i="1" s="1"/>
  <c r="T82" i="1" s="1"/>
  <c r="AI82" i="1" s="1"/>
  <c r="M83" i="1"/>
  <c r="Q83" i="1" s="1"/>
  <c r="M84" i="1"/>
  <c r="Q84" i="1" s="1"/>
  <c r="R84" i="1" s="1"/>
  <c r="T84" i="1" s="1"/>
  <c r="AI84" i="1" s="1"/>
  <c r="M85" i="1"/>
  <c r="Q85" i="1" s="1"/>
  <c r="M86" i="1"/>
  <c r="Q86" i="1" s="1"/>
  <c r="R86" i="1" s="1"/>
  <c r="T86" i="1" s="1"/>
  <c r="AI86" i="1" s="1"/>
  <c r="M87" i="1"/>
  <c r="Q87" i="1" s="1"/>
  <c r="X87" i="1" s="1"/>
  <c r="M88" i="1"/>
  <c r="Q88" i="1" s="1"/>
  <c r="R88" i="1" s="1"/>
  <c r="T88" i="1" s="1"/>
  <c r="AI88" i="1" s="1"/>
  <c r="M89" i="1"/>
  <c r="Q89" i="1" s="1"/>
  <c r="X89" i="1" s="1"/>
  <c r="M90" i="1"/>
  <c r="Q90" i="1" s="1"/>
  <c r="R90" i="1" s="1"/>
  <c r="T90" i="1" s="1"/>
  <c r="M91" i="1"/>
  <c r="Q91" i="1" s="1"/>
  <c r="R91" i="1" s="1"/>
  <c r="T91" i="1" s="1"/>
  <c r="M92" i="1"/>
  <c r="Q92" i="1" s="1"/>
  <c r="M93" i="1"/>
  <c r="Q93" i="1" s="1"/>
  <c r="R93" i="1" s="1"/>
  <c r="T93" i="1" s="1"/>
  <c r="M94" i="1"/>
  <c r="Q94" i="1" s="1"/>
  <c r="Y94" i="1" s="1"/>
  <c r="M6" i="1"/>
  <c r="Q6" i="1" s="1"/>
  <c r="S6" i="1" s="1"/>
  <c r="W5" i="1"/>
  <c r="Y92" i="1" l="1"/>
  <c r="S92" i="1"/>
  <c r="R78" i="1"/>
  <c r="S78" i="1"/>
  <c r="R76" i="1"/>
  <c r="S76" i="1"/>
  <c r="R54" i="1"/>
  <c r="S54" i="1"/>
  <c r="R52" i="1"/>
  <c r="S52" i="1"/>
  <c r="R46" i="1"/>
  <c r="S46" i="1"/>
  <c r="R34" i="1"/>
  <c r="S34" i="1"/>
  <c r="R24" i="1"/>
  <c r="S24" i="1"/>
  <c r="R20" i="1"/>
  <c r="S20" i="1"/>
  <c r="R14" i="1"/>
  <c r="S14" i="1"/>
  <c r="S5" i="1" s="1"/>
  <c r="X22" i="1"/>
  <c r="X70" i="1"/>
  <c r="X38" i="1"/>
  <c r="X44" i="1"/>
  <c r="X82" i="1"/>
  <c r="X10" i="1"/>
  <c r="X18" i="1"/>
  <c r="X50" i="1"/>
  <c r="X58" i="1"/>
  <c r="X64" i="1"/>
  <c r="X86" i="1"/>
  <c r="X8" i="1"/>
  <c r="X12" i="1"/>
  <c r="X16" i="1"/>
  <c r="X36" i="1"/>
  <c r="X42" i="1"/>
  <c r="X56" i="1"/>
  <c r="X62" i="1"/>
  <c r="X66" i="1"/>
  <c r="X80" i="1"/>
  <c r="X84" i="1"/>
  <c r="X88" i="1"/>
  <c r="AI93" i="1"/>
  <c r="X93" i="1"/>
  <c r="X91" i="1"/>
  <c r="AI91" i="1"/>
  <c r="AI81" i="1"/>
  <c r="X81" i="1"/>
  <c r="AI65" i="1"/>
  <c r="X65" i="1"/>
  <c r="X63" i="1"/>
  <c r="AI63" i="1"/>
  <c r="AI59" i="1"/>
  <c r="X59" i="1"/>
  <c r="AI45" i="1"/>
  <c r="X45" i="1"/>
  <c r="AI43" i="1"/>
  <c r="X43" i="1"/>
  <c r="AI41" i="1"/>
  <c r="X41" i="1"/>
  <c r="AI39" i="1"/>
  <c r="X39" i="1"/>
  <c r="AI29" i="1"/>
  <c r="X29" i="1"/>
  <c r="AI27" i="1"/>
  <c r="X27" i="1"/>
  <c r="AI25" i="1"/>
  <c r="X25" i="1"/>
  <c r="AI90" i="1"/>
  <c r="X90" i="1"/>
  <c r="R6" i="1"/>
  <c r="T6" i="1" s="1"/>
  <c r="Y93" i="1"/>
  <c r="Y91" i="1"/>
  <c r="R85" i="1"/>
  <c r="T85" i="1" s="1"/>
  <c r="R83" i="1"/>
  <c r="T83" i="1" s="1"/>
  <c r="R79" i="1"/>
  <c r="T79" i="1" s="1"/>
  <c r="R77" i="1"/>
  <c r="T77" i="1" s="1"/>
  <c r="R75" i="1"/>
  <c r="T75" i="1" s="1"/>
  <c r="R73" i="1"/>
  <c r="T73" i="1" s="1"/>
  <c r="R71" i="1"/>
  <c r="T71" i="1" s="1"/>
  <c r="R69" i="1"/>
  <c r="T69" i="1" s="1"/>
  <c r="R57" i="1"/>
  <c r="T57" i="1" s="1"/>
  <c r="R55" i="1"/>
  <c r="T55" i="1" s="1"/>
  <c r="R53" i="1"/>
  <c r="T53" i="1" s="1"/>
  <c r="R49" i="1"/>
  <c r="T49" i="1" s="1"/>
  <c r="R47" i="1"/>
  <c r="T47" i="1" s="1"/>
  <c r="R37" i="1"/>
  <c r="T37" i="1" s="1"/>
  <c r="R35" i="1"/>
  <c r="T35" i="1" s="1"/>
  <c r="R33" i="1"/>
  <c r="T33" i="1" s="1"/>
  <c r="R7" i="1"/>
  <c r="T7" i="1" s="1"/>
  <c r="R9" i="1"/>
  <c r="T9" i="1" s="1"/>
  <c r="R11" i="1"/>
  <c r="T11" i="1" s="1"/>
  <c r="R13" i="1"/>
  <c r="T13" i="1" s="1"/>
  <c r="R15" i="1"/>
  <c r="T15" i="1" s="1"/>
  <c r="R17" i="1"/>
  <c r="T17" i="1" s="1"/>
  <c r="R21" i="1"/>
  <c r="T21" i="1" s="1"/>
  <c r="R92" i="1"/>
  <c r="R94" i="1"/>
  <c r="T94" i="1" s="1"/>
  <c r="Y88" i="1"/>
  <c r="Y80" i="1"/>
  <c r="Y72" i="1"/>
  <c r="Y64" i="1"/>
  <c r="Y56" i="1"/>
  <c r="Y48" i="1"/>
  <c r="Y40" i="1"/>
  <c r="Y32" i="1"/>
  <c r="Y24" i="1"/>
  <c r="Y16" i="1"/>
  <c r="Y8" i="1"/>
  <c r="Y84" i="1"/>
  <c r="Y76" i="1"/>
  <c r="Y68" i="1"/>
  <c r="Y60" i="1"/>
  <c r="Y52" i="1"/>
  <c r="Y44" i="1"/>
  <c r="Y36" i="1"/>
  <c r="Y28" i="1"/>
  <c r="Y20" i="1"/>
  <c r="Y12" i="1"/>
  <c r="Y6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Y90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M5" i="1"/>
  <c r="K5" i="1"/>
  <c r="F5" i="1"/>
  <c r="E5" i="1"/>
  <c r="T92" i="1" l="1"/>
  <c r="X92" i="1" s="1"/>
  <c r="T14" i="1"/>
  <c r="T20" i="1"/>
  <c r="T24" i="1"/>
  <c r="T34" i="1"/>
  <c r="T46" i="1"/>
  <c r="T52" i="1"/>
  <c r="T54" i="1"/>
  <c r="T76" i="1"/>
  <c r="T78" i="1"/>
  <c r="AI94" i="1"/>
  <c r="X94" i="1"/>
  <c r="AI21" i="1"/>
  <c r="X21" i="1"/>
  <c r="AI15" i="1"/>
  <c r="X15" i="1"/>
  <c r="AI11" i="1"/>
  <c r="X11" i="1"/>
  <c r="AI7" i="1"/>
  <c r="X7" i="1"/>
  <c r="AI35" i="1"/>
  <c r="X35" i="1"/>
  <c r="AI47" i="1"/>
  <c r="X47" i="1"/>
  <c r="AI53" i="1"/>
  <c r="X53" i="1"/>
  <c r="AI57" i="1"/>
  <c r="X57" i="1"/>
  <c r="X71" i="1"/>
  <c r="AI71" i="1"/>
  <c r="AI75" i="1"/>
  <c r="X75" i="1"/>
  <c r="X79" i="1"/>
  <c r="AI79" i="1"/>
  <c r="AI85" i="1"/>
  <c r="X85" i="1"/>
  <c r="AI92" i="1"/>
  <c r="AI17" i="1"/>
  <c r="X17" i="1"/>
  <c r="AI13" i="1"/>
  <c r="X13" i="1"/>
  <c r="AI9" i="1"/>
  <c r="X9" i="1"/>
  <c r="AI33" i="1"/>
  <c r="X33" i="1"/>
  <c r="AI37" i="1"/>
  <c r="X37" i="1"/>
  <c r="AI49" i="1"/>
  <c r="X49" i="1"/>
  <c r="AI55" i="1"/>
  <c r="X55" i="1"/>
  <c r="AI69" i="1"/>
  <c r="X69" i="1"/>
  <c r="AI73" i="1"/>
  <c r="X73" i="1"/>
  <c r="AI77" i="1"/>
  <c r="X77" i="1"/>
  <c r="AI83" i="1"/>
  <c r="X83" i="1"/>
  <c r="AI6" i="1"/>
  <c r="X6" i="1"/>
  <c r="R5" i="1"/>
  <c r="L5" i="1"/>
  <c r="AI78" i="1" l="1"/>
  <c r="X78" i="1"/>
  <c r="AI54" i="1"/>
  <c r="X54" i="1"/>
  <c r="AI46" i="1"/>
  <c r="X46" i="1"/>
  <c r="AI24" i="1"/>
  <c r="X24" i="1"/>
  <c r="AI14" i="1"/>
  <c r="X14" i="1"/>
  <c r="T5" i="1"/>
  <c r="AI76" i="1"/>
  <c r="X76" i="1"/>
  <c r="AI52" i="1"/>
  <c r="X52" i="1"/>
  <c r="AI34" i="1"/>
  <c r="X34" i="1"/>
  <c r="AI20" i="1"/>
  <c r="X20" i="1"/>
  <c r="AI5" i="1" l="1"/>
</calcChain>
</file>

<file path=xl/sharedStrings.xml><?xml version="1.0" encoding="utf-8"?>
<sst xmlns="http://schemas.openxmlformats.org/spreadsheetml/2006/main" count="344" uniqueCount="144">
  <si>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</si>
  <si>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</si>
  <si>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</si>
  <si>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</si>
  <si>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</si>
  <si>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</si>
  <si>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</si>
  <si>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</si>
  <si>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</si>
  <si>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</si>
  <si>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</si>
  <si>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</si>
  <si>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</si>
  <si>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</si>
  <si>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</si>
  <si>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</si>
  <si>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</si>
  <si>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</si>
  <si>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</si>
  <si>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</si>
  <si>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</si>
  <si>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</si>
  <si>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</si>
  <si>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</si>
  <si>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</si>
  <si>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</si>
  <si>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</si>
  <si>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</si>
  <si>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</si>
  <si>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</si>
  <si>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</si>
  <si>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</si>
  <si>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</si>
  <si>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</si>
  <si>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</si>
  <si>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</si>
  <si>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</si>
  <si>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</si>
  <si>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</si>
  <si>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</si>
  <si>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</si>
  <si>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</si>
  <si>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</si>
  <si>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</si>
  <si>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</si>
  <si>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</si>
  <si>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</si>
  <si>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</si>
  <si>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</si>
  <si>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</si>
  <si>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</si>
  <si>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</si>
  <si>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</si>
  <si>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</si>
  <si>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</si>
  <si>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</si>
  <si>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</si>
  <si>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</si>
  <si>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</si>
  <si>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</si>
  <si>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</si>
  <si>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</si>
  <si>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</si>
  <si>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</si>
  <si>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</si>
  <si>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</si>
  <si>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</si>
  <si>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</si>
  <si>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</si>
  <si>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</si>
  <si>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</si>
  <si>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</si>
  <si>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</si>
  <si>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</si>
  <si>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</si>
  <si>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</si>
  <si>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</si>
  <si>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</si>
  <si>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</si>
  <si>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</si>
  <si>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</si>
  <si>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</si>
  <si>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</si>
  <si>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</si>
  <si>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</si>
  <si>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</si>
  <si>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</si>
  <si>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</si>
  <si>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</si>
  <si>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</si>
  <si>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</si>
  <si>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</si>
  <si>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</si>
  <si>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</si>
  <si>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</si>
  <si>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</si>
  <si>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</si>
  <si>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</si>
  <si>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</si>
  <si>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</si>
  <si>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</si>
  <si>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</si>
  <si>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</si>
  <si>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</si>
  <si>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</si>
  <si>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</si>
  <si>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</si>
  <si>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</si>
  <si>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</si>
  <si>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</si>
  <si>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</si>
  <si>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</si>
  <si>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</si>
  <si>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</si>
  <si>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</si>
  <si>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</si>
  <si>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</si>
  <si>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</si>
  <si>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</si>
  <si>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</si>
  <si>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</si>
  <si>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</si>
  <si>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</si>
  <si>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</si>
  <si>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</si>
  <si>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</si>
  <si>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</si>
  <si>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</si>
  <si>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</si>
  <si>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</si>
  <si>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</si>
  <si>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</si>
  <si>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</si>
  <si>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</si>
  <si>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</si>
  <si>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</si>
  <si>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</si>
  <si>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</si>
  <si>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</si>
  <si>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</si>
  <si>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продажи / перемещение из Донецка 60кг</t>
  </si>
  <si>
    <t>до машины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</si>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</sst>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7" style="20" customWidth="1"/>
    <col min="21" max="21" width="7" customWidth="1"/>
    <col min="22" max="22" width="12.7109375" customWidth="1"/>
    <col min="23" max="23" width="7" customWidth="1"/>
    <col min="24" max="25" width="5" customWidth="1"/>
    <col min="26" max="33" width="6" customWidth="1"/>
    <col min="34" max="34" width="33.1406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>
        <v>0.4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141</v>
      </c>
      <c r="T3" s="3" t="s">
        <v>142</v>
      </c>
      <c r="U3" s="7" t="s">
        <v>17</v>
      </c>
      <c r="V3" s="7" t="s">
        <v>18</v>
      </c>
      <c r="W3" s="2" t="s">
        <v>139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143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41022.672999999995</v>
      </c>
      <c r="F5" s="4">
        <f>SUM(F6:F499)</f>
        <v>52090.385000000002</v>
      </c>
      <c r="G5" s="8"/>
      <c r="H5" s="1"/>
      <c r="I5" s="1"/>
      <c r="J5" s="1"/>
      <c r="K5" s="4">
        <f t="shared" ref="K5:U5" si="0">SUM(K6:K499)</f>
        <v>43412.053</v>
      </c>
      <c r="L5" s="4">
        <f t="shared" si="0"/>
        <v>-2389.3800000000019</v>
      </c>
      <c r="M5" s="4">
        <f t="shared" si="0"/>
        <v>39965.416000000005</v>
      </c>
      <c r="N5" s="4">
        <f t="shared" si="0"/>
        <v>1057.2569999999998</v>
      </c>
      <c r="O5" s="4">
        <f t="shared" si="0"/>
        <v>7156.350449999999</v>
      </c>
      <c r="P5" s="4">
        <f t="shared" si="0"/>
        <v>27362.381140000005</v>
      </c>
      <c r="Q5" s="4">
        <f t="shared" si="0"/>
        <v>7993.0832</v>
      </c>
      <c r="R5" s="4">
        <f t="shared" si="0"/>
        <v>20173.140319999999</v>
      </c>
      <c r="S5" s="4">
        <f t="shared" ref="S5" si="1">SUM(S6:S499)</f>
        <v>1423.1177599999999</v>
      </c>
      <c r="T5" s="4">
        <f t="shared" ref="T5" si="2">SUM(T6:T499)</f>
        <v>21596.25808</v>
      </c>
      <c r="U5" s="4">
        <f t="shared" si="0"/>
        <v>0</v>
      </c>
      <c r="V5" s="1"/>
      <c r="W5" s="4">
        <f>SUM(W6:W499)</f>
        <v>0</v>
      </c>
      <c r="X5" s="1"/>
      <c r="Y5" s="1"/>
      <c r="Z5" s="4">
        <f t="shared" ref="Z5:AG5" si="3">SUM(Z6:Z499)</f>
        <v>7797.6295999999966</v>
      </c>
      <c r="AA5" s="4">
        <f t="shared" si="3"/>
        <v>7546.3587999999991</v>
      </c>
      <c r="AB5" s="4">
        <f t="shared" si="3"/>
        <v>7606.0971999999992</v>
      </c>
      <c r="AC5" s="4">
        <f t="shared" si="3"/>
        <v>7269.5209999999979</v>
      </c>
      <c r="AD5" s="4">
        <f t="shared" si="3"/>
        <v>7225.3923999999988</v>
      </c>
      <c r="AE5" s="4">
        <f t="shared" si="3"/>
        <v>7719.581799999999</v>
      </c>
      <c r="AF5" s="4">
        <f t="shared" si="3"/>
        <v>7511.7746000000025</v>
      </c>
      <c r="AG5" s="4">
        <f t="shared" si="3"/>
        <v>7354.9609999999975</v>
      </c>
      <c r="AH5" s="1"/>
      <c r="AI5" s="4">
        <f>SUM(AI6:AI499)</f>
        <v>15438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1580.7470000000001</v>
      </c>
      <c r="D6" s="1">
        <v>1020.917</v>
      </c>
      <c r="E6" s="1">
        <v>1123.3679999999999</v>
      </c>
      <c r="F6" s="1">
        <v>1363.021</v>
      </c>
      <c r="G6" s="8">
        <v>1</v>
      </c>
      <c r="H6" s="1">
        <v>50</v>
      </c>
      <c r="I6" s="1" t="s">
        <v>37</v>
      </c>
      <c r="J6" s="1"/>
      <c r="K6" s="1">
        <v>1176.4179999999999</v>
      </c>
      <c r="L6" s="1">
        <f t="shared" ref="L6:L37" si="4">E6-K6</f>
        <v>-53.049999999999955</v>
      </c>
      <c r="M6" s="1">
        <f>E6-N6</f>
        <v>1058.6399999999999</v>
      </c>
      <c r="N6" s="1">
        <v>64.727999999999994</v>
      </c>
      <c r="O6" s="1">
        <v>433.54979999999989</v>
      </c>
      <c r="P6" s="1">
        <v>387.38174000000089</v>
      </c>
      <c r="Q6" s="1">
        <f>M6/5</f>
        <v>211.72799999999998</v>
      </c>
      <c r="R6" s="5">
        <f>14*Q6-P6-O6-F6</f>
        <v>780.2394599999991</v>
      </c>
      <c r="S6" s="5">
        <f>$S$1*Q6</f>
        <v>84.691199999999995</v>
      </c>
      <c r="T6" s="5">
        <f>S6+R6</f>
        <v>864.93065999999908</v>
      </c>
      <c r="U6" s="5"/>
      <c r="V6" s="1"/>
      <c r="W6" s="1"/>
      <c r="X6" s="1">
        <f>(F6+O6+P6+T6)/Q6</f>
        <v>14.4</v>
      </c>
      <c r="Y6" s="1">
        <f>(F6+O6+P6)/Q6</f>
        <v>10.31489713216958</v>
      </c>
      <c r="Z6" s="1">
        <v>200.25479999999999</v>
      </c>
      <c r="AA6" s="1">
        <v>192.68879999999999</v>
      </c>
      <c r="AB6" s="1">
        <v>182.98179999999999</v>
      </c>
      <c r="AC6" s="1">
        <v>190.1738</v>
      </c>
      <c r="AD6" s="1">
        <v>194.68440000000001</v>
      </c>
      <c r="AE6" s="1">
        <v>180.22620000000001</v>
      </c>
      <c r="AF6" s="1">
        <v>175.9058</v>
      </c>
      <c r="AG6" s="1">
        <v>180.18299999999999</v>
      </c>
      <c r="AH6" s="1"/>
      <c r="AI6" s="1">
        <f>ROUND(G6*T6,0)</f>
        <v>865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406.47800000000001</v>
      </c>
      <c r="D7" s="1">
        <v>594.49400000000003</v>
      </c>
      <c r="E7" s="1">
        <v>314.221</v>
      </c>
      <c r="F7" s="1">
        <v>645.87699999999995</v>
      </c>
      <c r="G7" s="8">
        <v>1</v>
      </c>
      <c r="H7" s="1">
        <v>45</v>
      </c>
      <c r="I7" s="1" t="s">
        <v>37</v>
      </c>
      <c r="J7" s="1"/>
      <c r="K7" s="1">
        <v>359.93599999999998</v>
      </c>
      <c r="L7" s="1">
        <f t="shared" si="4"/>
        <v>-45.714999999999975</v>
      </c>
      <c r="M7" s="1">
        <f t="shared" ref="M7:M70" si="5">E7-N7</f>
        <v>303.48099999999999</v>
      </c>
      <c r="N7" s="1">
        <v>10.74</v>
      </c>
      <c r="O7" s="1"/>
      <c r="P7" s="1">
        <v>36.929380000000151</v>
      </c>
      <c r="Q7" s="1">
        <f t="shared" ref="Q7:Q70" si="6">M7/5</f>
        <v>60.696199999999997</v>
      </c>
      <c r="R7" s="5">
        <f t="shared" ref="R7:R24" si="7">14*Q7-P7-O7-F7</f>
        <v>166.9404199999999</v>
      </c>
      <c r="S7" s="5"/>
      <c r="T7" s="5">
        <f t="shared" ref="T7:T70" si="8">S7+R7</f>
        <v>166.9404199999999</v>
      </c>
      <c r="U7" s="5"/>
      <c r="V7" s="1"/>
      <c r="W7" s="1"/>
      <c r="X7" s="1">
        <f t="shared" ref="X7:X70" si="9">(F7+O7+P7+T7)/Q7</f>
        <v>14</v>
      </c>
      <c r="Y7" s="1">
        <f t="shared" ref="Y7:Y70" si="10">(F7+O7+P7)/Q7</f>
        <v>11.249573778918617</v>
      </c>
      <c r="Z7" s="1">
        <v>58.614400000000003</v>
      </c>
      <c r="AA7" s="1">
        <v>66.862399999999994</v>
      </c>
      <c r="AB7" s="1">
        <v>67.287199999999999</v>
      </c>
      <c r="AC7" s="1">
        <v>52.376600000000003</v>
      </c>
      <c r="AD7" s="1">
        <v>52.968800000000002</v>
      </c>
      <c r="AE7" s="1">
        <v>62.610799999999998</v>
      </c>
      <c r="AF7" s="1">
        <v>57.118200000000002</v>
      </c>
      <c r="AG7" s="1">
        <v>54.552399999999999</v>
      </c>
      <c r="AH7" s="1"/>
      <c r="AI7" s="1">
        <f t="shared" ref="AI7:AI70" si="11">ROUND(G7*T7,0)</f>
        <v>167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314.149</v>
      </c>
      <c r="D8" s="1">
        <v>638.26900000000001</v>
      </c>
      <c r="E8" s="1">
        <v>375.77</v>
      </c>
      <c r="F8" s="1">
        <v>525.08799999999997</v>
      </c>
      <c r="G8" s="8">
        <v>1</v>
      </c>
      <c r="H8" s="1">
        <v>45</v>
      </c>
      <c r="I8" s="1" t="s">
        <v>37</v>
      </c>
      <c r="J8" s="1"/>
      <c r="K8" s="1">
        <v>427.20800000000003</v>
      </c>
      <c r="L8" s="1">
        <f t="shared" si="4"/>
        <v>-51.438000000000045</v>
      </c>
      <c r="M8" s="1">
        <f t="shared" si="5"/>
        <v>343.05599999999998</v>
      </c>
      <c r="N8" s="1">
        <v>32.713999999999999</v>
      </c>
      <c r="O8" s="1"/>
      <c r="P8" s="1">
        <v>164.68356999999989</v>
      </c>
      <c r="Q8" s="1">
        <f t="shared" si="6"/>
        <v>68.611199999999997</v>
      </c>
      <c r="R8" s="5">
        <f t="shared" si="7"/>
        <v>270.78523000000007</v>
      </c>
      <c r="S8" s="5"/>
      <c r="T8" s="5">
        <f t="shared" si="8"/>
        <v>270.78523000000007</v>
      </c>
      <c r="U8" s="5"/>
      <c r="V8" s="1"/>
      <c r="W8" s="1"/>
      <c r="X8" s="1">
        <f t="shared" si="9"/>
        <v>14</v>
      </c>
      <c r="Y8" s="1">
        <f t="shared" si="10"/>
        <v>10.053337793246582</v>
      </c>
      <c r="Z8" s="1">
        <v>63.823799999999991</v>
      </c>
      <c r="AA8" s="1">
        <v>70.787999999999997</v>
      </c>
      <c r="AB8" s="1">
        <v>69.325199999999995</v>
      </c>
      <c r="AC8" s="1">
        <v>55.6494</v>
      </c>
      <c r="AD8" s="1">
        <v>53.993599999999986</v>
      </c>
      <c r="AE8" s="1">
        <v>58.798799999999993</v>
      </c>
      <c r="AF8" s="1">
        <v>60.416600000000003</v>
      </c>
      <c r="AG8" s="1">
        <v>59.241399999999999</v>
      </c>
      <c r="AH8" s="1"/>
      <c r="AI8" s="1">
        <f t="shared" si="11"/>
        <v>271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636</v>
      </c>
      <c r="D9" s="1">
        <v>366</v>
      </c>
      <c r="E9" s="1">
        <v>449.03800000000001</v>
      </c>
      <c r="F9" s="1">
        <v>518.96199999999999</v>
      </c>
      <c r="G9" s="8">
        <v>0.45</v>
      </c>
      <c r="H9" s="1">
        <v>45</v>
      </c>
      <c r="I9" s="1" t="s">
        <v>37</v>
      </c>
      <c r="J9" s="1"/>
      <c r="K9" s="1">
        <v>477</v>
      </c>
      <c r="L9" s="1">
        <f t="shared" si="4"/>
        <v>-27.961999999999989</v>
      </c>
      <c r="M9" s="1">
        <f t="shared" si="5"/>
        <v>449.03800000000001</v>
      </c>
      <c r="N9" s="1"/>
      <c r="O9" s="1"/>
      <c r="P9" s="1">
        <v>520.55800000000011</v>
      </c>
      <c r="Q9" s="1">
        <f t="shared" si="6"/>
        <v>89.807600000000008</v>
      </c>
      <c r="R9" s="5">
        <f t="shared" si="7"/>
        <v>217.78640000000007</v>
      </c>
      <c r="S9" s="5"/>
      <c r="T9" s="5">
        <f t="shared" si="8"/>
        <v>217.78640000000007</v>
      </c>
      <c r="U9" s="5"/>
      <c r="V9" s="1"/>
      <c r="W9" s="1"/>
      <c r="X9" s="1">
        <f t="shared" si="9"/>
        <v>13.999999999999998</v>
      </c>
      <c r="Y9" s="1">
        <f t="shared" si="10"/>
        <v>11.574966929302196</v>
      </c>
      <c r="Z9" s="1">
        <v>90.4</v>
      </c>
      <c r="AA9" s="1">
        <v>87.2</v>
      </c>
      <c r="AB9" s="1">
        <v>82</v>
      </c>
      <c r="AC9" s="1">
        <v>78</v>
      </c>
      <c r="AD9" s="1">
        <v>74.599999999999994</v>
      </c>
      <c r="AE9" s="1">
        <v>90.8</v>
      </c>
      <c r="AF9" s="1">
        <v>88</v>
      </c>
      <c r="AG9" s="1">
        <v>90.6</v>
      </c>
      <c r="AH9" s="1"/>
      <c r="AI9" s="1">
        <f t="shared" si="11"/>
        <v>98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41</v>
      </c>
      <c r="C10" s="1">
        <v>1433</v>
      </c>
      <c r="D10" s="1">
        <v>373</v>
      </c>
      <c r="E10" s="1">
        <v>998</v>
      </c>
      <c r="F10" s="1">
        <v>664</v>
      </c>
      <c r="G10" s="8">
        <v>0.45</v>
      </c>
      <c r="H10" s="1">
        <v>45</v>
      </c>
      <c r="I10" s="1" t="s">
        <v>37</v>
      </c>
      <c r="J10" s="1"/>
      <c r="K10" s="1">
        <v>1025</v>
      </c>
      <c r="L10" s="1">
        <f t="shared" si="4"/>
        <v>-27</v>
      </c>
      <c r="M10" s="1">
        <f t="shared" si="5"/>
        <v>998</v>
      </c>
      <c r="N10" s="1"/>
      <c r="O10" s="1"/>
      <c r="P10" s="1">
        <v>1196.53</v>
      </c>
      <c r="Q10" s="1">
        <f t="shared" si="6"/>
        <v>199.6</v>
      </c>
      <c r="R10" s="5">
        <f t="shared" si="7"/>
        <v>933.87000000000012</v>
      </c>
      <c r="S10" s="5"/>
      <c r="T10" s="5">
        <f t="shared" si="8"/>
        <v>933.87000000000012</v>
      </c>
      <c r="U10" s="5"/>
      <c r="V10" s="1"/>
      <c r="W10" s="1"/>
      <c r="X10" s="1">
        <f t="shared" si="9"/>
        <v>14</v>
      </c>
      <c r="Y10" s="1">
        <f t="shared" si="10"/>
        <v>9.3212925851703403</v>
      </c>
      <c r="Z10" s="1">
        <v>182.6</v>
      </c>
      <c r="AA10" s="1">
        <v>152.4</v>
      </c>
      <c r="AB10" s="1">
        <v>158</v>
      </c>
      <c r="AC10" s="1">
        <v>172.4</v>
      </c>
      <c r="AD10" s="1">
        <v>171.4</v>
      </c>
      <c r="AE10" s="1">
        <v>172.4</v>
      </c>
      <c r="AF10" s="1">
        <v>155.4</v>
      </c>
      <c r="AG10" s="1">
        <v>147.80000000000001</v>
      </c>
      <c r="AH10" s="1"/>
      <c r="AI10" s="1">
        <f t="shared" si="11"/>
        <v>420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41</v>
      </c>
      <c r="C11" s="1">
        <v>95</v>
      </c>
      <c r="D11" s="1">
        <v>121</v>
      </c>
      <c r="E11" s="1">
        <v>147</v>
      </c>
      <c r="F11" s="1">
        <v>54</v>
      </c>
      <c r="G11" s="8">
        <v>0.17</v>
      </c>
      <c r="H11" s="1">
        <v>180</v>
      </c>
      <c r="I11" s="1" t="s">
        <v>37</v>
      </c>
      <c r="J11" s="1"/>
      <c r="K11" s="1">
        <v>149</v>
      </c>
      <c r="L11" s="1">
        <f t="shared" si="4"/>
        <v>-2</v>
      </c>
      <c r="M11" s="1">
        <f t="shared" si="5"/>
        <v>147</v>
      </c>
      <c r="N11" s="1"/>
      <c r="O11" s="1"/>
      <c r="P11" s="1">
        <v>177.14</v>
      </c>
      <c r="Q11" s="1">
        <f t="shared" si="6"/>
        <v>29.4</v>
      </c>
      <c r="R11" s="5">
        <f t="shared" si="7"/>
        <v>180.45999999999998</v>
      </c>
      <c r="S11" s="5"/>
      <c r="T11" s="5">
        <f t="shared" si="8"/>
        <v>180.45999999999998</v>
      </c>
      <c r="U11" s="5"/>
      <c r="V11" s="1"/>
      <c r="W11" s="1"/>
      <c r="X11" s="1">
        <f t="shared" si="9"/>
        <v>14</v>
      </c>
      <c r="Y11" s="1">
        <f t="shared" si="10"/>
        <v>7.8619047619047615</v>
      </c>
      <c r="Z11" s="1">
        <v>22.8</v>
      </c>
      <c r="AA11" s="1">
        <v>17.399999999999999</v>
      </c>
      <c r="AB11" s="1">
        <v>17.2</v>
      </c>
      <c r="AC11" s="1">
        <v>10.8</v>
      </c>
      <c r="AD11" s="1">
        <v>14.6</v>
      </c>
      <c r="AE11" s="1">
        <v>19.399999999999999</v>
      </c>
      <c r="AF11" s="1">
        <v>12.8</v>
      </c>
      <c r="AG11" s="1">
        <v>9.1999999999999993</v>
      </c>
      <c r="AH11" s="1"/>
      <c r="AI11" s="1">
        <f t="shared" si="11"/>
        <v>31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41</v>
      </c>
      <c r="C12" s="1">
        <v>50</v>
      </c>
      <c r="D12" s="1">
        <v>336</v>
      </c>
      <c r="E12" s="1">
        <v>180</v>
      </c>
      <c r="F12" s="1">
        <v>203</v>
      </c>
      <c r="G12" s="8">
        <v>0.3</v>
      </c>
      <c r="H12" s="1">
        <v>40</v>
      </c>
      <c r="I12" s="1" t="s">
        <v>37</v>
      </c>
      <c r="J12" s="1"/>
      <c r="K12" s="1">
        <v>242</v>
      </c>
      <c r="L12" s="1">
        <f t="shared" si="4"/>
        <v>-62</v>
      </c>
      <c r="M12" s="1">
        <f t="shared" si="5"/>
        <v>180</v>
      </c>
      <c r="N12" s="1"/>
      <c r="O12" s="1"/>
      <c r="P12" s="1">
        <v>201.66</v>
      </c>
      <c r="Q12" s="1">
        <f t="shared" si="6"/>
        <v>36</v>
      </c>
      <c r="R12" s="5">
        <f>12*Q12-P12-O12-F12</f>
        <v>27.340000000000003</v>
      </c>
      <c r="S12" s="5"/>
      <c r="T12" s="5">
        <f t="shared" si="8"/>
        <v>27.340000000000003</v>
      </c>
      <c r="U12" s="5"/>
      <c r="V12" s="1"/>
      <c r="W12" s="1"/>
      <c r="X12" s="1">
        <f t="shared" si="9"/>
        <v>12</v>
      </c>
      <c r="Y12" s="1">
        <f t="shared" si="10"/>
        <v>11.240555555555554</v>
      </c>
      <c r="Z12" s="1">
        <v>37.200000000000003</v>
      </c>
      <c r="AA12" s="1">
        <v>33.799999999999997</v>
      </c>
      <c r="AB12" s="1">
        <v>37.6</v>
      </c>
      <c r="AC12" s="1">
        <v>34.4</v>
      </c>
      <c r="AD12" s="1">
        <v>18.399999999999999</v>
      </c>
      <c r="AE12" s="1">
        <v>32.200000000000003</v>
      </c>
      <c r="AF12" s="1">
        <v>32</v>
      </c>
      <c r="AG12" s="1">
        <v>18.8</v>
      </c>
      <c r="AH12" s="1"/>
      <c r="AI12" s="1">
        <f t="shared" si="11"/>
        <v>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41</v>
      </c>
      <c r="C13" s="1">
        <v>262</v>
      </c>
      <c r="D13" s="1">
        <v>346</v>
      </c>
      <c r="E13" s="1">
        <v>347</v>
      </c>
      <c r="F13" s="1">
        <v>256</v>
      </c>
      <c r="G13" s="8">
        <v>0.17</v>
      </c>
      <c r="H13" s="1">
        <v>180</v>
      </c>
      <c r="I13" s="1" t="s">
        <v>37</v>
      </c>
      <c r="J13" s="1"/>
      <c r="K13" s="1">
        <v>349</v>
      </c>
      <c r="L13" s="1">
        <f t="shared" si="4"/>
        <v>-2</v>
      </c>
      <c r="M13" s="1">
        <f t="shared" si="5"/>
        <v>347</v>
      </c>
      <c r="N13" s="1"/>
      <c r="O13" s="1">
        <v>108.45</v>
      </c>
      <c r="P13" s="1">
        <v>495.74999999999989</v>
      </c>
      <c r="Q13" s="1">
        <f t="shared" si="6"/>
        <v>69.400000000000006</v>
      </c>
      <c r="R13" s="5">
        <f t="shared" si="7"/>
        <v>111.40000000000026</v>
      </c>
      <c r="S13" s="5">
        <f t="shared" ref="S13:S15" si="12">$S$1*Q13</f>
        <v>27.760000000000005</v>
      </c>
      <c r="T13" s="5">
        <f t="shared" si="8"/>
        <v>139.16000000000025</v>
      </c>
      <c r="U13" s="5"/>
      <c r="V13" s="1"/>
      <c r="W13" s="1"/>
      <c r="X13" s="1">
        <f t="shared" si="9"/>
        <v>14.4</v>
      </c>
      <c r="Y13" s="1">
        <f t="shared" si="10"/>
        <v>12.394812680115271</v>
      </c>
      <c r="Z13" s="1">
        <v>72</v>
      </c>
      <c r="AA13" s="1">
        <v>48.2</v>
      </c>
      <c r="AB13" s="1">
        <v>39.799999999999997</v>
      </c>
      <c r="AC13" s="1">
        <v>45.4</v>
      </c>
      <c r="AD13" s="1">
        <v>43.6</v>
      </c>
      <c r="AE13" s="1">
        <v>37.799999999999997</v>
      </c>
      <c r="AF13" s="1">
        <v>40.4</v>
      </c>
      <c r="AG13" s="1">
        <v>45.8</v>
      </c>
      <c r="AH13" s="1"/>
      <c r="AI13" s="1">
        <f t="shared" si="11"/>
        <v>24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36</v>
      </c>
      <c r="C14" s="1">
        <v>1016.898</v>
      </c>
      <c r="D14" s="1">
        <v>779.59900000000005</v>
      </c>
      <c r="E14" s="1">
        <v>727.16</v>
      </c>
      <c r="F14" s="1">
        <v>1042.973</v>
      </c>
      <c r="G14" s="8">
        <v>1</v>
      </c>
      <c r="H14" s="1">
        <v>55</v>
      </c>
      <c r="I14" s="1" t="s">
        <v>37</v>
      </c>
      <c r="J14" s="1"/>
      <c r="K14" s="1">
        <v>710.54700000000003</v>
      </c>
      <c r="L14" s="1">
        <f t="shared" si="4"/>
        <v>16.612999999999943</v>
      </c>
      <c r="M14" s="1">
        <f t="shared" si="5"/>
        <v>727.16</v>
      </c>
      <c r="N14" s="1"/>
      <c r="O14" s="1">
        <v>312.82515000000001</v>
      </c>
      <c r="P14" s="1">
        <v>188.4192500000004</v>
      </c>
      <c r="Q14" s="1">
        <f t="shared" si="6"/>
        <v>145.43199999999999</v>
      </c>
      <c r="R14" s="5">
        <f t="shared" si="7"/>
        <v>491.83059999999932</v>
      </c>
      <c r="S14" s="5">
        <f t="shared" si="12"/>
        <v>58.172799999999995</v>
      </c>
      <c r="T14" s="5">
        <f t="shared" si="8"/>
        <v>550.00339999999937</v>
      </c>
      <c r="U14" s="5"/>
      <c r="V14" s="1"/>
      <c r="W14" s="1"/>
      <c r="X14" s="1">
        <f t="shared" si="9"/>
        <v>14.400000000000002</v>
      </c>
      <c r="Y14" s="1">
        <f t="shared" si="10"/>
        <v>10.618140436767703</v>
      </c>
      <c r="Z14" s="1">
        <v>135.30840000000001</v>
      </c>
      <c r="AA14" s="1">
        <v>139.0334</v>
      </c>
      <c r="AB14" s="1">
        <v>130.6772</v>
      </c>
      <c r="AC14" s="1">
        <v>112.2272</v>
      </c>
      <c r="AD14" s="1">
        <v>116.54940000000001</v>
      </c>
      <c r="AE14" s="1">
        <v>129.6788</v>
      </c>
      <c r="AF14" s="1">
        <v>130.35839999999999</v>
      </c>
      <c r="AG14" s="1">
        <v>126.96040000000001</v>
      </c>
      <c r="AH14" s="1" t="s">
        <v>47</v>
      </c>
      <c r="AI14" s="1">
        <f t="shared" si="11"/>
        <v>550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36</v>
      </c>
      <c r="C15" s="1">
        <v>3406.4949999999999</v>
      </c>
      <c r="D15" s="1">
        <v>2411.5360000000001</v>
      </c>
      <c r="E15" s="1">
        <v>2276.5479999999998</v>
      </c>
      <c r="F15" s="1">
        <v>3359.91</v>
      </c>
      <c r="G15" s="8">
        <v>1</v>
      </c>
      <c r="H15" s="1">
        <v>50</v>
      </c>
      <c r="I15" s="1" t="s">
        <v>37</v>
      </c>
      <c r="J15" s="1"/>
      <c r="K15" s="1">
        <v>2549.0500000000002</v>
      </c>
      <c r="L15" s="1">
        <f t="shared" si="4"/>
        <v>-272.50200000000041</v>
      </c>
      <c r="M15" s="1">
        <f t="shared" si="5"/>
        <v>2276.5479999999998</v>
      </c>
      <c r="N15" s="1"/>
      <c r="O15" s="1">
        <v>981.55799999999988</v>
      </c>
      <c r="P15" s="1">
        <v>906.41700000000003</v>
      </c>
      <c r="Q15" s="1">
        <f t="shared" si="6"/>
        <v>455.30959999999993</v>
      </c>
      <c r="R15" s="5">
        <f t="shared" si="7"/>
        <v>1126.4493999999986</v>
      </c>
      <c r="S15" s="5">
        <f t="shared" si="12"/>
        <v>182.12383999999997</v>
      </c>
      <c r="T15" s="5">
        <f t="shared" si="8"/>
        <v>1308.5732399999986</v>
      </c>
      <c r="U15" s="5"/>
      <c r="V15" s="1"/>
      <c r="W15" s="1"/>
      <c r="X15" s="1">
        <f t="shared" si="9"/>
        <v>14.4</v>
      </c>
      <c r="Y15" s="1">
        <f t="shared" si="10"/>
        <v>11.52597046053938</v>
      </c>
      <c r="Z15" s="1">
        <v>452.64479999999998</v>
      </c>
      <c r="AA15" s="1">
        <v>436.24799999999988</v>
      </c>
      <c r="AB15" s="1">
        <v>444.14880000000011</v>
      </c>
      <c r="AC15" s="1">
        <v>413.01400000000001</v>
      </c>
      <c r="AD15" s="1">
        <v>390.86860000000001</v>
      </c>
      <c r="AE15" s="1">
        <v>403.22340000000003</v>
      </c>
      <c r="AF15" s="1">
        <v>416.09780000000001</v>
      </c>
      <c r="AG15" s="1">
        <v>445.02620000000002</v>
      </c>
      <c r="AH15" s="1" t="s">
        <v>47</v>
      </c>
      <c r="AI15" s="1">
        <f t="shared" si="11"/>
        <v>1309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36</v>
      </c>
      <c r="C16" s="1">
        <v>120.03100000000001</v>
      </c>
      <c r="D16" s="1">
        <v>215.82599999999999</v>
      </c>
      <c r="E16" s="1">
        <v>168.22</v>
      </c>
      <c r="F16" s="1">
        <v>166.75200000000001</v>
      </c>
      <c r="G16" s="8">
        <v>1</v>
      </c>
      <c r="H16" s="1">
        <v>60</v>
      </c>
      <c r="I16" s="1" t="s">
        <v>37</v>
      </c>
      <c r="J16" s="1"/>
      <c r="K16" s="1">
        <v>182.036</v>
      </c>
      <c r="L16" s="1">
        <f t="shared" si="4"/>
        <v>-13.816000000000003</v>
      </c>
      <c r="M16" s="1">
        <f t="shared" si="5"/>
        <v>168.22</v>
      </c>
      <c r="N16" s="1"/>
      <c r="O16" s="1"/>
      <c r="P16" s="1">
        <v>183.95204000000001</v>
      </c>
      <c r="Q16" s="1">
        <f t="shared" si="6"/>
        <v>33.643999999999998</v>
      </c>
      <c r="R16" s="5">
        <f t="shared" si="7"/>
        <v>120.31195999999994</v>
      </c>
      <c r="S16" s="5"/>
      <c r="T16" s="5">
        <f t="shared" si="8"/>
        <v>120.31195999999994</v>
      </c>
      <c r="U16" s="5"/>
      <c r="V16" s="1"/>
      <c r="W16" s="1"/>
      <c r="X16" s="1">
        <f t="shared" si="9"/>
        <v>14</v>
      </c>
      <c r="Y16" s="1">
        <f t="shared" si="10"/>
        <v>10.423969801450482</v>
      </c>
      <c r="Z16" s="1">
        <v>31.352799999999998</v>
      </c>
      <c r="AA16" s="1">
        <v>28.491</v>
      </c>
      <c r="AB16" s="1">
        <v>23.248799999999999</v>
      </c>
      <c r="AC16" s="1">
        <v>25.207599999999999</v>
      </c>
      <c r="AD16" s="1">
        <v>27.665600000000001</v>
      </c>
      <c r="AE16" s="1">
        <v>32.453600000000002</v>
      </c>
      <c r="AF16" s="1">
        <v>25.558800000000002</v>
      </c>
      <c r="AG16" s="1">
        <v>23.914400000000001</v>
      </c>
      <c r="AH16" s="1"/>
      <c r="AI16" s="1">
        <f t="shared" si="11"/>
        <v>120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36</v>
      </c>
      <c r="C17" s="1">
        <v>1608.4179999999999</v>
      </c>
      <c r="D17" s="1">
        <v>2166.297</v>
      </c>
      <c r="E17" s="1">
        <v>1423.6890000000001</v>
      </c>
      <c r="F17" s="1">
        <v>2299.11</v>
      </c>
      <c r="G17" s="8">
        <v>1</v>
      </c>
      <c r="H17" s="1">
        <v>60</v>
      </c>
      <c r="I17" s="1" t="s">
        <v>37</v>
      </c>
      <c r="J17" s="1"/>
      <c r="K17" s="1">
        <v>1465.6</v>
      </c>
      <c r="L17" s="1">
        <f t="shared" si="4"/>
        <v>-41.910999999999831</v>
      </c>
      <c r="M17" s="1">
        <f t="shared" si="5"/>
        <v>1423.6890000000001</v>
      </c>
      <c r="N17" s="1"/>
      <c r="O17" s="1">
        <v>632.22659999999996</v>
      </c>
      <c r="P17" s="1">
        <v>268.04285000000039</v>
      </c>
      <c r="Q17" s="1">
        <f t="shared" si="6"/>
        <v>284.73779999999999</v>
      </c>
      <c r="R17" s="5">
        <f t="shared" si="7"/>
        <v>786.94974999999977</v>
      </c>
      <c r="S17" s="5">
        <f>$S$1*Q17</f>
        <v>113.89512000000001</v>
      </c>
      <c r="T17" s="5">
        <f t="shared" si="8"/>
        <v>900.84486999999979</v>
      </c>
      <c r="U17" s="5"/>
      <c r="V17" s="1"/>
      <c r="W17" s="1"/>
      <c r="X17" s="1">
        <f t="shared" si="9"/>
        <v>14.400000000000002</v>
      </c>
      <c r="Y17" s="1">
        <f t="shared" si="10"/>
        <v>11.23623013874519</v>
      </c>
      <c r="Z17" s="1">
        <v>281.13060000000002</v>
      </c>
      <c r="AA17" s="1">
        <v>280.9896</v>
      </c>
      <c r="AB17" s="1">
        <v>285.08960000000002</v>
      </c>
      <c r="AC17" s="1">
        <v>233.15700000000001</v>
      </c>
      <c r="AD17" s="1">
        <v>214.32320000000001</v>
      </c>
      <c r="AE17" s="1">
        <v>252.369</v>
      </c>
      <c r="AF17" s="1">
        <v>234.47559999999999</v>
      </c>
      <c r="AG17" s="1">
        <v>238.43379999999999</v>
      </c>
      <c r="AH17" s="1"/>
      <c r="AI17" s="1">
        <f t="shared" si="11"/>
        <v>901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36</v>
      </c>
      <c r="C18" s="1">
        <v>116.49299999999999</v>
      </c>
      <c r="D18" s="1">
        <v>130.398</v>
      </c>
      <c r="E18" s="1">
        <v>134.898</v>
      </c>
      <c r="F18" s="1">
        <v>101.41800000000001</v>
      </c>
      <c r="G18" s="8">
        <v>1</v>
      </c>
      <c r="H18" s="1">
        <v>60</v>
      </c>
      <c r="I18" s="1" t="s">
        <v>37</v>
      </c>
      <c r="J18" s="1"/>
      <c r="K18" s="1">
        <v>136.749</v>
      </c>
      <c r="L18" s="1">
        <f t="shared" si="4"/>
        <v>-1.8509999999999991</v>
      </c>
      <c r="M18" s="1">
        <f t="shared" si="5"/>
        <v>134.898</v>
      </c>
      <c r="N18" s="1"/>
      <c r="O18" s="1"/>
      <c r="P18" s="1">
        <v>152.23233999999999</v>
      </c>
      <c r="Q18" s="1">
        <f t="shared" si="6"/>
        <v>26.979599999999998</v>
      </c>
      <c r="R18" s="5">
        <f t="shared" si="7"/>
        <v>124.06405999999996</v>
      </c>
      <c r="S18" s="5"/>
      <c r="T18" s="5">
        <f t="shared" si="8"/>
        <v>124.06405999999996</v>
      </c>
      <c r="U18" s="5"/>
      <c r="V18" s="1"/>
      <c r="W18" s="1"/>
      <c r="X18" s="1">
        <f t="shared" si="9"/>
        <v>14</v>
      </c>
      <c r="Y18" s="1">
        <f t="shared" si="10"/>
        <v>9.4015604382570537</v>
      </c>
      <c r="Z18" s="1">
        <v>22.966799999999999</v>
      </c>
      <c r="AA18" s="1">
        <v>20.192399999999999</v>
      </c>
      <c r="AB18" s="1">
        <v>19.4758</v>
      </c>
      <c r="AC18" s="1">
        <v>21.106000000000002</v>
      </c>
      <c r="AD18" s="1">
        <v>20.777799999999999</v>
      </c>
      <c r="AE18" s="1">
        <v>25.240200000000002</v>
      </c>
      <c r="AF18" s="1">
        <v>22.045200000000001</v>
      </c>
      <c r="AG18" s="1">
        <v>20.119199999999999</v>
      </c>
      <c r="AH18" s="1"/>
      <c r="AI18" s="1">
        <f t="shared" si="11"/>
        <v>124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36</v>
      </c>
      <c r="C19" s="1">
        <v>-1.2E-2</v>
      </c>
      <c r="D19" s="1">
        <v>24.986999999999998</v>
      </c>
      <c r="E19" s="1">
        <v>3.7839999999999998</v>
      </c>
      <c r="F19" s="1">
        <v>20.443000000000001</v>
      </c>
      <c r="G19" s="8">
        <v>1</v>
      </c>
      <c r="H19" s="1">
        <v>180</v>
      </c>
      <c r="I19" s="1" t="s">
        <v>37</v>
      </c>
      <c r="J19" s="1"/>
      <c r="K19" s="1">
        <v>3.52</v>
      </c>
      <c r="L19" s="1">
        <f t="shared" si="4"/>
        <v>0.26399999999999979</v>
      </c>
      <c r="M19" s="1">
        <f t="shared" si="5"/>
        <v>3.7839999999999998</v>
      </c>
      <c r="N19" s="1"/>
      <c r="O19" s="1"/>
      <c r="P19" s="1">
        <v>0</v>
      </c>
      <c r="Q19" s="1">
        <f t="shared" si="6"/>
        <v>0.75679999999999992</v>
      </c>
      <c r="R19" s="5"/>
      <c r="S19" s="5"/>
      <c r="T19" s="5">
        <f t="shared" si="8"/>
        <v>0</v>
      </c>
      <c r="U19" s="5"/>
      <c r="V19" s="1"/>
      <c r="W19" s="1"/>
      <c r="X19" s="1">
        <f t="shared" si="9"/>
        <v>27.012420718816074</v>
      </c>
      <c r="Y19" s="1">
        <f t="shared" si="10"/>
        <v>27.012420718816074</v>
      </c>
      <c r="Z19" s="1">
        <v>0.65860000000000007</v>
      </c>
      <c r="AA19" s="1">
        <v>1.8124</v>
      </c>
      <c r="AB19" s="1">
        <v>1.2986</v>
      </c>
      <c r="AC19" s="1">
        <v>0.2218</v>
      </c>
      <c r="AD19" s="1">
        <v>0.51839999999999997</v>
      </c>
      <c r="AE19" s="1">
        <v>1.1838</v>
      </c>
      <c r="AF19" s="1">
        <v>1.2063999999999999</v>
      </c>
      <c r="AG19" s="1">
        <v>0.98780000000000001</v>
      </c>
      <c r="AH19" s="1"/>
      <c r="AI19" s="1">
        <f t="shared" si="11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36</v>
      </c>
      <c r="C20" s="1">
        <v>2113.2469999999998</v>
      </c>
      <c r="D20" s="1">
        <v>1280.5219999999999</v>
      </c>
      <c r="E20" s="1">
        <v>1311.58</v>
      </c>
      <c r="F20" s="1">
        <v>2044.3869999999999</v>
      </c>
      <c r="G20" s="8">
        <v>1</v>
      </c>
      <c r="H20" s="1">
        <v>60</v>
      </c>
      <c r="I20" s="1" t="s">
        <v>37</v>
      </c>
      <c r="J20" s="1"/>
      <c r="K20" s="1">
        <v>1294.5920000000001</v>
      </c>
      <c r="L20" s="1">
        <f t="shared" si="4"/>
        <v>16.987999999999829</v>
      </c>
      <c r="M20" s="1">
        <f t="shared" si="5"/>
        <v>1306.29</v>
      </c>
      <c r="N20" s="1">
        <v>5.29</v>
      </c>
      <c r="O20" s="1">
        <v>575.13869999999997</v>
      </c>
      <c r="P20" s="1">
        <v>404.1976599999997</v>
      </c>
      <c r="Q20" s="1">
        <f t="shared" si="6"/>
        <v>261.25799999999998</v>
      </c>
      <c r="R20" s="5">
        <f t="shared" si="7"/>
        <v>633.8886399999999</v>
      </c>
      <c r="S20" s="5">
        <f t="shared" ref="S20:S21" si="13">$S$1*Q20</f>
        <v>104.50319999999999</v>
      </c>
      <c r="T20" s="5">
        <f t="shared" si="8"/>
        <v>738.39183999999989</v>
      </c>
      <c r="U20" s="5"/>
      <c r="V20" s="1"/>
      <c r="W20" s="1"/>
      <c r="X20" s="1">
        <f t="shared" si="9"/>
        <v>14.4</v>
      </c>
      <c r="Y20" s="1">
        <f t="shared" si="10"/>
        <v>11.573706297988961</v>
      </c>
      <c r="Z20" s="1">
        <v>258.31220000000002</v>
      </c>
      <c r="AA20" s="1">
        <v>255.6172</v>
      </c>
      <c r="AB20" s="1">
        <v>262.20699999999999</v>
      </c>
      <c r="AC20" s="1">
        <v>237.0258</v>
      </c>
      <c r="AD20" s="1">
        <v>241.30940000000001</v>
      </c>
      <c r="AE20" s="1">
        <v>266.0838</v>
      </c>
      <c r="AF20" s="1">
        <v>255.89400000000001</v>
      </c>
      <c r="AG20" s="1">
        <v>244.44159999999999</v>
      </c>
      <c r="AH20" s="1" t="s">
        <v>47</v>
      </c>
      <c r="AI20" s="1">
        <f t="shared" si="11"/>
        <v>738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36</v>
      </c>
      <c r="C21" s="1">
        <v>389.90800000000002</v>
      </c>
      <c r="D21" s="1">
        <v>158.452</v>
      </c>
      <c r="E21" s="1">
        <v>271.80399999999997</v>
      </c>
      <c r="F21" s="1">
        <v>272.10500000000002</v>
      </c>
      <c r="G21" s="8">
        <v>1</v>
      </c>
      <c r="H21" s="1">
        <v>60</v>
      </c>
      <c r="I21" s="1" t="s">
        <v>37</v>
      </c>
      <c r="J21" s="1"/>
      <c r="K21" s="1">
        <v>287.51499999999999</v>
      </c>
      <c r="L21" s="1">
        <f t="shared" si="4"/>
        <v>-15.711000000000013</v>
      </c>
      <c r="M21" s="1">
        <f t="shared" si="5"/>
        <v>271.80399999999997</v>
      </c>
      <c r="N21" s="1"/>
      <c r="O21" s="1">
        <v>95.617350000000002</v>
      </c>
      <c r="P21" s="1">
        <v>213.81222999999989</v>
      </c>
      <c r="Q21" s="1">
        <f t="shared" si="6"/>
        <v>54.360799999999998</v>
      </c>
      <c r="R21" s="5">
        <f t="shared" si="7"/>
        <v>179.5166200000001</v>
      </c>
      <c r="S21" s="5">
        <f t="shared" si="13"/>
        <v>21.744320000000002</v>
      </c>
      <c r="T21" s="5">
        <f t="shared" si="8"/>
        <v>201.26094000000012</v>
      </c>
      <c r="U21" s="5"/>
      <c r="V21" s="1"/>
      <c r="W21" s="1"/>
      <c r="X21" s="1">
        <f t="shared" si="9"/>
        <v>14.4</v>
      </c>
      <c r="Y21" s="1">
        <f t="shared" si="10"/>
        <v>10.697682521228531</v>
      </c>
      <c r="Z21" s="1">
        <v>51.039599999999993</v>
      </c>
      <c r="AA21" s="1">
        <v>42.496600000000001</v>
      </c>
      <c r="AB21" s="1">
        <v>36.841000000000001</v>
      </c>
      <c r="AC21" s="1">
        <v>46.499399999999987</v>
      </c>
      <c r="AD21" s="1">
        <v>51.252599999999987</v>
      </c>
      <c r="AE21" s="1">
        <v>48.412199999999999</v>
      </c>
      <c r="AF21" s="1">
        <v>48.023200000000003</v>
      </c>
      <c r="AG21" s="1">
        <v>58.106399999999987</v>
      </c>
      <c r="AH21" s="1"/>
      <c r="AI21" s="1">
        <f t="shared" si="11"/>
        <v>201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36</v>
      </c>
      <c r="C22" s="1">
        <v>182.46100000000001</v>
      </c>
      <c r="D22" s="1">
        <v>384.45699999999999</v>
      </c>
      <c r="E22" s="1">
        <v>213.54</v>
      </c>
      <c r="F22" s="1">
        <v>344.57100000000003</v>
      </c>
      <c r="G22" s="8">
        <v>1</v>
      </c>
      <c r="H22" s="1">
        <v>60</v>
      </c>
      <c r="I22" s="1" t="s">
        <v>37</v>
      </c>
      <c r="J22" s="1"/>
      <c r="K22" s="1">
        <v>213.571</v>
      </c>
      <c r="L22" s="1">
        <f t="shared" si="4"/>
        <v>-3.1000000000005912E-2</v>
      </c>
      <c r="M22" s="1">
        <f t="shared" si="5"/>
        <v>213.54</v>
      </c>
      <c r="N22" s="1"/>
      <c r="O22" s="1">
        <v>94.485150000000004</v>
      </c>
      <c r="P22" s="1">
        <v>14.69228000000013</v>
      </c>
      <c r="Q22" s="1">
        <f t="shared" si="6"/>
        <v>42.707999999999998</v>
      </c>
      <c r="R22" s="5">
        <f t="shared" si="7"/>
        <v>144.16356999999994</v>
      </c>
      <c r="S22" s="5"/>
      <c r="T22" s="5">
        <f t="shared" si="8"/>
        <v>144.16356999999994</v>
      </c>
      <c r="U22" s="5"/>
      <c r="V22" s="1"/>
      <c r="W22" s="1"/>
      <c r="X22" s="1">
        <f t="shared" si="9"/>
        <v>14.000000000000002</v>
      </c>
      <c r="Y22" s="1">
        <f t="shared" si="10"/>
        <v>10.624436405357313</v>
      </c>
      <c r="Z22" s="1">
        <v>39.196599999999997</v>
      </c>
      <c r="AA22" s="1">
        <v>41.993400000000001</v>
      </c>
      <c r="AB22" s="1">
        <v>38.009399999999999</v>
      </c>
      <c r="AC22" s="1">
        <v>35.380800000000001</v>
      </c>
      <c r="AD22" s="1">
        <v>39.007599999999996</v>
      </c>
      <c r="AE22" s="1">
        <v>40.718800000000002</v>
      </c>
      <c r="AF22" s="1">
        <v>40.025399999999998</v>
      </c>
      <c r="AG22" s="1">
        <v>45.96</v>
      </c>
      <c r="AH22" s="1"/>
      <c r="AI22" s="1">
        <f t="shared" si="11"/>
        <v>144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56</v>
      </c>
      <c r="B23" s="1" t="s">
        <v>36</v>
      </c>
      <c r="C23" s="1">
        <v>8.5969999999999995</v>
      </c>
      <c r="D23" s="1">
        <v>14.163</v>
      </c>
      <c r="E23" s="1">
        <v>5.1680000000000001</v>
      </c>
      <c r="F23" s="1">
        <v>17.234000000000002</v>
      </c>
      <c r="G23" s="8">
        <v>1</v>
      </c>
      <c r="H23" s="1">
        <v>180</v>
      </c>
      <c r="I23" s="1" t="s">
        <v>37</v>
      </c>
      <c r="J23" s="1"/>
      <c r="K23" s="1">
        <v>5.78</v>
      </c>
      <c r="L23" s="1">
        <f t="shared" si="4"/>
        <v>-0.6120000000000001</v>
      </c>
      <c r="M23" s="1">
        <f t="shared" si="5"/>
        <v>5.1680000000000001</v>
      </c>
      <c r="N23" s="1"/>
      <c r="O23" s="1"/>
      <c r="P23" s="1">
        <v>0</v>
      </c>
      <c r="Q23" s="1">
        <f t="shared" si="6"/>
        <v>1.0336000000000001</v>
      </c>
      <c r="R23" s="5"/>
      <c r="S23" s="5"/>
      <c r="T23" s="5">
        <f t="shared" si="8"/>
        <v>0</v>
      </c>
      <c r="U23" s="5"/>
      <c r="V23" s="1"/>
      <c r="W23" s="1"/>
      <c r="X23" s="1">
        <f t="shared" si="9"/>
        <v>16.673761609907121</v>
      </c>
      <c r="Y23" s="1">
        <f t="shared" si="10"/>
        <v>16.673761609907121</v>
      </c>
      <c r="Z23" s="1">
        <v>0.96579999999999999</v>
      </c>
      <c r="AA23" s="1">
        <v>1.7390000000000001</v>
      </c>
      <c r="AB23" s="1">
        <v>1.0544</v>
      </c>
      <c r="AC23" s="1">
        <v>0.64759999999999995</v>
      </c>
      <c r="AD23" s="1">
        <v>1.01</v>
      </c>
      <c r="AE23" s="1">
        <v>1.0067999999999999</v>
      </c>
      <c r="AF23" s="1">
        <v>1.1636</v>
      </c>
      <c r="AG23" s="1">
        <v>1.1632</v>
      </c>
      <c r="AH23" s="1"/>
      <c r="AI23" s="1">
        <f t="shared" si="11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57</v>
      </c>
      <c r="B24" s="1" t="s">
        <v>36</v>
      </c>
      <c r="C24" s="1">
        <v>841.07899999999995</v>
      </c>
      <c r="D24" s="1">
        <v>610.71900000000005</v>
      </c>
      <c r="E24" s="1">
        <v>525.32799999999997</v>
      </c>
      <c r="F24" s="1">
        <v>913.04100000000005</v>
      </c>
      <c r="G24" s="8">
        <v>1</v>
      </c>
      <c r="H24" s="1">
        <v>60</v>
      </c>
      <c r="I24" s="1" t="s">
        <v>37</v>
      </c>
      <c r="J24" s="1"/>
      <c r="K24" s="1">
        <v>520.59299999999996</v>
      </c>
      <c r="L24" s="1">
        <f t="shared" si="4"/>
        <v>4.7350000000000136</v>
      </c>
      <c r="M24" s="1">
        <f t="shared" si="5"/>
        <v>525.32799999999997</v>
      </c>
      <c r="N24" s="1"/>
      <c r="O24" s="1">
        <v>256.36725000000001</v>
      </c>
      <c r="P24" s="1">
        <v>56.942300000000003</v>
      </c>
      <c r="Q24" s="1">
        <f t="shared" si="6"/>
        <v>105.06559999999999</v>
      </c>
      <c r="R24" s="5">
        <f t="shared" si="7"/>
        <v>244.56784999999979</v>
      </c>
      <c r="S24" s="5">
        <f>$S$1*Q24</f>
        <v>42.026240000000001</v>
      </c>
      <c r="T24" s="5">
        <f t="shared" si="8"/>
        <v>286.59408999999982</v>
      </c>
      <c r="U24" s="5"/>
      <c r="V24" s="1"/>
      <c r="W24" s="1"/>
      <c r="X24" s="1">
        <f t="shared" si="9"/>
        <v>14.399999999999999</v>
      </c>
      <c r="Y24" s="1">
        <f t="shared" si="10"/>
        <v>11.67223667879877</v>
      </c>
      <c r="Z24" s="1">
        <v>103.96639999999999</v>
      </c>
      <c r="AA24" s="1">
        <v>113.941</v>
      </c>
      <c r="AB24" s="1">
        <v>109.06740000000001</v>
      </c>
      <c r="AC24" s="1">
        <v>94.770799999999994</v>
      </c>
      <c r="AD24" s="1">
        <v>103.97539999999999</v>
      </c>
      <c r="AE24" s="1">
        <v>107.18980000000001</v>
      </c>
      <c r="AF24" s="1">
        <v>114.184</v>
      </c>
      <c r="AG24" s="1">
        <v>122.7548</v>
      </c>
      <c r="AH24" s="1" t="s">
        <v>47</v>
      </c>
      <c r="AI24" s="1">
        <f t="shared" si="11"/>
        <v>287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36</v>
      </c>
      <c r="C25" s="1">
        <v>189.09100000000001</v>
      </c>
      <c r="D25" s="1">
        <v>357.23399999999998</v>
      </c>
      <c r="E25" s="1">
        <v>263.80399999999997</v>
      </c>
      <c r="F25" s="1">
        <v>251.44200000000001</v>
      </c>
      <c r="G25" s="8">
        <v>1</v>
      </c>
      <c r="H25" s="1">
        <v>30</v>
      </c>
      <c r="I25" s="1" t="s">
        <v>37</v>
      </c>
      <c r="J25" s="1"/>
      <c r="K25" s="1">
        <v>271.17599999999999</v>
      </c>
      <c r="L25" s="1">
        <f t="shared" si="4"/>
        <v>-7.3720000000000141</v>
      </c>
      <c r="M25" s="1">
        <f t="shared" si="5"/>
        <v>246.25799999999998</v>
      </c>
      <c r="N25" s="1">
        <v>17.545999999999999</v>
      </c>
      <c r="O25" s="1"/>
      <c r="P25" s="1">
        <v>204.87285</v>
      </c>
      <c r="Q25" s="1">
        <f t="shared" si="6"/>
        <v>49.251599999999996</v>
      </c>
      <c r="R25" s="5">
        <f>11*Q25-P25-O25-F25</f>
        <v>85.452749999999924</v>
      </c>
      <c r="S25" s="5"/>
      <c r="T25" s="5">
        <f t="shared" si="8"/>
        <v>85.452749999999924</v>
      </c>
      <c r="U25" s="5"/>
      <c r="V25" s="1"/>
      <c r="W25" s="1"/>
      <c r="X25" s="1">
        <f t="shared" si="9"/>
        <v>10.999999999999998</v>
      </c>
      <c r="Y25" s="1">
        <f t="shared" si="10"/>
        <v>9.2649751480154965</v>
      </c>
      <c r="Z25" s="1">
        <v>45.033000000000001</v>
      </c>
      <c r="AA25" s="1">
        <v>42.228999999999999</v>
      </c>
      <c r="AB25" s="1">
        <v>40.580199999999998</v>
      </c>
      <c r="AC25" s="1">
        <v>40.481999999999999</v>
      </c>
      <c r="AD25" s="1">
        <v>44.878</v>
      </c>
      <c r="AE25" s="1">
        <v>42.4694</v>
      </c>
      <c r="AF25" s="1">
        <v>43.450599999999987</v>
      </c>
      <c r="AG25" s="1">
        <v>49.940800000000003</v>
      </c>
      <c r="AH25" s="1"/>
      <c r="AI25" s="1">
        <f t="shared" si="11"/>
        <v>85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59</v>
      </c>
      <c r="B26" s="1" t="s">
        <v>36</v>
      </c>
      <c r="C26" s="1">
        <v>129.40199999999999</v>
      </c>
      <c r="D26" s="1">
        <v>346.40300000000002</v>
      </c>
      <c r="E26" s="1">
        <v>186.916</v>
      </c>
      <c r="F26" s="1">
        <v>256.25799999999998</v>
      </c>
      <c r="G26" s="8">
        <v>1</v>
      </c>
      <c r="H26" s="1">
        <v>30</v>
      </c>
      <c r="I26" s="1" t="s">
        <v>37</v>
      </c>
      <c r="J26" s="1"/>
      <c r="K26" s="1">
        <v>193.81800000000001</v>
      </c>
      <c r="L26" s="1">
        <f t="shared" si="4"/>
        <v>-6.9020000000000152</v>
      </c>
      <c r="M26" s="1">
        <f t="shared" si="5"/>
        <v>160.59799999999998</v>
      </c>
      <c r="N26" s="1">
        <v>26.318000000000001</v>
      </c>
      <c r="O26" s="1"/>
      <c r="P26" s="1">
        <v>98.341830000000016</v>
      </c>
      <c r="Q26" s="1">
        <f t="shared" si="6"/>
        <v>32.119599999999998</v>
      </c>
      <c r="R26" s="5"/>
      <c r="S26" s="5"/>
      <c r="T26" s="5">
        <f t="shared" si="8"/>
        <v>0</v>
      </c>
      <c r="U26" s="5"/>
      <c r="V26" s="1"/>
      <c r="W26" s="1"/>
      <c r="X26" s="1">
        <f t="shared" si="9"/>
        <v>11.039982751964533</v>
      </c>
      <c r="Y26" s="1">
        <f t="shared" si="10"/>
        <v>11.039982751964533</v>
      </c>
      <c r="Z26" s="1">
        <v>32.944599999999987</v>
      </c>
      <c r="AA26" s="1">
        <v>35.842799999999997</v>
      </c>
      <c r="AB26" s="1">
        <v>31.335999999999999</v>
      </c>
      <c r="AC26" s="1">
        <v>31.9438</v>
      </c>
      <c r="AD26" s="1">
        <v>32.544400000000003</v>
      </c>
      <c r="AE26" s="1">
        <v>33.5578</v>
      </c>
      <c r="AF26" s="1">
        <v>41.352999999999987</v>
      </c>
      <c r="AG26" s="1">
        <v>40.281999999999996</v>
      </c>
      <c r="AH26" s="1"/>
      <c r="AI26" s="1">
        <f t="shared" si="11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60</v>
      </c>
      <c r="B27" s="1" t="s">
        <v>36</v>
      </c>
      <c r="C27" s="1">
        <v>921.01300000000003</v>
      </c>
      <c r="D27" s="1">
        <v>1054.127</v>
      </c>
      <c r="E27" s="1">
        <v>810.10500000000002</v>
      </c>
      <c r="F27" s="1">
        <v>1130.6569999999999</v>
      </c>
      <c r="G27" s="8">
        <v>1</v>
      </c>
      <c r="H27" s="1">
        <v>30</v>
      </c>
      <c r="I27" s="1" t="s">
        <v>37</v>
      </c>
      <c r="J27" s="1"/>
      <c r="K27" s="1">
        <v>811.23</v>
      </c>
      <c r="L27" s="1">
        <f t="shared" si="4"/>
        <v>-1.125</v>
      </c>
      <c r="M27" s="1">
        <f t="shared" si="5"/>
        <v>810.10500000000002</v>
      </c>
      <c r="N27" s="1"/>
      <c r="O27" s="1"/>
      <c r="P27" s="1">
        <v>594.18668999999966</v>
      </c>
      <c r="Q27" s="1">
        <f t="shared" si="6"/>
        <v>162.02100000000002</v>
      </c>
      <c r="R27" s="5">
        <f t="shared" ref="R27" si="14">11*Q27-P27-O27-F27</f>
        <v>57.387310000000753</v>
      </c>
      <c r="S27" s="5"/>
      <c r="T27" s="5">
        <f t="shared" si="8"/>
        <v>57.387310000000753</v>
      </c>
      <c r="U27" s="5"/>
      <c r="V27" s="1"/>
      <c r="W27" s="1"/>
      <c r="X27" s="1">
        <f t="shared" si="9"/>
        <v>11.000000000000002</v>
      </c>
      <c r="Y27" s="1">
        <f t="shared" si="10"/>
        <v>10.645803260071222</v>
      </c>
      <c r="Z27" s="1">
        <v>164.52979999999999</v>
      </c>
      <c r="AA27" s="1">
        <v>170.48519999999999</v>
      </c>
      <c r="AB27" s="1">
        <v>169.26339999999999</v>
      </c>
      <c r="AC27" s="1">
        <v>161.17760000000001</v>
      </c>
      <c r="AD27" s="1">
        <v>165.77279999999999</v>
      </c>
      <c r="AE27" s="1">
        <v>179.8784</v>
      </c>
      <c r="AF27" s="1">
        <v>170.97020000000001</v>
      </c>
      <c r="AG27" s="1">
        <v>162.62100000000001</v>
      </c>
      <c r="AH27" s="1" t="s">
        <v>47</v>
      </c>
      <c r="AI27" s="1">
        <f t="shared" si="11"/>
        <v>57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61</v>
      </c>
      <c r="B28" s="1" t="s">
        <v>36</v>
      </c>
      <c r="C28" s="1">
        <v>15.709</v>
      </c>
      <c r="D28" s="1">
        <v>55.555</v>
      </c>
      <c r="E28" s="1">
        <v>24.622</v>
      </c>
      <c r="F28" s="1">
        <v>31.006</v>
      </c>
      <c r="G28" s="8">
        <v>1</v>
      </c>
      <c r="H28" s="1">
        <v>45</v>
      </c>
      <c r="I28" s="1" t="s">
        <v>37</v>
      </c>
      <c r="J28" s="1"/>
      <c r="K28" s="1">
        <v>48.134999999999998</v>
      </c>
      <c r="L28" s="1">
        <f t="shared" si="4"/>
        <v>-23.512999999999998</v>
      </c>
      <c r="M28" s="1">
        <f t="shared" si="5"/>
        <v>9.9870000000000001</v>
      </c>
      <c r="N28" s="1">
        <v>14.635</v>
      </c>
      <c r="O28" s="1"/>
      <c r="P28" s="1">
        <v>4</v>
      </c>
      <c r="Q28" s="1">
        <f t="shared" si="6"/>
        <v>1.9974000000000001</v>
      </c>
      <c r="R28" s="5"/>
      <c r="S28" s="5"/>
      <c r="T28" s="5">
        <f t="shared" si="8"/>
        <v>0</v>
      </c>
      <c r="U28" s="5"/>
      <c r="V28" s="1"/>
      <c r="W28" s="1"/>
      <c r="X28" s="1">
        <f t="shared" si="9"/>
        <v>17.525783518574144</v>
      </c>
      <c r="Y28" s="1">
        <f t="shared" si="10"/>
        <v>17.525783518574144</v>
      </c>
      <c r="Z28" s="1">
        <v>2.797400000000001</v>
      </c>
      <c r="AA28" s="1">
        <v>5.7324000000000002</v>
      </c>
      <c r="AB28" s="1">
        <v>2.7198000000000002</v>
      </c>
      <c r="AC28" s="1">
        <v>2.9620000000000002</v>
      </c>
      <c r="AD28" s="1">
        <v>3.5964</v>
      </c>
      <c r="AE28" s="1">
        <v>2.8079999999999998</v>
      </c>
      <c r="AF28" s="1">
        <v>2.4186000000000001</v>
      </c>
      <c r="AG28" s="1">
        <v>3.2084000000000001</v>
      </c>
      <c r="AH28" s="1"/>
      <c r="AI28" s="1">
        <f t="shared" si="11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36</v>
      </c>
      <c r="C29" s="1">
        <v>29.475999999999999</v>
      </c>
      <c r="D29" s="1"/>
      <c r="E29" s="1">
        <v>18.734000000000002</v>
      </c>
      <c r="F29" s="1">
        <v>9.2319999999999993</v>
      </c>
      <c r="G29" s="8">
        <v>1</v>
      </c>
      <c r="H29" s="1">
        <v>40</v>
      </c>
      <c r="I29" s="1" t="s">
        <v>37</v>
      </c>
      <c r="J29" s="1"/>
      <c r="K29" s="1">
        <v>18.3</v>
      </c>
      <c r="L29" s="1">
        <f t="shared" si="4"/>
        <v>0.43400000000000105</v>
      </c>
      <c r="M29" s="1">
        <f t="shared" si="5"/>
        <v>18.734000000000002</v>
      </c>
      <c r="N29" s="1"/>
      <c r="O29" s="1"/>
      <c r="P29" s="1">
        <v>19.516999999999999</v>
      </c>
      <c r="Q29" s="1">
        <f t="shared" si="6"/>
        <v>3.7468000000000004</v>
      </c>
      <c r="R29" s="5">
        <f>12*Q29-P29-O29-F29</f>
        <v>16.212600000000005</v>
      </c>
      <c r="S29" s="5"/>
      <c r="T29" s="5">
        <f t="shared" si="8"/>
        <v>16.212600000000005</v>
      </c>
      <c r="U29" s="5"/>
      <c r="V29" s="1"/>
      <c r="W29" s="1"/>
      <c r="X29" s="1">
        <f t="shared" si="9"/>
        <v>12</v>
      </c>
      <c r="Y29" s="1">
        <f t="shared" si="10"/>
        <v>7.6729475819365849</v>
      </c>
      <c r="Z29" s="1">
        <v>3.1909999999999998</v>
      </c>
      <c r="AA29" s="1">
        <v>2.1383999999999999</v>
      </c>
      <c r="AB29" s="1">
        <v>2.7206000000000001</v>
      </c>
      <c r="AC29" s="1">
        <v>2.9420000000000002</v>
      </c>
      <c r="AD29" s="1">
        <v>3.2292000000000001</v>
      </c>
      <c r="AE29" s="1">
        <v>3.5019999999999998</v>
      </c>
      <c r="AF29" s="1">
        <v>4.3224</v>
      </c>
      <c r="AG29" s="1">
        <v>3.7429999999999999</v>
      </c>
      <c r="AH29" s="1"/>
      <c r="AI29" s="1">
        <f t="shared" si="11"/>
        <v>16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36</v>
      </c>
      <c r="C30" s="1">
        <v>78.787000000000006</v>
      </c>
      <c r="D30" s="1">
        <v>373.83</v>
      </c>
      <c r="E30" s="1">
        <v>188.80799999999999</v>
      </c>
      <c r="F30" s="1">
        <v>251.28100000000001</v>
      </c>
      <c r="G30" s="8">
        <v>1</v>
      </c>
      <c r="H30" s="1">
        <v>30</v>
      </c>
      <c r="I30" s="1" t="s">
        <v>37</v>
      </c>
      <c r="J30" s="1"/>
      <c r="K30" s="1">
        <v>172</v>
      </c>
      <c r="L30" s="1">
        <f t="shared" si="4"/>
        <v>16.807999999999993</v>
      </c>
      <c r="M30" s="1">
        <f t="shared" si="5"/>
        <v>188.80799999999999</v>
      </c>
      <c r="N30" s="1"/>
      <c r="O30" s="1"/>
      <c r="P30" s="1">
        <v>204.89567</v>
      </c>
      <c r="Q30" s="1">
        <f t="shared" si="6"/>
        <v>37.761600000000001</v>
      </c>
      <c r="R30" s="5"/>
      <c r="S30" s="5"/>
      <c r="T30" s="5">
        <f t="shared" si="8"/>
        <v>0</v>
      </c>
      <c r="U30" s="5"/>
      <c r="V30" s="1"/>
      <c r="W30" s="1"/>
      <c r="X30" s="1">
        <f t="shared" si="9"/>
        <v>12.080438064065081</v>
      </c>
      <c r="Y30" s="1">
        <f t="shared" si="10"/>
        <v>12.080438064065081</v>
      </c>
      <c r="Z30" s="1">
        <v>42.185400000000001</v>
      </c>
      <c r="AA30" s="1">
        <v>38.101199999999999</v>
      </c>
      <c r="AB30" s="1">
        <v>34.8782</v>
      </c>
      <c r="AC30" s="1">
        <v>30.7776</v>
      </c>
      <c r="AD30" s="1">
        <v>31.29</v>
      </c>
      <c r="AE30" s="1">
        <v>35.423999999999999</v>
      </c>
      <c r="AF30" s="1">
        <v>33.455800000000004</v>
      </c>
      <c r="AG30" s="1">
        <v>37.412400000000012</v>
      </c>
      <c r="AH30" s="1"/>
      <c r="AI30" s="1">
        <f t="shared" si="11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64</v>
      </c>
      <c r="B31" s="14" t="s">
        <v>36</v>
      </c>
      <c r="C31" s="14"/>
      <c r="D31" s="14"/>
      <c r="E31" s="14"/>
      <c r="F31" s="14"/>
      <c r="G31" s="15">
        <v>0</v>
      </c>
      <c r="H31" s="14">
        <v>50</v>
      </c>
      <c r="I31" s="14" t="s">
        <v>37</v>
      </c>
      <c r="J31" s="14"/>
      <c r="K31" s="14"/>
      <c r="L31" s="14">
        <f t="shared" si="4"/>
        <v>0</v>
      </c>
      <c r="M31" s="14">
        <f t="shared" si="5"/>
        <v>0</v>
      </c>
      <c r="N31" s="14"/>
      <c r="O31" s="14"/>
      <c r="P31" s="14">
        <v>0</v>
      </c>
      <c r="Q31" s="14">
        <f t="shared" si="6"/>
        <v>0</v>
      </c>
      <c r="R31" s="16"/>
      <c r="S31" s="16"/>
      <c r="T31" s="5">
        <f t="shared" si="8"/>
        <v>0</v>
      </c>
      <c r="U31" s="16"/>
      <c r="V31" s="14"/>
      <c r="W31" s="14"/>
      <c r="X31" s="1" t="e">
        <f t="shared" si="9"/>
        <v>#DIV/0!</v>
      </c>
      <c r="Y31" s="14" t="e">
        <f t="shared" si="10"/>
        <v>#DIV/0!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 t="s">
        <v>65</v>
      </c>
      <c r="AI31" s="1">
        <f t="shared" si="11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66</v>
      </c>
      <c r="B32" s="14" t="s">
        <v>36</v>
      </c>
      <c r="C32" s="14"/>
      <c r="D32" s="14"/>
      <c r="E32" s="14"/>
      <c r="F32" s="14"/>
      <c r="G32" s="15">
        <v>0</v>
      </c>
      <c r="H32" s="14">
        <v>50</v>
      </c>
      <c r="I32" s="14" t="s">
        <v>37</v>
      </c>
      <c r="J32" s="14"/>
      <c r="K32" s="14"/>
      <c r="L32" s="14">
        <f t="shared" si="4"/>
        <v>0</v>
      </c>
      <c r="M32" s="14">
        <f t="shared" si="5"/>
        <v>0</v>
      </c>
      <c r="N32" s="14"/>
      <c r="O32" s="14"/>
      <c r="P32" s="14">
        <v>0</v>
      </c>
      <c r="Q32" s="14">
        <f t="shared" si="6"/>
        <v>0</v>
      </c>
      <c r="R32" s="16"/>
      <c r="S32" s="16"/>
      <c r="T32" s="5">
        <f t="shared" si="8"/>
        <v>0</v>
      </c>
      <c r="U32" s="16"/>
      <c r="V32" s="14"/>
      <c r="W32" s="14"/>
      <c r="X32" s="1" t="e">
        <f t="shared" si="9"/>
        <v>#DIV/0!</v>
      </c>
      <c r="Y32" s="14" t="e">
        <f t="shared" si="10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65</v>
      </c>
      <c r="AI32" s="1">
        <f t="shared" si="11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67</v>
      </c>
      <c r="B33" s="1" t="s">
        <v>41</v>
      </c>
      <c r="C33" s="1">
        <v>3482</v>
      </c>
      <c r="D33" s="1">
        <v>2744</v>
      </c>
      <c r="E33" s="1">
        <v>2735</v>
      </c>
      <c r="F33" s="1">
        <v>3386</v>
      </c>
      <c r="G33" s="8">
        <v>0.4</v>
      </c>
      <c r="H33" s="1">
        <v>45</v>
      </c>
      <c r="I33" s="1" t="s">
        <v>37</v>
      </c>
      <c r="J33" s="1"/>
      <c r="K33" s="1">
        <v>2791</v>
      </c>
      <c r="L33" s="1">
        <f t="shared" si="4"/>
        <v>-56</v>
      </c>
      <c r="M33" s="1">
        <f t="shared" si="5"/>
        <v>2735</v>
      </c>
      <c r="N33" s="1"/>
      <c r="O33" s="1"/>
      <c r="P33" s="1">
        <v>2848.7340000000022</v>
      </c>
      <c r="Q33" s="1">
        <f t="shared" si="6"/>
        <v>547</v>
      </c>
      <c r="R33" s="5">
        <f t="shared" ref="R33:R47" si="15">14*Q33-P33-O33-F33</f>
        <v>1423.2659999999978</v>
      </c>
      <c r="S33" s="5"/>
      <c r="T33" s="5">
        <f t="shared" si="8"/>
        <v>1423.2659999999978</v>
      </c>
      <c r="U33" s="5"/>
      <c r="V33" s="1"/>
      <c r="W33" s="1"/>
      <c r="X33" s="1">
        <f t="shared" si="9"/>
        <v>14</v>
      </c>
      <c r="Y33" s="1">
        <f t="shared" si="10"/>
        <v>11.398051188299821</v>
      </c>
      <c r="Z33" s="1">
        <v>536.6</v>
      </c>
      <c r="AA33" s="1">
        <v>529.79999999999995</v>
      </c>
      <c r="AB33" s="1">
        <v>568.79999999999995</v>
      </c>
      <c r="AC33" s="1">
        <v>505.2</v>
      </c>
      <c r="AD33" s="1">
        <v>495.2</v>
      </c>
      <c r="AE33" s="1">
        <v>495.8</v>
      </c>
      <c r="AF33" s="1">
        <v>468.8</v>
      </c>
      <c r="AG33" s="1">
        <v>440.6</v>
      </c>
      <c r="AH33" s="1" t="s">
        <v>68</v>
      </c>
      <c r="AI33" s="1">
        <f t="shared" si="11"/>
        <v>569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41</v>
      </c>
      <c r="C34" s="1">
        <v>885</v>
      </c>
      <c r="D34" s="1">
        <v>283</v>
      </c>
      <c r="E34" s="1">
        <v>603</v>
      </c>
      <c r="F34" s="1">
        <v>478</v>
      </c>
      <c r="G34" s="8">
        <v>0.45</v>
      </c>
      <c r="H34" s="1">
        <v>50</v>
      </c>
      <c r="I34" s="1" t="s">
        <v>37</v>
      </c>
      <c r="J34" s="1"/>
      <c r="K34" s="1">
        <v>604</v>
      </c>
      <c r="L34" s="1">
        <f t="shared" si="4"/>
        <v>-1</v>
      </c>
      <c r="M34" s="1">
        <f t="shared" si="5"/>
        <v>603</v>
      </c>
      <c r="N34" s="1"/>
      <c r="O34" s="1">
        <v>195.75</v>
      </c>
      <c r="P34" s="1">
        <v>511.70999999999992</v>
      </c>
      <c r="Q34" s="1">
        <f t="shared" si="6"/>
        <v>120.6</v>
      </c>
      <c r="R34" s="5">
        <f t="shared" si="15"/>
        <v>502.94000000000005</v>
      </c>
      <c r="S34" s="5">
        <f>$S$1*Q34</f>
        <v>48.24</v>
      </c>
      <c r="T34" s="5">
        <f t="shared" si="8"/>
        <v>551.18000000000006</v>
      </c>
      <c r="U34" s="5"/>
      <c r="V34" s="1"/>
      <c r="W34" s="1"/>
      <c r="X34" s="1">
        <f t="shared" si="9"/>
        <v>14.400000000000002</v>
      </c>
      <c r="Y34" s="1">
        <f t="shared" si="10"/>
        <v>9.8296849087893872</v>
      </c>
      <c r="Z34" s="1">
        <v>117.2</v>
      </c>
      <c r="AA34" s="1">
        <v>87</v>
      </c>
      <c r="AB34" s="1">
        <v>88.6</v>
      </c>
      <c r="AC34" s="1">
        <v>109.8</v>
      </c>
      <c r="AD34" s="1">
        <v>102</v>
      </c>
      <c r="AE34" s="1">
        <v>103</v>
      </c>
      <c r="AF34" s="1">
        <v>92</v>
      </c>
      <c r="AG34" s="1">
        <v>95</v>
      </c>
      <c r="AH34" s="1" t="s">
        <v>70</v>
      </c>
      <c r="AI34" s="1">
        <f t="shared" si="11"/>
        <v>248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41</v>
      </c>
      <c r="C35" s="1">
        <v>1769</v>
      </c>
      <c r="D35" s="1">
        <v>2281</v>
      </c>
      <c r="E35" s="1">
        <v>1596</v>
      </c>
      <c r="F35" s="1">
        <v>2364</v>
      </c>
      <c r="G35" s="8">
        <v>0.4</v>
      </c>
      <c r="H35" s="1">
        <v>45</v>
      </c>
      <c r="I35" s="1" t="s">
        <v>37</v>
      </c>
      <c r="J35" s="1"/>
      <c r="K35" s="1">
        <v>1617</v>
      </c>
      <c r="L35" s="1">
        <f t="shared" si="4"/>
        <v>-21</v>
      </c>
      <c r="M35" s="1">
        <f t="shared" si="5"/>
        <v>1596</v>
      </c>
      <c r="N35" s="1"/>
      <c r="O35" s="1"/>
      <c r="P35" s="1">
        <v>1190.778</v>
      </c>
      <c r="Q35" s="1">
        <f t="shared" si="6"/>
        <v>319.2</v>
      </c>
      <c r="R35" s="5">
        <f t="shared" si="15"/>
        <v>914.02199999999993</v>
      </c>
      <c r="S35" s="5"/>
      <c r="T35" s="5">
        <f t="shared" si="8"/>
        <v>914.02199999999993</v>
      </c>
      <c r="U35" s="5"/>
      <c r="V35" s="1"/>
      <c r="W35" s="1"/>
      <c r="X35" s="1">
        <f t="shared" si="9"/>
        <v>14.000000000000002</v>
      </c>
      <c r="Y35" s="1">
        <f t="shared" si="10"/>
        <v>11.136522556390979</v>
      </c>
      <c r="Z35" s="1">
        <v>311.39999999999998</v>
      </c>
      <c r="AA35" s="1">
        <v>339.4</v>
      </c>
      <c r="AB35" s="1">
        <v>353.8</v>
      </c>
      <c r="AC35" s="1">
        <v>297.39999999999998</v>
      </c>
      <c r="AD35" s="1">
        <v>270.39999999999998</v>
      </c>
      <c r="AE35" s="1">
        <v>274.39999999999998</v>
      </c>
      <c r="AF35" s="1">
        <v>259.2</v>
      </c>
      <c r="AG35" s="1">
        <v>260.8</v>
      </c>
      <c r="AH35" s="1" t="s">
        <v>72</v>
      </c>
      <c r="AI35" s="1">
        <f t="shared" si="11"/>
        <v>366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41</v>
      </c>
      <c r="C36" s="1">
        <v>81</v>
      </c>
      <c r="D36" s="1"/>
      <c r="E36" s="1">
        <v>52</v>
      </c>
      <c r="F36" s="1">
        <v>27</v>
      </c>
      <c r="G36" s="8">
        <v>0.4</v>
      </c>
      <c r="H36" s="1">
        <v>40</v>
      </c>
      <c r="I36" s="1" t="s">
        <v>37</v>
      </c>
      <c r="J36" s="1"/>
      <c r="K36" s="1">
        <v>52</v>
      </c>
      <c r="L36" s="1">
        <f t="shared" si="4"/>
        <v>0</v>
      </c>
      <c r="M36" s="1">
        <f t="shared" si="5"/>
        <v>52</v>
      </c>
      <c r="N36" s="1"/>
      <c r="O36" s="1"/>
      <c r="P36" s="1">
        <v>93.640000000000015</v>
      </c>
      <c r="Q36" s="1">
        <f t="shared" si="6"/>
        <v>10.4</v>
      </c>
      <c r="R36" s="5">
        <f>12*Q36-P36-O36-F36</f>
        <v>4.1599999999999966</v>
      </c>
      <c r="S36" s="5"/>
      <c r="T36" s="5">
        <f t="shared" si="8"/>
        <v>4.1599999999999966</v>
      </c>
      <c r="U36" s="5"/>
      <c r="V36" s="1"/>
      <c r="W36" s="1"/>
      <c r="X36" s="1">
        <f t="shared" si="9"/>
        <v>12</v>
      </c>
      <c r="Y36" s="1">
        <f t="shared" si="10"/>
        <v>11.600000000000001</v>
      </c>
      <c r="Z36" s="1">
        <v>12.8</v>
      </c>
      <c r="AA36" s="1">
        <v>6.6</v>
      </c>
      <c r="AB36" s="1">
        <v>4.2</v>
      </c>
      <c r="AC36" s="1">
        <v>8.8000000000000007</v>
      </c>
      <c r="AD36" s="1">
        <v>8.4</v>
      </c>
      <c r="AE36" s="1">
        <v>6.2</v>
      </c>
      <c r="AF36" s="1">
        <v>6.8</v>
      </c>
      <c r="AG36" s="1">
        <v>15.4</v>
      </c>
      <c r="AH36" s="1"/>
      <c r="AI36" s="1">
        <f t="shared" si="11"/>
        <v>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36</v>
      </c>
      <c r="C37" s="1">
        <v>535.33900000000006</v>
      </c>
      <c r="D37" s="1">
        <v>762.81399999999996</v>
      </c>
      <c r="E37" s="1">
        <v>346.91500000000002</v>
      </c>
      <c r="F37" s="1">
        <v>931.93899999999996</v>
      </c>
      <c r="G37" s="8">
        <v>1</v>
      </c>
      <c r="H37" s="1">
        <v>45</v>
      </c>
      <c r="I37" s="1" t="s">
        <v>37</v>
      </c>
      <c r="J37" s="1"/>
      <c r="K37" s="1">
        <v>345.92399999999998</v>
      </c>
      <c r="L37" s="1">
        <f t="shared" si="4"/>
        <v>0.99100000000004229</v>
      </c>
      <c r="M37" s="1">
        <f t="shared" si="5"/>
        <v>346.91500000000002</v>
      </c>
      <c r="N37" s="1"/>
      <c r="O37" s="1"/>
      <c r="P37" s="1">
        <v>0</v>
      </c>
      <c r="Q37" s="1">
        <f t="shared" si="6"/>
        <v>69.38300000000001</v>
      </c>
      <c r="R37" s="5">
        <f t="shared" si="15"/>
        <v>39.423000000000116</v>
      </c>
      <c r="S37" s="5"/>
      <c r="T37" s="5">
        <f t="shared" si="8"/>
        <v>39.423000000000116</v>
      </c>
      <c r="U37" s="5"/>
      <c r="V37" s="1"/>
      <c r="W37" s="1"/>
      <c r="X37" s="1">
        <f t="shared" si="9"/>
        <v>14</v>
      </c>
      <c r="Y37" s="1">
        <f t="shared" si="10"/>
        <v>13.431806062003659</v>
      </c>
      <c r="Z37" s="1">
        <v>68.669000000000011</v>
      </c>
      <c r="AA37" s="1">
        <v>105.89400000000001</v>
      </c>
      <c r="AB37" s="1">
        <v>90.141199999999998</v>
      </c>
      <c r="AC37" s="1">
        <v>78.867400000000004</v>
      </c>
      <c r="AD37" s="1">
        <v>82.456600000000009</v>
      </c>
      <c r="AE37" s="1">
        <v>76.686800000000005</v>
      </c>
      <c r="AF37" s="1">
        <v>76.649799999999999</v>
      </c>
      <c r="AG37" s="1">
        <v>97.777799999999999</v>
      </c>
      <c r="AH37" s="1"/>
      <c r="AI37" s="1">
        <f t="shared" si="11"/>
        <v>39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41</v>
      </c>
      <c r="C38" s="1">
        <v>647</v>
      </c>
      <c r="D38" s="1">
        <v>80</v>
      </c>
      <c r="E38" s="1">
        <v>195</v>
      </c>
      <c r="F38" s="1">
        <v>527</v>
      </c>
      <c r="G38" s="8">
        <v>0.1</v>
      </c>
      <c r="H38" s="1">
        <v>730</v>
      </c>
      <c r="I38" s="1" t="s">
        <v>37</v>
      </c>
      <c r="J38" s="1"/>
      <c r="K38" s="1">
        <v>195</v>
      </c>
      <c r="L38" s="1">
        <f t="shared" ref="L38:L69" si="16">E38-K38</f>
        <v>0</v>
      </c>
      <c r="M38" s="1">
        <f t="shared" si="5"/>
        <v>195</v>
      </c>
      <c r="N38" s="1"/>
      <c r="O38" s="1"/>
      <c r="P38" s="1">
        <v>0</v>
      </c>
      <c r="Q38" s="1">
        <f t="shared" si="6"/>
        <v>39</v>
      </c>
      <c r="R38" s="5">
        <f t="shared" si="15"/>
        <v>19</v>
      </c>
      <c r="S38" s="5"/>
      <c r="T38" s="5">
        <f t="shared" si="8"/>
        <v>19</v>
      </c>
      <c r="U38" s="5"/>
      <c r="V38" s="1"/>
      <c r="W38" s="1"/>
      <c r="X38" s="1">
        <f t="shared" si="9"/>
        <v>14</v>
      </c>
      <c r="Y38" s="1">
        <f t="shared" si="10"/>
        <v>13.512820512820513</v>
      </c>
      <c r="Z38" s="1">
        <v>39.4</v>
      </c>
      <c r="AA38" s="1">
        <v>45.6</v>
      </c>
      <c r="AB38" s="1">
        <v>49.2</v>
      </c>
      <c r="AC38" s="1">
        <v>49.2</v>
      </c>
      <c r="AD38" s="1">
        <v>63</v>
      </c>
      <c r="AE38" s="1">
        <v>63.6</v>
      </c>
      <c r="AF38" s="1">
        <v>58.2</v>
      </c>
      <c r="AG38" s="1">
        <v>67.599999999999994</v>
      </c>
      <c r="AH38" s="1"/>
      <c r="AI38" s="1">
        <f t="shared" si="11"/>
        <v>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41</v>
      </c>
      <c r="C39" s="1">
        <v>222</v>
      </c>
      <c r="D39" s="1">
        <v>689</v>
      </c>
      <c r="E39" s="1">
        <v>459</v>
      </c>
      <c r="F39" s="1">
        <v>405</v>
      </c>
      <c r="G39" s="8">
        <v>0.35</v>
      </c>
      <c r="H39" s="1">
        <v>40</v>
      </c>
      <c r="I39" s="1" t="s">
        <v>37</v>
      </c>
      <c r="J39" s="1"/>
      <c r="K39" s="1">
        <v>493</v>
      </c>
      <c r="L39" s="1">
        <f t="shared" si="16"/>
        <v>-34</v>
      </c>
      <c r="M39" s="1">
        <f t="shared" si="5"/>
        <v>459</v>
      </c>
      <c r="N39" s="1"/>
      <c r="O39" s="1"/>
      <c r="P39" s="1">
        <v>518.88</v>
      </c>
      <c r="Q39" s="1">
        <f t="shared" si="6"/>
        <v>91.8</v>
      </c>
      <c r="R39" s="5">
        <f t="shared" ref="R39:R41" si="17">12*Q39-P39-O39-F39</f>
        <v>177.71999999999991</v>
      </c>
      <c r="S39" s="5"/>
      <c r="T39" s="5">
        <f t="shared" si="8"/>
        <v>177.71999999999991</v>
      </c>
      <c r="U39" s="5"/>
      <c r="V39" s="1"/>
      <c r="W39" s="1"/>
      <c r="X39" s="1">
        <f t="shared" si="9"/>
        <v>12</v>
      </c>
      <c r="Y39" s="1">
        <f t="shared" si="10"/>
        <v>10.064052287581699</v>
      </c>
      <c r="Z39" s="1">
        <v>89.6</v>
      </c>
      <c r="AA39" s="1">
        <v>77.8</v>
      </c>
      <c r="AB39" s="1">
        <v>80.2</v>
      </c>
      <c r="AC39" s="1">
        <v>86.2</v>
      </c>
      <c r="AD39" s="1">
        <v>75.400000000000006</v>
      </c>
      <c r="AE39" s="1">
        <v>86.6</v>
      </c>
      <c r="AF39" s="1">
        <v>90.8</v>
      </c>
      <c r="AG39" s="1">
        <v>78.599999999999994</v>
      </c>
      <c r="AH39" s="1" t="s">
        <v>77</v>
      </c>
      <c r="AI39" s="1">
        <f t="shared" si="11"/>
        <v>62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36</v>
      </c>
      <c r="C40" s="1">
        <v>19.878</v>
      </c>
      <c r="D40" s="1">
        <v>512.97</v>
      </c>
      <c r="E40" s="1">
        <v>204.071</v>
      </c>
      <c r="F40" s="1">
        <v>257.30799999999999</v>
      </c>
      <c r="G40" s="8">
        <v>1</v>
      </c>
      <c r="H40" s="1">
        <v>40</v>
      </c>
      <c r="I40" s="1" t="s">
        <v>37</v>
      </c>
      <c r="J40" s="1"/>
      <c r="K40" s="1">
        <v>301.26400000000001</v>
      </c>
      <c r="L40" s="1">
        <f t="shared" si="16"/>
        <v>-97.193000000000012</v>
      </c>
      <c r="M40" s="1">
        <f t="shared" si="5"/>
        <v>142.77199999999999</v>
      </c>
      <c r="N40" s="1">
        <v>61.298999999999999</v>
      </c>
      <c r="O40" s="1"/>
      <c r="P40" s="1">
        <v>135.43521000000001</v>
      </c>
      <c r="Q40" s="1">
        <f t="shared" si="6"/>
        <v>28.554399999999998</v>
      </c>
      <c r="R40" s="5"/>
      <c r="S40" s="5"/>
      <c r="T40" s="5">
        <f t="shared" si="8"/>
        <v>0</v>
      </c>
      <c r="U40" s="5"/>
      <c r="V40" s="1"/>
      <c r="W40" s="1"/>
      <c r="X40" s="1">
        <f t="shared" si="9"/>
        <v>13.75420985907601</v>
      </c>
      <c r="Y40" s="1">
        <f t="shared" si="10"/>
        <v>13.75420985907601</v>
      </c>
      <c r="Z40" s="1">
        <v>37.6922</v>
      </c>
      <c r="AA40" s="1">
        <v>36.742400000000004</v>
      </c>
      <c r="AB40" s="1">
        <v>31.194600000000001</v>
      </c>
      <c r="AC40" s="1">
        <v>25.7182</v>
      </c>
      <c r="AD40" s="1">
        <v>24.661999999999999</v>
      </c>
      <c r="AE40" s="1">
        <v>30.4862</v>
      </c>
      <c r="AF40" s="1">
        <v>27.222000000000001</v>
      </c>
      <c r="AG40" s="1">
        <v>27.058199999999999</v>
      </c>
      <c r="AH40" s="1"/>
      <c r="AI40" s="1">
        <f t="shared" si="11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41</v>
      </c>
      <c r="C41" s="1">
        <v>310</v>
      </c>
      <c r="D41" s="1">
        <v>264</v>
      </c>
      <c r="E41" s="1">
        <v>301</v>
      </c>
      <c r="F41" s="1">
        <v>242</v>
      </c>
      <c r="G41" s="8">
        <v>0.4</v>
      </c>
      <c r="H41" s="1">
        <v>40</v>
      </c>
      <c r="I41" s="1" t="s">
        <v>37</v>
      </c>
      <c r="J41" s="1"/>
      <c r="K41" s="1">
        <v>312</v>
      </c>
      <c r="L41" s="1">
        <f t="shared" si="16"/>
        <v>-11</v>
      </c>
      <c r="M41" s="1">
        <f t="shared" si="5"/>
        <v>301</v>
      </c>
      <c r="N41" s="1"/>
      <c r="O41" s="1"/>
      <c r="P41" s="1">
        <v>159.3300000000001</v>
      </c>
      <c r="Q41" s="1">
        <f t="shared" si="6"/>
        <v>60.2</v>
      </c>
      <c r="R41" s="5">
        <f t="shared" si="17"/>
        <v>321.06999999999994</v>
      </c>
      <c r="S41" s="5"/>
      <c r="T41" s="5">
        <f t="shared" si="8"/>
        <v>321.06999999999994</v>
      </c>
      <c r="U41" s="5"/>
      <c r="V41" s="1"/>
      <c r="W41" s="1"/>
      <c r="X41" s="1">
        <f t="shared" si="9"/>
        <v>12.000000000000002</v>
      </c>
      <c r="Y41" s="1">
        <f t="shared" si="10"/>
        <v>6.6666112956810641</v>
      </c>
      <c r="Z41" s="1">
        <v>46.6</v>
      </c>
      <c r="AA41" s="1">
        <v>47.2</v>
      </c>
      <c r="AB41" s="1">
        <v>43.6</v>
      </c>
      <c r="AC41" s="1">
        <v>18.2</v>
      </c>
      <c r="AD41" s="1">
        <v>25</v>
      </c>
      <c r="AE41" s="1">
        <v>56.2</v>
      </c>
      <c r="AF41" s="1">
        <v>46</v>
      </c>
      <c r="AG41" s="1">
        <v>30.4</v>
      </c>
      <c r="AH41" s="1"/>
      <c r="AI41" s="1">
        <f t="shared" si="11"/>
        <v>128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41</v>
      </c>
      <c r="C42" s="1">
        <v>456</v>
      </c>
      <c r="D42" s="1">
        <v>210</v>
      </c>
      <c r="E42" s="1">
        <v>459</v>
      </c>
      <c r="F42" s="1">
        <v>140</v>
      </c>
      <c r="G42" s="8">
        <v>0.4</v>
      </c>
      <c r="H42" s="1">
        <v>45</v>
      </c>
      <c r="I42" s="1" t="s">
        <v>37</v>
      </c>
      <c r="J42" s="1"/>
      <c r="K42" s="1">
        <v>476</v>
      </c>
      <c r="L42" s="1">
        <f t="shared" si="16"/>
        <v>-17</v>
      </c>
      <c r="M42" s="1">
        <f t="shared" si="5"/>
        <v>459</v>
      </c>
      <c r="N42" s="1"/>
      <c r="O42" s="1"/>
      <c r="P42" s="1">
        <v>520.99000000000024</v>
      </c>
      <c r="Q42" s="1">
        <f t="shared" si="6"/>
        <v>91.8</v>
      </c>
      <c r="R42" s="5">
        <f t="shared" si="15"/>
        <v>624.20999999999981</v>
      </c>
      <c r="S42" s="5"/>
      <c r="T42" s="5">
        <f t="shared" si="8"/>
        <v>624.20999999999981</v>
      </c>
      <c r="U42" s="5"/>
      <c r="V42" s="1"/>
      <c r="W42" s="1"/>
      <c r="X42" s="1">
        <f t="shared" si="9"/>
        <v>14.000000000000002</v>
      </c>
      <c r="Y42" s="1">
        <f t="shared" si="10"/>
        <v>7.2003267973856238</v>
      </c>
      <c r="Z42" s="1">
        <v>70.2</v>
      </c>
      <c r="AA42" s="1">
        <v>57.8</v>
      </c>
      <c r="AB42" s="1">
        <v>60</v>
      </c>
      <c r="AC42" s="1">
        <v>57.2</v>
      </c>
      <c r="AD42" s="1">
        <v>53</v>
      </c>
      <c r="AE42" s="1">
        <v>60.8</v>
      </c>
      <c r="AF42" s="1">
        <v>53.6</v>
      </c>
      <c r="AG42" s="1">
        <v>41.4</v>
      </c>
      <c r="AH42" s="1" t="s">
        <v>72</v>
      </c>
      <c r="AI42" s="1">
        <f t="shared" si="11"/>
        <v>250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36</v>
      </c>
      <c r="C43" s="1">
        <v>286.702</v>
      </c>
      <c r="D43" s="1">
        <v>505.05900000000003</v>
      </c>
      <c r="E43" s="1">
        <v>353.88600000000002</v>
      </c>
      <c r="F43" s="1">
        <v>361.76299999999998</v>
      </c>
      <c r="G43" s="8">
        <v>1</v>
      </c>
      <c r="H43" s="1">
        <v>40</v>
      </c>
      <c r="I43" s="1" t="s">
        <v>37</v>
      </c>
      <c r="J43" s="1"/>
      <c r="K43" s="1">
        <v>446.16699999999997</v>
      </c>
      <c r="L43" s="1">
        <f t="shared" si="16"/>
        <v>-92.280999999999949</v>
      </c>
      <c r="M43" s="1">
        <f t="shared" si="5"/>
        <v>293.00100000000003</v>
      </c>
      <c r="N43" s="1">
        <v>60.884999999999998</v>
      </c>
      <c r="O43" s="1"/>
      <c r="P43" s="1">
        <v>275.71951999999987</v>
      </c>
      <c r="Q43" s="1">
        <f t="shared" si="6"/>
        <v>58.600200000000008</v>
      </c>
      <c r="R43" s="5">
        <f t="shared" ref="R43:R45" si="18">12*Q43-P43-O43-F43</f>
        <v>65.719880000000273</v>
      </c>
      <c r="S43" s="5"/>
      <c r="T43" s="5">
        <f t="shared" si="8"/>
        <v>65.719880000000273</v>
      </c>
      <c r="U43" s="5"/>
      <c r="V43" s="1"/>
      <c r="W43" s="1"/>
      <c r="X43" s="1">
        <f t="shared" si="9"/>
        <v>12</v>
      </c>
      <c r="Y43" s="1">
        <f t="shared" si="10"/>
        <v>10.878504168927746</v>
      </c>
      <c r="Z43" s="1">
        <v>61.506399999999999</v>
      </c>
      <c r="AA43" s="1">
        <v>58.0304</v>
      </c>
      <c r="AB43" s="1">
        <v>57.372</v>
      </c>
      <c r="AC43" s="1">
        <v>52.2864</v>
      </c>
      <c r="AD43" s="1">
        <v>53.046799999999998</v>
      </c>
      <c r="AE43" s="1">
        <v>46.023600000000002</v>
      </c>
      <c r="AF43" s="1">
        <v>41.178600000000003</v>
      </c>
      <c r="AG43" s="1">
        <v>47.337400000000002</v>
      </c>
      <c r="AH43" s="1"/>
      <c r="AI43" s="1">
        <f t="shared" si="11"/>
        <v>66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41</v>
      </c>
      <c r="C44" s="1">
        <v>2142</v>
      </c>
      <c r="D44" s="1">
        <v>1269</v>
      </c>
      <c r="E44" s="1">
        <v>1805</v>
      </c>
      <c r="F44" s="1">
        <v>1460</v>
      </c>
      <c r="G44" s="8">
        <v>0.35</v>
      </c>
      <c r="H44" s="1">
        <v>40</v>
      </c>
      <c r="I44" s="1" t="s">
        <v>37</v>
      </c>
      <c r="J44" s="1"/>
      <c r="K44" s="1">
        <v>1916</v>
      </c>
      <c r="L44" s="1">
        <f t="shared" si="16"/>
        <v>-111</v>
      </c>
      <c r="M44" s="1">
        <f t="shared" si="5"/>
        <v>1805</v>
      </c>
      <c r="N44" s="1"/>
      <c r="O44" s="1"/>
      <c r="P44" s="1">
        <v>2194.23</v>
      </c>
      <c r="Q44" s="1">
        <f t="shared" si="6"/>
        <v>361</v>
      </c>
      <c r="R44" s="5">
        <f t="shared" si="18"/>
        <v>677.77</v>
      </c>
      <c r="S44" s="5"/>
      <c r="T44" s="5">
        <f t="shared" si="8"/>
        <v>677.77</v>
      </c>
      <c r="U44" s="5"/>
      <c r="V44" s="1"/>
      <c r="W44" s="1"/>
      <c r="X44" s="1">
        <f t="shared" si="9"/>
        <v>12</v>
      </c>
      <c r="Y44" s="1">
        <f t="shared" si="10"/>
        <v>10.122520775623268</v>
      </c>
      <c r="Z44" s="1">
        <v>344.6</v>
      </c>
      <c r="AA44" s="1">
        <v>298.2</v>
      </c>
      <c r="AB44" s="1">
        <v>314.60000000000002</v>
      </c>
      <c r="AC44" s="1">
        <v>330.8</v>
      </c>
      <c r="AD44" s="1">
        <v>334</v>
      </c>
      <c r="AE44" s="1">
        <v>353.8</v>
      </c>
      <c r="AF44" s="1">
        <v>329.2</v>
      </c>
      <c r="AG44" s="1">
        <v>324.39999999999998</v>
      </c>
      <c r="AH44" s="1" t="s">
        <v>47</v>
      </c>
      <c r="AI44" s="1">
        <f t="shared" si="11"/>
        <v>237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41</v>
      </c>
      <c r="C45" s="1">
        <v>295</v>
      </c>
      <c r="D45" s="1">
        <v>1502</v>
      </c>
      <c r="E45" s="1">
        <v>661</v>
      </c>
      <c r="F45" s="1">
        <v>1088</v>
      </c>
      <c r="G45" s="8">
        <v>0.4</v>
      </c>
      <c r="H45" s="1">
        <v>40</v>
      </c>
      <c r="I45" s="1" t="s">
        <v>37</v>
      </c>
      <c r="J45" s="1"/>
      <c r="K45" s="1">
        <v>714</v>
      </c>
      <c r="L45" s="1">
        <f t="shared" si="16"/>
        <v>-53</v>
      </c>
      <c r="M45" s="1">
        <f t="shared" si="5"/>
        <v>661</v>
      </c>
      <c r="N45" s="1"/>
      <c r="O45" s="1"/>
      <c r="P45" s="1">
        <v>474.86999999999989</v>
      </c>
      <c r="Q45" s="1">
        <f t="shared" si="6"/>
        <v>132.19999999999999</v>
      </c>
      <c r="R45" s="5">
        <f t="shared" si="18"/>
        <v>23.529999999999973</v>
      </c>
      <c r="S45" s="5"/>
      <c r="T45" s="5">
        <f t="shared" si="8"/>
        <v>23.529999999999973</v>
      </c>
      <c r="U45" s="5"/>
      <c r="V45" s="1"/>
      <c r="W45" s="1"/>
      <c r="X45" s="1">
        <f t="shared" si="9"/>
        <v>12</v>
      </c>
      <c r="Y45" s="1">
        <f t="shared" si="10"/>
        <v>11.822012102874433</v>
      </c>
      <c r="Z45" s="1">
        <v>149.4</v>
      </c>
      <c r="AA45" s="1">
        <v>151.6</v>
      </c>
      <c r="AB45" s="1">
        <v>140</v>
      </c>
      <c r="AC45" s="1">
        <v>133.4</v>
      </c>
      <c r="AD45" s="1">
        <v>115.2</v>
      </c>
      <c r="AE45" s="1">
        <v>138.02199999999999</v>
      </c>
      <c r="AF45" s="1">
        <v>143.6</v>
      </c>
      <c r="AG45" s="1">
        <v>130.80000000000001</v>
      </c>
      <c r="AH45" s="1"/>
      <c r="AI45" s="1">
        <f t="shared" si="11"/>
        <v>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36</v>
      </c>
      <c r="C46" s="1">
        <v>678.61599999999999</v>
      </c>
      <c r="D46" s="1">
        <v>315.92</v>
      </c>
      <c r="E46" s="1">
        <v>486.87599999999998</v>
      </c>
      <c r="F46" s="1">
        <v>474.21300000000002</v>
      </c>
      <c r="G46" s="8">
        <v>1</v>
      </c>
      <c r="H46" s="1">
        <v>50</v>
      </c>
      <c r="I46" s="1" t="s">
        <v>37</v>
      </c>
      <c r="J46" s="1"/>
      <c r="K46" s="1">
        <v>511.35300000000001</v>
      </c>
      <c r="L46" s="1">
        <f t="shared" si="16"/>
        <v>-24.477000000000032</v>
      </c>
      <c r="M46" s="1">
        <f t="shared" si="5"/>
        <v>465.30099999999999</v>
      </c>
      <c r="N46" s="1">
        <v>21.574999999999999</v>
      </c>
      <c r="O46" s="1">
        <v>157.22640000000001</v>
      </c>
      <c r="P46" s="1">
        <v>346.62544000000003</v>
      </c>
      <c r="Q46" s="1">
        <f t="shared" si="6"/>
        <v>93.060199999999995</v>
      </c>
      <c r="R46" s="5">
        <f t="shared" si="15"/>
        <v>324.77795999999984</v>
      </c>
      <c r="S46" s="5">
        <f t="shared" ref="S46:S47" si="19">$S$1*Q46</f>
        <v>37.224080000000001</v>
      </c>
      <c r="T46" s="5">
        <f t="shared" si="8"/>
        <v>362.00203999999985</v>
      </c>
      <c r="U46" s="5"/>
      <c r="V46" s="1"/>
      <c r="W46" s="1"/>
      <c r="X46" s="1">
        <f t="shared" si="9"/>
        <v>14.399999999999999</v>
      </c>
      <c r="Y46" s="1">
        <f t="shared" si="10"/>
        <v>10.510022974375728</v>
      </c>
      <c r="Z46" s="1">
        <v>85.131</v>
      </c>
      <c r="AA46" s="1">
        <v>69.878399999999999</v>
      </c>
      <c r="AB46" s="1">
        <v>74.82820000000001</v>
      </c>
      <c r="AC46" s="1">
        <v>78.015599999999992</v>
      </c>
      <c r="AD46" s="1">
        <v>85.325600000000009</v>
      </c>
      <c r="AE46" s="1">
        <v>86.111800000000002</v>
      </c>
      <c r="AF46" s="1">
        <v>83.411799999999999</v>
      </c>
      <c r="AG46" s="1">
        <v>88.43719999999999</v>
      </c>
      <c r="AH46" s="1"/>
      <c r="AI46" s="1">
        <f t="shared" si="11"/>
        <v>362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36</v>
      </c>
      <c r="C47" s="1">
        <v>962.72500000000002</v>
      </c>
      <c r="D47" s="1">
        <v>879.41</v>
      </c>
      <c r="E47" s="1">
        <v>748.13499999999999</v>
      </c>
      <c r="F47" s="1">
        <v>1013.718</v>
      </c>
      <c r="G47" s="8">
        <v>1</v>
      </c>
      <c r="H47" s="1">
        <v>50</v>
      </c>
      <c r="I47" s="1" t="s">
        <v>37</v>
      </c>
      <c r="J47" s="1"/>
      <c r="K47" s="1">
        <v>782.16899999999998</v>
      </c>
      <c r="L47" s="1">
        <f t="shared" si="16"/>
        <v>-34.033999999999992</v>
      </c>
      <c r="M47" s="1">
        <f t="shared" si="5"/>
        <v>704.46600000000001</v>
      </c>
      <c r="N47" s="1">
        <v>43.668999999999997</v>
      </c>
      <c r="O47" s="1">
        <v>306.98324999999988</v>
      </c>
      <c r="P47" s="1">
        <v>376.29545000000081</v>
      </c>
      <c r="Q47" s="1">
        <f t="shared" si="6"/>
        <v>140.89320000000001</v>
      </c>
      <c r="R47" s="5">
        <f t="shared" si="15"/>
        <v>275.50809999999944</v>
      </c>
      <c r="S47" s="5">
        <f t="shared" si="19"/>
        <v>56.357280000000003</v>
      </c>
      <c r="T47" s="5">
        <f t="shared" si="8"/>
        <v>331.86537999999945</v>
      </c>
      <c r="U47" s="5"/>
      <c r="V47" s="1"/>
      <c r="W47" s="1"/>
      <c r="X47" s="1">
        <f t="shared" si="9"/>
        <v>14.4</v>
      </c>
      <c r="Y47" s="1">
        <f t="shared" si="10"/>
        <v>12.044560702716671</v>
      </c>
      <c r="Z47" s="1">
        <v>145.45400000000001</v>
      </c>
      <c r="AA47" s="1">
        <v>136.43700000000001</v>
      </c>
      <c r="AB47" s="1">
        <v>128.56460000000001</v>
      </c>
      <c r="AC47" s="1">
        <v>136.21279999999999</v>
      </c>
      <c r="AD47" s="1">
        <v>135.34639999999999</v>
      </c>
      <c r="AE47" s="1">
        <v>137.33619999999999</v>
      </c>
      <c r="AF47" s="1">
        <v>156.09559999999999</v>
      </c>
      <c r="AG47" s="1">
        <v>150.91300000000001</v>
      </c>
      <c r="AH47" s="1"/>
      <c r="AI47" s="1">
        <f t="shared" si="11"/>
        <v>332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4" t="s">
        <v>86</v>
      </c>
      <c r="B48" s="14" t="s">
        <v>36</v>
      </c>
      <c r="C48" s="14"/>
      <c r="D48" s="14"/>
      <c r="E48" s="14"/>
      <c r="F48" s="14"/>
      <c r="G48" s="15">
        <v>0</v>
      </c>
      <c r="H48" s="14">
        <v>40</v>
      </c>
      <c r="I48" s="14" t="s">
        <v>37</v>
      </c>
      <c r="J48" s="14"/>
      <c r="K48" s="14"/>
      <c r="L48" s="14">
        <f t="shared" si="16"/>
        <v>0</v>
      </c>
      <c r="M48" s="14">
        <f t="shared" si="5"/>
        <v>0</v>
      </c>
      <c r="N48" s="14"/>
      <c r="O48" s="14"/>
      <c r="P48" s="14">
        <v>0</v>
      </c>
      <c r="Q48" s="14">
        <f t="shared" si="6"/>
        <v>0</v>
      </c>
      <c r="R48" s="16"/>
      <c r="S48" s="16"/>
      <c r="T48" s="5">
        <f t="shared" si="8"/>
        <v>0</v>
      </c>
      <c r="U48" s="16"/>
      <c r="V48" s="14"/>
      <c r="W48" s="14"/>
      <c r="X48" s="1" t="e">
        <f t="shared" si="9"/>
        <v>#DIV/0!</v>
      </c>
      <c r="Y48" s="14" t="e">
        <f t="shared" si="10"/>
        <v>#DIV/0!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 t="s">
        <v>65</v>
      </c>
      <c r="AI48" s="1">
        <f t="shared" si="11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41</v>
      </c>
      <c r="C49" s="1">
        <v>1591</v>
      </c>
      <c r="D49" s="1">
        <v>3</v>
      </c>
      <c r="E49" s="1">
        <v>550</v>
      </c>
      <c r="F49" s="1">
        <v>978</v>
      </c>
      <c r="G49" s="8">
        <v>0.45</v>
      </c>
      <c r="H49" s="1">
        <v>50</v>
      </c>
      <c r="I49" s="1" t="s">
        <v>37</v>
      </c>
      <c r="J49" s="1"/>
      <c r="K49" s="1">
        <v>564</v>
      </c>
      <c r="L49" s="1">
        <f t="shared" si="16"/>
        <v>-14</v>
      </c>
      <c r="M49" s="1">
        <f t="shared" si="5"/>
        <v>550</v>
      </c>
      <c r="N49" s="1"/>
      <c r="O49" s="1"/>
      <c r="P49" s="1">
        <v>77.540000000000049</v>
      </c>
      <c r="Q49" s="1">
        <f t="shared" si="6"/>
        <v>110</v>
      </c>
      <c r="R49" s="5">
        <f t="shared" ref="R49:R66" si="20">14*Q49-P49-O49-F49</f>
        <v>484.46000000000004</v>
      </c>
      <c r="S49" s="5">
        <f>$S$1*Q49</f>
        <v>44</v>
      </c>
      <c r="T49" s="5">
        <f t="shared" si="8"/>
        <v>528.46</v>
      </c>
      <c r="U49" s="5"/>
      <c r="V49" s="1"/>
      <c r="W49" s="1"/>
      <c r="X49" s="1">
        <f t="shared" si="9"/>
        <v>14.4</v>
      </c>
      <c r="Y49" s="1">
        <f t="shared" si="10"/>
        <v>9.5958181818181814</v>
      </c>
      <c r="Z49" s="1">
        <v>102.8</v>
      </c>
      <c r="AA49" s="1">
        <v>88</v>
      </c>
      <c r="AB49" s="1">
        <v>99.6</v>
      </c>
      <c r="AC49" s="1">
        <v>138</v>
      </c>
      <c r="AD49" s="1">
        <v>139.4</v>
      </c>
      <c r="AE49" s="1">
        <v>154</v>
      </c>
      <c r="AF49" s="1">
        <v>153.80000000000001</v>
      </c>
      <c r="AG49" s="1">
        <v>103.4</v>
      </c>
      <c r="AH49" s="1" t="s">
        <v>88</v>
      </c>
      <c r="AI49" s="1">
        <f t="shared" si="11"/>
        <v>238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41</v>
      </c>
      <c r="C50" s="1">
        <v>92</v>
      </c>
      <c r="D50" s="1">
        <v>157</v>
      </c>
      <c r="E50" s="1">
        <v>137</v>
      </c>
      <c r="F50" s="1">
        <v>78</v>
      </c>
      <c r="G50" s="8">
        <v>0.4</v>
      </c>
      <c r="H50" s="1">
        <v>40</v>
      </c>
      <c r="I50" s="1" t="s">
        <v>37</v>
      </c>
      <c r="J50" s="1"/>
      <c r="K50" s="1">
        <v>144</v>
      </c>
      <c r="L50" s="1">
        <f t="shared" si="16"/>
        <v>-7</v>
      </c>
      <c r="M50" s="1">
        <f t="shared" si="5"/>
        <v>137</v>
      </c>
      <c r="N50" s="1"/>
      <c r="O50" s="1"/>
      <c r="P50" s="1">
        <v>60.809999999999953</v>
      </c>
      <c r="Q50" s="1">
        <f t="shared" si="6"/>
        <v>27.4</v>
      </c>
      <c r="R50" s="5">
        <f t="shared" ref="R50" si="21">12*Q50-P50-O50-F50</f>
        <v>189.99</v>
      </c>
      <c r="S50" s="5"/>
      <c r="T50" s="5">
        <f t="shared" si="8"/>
        <v>189.99</v>
      </c>
      <c r="U50" s="5"/>
      <c r="V50" s="1"/>
      <c r="W50" s="1"/>
      <c r="X50" s="1">
        <f t="shared" si="9"/>
        <v>11.999999999999998</v>
      </c>
      <c r="Y50" s="1">
        <f t="shared" si="10"/>
        <v>5.0660583941605823</v>
      </c>
      <c r="Z50" s="1">
        <v>20.2</v>
      </c>
      <c r="AA50" s="1">
        <v>20.6</v>
      </c>
      <c r="AB50" s="1">
        <v>26.6</v>
      </c>
      <c r="AC50" s="1">
        <v>26.6</v>
      </c>
      <c r="AD50" s="1">
        <v>18.600000000000001</v>
      </c>
      <c r="AE50" s="1">
        <v>23</v>
      </c>
      <c r="AF50" s="1">
        <v>18.2</v>
      </c>
      <c r="AG50" s="1">
        <v>16.8</v>
      </c>
      <c r="AH50" s="1"/>
      <c r="AI50" s="1">
        <f t="shared" si="11"/>
        <v>76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41</v>
      </c>
      <c r="C51" s="1">
        <v>189</v>
      </c>
      <c r="D51" s="1">
        <v>224</v>
      </c>
      <c r="E51" s="1">
        <v>154</v>
      </c>
      <c r="F51" s="1">
        <v>250</v>
      </c>
      <c r="G51" s="8">
        <v>0.4</v>
      </c>
      <c r="H51" s="1">
        <v>40</v>
      </c>
      <c r="I51" s="1" t="s">
        <v>37</v>
      </c>
      <c r="J51" s="1"/>
      <c r="K51" s="1">
        <v>159</v>
      </c>
      <c r="L51" s="1">
        <f t="shared" si="16"/>
        <v>-5</v>
      </c>
      <c r="M51" s="1">
        <f t="shared" si="5"/>
        <v>154</v>
      </c>
      <c r="N51" s="1"/>
      <c r="O51" s="1"/>
      <c r="P51" s="1">
        <v>147.78</v>
      </c>
      <c r="Q51" s="1">
        <f t="shared" si="6"/>
        <v>30.8</v>
      </c>
      <c r="R51" s="5"/>
      <c r="S51" s="5"/>
      <c r="T51" s="5">
        <f t="shared" si="8"/>
        <v>0</v>
      </c>
      <c r="U51" s="5"/>
      <c r="V51" s="1"/>
      <c r="W51" s="1"/>
      <c r="X51" s="1">
        <f t="shared" si="9"/>
        <v>12.914935064935063</v>
      </c>
      <c r="Y51" s="1">
        <f t="shared" si="10"/>
        <v>12.914935064935063</v>
      </c>
      <c r="Z51" s="1">
        <v>35.6</v>
      </c>
      <c r="AA51" s="1">
        <v>35.200000000000003</v>
      </c>
      <c r="AB51" s="1">
        <v>37.200000000000003</v>
      </c>
      <c r="AC51" s="1">
        <v>40</v>
      </c>
      <c r="AD51" s="1">
        <v>40</v>
      </c>
      <c r="AE51" s="1">
        <v>35.4</v>
      </c>
      <c r="AF51" s="1">
        <v>36.799999999999997</v>
      </c>
      <c r="AG51" s="1">
        <v>61</v>
      </c>
      <c r="AH51" s="1" t="s">
        <v>47</v>
      </c>
      <c r="AI51" s="1">
        <f t="shared" si="11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36</v>
      </c>
      <c r="C52" s="1">
        <v>598.88400000000001</v>
      </c>
      <c r="D52" s="1">
        <v>423.23500000000001</v>
      </c>
      <c r="E52" s="1">
        <v>401.22899999999998</v>
      </c>
      <c r="F52" s="1">
        <v>565.89499999999998</v>
      </c>
      <c r="G52" s="8">
        <v>1</v>
      </c>
      <c r="H52" s="1">
        <v>50</v>
      </c>
      <c r="I52" s="1" t="s">
        <v>37</v>
      </c>
      <c r="J52" s="1"/>
      <c r="K52" s="1">
        <v>428.70600000000002</v>
      </c>
      <c r="L52" s="1">
        <f t="shared" si="16"/>
        <v>-27.477000000000032</v>
      </c>
      <c r="M52" s="1">
        <f t="shared" si="5"/>
        <v>369.02299999999997</v>
      </c>
      <c r="N52" s="1">
        <v>32.206000000000003</v>
      </c>
      <c r="O52" s="1">
        <v>164.30760000000001</v>
      </c>
      <c r="P52" s="1">
        <v>123.2681400000003</v>
      </c>
      <c r="Q52" s="1">
        <f t="shared" si="6"/>
        <v>73.804599999999994</v>
      </c>
      <c r="R52" s="5">
        <f t="shared" si="20"/>
        <v>179.7936599999997</v>
      </c>
      <c r="S52" s="5">
        <f>$S$1*Q52</f>
        <v>29.521839999999997</v>
      </c>
      <c r="T52" s="5">
        <f t="shared" si="8"/>
        <v>209.3154999999997</v>
      </c>
      <c r="U52" s="5"/>
      <c r="V52" s="1"/>
      <c r="W52" s="1"/>
      <c r="X52" s="1">
        <f t="shared" si="9"/>
        <v>14.4</v>
      </c>
      <c r="Y52" s="1">
        <f t="shared" si="10"/>
        <v>11.563923386889169</v>
      </c>
      <c r="Z52" s="1">
        <v>73.170400000000001</v>
      </c>
      <c r="AA52" s="1">
        <v>73.025599999999997</v>
      </c>
      <c r="AB52" s="1">
        <v>70.519599999999997</v>
      </c>
      <c r="AC52" s="1">
        <v>65.875399999999999</v>
      </c>
      <c r="AD52" s="1">
        <v>75.746800000000007</v>
      </c>
      <c r="AE52" s="1">
        <v>78.845200000000006</v>
      </c>
      <c r="AF52" s="1">
        <v>84.103800000000007</v>
      </c>
      <c r="AG52" s="1">
        <v>70.336199999999991</v>
      </c>
      <c r="AH52" s="1"/>
      <c r="AI52" s="1">
        <f t="shared" si="11"/>
        <v>209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41</v>
      </c>
      <c r="C53" s="1">
        <v>221</v>
      </c>
      <c r="D53" s="1">
        <v>80</v>
      </c>
      <c r="E53" s="1">
        <v>102</v>
      </c>
      <c r="F53" s="1">
        <v>194</v>
      </c>
      <c r="G53" s="8">
        <v>0.1</v>
      </c>
      <c r="H53" s="1">
        <v>730</v>
      </c>
      <c r="I53" s="1" t="s">
        <v>37</v>
      </c>
      <c r="J53" s="1"/>
      <c r="K53" s="1">
        <v>102</v>
      </c>
      <c r="L53" s="1">
        <f t="shared" si="16"/>
        <v>0</v>
      </c>
      <c r="M53" s="1">
        <f t="shared" si="5"/>
        <v>102</v>
      </c>
      <c r="N53" s="1"/>
      <c r="O53" s="1"/>
      <c r="P53" s="1">
        <v>81.099999999999994</v>
      </c>
      <c r="Q53" s="1">
        <f t="shared" si="6"/>
        <v>20.399999999999999</v>
      </c>
      <c r="R53" s="5">
        <f t="shared" si="20"/>
        <v>10.499999999999972</v>
      </c>
      <c r="S53" s="5"/>
      <c r="T53" s="5">
        <f t="shared" si="8"/>
        <v>10.499999999999972</v>
      </c>
      <c r="U53" s="5"/>
      <c r="V53" s="1"/>
      <c r="W53" s="1"/>
      <c r="X53" s="1">
        <f t="shared" si="9"/>
        <v>14.000000000000002</v>
      </c>
      <c r="Y53" s="1">
        <f t="shared" si="10"/>
        <v>13.485294117647062</v>
      </c>
      <c r="Z53" s="1">
        <v>22</v>
      </c>
      <c r="AA53" s="1">
        <v>25</v>
      </c>
      <c r="AB53" s="1">
        <v>28.8</v>
      </c>
      <c r="AC53" s="1">
        <v>24.8</v>
      </c>
      <c r="AD53" s="1">
        <v>29.4</v>
      </c>
      <c r="AE53" s="1">
        <v>37.4</v>
      </c>
      <c r="AF53" s="1">
        <v>31.6</v>
      </c>
      <c r="AG53" s="1">
        <v>32</v>
      </c>
      <c r="AH53" s="1"/>
      <c r="AI53" s="1">
        <f t="shared" si="11"/>
        <v>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36</v>
      </c>
      <c r="C54" s="1">
        <v>1072.443</v>
      </c>
      <c r="D54" s="1">
        <v>1060.2850000000001</v>
      </c>
      <c r="E54" s="1">
        <v>853.33399999999995</v>
      </c>
      <c r="F54" s="1">
        <v>1213.673</v>
      </c>
      <c r="G54" s="8">
        <v>1</v>
      </c>
      <c r="H54" s="1">
        <v>50</v>
      </c>
      <c r="I54" s="1" t="s">
        <v>37</v>
      </c>
      <c r="J54" s="1"/>
      <c r="K54" s="1">
        <v>890.976</v>
      </c>
      <c r="L54" s="1">
        <f t="shared" si="16"/>
        <v>-37.642000000000053</v>
      </c>
      <c r="M54" s="1">
        <f t="shared" si="5"/>
        <v>853.33399999999995</v>
      </c>
      <c r="N54" s="1"/>
      <c r="O54" s="1">
        <v>354.05999999999989</v>
      </c>
      <c r="P54" s="1">
        <v>325.99936000000031</v>
      </c>
      <c r="Q54" s="1">
        <f t="shared" si="6"/>
        <v>170.66679999999999</v>
      </c>
      <c r="R54" s="5">
        <f t="shared" si="20"/>
        <v>495.60283999999979</v>
      </c>
      <c r="S54" s="5">
        <f>$S$1*Q54</f>
        <v>68.266720000000007</v>
      </c>
      <c r="T54" s="5">
        <f t="shared" si="8"/>
        <v>563.86955999999975</v>
      </c>
      <c r="U54" s="5"/>
      <c r="V54" s="1"/>
      <c r="W54" s="1"/>
      <c r="X54" s="1">
        <f t="shared" si="9"/>
        <v>14.4</v>
      </c>
      <c r="Y54" s="1">
        <f t="shared" si="10"/>
        <v>11.096079378062987</v>
      </c>
      <c r="Z54" s="1">
        <v>161.72380000000001</v>
      </c>
      <c r="AA54" s="1">
        <v>157.36000000000001</v>
      </c>
      <c r="AB54" s="1">
        <v>157.6866</v>
      </c>
      <c r="AC54" s="1">
        <v>150.42599999999999</v>
      </c>
      <c r="AD54" s="1">
        <v>152.63679999999999</v>
      </c>
      <c r="AE54" s="1">
        <v>147.08860000000001</v>
      </c>
      <c r="AF54" s="1">
        <v>152.1294</v>
      </c>
      <c r="AG54" s="1">
        <v>161.83519999999999</v>
      </c>
      <c r="AH54" s="1"/>
      <c r="AI54" s="1">
        <f t="shared" si="11"/>
        <v>564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36</v>
      </c>
      <c r="C55" s="1">
        <v>61.32</v>
      </c>
      <c r="D55" s="1">
        <v>141.00299999999999</v>
      </c>
      <c r="E55" s="1">
        <v>118.694</v>
      </c>
      <c r="F55" s="1">
        <v>50.779000000000003</v>
      </c>
      <c r="G55" s="8">
        <v>1</v>
      </c>
      <c r="H55" s="1">
        <v>50</v>
      </c>
      <c r="I55" s="1" t="s">
        <v>37</v>
      </c>
      <c r="J55" s="1"/>
      <c r="K55" s="1">
        <v>154.5</v>
      </c>
      <c r="L55" s="1">
        <f t="shared" si="16"/>
        <v>-35.805999999999997</v>
      </c>
      <c r="M55" s="1">
        <f t="shared" si="5"/>
        <v>86.294000000000011</v>
      </c>
      <c r="N55" s="1">
        <v>32.4</v>
      </c>
      <c r="O55" s="1"/>
      <c r="P55" s="1">
        <v>122.58750999999999</v>
      </c>
      <c r="Q55" s="1">
        <f t="shared" si="6"/>
        <v>17.258800000000001</v>
      </c>
      <c r="R55" s="5">
        <f t="shared" si="20"/>
        <v>68.256689999999992</v>
      </c>
      <c r="S55" s="5"/>
      <c r="T55" s="5">
        <f t="shared" si="8"/>
        <v>68.256689999999992</v>
      </c>
      <c r="U55" s="5"/>
      <c r="V55" s="1"/>
      <c r="W55" s="1"/>
      <c r="X55" s="1">
        <f t="shared" si="9"/>
        <v>14</v>
      </c>
      <c r="Y55" s="1">
        <f t="shared" si="10"/>
        <v>10.045108002873896</v>
      </c>
      <c r="Z55" s="1">
        <v>15.8902</v>
      </c>
      <c r="AA55" s="1">
        <v>13.5344</v>
      </c>
      <c r="AB55" s="1">
        <v>12.65</v>
      </c>
      <c r="AC55" s="1">
        <v>19.626799999999999</v>
      </c>
      <c r="AD55" s="1">
        <v>16.927199999999999</v>
      </c>
      <c r="AE55" s="1">
        <v>14.8002</v>
      </c>
      <c r="AF55" s="1">
        <v>16.416399999999999</v>
      </c>
      <c r="AG55" s="1">
        <v>14.265599999999999</v>
      </c>
      <c r="AH55" s="1"/>
      <c r="AI55" s="1">
        <f t="shared" si="11"/>
        <v>68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41</v>
      </c>
      <c r="C56" s="1">
        <v>205</v>
      </c>
      <c r="D56" s="1">
        <v>40</v>
      </c>
      <c r="E56" s="1">
        <v>79</v>
      </c>
      <c r="F56" s="1">
        <v>161</v>
      </c>
      <c r="G56" s="8">
        <v>0.1</v>
      </c>
      <c r="H56" s="1">
        <v>730</v>
      </c>
      <c r="I56" s="1" t="s">
        <v>37</v>
      </c>
      <c r="J56" s="1"/>
      <c r="K56" s="1">
        <v>79</v>
      </c>
      <c r="L56" s="1">
        <f t="shared" si="16"/>
        <v>0</v>
      </c>
      <c r="M56" s="1">
        <f t="shared" si="5"/>
        <v>79</v>
      </c>
      <c r="N56" s="1"/>
      <c r="O56" s="1"/>
      <c r="P56" s="1">
        <v>36.400000000000013</v>
      </c>
      <c r="Q56" s="1">
        <f t="shared" si="6"/>
        <v>15.8</v>
      </c>
      <c r="R56" s="5">
        <f t="shared" si="20"/>
        <v>23.800000000000011</v>
      </c>
      <c r="S56" s="5"/>
      <c r="T56" s="5">
        <f t="shared" si="8"/>
        <v>23.800000000000011</v>
      </c>
      <c r="U56" s="5"/>
      <c r="V56" s="1"/>
      <c r="W56" s="1"/>
      <c r="X56" s="1">
        <f t="shared" si="9"/>
        <v>14</v>
      </c>
      <c r="Y56" s="1">
        <f t="shared" si="10"/>
        <v>12.493670886075948</v>
      </c>
      <c r="Z56" s="1">
        <v>15.6</v>
      </c>
      <c r="AA56" s="1">
        <v>16.2</v>
      </c>
      <c r="AB56" s="1">
        <v>23.4</v>
      </c>
      <c r="AC56" s="1">
        <v>24.6</v>
      </c>
      <c r="AD56" s="1">
        <v>31</v>
      </c>
      <c r="AE56" s="1">
        <v>32.200000000000003</v>
      </c>
      <c r="AF56" s="1">
        <v>22.2</v>
      </c>
      <c r="AG56" s="1">
        <v>26.4</v>
      </c>
      <c r="AH56" s="1"/>
      <c r="AI56" s="1">
        <f t="shared" si="11"/>
        <v>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41</v>
      </c>
      <c r="C57" s="1">
        <v>76</v>
      </c>
      <c r="D57" s="1">
        <v>1022</v>
      </c>
      <c r="E57" s="1">
        <v>604</v>
      </c>
      <c r="F57" s="1">
        <v>479</v>
      </c>
      <c r="G57" s="8">
        <v>0.4</v>
      </c>
      <c r="H57" s="1">
        <v>50</v>
      </c>
      <c r="I57" s="1" t="s">
        <v>37</v>
      </c>
      <c r="J57" s="1"/>
      <c r="K57" s="1">
        <v>614</v>
      </c>
      <c r="L57" s="1">
        <f t="shared" si="16"/>
        <v>-10</v>
      </c>
      <c r="M57" s="1">
        <f t="shared" si="5"/>
        <v>604</v>
      </c>
      <c r="N57" s="1"/>
      <c r="O57" s="1">
        <v>193.95</v>
      </c>
      <c r="P57" s="1">
        <v>414.31000000000012</v>
      </c>
      <c r="Q57" s="1">
        <f t="shared" si="6"/>
        <v>120.8</v>
      </c>
      <c r="R57" s="5">
        <f t="shared" si="20"/>
        <v>603.93999999999983</v>
      </c>
      <c r="S57" s="5">
        <f>$S$1*Q57</f>
        <v>48.32</v>
      </c>
      <c r="T57" s="5">
        <f t="shared" si="8"/>
        <v>652.25999999999988</v>
      </c>
      <c r="U57" s="5"/>
      <c r="V57" s="1"/>
      <c r="W57" s="1"/>
      <c r="X57" s="1">
        <f t="shared" si="9"/>
        <v>14.4</v>
      </c>
      <c r="Y57" s="1">
        <f t="shared" si="10"/>
        <v>9.0004966887417233</v>
      </c>
      <c r="Z57" s="1">
        <v>103.8</v>
      </c>
      <c r="AA57" s="1">
        <v>86.2</v>
      </c>
      <c r="AB57" s="1">
        <v>88.6</v>
      </c>
      <c r="AC57" s="1">
        <v>76.2</v>
      </c>
      <c r="AD57" s="1">
        <v>53.4</v>
      </c>
      <c r="AE57" s="1">
        <v>47.4</v>
      </c>
      <c r="AF57" s="1">
        <v>53.6</v>
      </c>
      <c r="AG57" s="1">
        <v>43.2</v>
      </c>
      <c r="AH57" s="1" t="s">
        <v>97</v>
      </c>
      <c r="AI57" s="1">
        <f t="shared" si="11"/>
        <v>261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36</v>
      </c>
      <c r="C58" s="1">
        <v>32.768999999999998</v>
      </c>
      <c r="D58" s="1">
        <v>104.65900000000001</v>
      </c>
      <c r="E58" s="1">
        <v>47.222000000000001</v>
      </c>
      <c r="F58" s="1">
        <v>88.073999999999998</v>
      </c>
      <c r="G58" s="8">
        <v>1</v>
      </c>
      <c r="H58" s="1">
        <v>40</v>
      </c>
      <c r="I58" s="1" t="s">
        <v>37</v>
      </c>
      <c r="J58" s="1"/>
      <c r="K58" s="1">
        <v>46.3</v>
      </c>
      <c r="L58" s="1">
        <f t="shared" si="16"/>
        <v>0.92200000000000415</v>
      </c>
      <c r="M58" s="1">
        <f t="shared" si="5"/>
        <v>47.222000000000001</v>
      </c>
      <c r="N58" s="1"/>
      <c r="O58" s="1"/>
      <c r="P58" s="1">
        <v>15.068400000000031</v>
      </c>
      <c r="Q58" s="1">
        <f t="shared" si="6"/>
        <v>9.4443999999999999</v>
      </c>
      <c r="R58" s="5">
        <f t="shared" ref="R58:R64" si="22">12*Q58-P58-O58-F58</f>
        <v>10.190399999999968</v>
      </c>
      <c r="S58" s="5"/>
      <c r="T58" s="5">
        <f t="shared" si="8"/>
        <v>10.190399999999968</v>
      </c>
      <c r="U58" s="5"/>
      <c r="V58" s="1"/>
      <c r="W58" s="1"/>
      <c r="X58" s="1">
        <f t="shared" si="9"/>
        <v>12</v>
      </c>
      <c r="Y58" s="1">
        <f t="shared" si="10"/>
        <v>10.921011392994792</v>
      </c>
      <c r="Z58" s="1">
        <v>9.3394000000000013</v>
      </c>
      <c r="AA58" s="1">
        <v>11.129799999999999</v>
      </c>
      <c r="AB58" s="1">
        <v>7.8465999999999996</v>
      </c>
      <c r="AC58" s="1">
        <v>5.8376000000000001</v>
      </c>
      <c r="AD58" s="1">
        <v>7.4585999999999997</v>
      </c>
      <c r="AE58" s="1">
        <v>5.7283999999999997</v>
      </c>
      <c r="AF58" s="1">
        <v>4.1044</v>
      </c>
      <c r="AG58" s="1">
        <v>0.55599999999999994</v>
      </c>
      <c r="AH58" s="1"/>
      <c r="AI58" s="1">
        <f t="shared" si="11"/>
        <v>10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36</v>
      </c>
      <c r="C59" s="1">
        <v>45.543999999999997</v>
      </c>
      <c r="D59" s="1">
        <v>39.246000000000002</v>
      </c>
      <c r="E59" s="1">
        <v>52.45</v>
      </c>
      <c r="F59" s="1">
        <v>31.033000000000001</v>
      </c>
      <c r="G59" s="8">
        <v>1</v>
      </c>
      <c r="H59" s="1">
        <v>40</v>
      </c>
      <c r="I59" s="1" t="s">
        <v>37</v>
      </c>
      <c r="J59" s="1"/>
      <c r="K59" s="1">
        <v>51.7</v>
      </c>
      <c r="L59" s="1">
        <f t="shared" si="16"/>
        <v>0.75</v>
      </c>
      <c r="M59" s="1">
        <f t="shared" si="5"/>
        <v>52.45</v>
      </c>
      <c r="N59" s="1"/>
      <c r="O59" s="1"/>
      <c r="P59" s="1">
        <v>63.446009999999987</v>
      </c>
      <c r="Q59" s="1">
        <f t="shared" si="6"/>
        <v>10.49</v>
      </c>
      <c r="R59" s="5">
        <f t="shared" si="22"/>
        <v>31.400990000000007</v>
      </c>
      <c r="S59" s="5"/>
      <c r="T59" s="5">
        <f t="shared" si="8"/>
        <v>31.400990000000007</v>
      </c>
      <c r="U59" s="5"/>
      <c r="V59" s="1"/>
      <c r="W59" s="1"/>
      <c r="X59" s="1">
        <f t="shared" si="9"/>
        <v>12</v>
      </c>
      <c r="Y59" s="1">
        <f t="shared" si="10"/>
        <v>9.006578646329837</v>
      </c>
      <c r="Z59" s="1">
        <v>8.8762000000000008</v>
      </c>
      <c r="AA59" s="1">
        <v>6.9022000000000006</v>
      </c>
      <c r="AB59" s="1">
        <v>4.2786</v>
      </c>
      <c r="AC59" s="1">
        <v>5.6212</v>
      </c>
      <c r="AD59" s="1">
        <v>7.9974000000000007</v>
      </c>
      <c r="AE59" s="1">
        <v>4.0177999999999994</v>
      </c>
      <c r="AF59" s="1">
        <v>3.0268000000000002</v>
      </c>
      <c r="AG59" s="1">
        <v>3.5714000000000001</v>
      </c>
      <c r="AH59" s="1"/>
      <c r="AI59" s="1">
        <f t="shared" si="11"/>
        <v>31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41</v>
      </c>
      <c r="C60" s="1">
        <v>929</v>
      </c>
      <c r="D60" s="1">
        <v>1851</v>
      </c>
      <c r="E60" s="1">
        <v>968</v>
      </c>
      <c r="F60" s="1">
        <v>1760</v>
      </c>
      <c r="G60" s="8">
        <v>0.4</v>
      </c>
      <c r="H60" s="1">
        <v>40</v>
      </c>
      <c r="I60" s="1" t="s">
        <v>37</v>
      </c>
      <c r="J60" s="1"/>
      <c r="K60" s="1">
        <v>1017</v>
      </c>
      <c r="L60" s="1">
        <f t="shared" si="16"/>
        <v>-49</v>
      </c>
      <c r="M60" s="1">
        <f t="shared" si="5"/>
        <v>968</v>
      </c>
      <c r="N60" s="1"/>
      <c r="O60" s="1"/>
      <c r="P60" s="1">
        <v>587.52000000000021</v>
      </c>
      <c r="Q60" s="1">
        <f t="shared" si="6"/>
        <v>193.6</v>
      </c>
      <c r="R60" s="5"/>
      <c r="S60" s="5"/>
      <c r="T60" s="5">
        <f t="shared" si="8"/>
        <v>0</v>
      </c>
      <c r="U60" s="5"/>
      <c r="V60" s="1"/>
      <c r="W60" s="1"/>
      <c r="X60" s="1">
        <f t="shared" si="9"/>
        <v>12.125619834710747</v>
      </c>
      <c r="Y60" s="1">
        <f t="shared" si="10"/>
        <v>12.125619834710747</v>
      </c>
      <c r="Z60" s="1">
        <v>214.4</v>
      </c>
      <c r="AA60" s="1">
        <v>228.8</v>
      </c>
      <c r="AB60" s="1">
        <v>228.4</v>
      </c>
      <c r="AC60" s="1">
        <v>196.6</v>
      </c>
      <c r="AD60" s="1">
        <v>176.2</v>
      </c>
      <c r="AE60" s="1">
        <v>180.6</v>
      </c>
      <c r="AF60" s="1">
        <v>184.4</v>
      </c>
      <c r="AG60" s="1">
        <v>170.4</v>
      </c>
      <c r="AH60" s="1"/>
      <c r="AI60" s="1">
        <f t="shared" si="11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41</v>
      </c>
      <c r="C61" s="1">
        <v>756</v>
      </c>
      <c r="D61" s="1">
        <v>1153</v>
      </c>
      <c r="E61" s="1">
        <v>615</v>
      </c>
      <c r="F61" s="1">
        <v>1257</v>
      </c>
      <c r="G61" s="8">
        <v>0.4</v>
      </c>
      <c r="H61" s="1">
        <v>40</v>
      </c>
      <c r="I61" s="1" t="s">
        <v>37</v>
      </c>
      <c r="J61" s="1"/>
      <c r="K61" s="1">
        <v>632</v>
      </c>
      <c r="L61" s="1">
        <f t="shared" si="16"/>
        <v>-17</v>
      </c>
      <c r="M61" s="1">
        <f t="shared" si="5"/>
        <v>615</v>
      </c>
      <c r="N61" s="1"/>
      <c r="O61" s="1"/>
      <c r="P61" s="1">
        <v>269.17000000000041</v>
      </c>
      <c r="Q61" s="1">
        <f t="shared" si="6"/>
        <v>123</v>
      </c>
      <c r="R61" s="5"/>
      <c r="S61" s="5"/>
      <c r="T61" s="5">
        <f t="shared" si="8"/>
        <v>0</v>
      </c>
      <c r="U61" s="5"/>
      <c r="V61" s="1"/>
      <c r="W61" s="1"/>
      <c r="X61" s="1">
        <f t="shared" si="9"/>
        <v>12.407886178861792</v>
      </c>
      <c r="Y61" s="1">
        <f t="shared" si="10"/>
        <v>12.407886178861792</v>
      </c>
      <c r="Z61" s="1">
        <v>139.4</v>
      </c>
      <c r="AA61" s="1">
        <v>156</v>
      </c>
      <c r="AB61" s="1">
        <v>158.4</v>
      </c>
      <c r="AC61" s="1">
        <v>148.19999999999999</v>
      </c>
      <c r="AD61" s="1">
        <v>122</v>
      </c>
      <c r="AE61" s="1">
        <v>126.6</v>
      </c>
      <c r="AF61" s="1">
        <v>132</v>
      </c>
      <c r="AG61" s="1">
        <v>119</v>
      </c>
      <c r="AH61" s="1"/>
      <c r="AI61" s="1">
        <f t="shared" si="11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36</v>
      </c>
      <c r="C62" s="1">
        <v>685.90700000000004</v>
      </c>
      <c r="D62" s="1">
        <v>927.95399999999995</v>
      </c>
      <c r="E62" s="1">
        <v>672.154</v>
      </c>
      <c r="F62" s="1">
        <v>801.98299999999995</v>
      </c>
      <c r="G62" s="8">
        <v>1</v>
      </c>
      <c r="H62" s="1">
        <v>40</v>
      </c>
      <c r="I62" s="1" t="s">
        <v>37</v>
      </c>
      <c r="J62" s="1"/>
      <c r="K62" s="1">
        <v>827.71799999999996</v>
      </c>
      <c r="L62" s="1">
        <f t="shared" si="16"/>
        <v>-155.56399999999996</v>
      </c>
      <c r="M62" s="1">
        <f t="shared" si="5"/>
        <v>672.154</v>
      </c>
      <c r="N62" s="1"/>
      <c r="O62" s="1"/>
      <c r="P62" s="1">
        <v>432.61131000000029</v>
      </c>
      <c r="Q62" s="1">
        <f t="shared" si="6"/>
        <v>134.4308</v>
      </c>
      <c r="R62" s="5">
        <f t="shared" si="22"/>
        <v>378.57529</v>
      </c>
      <c r="S62" s="5"/>
      <c r="T62" s="5">
        <f t="shared" si="8"/>
        <v>378.57529</v>
      </c>
      <c r="U62" s="5"/>
      <c r="V62" s="1"/>
      <c r="W62" s="1"/>
      <c r="X62" s="1">
        <f t="shared" si="9"/>
        <v>12</v>
      </c>
      <c r="Y62" s="1">
        <f t="shared" si="10"/>
        <v>9.1838649327386292</v>
      </c>
      <c r="Z62" s="1">
        <v>116.4502</v>
      </c>
      <c r="AA62" s="1">
        <v>121.652</v>
      </c>
      <c r="AB62" s="1">
        <v>108.2684</v>
      </c>
      <c r="AC62" s="1">
        <v>108.13200000000001</v>
      </c>
      <c r="AD62" s="1">
        <v>125.53660000000001</v>
      </c>
      <c r="AE62" s="1">
        <v>136.41659999999999</v>
      </c>
      <c r="AF62" s="1">
        <v>113.4212</v>
      </c>
      <c r="AG62" s="1">
        <v>109.2316</v>
      </c>
      <c r="AH62" s="1"/>
      <c r="AI62" s="1">
        <f t="shared" si="11"/>
        <v>379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36</v>
      </c>
      <c r="C63" s="1">
        <v>214.35300000000001</v>
      </c>
      <c r="D63" s="1">
        <v>743.04</v>
      </c>
      <c r="E63" s="1">
        <v>486.375</v>
      </c>
      <c r="F63" s="1">
        <v>341.68900000000002</v>
      </c>
      <c r="G63" s="8">
        <v>1</v>
      </c>
      <c r="H63" s="1">
        <v>40</v>
      </c>
      <c r="I63" s="1" t="s">
        <v>37</v>
      </c>
      <c r="J63" s="1"/>
      <c r="K63" s="1">
        <v>625.09</v>
      </c>
      <c r="L63" s="1">
        <f t="shared" si="16"/>
        <v>-138.71500000000003</v>
      </c>
      <c r="M63" s="1">
        <f t="shared" si="5"/>
        <v>377.91800000000001</v>
      </c>
      <c r="N63" s="1">
        <v>108.45699999999999</v>
      </c>
      <c r="O63" s="1"/>
      <c r="P63" s="1">
        <v>494.84795999999989</v>
      </c>
      <c r="Q63" s="1">
        <f t="shared" si="6"/>
        <v>75.583600000000004</v>
      </c>
      <c r="R63" s="5">
        <f t="shared" si="22"/>
        <v>70.466240000000198</v>
      </c>
      <c r="S63" s="5"/>
      <c r="T63" s="5">
        <f t="shared" si="8"/>
        <v>70.466240000000198</v>
      </c>
      <c r="U63" s="5"/>
      <c r="V63" s="1"/>
      <c r="W63" s="1"/>
      <c r="X63" s="1">
        <f t="shared" si="9"/>
        <v>12</v>
      </c>
      <c r="Y63" s="1">
        <f t="shared" si="10"/>
        <v>11.067704634338664</v>
      </c>
      <c r="Z63" s="1">
        <v>79.619200000000006</v>
      </c>
      <c r="AA63" s="1">
        <v>69.424200000000013</v>
      </c>
      <c r="AB63" s="1">
        <v>67.4358</v>
      </c>
      <c r="AC63" s="1">
        <v>58.606599999999993</v>
      </c>
      <c r="AD63" s="1">
        <v>53.909799999999997</v>
      </c>
      <c r="AE63" s="1">
        <v>56.66340000000001</v>
      </c>
      <c r="AF63" s="1">
        <v>59.118600000000001</v>
      </c>
      <c r="AG63" s="1">
        <v>64.179199999999994</v>
      </c>
      <c r="AH63" s="1"/>
      <c r="AI63" s="1">
        <f t="shared" si="11"/>
        <v>70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36</v>
      </c>
      <c r="C64" s="1">
        <v>455.26299999999998</v>
      </c>
      <c r="D64" s="1">
        <v>582.44899999999996</v>
      </c>
      <c r="E64" s="1">
        <v>581.59900000000005</v>
      </c>
      <c r="F64" s="1">
        <v>311.28100000000001</v>
      </c>
      <c r="G64" s="8">
        <v>1</v>
      </c>
      <c r="H64" s="1">
        <v>40</v>
      </c>
      <c r="I64" s="1" t="s">
        <v>37</v>
      </c>
      <c r="J64" s="1"/>
      <c r="K64" s="1">
        <v>727.59500000000003</v>
      </c>
      <c r="L64" s="1">
        <f t="shared" si="16"/>
        <v>-145.99599999999998</v>
      </c>
      <c r="M64" s="1">
        <f t="shared" si="5"/>
        <v>462.14500000000004</v>
      </c>
      <c r="N64" s="1">
        <v>119.45399999999999</v>
      </c>
      <c r="O64" s="1"/>
      <c r="P64" s="1">
        <v>661.22469000000001</v>
      </c>
      <c r="Q64" s="1">
        <f t="shared" si="6"/>
        <v>92.429000000000002</v>
      </c>
      <c r="R64" s="5">
        <f t="shared" si="22"/>
        <v>136.64231000000012</v>
      </c>
      <c r="S64" s="5"/>
      <c r="T64" s="5">
        <f t="shared" si="8"/>
        <v>136.64231000000012</v>
      </c>
      <c r="U64" s="5"/>
      <c r="V64" s="1"/>
      <c r="W64" s="1"/>
      <c r="X64" s="1">
        <f t="shared" si="9"/>
        <v>12.000000000000002</v>
      </c>
      <c r="Y64" s="1">
        <f t="shared" si="10"/>
        <v>10.521651105172618</v>
      </c>
      <c r="Z64" s="1">
        <v>93.965800000000002</v>
      </c>
      <c r="AA64" s="1">
        <v>72.241599999999991</v>
      </c>
      <c r="AB64" s="1">
        <v>76.343199999999996</v>
      </c>
      <c r="AC64" s="1">
        <v>82.772999999999996</v>
      </c>
      <c r="AD64" s="1">
        <v>73.986000000000004</v>
      </c>
      <c r="AE64" s="1">
        <v>64.55080000000001</v>
      </c>
      <c r="AF64" s="1">
        <v>66.826800000000006</v>
      </c>
      <c r="AG64" s="1">
        <v>82.389600000000002</v>
      </c>
      <c r="AH64" s="1"/>
      <c r="AI64" s="1">
        <f t="shared" si="11"/>
        <v>137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36</v>
      </c>
      <c r="C65" s="1">
        <v>86.518000000000001</v>
      </c>
      <c r="D65" s="1">
        <v>116.33</v>
      </c>
      <c r="E65" s="1">
        <v>120.304</v>
      </c>
      <c r="F65" s="1">
        <v>78.057000000000002</v>
      </c>
      <c r="G65" s="8">
        <v>1</v>
      </c>
      <c r="H65" s="1">
        <v>30</v>
      </c>
      <c r="I65" s="1" t="s">
        <v>37</v>
      </c>
      <c r="J65" s="1"/>
      <c r="K65" s="1">
        <v>123.8</v>
      </c>
      <c r="L65" s="1">
        <f t="shared" si="16"/>
        <v>-3.4959999999999951</v>
      </c>
      <c r="M65" s="1">
        <f t="shared" si="5"/>
        <v>120.304</v>
      </c>
      <c r="N65" s="1"/>
      <c r="O65" s="1"/>
      <c r="P65" s="1">
        <v>139.59039999999999</v>
      </c>
      <c r="Q65" s="1">
        <f t="shared" si="6"/>
        <v>24.0608</v>
      </c>
      <c r="R65" s="5">
        <f>11*Q65-P65-O65-F65</f>
        <v>47.021400000000042</v>
      </c>
      <c r="S65" s="5"/>
      <c r="T65" s="5">
        <f t="shared" si="8"/>
        <v>47.021400000000042</v>
      </c>
      <c r="U65" s="5"/>
      <c r="V65" s="1"/>
      <c r="W65" s="1"/>
      <c r="X65" s="1">
        <f t="shared" si="9"/>
        <v>11.000000000000002</v>
      </c>
      <c r="Y65" s="1">
        <f t="shared" si="10"/>
        <v>9.0457258279026469</v>
      </c>
      <c r="Z65" s="1">
        <v>21.084</v>
      </c>
      <c r="AA65" s="1">
        <v>17.145399999999999</v>
      </c>
      <c r="AB65" s="1">
        <v>19.202000000000002</v>
      </c>
      <c r="AC65" s="1">
        <v>17.738800000000001</v>
      </c>
      <c r="AD65" s="1">
        <v>19.161200000000001</v>
      </c>
      <c r="AE65" s="1">
        <v>19.527999999999999</v>
      </c>
      <c r="AF65" s="1">
        <v>18.597999999999999</v>
      </c>
      <c r="AG65" s="1">
        <v>20.026199999999999</v>
      </c>
      <c r="AH65" s="1" t="s">
        <v>72</v>
      </c>
      <c r="AI65" s="1">
        <f t="shared" si="11"/>
        <v>47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106</v>
      </c>
      <c r="B66" s="1" t="s">
        <v>41</v>
      </c>
      <c r="C66" s="1">
        <v>53</v>
      </c>
      <c r="D66" s="1">
        <v>112</v>
      </c>
      <c r="E66" s="1">
        <v>55</v>
      </c>
      <c r="F66" s="1">
        <v>96</v>
      </c>
      <c r="G66" s="8">
        <v>0.6</v>
      </c>
      <c r="H66" s="1">
        <v>60</v>
      </c>
      <c r="I66" s="1" t="s">
        <v>37</v>
      </c>
      <c r="J66" s="1"/>
      <c r="K66" s="1">
        <v>55</v>
      </c>
      <c r="L66" s="1">
        <f t="shared" si="16"/>
        <v>0</v>
      </c>
      <c r="M66" s="1">
        <f t="shared" si="5"/>
        <v>55</v>
      </c>
      <c r="N66" s="1"/>
      <c r="O66" s="1"/>
      <c r="P66" s="1">
        <v>34.090000000000018</v>
      </c>
      <c r="Q66" s="1">
        <f t="shared" si="6"/>
        <v>11</v>
      </c>
      <c r="R66" s="5">
        <f t="shared" si="20"/>
        <v>23.909999999999982</v>
      </c>
      <c r="S66" s="5"/>
      <c r="T66" s="5">
        <f t="shared" si="8"/>
        <v>23.909999999999982</v>
      </c>
      <c r="U66" s="5"/>
      <c r="V66" s="1"/>
      <c r="W66" s="1"/>
      <c r="X66" s="1">
        <f t="shared" si="9"/>
        <v>14</v>
      </c>
      <c r="Y66" s="1">
        <f t="shared" si="10"/>
        <v>11.82636363636364</v>
      </c>
      <c r="Z66" s="1">
        <v>13.8</v>
      </c>
      <c r="AA66" s="1">
        <v>14</v>
      </c>
      <c r="AB66" s="1">
        <v>13.8</v>
      </c>
      <c r="AC66" s="1">
        <v>12.8</v>
      </c>
      <c r="AD66" s="1">
        <v>14.4</v>
      </c>
      <c r="AE66" s="1">
        <v>14.4</v>
      </c>
      <c r="AF66" s="1">
        <v>13.8</v>
      </c>
      <c r="AG66" s="1">
        <v>15.2</v>
      </c>
      <c r="AH66" s="1" t="s">
        <v>97</v>
      </c>
      <c r="AI66" s="1">
        <f t="shared" si="11"/>
        <v>14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0" t="s">
        <v>107</v>
      </c>
      <c r="B67" s="1" t="s">
        <v>41</v>
      </c>
      <c r="C67" s="1"/>
      <c r="D67" s="1">
        <v>24</v>
      </c>
      <c r="E67" s="1">
        <v>5</v>
      </c>
      <c r="F67" s="1">
        <v>17</v>
      </c>
      <c r="G67" s="8">
        <v>0.6</v>
      </c>
      <c r="H67" s="1">
        <v>60</v>
      </c>
      <c r="I67" s="1" t="s">
        <v>37</v>
      </c>
      <c r="J67" s="1"/>
      <c r="K67" s="1">
        <v>5</v>
      </c>
      <c r="L67" s="1">
        <f t="shared" si="16"/>
        <v>0</v>
      </c>
      <c r="M67" s="1">
        <f t="shared" si="5"/>
        <v>5</v>
      </c>
      <c r="N67" s="1"/>
      <c r="O67" s="1"/>
      <c r="P67" s="1"/>
      <c r="Q67" s="1">
        <f t="shared" si="6"/>
        <v>1</v>
      </c>
      <c r="R67" s="5"/>
      <c r="S67" s="5"/>
      <c r="T67" s="5">
        <f t="shared" si="8"/>
        <v>0</v>
      </c>
      <c r="U67" s="5"/>
      <c r="V67" s="1"/>
      <c r="W67" s="1"/>
      <c r="X67" s="1">
        <f t="shared" si="9"/>
        <v>17</v>
      </c>
      <c r="Y67" s="1">
        <f t="shared" si="10"/>
        <v>17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133</v>
      </c>
      <c r="AI67" s="1">
        <f t="shared" si="11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108</v>
      </c>
      <c r="B68" s="11" t="s">
        <v>41</v>
      </c>
      <c r="C68" s="11"/>
      <c r="D68" s="11"/>
      <c r="E68" s="11">
        <v>1</v>
      </c>
      <c r="F68" s="11">
        <v>-2</v>
      </c>
      <c r="G68" s="12">
        <v>0</v>
      </c>
      <c r="H68" s="11">
        <v>50</v>
      </c>
      <c r="I68" s="11" t="s">
        <v>109</v>
      </c>
      <c r="J68" s="11"/>
      <c r="K68" s="11">
        <v>6</v>
      </c>
      <c r="L68" s="11">
        <f t="shared" si="16"/>
        <v>-5</v>
      </c>
      <c r="M68" s="11">
        <f t="shared" si="5"/>
        <v>1</v>
      </c>
      <c r="N68" s="11"/>
      <c r="O68" s="11"/>
      <c r="P68" s="11">
        <v>0</v>
      </c>
      <c r="Q68" s="11">
        <f t="shared" si="6"/>
        <v>0.2</v>
      </c>
      <c r="R68" s="13"/>
      <c r="S68" s="13"/>
      <c r="T68" s="5">
        <f t="shared" si="8"/>
        <v>0</v>
      </c>
      <c r="U68" s="13"/>
      <c r="V68" s="11"/>
      <c r="W68" s="11"/>
      <c r="X68" s="1">
        <f t="shared" si="9"/>
        <v>-10</v>
      </c>
      <c r="Y68" s="11">
        <f t="shared" si="10"/>
        <v>-10</v>
      </c>
      <c r="Z68" s="11">
        <v>0.2</v>
      </c>
      <c r="AA68" s="11">
        <v>-0.2</v>
      </c>
      <c r="AB68" s="11">
        <v>0.2</v>
      </c>
      <c r="AC68" s="11">
        <v>3.8</v>
      </c>
      <c r="AD68" s="11">
        <v>9.6</v>
      </c>
      <c r="AE68" s="11">
        <v>14.4</v>
      </c>
      <c r="AF68" s="11">
        <v>16.2</v>
      </c>
      <c r="AG68" s="11">
        <v>16</v>
      </c>
      <c r="AH68" s="11"/>
      <c r="AI68" s="1">
        <f t="shared" si="11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41</v>
      </c>
      <c r="C69" s="1">
        <v>994</v>
      </c>
      <c r="D69" s="1">
        <v>131</v>
      </c>
      <c r="E69" s="1">
        <v>479</v>
      </c>
      <c r="F69" s="1">
        <v>620</v>
      </c>
      <c r="G69" s="8">
        <v>0.37</v>
      </c>
      <c r="H69" s="1">
        <v>50</v>
      </c>
      <c r="I69" s="1" t="s">
        <v>37</v>
      </c>
      <c r="J69" s="1"/>
      <c r="K69" s="1">
        <v>500</v>
      </c>
      <c r="L69" s="1">
        <f t="shared" si="16"/>
        <v>-21</v>
      </c>
      <c r="M69" s="1">
        <f t="shared" si="5"/>
        <v>479</v>
      </c>
      <c r="N69" s="1"/>
      <c r="O69" s="1"/>
      <c r="P69" s="1">
        <v>263.67000000000007</v>
      </c>
      <c r="Q69" s="1">
        <f t="shared" si="6"/>
        <v>95.8</v>
      </c>
      <c r="R69" s="5">
        <f t="shared" ref="R69:R86" si="23">14*Q69-P69-O69-F69</f>
        <v>457.53</v>
      </c>
      <c r="S69" s="5">
        <f>$S$1*Q69</f>
        <v>38.32</v>
      </c>
      <c r="T69" s="5">
        <f t="shared" si="8"/>
        <v>495.84999999999997</v>
      </c>
      <c r="U69" s="5"/>
      <c r="V69" s="1"/>
      <c r="W69" s="1"/>
      <c r="X69" s="1">
        <f t="shared" si="9"/>
        <v>14.4</v>
      </c>
      <c r="Y69" s="1">
        <f t="shared" si="10"/>
        <v>9.2241127348643008</v>
      </c>
      <c r="Z69" s="1">
        <v>85</v>
      </c>
      <c r="AA69" s="1">
        <v>75</v>
      </c>
      <c r="AB69" s="1">
        <v>83.6</v>
      </c>
      <c r="AC69" s="1">
        <v>87.4</v>
      </c>
      <c r="AD69" s="1">
        <v>83.8</v>
      </c>
      <c r="AE69" s="1">
        <v>117.6</v>
      </c>
      <c r="AF69" s="1">
        <v>115.6</v>
      </c>
      <c r="AG69" s="1">
        <v>96.8</v>
      </c>
      <c r="AH69" s="1"/>
      <c r="AI69" s="1">
        <f t="shared" si="11"/>
        <v>183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111</v>
      </c>
      <c r="B70" s="1" t="s">
        <v>41</v>
      </c>
      <c r="C70" s="1">
        <v>21</v>
      </c>
      <c r="D70" s="1">
        <v>78</v>
      </c>
      <c r="E70" s="1">
        <v>44</v>
      </c>
      <c r="F70" s="1">
        <v>41</v>
      </c>
      <c r="G70" s="8">
        <v>0.4</v>
      </c>
      <c r="H70" s="1">
        <v>30</v>
      </c>
      <c r="I70" s="1" t="s">
        <v>37</v>
      </c>
      <c r="J70" s="1"/>
      <c r="K70" s="1">
        <v>46</v>
      </c>
      <c r="L70" s="1">
        <f t="shared" ref="L70:L94" si="24">E70-K70</f>
        <v>-2</v>
      </c>
      <c r="M70" s="1">
        <f t="shared" si="5"/>
        <v>44</v>
      </c>
      <c r="N70" s="1"/>
      <c r="O70" s="1"/>
      <c r="P70" s="1">
        <v>8.3999999999999915</v>
      </c>
      <c r="Q70" s="1">
        <f t="shared" si="6"/>
        <v>8.8000000000000007</v>
      </c>
      <c r="R70" s="5">
        <f>11*Q70-P70-O70-F70</f>
        <v>47.40000000000002</v>
      </c>
      <c r="S70" s="5"/>
      <c r="T70" s="5">
        <f t="shared" si="8"/>
        <v>47.40000000000002</v>
      </c>
      <c r="U70" s="5"/>
      <c r="V70" s="1"/>
      <c r="W70" s="1"/>
      <c r="X70" s="1">
        <f t="shared" si="9"/>
        <v>11</v>
      </c>
      <c r="Y70" s="1">
        <f t="shared" si="10"/>
        <v>5.6136363636363624</v>
      </c>
      <c r="Z70" s="1">
        <v>7.4</v>
      </c>
      <c r="AA70" s="1">
        <v>7.4</v>
      </c>
      <c r="AB70" s="1">
        <v>7.2</v>
      </c>
      <c r="AC70" s="1">
        <v>6.2</v>
      </c>
      <c r="AD70" s="1">
        <v>7</v>
      </c>
      <c r="AE70" s="1">
        <v>8.4</v>
      </c>
      <c r="AF70" s="1">
        <v>5.8</v>
      </c>
      <c r="AG70" s="1">
        <v>4.8</v>
      </c>
      <c r="AH70" s="1"/>
      <c r="AI70" s="1">
        <f t="shared" si="11"/>
        <v>19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41</v>
      </c>
      <c r="C71" s="1">
        <v>80</v>
      </c>
      <c r="D71" s="1">
        <v>56</v>
      </c>
      <c r="E71" s="1">
        <v>135</v>
      </c>
      <c r="F71" s="1">
        <v>1</v>
      </c>
      <c r="G71" s="8">
        <v>0.6</v>
      </c>
      <c r="H71" s="1">
        <v>55</v>
      </c>
      <c r="I71" s="1" t="s">
        <v>37</v>
      </c>
      <c r="J71" s="1"/>
      <c r="K71" s="1">
        <v>158</v>
      </c>
      <c r="L71" s="1">
        <f t="shared" si="24"/>
        <v>-23</v>
      </c>
      <c r="M71" s="1">
        <f t="shared" ref="M71:M94" si="25">E71-N71</f>
        <v>135</v>
      </c>
      <c r="N71" s="1"/>
      <c r="O71" s="1"/>
      <c r="P71" s="1">
        <v>147.45599999999999</v>
      </c>
      <c r="Q71" s="1">
        <f t="shared" ref="Q71:Q94" si="26">M71/5</f>
        <v>27</v>
      </c>
      <c r="R71" s="5">
        <f t="shared" si="23"/>
        <v>229.54400000000001</v>
      </c>
      <c r="S71" s="5"/>
      <c r="T71" s="5">
        <f t="shared" ref="T71:T94" si="27">S71+R71</f>
        <v>229.54400000000001</v>
      </c>
      <c r="U71" s="5"/>
      <c r="V71" s="1"/>
      <c r="W71" s="1"/>
      <c r="X71" s="1">
        <f t="shared" ref="X71:X94" si="28">(F71+O71+P71+T71)/Q71</f>
        <v>14</v>
      </c>
      <c r="Y71" s="1">
        <f t="shared" ref="Y71:Y94" si="29">(F71+O71+P71)/Q71</f>
        <v>5.4983703703703704</v>
      </c>
      <c r="Z71" s="1">
        <v>17.920000000000002</v>
      </c>
      <c r="AA71" s="1">
        <v>11.6</v>
      </c>
      <c r="AB71" s="1">
        <v>13.2</v>
      </c>
      <c r="AC71" s="1">
        <v>15.2</v>
      </c>
      <c r="AD71" s="1">
        <v>16.399999999999999</v>
      </c>
      <c r="AE71" s="1">
        <v>13.8</v>
      </c>
      <c r="AF71" s="1">
        <v>8.1999999999999993</v>
      </c>
      <c r="AG71" s="1">
        <v>10.199999999999999</v>
      </c>
      <c r="AH71" s="1" t="s">
        <v>72</v>
      </c>
      <c r="AI71" s="1">
        <f t="shared" ref="AI71:AI94" si="30">ROUND(G71*T71,0)</f>
        <v>138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7" t="s">
        <v>113</v>
      </c>
      <c r="B72" s="1" t="s">
        <v>41</v>
      </c>
      <c r="C72" s="1"/>
      <c r="D72" s="1"/>
      <c r="E72" s="1"/>
      <c r="F72" s="1"/>
      <c r="G72" s="8">
        <v>0.45</v>
      </c>
      <c r="H72" s="1">
        <v>40</v>
      </c>
      <c r="I72" s="1" t="s">
        <v>37</v>
      </c>
      <c r="J72" s="1"/>
      <c r="K72" s="1"/>
      <c r="L72" s="1">
        <f t="shared" si="24"/>
        <v>0</v>
      </c>
      <c r="M72" s="1">
        <f t="shared" si="25"/>
        <v>0</v>
      </c>
      <c r="N72" s="1"/>
      <c r="O72" s="1"/>
      <c r="P72" s="17"/>
      <c r="Q72" s="1">
        <f t="shared" si="26"/>
        <v>0</v>
      </c>
      <c r="R72" s="18">
        <v>10</v>
      </c>
      <c r="S72" s="18"/>
      <c r="T72" s="5">
        <f t="shared" si="27"/>
        <v>10</v>
      </c>
      <c r="U72" s="5"/>
      <c r="V72" s="1"/>
      <c r="W72" s="1"/>
      <c r="X72" s="1" t="e">
        <f t="shared" si="28"/>
        <v>#DIV/0!</v>
      </c>
      <c r="Y72" s="1" t="e">
        <f t="shared" si="29"/>
        <v>#DIV/0!</v>
      </c>
      <c r="Z72" s="1">
        <v>0</v>
      </c>
      <c r="AA72" s="1">
        <v>0</v>
      </c>
      <c r="AB72" s="1">
        <v>-0.2</v>
      </c>
      <c r="AC72" s="1">
        <v>-0.2</v>
      </c>
      <c r="AD72" s="1">
        <v>0.4</v>
      </c>
      <c r="AE72" s="1">
        <v>2.6</v>
      </c>
      <c r="AF72" s="1">
        <v>6.2</v>
      </c>
      <c r="AG72" s="1">
        <v>6.8</v>
      </c>
      <c r="AH72" s="17" t="s">
        <v>114</v>
      </c>
      <c r="AI72" s="1">
        <f t="shared" si="30"/>
        <v>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115</v>
      </c>
      <c r="B73" s="1" t="s">
        <v>41</v>
      </c>
      <c r="C73" s="1">
        <v>265</v>
      </c>
      <c r="D73" s="1">
        <v>810</v>
      </c>
      <c r="E73" s="1">
        <v>495</v>
      </c>
      <c r="F73" s="1">
        <v>546</v>
      </c>
      <c r="G73" s="8">
        <v>0.4</v>
      </c>
      <c r="H73" s="1">
        <v>50</v>
      </c>
      <c r="I73" s="1" t="s">
        <v>37</v>
      </c>
      <c r="J73" s="1"/>
      <c r="K73" s="1">
        <v>515</v>
      </c>
      <c r="L73" s="1">
        <f t="shared" si="24"/>
        <v>-20</v>
      </c>
      <c r="M73" s="1">
        <f t="shared" si="25"/>
        <v>495</v>
      </c>
      <c r="N73" s="1"/>
      <c r="O73" s="1">
        <v>178.65</v>
      </c>
      <c r="P73" s="1">
        <v>240.92</v>
      </c>
      <c r="Q73" s="1">
        <f t="shared" si="26"/>
        <v>99</v>
      </c>
      <c r="R73" s="5">
        <f t="shared" si="23"/>
        <v>420.42999999999995</v>
      </c>
      <c r="S73" s="5">
        <f>$S$1*Q73</f>
        <v>39.6</v>
      </c>
      <c r="T73" s="5">
        <f t="shared" si="27"/>
        <v>460.03</v>
      </c>
      <c r="U73" s="5"/>
      <c r="V73" s="1"/>
      <c r="W73" s="1"/>
      <c r="X73" s="1">
        <f t="shared" si="28"/>
        <v>14.399999999999999</v>
      </c>
      <c r="Y73" s="1">
        <f t="shared" si="29"/>
        <v>9.7532323232323233</v>
      </c>
      <c r="Z73" s="1">
        <v>90.8</v>
      </c>
      <c r="AA73" s="1">
        <v>79.400000000000006</v>
      </c>
      <c r="AB73" s="1">
        <v>85.4</v>
      </c>
      <c r="AC73" s="1">
        <v>70.599999999999994</v>
      </c>
      <c r="AD73" s="1">
        <v>59</v>
      </c>
      <c r="AE73" s="1">
        <v>56.8</v>
      </c>
      <c r="AF73" s="1">
        <v>47</v>
      </c>
      <c r="AG73" s="1">
        <v>41</v>
      </c>
      <c r="AH73" s="1" t="s">
        <v>72</v>
      </c>
      <c r="AI73" s="1">
        <f t="shared" si="30"/>
        <v>184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116</v>
      </c>
      <c r="B74" s="1" t="s">
        <v>41</v>
      </c>
      <c r="C74" s="1">
        <v>-4</v>
      </c>
      <c r="D74" s="1">
        <v>107</v>
      </c>
      <c r="E74" s="1">
        <v>24</v>
      </c>
      <c r="F74" s="1">
        <v>74</v>
      </c>
      <c r="G74" s="8">
        <v>0.4</v>
      </c>
      <c r="H74" s="1">
        <v>55</v>
      </c>
      <c r="I74" s="1" t="s">
        <v>37</v>
      </c>
      <c r="J74" s="1"/>
      <c r="K74" s="1">
        <v>27</v>
      </c>
      <c r="L74" s="1">
        <f t="shared" si="24"/>
        <v>-3</v>
      </c>
      <c r="M74" s="1">
        <f t="shared" si="25"/>
        <v>24</v>
      </c>
      <c r="N74" s="1"/>
      <c r="O74" s="1"/>
      <c r="P74" s="1">
        <v>0</v>
      </c>
      <c r="Q74" s="1">
        <f t="shared" si="26"/>
        <v>4.8</v>
      </c>
      <c r="R74" s="5"/>
      <c r="S74" s="5"/>
      <c r="T74" s="5">
        <f t="shared" si="27"/>
        <v>0</v>
      </c>
      <c r="U74" s="5"/>
      <c r="V74" s="1"/>
      <c r="W74" s="1"/>
      <c r="X74" s="1">
        <f t="shared" si="28"/>
        <v>15.416666666666668</v>
      </c>
      <c r="Y74" s="1">
        <f t="shared" si="29"/>
        <v>15.416666666666668</v>
      </c>
      <c r="Z74" s="1">
        <v>6.4</v>
      </c>
      <c r="AA74" s="1">
        <v>8.8000000000000007</v>
      </c>
      <c r="AB74" s="1">
        <v>7.2</v>
      </c>
      <c r="AC74" s="1">
        <v>4.8</v>
      </c>
      <c r="AD74" s="1">
        <v>3.2</v>
      </c>
      <c r="AE74" s="1">
        <v>4.5999999999999996</v>
      </c>
      <c r="AF74" s="1">
        <v>5.8</v>
      </c>
      <c r="AG74" s="1">
        <v>7.8</v>
      </c>
      <c r="AH74" s="1"/>
      <c r="AI74" s="1">
        <f t="shared" si="3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36</v>
      </c>
      <c r="C75" s="1">
        <v>510.58600000000001</v>
      </c>
      <c r="D75" s="1">
        <v>121.244</v>
      </c>
      <c r="E75" s="1">
        <v>200.13399999999999</v>
      </c>
      <c r="F75" s="1">
        <v>417.31</v>
      </c>
      <c r="G75" s="8">
        <v>1</v>
      </c>
      <c r="H75" s="1">
        <v>55</v>
      </c>
      <c r="I75" s="1" t="s">
        <v>37</v>
      </c>
      <c r="J75" s="1"/>
      <c r="K75" s="1">
        <v>192.9</v>
      </c>
      <c r="L75" s="1">
        <f t="shared" si="24"/>
        <v>7.2339999999999804</v>
      </c>
      <c r="M75" s="1">
        <f t="shared" si="25"/>
        <v>200.13399999999999</v>
      </c>
      <c r="N75" s="1"/>
      <c r="O75" s="1">
        <v>110.8143</v>
      </c>
      <c r="P75" s="1">
        <v>0</v>
      </c>
      <c r="Q75" s="1">
        <f t="shared" si="26"/>
        <v>40.026799999999994</v>
      </c>
      <c r="R75" s="5">
        <f t="shared" si="23"/>
        <v>32.250899999999945</v>
      </c>
      <c r="S75" s="5"/>
      <c r="T75" s="5">
        <f t="shared" si="27"/>
        <v>32.250899999999945</v>
      </c>
      <c r="U75" s="5"/>
      <c r="V75" s="1"/>
      <c r="W75" s="1"/>
      <c r="X75" s="1">
        <f t="shared" si="28"/>
        <v>14</v>
      </c>
      <c r="Y75" s="1">
        <f t="shared" si="29"/>
        <v>13.194267340881609</v>
      </c>
      <c r="Z75" s="1">
        <v>43.802399999999999</v>
      </c>
      <c r="AA75" s="1">
        <v>49.250799999999998</v>
      </c>
      <c r="AB75" s="1">
        <v>44.468000000000004</v>
      </c>
      <c r="AC75" s="1">
        <v>54.786199999999987</v>
      </c>
      <c r="AD75" s="1">
        <v>67.261600000000001</v>
      </c>
      <c r="AE75" s="1">
        <v>89.215400000000002</v>
      </c>
      <c r="AF75" s="1">
        <v>94.238199999999992</v>
      </c>
      <c r="AG75" s="1">
        <v>62.257000000000012</v>
      </c>
      <c r="AH75" s="1" t="s">
        <v>70</v>
      </c>
      <c r="AI75" s="1">
        <f t="shared" si="30"/>
        <v>32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36</v>
      </c>
      <c r="C76" s="1">
        <v>1115.5740000000001</v>
      </c>
      <c r="D76" s="1">
        <v>612.79999999999995</v>
      </c>
      <c r="E76" s="1">
        <v>731.49900000000002</v>
      </c>
      <c r="F76" s="1">
        <v>974.774</v>
      </c>
      <c r="G76" s="8">
        <v>1</v>
      </c>
      <c r="H76" s="1">
        <v>60</v>
      </c>
      <c r="I76" s="1" t="s">
        <v>37</v>
      </c>
      <c r="J76" s="1"/>
      <c r="K76" s="1">
        <v>734.245</v>
      </c>
      <c r="L76" s="1">
        <f t="shared" si="24"/>
        <v>-2.7459999999999809</v>
      </c>
      <c r="M76" s="1">
        <f t="shared" si="25"/>
        <v>731.49900000000002</v>
      </c>
      <c r="N76" s="1"/>
      <c r="O76" s="1">
        <v>305.5419</v>
      </c>
      <c r="P76" s="1">
        <v>382.59007000000003</v>
      </c>
      <c r="Q76" s="1">
        <f t="shared" si="26"/>
        <v>146.2998</v>
      </c>
      <c r="R76" s="5">
        <f t="shared" si="23"/>
        <v>385.29123000000016</v>
      </c>
      <c r="S76" s="5">
        <f t="shared" ref="S76:S79" si="31">$S$1*Q76</f>
        <v>58.519920000000006</v>
      </c>
      <c r="T76" s="5">
        <f t="shared" si="27"/>
        <v>443.81115000000017</v>
      </c>
      <c r="U76" s="5"/>
      <c r="V76" s="1"/>
      <c r="W76" s="1"/>
      <c r="X76" s="1">
        <f t="shared" si="28"/>
        <v>14.400000000000002</v>
      </c>
      <c r="Y76" s="1">
        <f t="shared" si="29"/>
        <v>11.366426816714718</v>
      </c>
      <c r="Z76" s="1">
        <v>142.84119999999999</v>
      </c>
      <c r="AA76" s="1">
        <v>135.79640000000001</v>
      </c>
      <c r="AB76" s="1">
        <v>133.3998</v>
      </c>
      <c r="AC76" s="1">
        <v>129.43180000000001</v>
      </c>
      <c r="AD76" s="1">
        <v>132.5378</v>
      </c>
      <c r="AE76" s="1">
        <v>138.80619999999999</v>
      </c>
      <c r="AF76" s="1">
        <v>144.02619999999999</v>
      </c>
      <c r="AG76" s="1">
        <v>144.4802</v>
      </c>
      <c r="AH76" s="1" t="s">
        <v>47</v>
      </c>
      <c r="AI76" s="1">
        <f t="shared" si="30"/>
        <v>444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36</v>
      </c>
      <c r="C77" s="1">
        <v>2348.7260000000001</v>
      </c>
      <c r="D77" s="1">
        <v>316.17</v>
      </c>
      <c r="E77" s="1">
        <v>1133.6130000000001</v>
      </c>
      <c r="F77" s="1">
        <v>1357.692</v>
      </c>
      <c r="G77" s="8">
        <v>1</v>
      </c>
      <c r="H77" s="1">
        <v>60</v>
      </c>
      <c r="I77" s="1" t="s">
        <v>37</v>
      </c>
      <c r="J77" s="1"/>
      <c r="K77" s="1">
        <v>1354.192</v>
      </c>
      <c r="L77" s="1">
        <f t="shared" si="24"/>
        <v>-220.57899999999995</v>
      </c>
      <c r="M77" s="1">
        <f t="shared" si="25"/>
        <v>984.11800000000005</v>
      </c>
      <c r="N77" s="1">
        <v>149.495</v>
      </c>
      <c r="O77" s="1">
        <v>415.39994999999999</v>
      </c>
      <c r="P77" s="1">
        <v>591.8304900000004</v>
      </c>
      <c r="Q77" s="1">
        <f t="shared" si="26"/>
        <v>196.8236</v>
      </c>
      <c r="R77" s="5">
        <f t="shared" si="23"/>
        <v>390.60795999999982</v>
      </c>
      <c r="S77" s="5">
        <f t="shared" si="31"/>
        <v>78.729440000000011</v>
      </c>
      <c r="T77" s="5">
        <f t="shared" si="27"/>
        <v>469.33739999999983</v>
      </c>
      <c r="U77" s="5"/>
      <c r="V77" s="1"/>
      <c r="W77" s="1"/>
      <c r="X77" s="1">
        <f t="shared" si="28"/>
        <v>14.4</v>
      </c>
      <c r="Y77" s="1">
        <f t="shared" si="29"/>
        <v>12.015441440965414</v>
      </c>
      <c r="Z77" s="1">
        <v>207.64080000000001</v>
      </c>
      <c r="AA77" s="1">
        <v>184.62219999999999</v>
      </c>
      <c r="AB77" s="1">
        <v>188.2578</v>
      </c>
      <c r="AC77" s="1">
        <v>216.38939999999999</v>
      </c>
      <c r="AD77" s="1">
        <v>220.108</v>
      </c>
      <c r="AE77" s="1">
        <v>235.29859999999999</v>
      </c>
      <c r="AF77" s="1">
        <v>252.2998</v>
      </c>
      <c r="AG77" s="1">
        <v>257.0206</v>
      </c>
      <c r="AH77" s="1"/>
      <c r="AI77" s="1">
        <f t="shared" si="30"/>
        <v>469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120</v>
      </c>
      <c r="B78" s="1" t="s">
        <v>36</v>
      </c>
      <c r="C78" s="1">
        <v>2029.366</v>
      </c>
      <c r="D78" s="1">
        <v>867.48400000000004</v>
      </c>
      <c r="E78" s="1">
        <v>1046.3720000000001</v>
      </c>
      <c r="F78" s="1">
        <v>1802.4839999999999</v>
      </c>
      <c r="G78" s="8">
        <v>1</v>
      </c>
      <c r="H78" s="1">
        <v>60</v>
      </c>
      <c r="I78" s="1" t="s">
        <v>37</v>
      </c>
      <c r="J78" s="1"/>
      <c r="K78" s="1">
        <v>1084.922</v>
      </c>
      <c r="L78" s="1">
        <f t="shared" si="24"/>
        <v>-38.549999999999955</v>
      </c>
      <c r="M78" s="1">
        <f t="shared" si="25"/>
        <v>1046.3720000000001</v>
      </c>
      <c r="N78" s="1"/>
      <c r="O78" s="1">
        <v>502.04250000000008</v>
      </c>
      <c r="P78" s="1">
        <v>0</v>
      </c>
      <c r="Q78" s="1">
        <f t="shared" si="26"/>
        <v>209.27440000000001</v>
      </c>
      <c r="R78" s="5">
        <f t="shared" si="23"/>
        <v>625.31510000000026</v>
      </c>
      <c r="S78" s="5">
        <f t="shared" si="31"/>
        <v>83.709760000000017</v>
      </c>
      <c r="T78" s="5">
        <f t="shared" si="27"/>
        <v>709.02486000000022</v>
      </c>
      <c r="U78" s="5"/>
      <c r="V78" s="1"/>
      <c r="W78" s="1"/>
      <c r="X78" s="1">
        <f t="shared" si="28"/>
        <v>14.4</v>
      </c>
      <c r="Y78" s="1">
        <f t="shared" si="29"/>
        <v>11.011984743475551</v>
      </c>
      <c r="Z78" s="1">
        <v>200.9734</v>
      </c>
      <c r="AA78" s="1">
        <v>223.13</v>
      </c>
      <c r="AB78" s="1">
        <v>214.286</v>
      </c>
      <c r="AC78" s="1">
        <v>201.80520000000001</v>
      </c>
      <c r="AD78" s="1">
        <v>202.8092</v>
      </c>
      <c r="AE78" s="1">
        <v>217.94759999999999</v>
      </c>
      <c r="AF78" s="1">
        <v>218.51240000000001</v>
      </c>
      <c r="AG78" s="1">
        <v>203.68780000000001</v>
      </c>
      <c r="AH78" s="1" t="s">
        <v>47</v>
      </c>
      <c r="AI78" s="1">
        <f t="shared" si="30"/>
        <v>709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36</v>
      </c>
      <c r="C79" s="1">
        <v>3329.3490000000002</v>
      </c>
      <c r="D79" s="1">
        <v>746.88199999999995</v>
      </c>
      <c r="E79" s="1">
        <v>1849.2539999999999</v>
      </c>
      <c r="F79" s="1">
        <v>1986.4960000000001</v>
      </c>
      <c r="G79" s="8">
        <v>1</v>
      </c>
      <c r="H79" s="1">
        <v>60</v>
      </c>
      <c r="I79" s="1" t="s">
        <v>37</v>
      </c>
      <c r="J79" s="1"/>
      <c r="K79" s="1">
        <v>2125.192</v>
      </c>
      <c r="L79" s="1">
        <f t="shared" si="24"/>
        <v>-275.9380000000001</v>
      </c>
      <c r="M79" s="1">
        <f t="shared" si="25"/>
        <v>1669.1219999999998</v>
      </c>
      <c r="N79" s="1">
        <v>180.13200000000001</v>
      </c>
      <c r="O79" s="1">
        <v>676.40715</v>
      </c>
      <c r="P79" s="1">
        <v>1068.3972100000001</v>
      </c>
      <c r="Q79" s="1">
        <f t="shared" si="26"/>
        <v>333.82439999999997</v>
      </c>
      <c r="R79" s="5">
        <f t="shared" si="23"/>
        <v>942.24123999999938</v>
      </c>
      <c r="S79" s="5">
        <f t="shared" si="31"/>
        <v>133.52975999999998</v>
      </c>
      <c r="T79" s="5">
        <f t="shared" si="27"/>
        <v>1075.7709999999993</v>
      </c>
      <c r="U79" s="5"/>
      <c r="V79" s="1"/>
      <c r="W79" s="1"/>
      <c r="X79" s="1">
        <f t="shared" si="28"/>
        <v>14.4</v>
      </c>
      <c r="Y79" s="1">
        <f t="shared" si="29"/>
        <v>11.177434483518882</v>
      </c>
      <c r="Z79" s="1">
        <v>329.97120000000001</v>
      </c>
      <c r="AA79" s="1">
        <v>300.62540000000001</v>
      </c>
      <c r="AB79" s="1">
        <v>322.91699999999997</v>
      </c>
      <c r="AC79" s="1">
        <v>332.73840000000001</v>
      </c>
      <c r="AD79" s="1">
        <v>345.89920000000001</v>
      </c>
      <c r="AE79" s="1">
        <v>381.24639999999999</v>
      </c>
      <c r="AF79" s="1">
        <v>354.73759999999999</v>
      </c>
      <c r="AG79" s="1">
        <v>344.58879999999999</v>
      </c>
      <c r="AH79" s="1" t="s">
        <v>47</v>
      </c>
      <c r="AI79" s="1">
        <f t="shared" si="30"/>
        <v>1076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122</v>
      </c>
      <c r="B80" s="1" t="s">
        <v>36</v>
      </c>
      <c r="C80" s="1">
        <v>114.664</v>
      </c>
      <c r="D80" s="1"/>
      <c r="E80" s="1">
        <v>37.753999999999998</v>
      </c>
      <c r="F80" s="1">
        <v>76.91</v>
      </c>
      <c r="G80" s="8">
        <v>1</v>
      </c>
      <c r="H80" s="1">
        <v>60</v>
      </c>
      <c r="I80" s="1" t="s">
        <v>37</v>
      </c>
      <c r="J80" s="1"/>
      <c r="K80" s="1">
        <v>37.5</v>
      </c>
      <c r="L80" s="1">
        <f t="shared" si="24"/>
        <v>0.25399999999999778</v>
      </c>
      <c r="M80" s="1">
        <f t="shared" si="25"/>
        <v>37.753999999999998</v>
      </c>
      <c r="N80" s="1"/>
      <c r="O80" s="1"/>
      <c r="P80" s="1">
        <v>0</v>
      </c>
      <c r="Q80" s="1">
        <f t="shared" si="26"/>
        <v>7.5507999999999997</v>
      </c>
      <c r="R80" s="5">
        <f>13*Q80-P80-O80-F80</f>
        <v>21.250399999999999</v>
      </c>
      <c r="S80" s="5"/>
      <c r="T80" s="5">
        <f t="shared" si="27"/>
        <v>21.250399999999999</v>
      </c>
      <c r="U80" s="5"/>
      <c r="V80" s="1"/>
      <c r="W80" s="1"/>
      <c r="X80" s="1">
        <f t="shared" si="28"/>
        <v>13</v>
      </c>
      <c r="Y80" s="1">
        <f t="shared" si="29"/>
        <v>10.185675689993113</v>
      </c>
      <c r="Z80" s="1">
        <v>4.0162000000000004</v>
      </c>
      <c r="AA80" s="1">
        <v>3.681</v>
      </c>
      <c r="AB80" s="1">
        <v>4.0106000000000002</v>
      </c>
      <c r="AC80" s="1">
        <v>3.8592</v>
      </c>
      <c r="AD80" s="1">
        <v>3.5442000000000009</v>
      </c>
      <c r="AE80" s="1">
        <v>5.4672000000000001</v>
      </c>
      <c r="AF80" s="1">
        <v>7.4016000000000002</v>
      </c>
      <c r="AG80" s="1">
        <v>6.2751999999999999</v>
      </c>
      <c r="AH80" s="19" t="s">
        <v>140</v>
      </c>
      <c r="AI80" s="1">
        <f t="shared" si="30"/>
        <v>21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41</v>
      </c>
      <c r="C81" s="1">
        <v>161</v>
      </c>
      <c r="D81" s="1">
        <v>511</v>
      </c>
      <c r="E81" s="1">
        <v>316</v>
      </c>
      <c r="F81" s="1">
        <v>332.53699999999998</v>
      </c>
      <c r="G81" s="8">
        <v>0.3</v>
      </c>
      <c r="H81" s="1">
        <v>40</v>
      </c>
      <c r="I81" s="1" t="s">
        <v>37</v>
      </c>
      <c r="J81" s="1"/>
      <c r="K81" s="1">
        <v>332</v>
      </c>
      <c r="L81" s="1">
        <f t="shared" si="24"/>
        <v>-16</v>
      </c>
      <c r="M81" s="1">
        <f t="shared" si="25"/>
        <v>316</v>
      </c>
      <c r="N81" s="1"/>
      <c r="O81" s="1"/>
      <c r="P81" s="1">
        <v>325.53299999999967</v>
      </c>
      <c r="Q81" s="1">
        <f t="shared" si="26"/>
        <v>63.2</v>
      </c>
      <c r="R81" s="5">
        <f t="shared" ref="R81" si="32">12*Q81-P81-O81-F81</f>
        <v>100.33000000000044</v>
      </c>
      <c r="S81" s="5"/>
      <c r="T81" s="5">
        <f t="shared" si="27"/>
        <v>100.33000000000044</v>
      </c>
      <c r="U81" s="5"/>
      <c r="V81" s="1"/>
      <c r="W81" s="1"/>
      <c r="X81" s="1">
        <f t="shared" si="28"/>
        <v>12.000000000000002</v>
      </c>
      <c r="Y81" s="1">
        <f t="shared" si="29"/>
        <v>10.412499999999994</v>
      </c>
      <c r="Z81" s="1">
        <v>61.4</v>
      </c>
      <c r="AA81" s="1">
        <v>56.2</v>
      </c>
      <c r="AB81" s="1">
        <v>57.2</v>
      </c>
      <c r="AC81" s="1">
        <v>53.2</v>
      </c>
      <c r="AD81" s="1">
        <v>52</v>
      </c>
      <c r="AE81" s="1">
        <v>58.6</v>
      </c>
      <c r="AF81" s="1">
        <v>54.2</v>
      </c>
      <c r="AG81" s="1">
        <v>49.6</v>
      </c>
      <c r="AH81" s="1"/>
      <c r="AI81" s="1">
        <f t="shared" si="30"/>
        <v>30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124</v>
      </c>
      <c r="B82" s="1" t="s">
        <v>41</v>
      </c>
      <c r="C82" s="1">
        <v>224</v>
      </c>
      <c r="D82" s="1">
        <v>72</v>
      </c>
      <c r="E82" s="1">
        <v>122</v>
      </c>
      <c r="F82" s="1">
        <v>167</v>
      </c>
      <c r="G82" s="8">
        <v>7.0000000000000007E-2</v>
      </c>
      <c r="H82" s="1">
        <v>90</v>
      </c>
      <c r="I82" s="1" t="s">
        <v>37</v>
      </c>
      <c r="J82" s="1"/>
      <c r="K82" s="1">
        <v>125</v>
      </c>
      <c r="L82" s="1">
        <f t="shared" si="24"/>
        <v>-3</v>
      </c>
      <c r="M82" s="1">
        <f t="shared" si="25"/>
        <v>122</v>
      </c>
      <c r="N82" s="1"/>
      <c r="O82" s="1"/>
      <c r="P82" s="1">
        <v>104.42</v>
      </c>
      <c r="Q82" s="1">
        <f t="shared" si="26"/>
        <v>24.4</v>
      </c>
      <c r="R82" s="5">
        <f t="shared" si="23"/>
        <v>70.17999999999995</v>
      </c>
      <c r="S82" s="5"/>
      <c r="T82" s="5">
        <f t="shared" si="27"/>
        <v>70.17999999999995</v>
      </c>
      <c r="U82" s="5"/>
      <c r="V82" s="1"/>
      <c r="W82" s="1"/>
      <c r="X82" s="1">
        <f t="shared" si="28"/>
        <v>14</v>
      </c>
      <c r="Y82" s="1">
        <f t="shared" si="29"/>
        <v>11.123770491803279</v>
      </c>
      <c r="Z82" s="1">
        <v>24.4</v>
      </c>
      <c r="AA82" s="1">
        <v>26</v>
      </c>
      <c r="AB82" s="1">
        <v>23.6</v>
      </c>
      <c r="AC82" s="1">
        <v>26.2</v>
      </c>
      <c r="AD82" s="1">
        <v>32.799999999999997</v>
      </c>
      <c r="AE82" s="1">
        <v>37</v>
      </c>
      <c r="AF82" s="1">
        <v>33.799999999999997</v>
      </c>
      <c r="AG82" s="1">
        <v>26.4</v>
      </c>
      <c r="AH82" s="1"/>
      <c r="AI82" s="1">
        <f t="shared" si="30"/>
        <v>5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41</v>
      </c>
      <c r="C83" s="1">
        <v>265</v>
      </c>
      <c r="D83" s="1">
        <v>72</v>
      </c>
      <c r="E83" s="1">
        <v>141</v>
      </c>
      <c r="F83" s="1">
        <v>191</v>
      </c>
      <c r="G83" s="8">
        <v>7.0000000000000007E-2</v>
      </c>
      <c r="H83" s="1">
        <v>90</v>
      </c>
      <c r="I83" s="1" t="s">
        <v>37</v>
      </c>
      <c r="J83" s="1"/>
      <c r="K83" s="1">
        <v>143</v>
      </c>
      <c r="L83" s="1">
        <f t="shared" si="24"/>
        <v>-2</v>
      </c>
      <c r="M83" s="1">
        <f t="shared" si="25"/>
        <v>141</v>
      </c>
      <c r="N83" s="1"/>
      <c r="O83" s="1"/>
      <c r="P83" s="1">
        <v>99.039999999999964</v>
      </c>
      <c r="Q83" s="1">
        <f t="shared" si="26"/>
        <v>28.2</v>
      </c>
      <c r="R83" s="5">
        <f t="shared" si="23"/>
        <v>104.76000000000005</v>
      </c>
      <c r="S83" s="5"/>
      <c r="T83" s="5">
        <f t="shared" si="27"/>
        <v>104.76000000000005</v>
      </c>
      <c r="U83" s="5"/>
      <c r="V83" s="1"/>
      <c r="W83" s="1"/>
      <c r="X83" s="1">
        <f t="shared" si="28"/>
        <v>14</v>
      </c>
      <c r="Y83" s="1">
        <f t="shared" si="29"/>
        <v>10.285106382978723</v>
      </c>
      <c r="Z83" s="1">
        <v>24.8</v>
      </c>
      <c r="AA83" s="1">
        <v>28.6</v>
      </c>
      <c r="AB83" s="1">
        <v>30</v>
      </c>
      <c r="AC83" s="1">
        <v>30.4</v>
      </c>
      <c r="AD83" s="1">
        <v>38.200000000000003</v>
      </c>
      <c r="AE83" s="1">
        <v>41.4</v>
      </c>
      <c r="AF83" s="1">
        <v>35.799999999999997</v>
      </c>
      <c r="AG83" s="1">
        <v>27.8</v>
      </c>
      <c r="AH83" s="1"/>
      <c r="AI83" s="1">
        <f t="shared" si="30"/>
        <v>7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126</v>
      </c>
      <c r="B84" s="1" t="s">
        <v>41</v>
      </c>
      <c r="C84" s="1">
        <v>139</v>
      </c>
      <c r="D84" s="1">
        <v>162</v>
      </c>
      <c r="E84" s="1">
        <v>114</v>
      </c>
      <c r="F84" s="1">
        <v>185</v>
      </c>
      <c r="G84" s="8">
        <v>7.0000000000000007E-2</v>
      </c>
      <c r="H84" s="1">
        <v>90</v>
      </c>
      <c r="I84" s="1" t="s">
        <v>37</v>
      </c>
      <c r="J84" s="1"/>
      <c r="K84" s="1">
        <v>114</v>
      </c>
      <c r="L84" s="1">
        <f t="shared" si="24"/>
        <v>0</v>
      </c>
      <c r="M84" s="1">
        <f t="shared" si="25"/>
        <v>114</v>
      </c>
      <c r="N84" s="1"/>
      <c r="O84" s="1"/>
      <c r="P84" s="1">
        <v>51.619999999999948</v>
      </c>
      <c r="Q84" s="1">
        <f t="shared" si="26"/>
        <v>22.8</v>
      </c>
      <c r="R84" s="5">
        <f t="shared" si="23"/>
        <v>82.580000000000041</v>
      </c>
      <c r="S84" s="5"/>
      <c r="T84" s="5">
        <f t="shared" si="27"/>
        <v>82.580000000000041</v>
      </c>
      <c r="U84" s="5"/>
      <c r="V84" s="1"/>
      <c r="W84" s="1"/>
      <c r="X84" s="1">
        <f t="shared" si="28"/>
        <v>13.999999999999998</v>
      </c>
      <c r="Y84" s="1">
        <f t="shared" si="29"/>
        <v>10.378070175438594</v>
      </c>
      <c r="Z84" s="1">
        <v>20.399999999999999</v>
      </c>
      <c r="AA84" s="1">
        <v>23.6</v>
      </c>
      <c r="AB84" s="1">
        <v>23</v>
      </c>
      <c r="AC84" s="1">
        <v>18</v>
      </c>
      <c r="AD84" s="1">
        <v>23</v>
      </c>
      <c r="AE84" s="1">
        <v>27</v>
      </c>
      <c r="AF84" s="1">
        <v>23</v>
      </c>
      <c r="AG84" s="1">
        <v>20.6</v>
      </c>
      <c r="AH84" s="1"/>
      <c r="AI84" s="1">
        <f t="shared" si="30"/>
        <v>6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41</v>
      </c>
      <c r="C85" s="1">
        <v>133</v>
      </c>
      <c r="D85" s="1">
        <v>73</v>
      </c>
      <c r="E85" s="1">
        <v>96</v>
      </c>
      <c r="F85" s="1">
        <v>107</v>
      </c>
      <c r="G85" s="8">
        <v>0.05</v>
      </c>
      <c r="H85" s="1">
        <v>90</v>
      </c>
      <c r="I85" s="1" t="s">
        <v>37</v>
      </c>
      <c r="J85" s="1"/>
      <c r="K85" s="1">
        <v>97</v>
      </c>
      <c r="L85" s="1">
        <f t="shared" si="24"/>
        <v>-1</v>
      </c>
      <c r="M85" s="1">
        <f t="shared" si="25"/>
        <v>96</v>
      </c>
      <c r="N85" s="1"/>
      <c r="O85" s="1"/>
      <c r="P85" s="1">
        <v>108.68</v>
      </c>
      <c r="Q85" s="1">
        <f t="shared" si="26"/>
        <v>19.2</v>
      </c>
      <c r="R85" s="5">
        <f t="shared" si="23"/>
        <v>53.120000000000005</v>
      </c>
      <c r="S85" s="5"/>
      <c r="T85" s="5">
        <f t="shared" si="27"/>
        <v>53.120000000000005</v>
      </c>
      <c r="U85" s="5"/>
      <c r="V85" s="1"/>
      <c r="W85" s="1"/>
      <c r="X85" s="1">
        <f t="shared" si="28"/>
        <v>14.000000000000002</v>
      </c>
      <c r="Y85" s="1">
        <f t="shared" si="29"/>
        <v>11.233333333333334</v>
      </c>
      <c r="Z85" s="1">
        <v>17.600000000000001</v>
      </c>
      <c r="AA85" s="1">
        <v>16</v>
      </c>
      <c r="AB85" s="1">
        <v>13.6</v>
      </c>
      <c r="AC85" s="1">
        <v>13.2</v>
      </c>
      <c r="AD85" s="1">
        <v>19.2</v>
      </c>
      <c r="AE85" s="1">
        <v>19.2</v>
      </c>
      <c r="AF85" s="1">
        <v>16.600000000000001</v>
      </c>
      <c r="AG85" s="1">
        <v>23.4</v>
      </c>
      <c r="AH85" s="1"/>
      <c r="AI85" s="1">
        <f t="shared" si="30"/>
        <v>3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128</v>
      </c>
      <c r="B86" s="1" t="s">
        <v>41</v>
      </c>
      <c r="C86" s="1">
        <v>142</v>
      </c>
      <c r="D86" s="1">
        <v>163</v>
      </c>
      <c r="E86" s="1">
        <v>129</v>
      </c>
      <c r="F86" s="1">
        <v>172</v>
      </c>
      <c r="G86" s="8">
        <v>0.05</v>
      </c>
      <c r="H86" s="1">
        <v>90</v>
      </c>
      <c r="I86" s="1" t="s">
        <v>37</v>
      </c>
      <c r="J86" s="1"/>
      <c r="K86" s="1">
        <v>129</v>
      </c>
      <c r="L86" s="1">
        <f t="shared" si="24"/>
        <v>0</v>
      </c>
      <c r="M86" s="1">
        <f t="shared" si="25"/>
        <v>129</v>
      </c>
      <c r="N86" s="1"/>
      <c r="O86" s="1"/>
      <c r="P86" s="1">
        <v>103.54</v>
      </c>
      <c r="Q86" s="1">
        <f t="shared" si="26"/>
        <v>25.8</v>
      </c>
      <c r="R86" s="5">
        <f t="shared" si="23"/>
        <v>85.659999999999968</v>
      </c>
      <c r="S86" s="5"/>
      <c r="T86" s="5">
        <f t="shared" si="27"/>
        <v>85.659999999999968</v>
      </c>
      <c r="U86" s="5"/>
      <c r="V86" s="1"/>
      <c r="W86" s="1"/>
      <c r="X86" s="1">
        <f t="shared" si="28"/>
        <v>14</v>
      </c>
      <c r="Y86" s="1">
        <f t="shared" si="29"/>
        <v>10.679844961240311</v>
      </c>
      <c r="Z86" s="1">
        <v>22.8</v>
      </c>
      <c r="AA86" s="1">
        <v>24</v>
      </c>
      <c r="AB86" s="1">
        <v>24.2</v>
      </c>
      <c r="AC86" s="1">
        <v>21.8</v>
      </c>
      <c r="AD86" s="1">
        <v>25.6</v>
      </c>
      <c r="AE86" s="1">
        <v>27</v>
      </c>
      <c r="AF86" s="1">
        <v>26</v>
      </c>
      <c r="AG86" s="1">
        <v>28.2</v>
      </c>
      <c r="AH86" s="1"/>
      <c r="AI86" s="1">
        <f t="shared" si="30"/>
        <v>4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41</v>
      </c>
      <c r="C87" s="1">
        <v>204</v>
      </c>
      <c r="D87" s="1">
        <v>94</v>
      </c>
      <c r="E87" s="1">
        <v>94</v>
      </c>
      <c r="F87" s="1">
        <v>196</v>
      </c>
      <c r="G87" s="8">
        <v>5.5E-2</v>
      </c>
      <c r="H87" s="1">
        <v>90</v>
      </c>
      <c r="I87" s="1" t="s">
        <v>37</v>
      </c>
      <c r="J87" s="1"/>
      <c r="K87" s="1">
        <v>99</v>
      </c>
      <c r="L87" s="1">
        <f t="shared" si="24"/>
        <v>-5</v>
      </c>
      <c r="M87" s="1">
        <f t="shared" si="25"/>
        <v>94</v>
      </c>
      <c r="N87" s="1"/>
      <c r="O87" s="1"/>
      <c r="P87" s="1">
        <v>78.430000000000064</v>
      </c>
      <c r="Q87" s="1">
        <f t="shared" si="26"/>
        <v>18.8</v>
      </c>
      <c r="R87" s="5"/>
      <c r="S87" s="5"/>
      <c r="T87" s="5">
        <f t="shared" si="27"/>
        <v>0</v>
      </c>
      <c r="U87" s="5"/>
      <c r="V87" s="1"/>
      <c r="W87" s="1"/>
      <c r="X87" s="1">
        <f t="shared" si="28"/>
        <v>14.597340425531918</v>
      </c>
      <c r="Y87" s="1">
        <f t="shared" si="29"/>
        <v>14.597340425531918</v>
      </c>
      <c r="Z87" s="1">
        <v>20.6</v>
      </c>
      <c r="AA87" s="1">
        <v>23.4</v>
      </c>
      <c r="AB87" s="1">
        <v>20.6</v>
      </c>
      <c r="AC87" s="1">
        <v>23.2</v>
      </c>
      <c r="AD87" s="1">
        <v>27.4</v>
      </c>
      <c r="AE87" s="1">
        <v>31</v>
      </c>
      <c r="AF87" s="1">
        <v>28.6</v>
      </c>
      <c r="AG87" s="1">
        <v>24.8</v>
      </c>
      <c r="AH87" s="1"/>
      <c r="AI87" s="1">
        <f t="shared" si="3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130</v>
      </c>
      <c r="B88" s="1" t="s">
        <v>36</v>
      </c>
      <c r="C88" s="1">
        <v>2270.8989999999999</v>
      </c>
      <c r="D88" s="1">
        <v>2919.614</v>
      </c>
      <c r="E88" s="1">
        <v>2267.12</v>
      </c>
      <c r="F88" s="1">
        <v>2812.1869999999999</v>
      </c>
      <c r="G88" s="8">
        <v>1</v>
      </c>
      <c r="H88" s="1">
        <v>40</v>
      </c>
      <c r="I88" s="1" t="s">
        <v>37</v>
      </c>
      <c r="J88" s="1"/>
      <c r="K88" s="1">
        <v>2175.5360000000001</v>
      </c>
      <c r="L88" s="1">
        <f t="shared" si="24"/>
        <v>91.583999999999833</v>
      </c>
      <c r="M88" s="1">
        <f t="shared" si="25"/>
        <v>2212.7059999999997</v>
      </c>
      <c r="N88" s="1">
        <v>54.414000000000001</v>
      </c>
      <c r="O88" s="1"/>
      <c r="P88" s="1">
        <v>2053.9119899999978</v>
      </c>
      <c r="Q88" s="1">
        <f t="shared" si="26"/>
        <v>442.54119999999995</v>
      </c>
      <c r="R88" s="5">
        <f t="shared" ref="R88" si="33">12*Q88-P88-O88-F88</f>
        <v>444.3954100000019</v>
      </c>
      <c r="S88" s="5"/>
      <c r="T88" s="5">
        <f t="shared" si="27"/>
        <v>444.3954100000019</v>
      </c>
      <c r="U88" s="5"/>
      <c r="V88" s="1"/>
      <c r="W88" s="1"/>
      <c r="X88" s="1">
        <f t="shared" si="28"/>
        <v>12</v>
      </c>
      <c r="Y88" s="1">
        <f t="shared" si="29"/>
        <v>10.995810085027108</v>
      </c>
      <c r="Z88" s="1">
        <v>447.75979999999998</v>
      </c>
      <c r="AA88" s="1">
        <v>446.56700000000001</v>
      </c>
      <c r="AB88" s="1">
        <v>466.11419999999998</v>
      </c>
      <c r="AC88" s="1">
        <v>406.08980000000003</v>
      </c>
      <c r="AD88" s="1">
        <v>411.42840000000001</v>
      </c>
      <c r="AE88" s="1">
        <v>483.625</v>
      </c>
      <c r="AF88" s="1">
        <v>461.47680000000003</v>
      </c>
      <c r="AG88" s="1">
        <v>470.11180000000002</v>
      </c>
      <c r="AH88" s="1" t="s">
        <v>47</v>
      </c>
      <c r="AI88" s="1">
        <f t="shared" si="30"/>
        <v>444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4" t="s">
        <v>131</v>
      </c>
      <c r="B89" s="14" t="s">
        <v>36</v>
      </c>
      <c r="C89" s="14"/>
      <c r="D89" s="14"/>
      <c r="E89" s="14"/>
      <c r="F89" s="14"/>
      <c r="G89" s="15">
        <v>0</v>
      </c>
      <c r="H89" s="14">
        <v>60</v>
      </c>
      <c r="I89" s="14" t="s">
        <v>37</v>
      </c>
      <c r="J89" s="14"/>
      <c r="K89" s="14"/>
      <c r="L89" s="14">
        <f t="shared" si="24"/>
        <v>0</v>
      </c>
      <c r="M89" s="14">
        <f t="shared" si="25"/>
        <v>0</v>
      </c>
      <c r="N89" s="14"/>
      <c r="O89" s="14"/>
      <c r="P89" s="14">
        <v>0</v>
      </c>
      <c r="Q89" s="14">
        <f t="shared" si="26"/>
        <v>0</v>
      </c>
      <c r="R89" s="16"/>
      <c r="S89" s="16"/>
      <c r="T89" s="5">
        <f t="shared" si="27"/>
        <v>0</v>
      </c>
      <c r="U89" s="16"/>
      <c r="V89" s="14"/>
      <c r="W89" s="14"/>
      <c r="X89" s="1" t="e">
        <f t="shared" si="28"/>
        <v>#DIV/0!</v>
      </c>
      <c r="Y89" s="14" t="e">
        <f t="shared" si="29"/>
        <v>#DIV/0!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 t="s">
        <v>132</v>
      </c>
      <c r="AI89" s="1">
        <f t="shared" si="30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134</v>
      </c>
      <c r="B90" s="1" t="s">
        <v>41</v>
      </c>
      <c r="C90" s="1">
        <v>203</v>
      </c>
      <c r="D90" s="1">
        <v>729</v>
      </c>
      <c r="E90" s="1">
        <v>465</v>
      </c>
      <c r="F90" s="1">
        <v>453</v>
      </c>
      <c r="G90" s="8">
        <v>0.3</v>
      </c>
      <c r="H90" s="1">
        <v>40</v>
      </c>
      <c r="I90" s="1" t="s">
        <v>37</v>
      </c>
      <c r="J90" s="1"/>
      <c r="K90" s="1">
        <v>472</v>
      </c>
      <c r="L90" s="1">
        <f t="shared" si="24"/>
        <v>-7</v>
      </c>
      <c r="M90" s="1">
        <f t="shared" si="25"/>
        <v>465</v>
      </c>
      <c r="N90" s="1"/>
      <c r="O90" s="1"/>
      <c r="P90" s="1">
        <v>473.18999999999949</v>
      </c>
      <c r="Q90" s="1">
        <f t="shared" si="26"/>
        <v>93</v>
      </c>
      <c r="R90" s="5">
        <f t="shared" ref="R90:R91" si="34">12*Q90-P90-O90-F90</f>
        <v>189.81000000000051</v>
      </c>
      <c r="S90" s="5"/>
      <c r="T90" s="5">
        <f t="shared" si="27"/>
        <v>189.81000000000051</v>
      </c>
      <c r="U90" s="5"/>
      <c r="V90" s="1"/>
      <c r="W90" s="1"/>
      <c r="X90" s="1">
        <f t="shared" si="28"/>
        <v>12</v>
      </c>
      <c r="Y90" s="1">
        <f t="shared" si="29"/>
        <v>9.9590322580645108</v>
      </c>
      <c r="Z90" s="1">
        <v>87.8</v>
      </c>
      <c r="AA90" s="1">
        <v>80.400000000000006</v>
      </c>
      <c r="AB90" s="1">
        <v>79.2</v>
      </c>
      <c r="AC90" s="1">
        <v>74.400000000000006</v>
      </c>
      <c r="AD90" s="1">
        <v>69.8</v>
      </c>
      <c r="AE90" s="1">
        <v>77.2</v>
      </c>
      <c r="AF90" s="1">
        <v>78.599999999999994</v>
      </c>
      <c r="AG90" s="1">
        <v>70.400000000000006</v>
      </c>
      <c r="AH90" s="1"/>
      <c r="AI90" s="1">
        <f t="shared" si="30"/>
        <v>57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135</v>
      </c>
      <c r="B91" s="1" t="s">
        <v>41</v>
      </c>
      <c r="C91" s="1">
        <v>250</v>
      </c>
      <c r="D91" s="1">
        <v>357</v>
      </c>
      <c r="E91" s="1">
        <v>350</v>
      </c>
      <c r="F91" s="1">
        <v>238</v>
      </c>
      <c r="G91" s="8">
        <v>0.3</v>
      </c>
      <c r="H91" s="1">
        <v>40</v>
      </c>
      <c r="I91" s="1" t="s">
        <v>37</v>
      </c>
      <c r="J91" s="1"/>
      <c r="K91" s="1">
        <v>362</v>
      </c>
      <c r="L91" s="1">
        <f t="shared" si="24"/>
        <v>-12</v>
      </c>
      <c r="M91" s="1">
        <f t="shared" si="25"/>
        <v>350</v>
      </c>
      <c r="N91" s="1"/>
      <c r="O91" s="1"/>
      <c r="P91" s="1">
        <v>426.99</v>
      </c>
      <c r="Q91" s="1">
        <f t="shared" si="26"/>
        <v>70</v>
      </c>
      <c r="R91" s="5">
        <f t="shared" si="34"/>
        <v>175.01</v>
      </c>
      <c r="S91" s="5"/>
      <c r="T91" s="5">
        <f t="shared" si="27"/>
        <v>175.01</v>
      </c>
      <c r="U91" s="5"/>
      <c r="V91" s="1"/>
      <c r="W91" s="1"/>
      <c r="X91" s="1">
        <f t="shared" si="28"/>
        <v>12</v>
      </c>
      <c r="Y91" s="1">
        <f t="shared" si="29"/>
        <v>9.4998571428571434</v>
      </c>
      <c r="Z91" s="1">
        <v>63.8</v>
      </c>
      <c r="AA91" s="1">
        <v>50.8</v>
      </c>
      <c r="AB91" s="1">
        <v>53.8</v>
      </c>
      <c r="AC91" s="1">
        <v>61.2</v>
      </c>
      <c r="AD91" s="1">
        <v>58.6</v>
      </c>
      <c r="AE91" s="1">
        <v>59.8</v>
      </c>
      <c r="AF91" s="1">
        <v>59</v>
      </c>
      <c r="AG91" s="1">
        <v>53.6</v>
      </c>
      <c r="AH91" s="1"/>
      <c r="AI91" s="1">
        <f t="shared" si="30"/>
        <v>53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136</v>
      </c>
      <c r="B92" s="1" t="s">
        <v>36</v>
      </c>
      <c r="C92" s="1">
        <v>437.13400000000001</v>
      </c>
      <c r="D92" s="1">
        <v>226.60300000000001</v>
      </c>
      <c r="E92" s="1">
        <v>319.57799999999997</v>
      </c>
      <c r="F92" s="1">
        <v>312.822</v>
      </c>
      <c r="G92" s="8">
        <v>1</v>
      </c>
      <c r="H92" s="1">
        <v>50</v>
      </c>
      <c r="I92" s="1" t="s">
        <v>37</v>
      </c>
      <c r="J92" s="1"/>
      <c r="K92" s="1">
        <v>344.53</v>
      </c>
      <c r="L92" s="1">
        <f t="shared" si="24"/>
        <v>-24.951999999999998</v>
      </c>
      <c r="M92" s="1">
        <f t="shared" si="25"/>
        <v>298.27799999999996</v>
      </c>
      <c r="N92" s="1">
        <v>21.3</v>
      </c>
      <c r="O92" s="1">
        <v>104.99939999999999</v>
      </c>
      <c r="P92" s="1">
        <v>139.48629999999989</v>
      </c>
      <c r="Q92" s="1">
        <f t="shared" si="26"/>
        <v>59.655599999999993</v>
      </c>
      <c r="R92" s="5">
        <f t="shared" ref="R92:R94" si="35">14*Q92-P92-O92-F92</f>
        <v>277.87069999999994</v>
      </c>
      <c r="S92" s="5">
        <f>$S$1*Q92</f>
        <v>23.86224</v>
      </c>
      <c r="T92" s="5">
        <f t="shared" si="27"/>
        <v>301.73293999999993</v>
      </c>
      <c r="U92" s="5"/>
      <c r="V92" s="1"/>
      <c r="W92" s="1"/>
      <c r="X92" s="1">
        <f t="shared" si="28"/>
        <v>14.399999999999997</v>
      </c>
      <c r="Y92" s="1">
        <f t="shared" si="29"/>
        <v>9.3420852359208517</v>
      </c>
      <c r="Z92" s="1">
        <v>49.415999999999997</v>
      </c>
      <c r="AA92" s="1">
        <v>46.666400000000003</v>
      </c>
      <c r="AB92" s="1">
        <v>49.502000000000002</v>
      </c>
      <c r="AC92" s="1">
        <v>51.940399999999997</v>
      </c>
      <c r="AD92" s="1">
        <v>57.390600000000013</v>
      </c>
      <c r="AE92" s="1">
        <v>51.034199999999998</v>
      </c>
      <c r="AF92" s="1">
        <v>49.535200000000003</v>
      </c>
      <c r="AG92" s="1">
        <v>53.572799999999987</v>
      </c>
      <c r="AH92" s="1"/>
      <c r="AI92" s="1">
        <f t="shared" si="30"/>
        <v>302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41</v>
      </c>
      <c r="C93" s="1">
        <v>178</v>
      </c>
      <c r="D93" s="1">
        <v>392</v>
      </c>
      <c r="E93" s="1">
        <v>288</v>
      </c>
      <c r="F93" s="1">
        <v>270</v>
      </c>
      <c r="G93" s="8">
        <v>0.3</v>
      </c>
      <c r="H93" s="1">
        <v>40</v>
      </c>
      <c r="I93" s="1" t="s">
        <v>37</v>
      </c>
      <c r="J93" s="1"/>
      <c r="K93" s="1">
        <v>294</v>
      </c>
      <c r="L93" s="1">
        <f t="shared" si="24"/>
        <v>-6</v>
      </c>
      <c r="M93" s="1">
        <f t="shared" si="25"/>
        <v>288</v>
      </c>
      <c r="N93" s="1"/>
      <c r="O93" s="1"/>
      <c r="P93" s="1">
        <v>250.11999999999989</v>
      </c>
      <c r="Q93" s="1">
        <f t="shared" si="26"/>
        <v>57.6</v>
      </c>
      <c r="R93" s="5">
        <f t="shared" ref="R93" si="36">12*Q93-P93-O93-F93</f>
        <v>171.08000000000015</v>
      </c>
      <c r="S93" s="5"/>
      <c r="T93" s="5">
        <f t="shared" si="27"/>
        <v>171.08000000000015</v>
      </c>
      <c r="U93" s="5"/>
      <c r="V93" s="1"/>
      <c r="W93" s="1"/>
      <c r="X93" s="1">
        <f t="shared" si="28"/>
        <v>12</v>
      </c>
      <c r="Y93" s="1">
        <f t="shared" si="29"/>
        <v>9.0298611111111082</v>
      </c>
      <c r="Z93" s="1">
        <v>50.4</v>
      </c>
      <c r="AA93" s="1">
        <v>49.4</v>
      </c>
      <c r="AB93" s="1">
        <v>49.6</v>
      </c>
      <c r="AC93" s="1">
        <v>48.2</v>
      </c>
      <c r="AD93" s="1">
        <v>47.2</v>
      </c>
      <c r="AE93" s="1">
        <v>50.8</v>
      </c>
      <c r="AF93" s="1">
        <v>52.6</v>
      </c>
      <c r="AG93" s="1">
        <v>45.6</v>
      </c>
      <c r="AH93" s="1"/>
      <c r="AI93" s="1">
        <f t="shared" si="30"/>
        <v>51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41</v>
      </c>
      <c r="C94" s="1">
        <v>130</v>
      </c>
      <c r="D94" s="1">
        <v>30</v>
      </c>
      <c r="E94" s="1">
        <v>47</v>
      </c>
      <c r="F94" s="1">
        <v>108</v>
      </c>
      <c r="G94" s="8">
        <v>0.12</v>
      </c>
      <c r="H94" s="1">
        <v>45</v>
      </c>
      <c r="I94" s="1" t="s">
        <v>37</v>
      </c>
      <c r="J94" s="1"/>
      <c r="K94" s="1">
        <v>50</v>
      </c>
      <c r="L94" s="1">
        <f t="shared" si="24"/>
        <v>-3</v>
      </c>
      <c r="M94" s="1">
        <f t="shared" si="25"/>
        <v>47</v>
      </c>
      <c r="N94" s="1"/>
      <c r="O94" s="1"/>
      <c r="P94" s="1">
        <v>14.400000000000009</v>
      </c>
      <c r="Q94" s="1">
        <f t="shared" si="26"/>
        <v>9.4</v>
      </c>
      <c r="R94" s="5">
        <f t="shared" si="35"/>
        <v>9.1999999999999886</v>
      </c>
      <c r="S94" s="5"/>
      <c r="T94" s="5">
        <f t="shared" si="27"/>
        <v>9.1999999999999886</v>
      </c>
      <c r="U94" s="5"/>
      <c r="V94" s="1"/>
      <c r="W94" s="1"/>
      <c r="X94" s="1">
        <f t="shared" si="28"/>
        <v>13.999999999999998</v>
      </c>
      <c r="Y94" s="1">
        <f t="shared" si="29"/>
        <v>13.021276595744681</v>
      </c>
      <c r="Z94" s="1">
        <v>9.6</v>
      </c>
      <c r="AA94" s="1">
        <v>8.8000000000000007</v>
      </c>
      <c r="AB94" s="1">
        <v>10.8</v>
      </c>
      <c r="AC94" s="1">
        <v>16.399999999999999</v>
      </c>
      <c r="AD94" s="1">
        <v>18.2</v>
      </c>
      <c r="AE94" s="1">
        <v>16.600000000000001</v>
      </c>
      <c r="AF94" s="1">
        <v>12.6</v>
      </c>
      <c r="AG94" s="1">
        <v>17.600000000000001</v>
      </c>
      <c r="AH94" s="1"/>
      <c r="AI94" s="1">
        <f t="shared" si="30"/>
        <v>1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4" xr:uid="{D7C11FAF-C31B-497C-93D2-CD9E1B535F6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2025-12-18T10:24:10Z</dcterms:created>
  <dcterms:modified xsi:type="dcterms:W3CDTF">2025-12-24T11:45:40Z</dcterms:modified>
</cp:coreProperties>
</file>