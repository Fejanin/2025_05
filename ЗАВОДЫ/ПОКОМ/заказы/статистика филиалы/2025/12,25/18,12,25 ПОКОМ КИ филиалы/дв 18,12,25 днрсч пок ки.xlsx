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97507072-D299-4EA9-9926-0883310110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3" i="1" l="1"/>
  <c r="W5" i="1" l="1"/>
  <c r="M7" i="1"/>
  <c r="S7" i="1" s="1"/>
  <c r="M8" i="1"/>
  <c r="S8" i="1" s="1"/>
  <c r="T8" i="1" s="1"/>
  <c r="AI8" i="1" s="1"/>
  <c r="M9" i="1"/>
  <c r="S9" i="1" s="1"/>
  <c r="M10" i="1"/>
  <c r="S10" i="1" s="1"/>
  <c r="T10" i="1" s="1"/>
  <c r="AI10" i="1" s="1"/>
  <c r="M11" i="1"/>
  <c r="S11" i="1" s="1"/>
  <c r="M12" i="1"/>
  <c r="S12" i="1" s="1"/>
  <c r="M13" i="1"/>
  <c r="S13" i="1" s="1"/>
  <c r="M14" i="1"/>
  <c r="S14" i="1" s="1"/>
  <c r="T14" i="1" s="1"/>
  <c r="AI14" i="1" s="1"/>
  <c r="M15" i="1"/>
  <c r="S15" i="1" s="1"/>
  <c r="M16" i="1"/>
  <c r="S16" i="1" s="1"/>
  <c r="T16" i="1" s="1"/>
  <c r="AI16" i="1" s="1"/>
  <c r="M17" i="1"/>
  <c r="S17" i="1" s="1"/>
  <c r="M18" i="1"/>
  <c r="S18" i="1" s="1"/>
  <c r="M19" i="1"/>
  <c r="S19" i="1" s="1"/>
  <c r="M20" i="1"/>
  <c r="S20" i="1" s="1"/>
  <c r="T20" i="1" s="1"/>
  <c r="AI20" i="1" s="1"/>
  <c r="M21" i="1"/>
  <c r="S21" i="1" s="1"/>
  <c r="M22" i="1"/>
  <c r="S22" i="1" s="1"/>
  <c r="T22" i="1" s="1"/>
  <c r="M23" i="1"/>
  <c r="S23" i="1" s="1"/>
  <c r="M24" i="1"/>
  <c r="S24" i="1" s="1"/>
  <c r="T24" i="1" s="1"/>
  <c r="AI24" i="1" s="1"/>
  <c r="M25" i="1"/>
  <c r="S25" i="1" s="1"/>
  <c r="X25" i="1" s="1"/>
  <c r="M26" i="1"/>
  <c r="S26" i="1" s="1"/>
  <c r="M27" i="1"/>
  <c r="S27" i="1" s="1"/>
  <c r="M28" i="1"/>
  <c r="S28" i="1" s="1"/>
  <c r="M29" i="1"/>
  <c r="S29" i="1" s="1"/>
  <c r="X29" i="1" s="1"/>
  <c r="M30" i="1"/>
  <c r="S30" i="1" s="1"/>
  <c r="M31" i="1"/>
  <c r="S31" i="1" s="1"/>
  <c r="X31" i="1" s="1"/>
  <c r="M32" i="1"/>
  <c r="S32" i="1" s="1"/>
  <c r="M33" i="1"/>
  <c r="S33" i="1" s="1"/>
  <c r="M34" i="1"/>
  <c r="S34" i="1" s="1"/>
  <c r="T34" i="1" s="1"/>
  <c r="AI34" i="1" s="1"/>
  <c r="M35" i="1"/>
  <c r="S35" i="1" s="1"/>
  <c r="M36" i="1"/>
  <c r="S36" i="1" s="1"/>
  <c r="M37" i="1"/>
  <c r="S37" i="1" s="1"/>
  <c r="M38" i="1"/>
  <c r="S38" i="1" s="1"/>
  <c r="T38" i="1" s="1"/>
  <c r="AI38" i="1" s="1"/>
  <c r="M39" i="1"/>
  <c r="S39" i="1" s="1"/>
  <c r="M40" i="1"/>
  <c r="S40" i="1" s="1"/>
  <c r="M41" i="1"/>
  <c r="S41" i="1" s="1"/>
  <c r="T41" i="1" s="1"/>
  <c r="M42" i="1"/>
  <c r="S42" i="1" s="1"/>
  <c r="T42" i="1" s="1"/>
  <c r="AI42" i="1" s="1"/>
  <c r="M43" i="1"/>
  <c r="S43" i="1" s="1"/>
  <c r="T43" i="1" s="1"/>
  <c r="M44" i="1"/>
  <c r="S44" i="1" s="1"/>
  <c r="T44" i="1" s="1"/>
  <c r="M45" i="1"/>
  <c r="S45" i="1" s="1"/>
  <c r="T45" i="1" s="1"/>
  <c r="M46" i="1"/>
  <c r="S46" i="1" s="1"/>
  <c r="T46" i="1" s="1"/>
  <c r="AI46" i="1" s="1"/>
  <c r="M47" i="1"/>
  <c r="S47" i="1" s="1"/>
  <c r="M48" i="1"/>
  <c r="S48" i="1" s="1"/>
  <c r="M49" i="1"/>
  <c r="S49" i="1" s="1"/>
  <c r="M50" i="1"/>
  <c r="S50" i="1" s="1"/>
  <c r="M51" i="1"/>
  <c r="S51" i="1" s="1"/>
  <c r="T51" i="1" s="1"/>
  <c r="M52" i="1"/>
  <c r="S52" i="1" s="1"/>
  <c r="AI52" i="1" s="1"/>
  <c r="M53" i="1"/>
  <c r="S53" i="1" s="1"/>
  <c r="M54" i="1"/>
  <c r="S54" i="1" s="1"/>
  <c r="T54" i="1" s="1"/>
  <c r="AI54" i="1" s="1"/>
  <c r="M55" i="1"/>
  <c r="S55" i="1" s="1"/>
  <c r="M56" i="1"/>
  <c r="S56" i="1" s="1"/>
  <c r="T56" i="1" s="1"/>
  <c r="AI56" i="1" s="1"/>
  <c r="M57" i="1"/>
  <c r="S57" i="1" s="1"/>
  <c r="M58" i="1"/>
  <c r="S58" i="1" s="1"/>
  <c r="M59" i="1"/>
  <c r="S59" i="1" s="1"/>
  <c r="M60" i="1"/>
  <c r="S60" i="1" s="1"/>
  <c r="M61" i="1"/>
  <c r="S61" i="1" s="1"/>
  <c r="T61" i="1" s="1"/>
  <c r="M62" i="1"/>
  <c r="S62" i="1" s="1"/>
  <c r="M63" i="1"/>
  <c r="S63" i="1" s="1"/>
  <c r="T63" i="1" s="1"/>
  <c r="M64" i="1"/>
  <c r="S64" i="1" s="1"/>
  <c r="M65" i="1"/>
  <c r="S65" i="1" s="1"/>
  <c r="T65" i="1" s="1"/>
  <c r="M66" i="1"/>
  <c r="S66" i="1" s="1"/>
  <c r="T66" i="1" s="1"/>
  <c r="AI66" i="1" s="1"/>
  <c r="M67" i="1"/>
  <c r="S67" i="1" s="1"/>
  <c r="X67" i="1" s="1"/>
  <c r="M68" i="1"/>
  <c r="S68" i="1" s="1"/>
  <c r="M69" i="1"/>
  <c r="S69" i="1" s="1"/>
  <c r="M70" i="1"/>
  <c r="S70" i="1" s="1"/>
  <c r="M71" i="1"/>
  <c r="S71" i="1" s="1"/>
  <c r="M72" i="1"/>
  <c r="S72" i="1" s="1"/>
  <c r="M73" i="1"/>
  <c r="S73" i="1" s="1"/>
  <c r="M74" i="1"/>
  <c r="S74" i="1" s="1"/>
  <c r="T74" i="1" s="1"/>
  <c r="AI74" i="1" s="1"/>
  <c r="M75" i="1"/>
  <c r="S75" i="1" s="1"/>
  <c r="M76" i="1"/>
  <c r="S76" i="1" s="1"/>
  <c r="T76" i="1" s="1"/>
  <c r="AI76" i="1" s="1"/>
  <c r="M77" i="1"/>
  <c r="S77" i="1" s="1"/>
  <c r="M78" i="1"/>
  <c r="S78" i="1" s="1"/>
  <c r="AI78" i="1" s="1"/>
  <c r="M79" i="1"/>
  <c r="S79" i="1" s="1"/>
  <c r="T79" i="1" s="1"/>
  <c r="M80" i="1"/>
  <c r="S80" i="1" s="1"/>
  <c r="T80" i="1" s="1"/>
  <c r="AI80" i="1" s="1"/>
  <c r="M81" i="1"/>
  <c r="S81" i="1" s="1"/>
  <c r="M82" i="1"/>
  <c r="S82" i="1" s="1"/>
  <c r="T82" i="1" s="1"/>
  <c r="AI82" i="1" s="1"/>
  <c r="M83" i="1"/>
  <c r="S83" i="1" s="1"/>
  <c r="M84" i="1"/>
  <c r="S84" i="1" s="1"/>
  <c r="T84" i="1" s="1"/>
  <c r="AI84" i="1" s="1"/>
  <c r="M85" i="1"/>
  <c r="S85" i="1" s="1"/>
  <c r="M86" i="1"/>
  <c r="S86" i="1" s="1"/>
  <c r="M87" i="1"/>
  <c r="S87" i="1" s="1"/>
  <c r="T87" i="1" s="1"/>
  <c r="M88" i="1"/>
  <c r="S88" i="1" s="1"/>
  <c r="AI88" i="1" s="1"/>
  <c r="M89" i="1"/>
  <c r="S89" i="1" s="1"/>
  <c r="M90" i="1"/>
  <c r="S90" i="1" s="1"/>
  <c r="M91" i="1"/>
  <c r="S91" i="1" s="1"/>
  <c r="T91" i="1" s="1"/>
  <c r="M92" i="1"/>
  <c r="S92" i="1" s="1"/>
  <c r="T92" i="1" s="1"/>
  <c r="AI92" i="1" s="1"/>
  <c r="M93" i="1"/>
  <c r="S93" i="1" s="1"/>
  <c r="T93" i="1" s="1"/>
  <c r="M94" i="1"/>
  <c r="S94" i="1" s="1"/>
  <c r="T94" i="1" s="1"/>
  <c r="M6" i="1"/>
  <c r="S6" i="1" s="1"/>
  <c r="AI94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AI62" i="1"/>
  <c r="L62" i="1"/>
  <c r="L61" i="1"/>
  <c r="L60" i="1"/>
  <c r="L59" i="1"/>
  <c r="AI58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AI44" i="1"/>
  <c r="L44" i="1"/>
  <c r="L43" i="1"/>
  <c r="L42" i="1"/>
  <c r="L41" i="1"/>
  <c r="AI40" i="1"/>
  <c r="L40" i="1"/>
  <c r="L39" i="1"/>
  <c r="L38" i="1"/>
  <c r="L37" i="1"/>
  <c r="AI36" i="1"/>
  <c r="L36" i="1"/>
  <c r="L35" i="1"/>
  <c r="L34" i="1"/>
  <c r="L33" i="1"/>
  <c r="AI32" i="1"/>
  <c r="L32" i="1"/>
  <c r="L31" i="1"/>
  <c r="L30" i="1"/>
  <c r="L29" i="1"/>
  <c r="L28" i="1"/>
  <c r="L27" i="1"/>
  <c r="L26" i="1"/>
  <c r="L25" i="1"/>
  <c r="L24" i="1"/>
  <c r="L23" i="1"/>
  <c r="AI22" i="1"/>
  <c r="L22" i="1"/>
  <c r="L21" i="1"/>
  <c r="L20" i="1"/>
  <c r="L19" i="1"/>
  <c r="L18" i="1"/>
  <c r="L17" i="1"/>
  <c r="L16" i="1"/>
  <c r="L15" i="1"/>
  <c r="L14" i="1"/>
  <c r="L13" i="1"/>
  <c r="AI12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R5" i="1"/>
  <c r="Q5" i="1"/>
  <c r="P5" i="1"/>
  <c r="O5" i="1"/>
  <c r="N5" i="1"/>
  <c r="K5" i="1"/>
  <c r="F5" i="1"/>
  <c r="E5" i="1"/>
  <c r="AI90" i="1" l="1"/>
  <c r="T90" i="1"/>
  <c r="AI64" i="1"/>
  <c r="T64" i="1"/>
  <c r="AI60" i="1"/>
  <c r="T60" i="1"/>
  <c r="AI50" i="1"/>
  <c r="T50" i="1"/>
  <c r="Y6" i="1"/>
  <c r="T6" i="1"/>
  <c r="Y93" i="1"/>
  <c r="AI93" i="1"/>
  <c r="AI91" i="1"/>
  <c r="AI89" i="1"/>
  <c r="AI87" i="1"/>
  <c r="T85" i="1"/>
  <c r="AI85" i="1" s="1"/>
  <c r="T83" i="1"/>
  <c r="AI83" i="1" s="1"/>
  <c r="T81" i="1"/>
  <c r="AI81" i="1" s="1"/>
  <c r="AI79" i="1"/>
  <c r="T77" i="1"/>
  <c r="AI77" i="1" s="1"/>
  <c r="T75" i="1"/>
  <c r="AI75" i="1" s="1"/>
  <c r="AI73" i="1"/>
  <c r="T71" i="1"/>
  <c r="AI71" i="1" s="1"/>
  <c r="AI69" i="1"/>
  <c r="AI65" i="1"/>
  <c r="AI63" i="1"/>
  <c r="AI61" i="1"/>
  <c r="AI59" i="1"/>
  <c r="T57" i="1"/>
  <c r="AI57" i="1" s="1"/>
  <c r="T55" i="1"/>
  <c r="AI55" i="1" s="1"/>
  <c r="T53" i="1"/>
  <c r="AI53" i="1" s="1"/>
  <c r="AI51" i="1"/>
  <c r="AI49" i="1"/>
  <c r="T47" i="1"/>
  <c r="AI47" i="1" s="1"/>
  <c r="AI45" i="1"/>
  <c r="AI43" i="1"/>
  <c r="AI41" i="1"/>
  <c r="AI39" i="1"/>
  <c r="T37" i="1"/>
  <c r="AI37" i="1" s="1"/>
  <c r="T35" i="1"/>
  <c r="AI35" i="1" s="1"/>
  <c r="T33" i="1"/>
  <c r="AI33" i="1" s="1"/>
  <c r="AI27" i="1"/>
  <c r="T23" i="1"/>
  <c r="AI23" i="1" s="1"/>
  <c r="T21" i="1"/>
  <c r="AI21" i="1" s="1"/>
  <c r="AI19" i="1"/>
  <c r="AI17" i="1"/>
  <c r="T15" i="1"/>
  <c r="AI15" i="1" s="1"/>
  <c r="AI13" i="1"/>
  <c r="T11" i="1"/>
  <c r="AI11" i="1" s="1"/>
  <c r="T9" i="1"/>
  <c r="AI9" i="1" s="1"/>
  <c r="T7" i="1"/>
  <c r="AI7" i="1" s="1"/>
  <c r="X93" i="1"/>
  <c r="Y94" i="1"/>
  <c r="X94" i="1"/>
  <c r="Y92" i="1"/>
  <c r="X92" i="1"/>
  <c r="X90" i="1"/>
  <c r="Y90" i="1"/>
  <c r="X88" i="1"/>
  <c r="Y88" i="1"/>
  <c r="X86" i="1"/>
  <c r="Y86" i="1"/>
  <c r="X84" i="1"/>
  <c r="Y84" i="1"/>
  <c r="X82" i="1"/>
  <c r="Y82" i="1"/>
  <c r="X80" i="1"/>
  <c r="Y80" i="1"/>
  <c r="X78" i="1"/>
  <c r="Y78" i="1"/>
  <c r="X76" i="1"/>
  <c r="Y76" i="1"/>
  <c r="X74" i="1"/>
  <c r="Y74" i="1"/>
  <c r="X72" i="1"/>
  <c r="Y72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4" i="1"/>
  <c r="Y54" i="1"/>
  <c r="X52" i="1"/>
  <c r="Y52" i="1"/>
  <c r="X50" i="1"/>
  <c r="Y50" i="1"/>
  <c r="X48" i="1"/>
  <c r="Y48" i="1"/>
  <c r="X46" i="1"/>
  <c r="Y46" i="1"/>
  <c r="X44" i="1"/>
  <c r="Y44" i="1"/>
  <c r="X42" i="1"/>
  <c r="Y42" i="1"/>
  <c r="X40" i="1"/>
  <c r="Y40" i="1"/>
  <c r="X38" i="1"/>
  <c r="Y38" i="1"/>
  <c r="X36" i="1"/>
  <c r="Y36" i="1"/>
  <c r="X34" i="1"/>
  <c r="Y34" i="1"/>
  <c r="X32" i="1"/>
  <c r="Y32" i="1"/>
  <c r="X30" i="1"/>
  <c r="Y30" i="1"/>
  <c r="X28" i="1"/>
  <c r="Y28" i="1"/>
  <c r="X26" i="1"/>
  <c r="Y26" i="1"/>
  <c r="X24" i="1"/>
  <c r="Y24" i="1"/>
  <c r="X22" i="1"/>
  <c r="Y22" i="1"/>
  <c r="X20" i="1"/>
  <c r="Y20" i="1"/>
  <c r="X18" i="1"/>
  <c r="Y18" i="1"/>
  <c r="X16" i="1"/>
  <c r="Y16" i="1"/>
  <c r="X14" i="1"/>
  <c r="Y14" i="1"/>
  <c r="X12" i="1"/>
  <c r="Y12" i="1"/>
  <c r="X10" i="1"/>
  <c r="Y10" i="1"/>
  <c r="X8" i="1"/>
  <c r="Y8" i="1"/>
  <c r="L5" i="1"/>
  <c r="S5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M5" i="1"/>
  <c r="T5" i="1" l="1"/>
  <c r="AI6" i="1"/>
  <c r="AI5" i="1" s="1"/>
  <c r="X6" i="1"/>
  <c r="X7" i="1"/>
  <c r="X9" i="1"/>
  <c r="X11" i="1"/>
  <c r="X13" i="1"/>
  <c r="X15" i="1"/>
  <c r="X17" i="1"/>
  <c r="X19" i="1"/>
  <c r="X21" i="1"/>
  <c r="X23" i="1"/>
  <c r="X27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X61" i="1"/>
  <c r="X63" i="1"/>
  <c r="X65" i="1"/>
  <c r="X69" i="1"/>
  <c r="X71" i="1"/>
  <c r="X73" i="1"/>
  <c r="X75" i="1"/>
  <c r="X77" i="1"/>
  <c r="X79" i="1"/>
  <c r="X81" i="1"/>
  <c r="X83" i="1"/>
  <c r="X85" i="1"/>
  <c r="X87" i="1"/>
  <c r="X89" i="1"/>
  <c r="X91" i="1"/>
</calcChain>
</file>

<file path=xl/sharedStrings.xml><?xml version="1.0" encoding="utf-8"?>
<sst xmlns="http://schemas.openxmlformats.org/spreadsheetml/2006/main" count="357" uniqueCount="148">
  <si>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</si>
  <si>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</si>
  <si>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</si>
  <si>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</si>
  <si>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</si>
  <si>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</si>
  <si>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</si>
  <si>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</si>
  <si>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</si>
  <si>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</si>
  <si>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</si>
  <si>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</si>
  <si>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</si>
  <si>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</si>
  <si>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</si>
  <si>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</si>
  <si>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</si>
  <si>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</si>
  <si>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</si>
  <si>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</si>
  <si>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</si>
  <si>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</si>
  <si>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</si>
  <si>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</si>
  <si>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</si>
  <si>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17,12,</t>
  </si>
  <si>
    <t>Бутырин(20,12)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</si>
  <si>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</si>
  <si>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</si>
  <si>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</si>
  <si>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</si>
  <si>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</si>
  <si>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</si>
  <si>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</si>
  <si>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</si>
  <si>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</si>
  <si>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</si>
  <si>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</si>
  <si>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</si>
  <si>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</si>
  <si>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</si>
  <si>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</si>
  <si>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</si>
  <si>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</si>
  <si>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</si>
  <si>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</si>
  <si>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</si>
  <si>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</si>
  <si>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</si>
  <si>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</si>
  <si>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</si>
  <si>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</si>
  <si>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</si>
  <si>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</si>
  <si>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</si>
  <si>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</si>
  <si>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</si>
  <si>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</si>
  <si>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</si>
  <si>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</si>
  <si>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</si>
  <si>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</si>
  <si>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</si>
  <si>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</si>
  <si>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</si>
  <si>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</si>
  <si>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</si>
  <si>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</si>
  <si>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</si>
  <si>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</si>
  <si>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</si>
  <si>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</si>
  <si>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</si>
  <si>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</si>
  <si>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</si>
  <si>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</si>
  <si>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</si>
  <si>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</si>
  <si>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</si>
  <si>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</si>
  <si>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</si>
  <si>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</si>
  <si>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</si>
  <si>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</si>
  <si>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</si>
  <si>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</si>
  <si>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</si>
  <si>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</si>
  <si>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</si>
  <si>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</si>
  <si>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</si>
  <si>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</si>
  <si>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</si>
  <si>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</si>
  <si>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</si>
  <si>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</si>
  <si>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</si>
  <si>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</si>
  <si>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</si>
  <si>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</si>
  <si>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</si>
  <si>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</si>
  <si>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</si>
  <si>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</si>
  <si>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</si>
  <si>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</si>
  <si>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</si>
  <si>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</si>
  <si>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</si>
  <si>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</si>
  <si>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</si>
  <si>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</si>
  <si>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</si>
  <si>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</si>
  <si>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</si>
  <si>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</si>
  <si>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</si>
  <si>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</si>
  <si>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</si>
  <si>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</si>
  <si>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</si>
  <si>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</si>
  <si>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</si>
  <si>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</si>
  <si>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</si>
  <si>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нужно увеличить продажи!!!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</si>
  <si>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</si>
  <si>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</si>
  <si>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</si>
  <si>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</si>
  <si>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</si>
  <si>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</si>
  <si>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</si>
  <si>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</si>
  <si>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</si>
  <si>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</si>
  <si>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</si>
  <si>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</si>
  <si>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377  Колбаса Молочная Дугушка 0,6кг ТМ Стародворье 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</si>
  <si>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</si>
  <si>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</si>
  <si>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</si>
  <si>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</si>
  <si>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</si>
  <si>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</si>
  <si>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</si>
  <si>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</si>
  <si>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23,06,25 в уценку 6кг / 22,04,25 в уценку 34 кг / 25,01,25 в уценку 108кг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</si>
</sst>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0" sqref="V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14.140625" customWidth="1"/>
    <col min="23" max="23" width="7" customWidth="1"/>
    <col min="24" max="25" width="5" customWidth="1"/>
    <col min="26" max="33" width="6" customWidth="1"/>
    <col min="34" max="34" width="33.57031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0" t="s">
        <v>146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40970.973999999995</v>
      </c>
      <c r="F5" s="4">
        <f>SUM(F6:F499)</f>
        <v>37373.43299999999</v>
      </c>
      <c r="G5" s="8"/>
      <c r="H5" s="1"/>
      <c r="I5" s="1"/>
      <c r="J5" s="1"/>
      <c r="K5" s="4">
        <f t="shared" ref="K5:W5" si="0">SUM(K6:K499)</f>
        <v>46714.421999999999</v>
      </c>
      <c r="L5" s="4">
        <f t="shared" si="0"/>
        <v>-5743.4480000000003</v>
      </c>
      <c r="M5" s="4">
        <f t="shared" si="0"/>
        <v>36081.466</v>
      </c>
      <c r="N5" s="4">
        <f t="shared" si="0"/>
        <v>4889.5079999999998</v>
      </c>
      <c r="O5" s="4">
        <f t="shared" si="0"/>
        <v>16216.848925999995</v>
      </c>
      <c r="P5" s="4">
        <f t="shared" si="0"/>
        <v>3507.2027999999996</v>
      </c>
      <c r="Q5" s="4">
        <f t="shared" si="0"/>
        <v>1869</v>
      </c>
      <c r="R5" s="4">
        <f t="shared" si="0"/>
        <v>24021.44073200001</v>
      </c>
      <c r="S5" s="4">
        <f t="shared" si="0"/>
        <v>7216.2931999999973</v>
      </c>
      <c r="T5" s="4">
        <f t="shared" si="0"/>
        <v>17471.111799999984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SUM(Z6:Z499)</f>
        <v>6953.5805999999984</v>
      </c>
      <c r="AA5" s="4">
        <f t="shared" si="1"/>
        <v>6680.8209999999999</v>
      </c>
      <c r="AB5" s="4">
        <f t="shared" si="1"/>
        <v>6846.5255999999999</v>
      </c>
      <c r="AC5" s="4">
        <f t="shared" si="1"/>
        <v>6312.9053999999996</v>
      </c>
      <c r="AD5" s="4">
        <f t="shared" si="1"/>
        <v>5752.2629999999999</v>
      </c>
      <c r="AE5" s="4">
        <f t="shared" si="1"/>
        <v>6866.8038000000015</v>
      </c>
      <c r="AF5" s="4">
        <f t="shared" si="1"/>
        <v>6386.0083999999988</v>
      </c>
      <c r="AG5" s="4">
        <f t="shared" si="1"/>
        <v>6783.7095999999992</v>
      </c>
      <c r="AH5" s="1"/>
      <c r="AI5" s="4">
        <f>SUM(AI6:AI499)</f>
        <v>13765.127109999994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558.80499999999995</v>
      </c>
      <c r="D6" s="1">
        <v>488.226</v>
      </c>
      <c r="E6" s="1">
        <v>564.71400000000006</v>
      </c>
      <c r="F6" s="1">
        <v>-7.19</v>
      </c>
      <c r="G6" s="8">
        <v>1</v>
      </c>
      <c r="H6" s="1">
        <v>50</v>
      </c>
      <c r="I6" s="1" t="s">
        <v>39</v>
      </c>
      <c r="J6" s="1"/>
      <c r="K6" s="1">
        <v>749.01099999999997</v>
      </c>
      <c r="L6" s="1">
        <f t="shared" ref="L6:L37" si="2">E6-K6</f>
        <v>-184.29699999999991</v>
      </c>
      <c r="M6" s="1">
        <f>E6-N6</f>
        <v>359.50300000000004</v>
      </c>
      <c r="N6" s="1">
        <v>205.21100000000001</v>
      </c>
      <c r="O6" s="1">
        <v>0</v>
      </c>
      <c r="P6" s="1"/>
      <c r="Q6" s="1">
        <v>0</v>
      </c>
      <c r="R6" s="1">
        <v>771.48183199999994</v>
      </c>
      <c r="S6" s="1">
        <f>M6/5</f>
        <v>71.900600000000011</v>
      </c>
      <c r="T6" s="5">
        <f>14*S6-R6-P6-O6-F6</f>
        <v>242.31656800000025</v>
      </c>
      <c r="U6" s="5"/>
      <c r="V6" s="1"/>
      <c r="W6" s="1"/>
      <c r="X6" s="1">
        <f>(F6+O6+P6+R6+T6)/S6</f>
        <v>13.999999999999998</v>
      </c>
      <c r="Y6" s="1">
        <f>(F6+O6+P6+R6)/S6</f>
        <v>10.629839417195402</v>
      </c>
      <c r="Z6" s="1">
        <v>107.9282</v>
      </c>
      <c r="AA6" s="1">
        <v>34.925199999999997</v>
      </c>
      <c r="AB6" s="1">
        <v>21.172999999999998</v>
      </c>
      <c r="AC6" s="1">
        <v>57.832000000000008</v>
      </c>
      <c r="AD6" s="1">
        <v>49.332799999999999</v>
      </c>
      <c r="AE6" s="1">
        <v>31.3186</v>
      </c>
      <c r="AF6" s="1">
        <v>41.005799999999986</v>
      </c>
      <c r="AG6" s="1">
        <v>51.827199999999991</v>
      </c>
      <c r="AH6" s="1"/>
      <c r="AI6" s="1">
        <f t="shared" ref="AI6:AI17" si="3">G6*T6</f>
        <v>242.31656800000025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157.041</v>
      </c>
      <c r="D7" s="1">
        <v>390.435</v>
      </c>
      <c r="E7" s="1">
        <v>279.54599999999999</v>
      </c>
      <c r="F7" s="1">
        <v>230.14400000000001</v>
      </c>
      <c r="G7" s="8">
        <v>1</v>
      </c>
      <c r="H7" s="1">
        <v>45</v>
      </c>
      <c r="I7" s="1" t="s">
        <v>39</v>
      </c>
      <c r="J7" s="1"/>
      <c r="K7" s="1">
        <v>299.315</v>
      </c>
      <c r="L7" s="1">
        <f t="shared" si="2"/>
        <v>-19.769000000000005</v>
      </c>
      <c r="M7" s="1">
        <f t="shared" ref="M7:M70" si="4">E7-N7</f>
        <v>160.73099999999999</v>
      </c>
      <c r="N7" s="1">
        <v>118.815</v>
      </c>
      <c r="O7" s="1">
        <v>171.8296000000002</v>
      </c>
      <c r="P7" s="1"/>
      <c r="Q7" s="1">
        <v>94</v>
      </c>
      <c r="R7" s="1">
        <v>20.060975999999851</v>
      </c>
      <c r="S7" s="1">
        <f t="shared" ref="S7:S70" si="5">M7/5</f>
        <v>32.1462</v>
      </c>
      <c r="T7" s="5">
        <f t="shared" ref="T7:T17" si="6">14*S7-R7-P7-O7-F7</f>
        <v>28.012223999999946</v>
      </c>
      <c r="U7" s="5"/>
      <c r="V7" s="1"/>
      <c r="W7" s="1"/>
      <c r="X7" s="1">
        <f t="shared" ref="X7:X70" si="7">(F7+O7+P7+R7+T7)/S7</f>
        <v>14</v>
      </c>
      <c r="Y7" s="1">
        <f t="shared" ref="Y7:Y70" si="8">(F7+O7+P7+R7)/S7</f>
        <v>13.128599212348584</v>
      </c>
      <c r="Z7" s="1">
        <v>34.432600000000001</v>
      </c>
      <c r="AA7" s="1">
        <v>36.957800000000013</v>
      </c>
      <c r="AB7" s="1">
        <v>35.177799999999998</v>
      </c>
      <c r="AC7" s="1">
        <v>28.428999999999998</v>
      </c>
      <c r="AD7" s="1">
        <v>22.7546</v>
      </c>
      <c r="AE7" s="1">
        <v>28.552800000000001</v>
      </c>
      <c r="AF7" s="1">
        <v>28.0106</v>
      </c>
      <c r="AG7" s="1">
        <v>30.247199999999999</v>
      </c>
      <c r="AH7" s="1"/>
      <c r="AI7" s="1">
        <f t="shared" si="3"/>
        <v>28.012223999999946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203.13</v>
      </c>
      <c r="D8" s="1">
        <v>1231.481</v>
      </c>
      <c r="E8" s="1">
        <v>953.4</v>
      </c>
      <c r="F8" s="1">
        <v>148.59800000000001</v>
      </c>
      <c r="G8" s="8">
        <v>1</v>
      </c>
      <c r="H8" s="1">
        <v>45</v>
      </c>
      <c r="I8" s="1" t="s">
        <v>39</v>
      </c>
      <c r="J8" s="1"/>
      <c r="K8" s="1">
        <v>1138.348</v>
      </c>
      <c r="L8" s="1">
        <f t="shared" si="2"/>
        <v>-184.94799999999998</v>
      </c>
      <c r="M8" s="1">
        <f t="shared" si="4"/>
        <v>666.91899999999998</v>
      </c>
      <c r="N8" s="1">
        <v>286.48099999999999</v>
      </c>
      <c r="O8" s="1">
        <v>971.87029000000041</v>
      </c>
      <c r="P8" s="1"/>
      <c r="Q8" s="1">
        <v>110</v>
      </c>
      <c r="R8" s="1">
        <v>0</v>
      </c>
      <c r="S8" s="1">
        <f t="shared" si="5"/>
        <v>133.38380000000001</v>
      </c>
      <c r="T8" s="5">
        <f t="shared" si="6"/>
        <v>746.90490999999952</v>
      </c>
      <c r="U8" s="5"/>
      <c r="V8" s="1"/>
      <c r="W8" s="1"/>
      <c r="X8" s="1">
        <f t="shared" si="7"/>
        <v>14</v>
      </c>
      <c r="Y8" s="1">
        <f t="shared" si="8"/>
        <v>8.4003326490923218</v>
      </c>
      <c r="Z8" s="1">
        <v>84.897999999999996</v>
      </c>
      <c r="AA8" s="1">
        <v>144.35059999999999</v>
      </c>
      <c r="AB8" s="1">
        <v>122.66119999999999</v>
      </c>
      <c r="AC8" s="1">
        <v>92.555399999999992</v>
      </c>
      <c r="AD8" s="1">
        <v>83.119</v>
      </c>
      <c r="AE8" s="1">
        <v>114.33620000000001</v>
      </c>
      <c r="AF8" s="1">
        <v>107.63379999999999</v>
      </c>
      <c r="AG8" s="1">
        <v>124.9104</v>
      </c>
      <c r="AH8" s="1"/>
      <c r="AI8" s="1">
        <f t="shared" si="3"/>
        <v>746.90490999999952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43</v>
      </c>
      <c r="C9" s="1">
        <v>1105</v>
      </c>
      <c r="D9" s="1">
        <v>536</v>
      </c>
      <c r="E9" s="1">
        <v>1086</v>
      </c>
      <c r="F9" s="1">
        <v>53</v>
      </c>
      <c r="G9" s="8">
        <v>0.45</v>
      </c>
      <c r="H9" s="1">
        <v>45</v>
      </c>
      <c r="I9" s="1" t="s">
        <v>39</v>
      </c>
      <c r="J9" s="1"/>
      <c r="K9" s="1">
        <v>1204</v>
      </c>
      <c r="L9" s="1">
        <f t="shared" si="2"/>
        <v>-118</v>
      </c>
      <c r="M9" s="1">
        <f t="shared" si="4"/>
        <v>996</v>
      </c>
      <c r="N9" s="1">
        <v>90</v>
      </c>
      <c r="O9" s="1">
        <v>1183.8</v>
      </c>
      <c r="P9" s="1"/>
      <c r="Q9" s="1">
        <v>0</v>
      </c>
      <c r="R9" s="1">
        <v>1000.232</v>
      </c>
      <c r="S9" s="1">
        <f t="shared" si="5"/>
        <v>199.2</v>
      </c>
      <c r="T9" s="5">
        <f t="shared" si="6"/>
        <v>551.7679999999998</v>
      </c>
      <c r="U9" s="5"/>
      <c r="V9" s="1"/>
      <c r="W9" s="1"/>
      <c r="X9" s="1">
        <f t="shared" si="7"/>
        <v>14.000000000000002</v>
      </c>
      <c r="Y9" s="1">
        <f t="shared" si="8"/>
        <v>11.230080321285142</v>
      </c>
      <c r="Z9" s="1">
        <v>203.2</v>
      </c>
      <c r="AA9" s="1">
        <v>188.4</v>
      </c>
      <c r="AB9" s="1">
        <v>156.6</v>
      </c>
      <c r="AC9" s="1">
        <v>144.6</v>
      </c>
      <c r="AD9" s="1">
        <v>164.2</v>
      </c>
      <c r="AE9" s="1">
        <v>172.6</v>
      </c>
      <c r="AF9" s="1">
        <v>146.6</v>
      </c>
      <c r="AG9" s="1">
        <v>141</v>
      </c>
      <c r="AH9" s="1" t="s">
        <v>44</v>
      </c>
      <c r="AI9" s="1">
        <f t="shared" si="3"/>
        <v>248.29559999999992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1511</v>
      </c>
      <c r="D10" s="1">
        <v>878</v>
      </c>
      <c r="E10" s="1">
        <v>1716</v>
      </c>
      <c r="F10" s="1">
        <v>67</v>
      </c>
      <c r="G10" s="8">
        <v>0.45</v>
      </c>
      <c r="H10" s="1">
        <v>45</v>
      </c>
      <c r="I10" s="1" t="s">
        <v>39</v>
      </c>
      <c r="J10" s="1"/>
      <c r="K10" s="1">
        <v>2016</v>
      </c>
      <c r="L10" s="1">
        <f t="shared" si="2"/>
        <v>-300</v>
      </c>
      <c r="M10" s="1">
        <f t="shared" si="4"/>
        <v>1500</v>
      </c>
      <c r="N10" s="1">
        <v>216</v>
      </c>
      <c r="O10" s="1">
        <v>1623.8</v>
      </c>
      <c r="P10" s="1"/>
      <c r="Q10" s="1">
        <v>0</v>
      </c>
      <c r="R10" s="1">
        <v>1068.0560000000009</v>
      </c>
      <c r="S10" s="1">
        <f t="shared" si="5"/>
        <v>300</v>
      </c>
      <c r="T10" s="5">
        <f t="shared" si="6"/>
        <v>1441.1439999999991</v>
      </c>
      <c r="U10" s="5"/>
      <c r="V10" s="1"/>
      <c r="W10" s="1"/>
      <c r="X10" s="1">
        <f t="shared" si="7"/>
        <v>14</v>
      </c>
      <c r="Y10" s="1">
        <f t="shared" si="8"/>
        <v>9.1961866666666694</v>
      </c>
      <c r="Z10" s="1">
        <v>260.60000000000002</v>
      </c>
      <c r="AA10" s="1">
        <v>270.2</v>
      </c>
      <c r="AB10" s="1">
        <v>249.2</v>
      </c>
      <c r="AC10" s="1">
        <v>219.4</v>
      </c>
      <c r="AD10" s="1">
        <v>240.4</v>
      </c>
      <c r="AE10" s="1">
        <v>272.39999999999998</v>
      </c>
      <c r="AF10" s="1">
        <v>258.2</v>
      </c>
      <c r="AG10" s="1">
        <v>335.8</v>
      </c>
      <c r="AH10" s="1" t="s">
        <v>44</v>
      </c>
      <c r="AI10" s="1">
        <f t="shared" si="3"/>
        <v>648.51479999999958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43</v>
      </c>
      <c r="C11" s="1">
        <v>158</v>
      </c>
      <c r="D11" s="1">
        <v>4</v>
      </c>
      <c r="E11" s="1">
        <v>81</v>
      </c>
      <c r="F11" s="1">
        <v>17</v>
      </c>
      <c r="G11" s="8">
        <v>0.17</v>
      </c>
      <c r="H11" s="1">
        <v>180</v>
      </c>
      <c r="I11" s="1" t="s">
        <v>39</v>
      </c>
      <c r="J11" s="1"/>
      <c r="K11" s="1">
        <v>83</v>
      </c>
      <c r="L11" s="1">
        <f t="shared" si="2"/>
        <v>-2</v>
      </c>
      <c r="M11" s="1">
        <f t="shared" si="4"/>
        <v>79</v>
      </c>
      <c r="N11" s="1">
        <v>2</v>
      </c>
      <c r="O11" s="1">
        <v>5.8000000000000114</v>
      </c>
      <c r="P11" s="1"/>
      <c r="Q11" s="1">
        <v>0</v>
      </c>
      <c r="R11" s="1">
        <v>124.896</v>
      </c>
      <c r="S11" s="1">
        <f t="shared" si="5"/>
        <v>15.8</v>
      </c>
      <c r="T11" s="5">
        <f t="shared" si="6"/>
        <v>73.504000000000005</v>
      </c>
      <c r="U11" s="5"/>
      <c r="V11" s="1"/>
      <c r="W11" s="1"/>
      <c r="X11" s="1">
        <f t="shared" si="7"/>
        <v>14.000000000000002</v>
      </c>
      <c r="Y11" s="1">
        <f t="shared" si="8"/>
        <v>9.3478481012658232</v>
      </c>
      <c r="Z11" s="1">
        <v>14.6</v>
      </c>
      <c r="AA11" s="1">
        <v>8.4</v>
      </c>
      <c r="AB11" s="1">
        <v>13.8</v>
      </c>
      <c r="AC11" s="1">
        <v>14.8</v>
      </c>
      <c r="AD11" s="1">
        <v>13.2</v>
      </c>
      <c r="AE11" s="1">
        <v>13.6</v>
      </c>
      <c r="AF11" s="1">
        <v>16</v>
      </c>
      <c r="AG11" s="1">
        <v>14.2</v>
      </c>
      <c r="AH11" s="1" t="s">
        <v>44</v>
      </c>
      <c r="AI11" s="1">
        <f t="shared" si="3"/>
        <v>12.495680000000002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43</v>
      </c>
      <c r="C12" s="1">
        <v>51</v>
      </c>
      <c r="D12" s="1">
        <v>30</v>
      </c>
      <c r="E12" s="1">
        <v>22</v>
      </c>
      <c r="F12" s="1">
        <v>59</v>
      </c>
      <c r="G12" s="8">
        <v>0.3</v>
      </c>
      <c r="H12" s="1">
        <v>40</v>
      </c>
      <c r="I12" s="1" t="s">
        <v>39</v>
      </c>
      <c r="J12" s="1"/>
      <c r="K12" s="1">
        <v>22</v>
      </c>
      <c r="L12" s="1">
        <f t="shared" si="2"/>
        <v>0</v>
      </c>
      <c r="M12" s="1">
        <f t="shared" si="4"/>
        <v>22</v>
      </c>
      <c r="N12" s="1"/>
      <c r="O12" s="1">
        <v>0</v>
      </c>
      <c r="P12" s="1"/>
      <c r="Q12" s="1">
        <v>0</v>
      </c>
      <c r="R12" s="1">
        <v>0</v>
      </c>
      <c r="S12" s="1">
        <f t="shared" si="5"/>
        <v>4.4000000000000004</v>
      </c>
      <c r="T12" s="5"/>
      <c r="U12" s="5"/>
      <c r="V12" s="1"/>
      <c r="W12" s="1"/>
      <c r="X12" s="1">
        <f t="shared" si="7"/>
        <v>13.409090909090908</v>
      </c>
      <c r="Y12" s="1">
        <f t="shared" si="8"/>
        <v>13.409090909090908</v>
      </c>
      <c r="Z12" s="1">
        <v>4</v>
      </c>
      <c r="AA12" s="1">
        <v>3</v>
      </c>
      <c r="AB12" s="1">
        <v>7.2</v>
      </c>
      <c r="AC12" s="1">
        <v>5.6</v>
      </c>
      <c r="AD12" s="1">
        <v>2</v>
      </c>
      <c r="AE12" s="1">
        <v>1.4</v>
      </c>
      <c r="AF12" s="1">
        <v>3</v>
      </c>
      <c r="AG12" s="1">
        <v>4.5999999999999996</v>
      </c>
      <c r="AH12" s="1"/>
      <c r="AI12" s="1">
        <f t="shared" si="3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43</v>
      </c>
      <c r="C13" s="1">
        <v>55</v>
      </c>
      <c r="D13" s="1">
        <v>360</v>
      </c>
      <c r="E13" s="1">
        <v>193</v>
      </c>
      <c r="F13" s="1">
        <v>132</v>
      </c>
      <c r="G13" s="8">
        <v>0.17</v>
      </c>
      <c r="H13" s="1">
        <v>180</v>
      </c>
      <c r="I13" s="1" t="s">
        <v>39</v>
      </c>
      <c r="J13" s="1"/>
      <c r="K13" s="1">
        <v>282</v>
      </c>
      <c r="L13" s="1">
        <f t="shared" si="2"/>
        <v>-89</v>
      </c>
      <c r="M13" s="1">
        <f t="shared" si="4"/>
        <v>146</v>
      </c>
      <c r="N13" s="1">
        <v>47</v>
      </c>
      <c r="O13" s="1">
        <v>186.1999999999999</v>
      </c>
      <c r="P13" s="1">
        <v>83.25</v>
      </c>
      <c r="Q13" s="1">
        <v>0</v>
      </c>
      <c r="R13" s="1">
        <v>131.21400000000011</v>
      </c>
      <c r="S13" s="1">
        <f t="shared" si="5"/>
        <v>29.2</v>
      </c>
      <c r="T13" s="5"/>
      <c r="U13" s="5"/>
      <c r="V13" s="1"/>
      <c r="W13" s="1"/>
      <c r="X13" s="1">
        <f t="shared" si="7"/>
        <v>18.241917808219178</v>
      </c>
      <c r="Y13" s="1">
        <f t="shared" si="8"/>
        <v>18.241917808219178</v>
      </c>
      <c r="Z13" s="1">
        <v>41.4</v>
      </c>
      <c r="AA13" s="1">
        <v>37</v>
      </c>
      <c r="AB13" s="1">
        <v>39.6</v>
      </c>
      <c r="AC13" s="1">
        <v>23</v>
      </c>
      <c r="AD13" s="1">
        <v>24.8</v>
      </c>
      <c r="AE13" s="1">
        <v>33.799999999999997</v>
      </c>
      <c r="AF13" s="1">
        <v>26.2</v>
      </c>
      <c r="AG13" s="1">
        <v>20.8</v>
      </c>
      <c r="AH13" s="1"/>
      <c r="AI13" s="1">
        <f t="shared" si="3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38</v>
      </c>
      <c r="C14" s="1">
        <v>2344.8850000000002</v>
      </c>
      <c r="D14" s="1">
        <v>6309.0950000000003</v>
      </c>
      <c r="E14" s="1">
        <v>1891.114</v>
      </c>
      <c r="F14" s="1">
        <v>3873.2269999999999</v>
      </c>
      <c r="G14" s="8">
        <v>1</v>
      </c>
      <c r="H14" s="1">
        <v>55</v>
      </c>
      <c r="I14" s="1" t="s">
        <v>39</v>
      </c>
      <c r="J14" s="1"/>
      <c r="K14" s="1">
        <v>1843.7940000000001</v>
      </c>
      <c r="L14" s="1">
        <f t="shared" si="2"/>
        <v>47.319999999999936</v>
      </c>
      <c r="M14" s="1">
        <f t="shared" si="4"/>
        <v>1790.4680000000001</v>
      </c>
      <c r="N14" s="1">
        <v>100.646</v>
      </c>
      <c r="O14" s="1">
        <v>0</v>
      </c>
      <c r="P14" s="1"/>
      <c r="Q14" s="1">
        <v>105</v>
      </c>
      <c r="R14" s="1">
        <v>258.86341000000061</v>
      </c>
      <c r="S14" s="1">
        <f t="shared" si="5"/>
        <v>358.09360000000004</v>
      </c>
      <c r="T14" s="5">
        <f t="shared" si="6"/>
        <v>881.2199899999996</v>
      </c>
      <c r="U14" s="5"/>
      <c r="V14" s="1"/>
      <c r="W14" s="1"/>
      <c r="X14" s="1">
        <f t="shared" si="7"/>
        <v>14</v>
      </c>
      <c r="Y14" s="1">
        <f t="shared" si="8"/>
        <v>11.53913504737309</v>
      </c>
      <c r="Z14" s="1">
        <v>345.32100000000003</v>
      </c>
      <c r="AA14" s="1">
        <v>333.00639999999999</v>
      </c>
      <c r="AB14" s="1">
        <v>394.661</v>
      </c>
      <c r="AC14" s="1">
        <v>323.76679999999999</v>
      </c>
      <c r="AD14" s="1">
        <v>244.8562</v>
      </c>
      <c r="AE14" s="1">
        <v>340.5652</v>
      </c>
      <c r="AF14" s="1">
        <v>343.31139999999999</v>
      </c>
      <c r="AG14" s="1">
        <v>303.4008</v>
      </c>
      <c r="AH14" s="1" t="s">
        <v>50</v>
      </c>
      <c r="AI14" s="1">
        <f t="shared" si="3"/>
        <v>881.2199899999996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38</v>
      </c>
      <c r="C15" s="1">
        <v>2918.2190000000001</v>
      </c>
      <c r="D15" s="1">
        <v>5289.9780000000001</v>
      </c>
      <c r="E15" s="1">
        <v>2068.0859999999998</v>
      </c>
      <c r="F15" s="1">
        <v>3781.0529999999999</v>
      </c>
      <c r="G15" s="8">
        <v>1</v>
      </c>
      <c r="H15" s="1">
        <v>50</v>
      </c>
      <c r="I15" s="1" t="s">
        <v>39</v>
      </c>
      <c r="J15" s="1"/>
      <c r="K15" s="1">
        <v>2241.904</v>
      </c>
      <c r="L15" s="1">
        <f t="shared" si="2"/>
        <v>-173.81800000000021</v>
      </c>
      <c r="M15" s="1">
        <f t="shared" si="4"/>
        <v>1932.8459999999998</v>
      </c>
      <c r="N15" s="1">
        <v>135.24</v>
      </c>
      <c r="O15" s="1">
        <v>0</v>
      </c>
      <c r="P15" s="1">
        <v>889.17074999999988</v>
      </c>
      <c r="Q15" s="1">
        <v>132</v>
      </c>
      <c r="R15" s="1">
        <v>122.3756459999999</v>
      </c>
      <c r="S15" s="1">
        <f t="shared" si="5"/>
        <v>386.56919999999997</v>
      </c>
      <c r="T15" s="5">
        <f t="shared" si="6"/>
        <v>619.36940400000003</v>
      </c>
      <c r="U15" s="5"/>
      <c r="V15" s="1"/>
      <c r="W15" s="1"/>
      <c r="X15" s="1">
        <f t="shared" si="7"/>
        <v>14</v>
      </c>
      <c r="Y15" s="1">
        <f t="shared" si="8"/>
        <v>12.39777870559786</v>
      </c>
      <c r="Z15" s="1">
        <v>388.9726</v>
      </c>
      <c r="AA15" s="1">
        <v>395.18700000000001</v>
      </c>
      <c r="AB15" s="1">
        <v>398.24360000000001</v>
      </c>
      <c r="AC15" s="1">
        <v>378.39319999999998</v>
      </c>
      <c r="AD15" s="1">
        <v>325.65100000000001</v>
      </c>
      <c r="AE15" s="1">
        <v>355.86079999999998</v>
      </c>
      <c r="AF15" s="1">
        <v>327.43279999999999</v>
      </c>
      <c r="AG15" s="1">
        <v>320.59660000000002</v>
      </c>
      <c r="AH15" s="1" t="s">
        <v>50</v>
      </c>
      <c r="AI15" s="1">
        <f t="shared" si="3"/>
        <v>619.36940400000003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38</v>
      </c>
      <c r="C16" s="1">
        <v>193.499</v>
      </c>
      <c r="D16" s="1">
        <v>449.76499999999999</v>
      </c>
      <c r="E16" s="1">
        <v>218.99600000000001</v>
      </c>
      <c r="F16" s="1">
        <v>251.982</v>
      </c>
      <c r="G16" s="8">
        <v>1</v>
      </c>
      <c r="H16" s="1">
        <v>60</v>
      </c>
      <c r="I16" s="1" t="s">
        <v>39</v>
      </c>
      <c r="J16" s="1"/>
      <c r="K16" s="1">
        <v>238.238</v>
      </c>
      <c r="L16" s="1">
        <f t="shared" si="2"/>
        <v>-19.24199999999999</v>
      </c>
      <c r="M16" s="1">
        <f t="shared" si="4"/>
        <v>197.86500000000001</v>
      </c>
      <c r="N16" s="1">
        <v>21.131</v>
      </c>
      <c r="O16" s="1">
        <v>0</v>
      </c>
      <c r="P16" s="1"/>
      <c r="Q16" s="1">
        <v>0</v>
      </c>
      <c r="R16" s="1">
        <v>221.949862</v>
      </c>
      <c r="S16" s="1">
        <f t="shared" si="5"/>
        <v>39.573</v>
      </c>
      <c r="T16" s="5">
        <f t="shared" si="6"/>
        <v>80.090138000000053</v>
      </c>
      <c r="U16" s="5"/>
      <c r="V16" s="1"/>
      <c r="W16" s="1"/>
      <c r="X16" s="1">
        <f t="shared" si="7"/>
        <v>14.000000000000002</v>
      </c>
      <c r="Y16" s="1">
        <f t="shared" si="8"/>
        <v>11.976141864402496</v>
      </c>
      <c r="Z16" s="1">
        <v>39.678199999999997</v>
      </c>
      <c r="AA16" s="1">
        <v>30.9574</v>
      </c>
      <c r="AB16" s="1">
        <v>35.621400000000001</v>
      </c>
      <c r="AC16" s="1">
        <v>30.276199999999999</v>
      </c>
      <c r="AD16" s="1">
        <v>27.043199999999999</v>
      </c>
      <c r="AE16" s="1">
        <v>37.480800000000002</v>
      </c>
      <c r="AF16" s="1">
        <v>35.740400000000001</v>
      </c>
      <c r="AG16" s="1">
        <v>24.6844</v>
      </c>
      <c r="AH16" s="1"/>
      <c r="AI16" s="1">
        <f t="shared" si="3"/>
        <v>80.090138000000053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38</v>
      </c>
      <c r="C17" s="1">
        <v>420.96499999999997</v>
      </c>
      <c r="D17" s="1">
        <v>1857.64</v>
      </c>
      <c r="E17" s="1">
        <v>802.65300000000002</v>
      </c>
      <c r="F17" s="1">
        <v>1263.373</v>
      </c>
      <c r="G17" s="8">
        <v>1</v>
      </c>
      <c r="H17" s="1">
        <v>60</v>
      </c>
      <c r="I17" s="1" t="s">
        <v>39</v>
      </c>
      <c r="J17" s="1"/>
      <c r="K17" s="1">
        <v>807.61500000000001</v>
      </c>
      <c r="L17" s="1">
        <f t="shared" si="2"/>
        <v>-4.9619999999999891</v>
      </c>
      <c r="M17" s="1">
        <f t="shared" si="4"/>
        <v>684.43799999999999</v>
      </c>
      <c r="N17" s="1">
        <v>118.215</v>
      </c>
      <c r="O17" s="1">
        <v>1592.9530460000001</v>
      </c>
      <c r="P17" s="1"/>
      <c r="Q17" s="1">
        <v>128</v>
      </c>
      <c r="R17" s="1">
        <v>0</v>
      </c>
      <c r="S17" s="1">
        <f t="shared" si="5"/>
        <v>136.88759999999999</v>
      </c>
      <c r="T17" s="5"/>
      <c r="U17" s="5"/>
      <c r="V17" s="1"/>
      <c r="W17" s="1"/>
      <c r="X17" s="1">
        <f t="shared" si="7"/>
        <v>20.866214660787392</v>
      </c>
      <c r="Y17" s="1">
        <f t="shared" si="8"/>
        <v>20.866214660787392</v>
      </c>
      <c r="Z17" s="1">
        <v>149.70660000000001</v>
      </c>
      <c r="AA17" s="1">
        <v>254.6002</v>
      </c>
      <c r="AB17" s="1">
        <v>220.2482</v>
      </c>
      <c r="AC17" s="1">
        <v>120.8116</v>
      </c>
      <c r="AD17" s="1">
        <v>94.181799999999996</v>
      </c>
      <c r="AE17" s="1">
        <v>120.8854</v>
      </c>
      <c r="AF17" s="1">
        <v>123.5022</v>
      </c>
      <c r="AG17" s="1">
        <v>119.4024</v>
      </c>
      <c r="AH17" s="1"/>
      <c r="AI17" s="1">
        <f t="shared" si="3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5" t="s">
        <v>54</v>
      </c>
      <c r="B18" s="15" t="s">
        <v>38</v>
      </c>
      <c r="C18" s="15"/>
      <c r="D18" s="15"/>
      <c r="E18" s="15"/>
      <c r="F18" s="15"/>
      <c r="G18" s="16">
        <v>0</v>
      </c>
      <c r="H18" s="15">
        <v>60</v>
      </c>
      <c r="I18" s="15" t="s">
        <v>39</v>
      </c>
      <c r="J18" s="15"/>
      <c r="K18" s="15"/>
      <c r="L18" s="15">
        <f t="shared" si="2"/>
        <v>0</v>
      </c>
      <c r="M18" s="15">
        <f t="shared" si="4"/>
        <v>0</v>
      </c>
      <c r="N18" s="15"/>
      <c r="O18" s="15">
        <v>0</v>
      </c>
      <c r="P18" s="15"/>
      <c r="Q18" s="15">
        <v>0</v>
      </c>
      <c r="R18" s="15">
        <v>0</v>
      </c>
      <c r="S18" s="15">
        <f t="shared" si="5"/>
        <v>0</v>
      </c>
      <c r="T18" s="17"/>
      <c r="U18" s="17"/>
      <c r="V18" s="15"/>
      <c r="W18" s="15"/>
      <c r="X18" s="15" t="e">
        <f t="shared" si="7"/>
        <v>#DIV/0!</v>
      </c>
      <c r="Y18" s="15" t="e">
        <f t="shared" si="8"/>
        <v>#DIV/0!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 t="s">
        <v>55</v>
      </c>
      <c r="AI18" s="15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38</v>
      </c>
      <c r="C19" s="1">
        <v>15.416</v>
      </c>
      <c r="D19" s="1">
        <v>8.0000000000000002E-3</v>
      </c>
      <c r="E19" s="1">
        <v>4.3849999999999998</v>
      </c>
      <c r="F19" s="1">
        <v>11.039</v>
      </c>
      <c r="G19" s="8">
        <v>1</v>
      </c>
      <c r="H19" s="1">
        <v>180</v>
      </c>
      <c r="I19" s="1" t="s">
        <v>39</v>
      </c>
      <c r="J19" s="1"/>
      <c r="K19" s="1">
        <v>4.03</v>
      </c>
      <c r="L19" s="1">
        <f t="shared" si="2"/>
        <v>0.35499999999999954</v>
      </c>
      <c r="M19" s="1">
        <f t="shared" si="4"/>
        <v>4.3849999999999998</v>
      </c>
      <c r="N19" s="1"/>
      <c r="O19" s="1">
        <v>0</v>
      </c>
      <c r="P19" s="1"/>
      <c r="Q19" s="1">
        <v>0</v>
      </c>
      <c r="R19" s="1">
        <v>0</v>
      </c>
      <c r="S19" s="1">
        <f t="shared" si="5"/>
        <v>0.877</v>
      </c>
      <c r="T19" s="5"/>
      <c r="U19" s="5"/>
      <c r="V19" s="1"/>
      <c r="W19" s="1"/>
      <c r="X19" s="1">
        <f t="shared" si="7"/>
        <v>12.587229190421892</v>
      </c>
      <c r="Y19" s="1">
        <f t="shared" si="8"/>
        <v>12.587229190421892</v>
      </c>
      <c r="Z19" s="1">
        <v>0.71840000000000004</v>
      </c>
      <c r="AA19" s="1">
        <v>0.39600000000000002</v>
      </c>
      <c r="AB19" s="1">
        <v>0.7994</v>
      </c>
      <c r="AC19" s="1">
        <v>0.95459999999999989</v>
      </c>
      <c r="AD19" s="1">
        <v>0.47639999999999999</v>
      </c>
      <c r="AE19" s="1">
        <v>0.63159999999999994</v>
      </c>
      <c r="AF19" s="1">
        <v>0.62739999999999996</v>
      </c>
      <c r="AG19" s="1">
        <v>0.72399999999999998</v>
      </c>
      <c r="AH19" s="1"/>
      <c r="AI19" s="1">
        <f t="shared" ref="AI19:AI24" si="9">G19*T19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38</v>
      </c>
      <c r="C20" s="1">
        <v>4315.5349999999999</v>
      </c>
      <c r="D20" s="1">
        <v>3213.7280000000001</v>
      </c>
      <c r="E20" s="1">
        <v>2912.6759999999999</v>
      </c>
      <c r="F20" s="1">
        <v>4499.4549999999999</v>
      </c>
      <c r="G20" s="8">
        <v>1</v>
      </c>
      <c r="H20" s="1">
        <v>60</v>
      </c>
      <c r="I20" s="1" t="s">
        <v>39</v>
      </c>
      <c r="J20" s="1"/>
      <c r="K20" s="1">
        <v>2885.1750000000002</v>
      </c>
      <c r="L20" s="1">
        <f t="shared" si="2"/>
        <v>27.500999999999749</v>
      </c>
      <c r="M20" s="1">
        <f t="shared" si="4"/>
        <v>2550.6859999999997</v>
      </c>
      <c r="N20" s="1">
        <v>361.99</v>
      </c>
      <c r="O20" s="1">
        <v>0</v>
      </c>
      <c r="P20" s="1"/>
      <c r="Q20" s="1">
        <v>314</v>
      </c>
      <c r="R20" s="1">
        <v>1134.849972</v>
      </c>
      <c r="S20" s="1">
        <f t="shared" si="5"/>
        <v>510.13719999999995</v>
      </c>
      <c r="T20" s="5">
        <f t="shared" ref="T19:T24" si="10">14*S20-R20-P20-O20-F20</f>
        <v>1507.6158279999991</v>
      </c>
      <c r="U20" s="5"/>
      <c r="V20" s="1"/>
      <c r="W20" s="1"/>
      <c r="X20" s="1">
        <f t="shared" si="7"/>
        <v>14</v>
      </c>
      <c r="Y20" s="1">
        <f t="shared" si="8"/>
        <v>11.044685570862114</v>
      </c>
      <c r="Z20" s="1">
        <v>478.51620000000003</v>
      </c>
      <c r="AA20" s="1">
        <v>470.24</v>
      </c>
      <c r="AB20" s="1">
        <v>507.13479999999998</v>
      </c>
      <c r="AC20" s="1">
        <v>444.26359999999988</v>
      </c>
      <c r="AD20" s="1">
        <v>462.14479999999998</v>
      </c>
      <c r="AE20" s="1">
        <v>598.63080000000002</v>
      </c>
      <c r="AF20" s="1">
        <v>533.14740000000006</v>
      </c>
      <c r="AG20" s="1">
        <v>493.63819999999998</v>
      </c>
      <c r="AH20" s="1" t="s">
        <v>50</v>
      </c>
      <c r="AI20" s="1">
        <f t="shared" si="9"/>
        <v>1507.6158279999991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38</v>
      </c>
      <c r="C21" s="1">
        <v>834.89499999999998</v>
      </c>
      <c r="D21" s="1">
        <v>325.57</v>
      </c>
      <c r="E21" s="1">
        <v>478.92500000000001</v>
      </c>
      <c r="F21" s="1">
        <v>628.101</v>
      </c>
      <c r="G21" s="8">
        <v>1</v>
      </c>
      <c r="H21" s="1">
        <v>60</v>
      </c>
      <c r="I21" s="1" t="s">
        <v>39</v>
      </c>
      <c r="J21" s="1"/>
      <c r="K21" s="1">
        <v>507.03</v>
      </c>
      <c r="L21" s="1">
        <f t="shared" si="2"/>
        <v>-28.104999999999961</v>
      </c>
      <c r="M21" s="1">
        <f t="shared" si="4"/>
        <v>371.245</v>
      </c>
      <c r="N21" s="1">
        <v>107.68</v>
      </c>
      <c r="O21" s="1">
        <v>0</v>
      </c>
      <c r="P21" s="1">
        <v>161.43299999999999</v>
      </c>
      <c r="Q21" s="1">
        <v>88</v>
      </c>
      <c r="R21" s="1">
        <v>0</v>
      </c>
      <c r="S21" s="1">
        <f t="shared" si="5"/>
        <v>74.248999999999995</v>
      </c>
      <c r="T21" s="5">
        <f t="shared" si="10"/>
        <v>249.95199999999988</v>
      </c>
      <c r="U21" s="5"/>
      <c r="V21" s="1"/>
      <c r="W21" s="1"/>
      <c r="X21" s="1">
        <f t="shared" si="7"/>
        <v>14</v>
      </c>
      <c r="Y21" s="1">
        <f t="shared" si="8"/>
        <v>10.633597758892376</v>
      </c>
      <c r="Z21" s="1">
        <v>67.222000000000008</v>
      </c>
      <c r="AA21" s="1">
        <v>71.748000000000005</v>
      </c>
      <c r="AB21" s="1">
        <v>81.498799999999989</v>
      </c>
      <c r="AC21" s="1">
        <v>75.505799999999994</v>
      </c>
      <c r="AD21" s="1">
        <v>81.349599999999995</v>
      </c>
      <c r="AE21" s="1">
        <v>107.3248</v>
      </c>
      <c r="AF21" s="1">
        <v>103.1934</v>
      </c>
      <c r="AG21" s="1">
        <v>71.532799999999995</v>
      </c>
      <c r="AH21" s="1"/>
      <c r="AI21" s="1">
        <f t="shared" si="9"/>
        <v>249.95199999999988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38</v>
      </c>
      <c r="C22" s="1">
        <v>1012.39</v>
      </c>
      <c r="D22" s="1">
        <v>840.09699999999998</v>
      </c>
      <c r="E22" s="1">
        <v>601.23099999999999</v>
      </c>
      <c r="F22" s="1">
        <v>1214.1890000000001</v>
      </c>
      <c r="G22" s="8">
        <v>1</v>
      </c>
      <c r="H22" s="1">
        <v>60</v>
      </c>
      <c r="I22" s="1" t="s">
        <v>39</v>
      </c>
      <c r="J22" s="1"/>
      <c r="K22" s="1">
        <v>647.07899999999995</v>
      </c>
      <c r="L22" s="1">
        <f t="shared" si="2"/>
        <v>-45.847999999999956</v>
      </c>
      <c r="M22" s="1">
        <f t="shared" si="4"/>
        <v>522.09</v>
      </c>
      <c r="N22" s="1">
        <v>79.141000000000005</v>
      </c>
      <c r="O22" s="1">
        <v>0</v>
      </c>
      <c r="P22" s="1"/>
      <c r="Q22" s="1">
        <v>64</v>
      </c>
      <c r="R22" s="1">
        <v>103.4384419999999</v>
      </c>
      <c r="S22" s="1">
        <f t="shared" si="5"/>
        <v>104.41800000000001</v>
      </c>
      <c r="T22" s="5">
        <f t="shared" si="10"/>
        <v>144.22455800000012</v>
      </c>
      <c r="U22" s="5"/>
      <c r="V22" s="1"/>
      <c r="W22" s="1"/>
      <c r="X22" s="1">
        <f t="shared" si="7"/>
        <v>14</v>
      </c>
      <c r="Y22" s="1">
        <f t="shared" si="8"/>
        <v>12.61877685839606</v>
      </c>
      <c r="Z22" s="1">
        <v>112.0742</v>
      </c>
      <c r="AA22" s="1">
        <v>117.4408</v>
      </c>
      <c r="AB22" s="1">
        <v>123.801</v>
      </c>
      <c r="AC22" s="1">
        <v>113.193</v>
      </c>
      <c r="AD22" s="1">
        <v>102.5826</v>
      </c>
      <c r="AE22" s="1">
        <v>127.6872</v>
      </c>
      <c r="AF22" s="1">
        <v>124.87260000000001</v>
      </c>
      <c r="AG22" s="1">
        <v>107.78579999999999</v>
      </c>
      <c r="AH22" s="1"/>
      <c r="AI22" s="1">
        <f t="shared" si="9"/>
        <v>144.22455800000012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38</v>
      </c>
      <c r="C23" s="1">
        <v>24.518000000000001</v>
      </c>
      <c r="D23" s="1"/>
      <c r="E23" s="1">
        <v>9.0210000000000008</v>
      </c>
      <c r="F23" s="1">
        <v>15.497</v>
      </c>
      <c r="G23" s="8">
        <v>1</v>
      </c>
      <c r="H23" s="1">
        <v>180</v>
      </c>
      <c r="I23" s="1" t="s">
        <v>39</v>
      </c>
      <c r="J23" s="1"/>
      <c r="K23" s="1">
        <v>8.73</v>
      </c>
      <c r="L23" s="1">
        <f t="shared" si="2"/>
        <v>0.29100000000000037</v>
      </c>
      <c r="M23" s="1">
        <f t="shared" si="4"/>
        <v>9.0210000000000008</v>
      </c>
      <c r="N23" s="1"/>
      <c r="O23" s="1">
        <v>0</v>
      </c>
      <c r="P23" s="1"/>
      <c r="Q23" s="1">
        <v>0</v>
      </c>
      <c r="R23" s="1">
        <v>4</v>
      </c>
      <c r="S23" s="1">
        <f t="shared" si="5"/>
        <v>1.8042000000000002</v>
      </c>
      <c r="T23" s="5">
        <f t="shared" si="10"/>
        <v>5.7618000000000045</v>
      </c>
      <c r="U23" s="5"/>
      <c r="V23" s="1"/>
      <c r="W23" s="1"/>
      <c r="X23" s="1">
        <f t="shared" si="7"/>
        <v>14</v>
      </c>
      <c r="Y23" s="1">
        <f t="shared" si="8"/>
        <v>10.806451612903224</v>
      </c>
      <c r="Z23" s="1">
        <v>1.3904000000000001</v>
      </c>
      <c r="AA23" s="1">
        <v>0.35139999999999999</v>
      </c>
      <c r="AB23" s="1">
        <v>0.98520000000000008</v>
      </c>
      <c r="AC23" s="1">
        <v>1.1292</v>
      </c>
      <c r="AD23" s="1">
        <v>0.56580000000000008</v>
      </c>
      <c r="AE23" s="1">
        <v>1.0658000000000001</v>
      </c>
      <c r="AF23" s="1">
        <v>0.92880000000000007</v>
      </c>
      <c r="AG23" s="1">
        <v>2.3759999999999999</v>
      </c>
      <c r="AH23" s="1"/>
      <c r="AI23" s="1">
        <f t="shared" si="9"/>
        <v>5.7618000000000045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38</v>
      </c>
      <c r="C24" s="1">
        <v>1895.751</v>
      </c>
      <c r="D24" s="1">
        <v>2709.6689999999999</v>
      </c>
      <c r="E24" s="1">
        <v>1403.942</v>
      </c>
      <c r="F24" s="1">
        <v>3118.5479999999998</v>
      </c>
      <c r="G24" s="8">
        <v>1</v>
      </c>
      <c r="H24" s="1">
        <v>60</v>
      </c>
      <c r="I24" s="1" t="s">
        <v>39</v>
      </c>
      <c r="J24" s="1"/>
      <c r="K24" s="1">
        <v>1418.6769999999999</v>
      </c>
      <c r="L24" s="1">
        <f t="shared" si="2"/>
        <v>-14.7349999999999</v>
      </c>
      <c r="M24" s="1">
        <f t="shared" si="4"/>
        <v>1250.8579999999999</v>
      </c>
      <c r="N24" s="1">
        <v>153.084</v>
      </c>
      <c r="O24" s="1">
        <v>0</v>
      </c>
      <c r="P24" s="1"/>
      <c r="Q24" s="1">
        <v>63</v>
      </c>
      <c r="R24" s="1">
        <v>84.585320000000308</v>
      </c>
      <c r="S24" s="1">
        <f t="shared" si="5"/>
        <v>250.17159999999998</v>
      </c>
      <c r="T24" s="5">
        <f t="shared" si="10"/>
        <v>299.26908000000003</v>
      </c>
      <c r="U24" s="5"/>
      <c r="V24" s="1"/>
      <c r="W24" s="1"/>
      <c r="X24" s="1">
        <f t="shared" si="7"/>
        <v>14</v>
      </c>
      <c r="Y24" s="1">
        <f t="shared" si="8"/>
        <v>12.803744789576434</v>
      </c>
      <c r="Z24" s="1">
        <v>267.72300000000001</v>
      </c>
      <c r="AA24" s="1">
        <v>266.43220000000002</v>
      </c>
      <c r="AB24" s="1">
        <v>315.00720000000001</v>
      </c>
      <c r="AC24" s="1">
        <v>251.37479999999999</v>
      </c>
      <c r="AD24" s="1">
        <v>179.57560000000001</v>
      </c>
      <c r="AE24" s="1">
        <v>251.23220000000001</v>
      </c>
      <c r="AF24" s="1">
        <v>230.3176</v>
      </c>
      <c r="AG24" s="1">
        <v>201.70679999999999</v>
      </c>
      <c r="AH24" s="1" t="s">
        <v>50</v>
      </c>
      <c r="AI24" s="1">
        <f t="shared" si="9"/>
        <v>299.26908000000003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5" t="s">
        <v>63</v>
      </c>
      <c r="B25" s="15" t="s">
        <v>38</v>
      </c>
      <c r="C25" s="15"/>
      <c r="D25" s="15"/>
      <c r="E25" s="15"/>
      <c r="F25" s="15"/>
      <c r="G25" s="16">
        <v>0</v>
      </c>
      <c r="H25" s="15">
        <v>30</v>
      </c>
      <c r="I25" s="15" t="s">
        <v>39</v>
      </c>
      <c r="J25" s="15"/>
      <c r="K25" s="15"/>
      <c r="L25" s="15">
        <f t="shared" si="2"/>
        <v>0</v>
      </c>
      <c r="M25" s="15">
        <f t="shared" si="4"/>
        <v>0</v>
      </c>
      <c r="N25" s="15"/>
      <c r="O25" s="15">
        <v>0</v>
      </c>
      <c r="P25" s="15"/>
      <c r="Q25" s="15">
        <v>0</v>
      </c>
      <c r="R25" s="15">
        <v>0</v>
      </c>
      <c r="S25" s="15">
        <f t="shared" si="5"/>
        <v>0</v>
      </c>
      <c r="T25" s="17"/>
      <c r="U25" s="17"/>
      <c r="V25" s="15"/>
      <c r="W25" s="15"/>
      <c r="X25" s="15" t="e">
        <f t="shared" si="7"/>
        <v>#DIV/0!</v>
      </c>
      <c r="Y25" s="15" t="e">
        <f t="shared" si="8"/>
        <v>#DIV/0!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 t="s">
        <v>55</v>
      </c>
      <c r="AI25" s="15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64</v>
      </c>
      <c r="B26" s="15" t="s">
        <v>38</v>
      </c>
      <c r="C26" s="15"/>
      <c r="D26" s="15"/>
      <c r="E26" s="15"/>
      <c r="F26" s="15"/>
      <c r="G26" s="16">
        <v>0</v>
      </c>
      <c r="H26" s="15">
        <v>30</v>
      </c>
      <c r="I26" s="15" t="s">
        <v>39</v>
      </c>
      <c r="J26" s="15"/>
      <c r="K26" s="15"/>
      <c r="L26" s="15">
        <f t="shared" si="2"/>
        <v>0</v>
      </c>
      <c r="M26" s="15">
        <f t="shared" si="4"/>
        <v>0</v>
      </c>
      <c r="N26" s="15"/>
      <c r="O26" s="15">
        <v>0</v>
      </c>
      <c r="P26" s="15"/>
      <c r="Q26" s="15">
        <v>0</v>
      </c>
      <c r="R26" s="15">
        <v>0</v>
      </c>
      <c r="S26" s="15">
        <f t="shared" si="5"/>
        <v>0</v>
      </c>
      <c r="T26" s="17"/>
      <c r="U26" s="17"/>
      <c r="V26" s="15"/>
      <c r="W26" s="15"/>
      <c r="X26" s="15" t="e">
        <f t="shared" si="7"/>
        <v>#DIV/0!</v>
      </c>
      <c r="Y26" s="15" t="e">
        <f t="shared" si="8"/>
        <v>#DIV/0!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 t="s">
        <v>55</v>
      </c>
      <c r="AI26" s="15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38</v>
      </c>
      <c r="C27" s="1">
        <v>941.50699999999995</v>
      </c>
      <c r="D27" s="1">
        <v>1385.6310000000001</v>
      </c>
      <c r="E27" s="1">
        <v>1324.0519999999999</v>
      </c>
      <c r="F27" s="1">
        <v>670.10299999999995</v>
      </c>
      <c r="G27" s="8">
        <v>1</v>
      </c>
      <c r="H27" s="1">
        <v>30</v>
      </c>
      <c r="I27" s="1" t="s">
        <v>39</v>
      </c>
      <c r="J27" s="1"/>
      <c r="K27" s="1">
        <v>1704.944</v>
      </c>
      <c r="L27" s="1">
        <f t="shared" si="2"/>
        <v>-380.89200000000005</v>
      </c>
      <c r="M27" s="1">
        <f t="shared" si="4"/>
        <v>1145.1609999999998</v>
      </c>
      <c r="N27" s="1">
        <v>178.89099999999999</v>
      </c>
      <c r="O27" s="1">
        <v>446.68319999999977</v>
      </c>
      <c r="P27" s="1"/>
      <c r="Q27" s="1">
        <v>60</v>
      </c>
      <c r="R27" s="1">
        <v>1473.0126479999999</v>
      </c>
      <c r="S27" s="1">
        <f t="shared" si="5"/>
        <v>229.03219999999996</v>
      </c>
      <c r="T27" s="5"/>
      <c r="U27" s="5"/>
      <c r="V27" s="1"/>
      <c r="W27" s="1"/>
      <c r="X27" s="1">
        <f t="shared" si="7"/>
        <v>11.307575301638808</v>
      </c>
      <c r="Y27" s="1">
        <f t="shared" si="8"/>
        <v>11.307575301638808</v>
      </c>
      <c r="Z27" s="1">
        <v>235.68979999999999</v>
      </c>
      <c r="AA27" s="1">
        <v>181.5676</v>
      </c>
      <c r="AB27" s="1">
        <v>204.2704</v>
      </c>
      <c r="AC27" s="1">
        <v>155.9264</v>
      </c>
      <c r="AD27" s="1">
        <v>116.1802</v>
      </c>
      <c r="AE27" s="1">
        <v>143.58860000000001</v>
      </c>
      <c r="AF27" s="1">
        <v>147.16900000000001</v>
      </c>
      <c r="AG27" s="1">
        <v>145.21</v>
      </c>
      <c r="AH27" s="1" t="s">
        <v>50</v>
      </c>
      <c r="AI27" s="1">
        <f>G27*T27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5" t="s">
        <v>66</v>
      </c>
      <c r="B28" s="15" t="s">
        <v>38</v>
      </c>
      <c r="C28" s="15"/>
      <c r="D28" s="15"/>
      <c r="E28" s="15"/>
      <c r="F28" s="15"/>
      <c r="G28" s="16">
        <v>0</v>
      </c>
      <c r="H28" s="15">
        <v>45</v>
      </c>
      <c r="I28" s="15" t="s">
        <v>39</v>
      </c>
      <c r="J28" s="15"/>
      <c r="K28" s="15"/>
      <c r="L28" s="15">
        <f t="shared" si="2"/>
        <v>0</v>
      </c>
      <c r="M28" s="15">
        <f t="shared" si="4"/>
        <v>0</v>
      </c>
      <c r="N28" s="15"/>
      <c r="O28" s="15">
        <v>0</v>
      </c>
      <c r="P28" s="15"/>
      <c r="Q28" s="15">
        <v>0</v>
      </c>
      <c r="R28" s="15">
        <v>0</v>
      </c>
      <c r="S28" s="15">
        <f t="shared" si="5"/>
        <v>0</v>
      </c>
      <c r="T28" s="17"/>
      <c r="U28" s="17"/>
      <c r="V28" s="15"/>
      <c r="W28" s="15"/>
      <c r="X28" s="15" t="e">
        <f t="shared" si="7"/>
        <v>#DIV/0!</v>
      </c>
      <c r="Y28" s="15" t="e">
        <f t="shared" si="8"/>
        <v>#DIV/0!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 t="s">
        <v>55</v>
      </c>
      <c r="AI28" s="15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5" t="s">
        <v>67</v>
      </c>
      <c r="B29" s="15" t="s">
        <v>38</v>
      </c>
      <c r="C29" s="15"/>
      <c r="D29" s="15"/>
      <c r="E29" s="15"/>
      <c r="F29" s="15"/>
      <c r="G29" s="16">
        <v>0</v>
      </c>
      <c r="H29" s="15">
        <v>40</v>
      </c>
      <c r="I29" s="15" t="s">
        <v>39</v>
      </c>
      <c r="J29" s="15"/>
      <c r="K29" s="15"/>
      <c r="L29" s="15">
        <f t="shared" si="2"/>
        <v>0</v>
      </c>
      <c r="M29" s="15">
        <f t="shared" si="4"/>
        <v>0</v>
      </c>
      <c r="N29" s="15"/>
      <c r="O29" s="15">
        <v>0</v>
      </c>
      <c r="P29" s="15"/>
      <c r="Q29" s="15">
        <v>0</v>
      </c>
      <c r="R29" s="15">
        <v>0</v>
      </c>
      <c r="S29" s="15">
        <f t="shared" si="5"/>
        <v>0</v>
      </c>
      <c r="T29" s="17"/>
      <c r="U29" s="17"/>
      <c r="V29" s="15"/>
      <c r="W29" s="15"/>
      <c r="X29" s="15" t="e">
        <f t="shared" si="7"/>
        <v>#DIV/0!</v>
      </c>
      <c r="Y29" s="15" t="e">
        <f t="shared" si="8"/>
        <v>#DIV/0!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 t="s">
        <v>55</v>
      </c>
      <c r="AI29" s="15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68</v>
      </c>
      <c r="B30" s="15" t="s">
        <v>38</v>
      </c>
      <c r="C30" s="15"/>
      <c r="D30" s="15"/>
      <c r="E30" s="15"/>
      <c r="F30" s="15"/>
      <c r="G30" s="16">
        <v>0</v>
      </c>
      <c r="H30" s="15">
        <v>30</v>
      </c>
      <c r="I30" s="15" t="s">
        <v>39</v>
      </c>
      <c r="J30" s="15"/>
      <c r="K30" s="15"/>
      <c r="L30" s="15">
        <f t="shared" si="2"/>
        <v>0</v>
      </c>
      <c r="M30" s="15">
        <f t="shared" si="4"/>
        <v>0</v>
      </c>
      <c r="N30" s="15"/>
      <c r="O30" s="15">
        <v>0</v>
      </c>
      <c r="P30" s="15"/>
      <c r="Q30" s="15">
        <v>0</v>
      </c>
      <c r="R30" s="15">
        <v>0</v>
      </c>
      <c r="S30" s="15">
        <f t="shared" si="5"/>
        <v>0</v>
      </c>
      <c r="T30" s="17"/>
      <c r="U30" s="17"/>
      <c r="V30" s="15"/>
      <c r="W30" s="15"/>
      <c r="X30" s="15" t="e">
        <f t="shared" si="7"/>
        <v>#DIV/0!</v>
      </c>
      <c r="Y30" s="15" t="e">
        <f t="shared" si="8"/>
        <v>#DIV/0!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 t="s">
        <v>55</v>
      </c>
      <c r="AI30" s="15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69</v>
      </c>
      <c r="B31" s="15" t="s">
        <v>38</v>
      </c>
      <c r="C31" s="15"/>
      <c r="D31" s="15"/>
      <c r="E31" s="15"/>
      <c r="F31" s="15"/>
      <c r="G31" s="16">
        <v>0</v>
      </c>
      <c r="H31" s="15">
        <v>50</v>
      </c>
      <c r="I31" s="15" t="s">
        <v>39</v>
      </c>
      <c r="J31" s="15"/>
      <c r="K31" s="15"/>
      <c r="L31" s="15">
        <f t="shared" si="2"/>
        <v>0</v>
      </c>
      <c r="M31" s="15">
        <f t="shared" si="4"/>
        <v>0</v>
      </c>
      <c r="N31" s="15"/>
      <c r="O31" s="15">
        <v>0</v>
      </c>
      <c r="P31" s="15"/>
      <c r="Q31" s="15">
        <v>0</v>
      </c>
      <c r="R31" s="15">
        <v>0</v>
      </c>
      <c r="S31" s="15">
        <f t="shared" si="5"/>
        <v>0</v>
      </c>
      <c r="T31" s="17"/>
      <c r="U31" s="17"/>
      <c r="V31" s="15"/>
      <c r="W31" s="15"/>
      <c r="X31" s="15" t="e">
        <f t="shared" si="7"/>
        <v>#DIV/0!</v>
      </c>
      <c r="Y31" s="15" t="e">
        <f t="shared" si="8"/>
        <v>#DIV/0!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 t="s">
        <v>55</v>
      </c>
      <c r="AI31" s="15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38</v>
      </c>
      <c r="C32" s="1">
        <v>12.595000000000001</v>
      </c>
      <c r="D32" s="1"/>
      <c r="E32" s="1">
        <v>1.798</v>
      </c>
      <c r="F32" s="1">
        <v>10.797000000000001</v>
      </c>
      <c r="G32" s="8">
        <v>1</v>
      </c>
      <c r="H32" s="1">
        <v>50</v>
      </c>
      <c r="I32" s="1" t="s">
        <v>39</v>
      </c>
      <c r="J32" s="1"/>
      <c r="K32" s="1">
        <v>1.5</v>
      </c>
      <c r="L32" s="1">
        <f t="shared" si="2"/>
        <v>0.29800000000000004</v>
      </c>
      <c r="M32" s="1">
        <f t="shared" si="4"/>
        <v>1.798</v>
      </c>
      <c r="N32" s="1"/>
      <c r="O32" s="1">
        <v>15.1754</v>
      </c>
      <c r="P32" s="1"/>
      <c r="Q32" s="1">
        <v>0</v>
      </c>
      <c r="R32" s="1">
        <v>0</v>
      </c>
      <c r="S32" s="1">
        <f t="shared" si="5"/>
        <v>0.35960000000000003</v>
      </c>
      <c r="T32" s="5"/>
      <c r="U32" s="5"/>
      <c r="V32" s="1"/>
      <c r="W32" s="1"/>
      <c r="X32" s="1">
        <f t="shared" si="7"/>
        <v>72.225806451612897</v>
      </c>
      <c r="Y32" s="1">
        <f t="shared" si="8"/>
        <v>72.225806451612897</v>
      </c>
      <c r="Z32" s="1">
        <v>1.2498</v>
      </c>
      <c r="AA32" s="1">
        <v>2.3142</v>
      </c>
      <c r="AB32" s="1">
        <v>1.6046</v>
      </c>
      <c r="AC32" s="1">
        <v>0.71699999999999997</v>
      </c>
      <c r="AD32" s="1">
        <v>0.53520000000000001</v>
      </c>
      <c r="AE32" s="1">
        <v>1.073</v>
      </c>
      <c r="AF32" s="1">
        <v>1.974</v>
      </c>
      <c r="AG32" s="1">
        <v>1.6204000000000001</v>
      </c>
      <c r="AH32" s="21" t="s">
        <v>147</v>
      </c>
      <c r="AI32" s="1">
        <f t="shared" ref="AI32:AI47" si="11">G32*T32</f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43</v>
      </c>
      <c r="C33" s="1">
        <v>1829</v>
      </c>
      <c r="D33" s="1">
        <v>603</v>
      </c>
      <c r="E33" s="1">
        <v>1697</v>
      </c>
      <c r="F33" s="1">
        <v>587</v>
      </c>
      <c r="G33" s="8">
        <v>0.4</v>
      </c>
      <c r="H33" s="1">
        <v>45</v>
      </c>
      <c r="I33" s="1" t="s">
        <v>39</v>
      </c>
      <c r="J33" s="1"/>
      <c r="K33" s="1">
        <v>1884</v>
      </c>
      <c r="L33" s="1">
        <f t="shared" si="2"/>
        <v>-187</v>
      </c>
      <c r="M33" s="1">
        <f t="shared" si="4"/>
        <v>1343</v>
      </c>
      <c r="N33" s="1">
        <v>354</v>
      </c>
      <c r="O33" s="1">
        <v>950.39999999999964</v>
      </c>
      <c r="P33" s="1"/>
      <c r="Q33" s="1">
        <v>211</v>
      </c>
      <c r="R33" s="1">
        <v>1265.376</v>
      </c>
      <c r="S33" s="1">
        <f t="shared" si="5"/>
        <v>268.60000000000002</v>
      </c>
      <c r="T33" s="5">
        <f t="shared" ref="T32:T47" si="12">14*S33-R33-P33-O33-F33</f>
        <v>957.62400000000071</v>
      </c>
      <c r="U33" s="5"/>
      <c r="V33" s="1"/>
      <c r="W33" s="1"/>
      <c r="X33" s="1">
        <f t="shared" si="7"/>
        <v>14</v>
      </c>
      <c r="Y33" s="1">
        <f t="shared" si="8"/>
        <v>10.434758004467609</v>
      </c>
      <c r="Z33" s="1">
        <v>252.6</v>
      </c>
      <c r="AA33" s="1">
        <v>229.2</v>
      </c>
      <c r="AB33" s="1">
        <v>238.6</v>
      </c>
      <c r="AC33" s="1">
        <v>223.8</v>
      </c>
      <c r="AD33" s="1">
        <v>240</v>
      </c>
      <c r="AE33" s="1">
        <v>250.8</v>
      </c>
      <c r="AF33" s="1">
        <v>231.8</v>
      </c>
      <c r="AG33" s="1">
        <v>246.8</v>
      </c>
      <c r="AH33" s="1" t="s">
        <v>72</v>
      </c>
      <c r="AI33" s="1">
        <f t="shared" si="11"/>
        <v>383.04960000000028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43</v>
      </c>
      <c r="C34" s="1">
        <v>385</v>
      </c>
      <c r="D34" s="1">
        <v>430</v>
      </c>
      <c r="E34" s="1">
        <v>335.57900000000001</v>
      </c>
      <c r="F34" s="1">
        <v>258.42099999999999</v>
      </c>
      <c r="G34" s="8">
        <v>0.45</v>
      </c>
      <c r="H34" s="1">
        <v>50</v>
      </c>
      <c r="I34" s="1" t="s">
        <v>39</v>
      </c>
      <c r="J34" s="1"/>
      <c r="K34" s="1">
        <v>405</v>
      </c>
      <c r="L34" s="1">
        <f t="shared" si="2"/>
        <v>-69.420999999999992</v>
      </c>
      <c r="M34" s="1">
        <f t="shared" si="4"/>
        <v>265.57900000000001</v>
      </c>
      <c r="N34" s="1">
        <v>70</v>
      </c>
      <c r="O34" s="1">
        <v>0</v>
      </c>
      <c r="P34" s="1"/>
      <c r="Q34" s="1">
        <v>0</v>
      </c>
      <c r="R34" s="1">
        <v>315.63400000000001</v>
      </c>
      <c r="S34" s="1">
        <f t="shared" si="5"/>
        <v>53.1158</v>
      </c>
      <c r="T34" s="5">
        <f t="shared" si="12"/>
        <v>169.56620000000004</v>
      </c>
      <c r="U34" s="5"/>
      <c r="V34" s="1"/>
      <c r="W34" s="1"/>
      <c r="X34" s="1">
        <f t="shared" si="7"/>
        <v>14</v>
      </c>
      <c r="Y34" s="1">
        <f t="shared" si="8"/>
        <v>10.807612800710901</v>
      </c>
      <c r="Z34" s="1">
        <v>56.4</v>
      </c>
      <c r="AA34" s="1">
        <v>42.8</v>
      </c>
      <c r="AB34" s="1">
        <v>50.6</v>
      </c>
      <c r="AC34" s="1">
        <v>53.8</v>
      </c>
      <c r="AD34" s="1">
        <v>52</v>
      </c>
      <c r="AE34" s="1">
        <v>53.4</v>
      </c>
      <c r="AF34" s="1">
        <v>52</v>
      </c>
      <c r="AG34" s="1">
        <v>86</v>
      </c>
      <c r="AH34" s="1" t="s">
        <v>44</v>
      </c>
      <c r="AI34" s="1">
        <f t="shared" si="11"/>
        <v>76.304790000000025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43</v>
      </c>
      <c r="C35" s="1">
        <v>2287</v>
      </c>
      <c r="D35" s="1">
        <v>657</v>
      </c>
      <c r="E35" s="1">
        <v>1415</v>
      </c>
      <c r="F35" s="1">
        <v>1250</v>
      </c>
      <c r="G35" s="8">
        <v>0.4</v>
      </c>
      <c r="H35" s="1">
        <v>45</v>
      </c>
      <c r="I35" s="1" t="s">
        <v>39</v>
      </c>
      <c r="J35" s="1"/>
      <c r="K35" s="1">
        <v>1661</v>
      </c>
      <c r="L35" s="1">
        <f t="shared" si="2"/>
        <v>-246</v>
      </c>
      <c r="M35" s="1">
        <f t="shared" si="4"/>
        <v>1193</v>
      </c>
      <c r="N35" s="1">
        <v>222</v>
      </c>
      <c r="O35" s="1">
        <v>58.600000000000357</v>
      </c>
      <c r="P35" s="1"/>
      <c r="Q35" s="1">
        <v>211</v>
      </c>
      <c r="R35" s="1">
        <v>1687.232</v>
      </c>
      <c r="S35" s="1">
        <f t="shared" si="5"/>
        <v>238.6</v>
      </c>
      <c r="T35" s="5">
        <f t="shared" si="12"/>
        <v>344.56799999999976</v>
      </c>
      <c r="U35" s="5"/>
      <c r="V35" s="1"/>
      <c r="W35" s="1"/>
      <c r="X35" s="1">
        <f t="shared" si="7"/>
        <v>14</v>
      </c>
      <c r="Y35" s="1">
        <f t="shared" si="8"/>
        <v>12.55587594300084</v>
      </c>
      <c r="Z35" s="1">
        <v>258.2</v>
      </c>
      <c r="AA35" s="1">
        <v>190.8</v>
      </c>
      <c r="AB35" s="1">
        <v>257.39999999999998</v>
      </c>
      <c r="AC35" s="1">
        <v>270</v>
      </c>
      <c r="AD35" s="1">
        <v>250.8</v>
      </c>
      <c r="AE35" s="1">
        <v>238.8</v>
      </c>
      <c r="AF35" s="1">
        <v>264.2</v>
      </c>
      <c r="AG35" s="1">
        <v>235.8</v>
      </c>
      <c r="AH35" s="1"/>
      <c r="AI35" s="1">
        <f t="shared" si="11"/>
        <v>137.82719999999992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43</v>
      </c>
      <c r="C36" s="1">
        <v>122</v>
      </c>
      <c r="D36" s="1"/>
      <c r="E36" s="1">
        <v>104</v>
      </c>
      <c r="F36" s="1">
        <v>18</v>
      </c>
      <c r="G36" s="8">
        <v>0.4</v>
      </c>
      <c r="H36" s="1">
        <v>40</v>
      </c>
      <c r="I36" s="1" t="s">
        <v>39</v>
      </c>
      <c r="J36" s="1"/>
      <c r="K36" s="1">
        <v>104</v>
      </c>
      <c r="L36" s="1">
        <f t="shared" si="2"/>
        <v>0</v>
      </c>
      <c r="M36" s="1">
        <f t="shared" si="4"/>
        <v>104</v>
      </c>
      <c r="N36" s="1"/>
      <c r="O36" s="1">
        <v>139.6</v>
      </c>
      <c r="P36" s="1"/>
      <c r="Q36" s="1">
        <v>0</v>
      </c>
      <c r="R36" s="1">
        <v>200.2</v>
      </c>
      <c r="S36" s="1">
        <f t="shared" si="5"/>
        <v>20.8</v>
      </c>
      <c r="T36" s="5"/>
      <c r="U36" s="5"/>
      <c r="V36" s="1"/>
      <c r="W36" s="1"/>
      <c r="X36" s="1">
        <f t="shared" si="7"/>
        <v>17.201923076923073</v>
      </c>
      <c r="Y36" s="1">
        <f t="shared" si="8"/>
        <v>17.201923076923073</v>
      </c>
      <c r="Z36" s="1">
        <v>30</v>
      </c>
      <c r="AA36" s="1">
        <v>21.8</v>
      </c>
      <c r="AB36" s="1">
        <v>12.6</v>
      </c>
      <c r="AC36" s="1">
        <v>10.4</v>
      </c>
      <c r="AD36" s="1">
        <v>17</v>
      </c>
      <c r="AE36" s="1">
        <v>20.6</v>
      </c>
      <c r="AF36" s="1">
        <v>12.6</v>
      </c>
      <c r="AG36" s="1">
        <v>15.4</v>
      </c>
      <c r="AH36" s="1"/>
      <c r="AI36" s="1">
        <f t="shared" si="11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38</v>
      </c>
      <c r="C37" s="1">
        <v>1000.66</v>
      </c>
      <c r="D37" s="1">
        <v>178.63300000000001</v>
      </c>
      <c r="E37" s="1">
        <v>384.70400000000001</v>
      </c>
      <c r="F37" s="1">
        <v>615.19600000000003</v>
      </c>
      <c r="G37" s="8">
        <v>1</v>
      </c>
      <c r="H37" s="1">
        <v>45</v>
      </c>
      <c r="I37" s="1" t="s">
        <v>39</v>
      </c>
      <c r="J37" s="1"/>
      <c r="K37" s="1">
        <v>566.78300000000002</v>
      </c>
      <c r="L37" s="1">
        <f t="shared" si="2"/>
        <v>-182.07900000000001</v>
      </c>
      <c r="M37" s="1">
        <f t="shared" si="4"/>
        <v>384.70400000000001</v>
      </c>
      <c r="N37" s="1"/>
      <c r="O37" s="1">
        <v>0</v>
      </c>
      <c r="P37" s="1"/>
      <c r="Q37" s="1">
        <v>0</v>
      </c>
      <c r="R37" s="1">
        <v>205.402536</v>
      </c>
      <c r="S37" s="1">
        <f t="shared" si="5"/>
        <v>76.940799999999996</v>
      </c>
      <c r="T37" s="5">
        <f t="shared" si="12"/>
        <v>256.57266399999992</v>
      </c>
      <c r="U37" s="5"/>
      <c r="V37" s="1"/>
      <c r="W37" s="1"/>
      <c r="X37" s="1">
        <f t="shared" si="7"/>
        <v>13.999999999999998</v>
      </c>
      <c r="Y37" s="1">
        <f t="shared" si="8"/>
        <v>10.665323677424722</v>
      </c>
      <c r="Z37" s="1">
        <v>67.9786</v>
      </c>
      <c r="AA37" s="1">
        <v>64.661199999999994</v>
      </c>
      <c r="AB37" s="1">
        <v>58.102600000000002</v>
      </c>
      <c r="AC37" s="1">
        <v>74.066200000000009</v>
      </c>
      <c r="AD37" s="1">
        <v>96.037400000000005</v>
      </c>
      <c r="AE37" s="1">
        <v>76.811599999999999</v>
      </c>
      <c r="AF37" s="1">
        <v>61.268600000000013</v>
      </c>
      <c r="AG37" s="1">
        <v>76.885999999999996</v>
      </c>
      <c r="AH37" s="1"/>
      <c r="AI37" s="1">
        <f t="shared" si="11"/>
        <v>256.57266399999992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43</v>
      </c>
      <c r="C38" s="1">
        <v>304</v>
      </c>
      <c r="D38" s="1">
        <v>251</v>
      </c>
      <c r="E38" s="1">
        <v>137</v>
      </c>
      <c r="F38" s="1">
        <v>267</v>
      </c>
      <c r="G38" s="8">
        <v>0.1</v>
      </c>
      <c r="H38" s="1">
        <v>730</v>
      </c>
      <c r="I38" s="1" t="s">
        <v>39</v>
      </c>
      <c r="J38" s="1"/>
      <c r="K38" s="1">
        <v>137</v>
      </c>
      <c r="L38" s="1">
        <f t="shared" ref="L38:L69" si="13">E38-K38</f>
        <v>0</v>
      </c>
      <c r="M38" s="1">
        <f t="shared" si="4"/>
        <v>137</v>
      </c>
      <c r="N38" s="1"/>
      <c r="O38" s="1">
        <v>0</v>
      </c>
      <c r="P38" s="1"/>
      <c r="Q38" s="1">
        <v>0</v>
      </c>
      <c r="R38" s="1">
        <v>54.85000000000003</v>
      </c>
      <c r="S38" s="1">
        <f t="shared" si="5"/>
        <v>27.4</v>
      </c>
      <c r="T38" s="5">
        <f t="shared" si="12"/>
        <v>61.749999999999943</v>
      </c>
      <c r="U38" s="5"/>
      <c r="V38" s="1"/>
      <c r="W38" s="1"/>
      <c r="X38" s="1">
        <f t="shared" si="7"/>
        <v>14</v>
      </c>
      <c r="Y38" s="1">
        <f t="shared" si="8"/>
        <v>11.746350364963504</v>
      </c>
      <c r="Z38" s="1">
        <v>26</v>
      </c>
      <c r="AA38" s="1">
        <v>24.4</v>
      </c>
      <c r="AB38" s="1">
        <v>32.200000000000003</v>
      </c>
      <c r="AC38" s="1">
        <v>34.6</v>
      </c>
      <c r="AD38" s="1">
        <v>28.2</v>
      </c>
      <c r="AE38" s="1">
        <v>27.6</v>
      </c>
      <c r="AF38" s="1">
        <v>28.6</v>
      </c>
      <c r="AG38" s="1">
        <v>31.2</v>
      </c>
      <c r="AH38" s="1"/>
      <c r="AI38" s="1">
        <f t="shared" si="11"/>
        <v>6.1749999999999945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43</v>
      </c>
      <c r="C39" s="1">
        <v>380</v>
      </c>
      <c r="D39" s="1">
        <v>50</v>
      </c>
      <c r="E39" s="1">
        <v>250</v>
      </c>
      <c r="F39" s="1">
        <v>128</v>
      </c>
      <c r="G39" s="8">
        <v>0.35</v>
      </c>
      <c r="H39" s="1">
        <v>40</v>
      </c>
      <c r="I39" s="1" t="s">
        <v>39</v>
      </c>
      <c r="J39" s="1"/>
      <c r="K39" s="1">
        <v>252</v>
      </c>
      <c r="L39" s="1">
        <f t="shared" si="13"/>
        <v>-2</v>
      </c>
      <c r="M39" s="1">
        <f t="shared" si="4"/>
        <v>250</v>
      </c>
      <c r="N39" s="1"/>
      <c r="O39" s="1">
        <v>193.8</v>
      </c>
      <c r="P39" s="1"/>
      <c r="Q39" s="1">
        <v>0</v>
      </c>
      <c r="R39" s="1">
        <v>518.81599999999992</v>
      </c>
      <c r="S39" s="1">
        <f t="shared" si="5"/>
        <v>50</v>
      </c>
      <c r="T39" s="5"/>
      <c r="U39" s="5"/>
      <c r="V39" s="1"/>
      <c r="W39" s="1"/>
      <c r="X39" s="1">
        <f t="shared" si="7"/>
        <v>16.81232</v>
      </c>
      <c r="Y39" s="1">
        <f t="shared" si="8"/>
        <v>16.81232</v>
      </c>
      <c r="Z39" s="1">
        <v>71.599999999999994</v>
      </c>
      <c r="AA39" s="1">
        <v>46.4</v>
      </c>
      <c r="AB39" s="1">
        <v>34.4</v>
      </c>
      <c r="AC39" s="1">
        <v>51</v>
      </c>
      <c r="AD39" s="1">
        <v>48.6</v>
      </c>
      <c r="AE39" s="1">
        <v>46.8</v>
      </c>
      <c r="AF39" s="1">
        <v>36.200000000000003</v>
      </c>
      <c r="AG39" s="1">
        <v>37.200000000000003</v>
      </c>
      <c r="AH39" s="1"/>
      <c r="AI39" s="1">
        <f t="shared" si="11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38</v>
      </c>
      <c r="C40" s="1">
        <v>24.815000000000001</v>
      </c>
      <c r="D40" s="1">
        <v>69.248999999999995</v>
      </c>
      <c r="E40" s="1">
        <v>31.742000000000001</v>
      </c>
      <c r="F40" s="1">
        <v>62.322000000000003</v>
      </c>
      <c r="G40" s="8">
        <v>1</v>
      </c>
      <c r="H40" s="1">
        <v>40</v>
      </c>
      <c r="I40" s="1" t="s">
        <v>39</v>
      </c>
      <c r="J40" s="1"/>
      <c r="K40" s="1">
        <v>33.4</v>
      </c>
      <c r="L40" s="1">
        <f t="shared" si="13"/>
        <v>-1.6579999999999977</v>
      </c>
      <c r="M40" s="1">
        <f t="shared" si="4"/>
        <v>31.742000000000001</v>
      </c>
      <c r="N40" s="1"/>
      <c r="O40" s="1">
        <v>48.213200000000029</v>
      </c>
      <c r="P40" s="1"/>
      <c r="Q40" s="1">
        <v>0</v>
      </c>
      <c r="R40" s="1">
        <v>0</v>
      </c>
      <c r="S40" s="1">
        <f t="shared" si="5"/>
        <v>6.3483999999999998</v>
      </c>
      <c r="T40" s="5"/>
      <c r="U40" s="5"/>
      <c r="V40" s="1"/>
      <c r="W40" s="1"/>
      <c r="X40" s="1">
        <f t="shared" si="7"/>
        <v>17.411505261168173</v>
      </c>
      <c r="Y40" s="1">
        <f t="shared" si="8"/>
        <v>17.411505261168173</v>
      </c>
      <c r="Z40" s="1">
        <v>6.6596000000000002</v>
      </c>
      <c r="AA40" s="1">
        <v>11.127599999999999</v>
      </c>
      <c r="AB40" s="1">
        <v>10.8368</v>
      </c>
      <c r="AC40" s="1">
        <v>6.8138000000000014</v>
      </c>
      <c r="AD40" s="1">
        <v>6.9438000000000004</v>
      </c>
      <c r="AE40" s="1">
        <v>7.7876000000000003</v>
      </c>
      <c r="AF40" s="1">
        <v>7.6316000000000006</v>
      </c>
      <c r="AG40" s="1">
        <v>6.4818000000000016</v>
      </c>
      <c r="AH40" s="1"/>
      <c r="AI40" s="1">
        <f t="shared" si="11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43</v>
      </c>
      <c r="C41" s="1">
        <v>383</v>
      </c>
      <c r="D41" s="1">
        <v>218</v>
      </c>
      <c r="E41" s="1">
        <v>300</v>
      </c>
      <c r="F41" s="1">
        <v>296</v>
      </c>
      <c r="G41" s="8">
        <v>0.4</v>
      </c>
      <c r="H41" s="1">
        <v>40</v>
      </c>
      <c r="I41" s="1" t="s">
        <v>39</v>
      </c>
      <c r="J41" s="1"/>
      <c r="K41" s="1">
        <v>303</v>
      </c>
      <c r="L41" s="1">
        <f t="shared" si="13"/>
        <v>-3</v>
      </c>
      <c r="M41" s="1">
        <f t="shared" si="4"/>
        <v>210</v>
      </c>
      <c r="N41" s="1">
        <v>90</v>
      </c>
      <c r="O41" s="1">
        <v>0</v>
      </c>
      <c r="P41" s="1"/>
      <c r="Q41" s="1">
        <v>84</v>
      </c>
      <c r="R41" s="1">
        <v>8.2160000000000295</v>
      </c>
      <c r="S41" s="1">
        <f t="shared" si="5"/>
        <v>42</v>
      </c>
      <c r="T41" s="5">
        <f>12*S41-R41-P41-O41-F41</f>
        <v>199.78399999999999</v>
      </c>
      <c r="U41" s="5"/>
      <c r="V41" s="1"/>
      <c r="W41" s="1"/>
      <c r="X41" s="1">
        <f t="shared" si="7"/>
        <v>12</v>
      </c>
      <c r="Y41" s="1">
        <f t="shared" si="8"/>
        <v>7.2432380952380955</v>
      </c>
      <c r="Z41" s="1">
        <v>31.6</v>
      </c>
      <c r="AA41" s="1">
        <v>25.8</v>
      </c>
      <c r="AB41" s="1">
        <v>42.2</v>
      </c>
      <c r="AC41" s="1">
        <v>42.4</v>
      </c>
      <c r="AD41" s="1">
        <v>28</v>
      </c>
      <c r="AE41" s="1">
        <v>36.4</v>
      </c>
      <c r="AF41" s="1">
        <v>34.6</v>
      </c>
      <c r="AG41" s="1">
        <v>28.4</v>
      </c>
      <c r="AH41" s="1"/>
      <c r="AI41" s="1">
        <f t="shared" si="11"/>
        <v>79.913600000000002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43</v>
      </c>
      <c r="C42" s="1">
        <v>593</v>
      </c>
      <c r="D42" s="1">
        <v>230</v>
      </c>
      <c r="E42" s="1">
        <v>447</v>
      </c>
      <c r="F42" s="1">
        <v>362</v>
      </c>
      <c r="G42" s="8">
        <v>0.4</v>
      </c>
      <c r="H42" s="1">
        <v>45</v>
      </c>
      <c r="I42" s="1" t="s">
        <v>39</v>
      </c>
      <c r="J42" s="1"/>
      <c r="K42" s="1">
        <v>459</v>
      </c>
      <c r="L42" s="1">
        <f t="shared" si="13"/>
        <v>-12</v>
      </c>
      <c r="M42" s="1">
        <f t="shared" si="4"/>
        <v>357</v>
      </c>
      <c r="N42" s="1">
        <v>90</v>
      </c>
      <c r="O42" s="1">
        <v>225.40000000000009</v>
      </c>
      <c r="P42" s="1"/>
      <c r="Q42" s="1">
        <v>78</v>
      </c>
      <c r="R42" s="1">
        <v>337.61599999999987</v>
      </c>
      <c r="S42" s="1">
        <f t="shared" si="5"/>
        <v>71.400000000000006</v>
      </c>
      <c r="T42" s="5">
        <f t="shared" si="12"/>
        <v>74.584000000000174</v>
      </c>
      <c r="U42" s="5"/>
      <c r="V42" s="1"/>
      <c r="W42" s="1"/>
      <c r="X42" s="1">
        <f t="shared" si="7"/>
        <v>14</v>
      </c>
      <c r="Y42" s="1">
        <f t="shared" si="8"/>
        <v>12.955406162464984</v>
      </c>
      <c r="Z42" s="1">
        <v>76.599999999999994</v>
      </c>
      <c r="AA42" s="1">
        <v>67.2</v>
      </c>
      <c r="AB42" s="1">
        <v>72</v>
      </c>
      <c r="AC42" s="1">
        <v>66</v>
      </c>
      <c r="AD42" s="1">
        <v>72.8</v>
      </c>
      <c r="AE42" s="1">
        <v>72.599999999999994</v>
      </c>
      <c r="AF42" s="1">
        <v>97.8</v>
      </c>
      <c r="AG42" s="1">
        <v>65.8</v>
      </c>
      <c r="AH42" s="1" t="s">
        <v>44</v>
      </c>
      <c r="AI42" s="1">
        <f t="shared" si="11"/>
        <v>29.833600000000072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38</v>
      </c>
      <c r="C43" s="1">
        <v>125.518</v>
      </c>
      <c r="D43" s="1">
        <v>78.153000000000006</v>
      </c>
      <c r="E43" s="20">
        <f>17408.192-17329+17.329</f>
        <v>96.520999999999106</v>
      </c>
      <c r="F43" s="1">
        <v>54.253999999999998</v>
      </c>
      <c r="G43" s="8">
        <v>1</v>
      </c>
      <c r="H43" s="1">
        <v>40</v>
      </c>
      <c r="I43" s="1" t="s">
        <v>39</v>
      </c>
      <c r="J43" s="1"/>
      <c r="K43" s="1">
        <v>106.47</v>
      </c>
      <c r="L43" s="1">
        <f t="shared" si="13"/>
        <v>-9.9490000000008934</v>
      </c>
      <c r="M43" s="1">
        <f t="shared" si="4"/>
        <v>94.350999999999104</v>
      </c>
      <c r="N43" s="1">
        <v>2.17</v>
      </c>
      <c r="O43" s="1">
        <v>0</v>
      </c>
      <c r="P43" s="1"/>
      <c r="Q43" s="1">
        <v>0</v>
      </c>
      <c r="R43" s="1">
        <v>145.293656</v>
      </c>
      <c r="S43" s="1">
        <f t="shared" si="5"/>
        <v>18.870199999999819</v>
      </c>
      <c r="T43" s="5">
        <f t="shared" ref="T43:T45" si="14">12*S43-R43-P43-O43-F43</f>
        <v>26.894743999997836</v>
      </c>
      <c r="U43" s="5"/>
      <c r="V43" s="1"/>
      <c r="W43" s="1"/>
      <c r="X43" s="1">
        <f t="shared" si="7"/>
        <v>12</v>
      </c>
      <c r="Y43" s="1">
        <f t="shared" si="8"/>
        <v>10.574750453095458</v>
      </c>
      <c r="Z43" s="1">
        <v>17.675599999999999</v>
      </c>
      <c r="AA43" s="1">
        <v>5.4978000000000007</v>
      </c>
      <c r="AB43" s="1">
        <v>18.39</v>
      </c>
      <c r="AC43" s="1">
        <v>23.522400000000001</v>
      </c>
      <c r="AD43" s="1">
        <v>12.7408</v>
      </c>
      <c r="AE43" s="1">
        <v>11.8408</v>
      </c>
      <c r="AF43" s="1">
        <v>19.4712</v>
      </c>
      <c r="AG43" s="1">
        <v>18.616</v>
      </c>
      <c r="AH43" s="1"/>
      <c r="AI43" s="1">
        <f t="shared" si="11"/>
        <v>26.894743999997836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43</v>
      </c>
      <c r="C44" s="1">
        <v>704</v>
      </c>
      <c r="D44" s="1">
        <v>372</v>
      </c>
      <c r="E44" s="1">
        <v>524</v>
      </c>
      <c r="F44" s="1">
        <v>536</v>
      </c>
      <c r="G44" s="8">
        <v>0.35</v>
      </c>
      <c r="H44" s="1">
        <v>40</v>
      </c>
      <c r="I44" s="1" t="s">
        <v>39</v>
      </c>
      <c r="J44" s="1"/>
      <c r="K44" s="1">
        <v>538</v>
      </c>
      <c r="L44" s="1">
        <f t="shared" si="13"/>
        <v>-14</v>
      </c>
      <c r="M44" s="1">
        <f t="shared" si="4"/>
        <v>524</v>
      </c>
      <c r="N44" s="1"/>
      <c r="O44" s="1">
        <v>380.2</v>
      </c>
      <c r="P44" s="1"/>
      <c r="Q44" s="1">
        <v>0</v>
      </c>
      <c r="R44" s="1">
        <v>204.39199999999991</v>
      </c>
      <c r="S44" s="1">
        <f t="shared" si="5"/>
        <v>104.8</v>
      </c>
      <c r="T44" s="5">
        <f t="shared" si="14"/>
        <v>137.00800000000004</v>
      </c>
      <c r="U44" s="5"/>
      <c r="V44" s="1"/>
      <c r="W44" s="1"/>
      <c r="X44" s="1">
        <f t="shared" si="7"/>
        <v>12</v>
      </c>
      <c r="Y44" s="1">
        <f t="shared" si="8"/>
        <v>10.69267175572519</v>
      </c>
      <c r="Z44" s="1">
        <v>104.2</v>
      </c>
      <c r="AA44" s="1">
        <v>119.2</v>
      </c>
      <c r="AB44" s="1">
        <v>117.2</v>
      </c>
      <c r="AC44" s="1">
        <v>97.4</v>
      </c>
      <c r="AD44" s="1">
        <v>102.6</v>
      </c>
      <c r="AE44" s="1">
        <v>122</v>
      </c>
      <c r="AF44" s="1">
        <v>112.2</v>
      </c>
      <c r="AG44" s="1">
        <v>101.6</v>
      </c>
      <c r="AH44" s="1" t="s">
        <v>50</v>
      </c>
      <c r="AI44" s="1">
        <f t="shared" si="11"/>
        <v>47.952800000000011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43</v>
      </c>
      <c r="C45" s="1">
        <v>665</v>
      </c>
      <c r="D45" s="1">
        <v>63</v>
      </c>
      <c r="E45" s="1">
        <v>375</v>
      </c>
      <c r="F45" s="1">
        <v>342</v>
      </c>
      <c r="G45" s="8">
        <v>0.4</v>
      </c>
      <c r="H45" s="1">
        <v>40</v>
      </c>
      <c r="I45" s="1" t="s">
        <v>39</v>
      </c>
      <c r="J45" s="1"/>
      <c r="K45" s="1">
        <v>408</v>
      </c>
      <c r="L45" s="1">
        <f t="shared" si="13"/>
        <v>-33</v>
      </c>
      <c r="M45" s="1">
        <f t="shared" si="4"/>
        <v>369</v>
      </c>
      <c r="N45" s="1">
        <v>6</v>
      </c>
      <c r="O45" s="1">
        <v>83.800000000000068</v>
      </c>
      <c r="P45" s="1"/>
      <c r="Q45" s="1">
        <v>0</v>
      </c>
      <c r="R45" s="1">
        <v>137.03999999999991</v>
      </c>
      <c r="S45" s="1">
        <f t="shared" si="5"/>
        <v>73.8</v>
      </c>
      <c r="T45" s="5">
        <f t="shared" si="14"/>
        <v>322.75999999999988</v>
      </c>
      <c r="U45" s="5"/>
      <c r="V45" s="1"/>
      <c r="W45" s="1"/>
      <c r="X45" s="1">
        <f t="shared" si="7"/>
        <v>11.999999999999998</v>
      </c>
      <c r="Y45" s="1">
        <f t="shared" si="8"/>
        <v>7.6265582655826547</v>
      </c>
      <c r="Z45" s="1">
        <v>59</v>
      </c>
      <c r="AA45" s="1">
        <v>65</v>
      </c>
      <c r="AB45" s="1">
        <v>86.2</v>
      </c>
      <c r="AC45" s="1">
        <v>82.2</v>
      </c>
      <c r="AD45" s="1">
        <v>63.2</v>
      </c>
      <c r="AE45" s="1">
        <v>63.8</v>
      </c>
      <c r="AF45" s="1">
        <v>59.6</v>
      </c>
      <c r="AG45" s="1">
        <v>71.8</v>
      </c>
      <c r="AH45" s="1" t="s">
        <v>44</v>
      </c>
      <c r="AI45" s="1">
        <f t="shared" si="11"/>
        <v>129.10399999999996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38</v>
      </c>
      <c r="C46" s="1">
        <v>82.882999999999996</v>
      </c>
      <c r="D46" s="1">
        <v>173.1</v>
      </c>
      <c r="E46" s="1">
        <v>188.86</v>
      </c>
      <c r="F46" s="1">
        <v>23.053000000000001</v>
      </c>
      <c r="G46" s="8">
        <v>1</v>
      </c>
      <c r="H46" s="1">
        <v>50</v>
      </c>
      <c r="I46" s="1" t="s">
        <v>39</v>
      </c>
      <c r="J46" s="1"/>
      <c r="K46" s="1">
        <v>247.24</v>
      </c>
      <c r="L46" s="1">
        <f t="shared" si="13"/>
        <v>-58.379999999999995</v>
      </c>
      <c r="M46" s="1">
        <f t="shared" si="4"/>
        <v>146</v>
      </c>
      <c r="N46" s="1">
        <v>42.86</v>
      </c>
      <c r="O46" s="1">
        <v>18.91079999999997</v>
      </c>
      <c r="P46" s="1"/>
      <c r="Q46" s="1">
        <v>0</v>
      </c>
      <c r="R46" s="1">
        <v>160.76806400000009</v>
      </c>
      <c r="S46" s="1">
        <f t="shared" si="5"/>
        <v>29.2</v>
      </c>
      <c r="T46" s="5">
        <f t="shared" si="12"/>
        <v>206.06813599999995</v>
      </c>
      <c r="U46" s="5"/>
      <c r="V46" s="1"/>
      <c r="W46" s="1"/>
      <c r="X46" s="1">
        <f t="shared" si="7"/>
        <v>14</v>
      </c>
      <c r="Y46" s="1">
        <f t="shared" si="8"/>
        <v>6.9428720547945231</v>
      </c>
      <c r="Z46" s="1">
        <v>20.061399999999999</v>
      </c>
      <c r="AA46" s="1">
        <v>16.882400000000001</v>
      </c>
      <c r="AB46" s="1">
        <v>21.015599999999999</v>
      </c>
      <c r="AC46" s="1">
        <v>17.166</v>
      </c>
      <c r="AD46" s="1">
        <v>13.372400000000001</v>
      </c>
      <c r="AE46" s="1">
        <v>16.836600000000001</v>
      </c>
      <c r="AF46" s="1">
        <v>15.747999999999999</v>
      </c>
      <c r="AG46" s="1">
        <v>14.630800000000001</v>
      </c>
      <c r="AH46" s="1"/>
      <c r="AI46" s="1">
        <f t="shared" si="11"/>
        <v>206.06813599999995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38</v>
      </c>
      <c r="C47" s="1">
        <v>436.53699999999998</v>
      </c>
      <c r="D47" s="1">
        <v>1285.4849999999999</v>
      </c>
      <c r="E47" s="1">
        <v>767.98199999999997</v>
      </c>
      <c r="F47" s="1">
        <v>520.16200000000003</v>
      </c>
      <c r="G47" s="8">
        <v>1</v>
      </c>
      <c r="H47" s="1">
        <v>50</v>
      </c>
      <c r="I47" s="1" t="s">
        <v>39</v>
      </c>
      <c r="J47" s="1"/>
      <c r="K47" s="1">
        <v>1359.5309999999999</v>
      </c>
      <c r="L47" s="1">
        <f t="shared" si="13"/>
        <v>-591.54899999999998</v>
      </c>
      <c r="M47" s="1">
        <f t="shared" si="4"/>
        <v>438.76299999999998</v>
      </c>
      <c r="N47" s="1">
        <v>329.21899999999999</v>
      </c>
      <c r="O47" s="1">
        <v>282.44679000000031</v>
      </c>
      <c r="P47" s="1">
        <v>247.61070000000001</v>
      </c>
      <c r="Q47" s="1">
        <v>0</v>
      </c>
      <c r="R47" s="1">
        <v>0</v>
      </c>
      <c r="S47" s="1">
        <f t="shared" si="5"/>
        <v>87.752600000000001</v>
      </c>
      <c r="T47" s="5">
        <f t="shared" si="12"/>
        <v>178.31690999999967</v>
      </c>
      <c r="U47" s="5"/>
      <c r="V47" s="1"/>
      <c r="W47" s="1"/>
      <c r="X47" s="1">
        <f t="shared" si="7"/>
        <v>14</v>
      </c>
      <c r="Y47" s="1">
        <f t="shared" si="8"/>
        <v>11.967958670170461</v>
      </c>
      <c r="Z47" s="1">
        <v>58.676399999999987</v>
      </c>
      <c r="AA47" s="1">
        <v>110.0492</v>
      </c>
      <c r="AB47" s="1">
        <v>99.636199999999988</v>
      </c>
      <c r="AC47" s="1">
        <v>44.864999999999988</v>
      </c>
      <c r="AD47" s="1">
        <v>26.1844</v>
      </c>
      <c r="AE47" s="1">
        <v>110.61839999999999</v>
      </c>
      <c r="AF47" s="1">
        <v>105.82640000000001</v>
      </c>
      <c r="AG47" s="1">
        <v>53.627800000000001</v>
      </c>
      <c r="AH47" s="1"/>
      <c r="AI47" s="1">
        <f t="shared" si="11"/>
        <v>178.31690999999967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5" t="s">
        <v>88</v>
      </c>
      <c r="B48" s="15" t="s">
        <v>38</v>
      </c>
      <c r="C48" s="15"/>
      <c r="D48" s="15"/>
      <c r="E48" s="15"/>
      <c r="F48" s="15"/>
      <c r="G48" s="16">
        <v>0</v>
      </c>
      <c r="H48" s="15">
        <v>40</v>
      </c>
      <c r="I48" s="15" t="s">
        <v>39</v>
      </c>
      <c r="J48" s="15"/>
      <c r="K48" s="15"/>
      <c r="L48" s="15">
        <f t="shared" si="13"/>
        <v>0</v>
      </c>
      <c r="M48" s="15">
        <f t="shared" si="4"/>
        <v>0</v>
      </c>
      <c r="N48" s="15"/>
      <c r="O48" s="15">
        <v>0</v>
      </c>
      <c r="P48" s="15"/>
      <c r="Q48" s="15">
        <v>0</v>
      </c>
      <c r="R48" s="15">
        <v>0</v>
      </c>
      <c r="S48" s="15">
        <f t="shared" si="5"/>
        <v>0</v>
      </c>
      <c r="T48" s="17"/>
      <c r="U48" s="17"/>
      <c r="V48" s="15"/>
      <c r="W48" s="15"/>
      <c r="X48" s="15" t="e">
        <f t="shared" si="7"/>
        <v>#DIV/0!</v>
      </c>
      <c r="Y48" s="15" t="e">
        <f t="shared" si="8"/>
        <v>#DIV/0!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 t="s">
        <v>55</v>
      </c>
      <c r="AI48" s="15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43</v>
      </c>
      <c r="C49" s="1">
        <v>389</v>
      </c>
      <c r="D49" s="1">
        <v>230</v>
      </c>
      <c r="E49" s="1">
        <v>302.56099999999998</v>
      </c>
      <c r="F49" s="1">
        <v>154.43899999999999</v>
      </c>
      <c r="G49" s="8">
        <v>0.45</v>
      </c>
      <c r="H49" s="1">
        <v>50</v>
      </c>
      <c r="I49" s="1" t="s">
        <v>39</v>
      </c>
      <c r="J49" s="1"/>
      <c r="K49" s="1">
        <v>383</v>
      </c>
      <c r="L49" s="1">
        <f t="shared" si="13"/>
        <v>-80.439000000000021</v>
      </c>
      <c r="M49" s="1">
        <f t="shared" si="4"/>
        <v>222.56099999999998</v>
      </c>
      <c r="N49" s="1">
        <v>80</v>
      </c>
      <c r="O49" s="1">
        <v>31.729999999999961</v>
      </c>
      <c r="P49" s="1">
        <v>87.3</v>
      </c>
      <c r="Q49" s="1">
        <v>0</v>
      </c>
      <c r="R49" s="1">
        <v>442.93200000000002</v>
      </c>
      <c r="S49" s="1">
        <f t="shared" si="5"/>
        <v>44.512199999999993</v>
      </c>
      <c r="T49" s="5"/>
      <c r="U49" s="5"/>
      <c r="V49" s="1"/>
      <c r="W49" s="1"/>
      <c r="X49" s="1">
        <f t="shared" si="7"/>
        <v>16.094486455398748</v>
      </c>
      <c r="Y49" s="1">
        <f t="shared" si="8"/>
        <v>16.094486455398748</v>
      </c>
      <c r="Z49" s="1">
        <v>58.2</v>
      </c>
      <c r="AA49" s="1">
        <v>38.799999999999997</v>
      </c>
      <c r="AB49" s="1">
        <v>35.4</v>
      </c>
      <c r="AC49" s="1">
        <v>32.799999999999997</v>
      </c>
      <c r="AD49" s="1">
        <v>31.4</v>
      </c>
      <c r="AE49" s="1">
        <v>35</v>
      </c>
      <c r="AF49" s="1">
        <v>33.4</v>
      </c>
      <c r="AG49" s="1">
        <v>29.8</v>
      </c>
      <c r="AH49" s="1" t="s">
        <v>44</v>
      </c>
      <c r="AI49" s="1">
        <f t="shared" ref="AI49:AI66" si="15">G49*T49</f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43</v>
      </c>
      <c r="C50" s="1">
        <v>93</v>
      </c>
      <c r="D50" s="1">
        <v>9</v>
      </c>
      <c r="E50" s="1">
        <v>63</v>
      </c>
      <c r="F50" s="1">
        <v>36</v>
      </c>
      <c r="G50" s="8">
        <v>0.4</v>
      </c>
      <c r="H50" s="1">
        <v>40</v>
      </c>
      <c r="I50" s="1" t="s">
        <v>39</v>
      </c>
      <c r="J50" s="1"/>
      <c r="K50" s="1">
        <v>66</v>
      </c>
      <c r="L50" s="1">
        <f t="shared" si="13"/>
        <v>-3</v>
      </c>
      <c r="M50" s="1">
        <f t="shared" si="4"/>
        <v>63</v>
      </c>
      <c r="N50" s="1"/>
      <c r="O50" s="1">
        <v>19.800000000000011</v>
      </c>
      <c r="P50" s="1"/>
      <c r="Q50" s="1">
        <v>0</v>
      </c>
      <c r="R50" s="1">
        <v>29.695999999999991</v>
      </c>
      <c r="S50" s="1">
        <f t="shared" si="5"/>
        <v>12.6</v>
      </c>
      <c r="T50" s="5">
        <f t="shared" ref="T50:T51" si="16">12*S50-R50-P50-O50-F50</f>
        <v>65.703999999999979</v>
      </c>
      <c r="U50" s="5"/>
      <c r="V50" s="1"/>
      <c r="W50" s="1"/>
      <c r="X50" s="1">
        <f t="shared" si="7"/>
        <v>12</v>
      </c>
      <c r="Y50" s="1">
        <f t="shared" si="8"/>
        <v>6.785396825396826</v>
      </c>
      <c r="Z50" s="1">
        <v>9.6</v>
      </c>
      <c r="AA50" s="1">
        <v>10</v>
      </c>
      <c r="AB50" s="1">
        <v>12.6</v>
      </c>
      <c r="AC50" s="1">
        <v>12.4</v>
      </c>
      <c r="AD50" s="1">
        <v>11</v>
      </c>
      <c r="AE50" s="1">
        <v>12.8</v>
      </c>
      <c r="AF50" s="1">
        <v>13</v>
      </c>
      <c r="AG50" s="1">
        <v>11.2</v>
      </c>
      <c r="AH50" s="1"/>
      <c r="AI50" s="1">
        <f t="shared" si="15"/>
        <v>26.281599999999994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91</v>
      </c>
      <c r="B51" s="1" t="s">
        <v>43</v>
      </c>
      <c r="C51" s="1">
        <v>129</v>
      </c>
      <c r="D51" s="1">
        <v>7</v>
      </c>
      <c r="E51" s="1">
        <v>77</v>
      </c>
      <c r="F51" s="1">
        <v>54</v>
      </c>
      <c r="G51" s="8">
        <v>0.4</v>
      </c>
      <c r="H51" s="1">
        <v>40</v>
      </c>
      <c r="I51" s="1" t="s">
        <v>39</v>
      </c>
      <c r="J51" s="1"/>
      <c r="K51" s="1">
        <v>81</v>
      </c>
      <c r="L51" s="1">
        <f t="shared" si="13"/>
        <v>-4</v>
      </c>
      <c r="M51" s="1">
        <f t="shared" si="4"/>
        <v>77</v>
      </c>
      <c r="N51" s="1"/>
      <c r="O51" s="1">
        <v>40.999999999999972</v>
      </c>
      <c r="P51" s="1"/>
      <c r="Q51" s="1">
        <v>0</v>
      </c>
      <c r="R51" s="1">
        <v>44.640000000000029</v>
      </c>
      <c r="S51" s="1">
        <f t="shared" si="5"/>
        <v>15.4</v>
      </c>
      <c r="T51" s="5">
        <f t="shared" si="16"/>
        <v>45.16</v>
      </c>
      <c r="U51" s="5"/>
      <c r="V51" s="1"/>
      <c r="W51" s="1"/>
      <c r="X51" s="1">
        <f t="shared" si="7"/>
        <v>11.999999999999998</v>
      </c>
      <c r="Y51" s="1">
        <f t="shared" si="8"/>
        <v>9.067532467532466</v>
      </c>
      <c r="Z51" s="1">
        <v>14</v>
      </c>
      <c r="AA51" s="1">
        <v>14.6</v>
      </c>
      <c r="AB51" s="1">
        <v>17</v>
      </c>
      <c r="AC51" s="1">
        <v>16.399999999999999</v>
      </c>
      <c r="AD51" s="1">
        <v>16.8</v>
      </c>
      <c r="AE51" s="1">
        <v>19</v>
      </c>
      <c r="AF51" s="1">
        <v>19</v>
      </c>
      <c r="AG51" s="1">
        <v>23.8</v>
      </c>
      <c r="AH51" s="1" t="s">
        <v>92</v>
      </c>
      <c r="AI51" s="1">
        <f t="shared" si="15"/>
        <v>18.064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93</v>
      </c>
      <c r="B52" s="1" t="s">
        <v>38</v>
      </c>
      <c r="C52" s="1">
        <v>140.458</v>
      </c>
      <c r="D52" s="1">
        <v>145.876</v>
      </c>
      <c r="E52" s="1">
        <v>178.928</v>
      </c>
      <c r="F52" s="1">
        <v>-4.056</v>
      </c>
      <c r="G52" s="8">
        <v>1</v>
      </c>
      <c r="H52" s="1">
        <v>50</v>
      </c>
      <c r="I52" s="1" t="s">
        <v>39</v>
      </c>
      <c r="J52" s="1"/>
      <c r="K52" s="1">
        <v>280.34399999999999</v>
      </c>
      <c r="L52" s="1">
        <f t="shared" si="13"/>
        <v>-101.416</v>
      </c>
      <c r="M52" s="1">
        <f t="shared" si="4"/>
        <v>122.78399999999999</v>
      </c>
      <c r="N52" s="1">
        <v>56.143999999999998</v>
      </c>
      <c r="O52" s="1">
        <v>249.9020000000001</v>
      </c>
      <c r="P52" s="1">
        <v>75.291300000000007</v>
      </c>
      <c r="Q52" s="1">
        <v>0</v>
      </c>
      <c r="R52" s="1">
        <v>300.51490799999988</v>
      </c>
      <c r="S52" s="1">
        <f t="shared" si="5"/>
        <v>24.556799999999999</v>
      </c>
      <c r="T52" s="5"/>
      <c r="U52" s="5"/>
      <c r="V52" s="1"/>
      <c r="W52" s="1"/>
      <c r="X52" s="1">
        <f t="shared" si="7"/>
        <v>25.314870341412561</v>
      </c>
      <c r="Y52" s="1">
        <f t="shared" si="8"/>
        <v>25.314870341412561</v>
      </c>
      <c r="Z52" s="1">
        <v>46.5458</v>
      </c>
      <c r="AA52" s="1">
        <v>33.462800000000001</v>
      </c>
      <c r="AB52" s="1">
        <v>19.481000000000002</v>
      </c>
      <c r="AC52" s="1">
        <v>17.349799999999998</v>
      </c>
      <c r="AD52" s="1">
        <v>27.253599999999999</v>
      </c>
      <c r="AE52" s="1">
        <v>33.127000000000002</v>
      </c>
      <c r="AF52" s="1">
        <v>25.907599999999999</v>
      </c>
      <c r="AG52" s="1">
        <v>23.498799999999999</v>
      </c>
      <c r="AH52" s="1"/>
      <c r="AI52" s="1">
        <f t="shared" si="15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43</v>
      </c>
      <c r="C53" s="1">
        <v>212</v>
      </c>
      <c r="D53" s="1">
        <v>88</v>
      </c>
      <c r="E53" s="1">
        <v>135</v>
      </c>
      <c r="F53" s="1">
        <v>162</v>
      </c>
      <c r="G53" s="8">
        <v>0.1</v>
      </c>
      <c r="H53" s="1">
        <v>730</v>
      </c>
      <c r="I53" s="1" t="s">
        <v>39</v>
      </c>
      <c r="J53" s="1"/>
      <c r="K53" s="1">
        <v>135</v>
      </c>
      <c r="L53" s="1">
        <f t="shared" si="13"/>
        <v>0</v>
      </c>
      <c r="M53" s="1">
        <f t="shared" si="4"/>
        <v>135</v>
      </c>
      <c r="N53" s="1"/>
      <c r="O53" s="1">
        <v>0</v>
      </c>
      <c r="P53" s="1"/>
      <c r="Q53" s="1">
        <v>0</v>
      </c>
      <c r="R53" s="1">
        <v>162.76</v>
      </c>
      <c r="S53" s="1">
        <f t="shared" si="5"/>
        <v>27</v>
      </c>
      <c r="T53" s="5">
        <f t="shared" ref="T49:T66" si="17">14*S53-R53-P53-O53-F53</f>
        <v>53.240000000000009</v>
      </c>
      <c r="U53" s="5"/>
      <c r="V53" s="1"/>
      <c r="W53" s="1"/>
      <c r="X53" s="1">
        <f t="shared" si="7"/>
        <v>14</v>
      </c>
      <c r="Y53" s="1">
        <f t="shared" si="8"/>
        <v>12.028148148148148</v>
      </c>
      <c r="Z53" s="1">
        <v>26</v>
      </c>
      <c r="AA53" s="1">
        <v>21</v>
      </c>
      <c r="AB53" s="1">
        <v>23.8</v>
      </c>
      <c r="AC53" s="1">
        <v>25</v>
      </c>
      <c r="AD53" s="1">
        <v>23</v>
      </c>
      <c r="AE53" s="1">
        <v>17.8</v>
      </c>
      <c r="AF53" s="1">
        <v>19.399999999999999</v>
      </c>
      <c r="AG53" s="1">
        <v>25.2</v>
      </c>
      <c r="AH53" s="1"/>
      <c r="AI53" s="1">
        <f t="shared" si="15"/>
        <v>5.3240000000000016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38</v>
      </c>
      <c r="C54" s="1">
        <v>831.57</v>
      </c>
      <c r="D54" s="1">
        <v>1721.836</v>
      </c>
      <c r="E54" s="1">
        <v>703.44399999999996</v>
      </c>
      <c r="F54" s="1">
        <v>875.05499999999995</v>
      </c>
      <c r="G54" s="8">
        <v>1</v>
      </c>
      <c r="H54" s="1">
        <v>50</v>
      </c>
      <c r="I54" s="1" t="s">
        <v>39</v>
      </c>
      <c r="J54" s="1"/>
      <c r="K54" s="1">
        <v>912.31600000000003</v>
      </c>
      <c r="L54" s="1">
        <f t="shared" si="13"/>
        <v>-208.87200000000007</v>
      </c>
      <c r="M54" s="1">
        <f t="shared" si="4"/>
        <v>703.44399999999996</v>
      </c>
      <c r="N54" s="1"/>
      <c r="O54" s="1">
        <v>0</v>
      </c>
      <c r="P54" s="1">
        <v>245.15235000000001</v>
      </c>
      <c r="Q54" s="1">
        <v>0</v>
      </c>
      <c r="R54" s="1">
        <v>474.11736799999977</v>
      </c>
      <c r="S54" s="1">
        <f t="shared" si="5"/>
        <v>140.68879999999999</v>
      </c>
      <c r="T54" s="5">
        <f t="shared" si="17"/>
        <v>375.31848200000002</v>
      </c>
      <c r="U54" s="5"/>
      <c r="V54" s="1"/>
      <c r="W54" s="1"/>
      <c r="X54" s="1">
        <f t="shared" si="7"/>
        <v>13.999999999999998</v>
      </c>
      <c r="Y54" s="1">
        <f t="shared" si="8"/>
        <v>11.33227888787167</v>
      </c>
      <c r="Z54" s="1">
        <v>132.6848</v>
      </c>
      <c r="AA54" s="1">
        <v>108.95659999999999</v>
      </c>
      <c r="AB54" s="1">
        <v>114.7846</v>
      </c>
      <c r="AC54" s="1">
        <v>101.64019999999999</v>
      </c>
      <c r="AD54" s="1">
        <v>65.553399999999982</v>
      </c>
      <c r="AE54" s="1">
        <v>91.80019999999999</v>
      </c>
      <c r="AF54" s="1">
        <v>77.473200000000006</v>
      </c>
      <c r="AG54" s="1">
        <v>85.9816</v>
      </c>
      <c r="AH54" s="1"/>
      <c r="AI54" s="1">
        <f t="shared" si="15"/>
        <v>375.31848200000002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38</v>
      </c>
      <c r="C55" s="1">
        <v>52.631999999999998</v>
      </c>
      <c r="D55" s="1">
        <v>78.488</v>
      </c>
      <c r="E55" s="1">
        <v>49.954999999999998</v>
      </c>
      <c r="F55" s="1">
        <v>42.07</v>
      </c>
      <c r="G55" s="8">
        <v>1</v>
      </c>
      <c r="H55" s="1">
        <v>50</v>
      </c>
      <c r="I55" s="1" t="s">
        <v>39</v>
      </c>
      <c r="J55" s="1"/>
      <c r="K55" s="1">
        <v>52.284999999999997</v>
      </c>
      <c r="L55" s="1">
        <f t="shared" si="13"/>
        <v>-2.3299999999999983</v>
      </c>
      <c r="M55" s="1">
        <f t="shared" si="4"/>
        <v>47.269999999999996</v>
      </c>
      <c r="N55" s="1">
        <v>2.6850000000000001</v>
      </c>
      <c r="O55" s="1">
        <v>3.5134000000000039</v>
      </c>
      <c r="P55" s="1"/>
      <c r="Q55" s="1">
        <v>0</v>
      </c>
      <c r="R55" s="1">
        <v>67.694024000000027</v>
      </c>
      <c r="S55" s="1">
        <f t="shared" si="5"/>
        <v>9.4539999999999988</v>
      </c>
      <c r="T55" s="5">
        <f t="shared" si="17"/>
        <v>19.078575999999963</v>
      </c>
      <c r="U55" s="5"/>
      <c r="V55" s="1"/>
      <c r="W55" s="1"/>
      <c r="X55" s="1">
        <f t="shared" si="7"/>
        <v>14.000000000000002</v>
      </c>
      <c r="Y55" s="1">
        <f t="shared" si="8"/>
        <v>11.981957266765395</v>
      </c>
      <c r="Z55" s="1">
        <v>8.9174000000000007</v>
      </c>
      <c r="AA55" s="1">
        <v>7.0279999999999996</v>
      </c>
      <c r="AB55" s="1">
        <v>7.0244</v>
      </c>
      <c r="AC55" s="1">
        <v>6.4551999999999996</v>
      </c>
      <c r="AD55" s="1">
        <v>7.2674000000000003</v>
      </c>
      <c r="AE55" s="1">
        <v>5.3938000000000006</v>
      </c>
      <c r="AF55" s="1">
        <v>4.0502000000000002</v>
      </c>
      <c r="AG55" s="1">
        <v>6.4906000000000006</v>
      </c>
      <c r="AH55" s="1" t="s">
        <v>97</v>
      </c>
      <c r="AI55" s="1">
        <f t="shared" si="15"/>
        <v>19.078575999999963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98</v>
      </c>
      <c r="B56" s="1" t="s">
        <v>43</v>
      </c>
      <c r="C56" s="1">
        <v>226</v>
      </c>
      <c r="D56" s="1">
        <v>90</v>
      </c>
      <c r="E56" s="1">
        <v>130</v>
      </c>
      <c r="F56" s="1">
        <v>95</v>
      </c>
      <c r="G56" s="8">
        <v>0.1</v>
      </c>
      <c r="H56" s="1">
        <v>730</v>
      </c>
      <c r="I56" s="1" t="s">
        <v>39</v>
      </c>
      <c r="J56" s="1"/>
      <c r="K56" s="1">
        <v>130</v>
      </c>
      <c r="L56" s="1">
        <f t="shared" si="13"/>
        <v>0</v>
      </c>
      <c r="M56" s="1">
        <f t="shared" si="4"/>
        <v>130</v>
      </c>
      <c r="N56" s="1"/>
      <c r="O56" s="1">
        <v>45</v>
      </c>
      <c r="P56" s="1"/>
      <c r="Q56" s="1">
        <v>0</v>
      </c>
      <c r="R56" s="1">
        <v>171.50399999999999</v>
      </c>
      <c r="S56" s="1">
        <f t="shared" si="5"/>
        <v>26</v>
      </c>
      <c r="T56" s="5">
        <f t="shared" si="17"/>
        <v>52.496000000000009</v>
      </c>
      <c r="U56" s="5"/>
      <c r="V56" s="1"/>
      <c r="W56" s="1"/>
      <c r="X56" s="1">
        <f t="shared" si="7"/>
        <v>14</v>
      </c>
      <c r="Y56" s="1">
        <f t="shared" si="8"/>
        <v>11.980923076923078</v>
      </c>
      <c r="Z56" s="1">
        <v>25.4</v>
      </c>
      <c r="AA56" s="1">
        <v>22</v>
      </c>
      <c r="AB56" s="1">
        <v>23.6</v>
      </c>
      <c r="AC56" s="1">
        <v>26.2</v>
      </c>
      <c r="AD56" s="1">
        <v>27.6</v>
      </c>
      <c r="AE56" s="1">
        <v>22.6</v>
      </c>
      <c r="AF56" s="1">
        <v>22.2</v>
      </c>
      <c r="AG56" s="1">
        <v>23.6</v>
      </c>
      <c r="AH56" s="1"/>
      <c r="AI56" s="1">
        <f t="shared" si="15"/>
        <v>5.2496000000000009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99</v>
      </c>
      <c r="B57" s="1" t="s">
        <v>43</v>
      </c>
      <c r="C57" s="1">
        <v>181</v>
      </c>
      <c r="D57" s="1">
        <v>50</v>
      </c>
      <c r="E57" s="1">
        <v>118.806</v>
      </c>
      <c r="F57" s="1">
        <v>81.194000000000003</v>
      </c>
      <c r="G57" s="8">
        <v>0.4</v>
      </c>
      <c r="H57" s="1">
        <v>50</v>
      </c>
      <c r="I57" s="1" t="s">
        <v>39</v>
      </c>
      <c r="J57" s="1"/>
      <c r="K57" s="1">
        <v>149</v>
      </c>
      <c r="L57" s="1">
        <f t="shared" si="13"/>
        <v>-30.194000000000003</v>
      </c>
      <c r="M57" s="1">
        <f t="shared" si="4"/>
        <v>108.806</v>
      </c>
      <c r="N57" s="1">
        <v>10</v>
      </c>
      <c r="O57" s="1">
        <v>98.199999999999989</v>
      </c>
      <c r="P57" s="1"/>
      <c r="Q57" s="1">
        <v>0</v>
      </c>
      <c r="R57" s="1">
        <v>59.016000000000012</v>
      </c>
      <c r="S57" s="1">
        <f t="shared" si="5"/>
        <v>21.761199999999999</v>
      </c>
      <c r="T57" s="5">
        <f t="shared" si="17"/>
        <v>66.246799999999965</v>
      </c>
      <c r="U57" s="5"/>
      <c r="V57" s="1"/>
      <c r="W57" s="1"/>
      <c r="X57" s="1">
        <f t="shared" si="7"/>
        <v>14</v>
      </c>
      <c r="Y57" s="1">
        <f t="shared" si="8"/>
        <v>10.955737735051377</v>
      </c>
      <c r="Z57" s="1">
        <v>21.6</v>
      </c>
      <c r="AA57" s="1">
        <v>23.8</v>
      </c>
      <c r="AB57" s="1">
        <v>22</v>
      </c>
      <c r="AC57" s="1">
        <v>25.4</v>
      </c>
      <c r="AD57" s="1">
        <v>27.4</v>
      </c>
      <c r="AE57" s="1">
        <v>33.6</v>
      </c>
      <c r="AF57" s="1">
        <v>26</v>
      </c>
      <c r="AG57" s="1">
        <v>33.799999999999997</v>
      </c>
      <c r="AH57" s="1"/>
      <c r="AI57" s="1">
        <f t="shared" si="15"/>
        <v>26.498719999999988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38</v>
      </c>
      <c r="C58" s="1">
        <v>62.643999999999998</v>
      </c>
      <c r="D58" s="1"/>
      <c r="E58" s="1">
        <v>50.167999999999999</v>
      </c>
      <c r="F58" s="1">
        <v>12.476000000000001</v>
      </c>
      <c r="G58" s="8">
        <v>1</v>
      </c>
      <c r="H58" s="1">
        <v>40</v>
      </c>
      <c r="I58" s="1" t="s">
        <v>39</v>
      </c>
      <c r="J58" s="1"/>
      <c r="K58" s="1">
        <v>46.8</v>
      </c>
      <c r="L58" s="1">
        <f t="shared" si="13"/>
        <v>3.3680000000000021</v>
      </c>
      <c r="M58" s="1">
        <f t="shared" si="4"/>
        <v>50.167999999999999</v>
      </c>
      <c r="N58" s="1"/>
      <c r="O58" s="1">
        <v>33.108800000000009</v>
      </c>
      <c r="P58" s="1"/>
      <c r="Q58" s="1">
        <v>0</v>
      </c>
      <c r="R58" s="1">
        <v>113.317768</v>
      </c>
      <c r="S58" s="1">
        <f t="shared" si="5"/>
        <v>10.0336</v>
      </c>
      <c r="T58" s="5"/>
      <c r="U58" s="5"/>
      <c r="V58" s="1"/>
      <c r="W58" s="1"/>
      <c r="X58" s="1">
        <f t="shared" si="7"/>
        <v>15.837044331047681</v>
      </c>
      <c r="Y58" s="1">
        <f t="shared" si="8"/>
        <v>15.837044331047681</v>
      </c>
      <c r="Z58" s="1">
        <v>14.316800000000001</v>
      </c>
      <c r="AA58" s="1">
        <v>7.9794</v>
      </c>
      <c r="AB58" s="1">
        <v>6.9054000000000002</v>
      </c>
      <c r="AC58" s="1">
        <v>6.2113999999999994</v>
      </c>
      <c r="AD58" s="1">
        <v>4.8975999999999997</v>
      </c>
      <c r="AE58" s="1">
        <v>6.1856000000000009</v>
      </c>
      <c r="AF58" s="1">
        <v>10.2956</v>
      </c>
      <c r="AG58" s="1">
        <v>1.349</v>
      </c>
      <c r="AH58" s="1"/>
      <c r="AI58" s="1">
        <f t="shared" si="15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101</v>
      </c>
      <c r="B59" s="1" t="s">
        <v>38</v>
      </c>
      <c r="C59" s="1">
        <v>75.602999999999994</v>
      </c>
      <c r="D59" s="1"/>
      <c r="E59" s="1">
        <v>12.218</v>
      </c>
      <c r="F59" s="1">
        <v>63.384999999999998</v>
      </c>
      <c r="G59" s="8">
        <v>1</v>
      </c>
      <c r="H59" s="1">
        <v>40</v>
      </c>
      <c r="I59" s="1" t="s">
        <v>39</v>
      </c>
      <c r="J59" s="1"/>
      <c r="K59" s="1">
        <v>11.8</v>
      </c>
      <c r="L59" s="1">
        <f t="shared" si="13"/>
        <v>0.41799999999999926</v>
      </c>
      <c r="M59" s="1">
        <f t="shared" si="4"/>
        <v>12.218</v>
      </c>
      <c r="N59" s="1"/>
      <c r="O59" s="1">
        <v>0</v>
      </c>
      <c r="P59" s="1"/>
      <c r="Q59" s="1">
        <v>0</v>
      </c>
      <c r="R59" s="1">
        <v>0</v>
      </c>
      <c r="S59" s="1">
        <f t="shared" si="5"/>
        <v>2.4436</v>
      </c>
      <c r="T59" s="5"/>
      <c r="U59" s="5"/>
      <c r="V59" s="1"/>
      <c r="W59" s="1"/>
      <c r="X59" s="1">
        <f t="shared" si="7"/>
        <v>25.939188083155997</v>
      </c>
      <c r="Y59" s="1">
        <f t="shared" si="8"/>
        <v>25.939188083155997</v>
      </c>
      <c r="Z59" s="1">
        <v>1.631</v>
      </c>
      <c r="AA59" s="1">
        <v>1.9201999999999999</v>
      </c>
      <c r="AB59" s="1">
        <v>4.9551999999999996</v>
      </c>
      <c r="AC59" s="1">
        <v>5.2279999999999998</v>
      </c>
      <c r="AD59" s="1">
        <v>3.0215999999999998</v>
      </c>
      <c r="AE59" s="1">
        <v>1.9358</v>
      </c>
      <c r="AF59" s="1">
        <v>1.9308000000000001</v>
      </c>
      <c r="AG59" s="1">
        <v>1.0986</v>
      </c>
      <c r="AH59" s="22" t="s">
        <v>125</v>
      </c>
      <c r="AI59" s="1">
        <f t="shared" si="15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102</v>
      </c>
      <c r="B60" s="1" t="s">
        <v>43</v>
      </c>
      <c r="C60" s="1">
        <v>912</v>
      </c>
      <c r="D60" s="1">
        <v>654</v>
      </c>
      <c r="E60" s="1">
        <v>936</v>
      </c>
      <c r="F60" s="1">
        <v>359</v>
      </c>
      <c r="G60" s="8">
        <v>0.4</v>
      </c>
      <c r="H60" s="1">
        <v>40</v>
      </c>
      <c r="I60" s="1" t="s">
        <v>39</v>
      </c>
      <c r="J60" s="1"/>
      <c r="K60" s="1">
        <v>1268</v>
      </c>
      <c r="L60" s="1">
        <f t="shared" si="13"/>
        <v>-332</v>
      </c>
      <c r="M60" s="1">
        <f t="shared" si="4"/>
        <v>912</v>
      </c>
      <c r="N60" s="1">
        <v>24</v>
      </c>
      <c r="O60" s="1">
        <v>434.59999999999951</v>
      </c>
      <c r="P60" s="1"/>
      <c r="Q60" s="1">
        <v>0</v>
      </c>
      <c r="R60" s="1">
        <v>970.62400000000048</v>
      </c>
      <c r="S60" s="1">
        <f t="shared" si="5"/>
        <v>182.4</v>
      </c>
      <c r="T60" s="5">
        <f t="shared" ref="T60:T64" si="18">12*S60-R60-P60-O60-F60</f>
        <v>424.57600000000025</v>
      </c>
      <c r="U60" s="5"/>
      <c r="V60" s="1"/>
      <c r="W60" s="1"/>
      <c r="X60" s="1">
        <f t="shared" si="7"/>
        <v>12</v>
      </c>
      <c r="Y60" s="1">
        <f t="shared" si="8"/>
        <v>9.672280701754385</v>
      </c>
      <c r="Z60" s="1">
        <v>162.4</v>
      </c>
      <c r="AA60" s="1">
        <v>141</v>
      </c>
      <c r="AB60" s="1">
        <v>149.19999999999999</v>
      </c>
      <c r="AC60" s="1">
        <v>132.6</v>
      </c>
      <c r="AD60" s="1">
        <v>109.2</v>
      </c>
      <c r="AE60" s="1">
        <v>108.4</v>
      </c>
      <c r="AF60" s="1">
        <v>128.19999999999999</v>
      </c>
      <c r="AG60" s="1">
        <v>117.8</v>
      </c>
      <c r="AH60" s="1"/>
      <c r="AI60" s="1">
        <f t="shared" si="15"/>
        <v>169.83040000000011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103</v>
      </c>
      <c r="B61" s="1" t="s">
        <v>43</v>
      </c>
      <c r="C61" s="1">
        <v>550</v>
      </c>
      <c r="D61" s="1">
        <v>539</v>
      </c>
      <c r="E61" s="1">
        <v>572</v>
      </c>
      <c r="F61" s="1">
        <v>334</v>
      </c>
      <c r="G61" s="8">
        <v>0.4</v>
      </c>
      <c r="H61" s="1">
        <v>40</v>
      </c>
      <c r="I61" s="1" t="s">
        <v>39</v>
      </c>
      <c r="J61" s="1"/>
      <c r="K61" s="1">
        <v>708</v>
      </c>
      <c r="L61" s="1">
        <f t="shared" si="13"/>
        <v>-136</v>
      </c>
      <c r="M61" s="1">
        <f t="shared" si="4"/>
        <v>572</v>
      </c>
      <c r="N61" s="1"/>
      <c r="O61" s="1">
        <v>387.40000000000009</v>
      </c>
      <c r="P61" s="1"/>
      <c r="Q61" s="1">
        <v>0</v>
      </c>
      <c r="R61" s="1">
        <v>531.82400000000007</v>
      </c>
      <c r="S61" s="1">
        <f t="shared" si="5"/>
        <v>114.4</v>
      </c>
      <c r="T61" s="5">
        <f t="shared" si="18"/>
        <v>119.57600000000002</v>
      </c>
      <c r="U61" s="5"/>
      <c r="V61" s="1"/>
      <c r="W61" s="1"/>
      <c r="X61" s="1">
        <f t="shared" si="7"/>
        <v>12.000000000000002</v>
      </c>
      <c r="Y61" s="1">
        <f t="shared" si="8"/>
        <v>10.954755244755246</v>
      </c>
      <c r="Z61" s="1">
        <v>112.4</v>
      </c>
      <c r="AA61" s="1">
        <v>104.4</v>
      </c>
      <c r="AB61" s="1">
        <v>112</v>
      </c>
      <c r="AC61" s="1">
        <v>91.2</v>
      </c>
      <c r="AD61" s="1">
        <v>82</v>
      </c>
      <c r="AE61" s="1">
        <v>82.2</v>
      </c>
      <c r="AF61" s="1">
        <v>90</v>
      </c>
      <c r="AG61" s="1">
        <v>89</v>
      </c>
      <c r="AH61" s="1"/>
      <c r="AI61" s="1">
        <f t="shared" si="15"/>
        <v>47.830400000000012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104</v>
      </c>
      <c r="B62" s="1" t="s">
        <v>38</v>
      </c>
      <c r="C62" s="1">
        <v>1053.8599999999999</v>
      </c>
      <c r="D62" s="1">
        <v>781.66899999999998</v>
      </c>
      <c r="E62" s="1">
        <v>654.44600000000003</v>
      </c>
      <c r="F62" s="1">
        <v>660.71100000000001</v>
      </c>
      <c r="G62" s="8">
        <v>1</v>
      </c>
      <c r="H62" s="1">
        <v>40</v>
      </c>
      <c r="I62" s="1" t="s">
        <v>39</v>
      </c>
      <c r="J62" s="1"/>
      <c r="K62" s="1">
        <v>1056.4639999999999</v>
      </c>
      <c r="L62" s="1">
        <f t="shared" si="13"/>
        <v>-402.01799999999992</v>
      </c>
      <c r="M62" s="1">
        <f t="shared" si="4"/>
        <v>654.44600000000003</v>
      </c>
      <c r="N62" s="1"/>
      <c r="O62" s="1">
        <v>643.05699999999968</v>
      </c>
      <c r="P62" s="1"/>
      <c r="Q62" s="1">
        <v>0</v>
      </c>
      <c r="R62" s="1">
        <v>350.81768800000009</v>
      </c>
      <c r="S62" s="1">
        <f t="shared" si="5"/>
        <v>130.88920000000002</v>
      </c>
      <c r="T62" s="5"/>
      <c r="U62" s="5"/>
      <c r="V62" s="1"/>
      <c r="W62" s="1"/>
      <c r="X62" s="1">
        <f t="shared" si="7"/>
        <v>12.641116975273739</v>
      </c>
      <c r="Y62" s="1">
        <f t="shared" si="8"/>
        <v>12.641116975273739</v>
      </c>
      <c r="Z62" s="1">
        <v>145.9238</v>
      </c>
      <c r="AA62" s="1">
        <v>154.0566</v>
      </c>
      <c r="AB62" s="1">
        <v>143.7722</v>
      </c>
      <c r="AC62" s="1">
        <v>147.16999999999999</v>
      </c>
      <c r="AD62" s="1">
        <v>132.55840000000001</v>
      </c>
      <c r="AE62" s="1">
        <v>118.876</v>
      </c>
      <c r="AF62" s="1">
        <v>86.885599999999997</v>
      </c>
      <c r="AG62" s="1">
        <v>134.798</v>
      </c>
      <c r="AH62" s="1"/>
      <c r="AI62" s="1">
        <f t="shared" si="15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105</v>
      </c>
      <c r="B63" s="1" t="s">
        <v>38</v>
      </c>
      <c r="C63" s="1">
        <v>385.26600000000002</v>
      </c>
      <c r="D63" s="1">
        <v>180.803</v>
      </c>
      <c r="E63" s="1">
        <v>316.81700000000001</v>
      </c>
      <c r="F63" s="1">
        <v>66.655000000000001</v>
      </c>
      <c r="G63" s="8">
        <v>1</v>
      </c>
      <c r="H63" s="1">
        <v>40</v>
      </c>
      <c r="I63" s="1" t="s">
        <v>39</v>
      </c>
      <c r="J63" s="1"/>
      <c r="K63" s="1">
        <v>447.85</v>
      </c>
      <c r="L63" s="1">
        <f t="shared" si="13"/>
        <v>-131.03300000000002</v>
      </c>
      <c r="M63" s="1">
        <f t="shared" si="4"/>
        <v>193.86700000000002</v>
      </c>
      <c r="N63" s="1">
        <v>122.95</v>
      </c>
      <c r="O63" s="1">
        <v>0</v>
      </c>
      <c r="P63" s="1"/>
      <c r="Q63" s="1">
        <v>0</v>
      </c>
      <c r="R63" s="1">
        <v>240.75049600000011</v>
      </c>
      <c r="S63" s="1">
        <f t="shared" si="5"/>
        <v>38.773400000000002</v>
      </c>
      <c r="T63" s="5">
        <f t="shared" si="18"/>
        <v>157.87530399999989</v>
      </c>
      <c r="U63" s="5"/>
      <c r="V63" s="1"/>
      <c r="W63" s="1"/>
      <c r="X63" s="1">
        <f t="shared" si="7"/>
        <v>12</v>
      </c>
      <c r="Y63" s="1">
        <f t="shared" si="8"/>
        <v>7.9282574135876676</v>
      </c>
      <c r="Z63" s="1">
        <v>30.109600000000011</v>
      </c>
      <c r="AA63" s="1">
        <v>11.0832</v>
      </c>
      <c r="AB63" s="1">
        <v>20.750800000000002</v>
      </c>
      <c r="AC63" s="1">
        <v>39.793799999999997</v>
      </c>
      <c r="AD63" s="1">
        <v>35.145799999999987</v>
      </c>
      <c r="AE63" s="1">
        <v>28.92</v>
      </c>
      <c r="AF63" s="1">
        <v>35.021999999999998</v>
      </c>
      <c r="AG63" s="1">
        <v>38.9268</v>
      </c>
      <c r="AH63" s="1"/>
      <c r="AI63" s="1">
        <f t="shared" si="15"/>
        <v>157.87530399999989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106</v>
      </c>
      <c r="B64" s="1" t="s">
        <v>38</v>
      </c>
      <c r="C64" s="1">
        <v>93.518000000000001</v>
      </c>
      <c r="D64" s="1">
        <v>212.52</v>
      </c>
      <c r="E64" s="1">
        <v>216.19</v>
      </c>
      <c r="F64" s="1">
        <v>12.532</v>
      </c>
      <c r="G64" s="8">
        <v>1</v>
      </c>
      <c r="H64" s="1">
        <v>40</v>
      </c>
      <c r="I64" s="1" t="s">
        <v>39</v>
      </c>
      <c r="J64" s="1"/>
      <c r="K64" s="1">
        <v>456.92700000000002</v>
      </c>
      <c r="L64" s="1">
        <f t="shared" si="13"/>
        <v>-240.73700000000002</v>
      </c>
      <c r="M64" s="1">
        <f t="shared" si="4"/>
        <v>139.77199999999999</v>
      </c>
      <c r="N64" s="1">
        <v>76.418000000000006</v>
      </c>
      <c r="O64" s="1">
        <v>135.4467999999998</v>
      </c>
      <c r="P64" s="1"/>
      <c r="Q64" s="1">
        <v>0</v>
      </c>
      <c r="R64" s="1">
        <v>0</v>
      </c>
      <c r="S64" s="1">
        <f t="shared" si="5"/>
        <v>27.9544</v>
      </c>
      <c r="T64" s="5">
        <f t="shared" si="18"/>
        <v>187.47400000000022</v>
      </c>
      <c r="U64" s="5"/>
      <c r="V64" s="1"/>
      <c r="W64" s="1"/>
      <c r="X64" s="1">
        <f t="shared" si="7"/>
        <v>12.000000000000002</v>
      </c>
      <c r="Y64" s="1">
        <f t="shared" si="8"/>
        <v>5.2935781129267596</v>
      </c>
      <c r="Z64" s="1">
        <v>15.6214</v>
      </c>
      <c r="AA64" s="1">
        <v>30.359200000000001</v>
      </c>
      <c r="AB64" s="1">
        <v>25.82180000000001</v>
      </c>
      <c r="AC64" s="1">
        <v>32.968800000000002</v>
      </c>
      <c r="AD64" s="1">
        <v>35.78860000000001</v>
      </c>
      <c r="AE64" s="1">
        <v>48.407200000000003</v>
      </c>
      <c r="AF64" s="1">
        <v>42.871199999999988</v>
      </c>
      <c r="AG64" s="1">
        <v>60.671799999999998</v>
      </c>
      <c r="AH64" s="1"/>
      <c r="AI64" s="1">
        <f t="shared" si="15"/>
        <v>187.47400000000022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107</v>
      </c>
      <c r="B65" s="1" t="s">
        <v>38</v>
      </c>
      <c r="C65" s="1">
        <v>71.680999999999997</v>
      </c>
      <c r="D65" s="1">
        <v>119.57899999999999</v>
      </c>
      <c r="E65" s="1">
        <v>80.650999999999996</v>
      </c>
      <c r="F65" s="1">
        <v>58.841999999999999</v>
      </c>
      <c r="G65" s="8">
        <v>1</v>
      </c>
      <c r="H65" s="1">
        <v>30</v>
      </c>
      <c r="I65" s="1" t="s">
        <v>39</v>
      </c>
      <c r="J65" s="1"/>
      <c r="K65" s="1">
        <v>85.02</v>
      </c>
      <c r="L65" s="1">
        <f t="shared" si="13"/>
        <v>-4.3689999999999998</v>
      </c>
      <c r="M65" s="1">
        <f t="shared" si="4"/>
        <v>80.650999999999996</v>
      </c>
      <c r="N65" s="1"/>
      <c r="O65" s="1">
        <v>37.347199999999987</v>
      </c>
      <c r="P65" s="1"/>
      <c r="Q65" s="1">
        <v>0</v>
      </c>
      <c r="R65" s="1">
        <v>26.324743999999999</v>
      </c>
      <c r="S65" s="1">
        <f t="shared" si="5"/>
        <v>16.130199999999999</v>
      </c>
      <c r="T65" s="5">
        <f>11*S65-R65-P65-O65-F65</f>
        <v>54.918256</v>
      </c>
      <c r="U65" s="5"/>
      <c r="V65" s="1"/>
      <c r="W65" s="1"/>
      <c r="X65" s="1">
        <f t="shared" si="7"/>
        <v>10.999999999999998</v>
      </c>
      <c r="Y65" s="1">
        <f t="shared" si="8"/>
        <v>7.595314627220989</v>
      </c>
      <c r="Z65" s="1">
        <v>12.4094</v>
      </c>
      <c r="AA65" s="1">
        <v>14.855</v>
      </c>
      <c r="AB65" s="1">
        <v>16.055199999999999</v>
      </c>
      <c r="AC65" s="1">
        <v>11.606999999999999</v>
      </c>
      <c r="AD65" s="1">
        <v>9.7897999999999996</v>
      </c>
      <c r="AE65" s="1">
        <v>10.714600000000001</v>
      </c>
      <c r="AF65" s="1">
        <v>10.331799999999999</v>
      </c>
      <c r="AG65" s="1">
        <v>9.1194000000000006</v>
      </c>
      <c r="AH65" s="1"/>
      <c r="AI65" s="1">
        <f t="shared" si="15"/>
        <v>54.918256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108</v>
      </c>
      <c r="B66" s="1" t="s">
        <v>43</v>
      </c>
      <c r="C66" s="1">
        <v>179</v>
      </c>
      <c r="D66" s="1">
        <v>104</v>
      </c>
      <c r="E66" s="1">
        <v>285</v>
      </c>
      <c r="F66" s="1">
        <v>-2</v>
      </c>
      <c r="G66" s="8">
        <v>0.6</v>
      </c>
      <c r="H66" s="1">
        <v>60</v>
      </c>
      <c r="I66" s="11" t="s">
        <v>109</v>
      </c>
      <c r="J66" s="1"/>
      <c r="K66" s="1">
        <v>291</v>
      </c>
      <c r="L66" s="1">
        <f t="shared" si="13"/>
        <v>-6</v>
      </c>
      <c r="M66" s="1">
        <f t="shared" si="4"/>
        <v>285</v>
      </c>
      <c r="N66" s="1"/>
      <c r="O66" s="1">
        <v>126.6</v>
      </c>
      <c r="P66" s="1"/>
      <c r="Q66" s="1">
        <v>0</v>
      </c>
      <c r="R66" s="1">
        <v>251.32</v>
      </c>
      <c r="S66" s="1">
        <f t="shared" si="5"/>
        <v>57</v>
      </c>
      <c r="T66" s="5">
        <f t="shared" si="17"/>
        <v>422.08000000000004</v>
      </c>
      <c r="U66" s="5"/>
      <c r="V66" s="1"/>
      <c r="W66" s="1"/>
      <c r="X66" s="1">
        <f t="shared" si="7"/>
        <v>14</v>
      </c>
      <c r="Y66" s="1">
        <f t="shared" si="8"/>
        <v>6.5950877192982453</v>
      </c>
      <c r="Z66" s="1">
        <v>42</v>
      </c>
      <c r="AA66" s="1">
        <v>33.799999999999997</v>
      </c>
      <c r="AB66" s="1">
        <v>18.2</v>
      </c>
      <c r="AC66" s="1">
        <v>16.2</v>
      </c>
      <c r="AD66" s="1">
        <v>15.6</v>
      </c>
      <c r="AE66" s="1">
        <v>19.399999999999999</v>
      </c>
      <c r="AF66" s="1">
        <v>21.4</v>
      </c>
      <c r="AG66" s="1">
        <v>21.4</v>
      </c>
      <c r="AH66" s="1" t="s">
        <v>44</v>
      </c>
      <c r="AI66" s="1">
        <f t="shared" si="15"/>
        <v>253.24800000000002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5" t="s">
        <v>110</v>
      </c>
      <c r="B67" s="15" t="s">
        <v>43</v>
      </c>
      <c r="C67" s="15"/>
      <c r="D67" s="15"/>
      <c r="E67" s="15"/>
      <c r="F67" s="15"/>
      <c r="G67" s="16">
        <v>0</v>
      </c>
      <c r="H67" s="15">
        <v>50</v>
      </c>
      <c r="I67" s="15" t="s">
        <v>39</v>
      </c>
      <c r="J67" s="15"/>
      <c r="K67" s="15"/>
      <c r="L67" s="15">
        <f t="shared" si="13"/>
        <v>0</v>
      </c>
      <c r="M67" s="15">
        <f t="shared" si="4"/>
        <v>0</v>
      </c>
      <c r="N67" s="15"/>
      <c r="O67" s="15">
        <v>0</v>
      </c>
      <c r="P67" s="15"/>
      <c r="Q67" s="15">
        <v>0</v>
      </c>
      <c r="R67" s="15">
        <v>0</v>
      </c>
      <c r="S67" s="15">
        <f t="shared" si="5"/>
        <v>0</v>
      </c>
      <c r="T67" s="17"/>
      <c r="U67" s="17"/>
      <c r="V67" s="15"/>
      <c r="W67" s="15"/>
      <c r="X67" s="15" t="e">
        <f t="shared" si="7"/>
        <v>#DIV/0!</v>
      </c>
      <c r="Y67" s="15" t="e">
        <f t="shared" si="8"/>
        <v>#DIV/0!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 t="s">
        <v>55</v>
      </c>
      <c r="AI67" s="15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5" t="s">
        <v>111</v>
      </c>
      <c r="B68" s="15" t="s">
        <v>43</v>
      </c>
      <c r="C68" s="15"/>
      <c r="D68" s="15"/>
      <c r="E68" s="15"/>
      <c r="F68" s="15"/>
      <c r="G68" s="16">
        <v>0</v>
      </c>
      <c r="H68" s="15">
        <v>30</v>
      </c>
      <c r="I68" s="15" t="s">
        <v>39</v>
      </c>
      <c r="J68" s="15"/>
      <c r="K68" s="15"/>
      <c r="L68" s="15">
        <f t="shared" si="13"/>
        <v>0</v>
      </c>
      <c r="M68" s="15">
        <f t="shared" si="4"/>
        <v>0</v>
      </c>
      <c r="N68" s="15"/>
      <c r="O68" s="15">
        <v>0</v>
      </c>
      <c r="P68" s="15"/>
      <c r="Q68" s="15">
        <v>0</v>
      </c>
      <c r="R68" s="15">
        <v>0</v>
      </c>
      <c r="S68" s="15">
        <f t="shared" si="5"/>
        <v>0</v>
      </c>
      <c r="T68" s="17"/>
      <c r="U68" s="17"/>
      <c r="V68" s="15"/>
      <c r="W68" s="15"/>
      <c r="X68" s="15" t="e">
        <f t="shared" si="7"/>
        <v>#DIV/0!</v>
      </c>
      <c r="Y68" s="15" t="e">
        <f t="shared" si="8"/>
        <v>#DIV/0!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 t="s">
        <v>55</v>
      </c>
      <c r="AI68" s="15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112</v>
      </c>
      <c r="B69" s="1" t="s">
        <v>43</v>
      </c>
      <c r="C69" s="1">
        <v>127</v>
      </c>
      <c r="D69" s="1">
        <v>104</v>
      </c>
      <c r="E69" s="1">
        <v>153</v>
      </c>
      <c r="F69" s="1">
        <v>77</v>
      </c>
      <c r="G69" s="8">
        <v>0.6</v>
      </c>
      <c r="H69" s="1">
        <v>55</v>
      </c>
      <c r="I69" s="11" t="s">
        <v>109</v>
      </c>
      <c r="J69" s="1"/>
      <c r="K69" s="1">
        <v>154</v>
      </c>
      <c r="L69" s="1">
        <f t="shared" si="13"/>
        <v>-1</v>
      </c>
      <c r="M69" s="1">
        <f t="shared" si="4"/>
        <v>153</v>
      </c>
      <c r="N69" s="1"/>
      <c r="O69" s="1">
        <v>145</v>
      </c>
      <c r="P69" s="1"/>
      <c r="Q69" s="1">
        <v>0</v>
      </c>
      <c r="R69" s="1">
        <v>208.624</v>
      </c>
      <c r="S69" s="1">
        <f t="shared" si="5"/>
        <v>30.6</v>
      </c>
      <c r="T69" s="5"/>
      <c r="U69" s="5"/>
      <c r="V69" s="1"/>
      <c r="W69" s="1"/>
      <c r="X69" s="1">
        <f t="shared" si="7"/>
        <v>14.072679738562092</v>
      </c>
      <c r="Y69" s="1">
        <f t="shared" si="8"/>
        <v>14.072679738562092</v>
      </c>
      <c r="Z69" s="1">
        <v>37.4</v>
      </c>
      <c r="AA69" s="1">
        <v>31</v>
      </c>
      <c r="AB69" s="1">
        <v>16</v>
      </c>
      <c r="AC69" s="1">
        <v>12.4</v>
      </c>
      <c r="AD69" s="1">
        <v>10</v>
      </c>
      <c r="AE69" s="1">
        <v>10.6</v>
      </c>
      <c r="AF69" s="1">
        <v>15.2</v>
      </c>
      <c r="AG69" s="1">
        <v>16.399999999999999</v>
      </c>
      <c r="AH69" s="1"/>
      <c r="AI69" s="1">
        <f>G69*T69</f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5" t="s">
        <v>113</v>
      </c>
      <c r="B70" s="15" t="s">
        <v>43</v>
      </c>
      <c r="C70" s="15"/>
      <c r="D70" s="15"/>
      <c r="E70" s="15"/>
      <c r="F70" s="15"/>
      <c r="G70" s="16">
        <v>0</v>
      </c>
      <c r="H70" s="15">
        <v>40</v>
      </c>
      <c r="I70" s="15" t="s">
        <v>39</v>
      </c>
      <c r="J70" s="15"/>
      <c r="K70" s="15"/>
      <c r="L70" s="15">
        <f t="shared" ref="L70:L94" si="19">E70-K70</f>
        <v>0</v>
      </c>
      <c r="M70" s="15">
        <f t="shared" si="4"/>
        <v>0</v>
      </c>
      <c r="N70" s="15"/>
      <c r="O70" s="15">
        <v>0</v>
      </c>
      <c r="P70" s="15"/>
      <c r="Q70" s="15">
        <v>0</v>
      </c>
      <c r="R70" s="15">
        <v>0</v>
      </c>
      <c r="S70" s="15">
        <f t="shared" si="5"/>
        <v>0</v>
      </c>
      <c r="T70" s="17"/>
      <c r="U70" s="17"/>
      <c r="V70" s="15"/>
      <c r="W70" s="15"/>
      <c r="X70" s="15" t="e">
        <f t="shared" si="7"/>
        <v>#DIV/0!</v>
      </c>
      <c r="Y70" s="15" t="e">
        <f t="shared" si="8"/>
        <v>#DIV/0!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 t="s">
        <v>114</v>
      </c>
      <c r="AI70" s="15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115</v>
      </c>
      <c r="B71" s="1" t="s">
        <v>43</v>
      </c>
      <c r="C71" s="1">
        <v>76</v>
      </c>
      <c r="D71" s="1">
        <v>24</v>
      </c>
      <c r="E71" s="1">
        <v>46</v>
      </c>
      <c r="F71" s="1">
        <v>29</v>
      </c>
      <c r="G71" s="8">
        <v>0.4</v>
      </c>
      <c r="H71" s="1">
        <v>50</v>
      </c>
      <c r="I71" s="1" t="s">
        <v>39</v>
      </c>
      <c r="J71" s="1"/>
      <c r="K71" s="1">
        <v>48</v>
      </c>
      <c r="L71" s="1">
        <f t="shared" si="19"/>
        <v>-2</v>
      </c>
      <c r="M71" s="1">
        <f t="shared" ref="M71:M94" si="20">E71-N71</f>
        <v>46</v>
      </c>
      <c r="N71" s="1"/>
      <c r="O71" s="1">
        <v>39.600000000000009</v>
      </c>
      <c r="P71" s="1"/>
      <c r="Q71" s="1">
        <v>0</v>
      </c>
      <c r="R71" s="1">
        <v>34.399999999999991</v>
      </c>
      <c r="S71" s="1">
        <f t="shared" ref="S71:S94" si="21">M71/5</f>
        <v>9.1999999999999993</v>
      </c>
      <c r="T71" s="5">
        <f>14*S71-R71-P71-O71-F71</f>
        <v>25.799999999999983</v>
      </c>
      <c r="U71" s="5"/>
      <c r="V71" s="1"/>
      <c r="W71" s="1"/>
      <c r="X71" s="1">
        <f t="shared" ref="X71:X94" si="22">(F71+O71+P71+R71+T71)/S71</f>
        <v>14</v>
      </c>
      <c r="Y71" s="1">
        <f t="shared" ref="Y71:Y94" si="23">(F71+O71+P71+R71)/S71</f>
        <v>11.195652173913045</v>
      </c>
      <c r="Z71" s="1">
        <v>8.6</v>
      </c>
      <c r="AA71" s="1">
        <v>9.8000000000000007</v>
      </c>
      <c r="AB71" s="1">
        <v>8.4</v>
      </c>
      <c r="AC71" s="1">
        <v>7.4</v>
      </c>
      <c r="AD71" s="1">
        <v>12</v>
      </c>
      <c r="AE71" s="1">
        <v>12</v>
      </c>
      <c r="AF71" s="1">
        <v>9</v>
      </c>
      <c r="AG71" s="1">
        <v>13.4</v>
      </c>
      <c r="AH71" s="1" t="s">
        <v>44</v>
      </c>
      <c r="AI71" s="1">
        <f>G71*T71</f>
        <v>10.319999999999993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5" t="s">
        <v>116</v>
      </c>
      <c r="B72" s="15" t="s">
        <v>43</v>
      </c>
      <c r="C72" s="15"/>
      <c r="D72" s="15"/>
      <c r="E72" s="15"/>
      <c r="F72" s="15"/>
      <c r="G72" s="16">
        <v>0</v>
      </c>
      <c r="H72" s="15">
        <v>55</v>
      </c>
      <c r="I72" s="15" t="s">
        <v>39</v>
      </c>
      <c r="J72" s="15"/>
      <c r="K72" s="15"/>
      <c r="L72" s="15">
        <f t="shared" si="19"/>
        <v>0</v>
      </c>
      <c r="M72" s="15">
        <f t="shared" si="20"/>
        <v>0</v>
      </c>
      <c r="N72" s="15"/>
      <c r="O72" s="15">
        <v>0</v>
      </c>
      <c r="P72" s="15"/>
      <c r="Q72" s="15">
        <v>0</v>
      </c>
      <c r="R72" s="15">
        <v>0</v>
      </c>
      <c r="S72" s="15">
        <f t="shared" si="21"/>
        <v>0</v>
      </c>
      <c r="T72" s="17"/>
      <c r="U72" s="17"/>
      <c r="V72" s="15"/>
      <c r="W72" s="15"/>
      <c r="X72" s="15" t="e">
        <f t="shared" si="22"/>
        <v>#DIV/0!</v>
      </c>
      <c r="Y72" s="15" t="e">
        <f t="shared" si="23"/>
        <v>#DIV/0!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 t="s">
        <v>117</v>
      </c>
      <c r="AI72" s="15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118</v>
      </c>
      <c r="B73" s="1" t="s">
        <v>38</v>
      </c>
      <c r="C73" s="1">
        <v>21.468</v>
      </c>
      <c r="D73" s="1"/>
      <c r="E73" s="1">
        <v>5.742</v>
      </c>
      <c r="F73" s="1">
        <v>15.726000000000001</v>
      </c>
      <c r="G73" s="8">
        <v>1</v>
      </c>
      <c r="H73" s="1">
        <v>55</v>
      </c>
      <c r="I73" s="1" t="s">
        <v>39</v>
      </c>
      <c r="J73" s="1"/>
      <c r="K73" s="1">
        <v>5.2</v>
      </c>
      <c r="L73" s="1">
        <f t="shared" si="19"/>
        <v>0.54199999999999982</v>
      </c>
      <c r="M73" s="1">
        <f t="shared" si="20"/>
        <v>5.742</v>
      </c>
      <c r="N73" s="1"/>
      <c r="O73" s="1">
        <v>0</v>
      </c>
      <c r="P73" s="1"/>
      <c r="Q73" s="1">
        <v>0</v>
      </c>
      <c r="R73" s="1">
        <v>4</v>
      </c>
      <c r="S73" s="1">
        <f t="shared" si="21"/>
        <v>1.1484000000000001</v>
      </c>
      <c r="T73" s="5"/>
      <c r="U73" s="5"/>
      <c r="V73" s="1"/>
      <c r="W73" s="1"/>
      <c r="X73" s="1">
        <f t="shared" si="22"/>
        <v>17.176941832114245</v>
      </c>
      <c r="Y73" s="1">
        <f t="shared" si="23"/>
        <v>17.176941832114245</v>
      </c>
      <c r="Z73" s="1">
        <v>1.4388000000000001</v>
      </c>
      <c r="AA73" s="1">
        <v>1.7248000000000001</v>
      </c>
      <c r="AB73" s="1">
        <v>1.1499999999999999</v>
      </c>
      <c r="AC73" s="1">
        <v>0.28799999999999998</v>
      </c>
      <c r="AD73" s="1">
        <v>0.86720000000000008</v>
      </c>
      <c r="AE73" s="1">
        <v>2.3111999999999999</v>
      </c>
      <c r="AF73" s="1">
        <v>2.8879999999999999</v>
      </c>
      <c r="AG73" s="1">
        <v>2.5996000000000001</v>
      </c>
      <c r="AH73" s="20" t="s">
        <v>57</v>
      </c>
      <c r="AI73" s="1">
        <f t="shared" ref="AI73:AI85" si="24">G73*T73</f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119</v>
      </c>
      <c r="B74" s="1" t="s">
        <v>38</v>
      </c>
      <c r="C74" s="1">
        <v>3056.643</v>
      </c>
      <c r="D74" s="1">
        <v>1647.0329999999999</v>
      </c>
      <c r="E74" s="1">
        <v>2051.415</v>
      </c>
      <c r="F74" s="1">
        <v>2389.4899999999998</v>
      </c>
      <c r="G74" s="8">
        <v>1</v>
      </c>
      <c r="H74" s="1">
        <v>60</v>
      </c>
      <c r="I74" s="1" t="s">
        <v>39</v>
      </c>
      <c r="J74" s="1"/>
      <c r="K74" s="1">
        <v>2158.085</v>
      </c>
      <c r="L74" s="1">
        <f t="shared" si="19"/>
        <v>-106.67000000000007</v>
      </c>
      <c r="M74" s="1">
        <f t="shared" si="20"/>
        <v>1932.26</v>
      </c>
      <c r="N74" s="1">
        <v>119.155</v>
      </c>
      <c r="O74" s="1">
        <v>351.21839999999997</v>
      </c>
      <c r="P74" s="1">
        <v>790.24140000000011</v>
      </c>
      <c r="Q74" s="1">
        <v>0</v>
      </c>
      <c r="R74" s="1">
        <v>706.33328800000049</v>
      </c>
      <c r="S74" s="1">
        <f t="shared" si="21"/>
        <v>386.452</v>
      </c>
      <c r="T74" s="5">
        <f t="shared" ref="T73:T85" si="25">14*S74-R74-P74-O74-F74</f>
        <v>1173.0449119999994</v>
      </c>
      <c r="U74" s="5"/>
      <c r="V74" s="1"/>
      <c r="W74" s="1"/>
      <c r="X74" s="1">
        <f t="shared" si="22"/>
        <v>13.999999999999998</v>
      </c>
      <c r="Y74" s="1">
        <f t="shared" si="23"/>
        <v>10.964577976048773</v>
      </c>
      <c r="Z74" s="1">
        <v>363.56479999999999</v>
      </c>
      <c r="AA74" s="1">
        <v>351.21839999999997</v>
      </c>
      <c r="AB74" s="1">
        <v>339.5752</v>
      </c>
      <c r="AC74" s="1">
        <v>281.68239999999997</v>
      </c>
      <c r="AD74" s="1">
        <v>292.14519999999999</v>
      </c>
      <c r="AE74" s="1">
        <v>426.10300000000001</v>
      </c>
      <c r="AF74" s="1">
        <v>356.89120000000003</v>
      </c>
      <c r="AG74" s="1">
        <v>449.74619999999999</v>
      </c>
      <c r="AH74" s="1" t="s">
        <v>50</v>
      </c>
      <c r="AI74" s="1">
        <f t="shared" si="24"/>
        <v>1173.0449119999994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120</v>
      </c>
      <c r="B75" s="1" t="s">
        <v>38</v>
      </c>
      <c r="C75" s="1">
        <v>1081.212</v>
      </c>
      <c r="D75" s="1">
        <v>277.553</v>
      </c>
      <c r="E75" s="1">
        <v>615.30600000000004</v>
      </c>
      <c r="F75" s="1">
        <v>641.197</v>
      </c>
      <c r="G75" s="8">
        <v>1</v>
      </c>
      <c r="H75" s="1">
        <v>60</v>
      </c>
      <c r="I75" s="1" t="s">
        <v>39</v>
      </c>
      <c r="J75" s="1"/>
      <c r="K75" s="1">
        <v>725.02499999999998</v>
      </c>
      <c r="L75" s="1">
        <f t="shared" si="19"/>
        <v>-109.71899999999994</v>
      </c>
      <c r="M75" s="1">
        <f t="shared" si="20"/>
        <v>524.79100000000005</v>
      </c>
      <c r="N75" s="1">
        <v>90.515000000000001</v>
      </c>
      <c r="O75" s="1">
        <v>0</v>
      </c>
      <c r="P75" s="1">
        <v>218.7045</v>
      </c>
      <c r="Q75" s="1">
        <v>0</v>
      </c>
      <c r="R75" s="1">
        <v>352.85454800000008</v>
      </c>
      <c r="S75" s="1">
        <f t="shared" si="21"/>
        <v>104.95820000000001</v>
      </c>
      <c r="T75" s="5">
        <f t="shared" si="25"/>
        <v>256.65875199999994</v>
      </c>
      <c r="U75" s="5"/>
      <c r="V75" s="1"/>
      <c r="W75" s="1"/>
      <c r="X75" s="1">
        <f t="shared" si="22"/>
        <v>14</v>
      </c>
      <c r="Y75" s="1">
        <f t="shared" si="23"/>
        <v>11.554657454110302</v>
      </c>
      <c r="Z75" s="1">
        <v>100.2758</v>
      </c>
      <c r="AA75" s="1">
        <v>97.202000000000012</v>
      </c>
      <c r="AB75" s="1">
        <v>100.2632</v>
      </c>
      <c r="AC75" s="1">
        <v>114.20740000000001</v>
      </c>
      <c r="AD75" s="1">
        <v>92.879800000000003</v>
      </c>
      <c r="AE75" s="1">
        <v>145.39879999999999</v>
      </c>
      <c r="AF75" s="1">
        <v>123.854</v>
      </c>
      <c r="AG75" s="1">
        <v>217.0934</v>
      </c>
      <c r="AH75" s="1"/>
      <c r="AI75" s="1">
        <f t="shared" si="24"/>
        <v>256.65875199999994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121</v>
      </c>
      <c r="B76" s="1" t="s">
        <v>38</v>
      </c>
      <c r="C76" s="1">
        <v>2925.489</v>
      </c>
      <c r="D76" s="1">
        <v>485.108</v>
      </c>
      <c r="E76" s="1">
        <v>1719.269</v>
      </c>
      <c r="F76" s="1">
        <v>1127.2950000000001</v>
      </c>
      <c r="G76" s="8">
        <v>1</v>
      </c>
      <c r="H76" s="1">
        <v>60</v>
      </c>
      <c r="I76" s="1" t="s">
        <v>39</v>
      </c>
      <c r="J76" s="1"/>
      <c r="K76" s="1">
        <v>2182.1819999999998</v>
      </c>
      <c r="L76" s="1">
        <f t="shared" si="19"/>
        <v>-462.91299999999978</v>
      </c>
      <c r="M76" s="1">
        <f t="shared" si="20"/>
        <v>1644.6890000000001</v>
      </c>
      <c r="N76" s="1">
        <v>74.58</v>
      </c>
      <c r="O76" s="1">
        <v>0</v>
      </c>
      <c r="P76" s="1"/>
      <c r="Q76" s="1">
        <v>0</v>
      </c>
      <c r="R76" s="1">
        <v>1734.038679999999</v>
      </c>
      <c r="S76" s="1">
        <f t="shared" si="21"/>
        <v>328.93780000000004</v>
      </c>
      <c r="T76" s="5">
        <f t="shared" si="25"/>
        <v>1743.7955200000015</v>
      </c>
      <c r="U76" s="5"/>
      <c r="V76" s="1"/>
      <c r="W76" s="1"/>
      <c r="X76" s="1">
        <f t="shared" si="22"/>
        <v>14</v>
      </c>
      <c r="Y76" s="1">
        <f t="shared" si="23"/>
        <v>8.6987074152012891</v>
      </c>
      <c r="Z76" s="1">
        <v>245.31800000000001</v>
      </c>
      <c r="AA76" s="1">
        <v>205.1558</v>
      </c>
      <c r="AB76" s="1">
        <v>218.61439999999999</v>
      </c>
      <c r="AC76" s="1">
        <v>337.26299999999998</v>
      </c>
      <c r="AD76" s="1">
        <v>184.1644</v>
      </c>
      <c r="AE76" s="1">
        <v>188.6756</v>
      </c>
      <c r="AF76" s="1">
        <v>191.93440000000001</v>
      </c>
      <c r="AG76" s="1">
        <v>222.18899999999999</v>
      </c>
      <c r="AH76" s="1" t="s">
        <v>122</v>
      </c>
      <c r="AI76" s="1">
        <f t="shared" si="24"/>
        <v>1743.7955200000015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38</v>
      </c>
      <c r="C77" s="1">
        <v>2937.5059999999999</v>
      </c>
      <c r="D77" s="1">
        <v>969.61900000000003</v>
      </c>
      <c r="E77" s="1">
        <v>2180.145</v>
      </c>
      <c r="F77" s="1">
        <v>1498.6030000000001</v>
      </c>
      <c r="G77" s="8">
        <v>1</v>
      </c>
      <c r="H77" s="1">
        <v>60</v>
      </c>
      <c r="I77" s="1" t="s">
        <v>39</v>
      </c>
      <c r="J77" s="1"/>
      <c r="K77" s="1">
        <v>2505.3319999999999</v>
      </c>
      <c r="L77" s="1">
        <f t="shared" si="19"/>
        <v>-325.1869999999999</v>
      </c>
      <c r="M77" s="1">
        <f t="shared" si="20"/>
        <v>1733.8979999999999</v>
      </c>
      <c r="N77" s="1">
        <v>446.24700000000001</v>
      </c>
      <c r="O77" s="1">
        <v>946.71299999999997</v>
      </c>
      <c r="P77" s="1">
        <v>709.04880000000003</v>
      </c>
      <c r="Q77" s="1">
        <v>127</v>
      </c>
      <c r="R77" s="1">
        <v>883.423992</v>
      </c>
      <c r="S77" s="1">
        <f t="shared" si="21"/>
        <v>346.77959999999996</v>
      </c>
      <c r="T77" s="5">
        <f t="shared" si="25"/>
        <v>817.12560799999937</v>
      </c>
      <c r="U77" s="5"/>
      <c r="V77" s="1"/>
      <c r="W77" s="1"/>
      <c r="X77" s="1">
        <f t="shared" si="22"/>
        <v>14</v>
      </c>
      <c r="Y77" s="1">
        <f t="shared" si="23"/>
        <v>11.643674518339603</v>
      </c>
      <c r="Z77" s="1">
        <v>348.16919999999999</v>
      </c>
      <c r="AA77" s="1">
        <v>315.13279999999997</v>
      </c>
      <c r="AB77" s="1">
        <v>298.86800000000011</v>
      </c>
      <c r="AC77" s="1">
        <v>282.35520000000002</v>
      </c>
      <c r="AD77" s="1">
        <v>298.19860000000011</v>
      </c>
      <c r="AE77" s="1">
        <v>418.76859999999999</v>
      </c>
      <c r="AF77" s="1">
        <v>363.77280000000002</v>
      </c>
      <c r="AG77" s="1">
        <v>424.80040000000002</v>
      </c>
      <c r="AH77" s="1" t="s">
        <v>50</v>
      </c>
      <c r="AI77" s="1">
        <f t="shared" si="24"/>
        <v>817.12560799999937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124</v>
      </c>
      <c r="B78" s="1" t="s">
        <v>38</v>
      </c>
      <c r="C78" s="1">
        <v>145.703</v>
      </c>
      <c r="D78" s="1"/>
      <c r="E78" s="1"/>
      <c r="F78" s="1">
        <v>145.703</v>
      </c>
      <c r="G78" s="8">
        <v>1</v>
      </c>
      <c r="H78" s="1">
        <v>60</v>
      </c>
      <c r="I78" s="1" t="s">
        <v>39</v>
      </c>
      <c r="J78" s="1"/>
      <c r="K78" s="1">
        <v>27.3</v>
      </c>
      <c r="L78" s="1">
        <f t="shared" si="19"/>
        <v>-27.3</v>
      </c>
      <c r="M78" s="1">
        <f t="shared" si="20"/>
        <v>0</v>
      </c>
      <c r="N78" s="1"/>
      <c r="O78" s="1">
        <v>0</v>
      </c>
      <c r="P78" s="1"/>
      <c r="Q78" s="1">
        <v>0</v>
      </c>
      <c r="R78" s="1">
        <v>0</v>
      </c>
      <c r="S78" s="1">
        <f t="shared" si="21"/>
        <v>0</v>
      </c>
      <c r="T78" s="5"/>
      <c r="U78" s="5"/>
      <c r="V78" s="1"/>
      <c r="W78" s="1"/>
      <c r="X78" s="1" t="e">
        <f t="shared" si="22"/>
        <v>#DIV/0!</v>
      </c>
      <c r="Y78" s="1" t="e">
        <f t="shared" si="23"/>
        <v>#DIV/0!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2.3967999999999998</v>
      </c>
      <c r="AF78" s="1">
        <v>0</v>
      </c>
      <c r="AG78" s="1">
        <v>2.4283999999999999</v>
      </c>
      <c r="AH78" s="22" t="s">
        <v>125</v>
      </c>
      <c r="AI78" s="1">
        <f t="shared" si="24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126</v>
      </c>
      <c r="B79" s="1" t="s">
        <v>43</v>
      </c>
      <c r="C79" s="1">
        <v>160</v>
      </c>
      <c r="D79" s="1">
        <v>56</v>
      </c>
      <c r="E79" s="1">
        <v>131</v>
      </c>
      <c r="F79" s="1">
        <v>81</v>
      </c>
      <c r="G79" s="8">
        <v>0.3</v>
      </c>
      <c r="H79" s="1">
        <v>40</v>
      </c>
      <c r="I79" s="1" t="s">
        <v>39</v>
      </c>
      <c r="J79" s="1"/>
      <c r="K79" s="1">
        <v>167</v>
      </c>
      <c r="L79" s="1">
        <f t="shared" si="19"/>
        <v>-36</v>
      </c>
      <c r="M79" s="1">
        <f t="shared" si="20"/>
        <v>131</v>
      </c>
      <c r="N79" s="1"/>
      <c r="O79" s="1">
        <v>23.200000000000049</v>
      </c>
      <c r="P79" s="1"/>
      <c r="Q79" s="1">
        <v>0</v>
      </c>
      <c r="R79" s="1">
        <v>122.9679999999999</v>
      </c>
      <c r="S79" s="1">
        <f t="shared" si="21"/>
        <v>26.2</v>
      </c>
      <c r="T79" s="5">
        <f>12*S79-R79-P79-O79-F79</f>
        <v>87.232000000000028</v>
      </c>
      <c r="U79" s="5"/>
      <c r="V79" s="1"/>
      <c r="W79" s="1"/>
      <c r="X79" s="1">
        <f t="shared" si="22"/>
        <v>12</v>
      </c>
      <c r="Y79" s="1">
        <f t="shared" si="23"/>
        <v>8.6705343511450366</v>
      </c>
      <c r="Z79" s="1">
        <v>21.8</v>
      </c>
      <c r="AA79" s="1">
        <v>19.399999999999999</v>
      </c>
      <c r="AB79" s="1">
        <v>22.6</v>
      </c>
      <c r="AC79" s="1">
        <v>20.6</v>
      </c>
      <c r="AD79" s="1">
        <v>17.600000000000001</v>
      </c>
      <c r="AE79" s="1">
        <v>16.2</v>
      </c>
      <c r="AF79" s="1">
        <v>16.600000000000001</v>
      </c>
      <c r="AG79" s="1">
        <v>18</v>
      </c>
      <c r="AH79" s="1"/>
      <c r="AI79" s="1">
        <f t="shared" si="24"/>
        <v>26.169600000000006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127</v>
      </c>
      <c r="B80" s="1" t="s">
        <v>43</v>
      </c>
      <c r="C80" s="1">
        <v>77</v>
      </c>
      <c r="D80" s="1">
        <v>37</v>
      </c>
      <c r="E80" s="1">
        <v>52</v>
      </c>
      <c r="F80" s="1">
        <v>62</v>
      </c>
      <c r="G80" s="8">
        <v>7.0000000000000007E-2</v>
      </c>
      <c r="H80" s="1">
        <v>90</v>
      </c>
      <c r="I80" s="1" t="s">
        <v>39</v>
      </c>
      <c r="J80" s="1"/>
      <c r="K80" s="1">
        <v>52</v>
      </c>
      <c r="L80" s="1">
        <f t="shared" si="19"/>
        <v>0</v>
      </c>
      <c r="M80" s="1">
        <f t="shared" si="20"/>
        <v>52</v>
      </c>
      <c r="N80" s="1"/>
      <c r="O80" s="1">
        <v>41.400000000000027</v>
      </c>
      <c r="P80" s="1"/>
      <c r="Q80" s="1">
        <v>0</v>
      </c>
      <c r="R80" s="1">
        <v>0</v>
      </c>
      <c r="S80" s="1">
        <f t="shared" si="21"/>
        <v>10.4</v>
      </c>
      <c r="T80" s="5">
        <f t="shared" si="25"/>
        <v>42.19999999999996</v>
      </c>
      <c r="U80" s="5"/>
      <c r="V80" s="1"/>
      <c r="W80" s="1"/>
      <c r="X80" s="1">
        <f t="shared" si="22"/>
        <v>13.999999999999998</v>
      </c>
      <c r="Y80" s="1">
        <f t="shared" si="23"/>
        <v>9.9423076923076952</v>
      </c>
      <c r="Z80" s="1">
        <v>7.8</v>
      </c>
      <c r="AA80" s="1">
        <v>11.8</v>
      </c>
      <c r="AB80" s="1">
        <v>11.2</v>
      </c>
      <c r="AC80" s="1">
        <v>8</v>
      </c>
      <c r="AD80" s="1">
        <v>9</v>
      </c>
      <c r="AE80" s="1">
        <v>12.6</v>
      </c>
      <c r="AF80" s="1">
        <v>10.8</v>
      </c>
      <c r="AG80" s="1">
        <v>12</v>
      </c>
      <c r="AH80" s="1"/>
      <c r="AI80" s="1">
        <f t="shared" si="24"/>
        <v>2.9539999999999975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128</v>
      </c>
      <c r="B81" s="1" t="s">
        <v>43</v>
      </c>
      <c r="C81" s="1">
        <v>78</v>
      </c>
      <c r="D81" s="1">
        <v>18</v>
      </c>
      <c r="E81" s="1">
        <v>58</v>
      </c>
      <c r="F81" s="1">
        <v>38</v>
      </c>
      <c r="G81" s="8">
        <v>7.0000000000000007E-2</v>
      </c>
      <c r="H81" s="1">
        <v>90</v>
      </c>
      <c r="I81" s="1" t="s">
        <v>39</v>
      </c>
      <c r="J81" s="1"/>
      <c r="K81" s="1">
        <v>58</v>
      </c>
      <c r="L81" s="1">
        <f t="shared" si="19"/>
        <v>0</v>
      </c>
      <c r="M81" s="1">
        <f t="shared" si="20"/>
        <v>58</v>
      </c>
      <c r="N81" s="1"/>
      <c r="O81" s="1">
        <v>37.599999999999987</v>
      </c>
      <c r="P81" s="1"/>
      <c r="Q81" s="1">
        <v>0</v>
      </c>
      <c r="R81" s="1">
        <v>25.400000000000009</v>
      </c>
      <c r="S81" s="1">
        <f t="shared" si="21"/>
        <v>11.6</v>
      </c>
      <c r="T81" s="5">
        <f t="shared" si="25"/>
        <v>61.400000000000006</v>
      </c>
      <c r="U81" s="5"/>
      <c r="V81" s="1"/>
      <c r="W81" s="1"/>
      <c r="X81" s="1">
        <f t="shared" si="22"/>
        <v>14.000000000000002</v>
      </c>
      <c r="Y81" s="1">
        <f t="shared" si="23"/>
        <v>8.7068965517241388</v>
      </c>
      <c r="Z81" s="1">
        <v>8.8000000000000007</v>
      </c>
      <c r="AA81" s="1">
        <v>11</v>
      </c>
      <c r="AB81" s="1">
        <v>10.4</v>
      </c>
      <c r="AC81" s="1">
        <v>8.4</v>
      </c>
      <c r="AD81" s="1">
        <v>10.8</v>
      </c>
      <c r="AE81" s="1">
        <v>13</v>
      </c>
      <c r="AF81" s="1">
        <v>12.2</v>
      </c>
      <c r="AG81" s="1">
        <v>18</v>
      </c>
      <c r="AH81" s="1"/>
      <c r="AI81" s="1">
        <f t="shared" si="24"/>
        <v>4.2980000000000009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129</v>
      </c>
      <c r="B82" s="1" t="s">
        <v>43</v>
      </c>
      <c r="C82" s="1">
        <v>84</v>
      </c>
      <c r="D82" s="1">
        <v>36</v>
      </c>
      <c r="E82" s="1">
        <v>65</v>
      </c>
      <c r="F82" s="1">
        <v>55</v>
      </c>
      <c r="G82" s="8">
        <v>7.0000000000000007E-2</v>
      </c>
      <c r="H82" s="1">
        <v>90</v>
      </c>
      <c r="I82" s="1" t="s">
        <v>39</v>
      </c>
      <c r="J82" s="1"/>
      <c r="K82" s="1">
        <v>65</v>
      </c>
      <c r="L82" s="1">
        <f t="shared" si="19"/>
        <v>0</v>
      </c>
      <c r="M82" s="1">
        <f t="shared" si="20"/>
        <v>65</v>
      </c>
      <c r="N82" s="1"/>
      <c r="O82" s="1">
        <v>5.1999999999999886</v>
      </c>
      <c r="P82" s="1"/>
      <c r="Q82" s="1">
        <v>0</v>
      </c>
      <c r="R82" s="1">
        <v>39.144000000000013</v>
      </c>
      <c r="S82" s="1">
        <f t="shared" si="21"/>
        <v>13</v>
      </c>
      <c r="T82" s="5">
        <f t="shared" si="25"/>
        <v>82.656000000000006</v>
      </c>
      <c r="U82" s="5"/>
      <c r="V82" s="1"/>
      <c r="W82" s="1"/>
      <c r="X82" s="1">
        <f t="shared" si="22"/>
        <v>14</v>
      </c>
      <c r="Y82" s="1">
        <f t="shared" si="23"/>
        <v>7.6418461538461537</v>
      </c>
      <c r="Z82" s="1">
        <v>9.4</v>
      </c>
      <c r="AA82" s="1">
        <v>9.8000000000000007</v>
      </c>
      <c r="AB82" s="1">
        <v>10.8</v>
      </c>
      <c r="AC82" s="1">
        <v>10.199999999999999</v>
      </c>
      <c r="AD82" s="1">
        <v>10.4</v>
      </c>
      <c r="AE82" s="1">
        <v>9</v>
      </c>
      <c r="AF82" s="1">
        <v>8.8000000000000007</v>
      </c>
      <c r="AG82" s="1">
        <v>12</v>
      </c>
      <c r="AH82" s="1"/>
      <c r="AI82" s="1">
        <f t="shared" si="24"/>
        <v>5.7859200000000008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130</v>
      </c>
      <c r="B83" s="1" t="s">
        <v>43</v>
      </c>
      <c r="C83" s="1">
        <v>79</v>
      </c>
      <c r="D83" s="1">
        <v>36</v>
      </c>
      <c r="E83" s="1">
        <v>46</v>
      </c>
      <c r="F83" s="1">
        <v>69</v>
      </c>
      <c r="G83" s="8">
        <v>0.05</v>
      </c>
      <c r="H83" s="1">
        <v>90</v>
      </c>
      <c r="I83" s="1" t="s">
        <v>39</v>
      </c>
      <c r="J83" s="1"/>
      <c r="K83" s="1">
        <v>46</v>
      </c>
      <c r="L83" s="1">
        <f t="shared" si="19"/>
        <v>0</v>
      </c>
      <c r="M83" s="1">
        <f t="shared" si="20"/>
        <v>46</v>
      </c>
      <c r="N83" s="1"/>
      <c r="O83" s="1">
        <v>0</v>
      </c>
      <c r="P83" s="1"/>
      <c r="Q83" s="1">
        <v>0</v>
      </c>
      <c r="R83" s="1">
        <v>11</v>
      </c>
      <c r="S83" s="1">
        <f t="shared" si="21"/>
        <v>9.1999999999999993</v>
      </c>
      <c r="T83" s="5">
        <f t="shared" si="25"/>
        <v>48.799999999999983</v>
      </c>
      <c r="U83" s="5"/>
      <c r="V83" s="1"/>
      <c r="W83" s="1"/>
      <c r="X83" s="1">
        <f t="shared" si="22"/>
        <v>14</v>
      </c>
      <c r="Y83" s="1">
        <f t="shared" si="23"/>
        <v>8.6956521739130448</v>
      </c>
      <c r="Z83" s="1">
        <v>6.8</v>
      </c>
      <c r="AA83" s="1">
        <v>6.6</v>
      </c>
      <c r="AB83" s="1">
        <v>7.8</v>
      </c>
      <c r="AC83" s="1">
        <v>7.8</v>
      </c>
      <c r="AD83" s="1">
        <v>9.4</v>
      </c>
      <c r="AE83" s="1">
        <v>10</v>
      </c>
      <c r="AF83" s="1">
        <v>9</v>
      </c>
      <c r="AG83" s="1">
        <v>10.199999999999999</v>
      </c>
      <c r="AH83" s="1"/>
      <c r="AI83" s="1">
        <f t="shared" si="24"/>
        <v>2.4399999999999995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131</v>
      </c>
      <c r="B84" s="1" t="s">
        <v>43</v>
      </c>
      <c r="C84" s="1">
        <v>80</v>
      </c>
      <c r="D84" s="1"/>
      <c r="E84" s="1">
        <v>44</v>
      </c>
      <c r="F84" s="1">
        <v>36</v>
      </c>
      <c r="G84" s="8">
        <v>0.05</v>
      </c>
      <c r="H84" s="1">
        <v>90</v>
      </c>
      <c r="I84" s="1" t="s">
        <v>39</v>
      </c>
      <c r="J84" s="1"/>
      <c r="K84" s="1">
        <v>44</v>
      </c>
      <c r="L84" s="1">
        <f t="shared" si="19"/>
        <v>0</v>
      </c>
      <c r="M84" s="1">
        <f t="shared" si="20"/>
        <v>44</v>
      </c>
      <c r="N84" s="1"/>
      <c r="O84" s="1">
        <v>30.399999999999991</v>
      </c>
      <c r="P84" s="1"/>
      <c r="Q84" s="1">
        <v>0</v>
      </c>
      <c r="R84" s="1">
        <v>21.600000000000009</v>
      </c>
      <c r="S84" s="1">
        <f t="shared" si="21"/>
        <v>8.8000000000000007</v>
      </c>
      <c r="T84" s="5">
        <f t="shared" si="25"/>
        <v>35.200000000000017</v>
      </c>
      <c r="U84" s="5"/>
      <c r="V84" s="1"/>
      <c r="W84" s="1"/>
      <c r="X84" s="1">
        <f t="shared" si="22"/>
        <v>14</v>
      </c>
      <c r="Y84" s="1">
        <f t="shared" si="23"/>
        <v>10</v>
      </c>
      <c r="Z84" s="1">
        <v>7.4</v>
      </c>
      <c r="AA84" s="1">
        <v>9.1999999999999993</v>
      </c>
      <c r="AB84" s="1">
        <v>8.1999999999999993</v>
      </c>
      <c r="AC84" s="1">
        <v>6.6</v>
      </c>
      <c r="AD84" s="1">
        <v>8.4</v>
      </c>
      <c r="AE84" s="1">
        <v>11.8</v>
      </c>
      <c r="AF84" s="1">
        <v>11</v>
      </c>
      <c r="AG84" s="1">
        <v>11.8</v>
      </c>
      <c r="AH84" s="1"/>
      <c r="AI84" s="1">
        <f t="shared" si="24"/>
        <v>1.7600000000000009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132</v>
      </c>
      <c r="B85" s="1" t="s">
        <v>43</v>
      </c>
      <c r="C85" s="1">
        <v>77</v>
      </c>
      <c r="D85" s="1"/>
      <c r="E85" s="1">
        <v>31</v>
      </c>
      <c r="F85" s="1">
        <v>45</v>
      </c>
      <c r="G85" s="8">
        <v>5.5E-2</v>
      </c>
      <c r="H85" s="1">
        <v>90</v>
      </c>
      <c r="I85" s="1" t="s">
        <v>39</v>
      </c>
      <c r="J85" s="1"/>
      <c r="K85" s="1">
        <v>32</v>
      </c>
      <c r="L85" s="1">
        <f t="shared" si="19"/>
        <v>-1</v>
      </c>
      <c r="M85" s="1">
        <f t="shared" si="20"/>
        <v>31</v>
      </c>
      <c r="N85" s="1"/>
      <c r="O85" s="1">
        <v>0</v>
      </c>
      <c r="P85" s="1"/>
      <c r="Q85" s="1">
        <v>0</v>
      </c>
      <c r="R85" s="1">
        <v>0</v>
      </c>
      <c r="S85" s="1">
        <f t="shared" si="21"/>
        <v>6.2</v>
      </c>
      <c r="T85" s="5">
        <f t="shared" si="25"/>
        <v>41.8</v>
      </c>
      <c r="U85" s="5"/>
      <c r="V85" s="1"/>
      <c r="W85" s="1"/>
      <c r="X85" s="1">
        <f t="shared" si="22"/>
        <v>14</v>
      </c>
      <c r="Y85" s="1">
        <f t="shared" si="23"/>
        <v>7.258064516129032</v>
      </c>
      <c r="Z85" s="1">
        <v>3.4</v>
      </c>
      <c r="AA85" s="1">
        <v>4.5999999999999996</v>
      </c>
      <c r="AB85" s="1">
        <v>7</v>
      </c>
      <c r="AC85" s="1">
        <v>6.8</v>
      </c>
      <c r="AD85" s="1">
        <v>6.8</v>
      </c>
      <c r="AE85" s="1">
        <v>10.199999999999999</v>
      </c>
      <c r="AF85" s="1">
        <v>8.1999999999999993</v>
      </c>
      <c r="AG85" s="1">
        <v>6.6</v>
      </c>
      <c r="AH85" s="1"/>
      <c r="AI85" s="1">
        <f t="shared" si="24"/>
        <v>2.2989999999999999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2" t="s">
        <v>133</v>
      </c>
      <c r="B86" s="12" t="s">
        <v>43</v>
      </c>
      <c r="C86" s="12">
        <v>11</v>
      </c>
      <c r="D86" s="12"/>
      <c r="E86" s="12"/>
      <c r="F86" s="12">
        <v>11</v>
      </c>
      <c r="G86" s="13">
        <v>0</v>
      </c>
      <c r="H86" s="12">
        <v>120</v>
      </c>
      <c r="I86" s="12" t="s">
        <v>134</v>
      </c>
      <c r="J86" s="12"/>
      <c r="K86" s="12">
        <v>1</v>
      </c>
      <c r="L86" s="12">
        <f t="shared" si="19"/>
        <v>-1</v>
      </c>
      <c r="M86" s="12">
        <f t="shared" si="20"/>
        <v>0</v>
      </c>
      <c r="N86" s="12"/>
      <c r="O86" s="12">
        <v>0</v>
      </c>
      <c r="P86" s="12"/>
      <c r="Q86" s="12">
        <v>0</v>
      </c>
      <c r="R86" s="12">
        <v>0</v>
      </c>
      <c r="S86" s="12">
        <f t="shared" si="21"/>
        <v>0</v>
      </c>
      <c r="T86" s="14"/>
      <c r="U86" s="14"/>
      <c r="V86" s="12"/>
      <c r="W86" s="12"/>
      <c r="X86" s="12" t="e">
        <f t="shared" si="22"/>
        <v>#DIV/0!</v>
      </c>
      <c r="Y86" s="12" t="e">
        <f t="shared" si="23"/>
        <v>#DIV/0!</v>
      </c>
      <c r="Z86" s="12">
        <v>0</v>
      </c>
      <c r="AA86" s="12">
        <v>0.2</v>
      </c>
      <c r="AB86" s="12">
        <v>0.2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/>
      <c r="AI86" s="12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135</v>
      </c>
      <c r="B87" s="1" t="s">
        <v>38</v>
      </c>
      <c r="C87" s="1">
        <v>5379.0940000000001</v>
      </c>
      <c r="D87" s="1">
        <v>2289.377</v>
      </c>
      <c r="E87" s="1">
        <v>4772.2079999999996</v>
      </c>
      <c r="F87" s="1">
        <v>2246.373</v>
      </c>
      <c r="G87" s="8">
        <v>1</v>
      </c>
      <c r="H87" s="1">
        <v>40</v>
      </c>
      <c r="I87" s="1" t="s">
        <v>39</v>
      </c>
      <c r="J87" s="1"/>
      <c r="K87" s="1">
        <v>4807.6030000000001</v>
      </c>
      <c r="L87" s="1">
        <f t="shared" si="19"/>
        <v>-35.395000000000437</v>
      </c>
      <c r="M87" s="1">
        <f t="shared" si="20"/>
        <v>4426.7429999999995</v>
      </c>
      <c r="N87" s="1">
        <v>345.46499999999997</v>
      </c>
      <c r="O87" s="1">
        <v>3377.329999999994</v>
      </c>
      <c r="P87" s="1"/>
      <c r="Q87" s="1">
        <v>0</v>
      </c>
      <c r="R87" s="1">
        <v>3546.3655520000061</v>
      </c>
      <c r="S87" s="1">
        <f t="shared" si="21"/>
        <v>885.34859999999992</v>
      </c>
      <c r="T87" s="5">
        <f>11.5*S87-R87-P87-O87-F87</f>
        <v>1011.4403479999983</v>
      </c>
      <c r="U87" s="5"/>
      <c r="V87" s="1"/>
      <c r="W87" s="1"/>
      <c r="X87" s="1">
        <f t="shared" si="22"/>
        <v>11.5</v>
      </c>
      <c r="Y87" s="1">
        <f t="shared" si="23"/>
        <v>10.357579547762318</v>
      </c>
      <c r="Z87" s="1">
        <v>846.00020000000006</v>
      </c>
      <c r="AA87" s="1">
        <v>851.7657999999999</v>
      </c>
      <c r="AB87" s="1">
        <v>846.95600000000013</v>
      </c>
      <c r="AC87" s="1">
        <v>799.82920000000013</v>
      </c>
      <c r="AD87" s="1">
        <v>752.95440000000008</v>
      </c>
      <c r="AE87" s="1">
        <v>892.5472000000002</v>
      </c>
      <c r="AF87" s="1">
        <v>763.92160000000001</v>
      </c>
      <c r="AG87" s="1">
        <v>926.77520000000004</v>
      </c>
      <c r="AH87" s="1" t="s">
        <v>50</v>
      </c>
      <c r="AI87" s="1">
        <f t="shared" ref="AI87:AI94" si="26">G87*T87</f>
        <v>1011.4403479999983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1" t="s">
        <v>136</v>
      </c>
      <c r="B88" s="1" t="s">
        <v>38</v>
      </c>
      <c r="C88" s="1">
        <v>-1.6E-2</v>
      </c>
      <c r="D88" s="1">
        <v>1.6E-2</v>
      </c>
      <c r="E88" s="1"/>
      <c r="F88" s="1"/>
      <c r="G88" s="8">
        <v>1</v>
      </c>
      <c r="H88" s="1">
        <v>60</v>
      </c>
      <c r="I88" s="1" t="s">
        <v>39</v>
      </c>
      <c r="J88" s="1"/>
      <c r="K88" s="1"/>
      <c r="L88" s="1">
        <f t="shared" si="19"/>
        <v>0</v>
      </c>
      <c r="M88" s="1">
        <f t="shared" si="20"/>
        <v>0</v>
      </c>
      <c r="N88" s="1"/>
      <c r="O88" s="1"/>
      <c r="P88" s="1"/>
      <c r="Q88" s="1">
        <v>0</v>
      </c>
      <c r="R88" s="11"/>
      <c r="S88" s="1">
        <f t="shared" si="21"/>
        <v>0</v>
      </c>
      <c r="T88" s="18">
        <v>4</v>
      </c>
      <c r="U88" s="5"/>
      <c r="V88" s="1"/>
      <c r="W88" s="1"/>
      <c r="X88" s="1" t="e">
        <f t="shared" si="22"/>
        <v>#DIV/0!</v>
      </c>
      <c r="Y88" s="1" t="e">
        <f t="shared" si="23"/>
        <v>#DIV/0!</v>
      </c>
      <c r="Z88" s="1">
        <v>0</v>
      </c>
      <c r="AA88" s="1">
        <v>0</v>
      </c>
      <c r="AB88" s="1">
        <v>0</v>
      </c>
      <c r="AC88" s="1">
        <v>0.72300000000000009</v>
      </c>
      <c r="AD88" s="1">
        <v>1.7996000000000001</v>
      </c>
      <c r="AE88" s="1">
        <v>1.4376</v>
      </c>
      <c r="AF88" s="1">
        <v>2.16</v>
      </c>
      <c r="AG88" s="1">
        <v>3.5950000000000002</v>
      </c>
      <c r="AH88" s="11" t="s">
        <v>137</v>
      </c>
      <c r="AI88" s="1">
        <f t="shared" si="26"/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9" t="s">
        <v>138</v>
      </c>
      <c r="B89" s="1" t="s">
        <v>43</v>
      </c>
      <c r="C89" s="1"/>
      <c r="D89" s="1"/>
      <c r="E89" s="1"/>
      <c r="F89" s="1"/>
      <c r="G89" s="8">
        <v>0.6</v>
      </c>
      <c r="H89" s="1">
        <v>60</v>
      </c>
      <c r="I89" s="1" t="s">
        <v>39</v>
      </c>
      <c r="J89" s="1"/>
      <c r="K89" s="1"/>
      <c r="L89" s="1">
        <f t="shared" si="19"/>
        <v>0</v>
      </c>
      <c r="M89" s="1">
        <f t="shared" si="20"/>
        <v>0</v>
      </c>
      <c r="N89" s="1"/>
      <c r="O89" s="1">
        <v>180</v>
      </c>
      <c r="P89" s="1"/>
      <c r="Q89" s="1">
        <v>0</v>
      </c>
      <c r="R89" s="1">
        <v>0</v>
      </c>
      <c r="S89" s="1">
        <f t="shared" si="21"/>
        <v>0</v>
      </c>
      <c r="T89" s="5"/>
      <c r="U89" s="5"/>
      <c r="V89" s="1"/>
      <c r="W89" s="1"/>
      <c r="X89" s="1" t="e">
        <f t="shared" si="22"/>
        <v>#DIV/0!</v>
      </c>
      <c r="Y89" s="1" t="e">
        <f t="shared" si="23"/>
        <v>#DIV/0!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76</v>
      </c>
      <c r="AI89" s="1">
        <f t="shared" si="26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139</v>
      </c>
      <c r="B90" s="1" t="s">
        <v>43</v>
      </c>
      <c r="C90" s="1">
        <v>246</v>
      </c>
      <c r="D90" s="1">
        <v>179</v>
      </c>
      <c r="E90" s="1">
        <v>224</v>
      </c>
      <c r="F90" s="1">
        <v>89</v>
      </c>
      <c r="G90" s="8">
        <v>0.3</v>
      </c>
      <c r="H90" s="1">
        <v>40</v>
      </c>
      <c r="I90" s="1" t="s">
        <v>39</v>
      </c>
      <c r="J90" s="1"/>
      <c r="K90" s="1">
        <v>257</v>
      </c>
      <c r="L90" s="1">
        <f t="shared" si="19"/>
        <v>-33</v>
      </c>
      <c r="M90" s="1">
        <f t="shared" si="20"/>
        <v>224</v>
      </c>
      <c r="N90" s="1"/>
      <c r="O90" s="1">
        <v>157.80000000000001</v>
      </c>
      <c r="P90" s="1"/>
      <c r="Q90" s="1">
        <v>0</v>
      </c>
      <c r="R90" s="1">
        <v>181.36</v>
      </c>
      <c r="S90" s="1">
        <f t="shared" si="21"/>
        <v>44.8</v>
      </c>
      <c r="T90" s="5">
        <f t="shared" ref="T90:T91" si="27">12*S90-R90-P90-O90-F90</f>
        <v>109.43999999999988</v>
      </c>
      <c r="U90" s="5"/>
      <c r="V90" s="1"/>
      <c r="W90" s="1"/>
      <c r="X90" s="1">
        <f t="shared" si="22"/>
        <v>11.999999999999998</v>
      </c>
      <c r="Y90" s="1">
        <f t="shared" si="23"/>
        <v>9.5571428571428587</v>
      </c>
      <c r="Z90" s="1">
        <v>41</v>
      </c>
      <c r="AA90" s="1">
        <v>39.200000000000003</v>
      </c>
      <c r="AB90" s="1">
        <v>37</v>
      </c>
      <c r="AC90" s="1">
        <v>36.799999999999997</v>
      </c>
      <c r="AD90" s="1">
        <v>38</v>
      </c>
      <c r="AE90" s="1">
        <v>39</v>
      </c>
      <c r="AF90" s="1">
        <v>38.6</v>
      </c>
      <c r="AG90" s="1">
        <v>36.6</v>
      </c>
      <c r="AH90" s="1"/>
      <c r="AI90" s="1">
        <f t="shared" si="26"/>
        <v>32.831999999999965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140</v>
      </c>
      <c r="B91" s="1" t="s">
        <v>43</v>
      </c>
      <c r="C91" s="1">
        <v>182</v>
      </c>
      <c r="D91" s="1">
        <v>173</v>
      </c>
      <c r="E91" s="1">
        <v>108</v>
      </c>
      <c r="F91" s="1">
        <v>145</v>
      </c>
      <c r="G91" s="8">
        <v>0.3</v>
      </c>
      <c r="H91" s="1">
        <v>40</v>
      </c>
      <c r="I91" s="1" t="s">
        <v>39</v>
      </c>
      <c r="J91" s="1"/>
      <c r="K91" s="1">
        <v>112</v>
      </c>
      <c r="L91" s="1">
        <f t="shared" si="19"/>
        <v>-4</v>
      </c>
      <c r="M91" s="1">
        <f t="shared" si="20"/>
        <v>108</v>
      </c>
      <c r="N91" s="1"/>
      <c r="O91" s="1">
        <v>15.19999999999999</v>
      </c>
      <c r="P91" s="1"/>
      <c r="Q91" s="1">
        <v>0</v>
      </c>
      <c r="R91" s="1">
        <v>78.312000000000026</v>
      </c>
      <c r="S91" s="1">
        <f t="shared" si="21"/>
        <v>21.6</v>
      </c>
      <c r="T91" s="5">
        <f t="shared" si="27"/>
        <v>20.688000000000045</v>
      </c>
      <c r="U91" s="5"/>
      <c r="V91" s="1"/>
      <c r="W91" s="1"/>
      <c r="X91" s="1">
        <f t="shared" si="22"/>
        <v>12.000000000000002</v>
      </c>
      <c r="Y91" s="1">
        <f t="shared" si="23"/>
        <v>11.042222222222222</v>
      </c>
      <c r="Z91" s="1">
        <v>21.2</v>
      </c>
      <c r="AA91" s="1">
        <v>18.2</v>
      </c>
      <c r="AB91" s="1">
        <v>22.2</v>
      </c>
      <c r="AC91" s="1">
        <v>22.8</v>
      </c>
      <c r="AD91" s="1">
        <v>20.8</v>
      </c>
      <c r="AE91" s="1">
        <v>18.8</v>
      </c>
      <c r="AF91" s="1">
        <v>17.2</v>
      </c>
      <c r="AG91" s="1">
        <v>20</v>
      </c>
      <c r="AH91" s="1" t="s">
        <v>141</v>
      </c>
      <c r="AI91" s="1">
        <f t="shared" si="26"/>
        <v>6.2064000000000137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142</v>
      </c>
      <c r="B92" s="1" t="s">
        <v>38</v>
      </c>
      <c r="C92" s="1">
        <v>72.113</v>
      </c>
      <c r="D92" s="1">
        <v>123.023</v>
      </c>
      <c r="E92" s="1">
        <v>78.778000000000006</v>
      </c>
      <c r="F92" s="1">
        <v>75.418999999999997</v>
      </c>
      <c r="G92" s="8">
        <v>1</v>
      </c>
      <c r="H92" s="1">
        <v>50</v>
      </c>
      <c r="I92" s="1" t="s">
        <v>39</v>
      </c>
      <c r="J92" s="1"/>
      <c r="K92" s="1">
        <v>89.075000000000003</v>
      </c>
      <c r="L92" s="1">
        <f t="shared" si="19"/>
        <v>-10.296999999999997</v>
      </c>
      <c r="M92" s="1">
        <f t="shared" si="20"/>
        <v>65.203000000000003</v>
      </c>
      <c r="N92" s="1">
        <v>13.574999999999999</v>
      </c>
      <c r="O92" s="1">
        <v>0</v>
      </c>
      <c r="P92" s="1"/>
      <c r="Q92" s="1">
        <v>0</v>
      </c>
      <c r="R92" s="1">
        <v>64.911312000000024</v>
      </c>
      <c r="S92" s="1">
        <f t="shared" si="21"/>
        <v>13.040600000000001</v>
      </c>
      <c r="T92" s="5">
        <f t="shared" ref="T87:T94" si="28">14*S92-R92-P92-O92-F92</f>
        <v>42.238088000000005</v>
      </c>
      <c r="U92" s="5"/>
      <c r="V92" s="1"/>
      <c r="W92" s="1"/>
      <c r="X92" s="1">
        <f t="shared" si="22"/>
        <v>14</v>
      </c>
      <c r="Y92" s="1">
        <f t="shared" si="23"/>
        <v>10.76103185436253</v>
      </c>
      <c r="Z92" s="1">
        <v>11.8812</v>
      </c>
      <c r="AA92" s="1">
        <v>12.0274</v>
      </c>
      <c r="AB92" s="1">
        <v>14.679399999999999</v>
      </c>
      <c r="AC92" s="1">
        <v>10.170999999999999</v>
      </c>
      <c r="AD92" s="1">
        <v>7.35</v>
      </c>
      <c r="AE92" s="1">
        <v>9.4760000000000009</v>
      </c>
      <c r="AF92" s="1">
        <v>8.6053999999999995</v>
      </c>
      <c r="AG92" s="1">
        <v>5.0423999999999998</v>
      </c>
      <c r="AH92" s="1"/>
      <c r="AI92" s="1">
        <f t="shared" si="26"/>
        <v>42.238088000000005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143</v>
      </c>
      <c r="B93" s="1" t="s">
        <v>43</v>
      </c>
      <c r="C93" s="1">
        <v>78</v>
      </c>
      <c r="D93" s="1"/>
      <c r="E93" s="1">
        <v>24</v>
      </c>
      <c r="F93" s="1">
        <v>54</v>
      </c>
      <c r="G93" s="8">
        <v>0.3</v>
      </c>
      <c r="H93" s="1">
        <v>40</v>
      </c>
      <c r="I93" s="1" t="s">
        <v>39</v>
      </c>
      <c r="J93" s="1"/>
      <c r="K93" s="1">
        <v>24</v>
      </c>
      <c r="L93" s="1">
        <f t="shared" si="19"/>
        <v>0</v>
      </c>
      <c r="M93" s="1">
        <f t="shared" si="20"/>
        <v>24</v>
      </c>
      <c r="N93" s="1"/>
      <c r="O93" s="1">
        <v>0</v>
      </c>
      <c r="P93" s="1"/>
      <c r="Q93" s="1">
        <v>0</v>
      </c>
      <c r="R93" s="1">
        <v>0</v>
      </c>
      <c r="S93" s="1">
        <f t="shared" si="21"/>
        <v>4.8</v>
      </c>
      <c r="T93" s="5">
        <f>12*S93-R93-P93-O93-F93</f>
        <v>3.5999999999999943</v>
      </c>
      <c r="U93" s="5"/>
      <c r="V93" s="1"/>
      <c r="W93" s="1"/>
      <c r="X93" s="1">
        <f t="shared" si="22"/>
        <v>12</v>
      </c>
      <c r="Y93" s="1">
        <f t="shared" si="23"/>
        <v>11.25</v>
      </c>
      <c r="Z93" s="1">
        <v>4.2</v>
      </c>
      <c r="AA93" s="1">
        <v>4.5999999999999996</v>
      </c>
      <c r="AB93" s="1">
        <v>5.6</v>
      </c>
      <c r="AC93" s="1">
        <v>7.6</v>
      </c>
      <c r="AD93" s="1">
        <v>5.8</v>
      </c>
      <c r="AE93" s="1">
        <v>3.8</v>
      </c>
      <c r="AF93" s="1">
        <v>3</v>
      </c>
      <c r="AG93" s="1">
        <v>3.4</v>
      </c>
      <c r="AH93" s="1"/>
      <c r="AI93" s="1">
        <f t="shared" si="26"/>
        <v>1.0799999999999983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144</v>
      </c>
      <c r="B94" s="1" t="s">
        <v>43</v>
      </c>
      <c r="C94" s="1">
        <v>34</v>
      </c>
      <c r="D94" s="1">
        <v>15</v>
      </c>
      <c r="E94" s="1">
        <v>17</v>
      </c>
      <c r="F94" s="1">
        <v>25</v>
      </c>
      <c r="G94" s="8">
        <v>0.12</v>
      </c>
      <c r="H94" s="1">
        <v>45</v>
      </c>
      <c r="I94" s="1" t="s">
        <v>39</v>
      </c>
      <c r="J94" s="1"/>
      <c r="K94" s="1">
        <v>27</v>
      </c>
      <c r="L94" s="1">
        <f t="shared" si="19"/>
        <v>-10</v>
      </c>
      <c r="M94" s="1">
        <f t="shared" si="20"/>
        <v>17</v>
      </c>
      <c r="N94" s="1"/>
      <c r="O94" s="1">
        <v>0</v>
      </c>
      <c r="P94" s="1"/>
      <c r="Q94" s="1">
        <v>0</v>
      </c>
      <c r="R94" s="1">
        <v>9</v>
      </c>
      <c r="S94" s="1">
        <f t="shared" si="21"/>
        <v>3.4</v>
      </c>
      <c r="T94" s="5">
        <f t="shared" si="28"/>
        <v>13.600000000000001</v>
      </c>
      <c r="U94" s="5"/>
      <c r="V94" s="1"/>
      <c r="W94" s="1"/>
      <c r="X94" s="1">
        <f t="shared" si="22"/>
        <v>14</v>
      </c>
      <c r="Y94" s="1">
        <f t="shared" si="23"/>
        <v>10</v>
      </c>
      <c r="Z94" s="1">
        <v>2.8</v>
      </c>
      <c r="AA94" s="1">
        <v>3.8</v>
      </c>
      <c r="AB94" s="1">
        <v>5</v>
      </c>
      <c r="AC94" s="1">
        <v>3.8</v>
      </c>
      <c r="AD94" s="1">
        <v>4.2</v>
      </c>
      <c r="AE94" s="1">
        <v>5.8</v>
      </c>
      <c r="AF94" s="1">
        <v>6.6</v>
      </c>
      <c r="AG94" s="1">
        <v>7.2</v>
      </c>
      <c r="AH94" s="1" t="s">
        <v>145</v>
      </c>
      <c r="AI94" s="1">
        <f t="shared" si="26"/>
        <v>1.6320000000000001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94" xr:uid="{617B01EA-5F73-4763-B10C-1F2AE9C7E37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2025-12-18T09:28:35Z</dcterms:created>
  <dcterms:modified xsi:type="dcterms:W3CDTF">2025-12-18T10:04:53Z</dcterms:modified>
</cp:coreProperties>
</file>