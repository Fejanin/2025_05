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ЗАВОДЫ\ПОКОМ\заказы\статистика филиалы\2025\11,25\27,11,25 ПОКОМ КИ филиалы\"/>
    </mc:Choice>
  </mc:AlternateContent>
  <xr:revisionPtr revIDLastSave="0" documentId="13_ncr:1_{75DDB7DB-BA39-4815-B03D-715D8E94AE2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7" i="1" l="1"/>
  <c r="AO8" i="1"/>
  <c r="AO12" i="1"/>
  <c r="AO13" i="1"/>
  <c r="AO14" i="1"/>
  <c r="AO17" i="1"/>
  <c r="AO19" i="1"/>
  <c r="AO20" i="1"/>
  <c r="AO24" i="1"/>
  <c r="AO26" i="1"/>
  <c r="AO27" i="1"/>
  <c r="AO28" i="1"/>
  <c r="AO29" i="1"/>
  <c r="AO30" i="1"/>
  <c r="AO31" i="1"/>
  <c r="AO32" i="1"/>
  <c r="AO33" i="1"/>
  <c r="AO35" i="1"/>
  <c r="AO37" i="1"/>
  <c r="AO39" i="1"/>
  <c r="AO40" i="1"/>
  <c r="AO41" i="1"/>
  <c r="AO42" i="1"/>
  <c r="AO43" i="1"/>
  <c r="AO44" i="1"/>
  <c r="AO45" i="1"/>
  <c r="AO46" i="1"/>
  <c r="AO47" i="1"/>
  <c r="AO49" i="1"/>
  <c r="AO50" i="1"/>
  <c r="AO51" i="1"/>
  <c r="AO52" i="1"/>
  <c r="AO53" i="1"/>
  <c r="AO54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6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6" i="1"/>
  <c r="AN7" i="1" l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6" i="1"/>
  <c r="W5" i="1"/>
  <c r="AN5" i="1" l="1"/>
  <c r="U13" i="1"/>
  <c r="V13" i="1" s="1"/>
  <c r="AM13" i="1" s="1"/>
  <c r="U19" i="1"/>
  <c r="V19" i="1" s="1"/>
  <c r="AM19" i="1" s="1"/>
  <c r="U20" i="1"/>
  <c r="V20" i="1" s="1"/>
  <c r="AM20" i="1" s="1"/>
  <c r="U24" i="1"/>
  <c r="V24" i="1" s="1"/>
  <c r="AM24" i="1" s="1"/>
  <c r="U26" i="1"/>
  <c r="V26" i="1" s="1"/>
  <c r="AM26" i="1" s="1"/>
  <c r="U27" i="1"/>
  <c r="V27" i="1" s="1"/>
  <c r="AM27" i="1" s="1"/>
  <c r="U29" i="1"/>
  <c r="V29" i="1" s="1"/>
  <c r="AM29" i="1" s="1"/>
  <c r="U30" i="1"/>
  <c r="V30" i="1" s="1"/>
  <c r="AM30" i="1" s="1"/>
  <c r="U31" i="1"/>
  <c r="V31" i="1" s="1"/>
  <c r="AM31" i="1" s="1"/>
  <c r="U32" i="1"/>
  <c r="V32" i="1" s="1"/>
  <c r="AM32" i="1" s="1"/>
  <c r="U33" i="1"/>
  <c r="V33" i="1" s="1"/>
  <c r="AM33" i="1" s="1"/>
  <c r="U35" i="1"/>
  <c r="V35" i="1" s="1"/>
  <c r="AM35" i="1" s="1"/>
  <c r="U43" i="1"/>
  <c r="V43" i="1" s="1"/>
  <c r="AM43" i="1" s="1"/>
  <c r="U44" i="1"/>
  <c r="V44" i="1" s="1"/>
  <c r="AM44" i="1" s="1"/>
  <c r="U49" i="1"/>
  <c r="V49" i="1" s="1"/>
  <c r="AM49" i="1" s="1"/>
  <c r="U54" i="1"/>
  <c r="V54" i="1" s="1"/>
  <c r="AM54" i="1" s="1"/>
  <c r="U59" i="1"/>
  <c r="V59" i="1" s="1"/>
  <c r="AM59" i="1" s="1"/>
  <c r="U60" i="1"/>
  <c r="V60" i="1" s="1"/>
  <c r="AM60" i="1" s="1"/>
  <c r="U68" i="1"/>
  <c r="V68" i="1" s="1"/>
  <c r="AM68" i="1" s="1"/>
  <c r="U69" i="1"/>
  <c r="V69" i="1" s="1"/>
  <c r="AM69" i="1" s="1"/>
  <c r="U70" i="1"/>
  <c r="V70" i="1" s="1"/>
  <c r="AM70" i="1" s="1"/>
  <c r="U71" i="1"/>
  <c r="V71" i="1" s="1"/>
  <c r="AM71" i="1" s="1"/>
  <c r="U73" i="1"/>
  <c r="V73" i="1" s="1"/>
  <c r="AM73" i="1" s="1"/>
  <c r="U74" i="1"/>
  <c r="V74" i="1" s="1"/>
  <c r="AM74" i="1" s="1"/>
  <c r="U76" i="1"/>
  <c r="V76" i="1" s="1"/>
  <c r="AM76" i="1" s="1"/>
  <c r="U79" i="1"/>
  <c r="V79" i="1" s="1"/>
  <c r="AM79" i="1" s="1"/>
  <c r="U82" i="1"/>
  <c r="V82" i="1" s="1"/>
  <c r="AM82" i="1" s="1"/>
  <c r="U83" i="1"/>
  <c r="V83" i="1" s="1"/>
  <c r="AM83" i="1" s="1"/>
  <c r="U87" i="1"/>
  <c r="V87" i="1" s="1"/>
  <c r="AM87" i="1" s="1"/>
  <c r="U89" i="1"/>
  <c r="V89" i="1" s="1"/>
  <c r="AM89" i="1" s="1"/>
  <c r="U94" i="1"/>
  <c r="V94" i="1" s="1"/>
  <c r="AM94" i="1" s="1"/>
  <c r="U95" i="1"/>
  <c r="V95" i="1" s="1"/>
  <c r="AM95" i="1" s="1"/>
  <c r="U6" i="1"/>
  <c r="V6" i="1" s="1"/>
  <c r="AM6" i="1" s="1"/>
  <c r="U7" i="1"/>
  <c r="V7" i="1" s="1"/>
  <c r="AM7" i="1" s="1"/>
  <c r="AA5" i="1" l="1"/>
  <c r="M7" i="1"/>
  <c r="R7" i="1" s="1"/>
  <c r="AB7" i="1" s="1"/>
  <c r="M8" i="1"/>
  <c r="R8" i="1" s="1"/>
  <c r="M9" i="1"/>
  <c r="R9" i="1" s="1"/>
  <c r="M10" i="1"/>
  <c r="R10" i="1" s="1"/>
  <c r="M11" i="1"/>
  <c r="R11" i="1" s="1"/>
  <c r="M12" i="1"/>
  <c r="R12" i="1" s="1"/>
  <c r="M13" i="1"/>
  <c r="R13" i="1" s="1"/>
  <c r="AB13" i="1" s="1"/>
  <c r="M14" i="1"/>
  <c r="R14" i="1" s="1"/>
  <c r="M15" i="1"/>
  <c r="R15" i="1" s="1"/>
  <c r="M16" i="1"/>
  <c r="R16" i="1" s="1"/>
  <c r="M17" i="1"/>
  <c r="R17" i="1" s="1"/>
  <c r="M18" i="1"/>
  <c r="R18" i="1" s="1"/>
  <c r="M19" i="1"/>
  <c r="R19" i="1" s="1"/>
  <c r="AB19" i="1" s="1"/>
  <c r="M20" i="1"/>
  <c r="R20" i="1" s="1"/>
  <c r="AB20" i="1" s="1"/>
  <c r="M21" i="1"/>
  <c r="R21" i="1" s="1"/>
  <c r="M22" i="1"/>
  <c r="R22" i="1" s="1"/>
  <c r="X22" i="1" s="1"/>
  <c r="AO22" i="1" s="1"/>
  <c r="M23" i="1"/>
  <c r="R23" i="1" s="1"/>
  <c r="M24" i="1"/>
  <c r="R24" i="1" s="1"/>
  <c r="AB24" i="1" s="1"/>
  <c r="M25" i="1"/>
  <c r="R25" i="1" s="1"/>
  <c r="M26" i="1"/>
  <c r="R26" i="1" s="1"/>
  <c r="AB26" i="1" s="1"/>
  <c r="M27" i="1"/>
  <c r="R27" i="1" s="1"/>
  <c r="AB27" i="1" s="1"/>
  <c r="M28" i="1"/>
  <c r="R28" i="1" s="1"/>
  <c r="S28" i="1" s="1"/>
  <c r="U28" i="1" s="1"/>
  <c r="V28" i="1" s="1"/>
  <c r="AM28" i="1" s="1"/>
  <c r="M29" i="1"/>
  <c r="R29" i="1" s="1"/>
  <c r="AB29" i="1" s="1"/>
  <c r="M30" i="1"/>
  <c r="R30" i="1" s="1"/>
  <c r="AB30" i="1" s="1"/>
  <c r="M31" i="1"/>
  <c r="R31" i="1" s="1"/>
  <c r="AB31" i="1" s="1"/>
  <c r="M32" i="1"/>
  <c r="R32" i="1" s="1"/>
  <c r="AB32" i="1" s="1"/>
  <c r="M33" i="1"/>
  <c r="R33" i="1" s="1"/>
  <c r="AB33" i="1" s="1"/>
  <c r="M34" i="1"/>
  <c r="R34" i="1" s="1"/>
  <c r="X34" i="1" s="1"/>
  <c r="AO34" i="1" s="1"/>
  <c r="M35" i="1"/>
  <c r="R35" i="1" s="1"/>
  <c r="AB35" i="1" s="1"/>
  <c r="M36" i="1"/>
  <c r="R36" i="1" s="1"/>
  <c r="X36" i="1" s="1"/>
  <c r="AO36" i="1" s="1"/>
  <c r="M37" i="1"/>
  <c r="R37" i="1" s="1"/>
  <c r="S37" i="1" s="1"/>
  <c r="U37" i="1" s="1"/>
  <c r="V37" i="1" s="1"/>
  <c r="AM37" i="1" s="1"/>
  <c r="M38" i="1"/>
  <c r="R38" i="1" s="1"/>
  <c r="X38" i="1" s="1"/>
  <c r="AO38" i="1" s="1"/>
  <c r="M39" i="1"/>
  <c r="R39" i="1" s="1"/>
  <c r="M40" i="1"/>
  <c r="R40" i="1" s="1"/>
  <c r="S40" i="1" s="1"/>
  <c r="U40" i="1" s="1"/>
  <c r="V40" i="1" s="1"/>
  <c r="AM40" i="1" s="1"/>
  <c r="M41" i="1"/>
  <c r="R41" i="1" s="1"/>
  <c r="M42" i="1"/>
  <c r="R42" i="1" s="1"/>
  <c r="S42" i="1" s="1"/>
  <c r="U42" i="1" s="1"/>
  <c r="V42" i="1" s="1"/>
  <c r="AM42" i="1" s="1"/>
  <c r="M43" i="1"/>
  <c r="R43" i="1" s="1"/>
  <c r="AB43" i="1" s="1"/>
  <c r="M44" i="1"/>
  <c r="R44" i="1" s="1"/>
  <c r="AB44" i="1" s="1"/>
  <c r="M45" i="1"/>
  <c r="R45" i="1" s="1"/>
  <c r="M46" i="1"/>
  <c r="R46" i="1" s="1"/>
  <c r="S46" i="1" s="1"/>
  <c r="U46" i="1" s="1"/>
  <c r="V46" i="1" s="1"/>
  <c r="AM46" i="1" s="1"/>
  <c r="M47" i="1"/>
  <c r="R47" i="1" s="1"/>
  <c r="M48" i="1"/>
  <c r="R48" i="1" s="1"/>
  <c r="X48" i="1" s="1"/>
  <c r="AO48" i="1" s="1"/>
  <c r="M49" i="1"/>
  <c r="R49" i="1" s="1"/>
  <c r="AB49" i="1" s="1"/>
  <c r="M50" i="1"/>
  <c r="R50" i="1" s="1"/>
  <c r="M51" i="1"/>
  <c r="R51" i="1" s="1"/>
  <c r="M52" i="1"/>
  <c r="R52" i="1" s="1"/>
  <c r="M53" i="1"/>
  <c r="R53" i="1" s="1"/>
  <c r="S53" i="1" s="1"/>
  <c r="U53" i="1" s="1"/>
  <c r="V53" i="1" s="1"/>
  <c r="AM53" i="1" s="1"/>
  <c r="M54" i="1"/>
  <c r="R54" i="1" s="1"/>
  <c r="AB54" i="1" s="1"/>
  <c r="M55" i="1"/>
  <c r="R55" i="1" s="1"/>
  <c r="M56" i="1"/>
  <c r="R56" i="1" s="1"/>
  <c r="M57" i="1"/>
  <c r="R57" i="1" s="1"/>
  <c r="M58" i="1"/>
  <c r="R58" i="1" s="1"/>
  <c r="M59" i="1"/>
  <c r="R59" i="1" s="1"/>
  <c r="AB59" i="1" s="1"/>
  <c r="M60" i="1"/>
  <c r="R60" i="1" s="1"/>
  <c r="AB60" i="1" s="1"/>
  <c r="M61" i="1"/>
  <c r="R61" i="1" s="1"/>
  <c r="M62" i="1"/>
  <c r="R62" i="1" s="1"/>
  <c r="M63" i="1"/>
  <c r="R63" i="1" s="1"/>
  <c r="M64" i="1"/>
  <c r="R64" i="1" s="1"/>
  <c r="M65" i="1"/>
  <c r="R65" i="1" s="1"/>
  <c r="M66" i="1"/>
  <c r="R66" i="1" s="1"/>
  <c r="M67" i="1"/>
  <c r="R67" i="1" s="1"/>
  <c r="M68" i="1"/>
  <c r="R68" i="1" s="1"/>
  <c r="AB68" i="1" s="1"/>
  <c r="M69" i="1"/>
  <c r="R69" i="1" s="1"/>
  <c r="AB69" i="1" s="1"/>
  <c r="M70" i="1"/>
  <c r="R70" i="1" s="1"/>
  <c r="AB70" i="1" s="1"/>
  <c r="M71" i="1"/>
  <c r="R71" i="1" s="1"/>
  <c r="AB71" i="1" s="1"/>
  <c r="M72" i="1"/>
  <c r="R72" i="1" s="1"/>
  <c r="S72" i="1" s="1"/>
  <c r="U72" i="1" s="1"/>
  <c r="V72" i="1" s="1"/>
  <c r="AM72" i="1" s="1"/>
  <c r="M73" i="1"/>
  <c r="R73" i="1" s="1"/>
  <c r="AB73" i="1" s="1"/>
  <c r="M74" i="1"/>
  <c r="R74" i="1" s="1"/>
  <c r="AB74" i="1" s="1"/>
  <c r="M75" i="1"/>
  <c r="R75" i="1" s="1"/>
  <c r="M76" i="1"/>
  <c r="R76" i="1" s="1"/>
  <c r="AB76" i="1" s="1"/>
  <c r="M77" i="1"/>
  <c r="R77" i="1" s="1"/>
  <c r="M78" i="1"/>
  <c r="R78" i="1" s="1"/>
  <c r="M79" i="1"/>
  <c r="R79" i="1" s="1"/>
  <c r="AB79" i="1" s="1"/>
  <c r="M80" i="1"/>
  <c r="R80" i="1" s="1"/>
  <c r="M81" i="1"/>
  <c r="R81" i="1" s="1"/>
  <c r="M82" i="1"/>
  <c r="R82" i="1" s="1"/>
  <c r="AB82" i="1" s="1"/>
  <c r="M83" i="1"/>
  <c r="R83" i="1" s="1"/>
  <c r="AB83" i="1" s="1"/>
  <c r="M84" i="1"/>
  <c r="R84" i="1" s="1"/>
  <c r="M85" i="1"/>
  <c r="R85" i="1" s="1"/>
  <c r="M86" i="1"/>
  <c r="R86" i="1" s="1"/>
  <c r="M87" i="1"/>
  <c r="R87" i="1" s="1"/>
  <c r="AB87" i="1" s="1"/>
  <c r="M88" i="1"/>
  <c r="R88" i="1" s="1"/>
  <c r="S88" i="1" s="1"/>
  <c r="U88" i="1" s="1"/>
  <c r="V88" i="1" s="1"/>
  <c r="AM88" i="1" s="1"/>
  <c r="M89" i="1"/>
  <c r="R89" i="1" s="1"/>
  <c r="AB89" i="1" s="1"/>
  <c r="M90" i="1"/>
  <c r="R90" i="1" s="1"/>
  <c r="S90" i="1" s="1"/>
  <c r="U90" i="1" s="1"/>
  <c r="V90" i="1" s="1"/>
  <c r="AM90" i="1" s="1"/>
  <c r="M91" i="1"/>
  <c r="R91" i="1" s="1"/>
  <c r="M92" i="1"/>
  <c r="R92" i="1" s="1"/>
  <c r="S92" i="1" s="1"/>
  <c r="U92" i="1" s="1"/>
  <c r="V92" i="1" s="1"/>
  <c r="AM92" i="1" s="1"/>
  <c r="M93" i="1"/>
  <c r="R93" i="1" s="1"/>
  <c r="AC93" i="1" s="1"/>
  <c r="M94" i="1"/>
  <c r="R94" i="1" s="1"/>
  <c r="AB94" i="1" s="1"/>
  <c r="M95" i="1"/>
  <c r="R95" i="1" s="1"/>
  <c r="M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K5" i="1"/>
  <c r="AJ5" i="1"/>
  <c r="AI5" i="1"/>
  <c r="AH5" i="1"/>
  <c r="AG5" i="1"/>
  <c r="AF5" i="1"/>
  <c r="AE5" i="1"/>
  <c r="AD5" i="1"/>
  <c r="Y5" i="1"/>
  <c r="P5" i="1"/>
  <c r="O5" i="1"/>
  <c r="N5" i="1"/>
  <c r="K5" i="1"/>
  <c r="F5" i="1"/>
  <c r="E5" i="1"/>
  <c r="T77" i="1" l="1"/>
  <c r="X77" i="1"/>
  <c r="AO77" i="1" s="1"/>
  <c r="T75" i="1"/>
  <c r="X75" i="1"/>
  <c r="AO75" i="1" s="1"/>
  <c r="T55" i="1"/>
  <c r="X55" i="1"/>
  <c r="AO55" i="1" s="1"/>
  <c r="T25" i="1"/>
  <c r="X25" i="1"/>
  <c r="AO25" i="1" s="1"/>
  <c r="T23" i="1"/>
  <c r="X23" i="1"/>
  <c r="AO23" i="1" s="1"/>
  <c r="T21" i="1"/>
  <c r="X21" i="1"/>
  <c r="AO21" i="1" s="1"/>
  <c r="T15" i="1"/>
  <c r="X15" i="1"/>
  <c r="AO15" i="1" s="1"/>
  <c r="T11" i="1"/>
  <c r="X11" i="1"/>
  <c r="AO11" i="1" s="1"/>
  <c r="T9" i="1"/>
  <c r="X9" i="1"/>
  <c r="T78" i="1"/>
  <c r="X78" i="1"/>
  <c r="AO78" i="1" s="1"/>
  <c r="T18" i="1"/>
  <c r="X18" i="1"/>
  <c r="AO18" i="1" s="1"/>
  <c r="T16" i="1"/>
  <c r="X16" i="1"/>
  <c r="AO16" i="1" s="1"/>
  <c r="T10" i="1"/>
  <c r="X10" i="1"/>
  <c r="AO10" i="1" s="1"/>
  <c r="S48" i="1"/>
  <c r="T48" i="1"/>
  <c r="S38" i="1"/>
  <c r="T38" i="1"/>
  <c r="T36" i="1"/>
  <c r="U36" i="1" s="1"/>
  <c r="V36" i="1" s="1"/>
  <c r="AM36" i="1" s="1"/>
  <c r="S34" i="1"/>
  <c r="T34" i="1"/>
  <c r="S22" i="1"/>
  <c r="T22" i="1"/>
  <c r="AB92" i="1"/>
  <c r="AB90" i="1"/>
  <c r="AB88" i="1"/>
  <c r="AB72" i="1"/>
  <c r="AB46" i="1"/>
  <c r="AB42" i="1"/>
  <c r="AB40" i="1"/>
  <c r="AB28" i="1"/>
  <c r="AC95" i="1"/>
  <c r="AB95" i="1"/>
  <c r="AB53" i="1"/>
  <c r="AB37" i="1"/>
  <c r="S9" i="1"/>
  <c r="S11" i="1"/>
  <c r="U11" i="1" s="1"/>
  <c r="V11" i="1" s="1"/>
  <c r="AM11" i="1" s="1"/>
  <c r="S15" i="1"/>
  <c r="S17" i="1"/>
  <c r="U17" i="1" s="1"/>
  <c r="V17" i="1" s="1"/>
  <c r="AM17" i="1" s="1"/>
  <c r="S51" i="1"/>
  <c r="U51" i="1" s="1"/>
  <c r="V51" i="1" s="1"/>
  <c r="AM51" i="1" s="1"/>
  <c r="S55" i="1"/>
  <c r="U55" i="1" s="1"/>
  <c r="V55" i="1" s="1"/>
  <c r="AM55" i="1" s="1"/>
  <c r="S57" i="1"/>
  <c r="U57" i="1" s="1"/>
  <c r="V57" i="1" s="1"/>
  <c r="AM57" i="1" s="1"/>
  <c r="S61" i="1"/>
  <c r="U61" i="1" s="1"/>
  <c r="V61" i="1" s="1"/>
  <c r="AM61" i="1" s="1"/>
  <c r="S63" i="1"/>
  <c r="U63" i="1" s="1"/>
  <c r="V63" i="1" s="1"/>
  <c r="AM63" i="1" s="1"/>
  <c r="S65" i="1"/>
  <c r="U65" i="1" s="1"/>
  <c r="V65" i="1" s="1"/>
  <c r="AM65" i="1" s="1"/>
  <c r="S67" i="1"/>
  <c r="U67" i="1" s="1"/>
  <c r="V67" i="1" s="1"/>
  <c r="AM67" i="1" s="1"/>
  <c r="S75" i="1"/>
  <c r="U75" i="1" s="1"/>
  <c r="V75" i="1" s="1"/>
  <c r="AM75" i="1" s="1"/>
  <c r="S77" i="1"/>
  <c r="S81" i="1"/>
  <c r="U81" i="1" s="1"/>
  <c r="V81" i="1" s="1"/>
  <c r="AM81" i="1" s="1"/>
  <c r="S85" i="1"/>
  <c r="U85" i="1" s="1"/>
  <c r="V85" i="1" s="1"/>
  <c r="AM85" i="1" s="1"/>
  <c r="S8" i="1"/>
  <c r="U8" i="1" s="1"/>
  <c r="V8" i="1" s="1"/>
  <c r="S10" i="1"/>
  <c r="S12" i="1"/>
  <c r="U12" i="1" s="1"/>
  <c r="V12" i="1" s="1"/>
  <c r="AM12" i="1" s="1"/>
  <c r="S14" i="1"/>
  <c r="U14" i="1" s="1"/>
  <c r="V14" i="1" s="1"/>
  <c r="AM14" i="1" s="1"/>
  <c r="S16" i="1"/>
  <c r="U16" i="1" s="1"/>
  <c r="V16" i="1" s="1"/>
  <c r="AM16" i="1" s="1"/>
  <c r="S18" i="1"/>
  <c r="S21" i="1"/>
  <c r="U21" i="1" s="1"/>
  <c r="V21" i="1" s="1"/>
  <c r="AM21" i="1" s="1"/>
  <c r="S23" i="1"/>
  <c r="S25" i="1"/>
  <c r="U25" i="1" s="1"/>
  <c r="V25" i="1" s="1"/>
  <c r="AM25" i="1" s="1"/>
  <c r="S39" i="1"/>
  <c r="U39" i="1" s="1"/>
  <c r="V39" i="1" s="1"/>
  <c r="AM39" i="1" s="1"/>
  <c r="S41" i="1"/>
  <c r="U41" i="1" s="1"/>
  <c r="V41" i="1" s="1"/>
  <c r="AM41" i="1" s="1"/>
  <c r="S45" i="1"/>
  <c r="U45" i="1" s="1"/>
  <c r="V45" i="1" s="1"/>
  <c r="AM45" i="1" s="1"/>
  <c r="S47" i="1"/>
  <c r="U47" i="1" s="1"/>
  <c r="V47" i="1" s="1"/>
  <c r="AM47" i="1" s="1"/>
  <c r="S50" i="1"/>
  <c r="U50" i="1" s="1"/>
  <c r="V50" i="1" s="1"/>
  <c r="AM50" i="1" s="1"/>
  <c r="S52" i="1"/>
  <c r="U52" i="1" s="1"/>
  <c r="V52" i="1" s="1"/>
  <c r="AM52" i="1" s="1"/>
  <c r="S56" i="1"/>
  <c r="U56" i="1" s="1"/>
  <c r="V56" i="1" s="1"/>
  <c r="AM56" i="1" s="1"/>
  <c r="S58" i="1"/>
  <c r="U58" i="1" s="1"/>
  <c r="V58" i="1" s="1"/>
  <c r="AM58" i="1" s="1"/>
  <c r="S62" i="1"/>
  <c r="U62" i="1" s="1"/>
  <c r="V62" i="1" s="1"/>
  <c r="AM62" i="1" s="1"/>
  <c r="S64" i="1"/>
  <c r="U64" i="1" s="1"/>
  <c r="V64" i="1" s="1"/>
  <c r="AM64" i="1" s="1"/>
  <c r="S66" i="1"/>
  <c r="U66" i="1" s="1"/>
  <c r="V66" i="1" s="1"/>
  <c r="AM66" i="1" s="1"/>
  <c r="S78" i="1"/>
  <c r="U78" i="1" s="1"/>
  <c r="V78" i="1" s="1"/>
  <c r="AM78" i="1" s="1"/>
  <c r="S80" i="1"/>
  <c r="U80" i="1" s="1"/>
  <c r="V80" i="1" s="1"/>
  <c r="AM80" i="1" s="1"/>
  <c r="S84" i="1"/>
  <c r="U84" i="1" s="1"/>
  <c r="V84" i="1" s="1"/>
  <c r="AM84" i="1" s="1"/>
  <c r="S86" i="1"/>
  <c r="U86" i="1" s="1"/>
  <c r="V86" i="1" s="1"/>
  <c r="AM86" i="1" s="1"/>
  <c r="S91" i="1"/>
  <c r="U91" i="1" s="1"/>
  <c r="V91" i="1" s="1"/>
  <c r="AM91" i="1" s="1"/>
  <c r="S93" i="1"/>
  <c r="U93" i="1" s="1"/>
  <c r="V93" i="1" s="1"/>
  <c r="AM93" i="1" s="1"/>
  <c r="AC94" i="1"/>
  <c r="AC92" i="1"/>
  <c r="AC90" i="1"/>
  <c r="AC88" i="1"/>
  <c r="AC86" i="1"/>
  <c r="AC84" i="1"/>
  <c r="AC82" i="1"/>
  <c r="AC80" i="1"/>
  <c r="AC78" i="1"/>
  <c r="AC76" i="1"/>
  <c r="AC74" i="1"/>
  <c r="AC72" i="1"/>
  <c r="AC70" i="1"/>
  <c r="AC68" i="1"/>
  <c r="AC66" i="1"/>
  <c r="AC64" i="1"/>
  <c r="AC62" i="1"/>
  <c r="AC60" i="1"/>
  <c r="AC58" i="1"/>
  <c r="AC56" i="1"/>
  <c r="AC54" i="1"/>
  <c r="AC52" i="1"/>
  <c r="AC50" i="1"/>
  <c r="AC48" i="1"/>
  <c r="AC46" i="1"/>
  <c r="AC44" i="1"/>
  <c r="AC42" i="1"/>
  <c r="AC40" i="1"/>
  <c r="AC38" i="1"/>
  <c r="AC36" i="1"/>
  <c r="AC34" i="1"/>
  <c r="AC32" i="1"/>
  <c r="AC30" i="1"/>
  <c r="AC28" i="1"/>
  <c r="AC26" i="1"/>
  <c r="AC24" i="1"/>
  <c r="AC22" i="1"/>
  <c r="AC20" i="1"/>
  <c r="AC18" i="1"/>
  <c r="AC16" i="1"/>
  <c r="AC14" i="1"/>
  <c r="AC12" i="1"/>
  <c r="AC10" i="1"/>
  <c r="AC8" i="1"/>
  <c r="AC91" i="1"/>
  <c r="AC89" i="1"/>
  <c r="AC87" i="1"/>
  <c r="AC85" i="1"/>
  <c r="AC83" i="1"/>
  <c r="AC81" i="1"/>
  <c r="AC79" i="1"/>
  <c r="AC77" i="1"/>
  <c r="AC75" i="1"/>
  <c r="AC73" i="1"/>
  <c r="AC71" i="1"/>
  <c r="AC69" i="1"/>
  <c r="AC67" i="1"/>
  <c r="AC65" i="1"/>
  <c r="AC63" i="1"/>
  <c r="AC61" i="1"/>
  <c r="AC59" i="1"/>
  <c r="AC57" i="1"/>
  <c r="AC55" i="1"/>
  <c r="AC53" i="1"/>
  <c r="AC51" i="1"/>
  <c r="AC49" i="1"/>
  <c r="AC47" i="1"/>
  <c r="AC45" i="1"/>
  <c r="AC43" i="1"/>
  <c r="AC41" i="1"/>
  <c r="AC39" i="1"/>
  <c r="AC37" i="1"/>
  <c r="AC35" i="1"/>
  <c r="AC33" i="1"/>
  <c r="AC31" i="1"/>
  <c r="AC29" i="1"/>
  <c r="AC27" i="1"/>
  <c r="AC25" i="1"/>
  <c r="AC23" i="1"/>
  <c r="AC21" i="1"/>
  <c r="AC19" i="1"/>
  <c r="AC17" i="1"/>
  <c r="AC15" i="1"/>
  <c r="AC13" i="1"/>
  <c r="AC11" i="1"/>
  <c r="AC9" i="1"/>
  <c r="AC7" i="1"/>
  <c r="M5" i="1"/>
  <c r="L5" i="1"/>
  <c r="R6" i="1"/>
  <c r="AB6" i="1" s="1"/>
  <c r="Q5" i="1"/>
  <c r="T5" i="1" l="1"/>
  <c r="U23" i="1"/>
  <c r="V23" i="1" s="1"/>
  <c r="AM23" i="1" s="1"/>
  <c r="U18" i="1"/>
  <c r="V18" i="1" s="1"/>
  <c r="AM18" i="1" s="1"/>
  <c r="U10" i="1"/>
  <c r="V10" i="1" s="1"/>
  <c r="AM10" i="1" s="1"/>
  <c r="U77" i="1"/>
  <c r="V77" i="1" s="1"/>
  <c r="AM77" i="1" s="1"/>
  <c r="U15" i="1"/>
  <c r="V15" i="1" s="1"/>
  <c r="AM15" i="1" s="1"/>
  <c r="U9" i="1"/>
  <c r="V9" i="1" s="1"/>
  <c r="AM9" i="1" s="1"/>
  <c r="AO9" i="1"/>
  <c r="AO5" i="1" s="1"/>
  <c r="X5" i="1"/>
  <c r="AM8" i="1"/>
  <c r="U22" i="1"/>
  <c r="V22" i="1" s="1"/>
  <c r="AM22" i="1" s="1"/>
  <c r="U34" i="1"/>
  <c r="V34" i="1" s="1"/>
  <c r="AM34" i="1" s="1"/>
  <c r="AB36" i="1"/>
  <c r="U38" i="1"/>
  <c r="V38" i="1" s="1"/>
  <c r="AM38" i="1" s="1"/>
  <c r="U48" i="1"/>
  <c r="V48" i="1" s="1"/>
  <c r="AM48" i="1" s="1"/>
  <c r="AB91" i="1"/>
  <c r="AB84" i="1"/>
  <c r="AB78" i="1"/>
  <c r="AB64" i="1"/>
  <c r="AB58" i="1"/>
  <c r="AB52" i="1"/>
  <c r="AB47" i="1"/>
  <c r="AB41" i="1"/>
  <c r="AB25" i="1"/>
  <c r="AB21" i="1"/>
  <c r="AB16" i="1"/>
  <c r="AB12" i="1"/>
  <c r="AB8" i="1"/>
  <c r="AB81" i="1"/>
  <c r="AB75" i="1"/>
  <c r="AB65" i="1"/>
  <c r="AB61" i="1"/>
  <c r="AB55" i="1"/>
  <c r="AB17" i="1"/>
  <c r="AB11" i="1"/>
  <c r="AB93" i="1"/>
  <c r="AB86" i="1"/>
  <c r="AB80" i="1"/>
  <c r="AB66" i="1"/>
  <c r="AB62" i="1"/>
  <c r="AB56" i="1"/>
  <c r="AB50" i="1"/>
  <c r="AB45" i="1"/>
  <c r="AB39" i="1"/>
  <c r="AB23" i="1"/>
  <c r="AB18" i="1"/>
  <c r="AB14" i="1"/>
  <c r="AB85" i="1"/>
  <c r="AB77" i="1"/>
  <c r="AB67" i="1"/>
  <c r="AB63" i="1"/>
  <c r="AB57" i="1"/>
  <c r="AB51" i="1"/>
  <c r="AB15" i="1"/>
  <c r="AB9" i="1"/>
  <c r="S5" i="1"/>
  <c r="R5" i="1"/>
  <c r="AC6" i="1"/>
  <c r="AB10" i="1" l="1"/>
  <c r="U5" i="1"/>
  <c r="V5" i="1"/>
  <c r="AB38" i="1"/>
  <c r="AB34" i="1"/>
  <c r="AB48" i="1"/>
  <c r="AB22" i="1"/>
  <c r="AM5" i="1"/>
</calcChain>
</file>

<file path=xl/sharedStrings.xml><?xml version="1.0" encoding="utf-8"?>
<sst xmlns="http://schemas.openxmlformats.org/spreadsheetml/2006/main" count="374" uniqueCount="157">
  <si>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</si>
  <si>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</si>
  <si>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</si>
  <si>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</si>
  <si>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</si>
  <si>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</si>
  <si>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</si>
  <si>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</si>
  <si>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</si>
  <si>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</si>
  <si>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</si>
  <si>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</si>
  <si>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</si>
  <si>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</si>
  <si>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</si>
  <si>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</si>
  <si>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</si>
  <si>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</si>
  <si>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</si>
  <si>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</si>
  <si>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</si>
  <si>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</si>
  <si>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</si>
  <si>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</si>
  <si>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26,11,</t>
  </si>
  <si>
    <t>29,11,</t>
  </si>
  <si>
    <t>27,11,</t>
  </si>
  <si>
    <t>25,11,</t>
  </si>
  <si>
    <t>20,11,</t>
  </si>
  <si>
    <t>18,11,</t>
  </si>
  <si>
    <t>13,11,</t>
  </si>
  <si>
    <t>11,11,</t>
  </si>
  <si>
    <t>06,11,</t>
  </si>
  <si>
    <t>04,11,</t>
  </si>
  <si>
    <t>30,10,</t>
  </si>
  <si>
    <t xml:space="preserve"> 004   Колбаса Вязанка со шпиком, вектор ВЕС, ПОКОМ</t>
  </si>
  <si>
    <t>кг</t>
  </si>
  <si>
    <t>не в матрице</t>
  </si>
  <si>
    <t xml:space="preserve"> 005  Колбаса Докторская ГОСТ, Вязанка вектор,ВЕС. ПОКОМ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</si>
  <si>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</si>
  <si>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</si>
  <si>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</si>
  <si>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</si>
  <si>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</si>
  <si>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</si>
  <si>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</si>
  <si>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</si>
  <si>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</si>
  <si>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</si>
  <si>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</si>
  <si>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</si>
  <si>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</si>
  <si>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</si>
  <si>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</si>
  <si>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</si>
  <si>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</si>
  <si>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</si>
  <si>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</si>
  <si>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</si>
  <si>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</si>
  <si>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</si>
  <si>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</si>
  <si>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</si>
  <si>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</si>
  <si>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</si>
  <si>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</si>
  <si>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</si>
  <si>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</si>
  <si>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</si>
  <si>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</si>
  <si>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</si>
  <si>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23,06,25 в уценку 6кг / 22,04,25 в уценку 34 кг / 25,01,25 в уценку 108кг</t>
  </si>
  <si>
    <t xml:space="preserve"> 273  Сосиски Сочинки с сочной грудинкой, МГС 0.4кг,   ПОКОМ</t>
  </si>
  <si>
    <t>ТМА ноябрь_декабрь / ТС Обжора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</si>
  <si>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</si>
  <si>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</si>
  <si>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</si>
  <si>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</si>
  <si>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</si>
  <si>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</si>
  <si>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</si>
  <si>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</si>
  <si>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</si>
  <si>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</si>
  <si>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</si>
  <si>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</si>
  <si>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</si>
  <si>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</si>
  <si>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</si>
  <si>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</si>
  <si>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</si>
  <si>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</si>
  <si>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</si>
  <si>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</si>
  <si>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ТМА ноябрь_декабрь / 20,01,25 в уценку 86шт.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</si>
  <si>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</si>
  <si>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</si>
  <si>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</si>
  <si>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</si>
  <si>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29,04,25 в уценку 30кг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</si>
  <si>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</si>
  <si>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</si>
  <si>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</si>
  <si>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</si>
  <si>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</si>
  <si>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</si>
  <si>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</si>
  <si>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</si>
  <si>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</si>
  <si>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</si>
  <si>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</si>
  <si>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</si>
  <si>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</si>
  <si>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</si>
  <si>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</si>
  <si>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</si>
  <si>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</si>
  <si>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</si>
  <si>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>нет потребности / 02,06,25 в уценку 8шт.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</si>
  <si>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</si>
  <si>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</si>
  <si>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</si>
  <si>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</si>
  <si>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>ТМА ноябрь_декабрь / 22,01,25 в уценку 1989кг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</si>
  <si>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</si>
  <si>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</si>
  <si>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</si>
  <si>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</si>
  <si>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</si>
  <si>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</si>
  <si>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</si>
  <si>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</si>
  <si>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</si>
  <si>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</si>
  <si>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</si>
  <si>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31,10,25 списание 14шт (сроки)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</si>
  <si>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</si>
  <si>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</si>
  <si>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</si>
  <si>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</si>
  <si>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31,01,25 в уценку 96шт.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</si>
  <si>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</si>
  <si>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</si>
  <si>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</si>
  <si>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25,05,25 в уценку 56шт.</t>
  </si>
  <si>
    <t>522  Колбаса Гвардейская с/к ТМ Стародворье  ПОКОМ</t>
  </si>
  <si>
    <t>17,09,25 списание 20кг / нет в бланке</t>
  </si>
  <si>
    <t>Бутырин(29,11)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</si>
  <si>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</si>
  <si>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нет в бланке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</si>
  <si>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новинка</t>
    </r>
  </si>
  <si>
    <t>до машины</t>
  </si>
  <si>
    <t>итого</t>
  </si>
  <si>
    <t>заказ</t>
  </si>
  <si>
    <t>30,11,</t>
  </si>
  <si>
    <t>01,12,</t>
  </si>
  <si>
    <t>03,12,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</si>
</sst>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4" fillId="8" borderId="1" xfId="1" applyNumberFormat="1" applyFont="1" applyFill="1"/>
    <xf numFmtId="164" fontId="6" fillId="8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&#1047;&#1040;&#1042;&#1054;&#1044;&#1067;/&#1055;&#1054;&#1050;&#1054;&#1052;/&#1054;&#1055;&#1058;&#1099;/2025/11,25/24,11,25%20&#1041;&#1091;&#1090;&#1099;&#1088;&#1080;&#1085;%20&#1085;&#1072;%20&#1087;&#1086;&#1075;&#1088;&#1091;&#1079;&#1082;&#1091;%20&#1089;%20&#1092;&#1080;&#1083;&#1080;&#1072;&#1083;&#1072;&#1084;&#1080;%2029,11,25/&#1041;&#1091;&#1090;&#1099;&#1088;&#1080;&#1085;%20&#1044;.&#1042;%2002.12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1">
          <cell r="A1" t="str">
            <v xml:space="preserve">Ип Бутырин Д.В Донецк Отоская 79а 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крат</v>
          </cell>
          <cell r="D3" t="str">
            <v>заказ шт/кг</v>
          </cell>
        </row>
        <row r="4">
          <cell r="D4">
            <v>2283</v>
          </cell>
        </row>
        <row r="5">
          <cell r="A5" t="str">
            <v xml:space="preserve"> 005  Колбаса Докторская ГОСТ, Вязанка вектор,ВЕС. ПОКОМ</v>
          </cell>
          <cell r="B5" t="str">
            <v>кг</v>
          </cell>
          <cell r="C5">
            <v>1</v>
          </cell>
        </row>
        <row r="6">
          <cell r="A6" t="str">
            <v xml:space="preserve"> 016  Сосиски Вязанка Молочные, Вязанка вискофан  ВЕС.ПОКОМ</v>
          </cell>
          <cell r="B6" t="str">
            <v>кг</v>
          </cell>
          <cell r="C6">
            <v>1</v>
          </cell>
          <cell r="D6">
            <v>126</v>
          </cell>
        </row>
        <row r="7">
          <cell r="A7" t="str">
            <v xml:space="preserve"> 017  Сосиски Вязанка Сливочные, Вязанка амицел ВЕС.ПОКОМ</v>
          </cell>
          <cell r="B7" t="str">
            <v>кг</v>
          </cell>
          <cell r="C7">
            <v>1</v>
          </cell>
          <cell r="D7">
            <v>124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B8" t="str">
            <v>шт</v>
          </cell>
          <cell r="C8">
            <v>0.45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B9" t="str">
            <v>шт</v>
          </cell>
          <cell r="C9">
            <v>0.45</v>
          </cell>
        </row>
        <row r="10">
          <cell r="A10" t="str">
            <v xml:space="preserve"> 047  Кол Баварская, белков.обол. в термоусад. пакете 0.17 кг, ТМ Стародворье  ПОКОМ</v>
          </cell>
          <cell r="B10" t="str">
            <v>шт</v>
          </cell>
          <cell r="C10">
            <v>0.17</v>
          </cell>
        </row>
        <row r="11">
          <cell r="A11" t="str">
            <v xml:space="preserve"> 062  Колбаса Кракушка пряная с сальцем, 0.3кг в/у п/к, БАВАРУШКА ПОКОМ</v>
          </cell>
          <cell r="B11" t="str">
            <v>шт</v>
          </cell>
          <cell r="C11">
            <v>0.3</v>
          </cell>
        </row>
        <row r="12">
          <cell r="A12" t="str">
            <v xml:space="preserve"> 083  Колбаса Швейцарская 0,17 кг., ШТ., сырокопченая   ПОКОМ</v>
          </cell>
          <cell r="B12" t="str">
            <v>шт</v>
          </cell>
          <cell r="C12">
            <v>0.17</v>
          </cell>
        </row>
        <row r="13">
          <cell r="A13" t="str">
            <v xml:space="preserve"> 117  Колбаса Сервелат Филейбургский с ароматными пряностями, в/у 0,35 кг срез, БАВАРУШКА ПОКОМ</v>
          </cell>
          <cell r="B13" t="str">
            <v>шт</v>
          </cell>
          <cell r="C13">
            <v>0.35</v>
          </cell>
        </row>
        <row r="14">
          <cell r="A14" t="str">
            <v xml:space="preserve"> 118  Колбаса Сервелат Филейбургский с филе сочного окорока, в/у 0,35 кг срез, БАВАРУШКА ПОКОМ</v>
          </cell>
          <cell r="B14" t="str">
            <v>шт</v>
          </cell>
          <cell r="C14">
            <v>0.35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</v>
          </cell>
          <cell r="D15">
            <v>160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1</v>
          </cell>
          <cell r="D16">
            <v>170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</v>
          </cell>
        </row>
        <row r="18">
          <cell r="A18" t="str">
            <v xml:space="preserve"> 219  Колбаса Докторская Особая ТМ Особый рецепт, ВЕС  ПОКОМ</v>
          </cell>
          <cell r="B18" t="str">
            <v>кг</v>
          </cell>
          <cell r="C18">
            <v>1</v>
          </cell>
          <cell r="D18">
            <v>120</v>
          </cell>
        </row>
        <row r="19">
          <cell r="A19" t="str">
            <v xml:space="preserve"> 229  Колбаса Молочная Дугушка, в/у, ВЕС, ТМ Стародворье   ПОКОМ</v>
          </cell>
          <cell r="B19" t="str">
            <v>кг</v>
          </cell>
          <cell r="C19">
            <v>1</v>
          </cell>
          <cell r="D19">
            <v>290</v>
          </cell>
        </row>
        <row r="20">
          <cell r="A20" t="str">
            <v xml:space="preserve"> 236  Колбаса Рубленая ЗАПЕЧ. Дугушка ТМ Стародворье, вектор, в/к    ПОКОМ</v>
          </cell>
          <cell r="B20" t="str">
            <v>кг</v>
          </cell>
          <cell r="C20">
            <v>1</v>
          </cell>
          <cell r="D20">
            <v>45</v>
          </cell>
        </row>
        <row r="21">
          <cell r="A21" t="str">
            <v xml:space="preserve"> 239  Колбаса Салями запеч Дугушка, оболочка вектор, ВЕС, ТМ Стародворье  ПОКОМ</v>
          </cell>
          <cell r="B21" t="str">
            <v>кг</v>
          </cell>
          <cell r="C21">
            <v>1</v>
          </cell>
          <cell r="D21">
            <v>76</v>
          </cell>
        </row>
        <row r="22">
          <cell r="A22" t="str">
            <v xml:space="preserve"> 242  Колбаса Сервелат ЗАПЕЧ.Дугушка ТМ Стародворье, вектор, в/к     ПОКОМ</v>
          </cell>
          <cell r="B22" t="str">
            <v>кг</v>
          </cell>
          <cell r="C22">
            <v>1</v>
          </cell>
          <cell r="D22">
            <v>74</v>
          </cell>
        </row>
        <row r="23">
          <cell r="A23" t="str">
            <v xml:space="preserve"> 250  Сардельки стародворские с говядиной в обол. NDX, ВЕС. ПОКОМ</v>
          </cell>
          <cell r="B23" t="str">
            <v>кг</v>
          </cell>
          <cell r="C23">
            <v>1</v>
          </cell>
          <cell r="D23">
            <v>90</v>
          </cell>
        </row>
        <row r="24">
          <cell r="A24" t="str">
            <v xml:space="preserve"> 267  Колбаса Салями Филейбургская зернистая, оболочка фиброуз, ВЕС, ТМ Баварушка  ПОКОМ</v>
          </cell>
          <cell r="B24" t="str">
            <v>кг</v>
          </cell>
          <cell r="C24">
            <v>1</v>
          </cell>
        </row>
        <row r="25">
          <cell r="A25" t="str">
            <v xml:space="preserve"> 273  Сосиски Сочинки с сочной грудинкой, МГС 0.4кг,   ПОКОМ</v>
          </cell>
          <cell r="B25" t="str">
            <v>шт</v>
          </cell>
          <cell r="C25">
            <v>0.4</v>
          </cell>
          <cell r="D25">
            <v>327</v>
          </cell>
        </row>
        <row r="26">
          <cell r="A26" t="str">
            <v xml:space="preserve"> 276  Колбаса Сливушка ТМ Вязанка в оболочке полиамид 0,45 кг  ПОКОМ</v>
          </cell>
          <cell r="B26" t="str">
            <v>шт</v>
          </cell>
          <cell r="C26">
            <v>0.45</v>
          </cell>
        </row>
        <row r="27">
          <cell r="A27" t="str">
            <v xml:space="preserve"> 278  Сосиски Сочинки с сочным окороком, МГС 0.4кг,   ПОКОМ</v>
          </cell>
          <cell r="B27" t="str">
            <v>шт</v>
          </cell>
          <cell r="C27">
            <v>0.4</v>
          </cell>
          <cell r="D27">
            <v>280</v>
          </cell>
        </row>
        <row r="28">
          <cell r="A28" t="str">
            <v xml:space="preserve"> 283  Сосиски Сочинки, ВЕС, ТМ Стародворье ПОКОМ</v>
          </cell>
          <cell r="B28" t="str">
            <v>кг</v>
          </cell>
          <cell r="C28">
            <v>1</v>
          </cell>
        </row>
        <row r="29">
          <cell r="A29" t="str">
            <v xml:space="preserve"> 296  Колбаса Мясорубская с рубленой грудинкой 0,35кг срез ТМ Стародворье  ПОКОМ</v>
          </cell>
          <cell r="B29" t="str">
            <v>шт</v>
          </cell>
          <cell r="C29">
            <v>0.35</v>
          </cell>
        </row>
        <row r="30">
          <cell r="A30" t="str">
            <v xml:space="preserve"> 297  Колбаса Мясорубская с рубленой грудинкой ВЕС ТМ Стародворье  ПОКОМ</v>
          </cell>
          <cell r="B30" t="str">
            <v>кг</v>
          </cell>
          <cell r="C30">
            <v>1</v>
          </cell>
        </row>
        <row r="31">
          <cell r="A31" t="str">
            <v xml:space="preserve"> 301  Сосиски Сочинки по-баварски с сыром,  0.4кг, ТМ Стародворье  ПОКОМ</v>
          </cell>
          <cell r="B31" t="str">
            <v>шт</v>
          </cell>
          <cell r="C31">
            <v>0.4</v>
          </cell>
          <cell r="D31">
            <v>129</v>
          </cell>
        </row>
        <row r="32">
          <cell r="A32" t="str">
            <v xml:space="preserve"> 302  Сосиски Сочинки по-баварски,  0.4кг, ТМ Стародворье  ПОКОМ</v>
          </cell>
          <cell r="B32" t="str">
            <v>шт</v>
          </cell>
          <cell r="C32">
            <v>0.4</v>
          </cell>
          <cell r="D32">
            <v>132</v>
          </cell>
        </row>
        <row r="33">
          <cell r="A33" t="str">
            <v xml:space="preserve"> 305  Колбаса Сервелат Мясорубский с мелкорубленным окороком в/у  ТМ Стародворье ВЕС   ПОКОМ</v>
          </cell>
          <cell r="B33" t="str">
            <v>кг</v>
          </cell>
          <cell r="C33">
            <v>1</v>
          </cell>
        </row>
        <row r="34">
          <cell r="A34" t="str">
            <v xml:space="preserve"> 307  Колбаса Сервелат Мясорубский с мелкорубленным окороком 0,35 кг срез ТМ Стародворье   Поком</v>
          </cell>
          <cell r="B34" t="str">
            <v>шт</v>
          </cell>
          <cell r="C34">
            <v>0.35</v>
          </cell>
        </row>
        <row r="35">
          <cell r="A35" t="str">
            <v xml:space="preserve"> 309  Сосиски Сочинки с сыром 0,4 кг ТМ Стародворье  ПОКОМ</v>
          </cell>
          <cell r="B35" t="str">
            <v>шт</v>
          </cell>
          <cell r="C35">
            <v>0.4</v>
          </cell>
        </row>
        <row r="36">
          <cell r="A36" t="str">
            <v xml:space="preserve"> 312  Ветчина Филейская ВЕС ТМ  Вязанка ТС Столичная  ПОКОМ</v>
          </cell>
          <cell r="B36" t="str">
            <v>кг</v>
          </cell>
          <cell r="C36">
            <v>1</v>
          </cell>
        </row>
        <row r="37">
          <cell r="A37" t="str">
            <v xml:space="preserve"> 315  Колбаса вареная Молокуша ТМ Вязанка ВЕС, ПОКОМ</v>
          </cell>
          <cell r="B37" t="str">
            <v>кг</v>
          </cell>
          <cell r="C37">
            <v>1</v>
          </cell>
        </row>
        <row r="38">
          <cell r="A38" t="str">
            <v xml:space="preserve"> 322  Колбаса вареная Молокуша 0,45кг ТМ Вязанка  ПОКОМ</v>
          </cell>
          <cell r="B38" t="str">
            <v>шт</v>
          </cell>
          <cell r="C38">
            <v>0.45</v>
          </cell>
        </row>
        <row r="39">
          <cell r="A39" t="str">
            <v xml:space="preserve"> 328  Сардельки Сочинки Стародворье ТМ  0,4 кг ПОКОМ</v>
          </cell>
          <cell r="B39" t="str">
            <v>шт</v>
          </cell>
          <cell r="C39">
            <v>0.4</v>
          </cell>
        </row>
        <row r="40">
          <cell r="A40" t="str">
            <v xml:space="preserve"> 329  Сардельки Сочинки с сыром Стародворье ТМ, 0,4 кг. ПОКОМ</v>
          </cell>
          <cell r="B40" t="str">
            <v>шт</v>
          </cell>
          <cell r="C40">
            <v>0.4</v>
          </cell>
        </row>
        <row r="41">
          <cell r="A41" t="str">
            <v xml:space="preserve"> 330  Колбаса вареная Филейская ТМ Вязанка ТС Классическая ВЕС  ПОКОМ</v>
          </cell>
          <cell r="B41" t="str">
            <v>кг</v>
          </cell>
          <cell r="C41">
            <v>1</v>
          </cell>
        </row>
        <row r="42">
          <cell r="A42" t="str">
            <v xml:space="preserve"> 335  Колбаса Сливушка ТМ Вязанка. ВЕС.  ПОКОМ </v>
          </cell>
          <cell r="B42" t="str">
            <v>кг</v>
          </cell>
          <cell r="C42">
            <v>1</v>
          </cell>
        </row>
        <row r="43">
          <cell r="A43" t="str">
            <v xml:space="preserve"> 336  Ветчина Сливушка с индейкой ТМ Вязанка. ВЕС  ПОКОМ</v>
          </cell>
          <cell r="B43" t="str">
            <v>кг</v>
          </cell>
          <cell r="C43">
            <v>1</v>
          </cell>
        </row>
        <row r="44">
          <cell r="A44" t="str">
            <v xml:space="preserve"> 339  Колбаса вареная Филейская ТМ Вязанка ТС Классическая, 0,40 кг.  ПОКОМ</v>
          </cell>
          <cell r="B44" t="str">
            <v>шт</v>
          </cell>
          <cell r="C44">
            <v>0.4</v>
          </cell>
        </row>
        <row r="45">
          <cell r="A45" t="str">
            <v xml:space="preserve"> 342 Сосиски Сочинки Молочные ТМ Стародворье 0,4 кг ПОКОМ</v>
          </cell>
          <cell r="B45" t="str">
            <v>шт</v>
          </cell>
          <cell r="C45">
            <v>0.4</v>
          </cell>
        </row>
        <row r="46">
          <cell r="A46" t="str">
            <v xml:space="preserve"> 343 Сосиски Сочинки Сливочные ТМ Стародворье  0,4 кг</v>
          </cell>
          <cell r="B46" t="str">
            <v>шт</v>
          </cell>
          <cell r="C46">
            <v>0.4</v>
          </cell>
        </row>
        <row r="47">
          <cell r="A47" t="str">
            <v xml:space="preserve"> 344  Колбаса Сочинка по-европейски с сочной грудинкой ТМ Стародворье, ВЕС ПОКОМ</v>
          </cell>
          <cell r="B47" t="str">
            <v>кг</v>
          </cell>
          <cell r="C47">
            <v>1</v>
          </cell>
        </row>
        <row r="48">
          <cell r="A48" t="str">
            <v xml:space="preserve"> 345  Колбаса Сочинка по-фински с сочным окроком ТМ Стародворье ВЕС ПОКОМ</v>
          </cell>
          <cell r="B48" t="str">
            <v>кг</v>
          </cell>
          <cell r="C48">
            <v>1</v>
          </cell>
        </row>
        <row r="49">
          <cell r="A49" t="str">
            <v xml:space="preserve"> 347  Колбаса Сочинка рубленая с сочным окороком ТМ Стародворье ВЕС ПОКОМ</v>
          </cell>
          <cell r="B49" t="str">
            <v>кг</v>
          </cell>
          <cell r="C49">
            <v>1</v>
          </cell>
        </row>
        <row r="50">
          <cell r="A50" t="str">
            <v xml:space="preserve"> 364  Сардельки Филейские Вязанка ВЕС NDX ТМ Вязанка  ПОКОМ</v>
          </cell>
          <cell r="B50" t="str">
            <v>кг</v>
          </cell>
          <cell r="C50">
            <v>1</v>
          </cell>
        </row>
        <row r="51">
          <cell r="A51" t="str">
            <v xml:space="preserve"> 376  Колбаса Докторская Дугушка 0,6кг ГОСТ ТМ Стародворье  ПОКОМ </v>
          </cell>
          <cell r="B51" t="str">
            <v>шт</v>
          </cell>
          <cell r="C51">
            <v>0.6</v>
          </cell>
        </row>
        <row r="52">
          <cell r="A52" t="str">
            <v xml:space="preserve"> 397  Ветчина Дугушка ТМ Стародворье ТС Дугушка в полиамидной оболочке 0,6 кг. ПОКОМ</v>
          </cell>
          <cell r="B52" t="str">
            <v>шт</v>
          </cell>
          <cell r="C52">
            <v>0.6</v>
          </cell>
        </row>
        <row r="53">
          <cell r="A53" t="str">
            <v xml:space="preserve"> 408  Ветчина Сливушка с индейкой ТМ Вязанка, 0,4кг  ПОКОМ</v>
          </cell>
          <cell r="B53" t="str">
            <v>шт</v>
          </cell>
          <cell r="C53">
            <v>0.4</v>
          </cell>
        </row>
        <row r="54">
          <cell r="A54" t="str">
            <v xml:space="preserve"> 435  Колбаса Молочная Стародворская  с молоком в оболочке полиамид 0,4 кг.ТМ Стародворье ПОКОМ</v>
          </cell>
          <cell r="B54" t="str">
            <v>шт</v>
          </cell>
          <cell r="C54">
            <v>0.4</v>
          </cell>
        </row>
        <row r="55">
          <cell r="A55" t="str">
            <v xml:space="preserve"> 436  Колбаса Молочная стародворская с молоком, ВЕС, ТМ Стародворье  ПОКОМ</v>
          </cell>
          <cell r="B55" t="str">
            <v>кг</v>
          </cell>
          <cell r="C55">
            <v>1</v>
          </cell>
        </row>
        <row r="56">
          <cell r="A56" t="str">
            <v xml:space="preserve"> 447  Колбаски Краковюрст ТМ Баварушка с изысканными пряностями в оболочке NDX в в.у 0,2 кг. ПОКОМ </v>
          </cell>
          <cell r="B56" t="str">
            <v>шт</v>
          </cell>
          <cell r="C56">
            <v>0.2</v>
          </cell>
        </row>
        <row r="57">
          <cell r="A57" t="str">
            <v xml:space="preserve"> 449  Колбаса Дугушка Стародворская ВЕС ТС Дугушка ПОКОМ</v>
          </cell>
          <cell r="B57" t="str">
            <v>кг</v>
          </cell>
          <cell r="C57">
            <v>1</v>
          </cell>
        </row>
        <row r="58">
          <cell r="A58" t="str">
            <v xml:space="preserve"> 452  Колбаса Со шпиком ВЕС большой батон ТМ Особый рецепт  ПОКОМ</v>
          </cell>
          <cell r="B58" t="str">
            <v>кг</v>
          </cell>
          <cell r="C58">
            <v>1</v>
          </cell>
        </row>
        <row r="59">
          <cell r="A59" t="str">
            <v xml:space="preserve"> 456  Колбаса Филейная ТМ Особый рецепт ВЕС большой батон  ПОКОМ</v>
          </cell>
          <cell r="B59" t="str">
            <v>кг</v>
          </cell>
          <cell r="C59">
            <v>1</v>
          </cell>
        </row>
        <row r="60">
          <cell r="A60" t="str">
            <v xml:space="preserve"> 457  Колбаса Молочная ТМ Особый рецепт ВЕС большой батон  ПОКОМ</v>
          </cell>
          <cell r="B60" t="str">
            <v>кг</v>
          </cell>
          <cell r="C60">
            <v>1</v>
          </cell>
          <cell r="D60">
            <v>140</v>
          </cell>
        </row>
        <row r="61">
          <cell r="A61" t="str">
            <v xml:space="preserve"> 460  Колбаса Стародворская Традиционная ВЕС ТМ Стародворье в оболочке полиамид. ПОКОМ</v>
          </cell>
          <cell r="B61" t="str">
            <v>кг</v>
          </cell>
          <cell r="C61">
            <v>1</v>
          </cell>
        </row>
        <row r="62">
          <cell r="A62" t="str">
            <v xml:space="preserve"> 463  Колбаса Молочная Традиционнаяв оболочке полиамид.ТМ Стародворье. ВЕС ПОКОМ</v>
          </cell>
          <cell r="B62" t="str">
            <v>кг</v>
          </cell>
          <cell r="C62">
            <v>1</v>
          </cell>
        </row>
        <row r="63">
          <cell r="A63" t="str">
            <v xml:space="preserve"> 464  Колбаса Стародворская Традиционная со шпиком оболочке полиамид ТМ Стародворье.</v>
          </cell>
          <cell r="B63" t="str">
            <v>кг</v>
          </cell>
          <cell r="C63">
            <v>1</v>
          </cell>
        </row>
        <row r="64">
          <cell r="A64" t="str">
            <v xml:space="preserve"> 465  Колбаса Филейная оригинальная ВЕС 0,8кг ТМ Особый рецепт в оболочке полиамид  ПОКОМ</v>
          </cell>
          <cell r="B64" t="str">
            <v>кг</v>
          </cell>
          <cell r="C64">
            <v>1</v>
          </cell>
        </row>
        <row r="65">
          <cell r="A65" t="str">
            <v xml:space="preserve"> 490  Колбаса Сервелат Филейский ТМ Вязанка  0,3 кг. срез  ПОКОМ</v>
          </cell>
          <cell r="B65" t="str">
            <v>шт</v>
          </cell>
          <cell r="C65">
            <v>0.3</v>
          </cell>
        </row>
        <row r="66">
          <cell r="A66" t="str">
            <v xml:space="preserve"> 491  Колбаса Филейская Рубленая ТМ Вязанка  0,3 кг. срез.  ПОКОМ</v>
          </cell>
          <cell r="B66" t="str">
            <v>шт</v>
          </cell>
          <cell r="C66">
            <v>0.3</v>
          </cell>
        </row>
        <row r="67">
          <cell r="A67" t="str">
            <v xml:space="preserve"> 498  Колбаса Сочинка рубленая с сочным окороком 0,3кг ТМ Стародворье  ПОКОМ</v>
          </cell>
          <cell r="B67" t="str">
            <v>шт</v>
          </cell>
          <cell r="C67">
            <v>0.3</v>
          </cell>
        </row>
        <row r="68">
          <cell r="A68" t="str">
            <v>255  Сосиски Молочные для завтрака ТМ Особый рецепт, п/а МГС, ВЕС, ТМ Стародворье  ПОКОМ</v>
          </cell>
          <cell r="B68" t="str">
            <v>кг</v>
          </cell>
          <cell r="C68">
            <v>1</v>
          </cell>
        </row>
        <row r="69">
          <cell r="A69" t="str">
            <v>495  Колбаса Сочинка по-европейски с сочной грудинкой 0,3кг ТМ Стародворье  ПОКОМ</v>
          </cell>
          <cell r="B69" t="str">
            <v>шт</v>
          </cell>
          <cell r="C69">
            <v>0.3</v>
          </cell>
        </row>
        <row r="70">
          <cell r="A70" t="str">
            <v>496  Колбаса Сочинка по-фински с сочным окроком 0,3кг ТМ Стародворье  ПОКОМ</v>
          </cell>
          <cell r="B70" t="str">
            <v>шт</v>
          </cell>
          <cell r="C70">
            <v>0.3</v>
          </cell>
        </row>
        <row r="71">
          <cell r="A71" t="str">
            <v>501 Сосиски Филейские по-ганноверски ТМ Вязанка.в оболочке амицел в м.г.с ВЕС. ПОКОМ</v>
          </cell>
          <cell r="B71" t="str">
            <v>кг</v>
          </cell>
          <cell r="C71">
            <v>1</v>
          </cell>
        </row>
        <row r="72">
          <cell r="A72" t="str">
            <v>504  Ветчина Мясорубская с окороком 0,33кг срез ТМ Стародворье  ПОКОМ</v>
          </cell>
          <cell r="B72" t="str">
            <v>шт</v>
          </cell>
          <cell r="C72">
            <v>0.33</v>
          </cell>
        </row>
        <row r="73">
          <cell r="A73" t="str">
            <v>515  Колбаса Сервелат Мясорубский Делюкс 0,3кг ТМ Стародворье  ПОКОМ</v>
          </cell>
          <cell r="B73" t="str">
            <v>шт</v>
          </cell>
          <cell r="C73">
            <v>0.3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1" sqref="AA1"/>
    </sheetView>
  </sheetViews>
  <sheetFormatPr defaultRowHeight="15" x14ac:dyDescent="0.25"/>
  <cols>
    <col min="1" max="1" width="51.710937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85546875" customWidth="1"/>
    <col min="10" max="10" width="1" customWidth="1"/>
    <col min="11" max="25" width="7" customWidth="1"/>
    <col min="26" max="26" width="9.5703125" customWidth="1"/>
    <col min="27" max="27" width="7" customWidth="1"/>
    <col min="28" max="29" width="5" customWidth="1"/>
    <col min="30" max="37" width="6" customWidth="1"/>
    <col min="38" max="38" width="9.85546875" customWidth="1"/>
    <col min="39" max="41" width="7" customWidth="1"/>
    <col min="42" max="55" width="8" customWidth="1"/>
  </cols>
  <sheetData>
    <row r="1" spans="1:55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2">
        <v>1.3</v>
      </c>
      <c r="U1" s="1"/>
      <c r="V1" s="1"/>
      <c r="W1" s="1"/>
      <c r="X1" s="22">
        <v>1.65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151</v>
      </c>
      <c r="U3" s="3" t="s">
        <v>152</v>
      </c>
      <c r="V3" s="3" t="s">
        <v>153</v>
      </c>
      <c r="W3" s="3" t="s">
        <v>153</v>
      </c>
      <c r="X3" s="3" t="s">
        <v>153</v>
      </c>
      <c r="Y3" s="7" t="s">
        <v>17</v>
      </c>
      <c r="Z3" s="7" t="s">
        <v>18</v>
      </c>
      <c r="AA3" s="11" t="s">
        <v>148</v>
      </c>
      <c r="AB3" s="2" t="s">
        <v>19</v>
      </c>
      <c r="AC3" s="2" t="s">
        <v>20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21</v>
      </c>
      <c r="AK3" s="2" t="s">
        <v>21</v>
      </c>
      <c r="AL3" s="2" t="s">
        <v>22</v>
      </c>
      <c r="AM3" s="2" t="s">
        <v>23</v>
      </c>
      <c r="AN3" s="2" t="s">
        <v>23</v>
      </c>
      <c r="AO3" s="2" t="s">
        <v>23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</row>
    <row r="4" spans="1:55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0" t="s">
        <v>147</v>
      </c>
      <c r="R4" s="1" t="s">
        <v>26</v>
      </c>
      <c r="S4" s="1"/>
      <c r="T4" s="1"/>
      <c r="U4" s="1"/>
      <c r="V4" s="1" t="s">
        <v>154</v>
      </c>
      <c r="W4" s="1" t="s">
        <v>155</v>
      </c>
      <c r="X4" s="1" t="s">
        <v>156</v>
      </c>
      <c r="Y4" s="1"/>
      <c r="Z4" s="1"/>
      <c r="AA4" s="1"/>
      <c r="AB4" s="1"/>
      <c r="AC4" s="1"/>
      <c r="AD4" s="1" t="s">
        <v>27</v>
      </c>
      <c r="AE4" s="1" t="s">
        <v>28</v>
      </c>
      <c r="AF4" s="1" t="s">
        <v>29</v>
      </c>
      <c r="AG4" s="1" t="s">
        <v>30</v>
      </c>
      <c r="AH4" s="1" t="s">
        <v>31</v>
      </c>
      <c r="AI4" s="1" t="s">
        <v>32</v>
      </c>
      <c r="AJ4" s="1" t="s">
        <v>33</v>
      </c>
      <c r="AK4" s="1" t="s">
        <v>34</v>
      </c>
      <c r="AL4" s="1"/>
      <c r="AM4" s="1" t="s">
        <v>154</v>
      </c>
      <c r="AN4" s="1" t="s">
        <v>155</v>
      </c>
      <c r="AO4" s="1" t="s">
        <v>156</v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</row>
    <row r="5" spans="1:55" x14ac:dyDescent="0.25">
      <c r="A5" s="1"/>
      <c r="B5" s="1"/>
      <c r="C5" s="1"/>
      <c r="D5" s="1"/>
      <c r="E5" s="4">
        <f>SUM(E6:E500)</f>
        <v>42643.407000000007</v>
      </c>
      <c r="F5" s="4">
        <f>SUM(F6:F500)</f>
        <v>43792.676999999996</v>
      </c>
      <c r="G5" s="8"/>
      <c r="H5" s="1"/>
      <c r="I5" s="1"/>
      <c r="J5" s="1"/>
      <c r="K5" s="4">
        <f t="shared" ref="K5:AA5" si="0">SUM(K6:K500)</f>
        <v>51636.682000000001</v>
      </c>
      <c r="L5" s="4">
        <f t="shared" si="0"/>
        <v>-8993.2749999999996</v>
      </c>
      <c r="M5" s="4">
        <f t="shared" si="0"/>
        <v>34334.019</v>
      </c>
      <c r="N5" s="4">
        <f t="shared" si="0"/>
        <v>8309.3880000000008</v>
      </c>
      <c r="O5" s="4">
        <f t="shared" si="0"/>
        <v>3935.2343999999994</v>
      </c>
      <c r="P5" s="4">
        <f t="shared" si="0"/>
        <v>16557.680339999999</v>
      </c>
      <c r="Q5" s="4">
        <f t="shared" si="0"/>
        <v>2283</v>
      </c>
      <c r="R5" s="4">
        <f t="shared" si="0"/>
        <v>6866.8038000000015</v>
      </c>
      <c r="S5" s="4">
        <f t="shared" si="0"/>
        <v>19371.141539999993</v>
      </c>
      <c r="T5" s="4">
        <f t="shared" si="0"/>
        <v>5543.0700000000006</v>
      </c>
      <c r="U5" s="4">
        <f t="shared" si="0"/>
        <v>24914.211539999997</v>
      </c>
      <c r="V5" s="4">
        <f t="shared" si="0"/>
        <v>14544.211540000002</v>
      </c>
      <c r="W5" s="4">
        <f t="shared" ref="W5:X5" si="1">SUM(W6:W500)</f>
        <v>10370</v>
      </c>
      <c r="X5" s="4">
        <f t="shared" si="1"/>
        <v>7035.4349999999986</v>
      </c>
      <c r="Y5" s="4">
        <f t="shared" si="0"/>
        <v>0</v>
      </c>
      <c r="Z5" s="1"/>
      <c r="AA5" s="4">
        <f t="shared" si="0"/>
        <v>0</v>
      </c>
      <c r="AB5" s="1"/>
      <c r="AC5" s="1"/>
      <c r="AD5" s="4">
        <f t="shared" ref="AD5:AK5" si="2">SUM(AD6:AD500)</f>
        <v>6386.0083999999988</v>
      </c>
      <c r="AE5" s="4">
        <f t="shared" si="2"/>
        <v>6783.7095999999992</v>
      </c>
      <c r="AF5" s="4">
        <f t="shared" si="2"/>
        <v>7266.0890000000036</v>
      </c>
      <c r="AG5" s="4">
        <f t="shared" si="2"/>
        <v>6579.2743999999984</v>
      </c>
      <c r="AH5" s="4">
        <f t="shared" si="2"/>
        <v>6916.362799999999</v>
      </c>
      <c r="AI5" s="4">
        <f t="shared" si="2"/>
        <v>6589.4025999999976</v>
      </c>
      <c r="AJ5" s="4">
        <f t="shared" si="2"/>
        <v>6230.5201999999999</v>
      </c>
      <c r="AK5" s="4">
        <f t="shared" si="2"/>
        <v>6227.0909999999976</v>
      </c>
      <c r="AL5" s="1"/>
      <c r="AM5" s="4">
        <f>SUM(AM6:AM500)</f>
        <v>11501</v>
      </c>
      <c r="AN5" s="4">
        <f>SUM(AN6:AN500)</f>
        <v>9520</v>
      </c>
      <c r="AO5" s="4">
        <f>SUM(AO6:AO500)</f>
        <v>6148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</row>
    <row r="6" spans="1:55" x14ac:dyDescent="0.25">
      <c r="A6" s="13" t="s">
        <v>35</v>
      </c>
      <c r="B6" s="13" t="s">
        <v>36</v>
      </c>
      <c r="C6" s="13">
        <v>2.72</v>
      </c>
      <c r="D6" s="13"/>
      <c r="E6" s="13"/>
      <c r="F6" s="13">
        <v>2.72</v>
      </c>
      <c r="G6" s="14">
        <v>0</v>
      </c>
      <c r="H6" s="13" t="e">
        <v>#N/A</v>
      </c>
      <c r="I6" s="13" t="s">
        <v>37</v>
      </c>
      <c r="J6" s="13"/>
      <c r="K6" s="13"/>
      <c r="L6" s="13">
        <f t="shared" ref="L6:L37" si="3">E6-K6</f>
        <v>0</v>
      </c>
      <c r="M6" s="13">
        <f>E6-N6</f>
        <v>0</v>
      </c>
      <c r="N6" s="13"/>
      <c r="O6" s="13"/>
      <c r="P6" s="13">
        <v>0</v>
      </c>
      <c r="Q6" s="13">
        <f>IFERROR(VLOOKUP(A6,[1]Sheet!$A:$D,4,0),0)</f>
        <v>0</v>
      </c>
      <c r="R6" s="13">
        <f>M6/5</f>
        <v>0</v>
      </c>
      <c r="S6" s="15"/>
      <c r="T6" s="15"/>
      <c r="U6" s="5">
        <f>T6+S6</f>
        <v>0</v>
      </c>
      <c r="V6" s="5">
        <f>U6-W6</f>
        <v>0</v>
      </c>
      <c r="W6" s="5"/>
      <c r="X6" s="5"/>
      <c r="Y6" s="15"/>
      <c r="Z6" s="13"/>
      <c r="AA6" s="13"/>
      <c r="AB6" s="1" t="e">
        <f>(F6+O6+P6+U6)/R6</f>
        <v>#DIV/0!</v>
      </c>
      <c r="AC6" s="13" t="e">
        <f>(F6+O6+P6)/R6</f>
        <v>#DIV/0!</v>
      </c>
      <c r="AD6" s="13">
        <v>0</v>
      </c>
      <c r="AE6" s="13">
        <v>0</v>
      </c>
      <c r="AF6" s="13">
        <v>0</v>
      </c>
      <c r="AG6" s="13">
        <v>0.26800000000000002</v>
      </c>
      <c r="AH6" s="13">
        <v>0.26800000000000002</v>
      </c>
      <c r="AI6" s="13">
        <v>0</v>
      </c>
      <c r="AJ6" s="13">
        <v>0</v>
      </c>
      <c r="AK6" s="13">
        <v>0</v>
      </c>
      <c r="AL6" s="13"/>
      <c r="AM6" s="1">
        <f>ROUND(G6*V6,0)</f>
        <v>0</v>
      </c>
      <c r="AN6" s="1">
        <f>ROUND(G6*W6,0)</f>
        <v>0</v>
      </c>
      <c r="AO6" s="1">
        <f>ROUND(G6*X6,0)</f>
        <v>0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</row>
    <row r="7" spans="1:55" x14ac:dyDescent="0.25">
      <c r="A7" s="1" t="s">
        <v>38</v>
      </c>
      <c r="B7" s="1" t="s">
        <v>36</v>
      </c>
      <c r="C7" s="1">
        <v>236.11500000000001</v>
      </c>
      <c r="D7" s="1">
        <v>583.75199999999995</v>
      </c>
      <c r="E7" s="1">
        <v>317.10700000000003</v>
      </c>
      <c r="F7" s="1">
        <v>307.48700000000002</v>
      </c>
      <c r="G7" s="8">
        <v>1</v>
      </c>
      <c r="H7" s="1">
        <v>50</v>
      </c>
      <c r="I7" s="1" t="s">
        <v>39</v>
      </c>
      <c r="J7" s="1"/>
      <c r="K7" s="1">
        <v>672.81399999999996</v>
      </c>
      <c r="L7" s="1">
        <f t="shared" si="3"/>
        <v>-355.70699999999994</v>
      </c>
      <c r="M7" s="1">
        <f t="shared" ref="M7:M70" si="4">E7-N7</f>
        <v>156.59300000000002</v>
      </c>
      <c r="N7" s="1">
        <v>160.51400000000001</v>
      </c>
      <c r="O7" s="1">
        <v>62.192639999999983</v>
      </c>
      <c r="P7" s="1">
        <v>11.344760000000139</v>
      </c>
      <c r="Q7" s="1">
        <f>IFERROR(VLOOKUP(A7,[1]Sheet!$A:$D,4,0),0)</f>
        <v>0</v>
      </c>
      <c r="R7" s="1">
        <f t="shared" ref="R7:R70" si="5">M7/5</f>
        <v>31.318600000000004</v>
      </c>
      <c r="S7" s="5"/>
      <c r="T7" s="5"/>
      <c r="U7" s="5">
        <f>T7+S7</f>
        <v>0</v>
      </c>
      <c r="V7" s="5">
        <f t="shared" ref="V7:V70" si="6">U7-W7</f>
        <v>0</v>
      </c>
      <c r="W7" s="5"/>
      <c r="X7" s="5"/>
      <c r="Y7" s="5"/>
      <c r="Z7" s="1"/>
      <c r="AA7" s="1"/>
      <c r="AB7" s="1">
        <f>(F7+O7+P7+U7)/R7</f>
        <v>12.166073834718029</v>
      </c>
      <c r="AC7" s="1">
        <f t="shared" ref="AC7:AC70" si="7">(F7+O7+P7)/R7</f>
        <v>12.166073834718029</v>
      </c>
      <c r="AD7" s="1">
        <v>41.005799999999986</v>
      </c>
      <c r="AE7" s="1">
        <v>51.827199999999991</v>
      </c>
      <c r="AF7" s="1">
        <v>36.511000000000003</v>
      </c>
      <c r="AG7" s="1">
        <v>40.831000000000003</v>
      </c>
      <c r="AH7" s="1">
        <v>68.038399999999996</v>
      </c>
      <c r="AI7" s="1">
        <v>62.137599999999999</v>
      </c>
      <c r="AJ7" s="1">
        <v>52.611200000000011</v>
      </c>
      <c r="AK7" s="1">
        <v>57.664200000000008</v>
      </c>
      <c r="AL7" s="1"/>
      <c r="AM7" s="1">
        <f t="shared" ref="AM7:AM70" si="8">ROUND(G7*V7,0)</f>
        <v>0</v>
      </c>
      <c r="AN7" s="1">
        <f t="shared" ref="AN7:AN70" si="9">ROUND(G7*W7,0)</f>
        <v>0</v>
      </c>
      <c r="AO7" s="1">
        <f t="shared" ref="AO7:AO70" si="10">ROUND(G7*X7,0)</f>
        <v>0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</row>
    <row r="8" spans="1:55" x14ac:dyDescent="0.25">
      <c r="A8" s="1" t="s">
        <v>40</v>
      </c>
      <c r="B8" s="1" t="s">
        <v>36</v>
      </c>
      <c r="C8" s="1">
        <v>65.947000000000003</v>
      </c>
      <c r="D8" s="1">
        <v>553.6</v>
      </c>
      <c r="E8" s="1">
        <v>306.31400000000002</v>
      </c>
      <c r="F8" s="1">
        <v>192.10499999999999</v>
      </c>
      <c r="G8" s="8">
        <v>1</v>
      </c>
      <c r="H8" s="1">
        <v>45</v>
      </c>
      <c r="I8" s="1" t="s">
        <v>39</v>
      </c>
      <c r="J8" s="1"/>
      <c r="K8" s="1">
        <v>349.85</v>
      </c>
      <c r="L8" s="1">
        <f t="shared" si="3"/>
        <v>-43.536000000000001</v>
      </c>
      <c r="M8" s="1">
        <f t="shared" si="4"/>
        <v>142.76400000000001</v>
      </c>
      <c r="N8" s="1">
        <v>163.55000000000001</v>
      </c>
      <c r="O8" s="1"/>
      <c r="P8" s="1">
        <v>69.74260000000001</v>
      </c>
      <c r="Q8" s="1">
        <f>IFERROR(VLOOKUP(A8,[1]Sheet!$A:$D,4,0),0)</f>
        <v>126</v>
      </c>
      <c r="R8" s="1">
        <f t="shared" si="5"/>
        <v>28.552800000000001</v>
      </c>
      <c r="S8" s="5">
        <f t="shared" ref="S8:S18" si="11">12*R8-P8-O8-F8</f>
        <v>80.785999999999973</v>
      </c>
      <c r="T8" s="5"/>
      <c r="U8" s="5">
        <f t="shared" ref="U8:U71" si="12">T8+S8</f>
        <v>80.785999999999973</v>
      </c>
      <c r="V8" s="5">
        <f t="shared" si="6"/>
        <v>80.785999999999973</v>
      </c>
      <c r="W8" s="5"/>
      <c r="X8" s="5"/>
      <c r="Y8" s="5"/>
      <c r="Z8" s="1"/>
      <c r="AA8" s="1"/>
      <c r="AB8" s="1">
        <f t="shared" ref="AB8:AB71" si="13">(F8+O8+P8+U8)/R8</f>
        <v>12</v>
      </c>
      <c r="AC8" s="1">
        <f t="shared" si="7"/>
        <v>9.170645260709982</v>
      </c>
      <c r="AD8" s="1">
        <v>28.0106</v>
      </c>
      <c r="AE8" s="1">
        <v>30.247199999999999</v>
      </c>
      <c r="AF8" s="1">
        <v>30.461200000000002</v>
      </c>
      <c r="AG8" s="1">
        <v>35.405799999999999</v>
      </c>
      <c r="AH8" s="1">
        <v>27.854800000000001</v>
      </c>
      <c r="AI8" s="1">
        <v>29.2608</v>
      </c>
      <c r="AJ8" s="1">
        <v>33.061999999999998</v>
      </c>
      <c r="AK8" s="1">
        <v>38.053400000000003</v>
      </c>
      <c r="AL8" s="1"/>
      <c r="AM8" s="1">
        <f t="shared" si="8"/>
        <v>81</v>
      </c>
      <c r="AN8" s="1">
        <f t="shared" si="9"/>
        <v>0</v>
      </c>
      <c r="AO8" s="1">
        <f t="shared" si="10"/>
        <v>0</v>
      </c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x14ac:dyDescent="0.25">
      <c r="A9" s="1" t="s">
        <v>41</v>
      </c>
      <c r="B9" s="1" t="s">
        <v>36</v>
      </c>
      <c r="C9" s="1">
        <v>272.88499999999999</v>
      </c>
      <c r="D9" s="1">
        <v>1985.3969999999999</v>
      </c>
      <c r="E9" s="1">
        <v>922.01099999999997</v>
      </c>
      <c r="F9" s="1">
        <v>836.86199999999997</v>
      </c>
      <c r="G9" s="8">
        <v>1</v>
      </c>
      <c r="H9" s="1">
        <v>45</v>
      </c>
      <c r="I9" s="1" t="s">
        <v>39</v>
      </c>
      <c r="J9" s="1"/>
      <c r="K9" s="1">
        <v>1199.182</v>
      </c>
      <c r="L9" s="1">
        <f t="shared" si="3"/>
        <v>-277.17100000000005</v>
      </c>
      <c r="M9" s="1">
        <f t="shared" si="4"/>
        <v>571.68100000000004</v>
      </c>
      <c r="N9" s="1">
        <v>350.33</v>
      </c>
      <c r="O9" s="1">
        <v>149.89248000000001</v>
      </c>
      <c r="P9" s="1">
        <v>0</v>
      </c>
      <c r="Q9" s="1">
        <f>IFERROR(VLOOKUP(A9,[1]Sheet!$A:$D,4,0),0)</f>
        <v>124</v>
      </c>
      <c r="R9" s="1">
        <f t="shared" si="5"/>
        <v>114.33620000000001</v>
      </c>
      <c r="S9" s="5">
        <f t="shared" si="11"/>
        <v>385.27992000000006</v>
      </c>
      <c r="T9" s="5">
        <f>$T$1*R9</f>
        <v>148.63706000000002</v>
      </c>
      <c r="U9" s="5">
        <f t="shared" si="12"/>
        <v>533.91698000000008</v>
      </c>
      <c r="V9" s="5">
        <f t="shared" si="6"/>
        <v>533.91698000000008</v>
      </c>
      <c r="W9" s="5"/>
      <c r="X9" s="5">
        <f>$X$1*R9</f>
        <v>188.65473</v>
      </c>
      <c r="Y9" s="5"/>
      <c r="Z9" s="1"/>
      <c r="AA9" s="1"/>
      <c r="AB9" s="1">
        <f t="shared" si="13"/>
        <v>13.299999999999999</v>
      </c>
      <c r="AC9" s="1">
        <f t="shared" si="7"/>
        <v>8.630289269715103</v>
      </c>
      <c r="AD9" s="1">
        <v>107.63379999999999</v>
      </c>
      <c r="AE9" s="1">
        <v>124.9104</v>
      </c>
      <c r="AF9" s="1">
        <v>127.4502</v>
      </c>
      <c r="AG9" s="1">
        <v>106.184</v>
      </c>
      <c r="AH9" s="1">
        <v>88.690399999999997</v>
      </c>
      <c r="AI9" s="1">
        <v>92.993200000000002</v>
      </c>
      <c r="AJ9" s="1">
        <v>90.106599999999986</v>
      </c>
      <c r="AK9" s="1">
        <v>98.149000000000001</v>
      </c>
      <c r="AL9" s="1"/>
      <c r="AM9" s="1">
        <f t="shared" si="8"/>
        <v>534</v>
      </c>
      <c r="AN9" s="1">
        <f t="shared" si="9"/>
        <v>0</v>
      </c>
      <c r="AO9" s="1">
        <f t="shared" si="10"/>
        <v>189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</row>
    <row r="10" spans="1:55" x14ac:dyDescent="0.25">
      <c r="A10" s="1" t="s">
        <v>42</v>
      </c>
      <c r="B10" s="1" t="s">
        <v>43</v>
      </c>
      <c r="C10" s="1">
        <v>204</v>
      </c>
      <c r="D10" s="1">
        <v>1670</v>
      </c>
      <c r="E10" s="1">
        <v>1007</v>
      </c>
      <c r="F10" s="1">
        <v>691</v>
      </c>
      <c r="G10" s="8">
        <v>0.45</v>
      </c>
      <c r="H10" s="1">
        <v>45</v>
      </c>
      <c r="I10" s="1" t="s">
        <v>39</v>
      </c>
      <c r="J10" s="1"/>
      <c r="K10" s="1">
        <v>1166</v>
      </c>
      <c r="L10" s="1">
        <f t="shared" si="3"/>
        <v>-159</v>
      </c>
      <c r="M10" s="1">
        <f t="shared" si="4"/>
        <v>863</v>
      </c>
      <c r="N10" s="1">
        <v>144</v>
      </c>
      <c r="O10" s="1">
        <v>169.2</v>
      </c>
      <c r="P10" s="1">
        <v>435.74000000000012</v>
      </c>
      <c r="Q10" s="1">
        <f>IFERROR(VLOOKUP(A10,[1]Sheet!$A:$D,4,0),0)</f>
        <v>0</v>
      </c>
      <c r="R10" s="1">
        <f t="shared" si="5"/>
        <v>172.6</v>
      </c>
      <c r="S10" s="5">
        <f t="shared" si="11"/>
        <v>775.25999999999954</v>
      </c>
      <c r="T10" s="5">
        <f t="shared" ref="T10:T11" si="14">$T$1*R10</f>
        <v>224.38</v>
      </c>
      <c r="U10" s="5">
        <f t="shared" si="12"/>
        <v>999.63999999999953</v>
      </c>
      <c r="V10" s="5">
        <f t="shared" si="6"/>
        <v>499.63999999999953</v>
      </c>
      <c r="W10" s="5">
        <v>500</v>
      </c>
      <c r="X10" s="5">
        <f t="shared" ref="X10:X11" si="15">$X$1*R10</f>
        <v>284.78999999999996</v>
      </c>
      <c r="Y10" s="5"/>
      <c r="Z10" s="1"/>
      <c r="AA10" s="1"/>
      <c r="AB10" s="1">
        <f t="shared" si="13"/>
        <v>13.299999999999997</v>
      </c>
      <c r="AC10" s="1">
        <f t="shared" si="7"/>
        <v>7.5083429895712639</v>
      </c>
      <c r="AD10" s="1">
        <v>146.6</v>
      </c>
      <c r="AE10" s="1">
        <v>141</v>
      </c>
      <c r="AF10" s="1">
        <v>133.80000000000001</v>
      </c>
      <c r="AG10" s="1">
        <v>135.4</v>
      </c>
      <c r="AH10" s="1">
        <v>130</v>
      </c>
      <c r="AI10" s="1">
        <v>121.2</v>
      </c>
      <c r="AJ10" s="1">
        <v>96.2</v>
      </c>
      <c r="AK10" s="1">
        <v>108.4</v>
      </c>
      <c r="AL10" s="1" t="s">
        <v>44</v>
      </c>
      <c r="AM10" s="1">
        <f t="shared" si="8"/>
        <v>225</v>
      </c>
      <c r="AN10" s="1">
        <f t="shared" si="9"/>
        <v>225</v>
      </c>
      <c r="AO10" s="1">
        <f t="shared" si="10"/>
        <v>128</v>
      </c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</row>
    <row r="11" spans="1:55" x14ac:dyDescent="0.25">
      <c r="A11" s="1" t="s">
        <v>45</v>
      </c>
      <c r="B11" s="1" t="s">
        <v>43</v>
      </c>
      <c r="C11" s="1">
        <v>1591</v>
      </c>
      <c r="D11" s="1">
        <v>3404</v>
      </c>
      <c r="E11" s="1">
        <v>1890</v>
      </c>
      <c r="F11" s="1">
        <v>2535</v>
      </c>
      <c r="G11" s="8">
        <v>0.45</v>
      </c>
      <c r="H11" s="1">
        <v>45</v>
      </c>
      <c r="I11" s="1" t="s">
        <v>39</v>
      </c>
      <c r="J11" s="1"/>
      <c r="K11" s="1">
        <v>2430</v>
      </c>
      <c r="L11" s="1">
        <f t="shared" si="3"/>
        <v>-540</v>
      </c>
      <c r="M11" s="1">
        <f t="shared" si="4"/>
        <v>1362</v>
      </c>
      <c r="N11" s="1">
        <v>528</v>
      </c>
      <c r="O11" s="1"/>
      <c r="P11" s="1">
        <v>0</v>
      </c>
      <c r="Q11" s="1">
        <f>IFERROR(VLOOKUP(A11,[1]Sheet!$A:$D,4,0),0)</f>
        <v>0</v>
      </c>
      <c r="R11" s="1">
        <f t="shared" si="5"/>
        <v>272.39999999999998</v>
      </c>
      <c r="S11" s="5">
        <f t="shared" si="11"/>
        <v>733.79999999999973</v>
      </c>
      <c r="T11" s="5">
        <f t="shared" si="14"/>
        <v>354.12</v>
      </c>
      <c r="U11" s="5">
        <f t="shared" si="12"/>
        <v>1087.9199999999996</v>
      </c>
      <c r="V11" s="5">
        <f t="shared" si="6"/>
        <v>587.91999999999962</v>
      </c>
      <c r="W11" s="5">
        <v>500</v>
      </c>
      <c r="X11" s="5">
        <f t="shared" si="15"/>
        <v>449.45999999999992</v>
      </c>
      <c r="Y11" s="5"/>
      <c r="Z11" s="1"/>
      <c r="AA11" s="1"/>
      <c r="AB11" s="1">
        <f t="shared" si="13"/>
        <v>13.299999999999999</v>
      </c>
      <c r="AC11" s="1">
        <f t="shared" si="7"/>
        <v>9.3061674008810584</v>
      </c>
      <c r="AD11" s="1">
        <v>258.2</v>
      </c>
      <c r="AE11" s="1">
        <v>335.8</v>
      </c>
      <c r="AF11" s="1">
        <v>416.4</v>
      </c>
      <c r="AG11" s="1">
        <v>388.6</v>
      </c>
      <c r="AH11" s="1">
        <v>393.6</v>
      </c>
      <c r="AI11" s="1">
        <v>368.6</v>
      </c>
      <c r="AJ11" s="1">
        <v>271.39999999999998</v>
      </c>
      <c r="AK11" s="1">
        <v>269.60000000000002</v>
      </c>
      <c r="AL11" s="1" t="s">
        <v>44</v>
      </c>
      <c r="AM11" s="1">
        <f t="shared" si="8"/>
        <v>265</v>
      </c>
      <c r="AN11" s="1">
        <f t="shared" si="9"/>
        <v>225</v>
      </c>
      <c r="AO11" s="1">
        <f t="shared" si="10"/>
        <v>202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</row>
    <row r="12" spans="1:55" x14ac:dyDescent="0.25">
      <c r="A12" s="1" t="s">
        <v>46</v>
      </c>
      <c r="B12" s="1" t="s">
        <v>43</v>
      </c>
      <c r="C12" s="1">
        <v>9</v>
      </c>
      <c r="D12" s="1">
        <v>215</v>
      </c>
      <c r="E12" s="1">
        <v>83</v>
      </c>
      <c r="F12" s="1">
        <v>100</v>
      </c>
      <c r="G12" s="8">
        <v>0.17</v>
      </c>
      <c r="H12" s="1">
        <v>180</v>
      </c>
      <c r="I12" s="1" t="s">
        <v>39</v>
      </c>
      <c r="J12" s="1"/>
      <c r="K12" s="1">
        <v>105</v>
      </c>
      <c r="L12" s="1">
        <f t="shared" si="3"/>
        <v>-22</v>
      </c>
      <c r="M12" s="1">
        <f t="shared" si="4"/>
        <v>68</v>
      </c>
      <c r="N12" s="1">
        <v>15</v>
      </c>
      <c r="O12" s="1"/>
      <c r="P12" s="1">
        <v>39.600000000000023</v>
      </c>
      <c r="Q12" s="1">
        <f>IFERROR(VLOOKUP(A12,[1]Sheet!$A:$D,4,0),0)</f>
        <v>0</v>
      </c>
      <c r="R12" s="1">
        <f t="shared" si="5"/>
        <v>13.6</v>
      </c>
      <c r="S12" s="5">
        <f t="shared" si="11"/>
        <v>23.599999999999966</v>
      </c>
      <c r="T12" s="5"/>
      <c r="U12" s="5">
        <f t="shared" si="12"/>
        <v>23.599999999999966</v>
      </c>
      <c r="V12" s="5">
        <f t="shared" si="6"/>
        <v>23.599999999999966</v>
      </c>
      <c r="W12" s="5"/>
      <c r="X12" s="5"/>
      <c r="Y12" s="5"/>
      <c r="Z12" s="1"/>
      <c r="AA12" s="1"/>
      <c r="AB12" s="1">
        <f t="shared" si="13"/>
        <v>12</v>
      </c>
      <c r="AC12" s="1">
        <f t="shared" si="7"/>
        <v>10.264705882352944</v>
      </c>
      <c r="AD12" s="1">
        <v>16</v>
      </c>
      <c r="AE12" s="1">
        <v>14.2</v>
      </c>
      <c r="AF12" s="1">
        <v>11</v>
      </c>
      <c r="AG12" s="1">
        <v>9.6</v>
      </c>
      <c r="AH12" s="1">
        <v>9</v>
      </c>
      <c r="AI12" s="1">
        <v>9.8000000000000007</v>
      </c>
      <c r="AJ12" s="1">
        <v>10.4</v>
      </c>
      <c r="AK12" s="1">
        <v>9.4</v>
      </c>
      <c r="AL12" s="1" t="s">
        <v>44</v>
      </c>
      <c r="AM12" s="1">
        <f t="shared" si="8"/>
        <v>4</v>
      </c>
      <c r="AN12" s="1">
        <f t="shared" si="9"/>
        <v>0</v>
      </c>
      <c r="AO12" s="1">
        <f t="shared" si="10"/>
        <v>0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</row>
    <row r="13" spans="1:55" x14ac:dyDescent="0.25">
      <c r="A13" s="1" t="s">
        <v>47</v>
      </c>
      <c r="B13" s="1" t="s">
        <v>43</v>
      </c>
      <c r="C13" s="1">
        <v>4</v>
      </c>
      <c r="D13" s="1">
        <v>60</v>
      </c>
      <c r="E13" s="1">
        <v>7</v>
      </c>
      <c r="F13" s="1">
        <v>56</v>
      </c>
      <c r="G13" s="8">
        <v>0.3</v>
      </c>
      <c r="H13" s="1">
        <v>40</v>
      </c>
      <c r="I13" s="1" t="s">
        <v>39</v>
      </c>
      <c r="J13" s="1"/>
      <c r="K13" s="1">
        <v>16</v>
      </c>
      <c r="L13" s="1">
        <f t="shared" si="3"/>
        <v>-9</v>
      </c>
      <c r="M13" s="1">
        <f t="shared" si="4"/>
        <v>7</v>
      </c>
      <c r="N13" s="1"/>
      <c r="O13" s="1"/>
      <c r="P13" s="1">
        <v>0</v>
      </c>
      <c r="Q13" s="1">
        <f>IFERROR(VLOOKUP(A13,[1]Sheet!$A:$D,4,0),0)</f>
        <v>0</v>
      </c>
      <c r="R13" s="1">
        <f t="shared" si="5"/>
        <v>1.4</v>
      </c>
      <c r="S13" s="5"/>
      <c r="T13" s="5"/>
      <c r="U13" s="5">
        <f t="shared" si="12"/>
        <v>0</v>
      </c>
      <c r="V13" s="5">
        <f t="shared" si="6"/>
        <v>0</v>
      </c>
      <c r="W13" s="5"/>
      <c r="X13" s="5"/>
      <c r="Y13" s="5"/>
      <c r="Z13" s="1"/>
      <c r="AA13" s="1"/>
      <c r="AB13" s="1">
        <f t="shared" si="13"/>
        <v>40</v>
      </c>
      <c r="AC13" s="1">
        <f t="shared" si="7"/>
        <v>40</v>
      </c>
      <c r="AD13" s="1">
        <v>3</v>
      </c>
      <c r="AE13" s="1">
        <v>4.5999999999999996</v>
      </c>
      <c r="AF13" s="1">
        <v>3.4</v>
      </c>
      <c r="AG13" s="1">
        <v>2.4</v>
      </c>
      <c r="AH13" s="1">
        <v>1.8</v>
      </c>
      <c r="AI13" s="1">
        <v>2.2000000000000002</v>
      </c>
      <c r="AJ13" s="1">
        <v>2</v>
      </c>
      <c r="AK13" s="1">
        <v>3.6</v>
      </c>
      <c r="AL13" s="1"/>
      <c r="AM13" s="1">
        <f t="shared" si="8"/>
        <v>0</v>
      </c>
      <c r="AN13" s="1">
        <f t="shared" si="9"/>
        <v>0</v>
      </c>
      <c r="AO13" s="1">
        <f t="shared" si="10"/>
        <v>0</v>
      </c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</row>
    <row r="14" spans="1:55" x14ac:dyDescent="0.25">
      <c r="A14" s="1" t="s">
        <v>48</v>
      </c>
      <c r="B14" s="1" t="s">
        <v>43</v>
      </c>
      <c r="C14" s="1">
        <v>3</v>
      </c>
      <c r="D14" s="1">
        <v>305</v>
      </c>
      <c r="E14" s="1">
        <v>184</v>
      </c>
      <c r="F14" s="1">
        <v>88</v>
      </c>
      <c r="G14" s="8">
        <v>0.17</v>
      </c>
      <c r="H14" s="1">
        <v>180</v>
      </c>
      <c r="I14" s="1" t="s">
        <v>39</v>
      </c>
      <c r="J14" s="1"/>
      <c r="K14" s="1">
        <v>204</v>
      </c>
      <c r="L14" s="1">
        <f t="shared" si="3"/>
        <v>-20</v>
      </c>
      <c r="M14" s="1">
        <f t="shared" si="4"/>
        <v>169</v>
      </c>
      <c r="N14" s="1">
        <v>15</v>
      </c>
      <c r="O14" s="1"/>
      <c r="P14" s="1">
        <v>108.2</v>
      </c>
      <c r="Q14" s="1">
        <f>IFERROR(VLOOKUP(A14,[1]Sheet!$A:$D,4,0),0)</f>
        <v>0</v>
      </c>
      <c r="R14" s="1">
        <f t="shared" si="5"/>
        <v>33.799999999999997</v>
      </c>
      <c r="S14" s="5">
        <f t="shared" si="11"/>
        <v>209.39999999999998</v>
      </c>
      <c r="T14" s="5"/>
      <c r="U14" s="5">
        <f t="shared" si="12"/>
        <v>209.39999999999998</v>
      </c>
      <c r="V14" s="5">
        <f t="shared" si="6"/>
        <v>209.39999999999998</v>
      </c>
      <c r="W14" s="5"/>
      <c r="X14" s="5"/>
      <c r="Y14" s="5"/>
      <c r="Z14" s="1"/>
      <c r="AA14" s="1"/>
      <c r="AB14" s="1">
        <f t="shared" si="13"/>
        <v>12</v>
      </c>
      <c r="AC14" s="1">
        <f t="shared" si="7"/>
        <v>5.8047337278106514</v>
      </c>
      <c r="AD14" s="1">
        <v>26.2</v>
      </c>
      <c r="AE14" s="1">
        <v>20.8</v>
      </c>
      <c r="AF14" s="1">
        <v>18.600000000000001</v>
      </c>
      <c r="AG14" s="1">
        <v>22.4</v>
      </c>
      <c r="AH14" s="1">
        <v>20.6</v>
      </c>
      <c r="AI14" s="1">
        <v>24.2</v>
      </c>
      <c r="AJ14" s="1">
        <v>19.8</v>
      </c>
      <c r="AK14" s="1">
        <v>24.6</v>
      </c>
      <c r="AL14" s="1"/>
      <c r="AM14" s="1">
        <f t="shared" si="8"/>
        <v>36</v>
      </c>
      <c r="AN14" s="1">
        <f t="shared" si="9"/>
        <v>0</v>
      </c>
      <c r="AO14" s="1">
        <f t="shared" si="10"/>
        <v>0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</row>
    <row r="15" spans="1:55" x14ac:dyDescent="0.25">
      <c r="A15" s="1" t="s">
        <v>49</v>
      </c>
      <c r="B15" s="1" t="s">
        <v>36</v>
      </c>
      <c r="C15" s="1">
        <v>1216.143</v>
      </c>
      <c r="D15" s="1">
        <v>2932.2080000000001</v>
      </c>
      <c r="E15" s="1">
        <v>2104.9549999999999</v>
      </c>
      <c r="F15" s="1">
        <v>1641.7170000000001</v>
      </c>
      <c r="G15" s="8">
        <v>1</v>
      </c>
      <c r="H15" s="1">
        <v>55</v>
      </c>
      <c r="I15" s="1" t="s">
        <v>39</v>
      </c>
      <c r="J15" s="1"/>
      <c r="K15" s="1">
        <v>2290.3090000000002</v>
      </c>
      <c r="L15" s="1">
        <f t="shared" si="3"/>
        <v>-185.35400000000027</v>
      </c>
      <c r="M15" s="1">
        <f t="shared" si="4"/>
        <v>1702.826</v>
      </c>
      <c r="N15" s="1">
        <v>402.12900000000002</v>
      </c>
      <c r="O15" s="1">
        <v>364.08096</v>
      </c>
      <c r="P15" s="1">
        <v>1744.65274</v>
      </c>
      <c r="Q15" s="1">
        <f>IFERROR(VLOOKUP(A15,[1]Sheet!$A:$D,4,0),0)</f>
        <v>160</v>
      </c>
      <c r="R15" s="1">
        <f t="shared" si="5"/>
        <v>340.5652</v>
      </c>
      <c r="S15" s="5">
        <f t="shared" si="11"/>
        <v>336.33169999999996</v>
      </c>
      <c r="T15" s="5">
        <f t="shared" ref="T15:T16" si="16">$T$1*R15</f>
        <v>442.73475999999999</v>
      </c>
      <c r="U15" s="5">
        <f t="shared" si="12"/>
        <v>779.06646000000001</v>
      </c>
      <c r="V15" s="5">
        <f t="shared" si="6"/>
        <v>779.06646000000001</v>
      </c>
      <c r="W15" s="5"/>
      <c r="X15" s="5">
        <f t="shared" ref="X15:X16" si="17">$X$1*R15</f>
        <v>561.93258000000003</v>
      </c>
      <c r="Y15" s="5"/>
      <c r="Z15" s="1"/>
      <c r="AA15" s="1"/>
      <c r="AB15" s="1">
        <f t="shared" si="13"/>
        <v>13.3</v>
      </c>
      <c r="AC15" s="1">
        <f t="shared" si="7"/>
        <v>11.012430806200987</v>
      </c>
      <c r="AD15" s="1">
        <v>343.31139999999999</v>
      </c>
      <c r="AE15" s="1">
        <v>303.4008</v>
      </c>
      <c r="AF15" s="1">
        <v>324.76</v>
      </c>
      <c r="AG15" s="1">
        <v>289.77679999999998</v>
      </c>
      <c r="AH15" s="1">
        <v>288.3716</v>
      </c>
      <c r="AI15" s="1">
        <v>293.42880000000002</v>
      </c>
      <c r="AJ15" s="1">
        <v>350.74720000000002</v>
      </c>
      <c r="AK15" s="1">
        <v>329.55340000000001</v>
      </c>
      <c r="AL15" s="1" t="s">
        <v>50</v>
      </c>
      <c r="AM15" s="1">
        <f t="shared" si="8"/>
        <v>779</v>
      </c>
      <c r="AN15" s="1">
        <f t="shared" si="9"/>
        <v>0</v>
      </c>
      <c r="AO15" s="1">
        <f t="shared" si="10"/>
        <v>562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</row>
    <row r="16" spans="1:55" x14ac:dyDescent="0.25">
      <c r="A16" s="1" t="s">
        <v>51</v>
      </c>
      <c r="B16" s="1" t="s">
        <v>36</v>
      </c>
      <c r="C16" s="1">
        <v>1549.117</v>
      </c>
      <c r="D16" s="1">
        <v>3089.3820000000001</v>
      </c>
      <c r="E16" s="1">
        <v>2426.4720000000002</v>
      </c>
      <c r="F16" s="1">
        <v>1565.009</v>
      </c>
      <c r="G16" s="8">
        <v>1</v>
      </c>
      <c r="H16" s="1">
        <v>50</v>
      </c>
      <c r="I16" s="1" t="s">
        <v>39</v>
      </c>
      <c r="J16" s="1"/>
      <c r="K16" s="1">
        <v>2925.1680000000001</v>
      </c>
      <c r="L16" s="1">
        <f t="shared" si="3"/>
        <v>-498.69599999999991</v>
      </c>
      <c r="M16" s="1">
        <f t="shared" si="4"/>
        <v>1779.3040000000001</v>
      </c>
      <c r="N16" s="1">
        <v>647.16800000000001</v>
      </c>
      <c r="O16" s="1">
        <v>384.71591999999993</v>
      </c>
      <c r="P16" s="1">
        <v>1433.0624800000021</v>
      </c>
      <c r="Q16" s="1">
        <f>IFERROR(VLOOKUP(A16,[1]Sheet!$A:$D,4,0),0)</f>
        <v>170</v>
      </c>
      <c r="R16" s="1">
        <f t="shared" si="5"/>
        <v>355.86080000000004</v>
      </c>
      <c r="S16" s="5">
        <f t="shared" si="11"/>
        <v>887.5421999999985</v>
      </c>
      <c r="T16" s="5">
        <f t="shared" si="16"/>
        <v>462.61904000000004</v>
      </c>
      <c r="U16" s="5">
        <f t="shared" si="12"/>
        <v>1350.1612399999985</v>
      </c>
      <c r="V16" s="5">
        <f t="shared" si="6"/>
        <v>550.16123999999854</v>
      </c>
      <c r="W16" s="5">
        <v>800</v>
      </c>
      <c r="X16" s="5">
        <f t="shared" si="17"/>
        <v>587.17032000000006</v>
      </c>
      <c r="Y16" s="5"/>
      <c r="Z16" s="1"/>
      <c r="AA16" s="1"/>
      <c r="AB16" s="1">
        <f t="shared" si="13"/>
        <v>13.3</v>
      </c>
      <c r="AC16" s="1">
        <f t="shared" si="7"/>
        <v>9.5059287226915732</v>
      </c>
      <c r="AD16" s="1">
        <v>327.43279999999999</v>
      </c>
      <c r="AE16" s="1">
        <v>320.59660000000002</v>
      </c>
      <c r="AF16" s="1">
        <v>356.32499999999999</v>
      </c>
      <c r="AG16" s="1">
        <v>329.22059999999999</v>
      </c>
      <c r="AH16" s="1">
        <v>334.84500000000003</v>
      </c>
      <c r="AI16" s="1">
        <v>307.7106</v>
      </c>
      <c r="AJ16" s="1">
        <v>403.55239999999998</v>
      </c>
      <c r="AK16" s="1">
        <v>423.70960000000002</v>
      </c>
      <c r="AL16" s="1" t="s">
        <v>50</v>
      </c>
      <c r="AM16" s="1">
        <f t="shared" si="8"/>
        <v>550</v>
      </c>
      <c r="AN16" s="1">
        <f t="shared" si="9"/>
        <v>800</v>
      </c>
      <c r="AO16" s="1">
        <f t="shared" si="10"/>
        <v>587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</row>
    <row r="17" spans="1:55" x14ac:dyDescent="0.25">
      <c r="A17" s="1" t="s">
        <v>52</v>
      </c>
      <c r="B17" s="1" t="s">
        <v>36</v>
      </c>
      <c r="C17" s="1">
        <v>49.478000000000002</v>
      </c>
      <c r="D17" s="1">
        <v>276.87400000000002</v>
      </c>
      <c r="E17" s="1">
        <v>208.40600000000001</v>
      </c>
      <c r="F17" s="1">
        <v>89.052999999999997</v>
      </c>
      <c r="G17" s="8">
        <v>1</v>
      </c>
      <c r="H17" s="1">
        <v>60</v>
      </c>
      <c r="I17" s="1" t="s">
        <v>39</v>
      </c>
      <c r="J17" s="1"/>
      <c r="K17" s="1">
        <v>220.202</v>
      </c>
      <c r="L17" s="1">
        <f t="shared" si="3"/>
        <v>-11.795999999999992</v>
      </c>
      <c r="M17" s="1">
        <f t="shared" si="4"/>
        <v>187.404</v>
      </c>
      <c r="N17" s="1">
        <v>21.001999999999999</v>
      </c>
      <c r="O17" s="1"/>
      <c r="P17" s="1">
        <v>224.1754</v>
      </c>
      <c r="Q17" s="1">
        <f>IFERROR(VLOOKUP(A17,[1]Sheet!$A:$D,4,0),0)</f>
        <v>0</v>
      </c>
      <c r="R17" s="1">
        <f t="shared" si="5"/>
        <v>37.480800000000002</v>
      </c>
      <c r="S17" s="5">
        <f t="shared" si="11"/>
        <v>136.54120000000003</v>
      </c>
      <c r="T17" s="5"/>
      <c r="U17" s="5">
        <f t="shared" si="12"/>
        <v>136.54120000000003</v>
      </c>
      <c r="V17" s="5">
        <f t="shared" si="6"/>
        <v>136.54120000000003</v>
      </c>
      <c r="W17" s="5"/>
      <c r="X17" s="5"/>
      <c r="Y17" s="5"/>
      <c r="Z17" s="1"/>
      <c r="AA17" s="1"/>
      <c r="AB17" s="1">
        <f t="shared" si="13"/>
        <v>11.999999999999998</v>
      </c>
      <c r="AC17" s="1">
        <f t="shared" si="7"/>
        <v>8.3570361358348801</v>
      </c>
      <c r="AD17" s="1">
        <v>35.740400000000001</v>
      </c>
      <c r="AE17" s="1">
        <v>24.6844</v>
      </c>
      <c r="AF17" s="1">
        <v>33.172999999999988</v>
      </c>
      <c r="AG17" s="1">
        <v>36.040999999999997</v>
      </c>
      <c r="AH17" s="1">
        <v>29.628399999999999</v>
      </c>
      <c r="AI17" s="1">
        <v>32.635000000000012</v>
      </c>
      <c r="AJ17" s="1">
        <v>27.845800000000001</v>
      </c>
      <c r="AK17" s="1">
        <v>36.688800000000001</v>
      </c>
      <c r="AL17" s="1"/>
      <c r="AM17" s="1">
        <f t="shared" si="8"/>
        <v>137</v>
      </c>
      <c r="AN17" s="1">
        <f t="shared" si="9"/>
        <v>0</v>
      </c>
      <c r="AO17" s="1">
        <f t="shared" si="10"/>
        <v>0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</row>
    <row r="18" spans="1:55" x14ac:dyDescent="0.25">
      <c r="A18" s="1" t="s">
        <v>53</v>
      </c>
      <c r="B18" s="1" t="s">
        <v>36</v>
      </c>
      <c r="C18" s="1">
        <v>835.90099999999995</v>
      </c>
      <c r="D18" s="1">
        <v>1452.57</v>
      </c>
      <c r="E18" s="1">
        <v>1173.421</v>
      </c>
      <c r="F18" s="1">
        <v>528.02800000000002</v>
      </c>
      <c r="G18" s="8">
        <v>1</v>
      </c>
      <c r="H18" s="1">
        <v>60</v>
      </c>
      <c r="I18" s="1" t="s">
        <v>39</v>
      </c>
      <c r="J18" s="1"/>
      <c r="K18" s="1">
        <v>1633.4939999999999</v>
      </c>
      <c r="L18" s="1">
        <f t="shared" si="3"/>
        <v>-460.07299999999987</v>
      </c>
      <c r="M18" s="1">
        <f t="shared" si="4"/>
        <v>604.42700000000002</v>
      </c>
      <c r="N18" s="1">
        <v>568.99400000000003</v>
      </c>
      <c r="O18" s="1"/>
      <c r="P18" s="1">
        <v>804.51289999999983</v>
      </c>
      <c r="Q18" s="1">
        <f>IFERROR(VLOOKUP(A18,[1]Sheet!$A:$D,4,0),0)</f>
        <v>120</v>
      </c>
      <c r="R18" s="1">
        <f t="shared" si="5"/>
        <v>120.8854</v>
      </c>
      <c r="S18" s="5">
        <f t="shared" si="11"/>
        <v>118.0839000000002</v>
      </c>
      <c r="T18" s="5">
        <f>$T$1*R18</f>
        <v>157.15102000000002</v>
      </c>
      <c r="U18" s="5">
        <f t="shared" si="12"/>
        <v>275.23492000000022</v>
      </c>
      <c r="V18" s="5">
        <f t="shared" si="6"/>
        <v>275.23492000000022</v>
      </c>
      <c r="W18" s="5"/>
      <c r="X18" s="5">
        <f>$X$1*R18</f>
        <v>199.46090999999998</v>
      </c>
      <c r="Y18" s="5"/>
      <c r="Z18" s="1"/>
      <c r="AA18" s="1"/>
      <c r="AB18" s="1">
        <f t="shared" si="13"/>
        <v>13.300000000000002</v>
      </c>
      <c r="AC18" s="1">
        <f t="shared" si="7"/>
        <v>11.023174841626863</v>
      </c>
      <c r="AD18" s="1">
        <v>123.5022</v>
      </c>
      <c r="AE18" s="1">
        <v>119.4024</v>
      </c>
      <c r="AF18" s="1">
        <v>147.22900000000001</v>
      </c>
      <c r="AG18" s="1">
        <v>133.0924</v>
      </c>
      <c r="AH18" s="1">
        <v>110.7876</v>
      </c>
      <c r="AI18" s="1">
        <v>121.3826</v>
      </c>
      <c r="AJ18" s="1">
        <v>143.16040000000001</v>
      </c>
      <c r="AK18" s="1">
        <v>164.77780000000001</v>
      </c>
      <c r="AL18" s="1"/>
      <c r="AM18" s="1">
        <f t="shared" si="8"/>
        <v>275</v>
      </c>
      <c r="AN18" s="1">
        <f t="shared" si="9"/>
        <v>0</v>
      </c>
      <c r="AO18" s="1">
        <f t="shared" si="10"/>
        <v>199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</row>
    <row r="19" spans="1:55" x14ac:dyDescent="0.25">
      <c r="A19" s="16" t="s">
        <v>54</v>
      </c>
      <c r="B19" s="16" t="s">
        <v>36</v>
      </c>
      <c r="C19" s="16"/>
      <c r="D19" s="16"/>
      <c r="E19" s="16"/>
      <c r="F19" s="16"/>
      <c r="G19" s="17">
        <v>0</v>
      </c>
      <c r="H19" s="16">
        <v>60</v>
      </c>
      <c r="I19" s="16" t="s">
        <v>39</v>
      </c>
      <c r="J19" s="16"/>
      <c r="K19" s="16">
        <v>10</v>
      </c>
      <c r="L19" s="16">
        <f t="shared" si="3"/>
        <v>-10</v>
      </c>
      <c r="M19" s="16">
        <f t="shared" si="4"/>
        <v>0</v>
      </c>
      <c r="N19" s="16"/>
      <c r="O19" s="16"/>
      <c r="P19" s="16">
        <v>0</v>
      </c>
      <c r="Q19" s="16">
        <f>IFERROR(VLOOKUP(A19,[1]Sheet!$A:$D,4,0),0)</f>
        <v>0</v>
      </c>
      <c r="R19" s="16">
        <f t="shared" si="5"/>
        <v>0</v>
      </c>
      <c r="S19" s="18"/>
      <c r="T19" s="18"/>
      <c r="U19" s="5">
        <f t="shared" si="12"/>
        <v>0</v>
      </c>
      <c r="V19" s="5">
        <f t="shared" si="6"/>
        <v>0</v>
      </c>
      <c r="W19" s="5"/>
      <c r="X19" s="5"/>
      <c r="Y19" s="18"/>
      <c r="Z19" s="16"/>
      <c r="AA19" s="16"/>
      <c r="AB19" s="1" t="e">
        <f t="shared" si="13"/>
        <v>#DIV/0!</v>
      </c>
      <c r="AC19" s="16" t="e">
        <f t="shared" si="7"/>
        <v>#DIV/0!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 t="s">
        <v>55</v>
      </c>
      <c r="AM19" s="1">
        <f t="shared" si="8"/>
        <v>0</v>
      </c>
      <c r="AN19" s="1">
        <f t="shared" si="9"/>
        <v>0</v>
      </c>
      <c r="AO19" s="1">
        <f t="shared" si="10"/>
        <v>0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</row>
    <row r="20" spans="1:55" x14ac:dyDescent="0.25">
      <c r="A20" s="1" t="s">
        <v>56</v>
      </c>
      <c r="B20" s="1" t="s">
        <v>36</v>
      </c>
      <c r="C20" s="1">
        <v>25.335999999999999</v>
      </c>
      <c r="D20" s="1"/>
      <c r="E20" s="1">
        <v>3.1579999999999999</v>
      </c>
      <c r="F20" s="1">
        <v>22.178000000000001</v>
      </c>
      <c r="G20" s="8">
        <v>1</v>
      </c>
      <c r="H20" s="1">
        <v>180</v>
      </c>
      <c r="I20" s="1" t="s">
        <v>39</v>
      </c>
      <c r="J20" s="1"/>
      <c r="K20" s="1">
        <v>3.04</v>
      </c>
      <c r="L20" s="1">
        <f t="shared" si="3"/>
        <v>0.11799999999999988</v>
      </c>
      <c r="M20" s="1">
        <f t="shared" si="4"/>
        <v>3.1579999999999999</v>
      </c>
      <c r="N20" s="1"/>
      <c r="O20" s="1"/>
      <c r="P20" s="1">
        <v>0</v>
      </c>
      <c r="Q20" s="1">
        <f>IFERROR(VLOOKUP(A20,[1]Sheet!$A:$D,4,0),0)</f>
        <v>0</v>
      </c>
      <c r="R20" s="1">
        <f t="shared" si="5"/>
        <v>0.63159999999999994</v>
      </c>
      <c r="S20" s="5"/>
      <c r="T20" s="5"/>
      <c r="U20" s="5">
        <f t="shared" si="12"/>
        <v>0</v>
      </c>
      <c r="V20" s="5">
        <f t="shared" si="6"/>
        <v>0</v>
      </c>
      <c r="W20" s="5"/>
      <c r="X20" s="5"/>
      <c r="Y20" s="5"/>
      <c r="Z20" s="1"/>
      <c r="AA20" s="1"/>
      <c r="AB20" s="1">
        <f t="shared" si="13"/>
        <v>35.113996200126664</v>
      </c>
      <c r="AC20" s="1">
        <f t="shared" si="7"/>
        <v>35.113996200126664</v>
      </c>
      <c r="AD20" s="1">
        <v>0.62739999999999996</v>
      </c>
      <c r="AE20" s="1">
        <v>0.72399999999999998</v>
      </c>
      <c r="AF20" s="1">
        <v>0.80120000000000002</v>
      </c>
      <c r="AG20" s="1">
        <v>0.55959999999999999</v>
      </c>
      <c r="AH20" s="1">
        <v>0.40360000000000001</v>
      </c>
      <c r="AI20" s="1">
        <v>0.39419999999999999</v>
      </c>
      <c r="AJ20" s="1">
        <v>0.23319999999999999</v>
      </c>
      <c r="AK20" s="1">
        <v>0.3876</v>
      </c>
      <c r="AL20" s="21" t="s">
        <v>57</v>
      </c>
      <c r="AM20" s="1">
        <f t="shared" si="8"/>
        <v>0</v>
      </c>
      <c r="AN20" s="1">
        <f t="shared" si="9"/>
        <v>0</v>
      </c>
      <c r="AO20" s="1">
        <f t="shared" si="10"/>
        <v>0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</row>
    <row r="21" spans="1:55" x14ac:dyDescent="0.25">
      <c r="A21" s="1" t="s">
        <v>58</v>
      </c>
      <c r="B21" s="1" t="s">
        <v>36</v>
      </c>
      <c r="C21" s="1">
        <v>3270.5940000000001</v>
      </c>
      <c r="D21" s="1">
        <v>3778.27</v>
      </c>
      <c r="E21" s="1">
        <v>3278.0540000000001</v>
      </c>
      <c r="F21" s="1">
        <v>2897.5590000000002</v>
      </c>
      <c r="G21" s="8">
        <v>1</v>
      </c>
      <c r="H21" s="1">
        <v>60</v>
      </c>
      <c r="I21" s="1" t="s">
        <v>39</v>
      </c>
      <c r="J21" s="1"/>
      <c r="K21" s="1">
        <v>3568.14</v>
      </c>
      <c r="L21" s="1">
        <f t="shared" si="3"/>
        <v>-290.08599999999979</v>
      </c>
      <c r="M21" s="1">
        <f t="shared" si="4"/>
        <v>2993.154</v>
      </c>
      <c r="N21" s="1">
        <v>284.89999999999998</v>
      </c>
      <c r="O21" s="1">
        <v>592.36583999999993</v>
      </c>
      <c r="P21" s="1">
        <v>2060.073420000002</v>
      </c>
      <c r="Q21" s="1">
        <f>IFERROR(VLOOKUP(A21,[1]Sheet!$A:$D,4,0),0)</f>
        <v>290</v>
      </c>
      <c r="R21" s="1">
        <f t="shared" si="5"/>
        <v>598.63080000000002</v>
      </c>
      <c r="S21" s="5">
        <f t="shared" ref="S21:S25" si="18">12*R21-P21-O21-F21</f>
        <v>1633.5713399999977</v>
      </c>
      <c r="T21" s="5">
        <f t="shared" ref="T21:T23" si="19">$T$1*R21</f>
        <v>778.22004000000004</v>
      </c>
      <c r="U21" s="5">
        <f t="shared" si="12"/>
        <v>2411.7913799999978</v>
      </c>
      <c r="V21" s="5">
        <f t="shared" si="6"/>
        <v>1011.7913799999978</v>
      </c>
      <c r="W21" s="5">
        <v>1400</v>
      </c>
      <c r="X21" s="5">
        <f t="shared" ref="X21:X23" si="20">$X$1*R21</f>
        <v>987.74081999999999</v>
      </c>
      <c r="Y21" s="5"/>
      <c r="Z21" s="1"/>
      <c r="AA21" s="1"/>
      <c r="AB21" s="1">
        <f t="shared" si="13"/>
        <v>13.299999999999999</v>
      </c>
      <c r="AC21" s="1">
        <f t="shared" si="7"/>
        <v>9.2711538731385055</v>
      </c>
      <c r="AD21" s="1">
        <v>533.14740000000006</v>
      </c>
      <c r="AE21" s="1">
        <v>493.63819999999998</v>
      </c>
      <c r="AF21" s="1">
        <v>556.68439999999998</v>
      </c>
      <c r="AG21" s="1">
        <v>507.28480000000002</v>
      </c>
      <c r="AH21" s="1">
        <v>484.88119999999998</v>
      </c>
      <c r="AI21" s="1">
        <v>478.17899999999997</v>
      </c>
      <c r="AJ21" s="1">
        <v>456.48239999999998</v>
      </c>
      <c r="AK21" s="1">
        <v>440.69179999999989</v>
      </c>
      <c r="AL21" s="1" t="s">
        <v>50</v>
      </c>
      <c r="AM21" s="1">
        <f t="shared" si="8"/>
        <v>1012</v>
      </c>
      <c r="AN21" s="1">
        <f t="shared" si="9"/>
        <v>1400</v>
      </c>
      <c r="AO21" s="1">
        <f t="shared" si="10"/>
        <v>988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</row>
    <row r="22" spans="1:55" x14ac:dyDescent="0.25">
      <c r="A22" s="1" t="s">
        <v>59</v>
      </c>
      <c r="B22" s="1" t="s">
        <v>36</v>
      </c>
      <c r="C22" s="1">
        <v>441.75200000000001</v>
      </c>
      <c r="D22" s="1">
        <v>775.46</v>
      </c>
      <c r="E22" s="1">
        <v>610.42399999999998</v>
      </c>
      <c r="F22" s="1">
        <v>366.39100000000002</v>
      </c>
      <c r="G22" s="8">
        <v>1</v>
      </c>
      <c r="H22" s="1">
        <v>60</v>
      </c>
      <c r="I22" s="1" t="s">
        <v>39</v>
      </c>
      <c r="J22" s="1"/>
      <c r="K22" s="1">
        <v>726.36</v>
      </c>
      <c r="L22" s="1">
        <f t="shared" si="3"/>
        <v>-115.93600000000004</v>
      </c>
      <c r="M22" s="1">
        <f t="shared" si="4"/>
        <v>536.62400000000002</v>
      </c>
      <c r="N22" s="1">
        <v>73.8</v>
      </c>
      <c r="O22" s="1"/>
      <c r="P22" s="1">
        <v>753.06549999999993</v>
      </c>
      <c r="Q22" s="1">
        <f>IFERROR(VLOOKUP(A22,[1]Sheet!$A:$D,4,0),0)</f>
        <v>45</v>
      </c>
      <c r="R22" s="1">
        <f t="shared" si="5"/>
        <v>107.32480000000001</v>
      </c>
      <c r="S22" s="5">
        <f t="shared" si="18"/>
        <v>168.44110000000029</v>
      </c>
      <c r="T22" s="5">
        <f t="shared" si="19"/>
        <v>139.52224000000001</v>
      </c>
      <c r="U22" s="5">
        <f t="shared" si="12"/>
        <v>307.9633400000003</v>
      </c>
      <c r="V22" s="5">
        <f t="shared" si="6"/>
        <v>307.9633400000003</v>
      </c>
      <c r="W22" s="5"/>
      <c r="X22" s="5">
        <f t="shared" si="20"/>
        <v>177.08592000000002</v>
      </c>
      <c r="Y22" s="5"/>
      <c r="Z22" s="1"/>
      <c r="AA22" s="1"/>
      <c r="AB22" s="1">
        <f t="shared" si="13"/>
        <v>13.3</v>
      </c>
      <c r="AC22" s="1">
        <f t="shared" si="7"/>
        <v>10.430548205074688</v>
      </c>
      <c r="AD22" s="1">
        <v>103.1934</v>
      </c>
      <c r="AE22" s="1">
        <v>71.532799999999995</v>
      </c>
      <c r="AF22" s="1">
        <v>82.011799999999994</v>
      </c>
      <c r="AG22" s="1">
        <v>89.286000000000016</v>
      </c>
      <c r="AH22" s="1">
        <v>88.266199999999998</v>
      </c>
      <c r="AI22" s="1">
        <v>66.234999999999999</v>
      </c>
      <c r="AJ22" s="1">
        <v>65.243600000000001</v>
      </c>
      <c r="AK22" s="1">
        <v>61.306800000000003</v>
      </c>
      <c r="AL22" s="1"/>
      <c r="AM22" s="1">
        <f t="shared" si="8"/>
        <v>308</v>
      </c>
      <c r="AN22" s="1">
        <f t="shared" si="9"/>
        <v>0</v>
      </c>
      <c r="AO22" s="1">
        <f t="shared" si="10"/>
        <v>177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</row>
    <row r="23" spans="1:55" x14ac:dyDescent="0.25">
      <c r="A23" s="1" t="s">
        <v>60</v>
      </c>
      <c r="B23" s="1" t="s">
        <v>36</v>
      </c>
      <c r="C23" s="1">
        <v>308.06200000000001</v>
      </c>
      <c r="D23" s="1">
        <v>1296.8699999999999</v>
      </c>
      <c r="E23" s="1">
        <v>886.37199999999996</v>
      </c>
      <c r="F23" s="1">
        <v>452.99099999999999</v>
      </c>
      <c r="G23" s="8">
        <v>1</v>
      </c>
      <c r="H23" s="1">
        <v>60</v>
      </c>
      <c r="I23" s="1" t="s">
        <v>39</v>
      </c>
      <c r="J23" s="1"/>
      <c r="K23" s="1">
        <v>1038.415</v>
      </c>
      <c r="L23" s="1">
        <f t="shared" si="3"/>
        <v>-152.04300000000001</v>
      </c>
      <c r="M23" s="1">
        <f t="shared" si="4"/>
        <v>638.43599999999992</v>
      </c>
      <c r="N23" s="1">
        <v>247.93600000000001</v>
      </c>
      <c r="O23" s="1">
        <v>129.34296000000001</v>
      </c>
      <c r="P23" s="1">
        <v>727.89259999999979</v>
      </c>
      <c r="Q23" s="1">
        <f>IFERROR(VLOOKUP(A23,[1]Sheet!$A:$D,4,0),0)</f>
        <v>76</v>
      </c>
      <c r="R23" s="1">
        <f t="shared" si="5"/>
        <v>127.68719999999999</v>
      </c>
      <c r="S23" s="5">
        <f t="shared" si="18"/>
        <v>222.01984000000016</v>
      </c>
      <c r="T23" s="5">
        <f t="shared" si="19"/>
        <v>165.99336</v>
      </c>
      <c r="U23" s="5">
        <f t="shared" si="12"/>
        <v>388.01320000000015</v>
      </c>
      <c r="V23" s="5">
        <f t="shared" si="6"/>
        <v>388.01320000000015</v>
      </c>
      <c r="W23" s="5"/>
      <c r="X23" s="5">
        <f t="shared" si="20"/>
        <v>210.68387999999996</v>
      </c>
      <c r="Y23" s="5"/>
      <c r="Z23" s="1"/>
      <c r="AA23" s="1"/>
      <c r="AB23" s="1">
        <f t="shared" si="13"/>
        <v>13.299999999999999</v>
      </c>
      <c r="AC23" s="1">
        <f t="shared" si="7"/>
        <v>10.261220858472891</v>
      </c>
      <c r="AD23" s="1">
        <v>124.87260000000001</v>
      </c>
      <c r="AE23" s="1">
        <v>107.78579999999999</v>
      </c>
      <c r="AF23" s="1">
        <v>108.6494</v>
      </c>
      <c r="AG23" s="1">
        <v>97.132800000000003</v>
      </c>
      <c r="AH23" s="1">
        <v>101.2252</v>
      </c>
      <c r="AI23" s="1">
        <v>111.41200000000001</v>
      </c>
      <c r="AJ23" s="1">
        <v>99.580799999999996</v>
      </c>
      <c r="AK23" s="1">
        <v>118.0684</v>
      </c>
      <c r="AL23" s="1"/>
      <c r="AM23" s="1">
        <f t="shared" si="8"/>
        <v>388</v>
      </c>
      <c r="AN23" s="1">
        <f t="shared" si="9"/>
        <v>0</v>
      </c>
      <c r="AO23" s="1">
        <f t="shared" si="10"/>
        <v>211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</row>
    <row r="24" spans="1:55" x14ac:dyDescent="0.25">
      <c r="A24" s="1" t="s">
        <v>61</v>
      </c>
      <c r="B24" s="1" t="s">
        <v>36</v>
      </c>
      <c r="C24" s="1">
        <v>6.7229999999999999</v>
      </c>
      <c r="D24" s="1">
        <v>30.544</v>
      </c>
      <c r="E24" s="1">
        <v>5.3289999999999997</v>
      </c>
      <c r="F24" s="1">
        <v>31.937999999999999</v>
      </c>
      <c r="G24" s="8">
        <v>1</v>
      </c>
      <c r="H24" s="1">
        <v>180</v>
      </c>
      <c r="I24" s="1" t="s">
        <v>39</v>
      </c>
      <c r="J24" s="1"/>
      <c r="K24" s="1">
        <v>5.49</v>
      </c>
      <c r="L24" s="1">
        <f t="shared" si="3"/>
        <v>-0.16100000000000048</v>
      </c>
      <c r="M24" s="1">
        <f t="shared" si="4"/>
        <v>5.3289999999999997</v>
      </c>
      <c r="N24" s="1"/>
      <c r="O24" s="1"/>
      <c r="P24" s="1">
        <v>0</v>
      </c>
      <c r="Q24" s="1">
        <f>IFERROR(VLOOKUP(A24,[1]Sheet!$A:$D,4,0),0)</f>
        <v>0</v>
      </c>
      <c r="R24" s="1">
        <f t="shared" si="5"/>
        <v>1.0657999999999999</v>
      </c>
      <c r="S24" s="5"/>
      <c r="T24" s="5"/>
      <c r="U24" s="5">
        <f t="shared" si="12"/>
        <v>0</v>
      </c>
      <c r="V24" s="5">
        <f t="shared" si="6"/>
        <v>0</v>
      </c>
      <c r="W24" s="5"/>
      <c r="X24" s="5"/>
      <c r="Y24" s="5"/>
      <c r="Z24" s="1"/>
      <c r="AA24" s="1"/>
      <c r="AB24" s="1">
        <f t="shared" si="13"/>
        <v>29.966222555826612</v>
      </c>
      <c r="AC24" s="1">
        <f t="shared" si="7"/>
        <v>29.966222555826612</v>
      </c>
      <c r="AD24" s="1">
        <v>0.92880000000000007</v>
      </c>
      <c r="AE24" s="1">
        <v>2.3759999999999999</v>
      </c>
      <c r="AF24" s="1">
        <v>2.4468000000000001</v>
      </c>
      <c r="AG24" s="1">
        <v>0.501</v>
      </c>
      <c r="AH24" s="1">
        <v>0.57279999999999998</v>
      </c>
      <c r="AI24" s="1">
        <v>0.71020000000000005</v>
      </c>
      <c r="AJ24" s="1">
        <v>1.2882</v>
      </c>
      <c r="AK24" s="1">
        <v>1.5911999999999999</v>
      </c>
      <c r="AL24" s="1"/>
      <c r="AM24" s="1">
        <f t="shared" si="8"/>
        <v>0</v>
      </c>
      <c r="AN24" s="1">
        <f t="shared" si="9"/>
        <v>0</v>
      </c>
      <c r="AO24" s="1">
        <f t="shared" si="10"/>
        <v>0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</row>
    <row r="25" spans="1:55" x14ac:dyDescent="0.25">
      <c r="A25" s="1" t="s">
        <v>62</v>
      </c>
      <c r="B25" s="1" t="s">
        <v>36</v>
      </c>
      <c r="C25" s="1">
        <v>911.846</v>
      </c>
      <c r="D25" s="1">
        <v>1996.4659999999999</v>
      </c>
      <c r="E25" s="1">
        <v>1662.2429999999999</v>
      </c>
      <c r="F25" s="1">
        <v>822.98900000000003</v>
      </c>
      <c r="G25" s="8">
        <v>1</v>
      </c>
      <c r="H25" s="1">
        <v>60</v>
      </c>
      <c r="I25" s="1" t="s">
        <v>39</v>
      </c>
      <c r="J25" s="1"/>
      <c r="K25" s="1">
        <v>1917.0820000000001</v>
      </c>
      <c r="L25" s="1">
        <f t="shared" si="3"/>
        <v>-254.83900000000017</v>
      </c>
      <c r="M25" s="1">
        <f t="shared" si="4"/>
        <v>1256.1610000000001</v>
      </c>
      <c r="N25" s="1">
        <v>406.08199999999999</v>
      </c>
      <c r="O25" s="1">
        <v>242.04816</v>
      </c>
      <c r="P25" s="1">
        <v>1287.7182400000011</v>
      </c>
      <c r="Q25" s="1">
        <f>IFERROR(VLOOKUP(A25,[1]Sheet!$A:$D,4,0),0)</f>
        <v>74</v>
      </c>
      <c r="R25" s="1">
        <f t="shared" si="5"/>
        <v>251.23220000000001</v>
      </c>
      <c r="S25" s="5">
        <f t="shared" si="18"/>
        <v>662.03099999999881</v>
      </c>
      <c r="T25" s="5">
        <f>$T$1*R25</f>
        <v>326.60186000000004</v>
      </c>
      <c r="U25" s="5">
        <f t="shared" si="12"/>
        <v>988.6328599999988</v>
      </c>
      <c r="V25" s="5">
        <f t="shared" si="6"/>
        <v>388.6328599999988</v>
      </c>
      <c r="W25" s="5">
        <v>600</v>
      </c>
      <c r="X25" s="5">
        <f>$X$1*R25</f>
        <v>414.53312999999997</v>
      </c>
      <c r="Y25" s="5"/>
      <c r="Z25" s="1"/>
      <c r="AA25" s="1"/>
      <c r="AB25" s="1">
        <f t="shared" si="13"/>
        <v>13.299999999999999</v>
      </c>
      <c r="AC25" s="1">
        <f t="shared" si="7"/>
        <v>9.3648640580307809</v>
      </c>
      <c r="AD25" s="1">
        <v>230.3176</v>
      </c>
      <c r="AE25" s="1">
        <v>201.70679999999999</v>
      </c>
      <c r="AF25" s="1">
        <v>217.13900000000001</v>
      </c>
      <c r="AG25" s="1">
        <v>209.31739999999999</v>
      </c>
      <c r="AH25" s="1">
        <v>211.536</v>
      </c>
      <c r="AI25" s="1">
        <v>228.21039999999999</v>
      </c>
      <c r="AJ25" s="1">
        <v>258.85700000000003</v>
      </c>
      <c r="AK25" s="1">
        <v>238.00819999999999</v>
      </c>
      <c r="AL25" s="1" t="s">
        <v>50</v>
      </c>
      <c r="AM25" s="1">
        <f t="shared" si="8"/>
        <v>389</v>
      </c>
      <c r="AN25" s="1">
        <f t="shared" si="9"/>
        <v>600</v>
      </c>
      <c r="AO25" s="1">
        <f t="shared" si="10"/>
        <v>415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</row>
    <row r="26" spans="1:55" x14ac:dyDescent="0.25">
      <c r="A26" s="16" t="s">
        <v>63</v>
      </c>
      <c r="B26" s="16" t="s">
        <v>36</v>
      </c>
      <c r="C26" s="16"/>
      <c r="D26" s="16"/>
      <c r="E26" s="16"/>
      <c r="F26" s="16"/>
      <c r="G26" s="17">
        <v>0</v>
      </c>
      <c r="H26" s="16">
        <v>30</v>
      </c>
      <c r="I26" s="16" t="s">
        <v>39</v>
      </c>
      <c r="J26" s="16"/>
      <c r="K26" s="16"/>
      <c r="L26" s="16">
        <f t="shared" si="3"/>
        <v>0</v>
      </c>
      <c r="M26" s="16">
        <f t="shared" si="4"/>
        <v>0</v>
      </c>
      <c r="N26" s="16"/>
      <c r="O26" s="16"/>
      <c r="P26" s="16">
        <v>0</v>
      </c>
      <c r="Q26" s="16">
        <f>IFERROR(VLOOKUP(A26,[1]Sheet!$A:$D,4,0),0)</f>
        <v>0</v>
      </c>
      <c r="R26" s="16">
        <f t="shared" si="5"/>
        <v>0</v>
      </c>
      <c r="S26" s="18"/>
      <c r="T26" s="18"/>
      <c r="U26" s="5">
        <f t="shared" si="12"/>
        <v>0</v>
      </c>
      <c r="V26" s="5">
        <f t="shared" si="6"/>
        <v>0</v>
      </c>
      <c r="W26" s="5"/>
      <c r="X26" s="5"/>
      <c r="Y26" s="18"/>
      <c r="Z26" s="16"/>
      <c r="AA26" s="16"/>
      <c r="AB26" s="1" t="e">
        <f t="shared" si="13"/>
        <v>#DIV/0!</v>
      </c>
      <c r="AC26" s="16" t="e">
        <f t="shared" si="7"/>
        <v>#DIV/0!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 t="s">
        <v>55</v>
      </c>
      <c r="AM26" s="1">
        <f t="shared" si="8"/>
        <v>0</v>
      </c>
      <c r="AN26" s="1">
        <f t="shared" si="9"/>
        <v>0</v>
      </c>
      <c r="AO26" s="1">
        <f t="shared" si="10"/>
        <v>0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</row>
    <row r="27" spans="1:55" x14ac:dyDescent="0.25">
      <c r="A27" s="16" t="s">
        <v>64</v>
      </c>
      <c r="B27" s="16" t="s">
        <v>36</v>
      </c>
      <c r="C27" s="16"/>
      <c r="D27" s="16"/>
      <c r="E27" s="16"/>
      <c r="F27" s="16"/>
      <c r="G27" s="17">
        <v>0</v>
      </c>
      <c r="H27" s="16">
        <v>30</v>
      </c>
      <c r="I27" s="16" t="s">
        <v>39</v>
      </c>
      <c r="J27" s="16"/>
      <c r="K27" s="16"/>
      <c r="L27" s="16">
        <f t="shared" si="3"/>
        <v>0</v>
      </c>
      <c r="M27" s="16">
        <f t="shared" si="4"/>
        <v>0</v>
      </c>
      <c r="N27" s="16"/>
      <c r="O27" s="16"/>
      <c r="P27" s="16">
        <v>0</v>
      </c>
      <c r="Q27" s="16">
        <f>IFERROR(VLOOKUP(A27,[1]Sheet!$A:$D,4,0),0)</f>
        <v>0</v>
      </c>
      <c r="R27" s="16">
        <f t="shared" si="5"/>
        <v>0</v>
      </c>
      <c r="S27" s="18"/>
      <c r="T27" s="18"/>
      <c r="U27" s="5">
        <f t="shared" si="12"/>
        <v>0</v>
      </c>
      <c r="V27" s="5">
        <f t="shared" si="6"/>
        <v>0</v>
      </c>
      <c r="W27" s="5"/>
      <c r="X27" s="5"/>
      <c r="Y27" s="18"/>
      <c r="Z27" s="16"/>
      <c r="AA27" s="16"/>
      <c r="AB27" s="1" t="e">
        <f t="shared" si="13"/>
        <v>#DIV/0!</v>
      </c>
      <c r="AC27" s="16" t="e">
        <f t="shared" si="7"/>
        <v>#DIV/0!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 t="s">
        <v>55</v>
      </c>
      <c r="AM27" s="1">
        <f t="shared" si="8"/>
        <v>0</v>
      </c>
      <c r="AN27" s="1">
        <f t="shared" si="9"/>
        <v>0</v>
      </c>
      <c r="AO27" s="1">
        <f t="shared" si="10"/>
        <v>0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</row>
    <row r="28" spans="1:55" x14ac:dyDescent="0.25">
      <c r="A28" s="1" t="s">
        <v>65</v>
      </c>
      <c r="B28" s="1" t="s">
        <v>36</v>
      </c>
      <c r="C28" s="1">
        <v>333.214</v>
      </c>
      <c r="D28" s="1">
        <v>2170.393</v>
      </c>
      <c r="E28" s="1">
        <v>1242.922</v>
      </c>
      <c r="F28" s="1">
        <v>619.14099999999996</v>
      </c>
      <c r="G28" s="8">
        <v>1</v>
      </c>
      <c r="H28" s="1">
        <v>30</v>
      </c>
      <c r="I28" s="1" t="s">
        <v>39</v>
      </c>
      <c r="J28" s="1"/>
      <c r="K28" s="1">
        <v>1683.779</v>
      </c>
      <c r="L28" s="1">
        <f t="shared" si="3"/>
        <v>-440.85699999999997</v>
      </c>
      <c r="M28" s="1">
        <f t="shared" si="4"/>
        <v>717.94299999999998</v>
      </c>
      <c r="N28" s="1">
        <v>524.97900000000004</v>
      </c>
      <c r="O28" s="1"/>
      <c r="P28" s="1">
        <v>561.2793999999999</v>
      </c>
      <c r="Q28" s="1">
        <f>IFERROR(VLOOKUP(A28,[1]Sheet!$A:$D,4,0),0)</f>
        <v>90</v>
      </c>
      <c r="R28" s="1">
        <f t="shared" si="5"/>
        <v>143.58859999999999</v>
      </c>
      <c r="S28" s="5">
        <f>12*R28-P28-O28-F28</f>
        <v>542.64279999999997</v>
      </c>
      <c r="T28" s="5"/>
      <c r="U28" s="5">
        <f t="shared" si="12"/>
        <v>542.64279999999997</v>
      </c>
      <c r="V28" s="5">
        <f t="shared" si="6"/>
        <v>242.64279999999997</v>
      </c>
      <c r="W28" s="5">
        <v>300</v>
      </c>
      <c r="X28" s="5"/>
      <c r="Y28" s="5"/>
      <c r="Z28" s="1"/>
      <c r="AA28" s="1"/>
      <c r="AB28" s="1">
        <f t="shared" si="13"/>
        <v>12.000000000000002</v>
      </c>
      <c r="AC28" s="1">
        <f t="shared" si="7"/>
        <v>8.220850401772843</v>
      </c>
      <c r="AD28" s="1">
        <v>147.16900000000001</v>
      </c>
      <c r="AE28" s="1">
        <v>145.21</v>
      </c>
      <c r="AF28" s="1">
        <v>137.3604</v>
      </c>
      <c r="AG28" s="1">
        <v>156.0812</v>
      </c>
      <c r="AH28" s="1">
        <v>138.68039999999999</v>
      </c>
      <c r="AI28" s="1">
        <v>136.8252</v>
      </c>
      <c r="AJ28" s="1">
        <v>150.864</v>
      </c>
      <c r="AK28" s="1">
        <v>163.73560000000001</v>
      </c>
      <c r="AL28" s="1" t="s">
        <v>50</v>
      </c>
      <c r="AM28" s="1">
        <f t="shared" si="8"/>
        <v>243</v>
      </c>
      <c r="AN28" s="1">
        <f t="shared" si="9"/>
        <v>300</v>
      </c>
      <c r="AO28" s="1">
        <f t="shared" si="10"/>
        <v>0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</row>
    <row r="29" spans="1:55" x14ac:dyDescent="0.25">
      <c r="A29" s="16" t="s">
        <v>66</v>
      </c>
      <c r="B29" s="16" t="s">
        <v>36</v>
      </c>
      <c r="C29" s="16"/>
      <c r="D29" s="16"/>
      <c r="E29" s="16"/>
      <c r="F29" s="16"/>
      <c r="G29" s="17">
        <v>0</v>
      </c>
      <c r="H29" s="16">
        <v>45</v>
      </c>
      <c r="I29" s="16" t="s">
        <v>39</v>
      </c>
      <c r="J29" s="16"/>
      <c r="K29" s="16"/>
      <c r="L29" s="16">
        <f t="shared" si="3"/>
        <v>0</v>
      </c>
      <c r="M29" s="16">
        <f t="shared" si="4"/>
        <v>0</v>
      </c>
      <c r="N29" s="16"/>
      <c r="O29" s="16"/>
      <c r="P29" s="16">
        <v>0</v>
      </c>
      <c r="Q29" s="16">
        <f>IFERROR(VLOOKUP(A29,[1]Sheet!$A:$D,4,0),0)</f>
        <v>0</v>
      </c>
      <c r="R29" s="16">
        <f t="shared" si="5"/>
        <v>0</v>
      </c>
      <c r="S29" s="18"/>
      <c r="T29" s="18"/>
      <c r="U29" s="5">
        <f t="shared" si="12"/>
        <v>0</v>
      </c>
      <c r="V29" s="5">
        <f t="shared" si="6"/>
        <v>0</v>
      </c>
      <c r="W29" s="5"/>
      <c r="X29" s="5"/>
      <c r="Y29" s="18"/>
      <c r="Z29" s="16"/>
      <c r="AA29" s="16"/>
      <c r="AB29" s="1" t="e">
        <f t="shared" si="13"/>
        <v>#DIV/0!</v>
      </c>
      <c r="AC29" s="16" t="e">
        <f t="shared" si="7"/>
        <v>#DIV/0!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 t="s">
        <v>55</v>
      </c>
      <c r="AM29" s="1">
        <f t="shared" si="8"/>
        <v>0</v>
      </c>
      <c r="AN29" s="1">
        <f t="shared" si="9"/>
        <v>0</v>
      </c>
      <c r="AO29" s="1">
        <f t="shared" si="10"/>
        <v>0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</row>
    <row r="30" spans="1:55" x14ac:dyDescent="0.25">
      <c r="A30" s="16" t="s">
        <v>67</v>
      </c>
      <c r="B30" s="16" t="s">
        <v>36</v>
      </c>
      <c r="C30" s="16"/>
      <c r="D30" s="16"/>
      <c r="E30" s="16"/>
      <c r="F30" s="16"/>
      <c r="G30" s="17">
        <v>0</v>
      </c>
      <c r="H30" s="16">
        <v>40</v>
      </c>
      <c r="I30" s="16" t="s">
        <v>39</v>
      </c>
      <c r="J30" s="16"/>
      <c r="K30" s="16"/>
      <c r="L30" s="16">
        <f t="shared" si="3"/>
        <v>0</v>
      </c>
      <c r="M30" s="16">
        <f t="shared" si="4"/>
        <v>0</v>
      </c>
      <c r="N30" s="16"/>
      <c r="O30" s="16"/>
      <c r="P30" s="16">
        <v>0</v>
      </c>
      <c r="Q30" s="16">
        <f>IFERROR(VLOOKUP(A30,[1]Sheet!$A:$D,4,0),0)</f>
        <v>0</v>
      </c>
      <c r="R30" s="16">
        <f t="shared" si="5"/>
        <v>0</v>
      </c>
      <c r="S30" s="18"/>
      <c r="T30" s="18"/>
      <c r="U30" s="5">
        <f t="shared" si="12"/>
        <v>0</v>
      </c>
      <c r="V30" s="5">
        <f t="shared" si="6"/>
        <v>0</v>
      </c>
      <c r="W30" s="5"/>
      <c r="X30" s="5"/>
      <c r="Y30" s="18"/>
      <c r="Z30" s="16"/>
      <c r="AA30" s="16"/>
      <c r="AB30" s="1" t="e">
        <f t="shared" si="13"/>
        <v>#DIV/0!</v>
      </c>
      <c r="AC30" s="16" t="e">
        <f t="shared" si="7"/>
        <v>#DIV/0!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 t="s">
        <v>55</v>
      </c>
      <c r="AM30" s="1">
        <f t="shared" si="8"/>
        <v>0</v>
      </c>
      <c r="AN30" s="1">
        <f t="shared" si="9"/>
        <v>0</v>
      </c>
      <c r="AO30" s="1">
        <f t="shared" si="10"/>
        <v>0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</row>
    <row r="31" spans="1:55" x14ac:dyDescent="0.25">
      <c r="A31" s="16" t="s">
        <v>68</v>
      </c>
      <c r="B31" s="16" t="s">
        <v>36</v>
      </c>
      <c r="C31" s="16"/>
      <c r="D31" s="16"/>
      <c r="E31" s="16"/>
      <c r="F31" s="16"/>
      <c r="G31" s="17">
        <v>0</v>
      </c>
      <c r="H31" s="16">
        <v>30</v>
      </c>
      <c r="I31" s="16" t="s">
        <v>39</v>
      </c>
      <c r="J31" s="16"/>
      <c r="K31" s="16"/>
      <c r="L31" s="16">
        <f t="shared" si="3"/>
        <v>0</v>
      </c>
      <c r="M31" s="16">
        <f t="shared" si="4"/>
        <v>0</v>
      </c>
      <c r="N31" s="16"/>
      <c r="O31" s="16"/>
      <c r="P31" s="16">
        <v>0</v>
      </c>
      <c r="Q31" s="16">
        <f>IFERROR(VLOOKUP(A31,[1]Sheet!$A:$D,4,0),0)</f>
        <v>0</v>
      </c>
      <c r="R31" s="16">
        <f t="shared" si="5"/>
        <v>0</v>
      </c>
      <c r="S31" s="18"/>
      <c r="T31" s="18"/>
      <c r="U31" s="5">
        <f t="shared" si="12"/>
        <v>0</v>
      </c>
      <c r="V31" s="5">
        <f t="shared" si="6"/>
        <v>0</v>
      </c>
      <c r="W31" s="5"/>
      <c r="X31" s="5"/>
      <c r="Y31" s="18"/>
      <c r="Z31" s="16"/>
      <c r="AA31" s="16"/>
      <c r="AB31" s="1" t="e">
        <f t="shared" si="13"/>
        <v>#DIV/0!</v>
      </c>
      <c r="AC31" s="16" t="e">
        <f t="shared" si="7"/>
        <v>#DIV/0!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 t="s">
        <v>55</v>
      </c>
      <c r="AM31" s="1">
        <f t="shared" si="8"/>
        <v>0</v>
      </c>
      <c r="AN31" s="1">
        <f t="shared" si="9"/>
        <v>0</v>
      </c>
      <c r="AO31" s="1">
        <f t="shared" si="10"/>
        <v>0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</row>
    <row r="32" spans="1:55" x14ac:dyDescent="0.25">
      <c r="A32" s="16" t="s">
        <v>69</v>
      </c>
      <c r="B32" s="16" t="s">
        <v>36</v>
      </c>
      <c r="C32" s="16"/>
      <c r="D32" s="16"/>
      <c r="E32" s="16"/>
      <c r="F32" s="16"/>
      <c r="G32" s="17">
        <v>0</v>
      </c>
      <c r="H32" s="16">
        <v>50</v>
      </c>
      <c r="I32" s="16" t="s">
        <v>39</v>
      </c>
      <c r="J32" s="16"/>
      <c r="K32" s="16"/>
      <c r="L32" s="16">
        <f t="shared" si="3"/>
        <v>0</v>
      </c>
      <c r="M32" s="16">
        <f t="shared" si="4"/>
        <v>0</v>
      </c>
      <c r="N32" s="16"/>
      <c r="O32" s="16"/>
      <c r="P32" s="16">
        <v>0</v>
      </c>
      <c r="Q32" s="16">
        <f>IFERROR(VLOOKUP(A32,[1]Sheet!$A:$D,4,0),0)</f>
        <v>0</v>
      </c>
      <c r="R32" s="16">
        <f t="shared" si="5"/>
        <v>0</v>
      </c>
      <c r="S32" s="18"/>
      <c r="T32" s="18"/>
      <c r="U32" s="5">
        <f t="shared" si="12"/>
        <v>0</v>
      </c>
      <c r="V32" s="5">
        <f t="shared" si="6"/>
        <v>0</v>
      </c>
      <c r="W32" s="5"/>
      <c r="X32" s="5"/>
      <c r="Y32" s="18"/>
      <c r="Z32" s="16"/>
      <c r="AA32" s="16"/>
      <c r="AB32" s="1" t="e">
        <f t="shared" si="13"/>
        <v>#DIV/0!</v>
      </c>
      <c r="AC32" s="16" t="e">
        <f t="shared" si="7"/>
        <v>#DIV/0!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 t="s">
        <v>55</v>
      </c>
      <c r="AM32" s="1">
        <f t="shared" si="8"/>
        <v>0</v>
      </c>
      <c r="AN32" s="1">
        <f t="shared" si="9"/>
        <v>0</v>
      </c>
      <c r="AO32" s="1">
        <f t="shared" si="10"/>
        <v>0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</row>
    <row r="33" spans="1:55" x14ac:dyDescent="0.25">
      <c r="A33" s="1" t="s">
        <v>70</v>
      </c>
      <c r="B33" s="1" t="s">
        <v>36</v>
      </c>
      <c r="C33" s="1">
        <v>8.0380000000000003</v>
      </c>
      <c r="D33" s="1">
        <v>16.059999999999999</v>
      </c>
      <c r="E33" s="1">
        <v>5.3650000000000002</v>
      </c>
      <c r="F33" s="1">
        <v>17.823</v>
      </c>
      <c r="G33" s="8">
        <v>1</v>
      </c>
      <c r="H33" s="1">
        <v>50</v>
      </c>
      <c r="I33" s="1" t="s">
        <v>39</v>
      </c>
      <c r="J33" s="1"/>
      <c r="K33" s="1">
        <v>5.5</v>
      </c>
      <c r="L33" s="1">
        <f t="shared" si="3"/>
        <v>-0.13499999999999979</v>
      </c>
      <c r="M33" s="1">
        <f t="shared" si="4"/>
        <v>5.3650000000000002</v>
      </c>
      <c r="N33" s="1"/>
      <c r="O33" s="1"/>
      <c r="P33" s="1">
        <v>6.2651999999999983</v>
      </c>
      <c r="Q33" s="1">
        <f>IFERROR(VLOOKUP(A33,[1]Sheet!$A:$D,4,0),0)</f>
        <v>0</v>
      </c>
      <c r="R33" s="1">
        <f t="shared" si="5"/>
        <v>1.073</v>
      </c>
      <c r="S33" s="5"/>
      <c r="T33" s="5"/>
      <c r="U33" s="5">
        <f t="shared" si="12"/>
        <v>0</v>
      </c>
      <c r="V33" s="5">
        <f t="shared" si="6"/>
        <v>0</v>
      </c>
      <c r="W33" s="5"/>
      <c r="X33" s="5"/>
      <c r="Y33" s="5"/>
      <c r="Z33" s="1"/>
      <c r="AA33" s="1"/>
      <c r="AB33" s="1">
        <f t="shared" si="13"/>
        <v>22.449394221808017</v>
      </c>
      <c r="AC33" s="1">
        <f t="shared" si="7"/>
        <v>22.449394221808017</v>
      </c>
      <c r="AD33" s="1">
        <v>1.974</v>
      </c>
      <c r="AE33" s="1">
        <v>1.6204000000000001</v>
      </c>
      <c r="AF33" s="1">
        <v>1.2534000000000001</v>
      </c>
      <c r="AG33" s="1">
        <v>1.5980000000000001</v>
      </c>
      <c r="AH33" s="1">
        <v>1.0651999999999999</v>
      </c>
      <c r="AI33" s="1">
        <v>0.70679999999999998</v>
      </c>
      <c r="AJ33" s="1">
        <v>1.7784</v>
      </c>
      <c r="AK33" s="1">
        <v>1.4236</v>
      </c>
      <c r="AL33" s="1" t="s">
        <v>71</v>
      </c>
      <c r="AM33" s="1">
        <f t="shared" si="8"/>
        <v>0</v>
      </c>
      <c r="AN33" s="1">
        <f t="shared" si="9"/>
        <v>0</v>
      </c>
      <c r="AO33" s="1">
        <f t="shared" si="10"/>
        <v>0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</row>
    <row r="34" spans="1:55" x14ac:dyDescent="0.25">
      <c r="A34" s="1" t="s">
        <v>72</v>
      </c>
      <c r="B34" s="1" t="s">
        <v>43</v>
      </c>
      <c r="C34" s="1">
        <v>158</v>
      </c>
      <c r="D34" s="1">
        <v>4667</v>
      </c>
      <c r="E34" s="1">
        <v>1830</v>
      </c>
      <c r="F34" s="1">
        <v>1415</v>
      </c>
      <c r="G34" s="8">
        <v>0.4</v>
      </c>
      <c r="H34" s="1">
        <v>45</v>
      </c>
      <c r="I34" s="1" t="s">
        <v>39</v>
      </c>
      <c r="J34" s="1"/>
      <c r="K34" s="1">
        <v>2133</v>
      </c>
      <c r="L34" s="1">
        <f t="shared" si="3"/>
        <v>-303</v>
      </c>
      <c r="M34" s="1">
        <f t="shared" si="4"/>
        <v>1254</v>
      </c>
      <c r="N34" s="1">
        <v>576</v>
      </c>
      <c r="O34" s="1">
        <v>296.16000000000003</v>
      </c>
      <c r="P34" s="1">
        <v>465.46</v>
      </c>
      <c r="Q34" s="1">
        <f>IFERROR(VLOOKUP(A34,[1]Sheet!$A:$D,4,0),0)</f>
        <v>327</v>
      </c>
      <c r="R34" s="1">
        <f t="shared" si="5"/>
        <v>250.8</v>
      </c>
      <c r="S34" s="5">
        <f t="shared" ref="S34:S48" si="21">12*R34-P34-O34-F34</f>
        <v>832.98000000000047</v>
      </c>
      <c r="T34" s="5">
        <f>$T$1*R34</f>
        <v>326.04000000000002</v>
      </c>
      <c r="U34" s="5">
        <f t="shared" si="12"/>
        <v>1159.0200000000004</v>
      </c>
      <c r="V34" s="5">
        <f t="shared" si="6"/>
        <v>659.02000000000044</v>
      </c>
      <c r="W34" s="5">
        <v>500</v>
      </c>
      <c r="X34" s="5">
        <f>$X$1*R34</f>
        <v>413.82</v>
      </c>
      <c r="Y34" s="5"/>
      <c r="Z34" s="1"/>
      <c r="AA34" s="1"/>
      <c r="AB34" s="1">
        <f t="shared" si="13"/>
        <v>13.3</v>
      </c>
      <c r="AC34" s="1">
        <f t="shared" si="7"/>
        <v>8.6787081339712913</v>
      </c>
      <c r="AD34" s="1">
        <v>231.8</v>
      </c>
      <c r="AE34" s="1">
        <v>246.8</v>
      </c>
      <c r="AF34" s="1">
        <v>260.8</v>
      </c>
      <c r="AG34" s="1">
        <v>219.2</v>
      </c>
      <c r="AH34" s="1">
        <v>195.2</v>
      </c>
      <c r="AI34" s="1">
        <v>215.4</v>
      </c>
      <c r="AJ34" s="1">
        <v>169</v>
      </c>
      <c r="AK34" s="1">
        <v>160.6</v>
      </c>
      <c r="AL34" s="1" t="s">
        <v>73</v>
      </c>
      <c r="AM34" s="1">
        <f t="shared" si="8"/>
        <v>264</v>
      </c>
      <c r="AN34" s="1">
        <f t="shared" si="9"/>
        <v>200</v>
      </c>
      <c r="AO34" s="1">
        <f t="shared" si="10"/>
        <v>166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</row>
    <row r="35" spans="1:55" x14ac:dyDescent="0.25">
      <c r="A35" s="1" t="s">
        <v>74</v>
      </c>
      <c r="B35" s="1" t="s">
        <v>43</v>
      </c>
      <c r="C35" s="1">
        <v>141</v>
      </c>
      <c r="D35" s="1">
        <v>1202</v>
      </c>
      <c r="E35" s="1">
        <v>357</v>
      </c>
      <c r="F35" s="1">
        <v>880</v>
      </c>
      <c r="G35" s="8">
        <v>0.45</v>
      </c>
      <c r="H35" s="1">
        <v>50</v>
      </c>
      <c r="I35" s="12" t="s">
        <v>75</v>
      </c>
      <c r="J35" s="1"/>
      <c r="K35" s="1">
        <v>449</v>
      </c>
      <c r="L35" s="1">
        <f t="shared" si="3"/>
        <v>-92</v>
      </c>
      <c r="M35" s="1">
        <f t="shared" si="4"/>
        <v>267</v>
      </c>
      <c r="N35" s="1">
        <v>90</v>
      </c>
      <c r="O35" s="1"/>
      <c r="P35" s="1">
        <v>0</v>
      </c>
      <c r="Q35" s="1">
        <f>IFERROR(VLOOKUP(A35,[1]Sheet!$A:$D,4,0),0)</f>
        <v>0</v>
      </c>
      <c r="R35" s="1">
        <f t="shared" si="5"/>
        <v>53.4</v>
      </c>
      <c r="S35" s="5"/>
      <c r="T35" s="5"/>
      <c r="U35" s="5">
        <f t="shared" si="12"/>
        <v>0</v>
      </c>
      <c r="V35" s="5">
        <f t="shared" si="6"/>
        <v>0</v>
      </c>
      <c r="W35" s="5"/>
      <c r="X35" s="5"/>
      <c r="Y35" s="5"/>
      <c r="Z35" s="1"/>
      <c r="AA35" s="1"/>
      <c r="AB35" s="1">
        <f t="shared" si="13"/>
        <v>16.479400749063672</v>
      </c>
      <c r="AC35" s="1">
        <f t="shared" si="7"/>
        <v>16.479400749063672</v>
      </c>
      <c r="AD35" s="1">
        <v>52</v>
      </c>
      <c r="AE35" s="1">
        <v>86</v>
      </c>
      <c r="AF35" s="1">
        <v>132.4</v>
      </c>
      <c r="AG35" s="1">
        <v>154.6</v>
      </c>
      <c r="AH35" s="1">
        <v>196.6</v>
      </c>
      <c r="AI35" s="1">
        <v>162</v>
      </c>
      <c r="AJ35" s="1">
        <v>72.2</v>
      </c>
      <c r="AK35" s="1">
        <v>77.8</v>
      </c>
      <c r="AL35" s="1" t="s">
        <v>44</v>
      </c>
      <c r="AM35" s="1">
        <f t="shared" si="8"/>
        <v>0</v>
      </c>
      <c r="AN35" s="1">
        <f t="shared" si="9"/>
        <v>0</v>
      </c>
      <c r="AO35" s="1">
        <f t="shared" si="10"/>
        <v>0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x14ac:dyDescent="0.25">
      <c r="A36" s="1" t="s">
        <v>76</v>
      </c>
      <c r="B36" s="1" t="s">
        <v>43</v>
      </c>
      <c r="C36" s="1">
        <v>1348</v>
      </c>
      <c r="D36" s="1">
        <v>3851</v>
      </c>
      <c r="E36" s="1">
        <v>1458</v>
      </c>
      <c r="F36" s="1">
        <v>1747</v>
      </c>
      <c r="G36" s="8">
        <v>0.4</v>
      </c>
      <c r="H36" s="1">
        <v>45</v>
      </c>
      <c r="I36" s="1" t="s">
        <v>39</v>
      </c>
      <c r="J36" s="1"/>
      <c r="K36" s="1">
        <v>1787</v>
      </c>
      <c r="L36" s="1">
        <f t="shared" si="3"/>
        <v>-329</v>
      </c>
      <c r="M36" s="1">
        <f t="shared" si="4"/>
        <v>1194</v>
      </c>
      <c r="N36" s="1">
        <v>264</v>
      </c>
      <c r="O36" s="1">
        <v>282.95999999999998</v>
      </c>
      <c r="P36" s="1">
        <v>852.1599999999994</v>
      </c>
      <c r="Q36" s="1">
        <f>IFERROR(VLOOKUP(A36,[1]Sheet!$A:$D,4,0),0)</f>
        <v>280</v>
      </c>
      <c r="R36" s="1">
        <f t="shared" si="5"/>
        <v>238.8</v>
      </c>
      <c r="S36" s="5"/>
      <c r="T36" s="5">
        <f>$T$1*R36</f>
        <v>310.44</v>
      </c>
      <c r="U36" s="5">
        <f t="shared" si="12"/>
        <v>310.44</v>
      </c>
      <c r="V36" s="5">
        <f t="shared" si="6"/>
        <v>310.44</v>
      </c>
      <c r="W36" s="5"/>
      <c r="X36" s="5">
        <f>$X$1*R36</f>
        <v>394.02</v>
      </c>
      <c r="Y36" s="5"/>
      <c r="Z36" s="1"/>
      <c r="AA36" s="1"/>
      <c r="AB36" s="1">
        <f t="shared" si="13"/>
        <v>13.369179229480734</v>
      </c>
      <c r="AC36" s="1">
        <f t="shared" si="7"/>
        <v>12.069179229480735</v>
      </c>
      <c r="AD36" s="1">
        <v>264.2</v>
      </c>
      <c r="AE36" s="1">
        <v>235.8</v>
      </c>
      <c r="AF36" s="1">
        <v>260.8</v>
      </c>
      <c r="AG36" s="1">
        <v>218.2</v>
      </c>
      <c r="AH36" s="1">
        <v>259.60000000000002</v>
      </c>
      <c r="AI36" s="1">
        <v>192</v>
      </c>
      <c r="AJ36" s="1">
        <v>143.4</v>
      </c>
      <c r="AK36" s="1">
        <v>126.2</v>
      </c>
      <c r="AL36" s="1"/>
      <c r="AM36" s="1">
        <f t="shared" si="8"/>
        <v>124</v>
      </c>
      <c r="AN36" s="1">
        <f t="shared" si="9"/>
        <v>0</v>
      </c>
      <c r="AO36" s="1">
        <f t="shared" si="10"/>
        <v>158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x14ac:dyDescent="0.25">
      <c r="A37" s="1" t="s">
        <v>77</v>
      </c>
      <c r="B37" s="1" t="s">
        <v>43</v>
      </c>
      <c r="C37" s="1">
        <v>82</v>
      </c>
      <c r="D37" s="1">
        <v>110</v>
      </c>
      <c r="E37" s="1">
        <v>103</v>
      </c>
      <c r="F37" s="1">
        <v>81</v>
      </c>
      <c r="G37" s="8">
        <v>0.4</v>
      </c>
      <c r="H37" s="1">
        <v>40</v>
      </c>
      <c r="I37" s="1" t="s">
        <v>39</v>
      </c>
      <c r="J37" s="1"/>
      <c r="K37" s="1">
        <v>103</v>
      </c>
      <c r="L37" s="1">
        <f t="shared" si="3"/>
        <v>0</v>
      </c>
      <c r="M37" s="1">
        <f t="shared" si="4"/>
        <v>103</v>
      </c>
      <c r="N37" s="1"/>
      <c r="O37" s="1"/>
      <c r="P37" s="1">
        <v>0</v>
      </c>
      <c r="Q37" s="1">
        <f>IFERROR(VLOOKUP(A37,[1]Sheet!$A:$D,4,0),0)</f>
        <v>0</v>
      </c>
      <c r="R37" s="1">
        <f t="shared" si="5"/>
        <v>20.6</v>
      </c>
      <c r="S37" s="5">
        <f>11*R37-P37-O37-F37</f>
        <v>145.60000000000002</v>
      </c>
      <c r="T37" s="5"/>
      <c r="U37" s="5">
        <f t="shared" si="12"/>
        <v>145.60000000000002</v>
      </c>
      <c r="V37" s="5">
        <f t="shared" si="6"/>
        <v>145.60000000000002</v>
      </c>
      <c r="W37" s="5"/>
      <c r="X37" s="5"/>
      <c r="Y37" s="5"/>
      <c r="Z37" s="1"/>
      <c r="AA37" s="1"/>
      <c r="AB37" s="1">
        <f t="shared" si="13"/>
        <v>11</v>
      </c>
      <c r="AC37" s="1">
        <f t="shared" si="7"/>
        <v>3.9320388349514559</v>
      </c>
      <c r="AD37" s="1">
        <v>12.6</v>
      </c>
      <c r="AE37" s="1">
        <v>15.4</v>
      </c>
      <c r="AF37" s="1">
        <v>19</v>
      </c>
      <c r="AG37" s="1">
        <v>9.1999999999999993</v>
      </c>
      <c r="AH37" s="1">
        <v>0</v>
      </c>
      <c r="AI37" s="1">
        <v>0</v>
      </c>
      <c r="AJ37" s="1">
        <v>0</v>
      </c>
      <c r="AK37" s="1">
        <v>0</v>
      </c>
      <c r="AL37" s="1" t="s">
        <v>78</v>
      </c>
      <c r="AM37" s="1">
        <f t="shared" si="8"/>
        <v>58</v>
      </c>
      <c r="AN37" s="1">
        <f t="shared" si="9"/>
        <v>0</v>
      </c>
      <c r="AO37" s="1">
        <f t="shared" si="10"/>
        <v>0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x14ac:dyDescent="0.25">
      <c r="A38" s="1" t="s">
        <v>79</v>
      </c>
      <c r="B38" s="1" t="s">
        <v>36</v>
      </c>
      <c r="C38" s="1">
        <v>169.47399999999999</v>
      </c>
      <c r="D38" s="1">
        <v>1115.21</v>
      </c>
      <c r="E38" s="1">
        <v>384.05799999999999</v>
      </c>
      <c r="F38" s="1">
        <v>589.33299999999997</v>
      </c>
      <c r="G38" s="8">
        <v>1</v>
      </c>
      <c r="H38" s="1">
        <v>45</v>
      </c>
      <c r="I38" s="1" t="s">
        <v>39</v>
      </c>
      <c r="J38" s="1"/>
      <c r="K38" s="1">
        <v>563.24800000000005</v>
      </c>
      <c r="L38" s="1">
        <f t="shared" ref="L38:L69" si="22">E38-K38</f>
        <v>-179.19000000000005</v>
      </c>
      <c r="M38" s="1">
        <f t="shared" si="4"/>
        <v>384.05799999999999</v>
      </c>
      <c r="N38" s="1"/>
      <c r="O38" s="1">
        <v>92.263199999999998</v>
      </c>
      <c r="P38" s="1">
        <v>0</v>
      </c>
      <c r="Q38" s="1">
        <f>IFERROR(VLOOKUP(A38,[1]Sheet!$A:$D,4,0),0)</f>
        <v>0</v>
      </c>
      <c r="R38" s="1">
        <f t="shared" si="5"/>
        <v>76.811599999999999</v>
      </c>
      <c r="S38" s="5">
        <f t="shared" si="21"/>
        <v>240.14300000000003</v>
      </c>
      <c r="T38" s="5">
        <f>$T$1*R38</f>
        <v>99.855080000000001</v>
      </c>
      <c r="U38" s="5">
        <f t="shared" si="12"/>
        <v>339.99808000000002</v>
      </c>
      <c r="V38" s="5">
        <f t="shared" si="6"/>
        <v>339.99808000000002</v>
      </c>
      <c r="W38" s="5"/>
      <c r="X38" s="5">
        <f>$X$1*R38</f>
        <v>126.73913999999999</v>
      </c>
      <c r="Y38" s="5"/>
      <c r="Z38" s="1"/>
      <c r="AA38" s="1"/>
      <c r="AB38" s="1">
        <f t="shared" si="13"/>
        <v>13.3</v>
      </c>
      <c r="AC38" s="1">
        <f t="shared" si="7"/>
        <v>8.8736102359539437</v>
      </c>
      <c r="AD38" s="1">
        <v>61.268600000000013</v>
      </c>
      <c r="AE38" s="1">
        <v>76.885999999999996</v>
      </c>
      <c r="AF38" s="1">
        <v>77.734999999999999</v>
      </c>
      <c r="AG38" s="1">
        <v>41.408200000000001</v>
      </c>
      <c r="AH38" s="1">
        <v>57.390799999999999</v>
      </c>
      <c r="AI38" s="1">
        <v>62.910200000000003</v>
      </c>
      <c r="AJ38" s="1">
        <v>37.391199999999998</v>
      </c>
      <c r="AK38" s="1">
        <v>29.7164</v>
      </c>
      <c r="AL38" s="1"/>
      <c r="AM38" s="1">
        <f t="shared" si="8"/>
        <v>340</v>
      </c>
      <c r="AN38" s="1">
        <f t="shared" si="9"/>
        <v>0</v>
      </c>
      <c r="AO38" s="1">
        <f t="shared" si="10"/>
        <v>127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x14ac:dyDescent="0.25">
      <c r="A39" s="1" t="s">
        <v>80</v>
      </c>
      <c r="B39" s="1" t="s">
        <v>43</v>
      </c>
      <c r="C39" s="1">
        <v>143</v>
      </c>
      <c r="D39" s="1">
        <v>240</v>
      </c>
      <c r="E39" s="1">
        <v>138</v>
      </c>
      <c r="F39" s="1">
        <v>242</v>
      </c>
      <c r="G39" s="8">
        <v>0.1</v>
      </c>
      <c r="H39" s="1">
        <v>730</v>
      </c>
      <c r="I39" s="1" t="s">
        <v>39</v>
      </c>
      <c r="J39" s="1"/>
      <c r="K39" s="1">
        <v>140</v>
      </c>
      <c r="L39" s="1">
        <f t="shared" si="22"/>
        <v>-2</v>
      </c>
      <c r="M39" s="1">
        <f t="shared" si="4"/>
        <v>138</v>
      </c>
      <c r="N39" s="1"/>
      <c r="O39" s="1"/>
      <c r="P39" s="1">
        <v>18.00000000000011</v>
      </c>
      <c r="Q39" s="1">
        <f>IFERROR(VLOOKUP(A39,[1]Sheet!$A:$D,4,0),0)</f>
        <v>0</v>
      </c>
      <c r="R39" s="1">
        <f t="shared" si="5"/>
        <v>27.6</v>
      </c>
      <c r="S39" s="5">
        <f t="shared" si="21"/>
        <v>71.199999999999932</v>
      </c>
      <c r="T39" s="5"/>
      <c r="U39" s="5">
        <f t="shared" si="12"/>
        <v>71.199999999999932</v>
      </c>
      <c r="V39" s="5">
        <f t="shared" si="6"/>
        <v>71.199999999999932</v>
      </c>
      <c r="W39" s="5"/>
      <c r="X39" s="5"/>
      <c r="Y39" s="5"/>
      <c r="Z39" s="1"/>
      <c r="AA39" s="1"/>
      <c r="AB39" s="1">
        <f t="shared" si="13"/>
        <v>12.000000000000002</v>
      </c>
      <c r="AC39" s="1">
        <f t="shared" si="7"/>
        <v>9.4202898550724665</v>
      </c>
      <c r="AD39" s="1">
        <v>28.6</v>
      </c>
      <c r="AE39" s="1">
        <v>31.2</v>
      </c>
      <c r="AF39" s="1">
        <v>31.8</v>
      </c>
      <c r="AG39" s="1">
        <v>28.6</v>
      </c>
      <c r="AH39" s="1">
        <v>32.6</v>
      </c>
      <c r="AI39" s="1">
        <v>35.200000000000003</v>
      </c>
      <c r="AJ39" s="1">
        <v>35.799999999999997</v>
      </c>
      <c r="AK39" s="1">
        <v>44.2</v>
      </c>
      <c r="AL39" s="1"/>
      <c r="AM39" s="1">
        <f t="shared" si="8"/>
        <v>7</v>
      </c>
      <c r="AN39" s="1">
        <f t="shared" si="9"/>
        <v>0</v>
      </c>
      <c r="AO39" s="1">
        <f t="shared" si="10"/>
        <v>0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x14ac:dyDescent="0.25">
      <c r="A40" s="1" t="s">
        <v>81</v>
      </c>
      <c r="B40" s="1" t="s">
        <v>43</v>
      </c>
      <c r="C40" s="1">
        <v>141</v>
      </c>
      <c r="D40" s="1">
        <v>358</v>
      </c>
      <c r="E40" s="1">
        <v>234</v>
      </c>
      <c r="F40" s="1">
        <v>201</v>
      </c>
      <c r="G40" s="8">
        <v>0.35</v>
      </c>
      <c r="H40" s="1">
        <v>40</v>
      </c>
      <c r="I40" s="1" t="s">
        <v>39</v>
      </c>
      <c r="J40" s="1"/>
      <c r="K40" s="1">
        <v>286</v>
      </c>
      <c r="L40" s="1">
        <f t="shared" si="22"/>
        <v>-52</v>
      </c>
      <c r="M40" s="1">
        <f t="shared" si="4"/>
        <v>234</v>
      </c>
      <c r="N40" s="1"/>
      <c r="O40" s="1"/>
      <c r="P40" s="1">
        <v>100.8000000000001</v>
      </c>
      <c r="Q40" s="1">
        <f>IFERROR(VLOOKUP(A40,[1]Sheet!$A:$D,4,0),0)</f>
        <v>0</v>
      </c>
      <c r="R40" s="1">
        <f t="shared" si="5"/>
        <v>46.8</v>
      </c>
      <c r="S40" s="5">
        <f t="shared" si="21"/>
        <v>259.79999999999984</v>
      </c>
      <c r="T40" s="5"/>
      <c r="U40" s="5">
        <f t="shared" si="12"/>
        <v>259.79999999999984</v>
      </c>
      <c r="V40" s="5">
        <f t="shared" si="6"/>
        <v>259.79999999999984</v>
      </c>
      <c r="W40" s="5"/>
      <c r="X40" s="5"/>
      <c r="Y40" s="5"/>
      <c r="Z40" s="1"/>
      <c r="AA40" s="1"/>
      <c r="AB40" s="1">
        <f t="shared" si="13"/>
        <v>11.999999999999998</v>
      </c>
      <c r="AC40" s="1">
        <f t="shared" si="7"/>
        <v>6.4487179487179507</v>
      </c>
      <c r="AD40" s="1">
        <v>36.200000000000003</v>
      </c>
      <c r="AE40" s="1">
        <v>37.200000000000003</v>
      </c>
      <c r="AF40" s="1">
        <v>39</v>
      </c>
      <c r="AG40" s="1">
        <v>33</v>
      </c>
      <c r="AH40" s="1">
        <v>35.211599999999997</v>
      </c>
      <c r="AI40" s="1">
        <v>27.011600000000001</v>
      </c>
      <c r="AJ40" s="1">
        <v>30.2</v>
      </c>
      <c r="AK40" s="1">
        <v>33.4</v>
      </c>
      <c r="AL40" s="1"/>
      <c r="AM40" s="1">
        <f t="shared" si="8"/>
        <v>91</v>
      </c>
      <c r="AN40" s="1">
        <f t="shared" si="9"/>
        <v>0</v>
      </c>
      <c r="AO40" s="1">
        <f t="shared" si="10"/>
        <v>0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x14ac:dyDescent="0.25">
      <c r="A41" s="1" t="s">
        <v>82</v>
      </c>
      <c r="B41" s="1" t="s">
        <v>36</v>
      </c>
      <c r="C41" s="1">
        <v>0.249</v>
      </c>
      <c r="D41" s="1">
        <v>92.373000000000005</v>
      </c>
      <c r="E41" s="1">
        <v>38.938000000000002</v>
      </c>
      <c r="F41" s="1">
        <v>52.957999999999998</v>
      </c>
      <c r="G41" s="8">
        <v>1</v>
      </c>
      <c r="H41" s="1">
        <v>40</v>
      </c>
      <c r="I41" s="1" t="s">
        <v>39</v>
      </c>
      <c r="J41" s="1"/>
      <c r="K41" s="1">
        <v>42.1</v>
      </c>
      <c r="L41" s="1">
        <f t="shared" si="22"/>
        <v>-3.161999999999999</v>
      </c>
      <c r="M41" s="1">
        <f t="shared" si="4"/>
        <v>38.938000000000002</v>
      </c>
      <c r="N41" s="1"/>
      <c r="O41" s="1"/>
      <c r="P41" s="1">
        <v>12.9346</v>
      </c>
      <c r="Q41" s="1">
        <f>IFERROR(VLOOKUP(A41,[1]Sheet!$A:$D,4,0),0)</f>
        <v>0</v>
      </c>
      <c r="R41" s="1">
        <f t="shared" si="5"/>
        <v>7.7876000000000003</v>
      </c>
      <c r="S41" s="5">
        <f t="shared" si="21"/>
        <v>27.558599999999998</v>
      </c>
      <c r="T41" s="5"/>
      <c r="U41" s="5">
        <f t="shared" si="12"/>
        <v>27.558599999999998</v>
      </c>
      <c r="V41" s="5">
        <f t="shared" si="6"/>
        <v>27.558599999999998</v>
      </c>
      <c r="W41" s="5"/>
      <c r="X41" s="5"/>
      <c r="Y41" s="5"/>
      <c r="Z41" s="1"/>
      <c r="AA41" s="1"/>
      <c r="AB41" s="1">
        <f t="shared" si="13"/>
        <v>12</v>
      </c>
      <c r="AC41" s="1">
        <f t="shared" si="7"/>
        <v>8.4612204016641837</v>
      </c>
      <c r="AD41" s="1">
        <v>7.6316000000000006</v>
      </c>
      <c r="AE41" s="1">
        <v>6.4818000000000016</v>
      </c>
      <c r="AF41" s="1">
        <v>8.1997999999999998</v>
      </c>
      <c r="AG41" s="1">
        <v>8.4890000000000008</v>
      </c>
      <c r="AH41" s="1">
        <v>5.4808000000000003</v>
      </c>
      <c r="AI41" s="1">
        <v>4.2202000000000002</v>
      </c>
      <c r="AJ41" s="1">
        <v>6.6763999999999992</v>
      </c>
      <c r="AK41" s="1">
        <v>6.9366000000000003</v>
      </c>
      <c r="AL41" s="1"/>
      <c r="AM41" s="1">
        <f t="shared" si="8"/>
        <v>28</v>
      </c>
      <c r="AN41" s="1">
        <f t="shared" si="9"/>
        <v>0</v>
      </c>
      <c r="AO41" s="1">
        <f t="shared" si="10"/>
        <v>0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x14ac:dyDescent="0.25">
      <c r="A42" s="1" t="s">
        <v>83</v>
      </c>
      <c r="B42" s="1" t="s">
        <v>43</v>
      </c>
      <c r="C42" s="1">
        <v>95</v>
      </c>
      <c r="D42" s="1">
        <v>398</v>
      </c>
      <c r="E42" s="1">
        <v>266</v>
      </c>
      <c r="F42" s="1">
        <v>176</v>
      </c>
      <c r="G42" s="8">
        <v>0.4</v>
      </c>
      <c r="H42" s="1">
        <v>40</v>
      </c>
      <c r="I42" s="1" t="s">
        <v>39</v>
      </c>
      <c r="J42" s="1"/>
      <c r="K42" s="1">
        <v>278</v>
      </c>
      <c r="L42" s="1">
        <f t="shared" si="22"/>
        <v>-12</v>
      </c>
      <c r="M42" s="1">
        <f t="shared" si="4"/>
        <v>182</v>
      </c>
      <c r="N42" s="1">
        <v>84</v>
      </c>
      <c r="O42" s="1"/>
      <c r="P42" s="1">
        <v>139.00000000000011</v>
      </c>
      <c r="Q42" s="1">
        <f>IFERROR(VLOOKUP(A42,[1]Sheet!$A:$D,4,0),0)</f>
        <v>129</v>
      </c>
      <c r="R42" s="1">
        <f t="shared" si="5"/>
        <v>36.4</v>
      </c>
      <c r="S42" s="5">
        <f t="shared" si="21"/>
        <v>121.79999999999984</v>
      </c>
      <c r="T42" s="5"/>
      <c r="U42" s="5">
        <f t="shared" si="12"/>
        <v>121.79999999999984</v>
      </c>
      <c r="V42" s="5">
        <f t="shared" si="6"/>
        <v>121.79999999999984</v>
      </c>
      <c r="W42" s="5"/>
      <c r="X42" s="5"/>
      <c r="Y42" s="5"/>
      <c r="Z42" s="1"/>
      <c r="AA42" s="1"/>
      <c r="AB42" s="1">
        <f t="shared" si="13"/>
        <v>12</v>
      </c>
      <c r="AC42" s="1">
        <f t="shared" si="7"/>
        <v>8.6538461538461569</v>
      </c>
      <c r="AD42" s="1">
        <v>34.6</v>
      </c>
      <c r="AE42" s="1">
        <v>28.4</v>
      </c>
      <c r="AF42" s="1">
        <v>31.8</v>
      </c>
      <c r="AG42" s="1">
        <v>35.200000000000003</v>
      </c>
      <c r="AH42" s="1">
        <v>30</v>
      </c>
      <c r="AI42" s="1">
        <v>29.8</v>
      </c>
      <c r="AJ42" s="1">
        <v>27</v>
      </c>
      <c r="AK42" s="1">
        <v>41.2</v>
      </c>
      <c r="AL42" s="1"/>
      <c r="AM42" s="1">
        <f t="shared" si="8"/>
        <v>49</v>
      </c>
      <c r="AN42" s="1">
        <f t="shared" si="9"/>
        <v>0</v>
      </c>
      <c r="AO42" s="1">
        <f t="shared" si="10"/>
        <v>0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x14ac:dyDescent="0.25">
      <c r="A43" s="1" t="s">
        <v>84</v>
      </c>
      <c r="B43" s="1" t="s">
        <v>43</v>
      </c>
      <c r="C43" s="1">
        <v>501</v>
      </c>
      <c r="D43" s="1">
        <v>659</v>
      </c>
      <c r="E43" s="1">
        <v>453</v>
      </c>
      <c r="F43" s="1">
        <v>605</v>
      </c>
      <c r="G43" s="8">
        <v>0.4</v>
      </c>
      <c r="H43" s="1">
        <v>45</v>
      </c>
      <c r="I43" s="1" t="s">
        <v>39</v>
      </c>
      <c r="J43" s="1"/>
      <c r="K43" s="1">
        <v>458</v>
      </c>
      <c r="L43" s="1">
        <f t="shared" si="22"/>
        <v>-5</v>
      </c>
      <c r="M43" s="1">
        <f t="shared" si="4"/>
        <v>363</v>
      </c>
      <c r="N43" s="1">
        <v>90</v>
      </c>
      <c r="O43" s="1"/>
      <c r="P43" s="1">
        <v>489.39999999999992</v>
      </c>
      <c r="Q43" s="1">
        <f>IFERROR(VLOOKUP(A43,[1]Sheet!$A:$D,4,0),0)</f>
        <v>132</v>
      </c>
      <c r="R43" s="1">
        <f t="shared" si="5"/>
        <v>72.599999999999994</v>
      </c>
      <c r="S43" s="5"/>
      <c r="T43" s="5"/>
      <c r="U43" s="5">
        <f t="shared" si="12"/>
        <v>0</v>
      </c>
      <c r="V43" s="5">
        <f t="shared" si="6"/>
        <v>0</v>
      </c>
      <c r="W43" s="5"/>
      <c r="X43" s="5"/>
      <c r="Y43" s="5"/>
      <c r="Z43" s="1"/>
      <c r="AA43" s="1"/>
      <c r="AB43" s="1">
        <f t="shared" si="13"/>
        <v>15.074380165289256</v>
      </c>
      <c r="AC43" s="1">
        <f t="shared" si="7"/>
        <v>15.074380165289256</v>
      </c>
      <c r="AD43" s="1">
        <v>97.8</v>
      </c>
      <c r="AE43" s="1">
        <v>65.8</v>
      </c>
      <c r="AF43" s="1">
        <v>84.6</v>
      </c>
      <c r="AG43" s="1">
        <v>83.4</v>
      </c>
      <c r="AH43" s="1">
        <v>83.6</v>
      </c>
      <c r="AI43" s="1">
        <v>60.2</v>
      </c>
      <c r="AJ43" s="1">
        <v>56.2</v>
      </c>
      <c r="AK43" s="1">
        <v>79</v>
      </c>
      <c r="AL43" s="1" t="s">
        <v>44</v>
      </c>
      <c r="AM43" s="1">
        <f t="shared" si="8"/>
        <v>0</v>
      </c>
      <c r="AN43" s="1">
        <f t="shared" si="9"/>
        <v>0</v>
      </c>
      <c r="AO43" s="1">
        <f t="shared" si="10"/>
        <v>0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x14ac:dyDescent="0.25">
      <c r="A44" s="1" t="s">
        <v>85</v>
      </c>
      <c r="B44" s="1" t="s">
        <v>36</v>
      </c>
      <c r="C44" s="1">
        <v>0.78200000000000003</v>
      </c>
      <c r="D44" s="1">
        <v>243.19200000000001</v>
      </c>
      <c r="E44" s="1">
        <v>72.259</v>
      </c>
      <c r="F44" s="1">
        <v>155.03100000000001</v>
      </c>
      <c r="G44" s="8">
        <v>1</v>
      </c>
      <c r="H44" s="1">
        <v>40</v>
      </c>
      <c r="I44" s="1" t="s">
        <v>39</v>
      </c>
      <c r="J44" s="1"/>
      <c r="K44" s="1">
        <v>85.254999999999995</v>
      </c>
      <c r="L44" s="1">
        <f t="shared" si="22"/>
        <v>-12.995999999999995</v>
      </c>
      <c r="M44" s="1">
        <f t="shared" si="4"/>
        <v>59.204000000000001</v>
      </c>
      <c r="N44" s="1">
        <v>13.055</v>
      </c>
      <c r="O44" s="1"/>
      <c r="P44" s="1">
        <v>29.115800000000011</v>
      </c>
      <c r="Q44" s="1">
        <f>IFERROR(VLOOKUP(A44,[1]Sheet!$A:$D,4,0),0)</f>
        <v>0</v>
      </c>
      <c r="R44" s="1">
        <f t="shared" si="5"/>
        <v>11.8408</v>
      </c>
      <c r="S44" s="5"/>
      <c r="T44" s="5"/>
      <c r="U44" s="5">
        <f t="shared" si="12"/>
        <v>0</v>
      </c>
      <c r="V44" s="5">
        <f t="shared" si="6"/>
        <v>0</v>
      </c>
      <c r="W44" s="5"/>
      <c r="X44" s="5"/>
      <c r="Y44" s="5"/>
      <c r="Z44" s="1"/>
      <c r="AA44" s="1"/>
      <c r="AB44" s="1">
        <f t="shared" si="13"/>
        <v>15.551888385919872</v>
      </c>
      <c r="AC44" s="1">
        <f t="shared" si="7"/>
        <v>15.551888385919872</v>
      </c>
      <c r="AD44" s="1">
        <v>19.4712</v>
      </c>
      <c r="AE44" s="1">
        <v>18.616</v>
      </c>
      <c r="AF44" s="1">
        <v>17.1266</v>
      </c>
      <c r="AG44" s="1">
        <v>18.4694</v>
      </c>
      <c r="AH44" s="1">
        <v>16.678000000000001</v>
      </c>
      <c r="AI44" s="1">
        <v>14.911199999999999</v>
      </c>
      <c r="AJ44" s="1">
        <v>12.282999999999999</v>
      </c>
      <c r="AK44" s="1">
        <v>12.53</v>
      </c>
      <c r="AL44" s="1"/>
      <c r="AM44" s="1">
        <f t="shared" si="8"/>
        <v>0</v>
      </c>
      <c r="AN44" s="1">
        <f t="shared" si="9"/>
        <v>0</v>
      </c>
      <c r="AO44" s="1">
        <f t="shared" si="10"/>
        <v>0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x14ac:dyDescent="0.25">
      <c r="A45" s="1" t="s">
        <v>86</v>
      </c>
      <c r="B45" s="1" t="s">
        <v>43</v>
      </c>
      <c r="C45" s="1">
        <v>326</v>
      </c>
      <c r="D45" s="1">
        <v>940</v>
      </c>
      <c r="E45" s="1">
        <v>646</v>
      </c>
      <c r="F45" s="1">
        <v>545</v>
      </c>
      <c r="G45" s="8">
        <v>0.35</v>
      </c>
      <c r="H45" s="1">
        <v>40</v>
      </c>
      <c r="I45" s="1" t="s">
        <v>39</v>
      </c>
      <c r="J45" s="1"/>
      <c r="K45" s="1">
        <v>690</v>
      </c>
      <c r="L45" s="1">
        <f t="shared" si="22"/>
        <v>-44</v>
      </c>
      <c r="M45" s="1">
        <f t="shared" si="4"/>
        <v>610</v>
      </c>
      <c r="N45" s="1">
        <v>36</v>
      </c>
      <c r="O45" s="1"/>
      <c r="P45" s="1">
        <v>403.20000000000027</v>
      </c>
      <c r="Q45" s="1">
        <f>IFERROR(VLOOKUP(A45,[1]Sheet!$A:$D,4,0),0)</f>
        <v>0</v>
      </c>
      <c r="R45" s="1">
        <f t="shared" si="5"/>
        <v>122</v>
      </c>
      <c r="S45" s="5">
        <f t="shared" si="21"/>
        <v>515.79999999999973</v>
      </c>
      <c r="T45" s="5"/>
      <c r="U45" s="5">
        <f t="shared" si="12"/>
        <v>515.79999999999973</v>
      </c>
      <c r="V45" s="5">
        <f t="shared" si="6"/>
        <v>515.79999999999973</v>
      </c>
      <c r="W45" s="5"/>
      <c r="X45" s="5"/>
      <c r="Y45" s="5"/>
      <c r="Z45" s="1"/>
      <c r="AA45" s="1"/>
      <c r="AB45" s="1">
        <f t="shared" si="13"/>
        <v>12</v>
      </c>
      <c r="AC45" s="1">
        <f t="shared" si="7"/>
        <v>7.7721311475409856</v>
      </c>
      <c r="AD45" s="1">
        <v>112.2</v>
      </c>
      <c r="AE45" s="1">
        <v>101.6</v>
      </c>
      <c r="AF45" s="1">
        <v>104.2</v>
      </c>
      <c r="AG45" s="1">
        <v>94</v>
      </c>
      <c r="AH45" s="1">
        <v>97</v>
      </c>
      <c r="AI45" s="1">
        <v>112.2</v>
      </c>
      <c r="AJ45" s="1">
        <v>107.8</v>
      </c>
      <c r="AK45" s="1">
        <v>91.8</v>
      </c>
      <c r="AL45" s="1" t="s">
        <v>50</v>
      </c>
      <c r="AM45" s="1">
        <f t="shared" si="8"/>
        <v>181</v>
      </c>
      <c r="AN45" s="1">
        <f t="shared" si="9"/>
        <v>0</v>
      </c>
      <c r="AO45" s="1">
        <f t="shared" si="10"/>
        <v>0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x14ac:dyDescent="0.25">
      <c r="A46" s="1" t="s">
        <v>87</v>
      </c>
      <c r="B46" s="1" t="s">
        <v>43</v>
      </c>
      <c r="C46" s="1">
        <v>169</v>
      </c>
      <c r="D46" s="1">
        <v>722</v>
      </c>
      <c r="E46" s="1">
        <v>319</v>
      </c>
      <c r="F46" s="1">
        <v>540</v>
      </c>
      <c r="G46" s="8">
        <v>0.4</v>
      </c>
      <c r="H46" s="1">
        <v>40</v>
      </c>
      <c r="I46" s="1" t="s">
        <v>39</v>
      </c>
      <c r="J46" s="1"/>
      <c r="K46" s="1">
        <v>342</v>
      </c>
      <c r="L46" s="1">
        <f t="shared" si="22"/>
        <v>-23</v>
      </c>
      <c r="M46" s="1">
        <f t="shared" si="4"/>
        <v>319</v>
      </c>
      <c r="N46" s="1"/>
      <c r="O46" s="1"/>
      <c r="P46" s="1">
        <v>0</v>
      </c>
      <c r="Q46" s="1">
        <f>IFERROR(VLOOKUP(A46,[1]Sheet!$A:$D,4,0),0)</f>
        <v>0</v>
      </c>
      <c r="R46" s="1">
        <f t="shared" si="5"/>
        <v>63.8</v>
      </c>
      <c r="S46" s="5">
        <f t="shared" si="21"/>
        <v>225.59999999999991</v>
      </c>
      <c r="T46" s="5"/>
      <c r="U46" s="5">
        <f t="shared" si="12"/>
        <v>225.59999999999991</v>
      </c>
      <c r="V46" s="5">
        <f t="shared" si="6"/>
        <v>225.59999999999991</v>
      </c>
      <c r="W46" s="5"/>
      <c r="X46" s="5"/>
      <c r="Y46" s="5"/>
      <c r="Z46" s="1"/>
      <c r="AA46" s="1"/>
      <c r="AB46" s="1">
        <f t="shared" si="13"/>
        <v>11.999999999999998</v>
      </c>
      <c r="AC46" s="1">
        <f t="shared" si="7"/>
        <v>8.4639498432601883</v>
      </c>
      <c r="AD46" s="1">
        <v>59.6</v>
      </c>
      <c r="AE46" s="1">
        <v>71.8</v>
      </c>
      <c r="AF46" s="1">
        <v>79.400000000000006</v>
      </c>
      <c r="AG46" s="1">
        <v>71.8</v>
      </c>
      <c r="AH46" s="1">
        <v>63.2</v>
      </c>
      <c r="AI46" s="1">
        <v>77.400000000000006</v>
      </c>
      <c r="AJ46" s="1">
        <v>71.8</v>
      </c>
      <c r="AK46" s="1">
        <v>59.6</v>
      </c>
      <c r="AL46" s="1" t="s">
        <v>44</v>
      </c>
      <c r="AM46" s="1">
        <f t="shared" si="8"/>
        <v>90</v>
      </c>
      <c r="AN46" s="1">
        <f t="shared" si="9"/>
        <v>0</v>
      </c>
      <c r="AO46" s="1">
        <f t="shared" si="10"/>
        <v>0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x14ac:dyDescent="0.25">
      <c r="A47" s="1" t="s">
        <v>88</v>
      </c>
      <c r="B47" s="1" t="s">
        <v>36</v>
      </c>
      <c r="C47" s="1">
        <v>21.914999999999999</v>
      </c>
      <c r="D47" s="1">
        <v>205.47300000000001</v>
      </c>
      <c r="E47" s="1">
        <v>127.086</v>
      </c>
      <c r="F47" s="1">
        <v>52.594999999999999</v>
      </c>
      <c r="G47" s="8">
        <v>1</v>
      </c>
      <c r="H47" s="1">
        <v>50</v>
      </c>
      <c r="I47" s="1" t="s">
        <v>39</v>
      </c>
      <c r="J47" s="1"/>
      <c r="K47" s="1">
        <v>166.048</v>
      </c>
      <c r="L47" s="1">
        <f t="shared" si="22"/>
        <v>-38.962000000000003</v>
      </c>
      <c r="M47" s="1">
        <f t="shared" si="4"/>
        <v>84.182999999999993</v>
      </c>
      <c r="N47" s="1">
        <v>42.902999999999999</v>
      </c>
      <c r="O47" s="1"/>
      <c r="P47" s="1">
        <v>65.795799999999986</v>
      </c>
      <c r="Q47" s="1">
        <f>IFERROR(VLOOKUP(A47,[1]Sheet!$A:$D,4,0),0)</f>
        <v>0</v>
      </c>
      <c r="R47" s="1">
        <f t="shared" si="5"/>
        <v>16.836599999999997</v>
      </c>
      <c r="S47" s="5">
        <f t="shared" si="21"/>
        <v>83.648399999999981</v>
      </c>
      <c r="T47" s="5"/>
      <c r="U47" s="5">
        <f t="shared" si="12"/>
        <v>83.648399999999981</v>
      </c>
      <c r="V47" s="5">
        <f t="shared" si="6"/>
        <v>83.648399999999981</v>
      </c>
      <c r="W47" s="5"/>
      <c r="X47" s="5"/>
      <c r="Y47" s="5"/>
      <c r="Z47" s="1"/>
      <c r="AA47" s="1"/>
      <c r="AB47" s="1">
        <f t="shared" si="13"/>
        <v>12</v>
      </c>
      <c r="AC47" s="1">
        <f t="shared" si="7"/>
        <v>7.0317522540180324</v>
      </c>
      <c r="AD47" s="1">
        <v>15.747999999999999</v>
      </c>
      <c r="AE47" s="1">
        <v>14.630800000000001</v>
      </c>
      <c r="AF47" s="1">
        <v>17.389399999999998</v>
      </c>
      <c r="AG47" s="1">
        <v>14.558400000000001</v>
      </c>
      <c r="AH47" s="1">
        <v>12.037000000000001</v>
      </c>
      <c r="AI47" s="1">
        <v>15.0456</v>
      </c>
      <c r="AJ47" s="1">
        <v>13.2912</v>
      </c>
      <c r="AK47" s="1">
        <v>16.248999999999999</v>
      </c>
      <c r="AL47" s="1"/>
      <c r="AM47" s="1">
        <f t="shared" si="8"/>
        <v>84</v>
      </c>
      <c r="AN47" s="1">
        <f t="shared" si="9"/>
        <v>0</v>
      </c>
      <c r="AO47" s="1">
        <f t="shared" si="10"/>
        <v>0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x14ac:dyDescent="0.25">
      <c r="A48" s="1" t="s">
        <v>89</v>
      </c>
      <c r="B48" s="1" t="s">
        <v>36</v>
      </c>
      <c r="C48" s="1">
        <v>-19.89</v>
      </c>
      <c r="D48" s="1">
        <v>1089.537</v>
      </c>
      <c r="E48" s="1">
        <v>805.96600000000001</v>
      </c>
      <c r="F48" s="1">
        <v>-0.80500000000000005</v>
      </c>
      <c r="G48" s="8">
        <v>1</v>
      </c>
      <c r="H48" s="1">
        <v>50</v>
      </c>
      <c r="I48" s="1" t="s">
        <v>39</v>
      </c>
      <c r="J48" s="1"/>
      <c r="K48" s="1">
        <v>1064.7339999999999</v>
      </c>
      <c r="L48" s="1">
        <f t="shared" si="22"/>
        <v>-258.76799999999992</v>
      </c>
      <c r="M48" s="1">
        <f t="shared" si="4"/>
        <v>553.09199999999998</v>
      </c>
      <c r="N48" s="1">
        <v>252.874</v>
      </c>
      <c r="O48" s="1"/>
      <c r="P48" s="1">
        <v>616.27060000000006</v>
      </c>
      <c r="Q48" s="1">
        <f>IFERROR(VLOOKUP(A48,[1]Sheet!$A:$D,4,0),0)</f>
        <v>0</v>
      </c>
      <c r="R48" s="1">
        <f t="shared" si="5"/>
        <v>110.61839999999999</v>
      </c>
      <c r="S48" s="5">
        <f t="shared" si="21"/>
        <v>711.95519999999976</v>
      </c>
      <c r="T48" s="5">
        <f>$T$1*R48</f>
        <v>143.80392000000001</v>
      </c>
      <c r="U48" s="5">
        <f t="shared" si="12"/>
        <v>855.75911999999971</v>
      </c>
      <c r="V48" s="5">
        <f t="shared" si="6"/>
        <v>355.75911999999971</v>
      </c>
      <c r="W48" s="5">
        <v>500</v>
      </c>
      <c r="X48" s="5">
        <f>$X$1*R48</f>
        <v>182.52035999999998</v>
      </c>
      <c r="Y48" s="5"/>
      <c r="Z48" s="1"/>
      <c r="AA48" s="1"/>
      <c r="AB48" s="1">
        <f t="shared" si="13"/>
        <v>13.299999999999999</v>
      </c>
      <c r="AC48" s="1">
        <f t="shared" si="7"/>
        <v>5.5638627931700348</v>
      </c>
      <c r="AD48" s="1">
        <v>105.82640000000001</v>
      </c>
      <c r="AE48" s="1">
        <v>53.627800000000001</v>
      </c>
      <c r="AF48" s="1">
        <v>76.497199999999992</v>
      </c>
      <c r="AG48" s="1">
        <v>104.42659999999999</v>
      </c>
      <c r="AH48" s="1">
        <v>57.78779999999999</v>
      </c>
      <c r="AI48" s="1">
        <v>78.423999999999992</v>
      </c>
      <c r="AJ48" s="1">
        <v>81.393799999999985</v>
      </c>
      <c r="AK48" s="1">
        <v>71.273999999999987</v>
      </c>
      <c r="AL48" s="1"/>
      <c r="AM48" s="1">
        <f t="shared" si="8"/>
        <v>356</v>
      </c>
      <c r="AN48" s="1">
        <f t="shared" si="9"/>
        <v>500</v>
      </c>
      <c r="AO48" s="1">
        <f t="shared" si="10"/>
        <v>183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55" x14ac:dyDescent="0.25">
      <c r="A49" s="16" t="s">
        <v>90</v>
      </c>
      <c r="B49" s="16" t="s">
        <v>36</v>
      </c>
      <c r="C49" s="16"/>
      <c r="D49" s="16"/>
      <c r="E49" s="16"/>
      <c r="F49" s="16"/>
      <c r="G49" s="17">
        <v>0</v>
      </c>
      <c r="H49" s="16">
        <v>40</v>
      </c>
      <c r="I49" s="16" t="s">
        <v>39</v>
      </c>
      <c r="J49" s="16"/>
      <c r="K49" s="16"/>
      <c r="L49" s="16">
        <f t="shared" si="22"/>
        <v>0</v>
      </c>
      <c r="M49" s="16">
        <f t="shared" si="4"/>
        <v>0</v>
      </c>
      <c r="N49" s="16"/>
      <c r="O49" s="16"/>
      <c r="P49" s="16">
        <v>0</v>
      </c>
      <c r="Q49" s="16">
        <f>IFERROR(VLOOKUP(A49,[1]Sheet!$A:$D,4,0),0)</f>
        <v>0</v>
      </c>
      <c r="R49" s="16">
        <f t="shared" si="5"/>
        <v>0</v>
      </c>
      <c r="S49" s="18"/>
      <c r="T49" s="18"/>
      <c r="U49" s="5">
        <f t="shared" si="12"/>
        <v>0</v>
      </c>
      <c r="V49" s="5">
        <f t="shared" si="6"/>
        <v>0</v>
      </c>
      <c r="W49" s="5"/>
      <c r="X49" s="5"/>
      <c r="Y49" s="18"/>
      <c r="Z49" s="16"/>
      <c r="AA49" s="16"/>
      <c r="AB49" s="1" t="e">
        <f t="shared" si="13"/>
        <v>#DIV/0!</v>
      </c>
      <c r="AC49" s="16" t="e">
        <f t="shared" si="7"/>
        <v>#DIV/0!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 t="s">
        <v>55</v>
      </c>
      <c r="AM49" s="1">
        <f t="shared" si="8"/>
        <v>0</v>
      </c>
      <c r="AN49" s="1">
        <f t="shared" si="9"/>
        <v>0</v>
      </c>
      <c r="AO49" s="1">
        <f t="shared" si="10"/>
        <v>0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55" x14ac:dyDescent="0.25">
      <c r="A50" s="1" t="s">
        <v>91</v>
      </c>
      <c r="B50" s="1" t="s">
        <v>43</v>
      </c>
      <c r="C50" s="1">
        <v>22</v>
      </c>
      <c r="D50" s="1">
        <v>422</v>
      </c>
      <c r="E50" s="1">
        <v>235</v>
      </c>
      <c r="F50" s="1">
        <v>132</v>
      </c>
      <c r="G50" s="8">
        <v>0.45</v>
      </c>
      <c r="H50" s="1">
        <v>50</v>
      </c>
      <c r="I50" s="1" t="s">
        <v>39</v>
      </c>
      <c r="J50" s="1"/>
      <c r="K50" s="1">
        <v>296</v>
      </c>
      <c r="L50" s="1">
        <f t="shared" si="22"/>
        <v>-61</v>
      </c>
      <c r="M50" s="1">
        <f t="shared" si="4"/>
        <v>175</v>
      </c>
      <c r="N50" s="1">
        <v>60</v>
      </c>
      <c r="O50" s="1"/>
      <c r="P50" s="1">
        <v>143.80000000000001</v>
      </c>
      <c r="Q50" s="1">
        <f>IFERROR(VLOOKUP(A50,[1]Sheet!$A:$D,4,0),0)</f>
        <v>0</v>
      </c>
      <c r="R50" s="1">
        <f t="shared" si="5"/>
        <v>35</v>
      </c>
      <c r="S50" s="5">
        <f t="shared" ref="S50:S67" si="23">12*R50-P50-O50-F50</f>
        <v>144.19999999999999</v>
      </c>
      <c r="T50" s="5"/>
      <c r="U50" s="5">
        <f t="shared" si="12"/>
        <v>144.19999999999999</v>
      </c>
      <c r="V50" s="5">
        <f t="shared" si="6"/>
        <v>144.19999999999999</v>
      </c>
      <c r="W50" s="5"/>
      <c r="X50" s="5"/>
      <c r="Y50" s="5"/>
      <c r="Z50" s="1"/>
      <c r="AA50" s="1"/>
      <c r="AB50" s="1">
        <f t="shared" si="13"/>
        <v>12</v>
      </c>
      <c r="AC50" s="1">
        <f t="shared" si="7"/>
        <v>7.88</v>
      </c>
      <c r="AD50" s="1">
        <v>33.4</v>
      </c>
      <c r="AE50" s="1">
        <v>29.8</v>
      </c>
      <c r="AF50" s="1">
        <v>33</v>
      </c>
      <c r="AG50" s="1">
        <v>38.4</v>
      </c>
      <c r="AH50" s="1">
        <v>29</v>
      </c>
      <c r="AI50" s="1">
        <v>27.8</v>
      </c>
      <c r="AJ50" s="1">
        <v>30.4</v>
      </c>
      <c r="AK50" s="1">
        <v>28.4</v>
      </c>
      <c r="AL50" s="1" t="s">
        <v>44</v>
      </c>
      <c r="AM50" s="1">
        <f t="shared" si="8"/>
        <v>65</v>
      </c>
      <c r="AN50" s="1">
        <f t="shared" si="9"/>
        <v>0</v>
      </c>
      <c r="AO50" s="1">
        <f t="shared" si="10"/>
        <v>0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55" x14ac:dyDescent="0.25">
      <c r="A51" s="1" t="s">
        <v>92</v>
      </c>
      <c r="B51" s="1" t="s">
        <v>43</v>
      </c>
      <c r="C51" s="1">
        <v>90</v>
      </c>
      <c r="D51" s="1">
        <v>48</v>
      </c>
      <c r="E51" s="1">
        <v>64</v>
      </c>
      <c r="F51" s="1">
        <v>67</v>
      </c>
      <c r="G51" s="8">
        <v>0.4</v>
      </c>
      <c r="H51" s="1">
        <v>40</v>
      </c>
      <c r="I51" s="1" t="s">
        <v>39</v>
      </c>
      <c r="J51" s="1"/>
      <c r="K51" s="1">
        <v>69</v>
      </c>
      <c r="L51" s="1">
        <f t="shared" si="22"/>
        <v>-5</v>
      </c>
      <c r="M51" s="1">
        <f t="shared" si="4"/>
        <v>64</v>
      </c>
      <c r="N51" s="1"/>
      <c r="O51" s="1"/>
      <c r="P51" s="1">
        <v>46.600000000000023</v>
      </c>
      <c r="Q51" s="1">
        <f>IFERROR(VLOOKUP(A51,[1]Sheet!$A:$D,4,0),0)</f>
        <v>0</v>
      </c>
      <c r="R51" s="1">
        <f t="shared" si="5"/>
        <v>12.8</v>
      </c>
      <c r="S51" s="5">
        <f t="shared" si="23"/>
        <v>40</v>
      </c>
      <c r="T51" s="5"/>
      <c r="U51" s="5">
        <f t="shared" si="12"/>
        <v>40</v>
      </c>
      <c r="V51" s="5">
        <f t="shared" si="6"/>
        <v>40</v>
      </c>
      <c r="W51" s="5"/>
      <c r="X51" s="5"/>
      <c r="Y51" s="5"/>
      <c r="Z51" s="1"/>
      <c r="AA51" s="1"/>
      <c r="AB51" s="1">
        <f t="shared" si="13"/>
        <v>12.000000000000002</v>
      </c>
      <c r="AC51" s="1">
        <f t="shared" si="7"/>
        <v>8.8750000000000018</v>
      </c>
      <c r="AD51" s="1">
        <v>13</v>
      </c>
      <c r="AE51" s="1">
        <v>11.2</v>
      </c>
      <c r="AF51" s="1">
        <v>8.6</v>
      </c>
      <c r="AG51" s="1">
        <v>8.1999999999999993</v>
      </c>
      <c r="AH51" s="1">
        <v>14.6</v>
      </c>
      <c r="AI51" s="1">
        <v>15.4</v>
      </c>
      <c r="AJ51" s="1">
        <v>11.6</v>
      </c>
      <c r="AK51" s="1">
        <v>9.6</v>
      </c>
      <c r="AL51" s="1"/>
      <c r="AM51" s="1">
        <f t="shared" si="8"/>
        <v>16</v>
      </c>
      <c r="AN51" s="1">
        <f t="shared" si="9"/>
        <v>0</v>
      </c>
      <c r="AO51" s="1">
        <f t="shared" si="10"/>
        <v>0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55" x14ac:dyDescent="0.25">
      <c r="A52" s="1" t="s">
        <v>93</v>
      </c>
      <c r="B52" s="1" t="s">
        <v>43</v>
      </c>
      <c r="C52" s="1">
        <v>84</v>
      </c>
      <c r="D52" s="1">
        <v>205</v>
      </c>
      <c r="E52" s="1">
        <v>95</v>
      </c>
      <c r="F52" s="1">
        <v>185</v>
      </c>
      <c r="G52" s="8">
        <v>0.4</v>
      </c>
      <c r="H52" s="1">
        <v>40</v>
      </c>
      <c r="I52" s="1" t="s">
        <v>39</v>
      </c>
      <c r="J52" s="1"/>
      <c r="K52" s="1">
        <v>101</v>
      </c>
      <c r="L52" s="1">
        <f t="shared" si="22"/>
        <v>-6</v>
      </c>
      <c r="M52" s="1">
        <f t="shared" si="4"/>
        <v>95</v>
      </c>
      <c r="N52" s="1"/>
      <c r="O52" s="1"/>
      <c r="P52" s="1">
        <v>0</v>
      </c>
      <c r="Q52" s="1">
        <f>IFERROR(VLOOKUP(A52,[1]Sheet!$A:$D,4,0),0)</f>
        <v>0</v>
      </c>
      <c r="R52" s="1">
        <f t="shared" si="5"/>
        <v>19</v>
      </c>
      <c r="S52" s="5">
        <f t="shared" si="23"/>
        <v>43</v>
      </c>
      <c r="T52" s="5"/>
      <c r="U52" s="5">
        <f t="shared" si="12"/>
        <v>43</v>
      </c>
      <c r="V52" s="5">
        <f t="shared" si="6"/>
        <v>43</v>
      </c>
      <c r="W52" s="5"/>
      <c r="X52" s="5"/>
      <c r="Y52" s="5"/>
      <c r="Z52" s="1"/>
      <c r="AA52" s="1"/>
      <c r="AB52" s="1">
        <f t="shared" si="13"/>
        <v>12</v>
      </c>
      <c r="AC52" s="1">
        <f t="shared" si="7"/>
        <v>9.7368421052631575</v>
      </c>
      <c r="AD52" s="1">
        <v>19</v>
      </c>
      <c r="AE52" s="1">
        <v>23.8</v>
      </c>
      <c r="AF52" s="1">
        <v>20.399999999999999</v>
      </c>
      <c r="AG52" s="1">
        <v>9.6</v>
      </c>
      <c r="AH52" s="1">
        <v>17.399999999999999</v>
      </c>
      <c r="AI52" s="1">
        <v>22.8</v>
      </c>
      <c r="AJ52" s="1">
        <v>13</v>
      </c>
      <c r="AK52" s="1">
        <v>9.4</v>
      </c>
      <c r="AL52" s="1" t="s">
        <v>94</v>
      </c>
      <c r="AM52" s="1">
        <f t="shared" si="8"/>
        <v>17</v>
      </c>
      <c r="AN52" s="1">
        <f t="shared" si="9"/>
        <v>0</v>
      </c>
      <c r="AO52" s="1">
        <f t="shared" si="10"/>
        <v>0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55" x14ac:dyDescent="0.25">
      <c r="A53" s="1" t="s">
        <v>95</v>
      </c>
      <c r="B53" s="1" t="s">
        <v>36</v>
      </c>
      <c r="C53" s="1">
        <v>-7.758</v>
      </c>
      <c r="D53" s="1">
        <v>643.47199999999998</v>
      </c>
      <c r="E53" s="1">
        <v>326.31599999999997</v>
      </c>
      <c r="F53" s="1">
        <v>139.38999999999999</v>
      </c>
      <c r="G53" s="8">
        <v>1</v>
      </c>
      <c r="H53" s="1">
        <v>50</v>
      </c>
      <c r="I53" s="1" t="s">
        <v>39</v>
      </c>
      <c r="J53" s="1"/>
      <c r="K53" s="1">
        <v>470.98099999999999</v>
      </c>
      <c r="L53" s="1">
        <f t="shared" si="22"/>
        <v>-144.66500000000002</v>
      </c>
      <c r="M53" s="1">
        <f t="shared" si="4"/>
        <v>165.63499999999996</v>
      </c>
      <c r="N53" s="1">
        <v>160.68100000000001</v>
      </c>
      <c r="O53" s="1"/>
      <c r="P53" s="1">
        <v>0</v>
      </c>
      <c r="Q53" s="1">
        <f>IFERROR(VLOOKUP(A53,[1]Sheet!$A:$D,4,0),0)</f>
        <v>0</v>
      </c>
      <c r="R53" s="1">
        <f t="shared" si="5"/>
        <v>33.126999999999995</v>
      </c>
      <c r="S53" s="5">
        <f>11*R53-P53-O53-F53</f>
        <v>225.00699999999995</v>
      </c>
      <c r="T53" s="5"/>
      <c r="U53" s="5">
        <f t="shared" si="12"/>
        <v>225.00699999999995</v>
      </c>
      <c r="V53" s="5">
        <f t="shared" si="6"/>
        <v>225.00699999999995</v>
      </c>
      <c r="W53" s="5"/>
      <c r="X53" s="5"/>
      <c r="Y53" s="5"/>
      <c r="Z53" s="1"/>
      <c r="AA53" s="1"/>
      <c r="AB53" s="1">
        <f t="shared" si="13"/>
        <v>11</v>
      </c>
      <c r="AC53" s="1">
        <f t="shared" si="7"/>
        <v>4.2077459474144963</v>
      </c>
      <c r="AD53" s="1">
        <v>25.907599999999999</v>
      </c>
      <c r="AE53" s="1">
        <v>23.498799999999999</v>
      </c>
      <c r="AF53" s="1">
        <v>44.981200000000001</v>
      </c>
      <c r="AG53" s="1">
        <v>31.518799999999999</v>
      </c>
      <c r="AH53" s="1">
        <v>16.065999999999999</v>
      </c>
      <c r="AI53" s="1">
        <v>33.654400000000003</v>
      </c>
      <c r="AJ53" s="1">
        <v>35.505600000000001</v>
      </c>
      <c r="AK53" s="1">
        <v>26.068000000000001</v>
      </c>
      <c r="AL53" s="1"/>
      <c r="AM53" s="1">
        <f t="shared" si="8"/>
        <v>225</v>
      </c>
      <c r="AN53" s="1">
        <f t="shared" si="9"/>
        <v>0</v>
      </c>
      <c r="AO53" s="1">
        <f t="shared" si="10"/>
        <v>0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55" x14ac:dyDescent="0.25">
      <c r="A54" s="1" t="s">
        <v>96</v>
      </c>
      <c r="B54" s="1" t="s">
        <v>43</v>
      </c>
      <c r="C54" s="1">
        <v>114</v>
      </c>
      <c r="D54" s="1">
        <v>200</v>
      </c>
      <c r="E54" s="1">
        <v>89</v>
      </c>
      <c r="F54" s="1">
        <v>222</v>
      </c>
      <c r="G54" s="8">
        <v>0.1</v>
      </c>
      <c r="H54" s="1">
        <v>730</v>
      </c>
      <c r="I54" s="1" t="s">
        <v>39</v>
      </c>
      <c r="J54" s="1"/>
      <c r="K54" s="1">
        <v>91</v>
      </c>
      <c r="L54" s="1">
        <f t="shared" si="22"/>
        <v>-2</v>
      </c>
      <c r="M54" s="1">
        <f t="shared" si="4"/>
        <v>89</v>
      </c>
      <c r="N54" s="1"/>
      <c r="O54" s="1"/>
      <c r="P54" s="1">
        <v>0</v>
      </c>
      <c r="Q54" s="1">
        <f>IFERROR(VLOOKUP(A54,[1]Sheet!$A:$D,4,0),0)</f>
        <v>0</v>
      </c>
      <c r="R54" s="1">
        <f t="shared" si="5"/>
        <v>17.8</v>
      </c>
      <c r="S54" s="5"/>
      <c r="T54" s="5"/>
      <c r="U54" s="5">
        <f t="shared" si="12"/>
        <v>0</v>
      </c>
      <c r="V54" s="5">
        <f t="shared" si="6"/>
        <v>0</v>
      </c>
      <c r="W54" s="5"/>
      <c r="X54" s="5"/>
      <c r="Y54" s="5"/>
      <c r="Z54" s="1"/>
      <c r="AA54" s="1"/>
      <c r="AB54" s="1">
        <f t="shared" si="13"/>
        <v>12.47191011235955</v>
      </c>
      <c r="AC54" s="1">
        <f t="shared" si="7"/>
        <v>12.47191011235955</v>
      </c>
      <c r="AD54" s="1">
        <v>19.399999999999999</v>
      </c>
      <c r="AE54" s="1">
        <v>25.2</v>
      </c>
      <c r="AF54" s="1">
        <v>24</v>
      </c>
      <c r="AG54" s="1">
        <v>21.4</v>
      </c>
      <c r="AH54" s="1">
        <v>25</v>
      </c>
      <c r="AI54" s="1">
        <v>29</v>
      </c>
      <c r="AJ54" s="1">
        <v>33.6</v>
      </c>
      <c r="AK54" s="1">
        <v>36.200000000000003</v>
      </c>
      <c r="AL54" s="1"/>
      <c r="AM54" s="1">
        <f t="shared" si="8"/>
        <v>0</v>
      </c>
      <c r="AN54" s="1">
        <f t="shared" si="9"/>
        <v>0</v>
      </c>
      <c r="AO54" s="1">
        <f t="shared" si="10"/>
        <v>0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55" x14ac:dyDescent="0.25">
      <c r="A55" s="1" t="s">
        <v>97</v>
      </c>
      <c r="B55" s="1" t="s">
        <v>36</v>
      </c>
      <c r="C55" s="1">
        <v>188.81</v>
      </c>
      <c r="D55" s="1">
        <v>1161.4190000000001</v>
      </c>
      <c r="E55" s="1">
        <v>646.31899999999996</v>
      </c>
      <c r="F55" s="1">
        <v>404.83100000000002</v>
      </c>
      <c r="G55" s="8">
        <v>1</v>
      </c>
      <c r="H55" s="1">
        <v>50</v>
      </c>
      <c r="I55" s="1" t="s">
        <v>39</v>
      </c>
      <c r="J55" s="1"/>
      <c r="K55" s="1">
        <v>803.11800000000005</v>
      </c>
      <c r="L55" s="1">
        <f t="shared" si="22"/>
        <v>-156.79900000000009</v>
      </c>
      <c r="M55" s="1">
        <f t="shared" si="4"/>
        <v>459.00099999999998</v>
      </c>
      <c r="N55" s="1">
        <v>187.31800000000001</v>
      </c>
      <c r="O55" s="1">
        <v>103.17792</v>
      </c>
      <c r="P55" s="1">
        <v>216.69499999999999</v>
      </c>
      <c r="Q55" s="1">
        <f>IFERROR(VLOOKUP(A55,[1]Sheet!$A:$D,4,0),0)</f>
        <v>0</v>
      </c>
      <c r="R55" s="1">
        <f t="shared" si="5"/>
        <v>91.80019999999999</v>
      </c>
      <c r="S55" s="5">
        <f t="shared" si="23"/>
        <v>376.89847999999984</v>
      </c>
      <c r="T55" s="5">
        <f>$T$1*R55</f>
        <v>119.34025999999999</v>
      </c>
      <c r="U55" s="5">
        <f t="shared" si="12"/>
        <v>496.23873999999984</v>
      </c>
      <c r="V55" s="5">
        <f t="shared" si="6"/>
        <v>196.23873999999984</v>
      </c>
      <c r="W55" s="5">
        <v>300</v>
      </c>
      <c r="X55" s="5">
        <f>$X$1*R55</f>
        <v>151.47032999999996</v>
      </c>
      <c r="Y55" s="5"/>
      <c r="Z55" s="1"/>
      <c r="AA55" s="1"/>
      <c r="AB55" s="1">
        <f t="shared" si="13"/>
        <v>13.299999999999999</v>
      </c>
      <c r="AC55" s="1">
        <f t="shared" si="7"/>
        <v>7.8943610144640211</v>
      </c>
      <c r="AD55" s="1">
        <v>77.473200000000006</v>
      </c>
      <c r="AE55" s="1">
        <v>85.9816</v>
      </c>
      <c r="AF55" s="1">
        <v>88.577799999999996</v>
      </c>
      <c r="AG55" s="1">
        <v>77.871799999999993</v>
      </c>
      <c r="AH55" s="1">
        <v>85.628999999999991</v>
      </c>
      <c r="AI55" s="1">
        <v>79.4756</v>
      </c>
      <c r="AJ55" s="1">
        <v>96.695400000000006</v>
      </c>
      <c r="AK55" s="1">
        <v>119.4696</v>
      </c>
      <c r="AL55" s="1"/>
      <c r="AM55" s="1">
        <f t="shared" si="8"/>
        <v>196</v>
      </c>
      <c r="AN55" s="1">
        <f t="shared" si="9"/>
        <v>300</v>
      </c>
      <c r="AO55" s="1">
        <f t="shared" si="10"/>
        <v>151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55" x14ac:dyDescent="0.25">
      <c r="A56" s="1" t="s">
        <v>98</v>
      </c>
      <c r="B56" s="1" t="s">
        <v>36</v>
      </c>
      <c r="C56" s="1">
        <v>29.74</v>
      </c>
      <c r="D56" s="1">
        <v>86.340999999999994</v>
      </c>
      <c r="E56" s="1">
        <v>48.616</v>
      </c>
      <c r="F56" s="1">
        <v>40.430999999999997</v>
      </c>
      <c r="G56" s="8">
        <v>1</v>
      </c>
      <c r="H56" s="1">
        <v>50</v>
      </c>
      <c r="I56" s="1" t="s">
        <v>39</v>
      </c>
      <c r="J56" s="1"/>
      <c r="K56" s="1">
        <v>83.046999999999997</v>
      </c>
      <c r="L56" s="1">
        <f t="shared" si="22"/>
        <v>-34.430999999999997</v>
      </c>
      <c r="M56" s="1">
        <f t="shared" si="4"/>
        <v>26.969000000000001</v>
      </c>
      <c r="N56" s="1">
        <v>21.646999999999998</v>
      </c>
      <c r="O56" s="1"/>
      <c r="P56" s="1">
        <v>0</v>
      </c>
      <c r="Q56" s="1">
        <f>IFERROR(VLOOKUP(A56,[1]Sheet!$A:$D,4,0),0)</f>
        <v>0</v>
      </c>
      <c r="R56" s="1">
        <f t="shared" si="5"/>
        <v>5.3938000000000006</v>
      </c>
      <c r="S56" s="5">
        <f t="shared" si="23"/>
        <v>24.294600000000017</v>
      </c>
      <c r="T56" s="5"/>
      <c r="U56" s="5">
        <f t="shared" si="12"/>
        <v>24.294600000000017</v>
      </c>
      <c r="V56" s="5">
        <f t="shared" si="6"/>
        <v>24.294600000000017</v>
      </c>
      <c r="W56" s="5"/>
      <c r="X56" s="5"/>
      <c r="Y56" s="5"/>
      <c r="Z56" s="1"/>
      <c r="AA56" s="1"/>
      <c r="AB56" s="1">
        <f t="shared" si="13"/>
        <v>12.000000000000002</v>
      </c>
      <c r="AC56" s="1">
        <f t="shared" si="7"/>
        <v>7.4958285438837171</v>
      </c>
      <c r="AD56" s="1">
        <v>4.0502000000000002</v>
      </c>
      <c r="AE56" s="1">
        <v>6.4906000000000006</v>
      </c>
      <c r="AF56" s="1">
        <v>6.5042</v>
      </c>
      <c r="AG56" s="1">
        <v>2.1112000000000002</v>
      </c>
      <c r="AH56" s="1">
        <v>5.3954000000000004</v>
      </c>
      <c r="AI56" s="1">
        <v>6.2653999999999996</v>
      </c>
      <c r="AJ56" s="1">
        <v>2.9667999999999979</v>
      </c>
      <c r="AK56" s="1">
        <v>4.0518000000000018</v>
      </c>
      <c r="AL56" s="1" t="s">
        <v>99</v>
      </c>
      <c r="AM56" s="1">
        <f t="shared" si="8"/>
        <v>24</v>
      </c>
      <c r="AN56" s="1">
        <f t="shared" si="9"/>
        <v>0</v>
      </c>
      <c r="AO56" s="1">
        <f t="shared" si="10"/>
        <v>0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55" x14ac:dyDescent="0.25">
      <c r="A57" s="1" t="s">
        <v>100</v>
      </c>
      <c r="B57" s="1" t="s">
        <v>43</v>
      </c>
      <c r="C57" s="1">
        <v>180</v>
      </c>
      <c r="D57" s="1">
        <v>100</v>
      </c>
      <c r="E57" s="1">
        <v>113</v>
      </c>
      <c r="F57" s="1">
        <v>164</v>
      </c>
      <c r="G57" s="8">
        <v>0.1</v>
      </c>
      <c r="H57" s="1">
        <v>730</v>
      </c>
      <c r="I57" s="1" t="s">
        <v>39</v>
      </c>
      <c r="J57" s="1"/>
      <c r="K57" s="1">
        <v>113</v>
      </c>
      <c r="L57" s="1">
        <f t="shared" si="22"/>
        <v>0</v>
      </c>
      <c r="M57" s="1">
        <f t="shared" si="4"/>
        <v>113</v>
      </c>
      <c r="N57" s="1"/>
      <c r="O57" s="1"/>
      <c r="P57" s="1">
        <v>19.99999999999994</v>
      </c>
      <c r="Q57" s="1">
        <f>IFERROR(VLOOKUP(A57,[1]Sheet!$A:$D,4,0),0)</f>
        <v>0</v>
      </c>
      <c r="R57" s="1">
        <f t="shared" si="5"/>
        <v>22.6</v>
      </c>
      <c r="S57" s="5">
        <f t="shared" si="23"/>
        <v>87.200000000000102</v>
      </c>
      <c r="T57" s="5"/>
      <c r="U57" s="5">
        <f t="shared" si="12"/>
        <v>87.200000000000102</v>
      </c>
      <c r="V57" s="5">
        <f t="shared" si="6"/>
        <v>87.200000000000102</v>
      </c>
      <c r="W57" s="5"/>
      <c r="X57" s="5"/>
      <c r="Y57" s="5"/>
      <c r="Z57" s="1"/>
      <c r="AA57" s="1"/>
      <c r="AB57" s="1">
        <f t="shared" si="13"/>
        <v>12.000000000000002</v>
      </c>
      <c r="AC57" s="1">
        <f t="shared" si="7"/>
        <v>8.141592920353979</v>
      </c>
      <c r="AD57" s="1">
        <v>22.2</v>
      </c>
      <c r="AE57" s="1">
        <v>23.6</v>
      </c>
      <c r="AF57" s="1">
        <v>22.6</v>
      </c>
      <c r="AG57" s="1">
        <v>24.8</v>
      </c>
      <c r="AH57" s="1">
        <v>29.6</v>
      </c>
      <c r="AI57" s="1">
        <v>28.8</v>
      </c>
      <c r="AJ57" s="1">
        <v>29.4</v>
      </c>
      <c r="AK57" s="1">
        <v>37.4</v>
      </c>
      <c r="AL57" s="1"/>
      <c r="AM57" s="1">
        <f t="shared" si="8"/>
        <v>9</v>
      </c>
      <c r="AN57" s="1">
        <f t="shared" si="9"/>
        <v>0</v>
      </c>
      <c r="AO57" s="1">
        <f t="shared" si="10"/>
        <v>0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55" x14ac:dyDescent="0.25">
      <c r="A58" s="1" t="s">
        <v>101</v>
      </c>
      <c r="B58" s="1" t="s">
        <v>43</v>
      </c>
      <c r="C58" s="1">
        <v>134</v>
      </c>
      <c r="D58" s="1">
        <v>342</v>
      </c>
      <c r="E58" s="1">
        <v>168</v>
      </c>
      <c r="F58" s="1">
        <v>243</v>
      </c>
      <c r="G58" s="8">
        <v>0.4</v>
      </c>
      <c r="H58" s="1">
        <v>50</v>
      </c>
      <c r="I58" s="1" t="s">
        <v>39</v>
      </c>
      <c r="J58" s="1"/>
      <c r="K58" s="1">
        <v>229</v>
      </c>
      <c r="L58" s="1">
        <f t="shared" si="22"/>
        <v>-61</v>
      </c>
      <c r="M58" s="1">
        <f t="shared" si="4"/>
        <v>168</v>
      </c>
      <c r="N58" s="1"/>
      <c r="O58" s="1"/>
      <c r="P58" s="1">
        <v>0</v>
      </c>
      <c r="Q58" s="1">
        <f>IFERROR(VLOOKUP(A58,[1]Sheet!$A:$D,4,0),0)</f>
        <v>0</v>
      </c>
      <c r="R58" s="1">
        <f t="shared" si="5"/>
        <v>33.6</v>
      </c>
      <c r="S58" s="5">
        <f t="shared" si="23"/>
        <v>160.20000000000005</v>
      </c>
      <c r="T58" s="5"/>
      <c r="U58" s="5">
        <f t="shared" si="12"/>
        <v>160.20000000000005</v>
      </c>
      <c r="V58" s="5">
        <f t="shared" si="6"/>
        <v>160.20000000000005</v>
      </c>
      <c r="W58" s="5"/>
      <c r="X58" s="5"/>
      <c r="Y58" s="5"/>
      <c r="Z58" s="1"/>
      <c r="AA58" s="1"/>
      <c r="AB58" s="1">
        <f t="shared" si="13"/>
        <v>12</v>
      </c>
      <c r="AC58" s="1">
        <f t="shared" si="7"/>
        <v>7.2321428571428568</v>
      </c>
      <c r="AD58" s="1">
        <v>26</v>
      </c>
      <c r="AE58" s="1">
        <v>33.799999999999997</v>
      </c>
      <c r="AF58" s="1">
        <v>30</v>
      </c>
      <c r="AG58" s="1">
        <v>18.8</v>
      </c>
      <c r="AH58" s="1">
        <v>30.8</v>
      </c>
      <c r="AI58" s="1">
        <v>26.8</v>
      </c>
      <c r="AJ58" s="1">
        <v>22.2</v>
      </c>
      <c r="AK58" s="1">
        <v>17.2</v>
      </c>
      <c r="AL58" s="1"/>
      <c r="AM58" s="1">
        <f t="shared" si="8"/>
        <v>64</v>
      </c>
      <c r="AN58" s="1">
        <f t="shared" si="9"/>
        <v>0</v>
      </c>
      <c r="AO58" s="1">
        <f t="shared" si="10"/>
        <v>0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55" x14ac:dyDescent="0.25">
      <c r="A59" s="1" t="s">
        <v>102</v>
      </c>
      <c r="B59" s="1" t="s">
        <v>36</v>
      </c>
      <c r="C59" s="1">
        <v>15.9</v>
      </c>
      <c r="D59" s="1">
        <v>90.287999999999997</v>
      </c>
      <c r="E59" s="1">
        <v>63.673000000000002</v>
      </c>
      <c r="F59" s="1">
        <v>9.77</v>
      </c>
      <c r="G59" s="8">
        <v>1</v>
      </c>
      <c r="H59" s="1">
        <v>40</v>
      </c>
      <c r="I59" s="1" t="s">
        <v>39</v>
      </c>
      <c r="J59" s="1"/>
      <c r="K59" s="1">
        <v>97.344999999999999</v>
      </c>
      <c r="L59" s="1">
        <f t="shared" si="22"/>
        <v>-33.671999999999997</v>
      </c>
      <c r="M59" s="1">
        <f t="shared" si="4"/>
        <v>30.928000000000004</v>
      </c>
      <c r="N59" s="1">
        <v>32.744999999999997</v>
      </c>
      <c r="O59" s="1"/>
      <c r="P59" s="1">
        <v>63.950400000000009</v>
      </c>
      <c r="Q59" s="1">
        <f>IFERROR(VLOOKUP(A59,[1]Sheet!$A:$D,4,0),0)</f>
        <v>0</v>
      </c>
      <c r="R59" s="1">
        <f t="shared" si="5"/>
        <v>6.1856000000000009</v>
      </c>
      <c r="S59" s="5"/>
      <c r="T59" s="5"/>
      <c r="U59" s="5">
        <f t="shared" si="12"/>
        <v>0</v>
      </c>
      <c r="V59" s="5">
        <f t="shared" si="6"/>
        <v>0</v>
      </c>
      <c r="W59" s="5"/>
      <c r="X59" s="5"/>
      <c r="Y59" s="5"/>
      <c r="Z59" s="1"/>
      <c r="AA59" s="1"/>
      <c r="AB59" s="1">
        <f t="shared" si="13"/>
        <v>11.918067770305225</v>
      </c>
      <c r="AC59" s="1">
        <f t="shared" si="7"/>
        <v>11.918067770305225</v>
      </c>
      <c r="AD59" s="1">
        <v>10.2956</v>
      </c>
      <c r="AE59" s="1">
        <v>1.349</v>
      </c>
      <c r="AF59" s="1">
        <v>6.6890000000000001</v>
      </c>
      <c r="AG59" s="1">
        <v>6.6890000000000001</v>
      </c>
      <c r="AH59" s="1">
        <v>0</v>
      </c>
      <c r="AI59" s="1">
        <v>0</v>
      </c>
      <c r="AJ59" s="1">
        <v>0</v>
      </c>
      <c r="AK59" s="1">
        <v>0</v>
      </c>
      <c r="AL59" s="1" t="s">
        <v>78</v>
      </c>
      <c r="AM59" s="1">
        <f t="shared" si="8"/>
        <v>0</v>
      </c>
      <c r="AN59" s="1">
        <f t="shared" si="9"/>
        <v>0</v>
      </c>
      <c r="AO59" s="1">
        <f t="shared" si="10"/>
        <v>0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55" x14ac:dyDescent="0.25">
      <c r="A60" s="1" t="s">
        <v>103</v>
      </c>
      <c r="B60" s="1" t="s">
        <v>36</v>
      </c>
      <c r="C60" s="1">
        <v>27.608000000000001</v>
      </c>
      <c r="D60" s="1">
        <v>32.997999999999998</v>
      </c>
      <c r="E60" s="1">
        <v>9.6790000000000003</v>
      </c>
      <c r="F60" s="1">
        <v>38.53</v>
      </c>
      <c r="G60" s="8">
        <v>1</v>
      </c>
      <c r="H60" s="1">
        <v>40</v>
      </c>
      <c r="I60" s="1" t="s">
        <v>39</v>
      </c>
      <c r="J60" s="1"/>
      <c r="K60" s="1">
        <v>9.1999999999999993</v>
      </c>
      <c r="L60" s="1">
        <f t="shared" si="22"/>
        <v>0.47900000000000098</v>
      </c>
      <c r="M60" s="1">
        <f t="shared" si="4"/>
        <v>9.6790000000000003</v>
      </c>
      <c r="N60" s="1"/>
      <c r="O60" s="1"/>
      <c r="P60" s="1">
        <v>0</v>
      </c>
      <c r="Q60" s="1">
        <f>IFERROR(VLOOKUP(A60,[1]Sheet!$A:$D,4,0),0)</f>
        <v>0</v>
      </c>
      <c r="R60" s="1">
        <f t="shared" si="5"/>
        <v>1.9358</v>
      </c>
      <c r="S60" s="5"/>
      <c r="T60" s="5"/>
      <c r="U60" s="5">
        <f t="shared" si="12"/>
        <v>0</v>
      </c>
      <c r="V60" s="5">
        <f t="shared" si="6"/>
        <v>0</v>
      </c>
      <c r="W60" s="5"/>
      <c r="X60" s="5"/>
      <c r="Y60" s="5"/>
      <c r="Z60" s="1"/>
      <c r="AA60" s="1"/>
      <c r="AB60" s="1">
        <f t="shared" si="13"/>
        <v>19.903915693770017</v>
      </c>
      <c r="AC60" s="1">
        <f t="shared" si="7"/>
        <v>19.903915693770017</v>
      </c>
      <c r="AD60" s="1">
        <v>1.9308000000000001</v>
      </c>
      <c r="AE60" s="1">
        <v>1.0986</v>
      </c>
      <c r="AF60" s="1">
        <v>5.2514000000000003</v>
      </c>
      <c r="AG60" s="1">
        <v>4.9763999999999999</v>
      </c>
      <c r="AH60" s="1">
        <v>0</v>
      </c>
      <c r="AI60" s="1">
        <v>0</v>
      </c>
      <c r="AJ60" s="1">
        <v>0</v>
      </c>
      <c r="AK60" s="1">
        <v>0</v>
      </c>
      <c r="AL60" s="20" t="s">
        <v>150</v>
      </c>
      <c r="AM60" s="1">
        <f t="shared" si="8"/>
        <v>0</v>
      </c>
      <c r="AN60" s="1">
        <f t="shared" si="9"/>
        <v>0</v>
      </c>
      <c r="AO60" s="1">
        <f t="shared" si="10"/>
        <v>0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55" x14ac:dyDescent="0.25">
      <c r="A61" s="1" t="s">
        <v>104</v>
      </c>
      <c r="B61" s="1" t="s">
        <v>43</v>
      </c>
      <c r="C61" s="1">
        <v>68</v>
      </c>
      <c r="D61" s="1">
        <v>1681</v>
      </c>
      <c r="E61" s="1">
        <v>842</v>
      </c>
      <c r="F61" s="1">
        <v>569</v>
      </c>
      <c r="G61" s="8">
        <v>0.4</v>
      </c>
      <c r="H61" s="1">
        <v>40</v>
      </c>
      <c r="I61" s="1" t="s">
        <v>39</v>
      </c>
      <c r="J61" s="1"/>
      <c r="K61" s="1">
        <v>1151</v>
      </c>
      <c r="L61" s="1">
        <f t="shared" si="22"/>
        <v>-309</v>
      </c>
      <c r="M61" s="1">
        <f t="shared" si="4"/>
        <v>542</v>
      </c>
      <c r="N61" s="1">
        <v>300</v>
      </c>
      <c r="O61" s="1"/>
      <c r="P61" s="1">
        <v>615.19999999999982</v>
      </c>
      <c r="Q61" s="1">
        <f>IFERROR(VLOOKUP(A61,[1]Sheet!$A:$D,4,0),0)</f>
        <v>0</v>
      </c>
      <c r="R61" s="1">
        <f t="shared" si="5"/>
        <v>108.4</v>
      </c>
      <c r="S61" s="5">
        <f t="shared" si="23"/>
        <v>116.60000000000036</v>
      </c>
      <c r="T61" s="5"/>
      <c r="U61" s="5">
        <f t="shared" si="12"/>
        <v>116.60000000000036</v>
      </c>
      <c r="V61" s="5">
        <f t="shared" si="6"/>
        <v>116.60000000000036</v>
      </c>
      <c r="W61" s="5"/>
      <c r="X61" s="5"/>
      <c r="Y61" s="5"/>
      <c r="Z61" s="1"/>
      <c r="AA61" s="1"/>
      <c r="AB61" s="1">
        <f t="shared" si="13"/>
        <v>12.000000000000002</v>
      </c>
      <c r="AC61" s="1">
        <f t="shared" si="7"/>
        <v>10.924354243542433</v>
      </c>
      <c r="AD61" s="1">
        <v>128.19999999999999</v>
      </c>
      <c r="AE61" s="1">
        <v>117.8</v>
      </c>
      <c r="AF61" s="1">
        <v>125.6</v>
      </c>
      <c r="AG61" s="1">
        <v>123</v>
      </c>
      <c r="AH61" s="1">
        <v>112</v>
      </c>
      <c r="AI61" s="1">
        <v>134</v>
      </c>
      <c r="AJ61" s="1">
        <v>132.80000000000001</v>
      </c>
      <c r="AK61" s="1">
        <v>127</v>
      </c>
      <c r="AL61" s="1"/>
      <c r="AM61" s="1">
        <f t="shared" si="8"/>
        <v>47</v>
      </c>
      <c r="AN61" s="1">
        <f t="shared" si="9"/>
        <v>0</v>
      </c>
      <c r="AO61" s="1">
        <f t="shared" si="10"/>
        <v>0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55" x14ac:dyDescent="0.25">
      <c r="A62" s="1" t="s">
        <v>105</v>
      </c>
      <c r="B62" s="1" t="s">
        <v>43</v>
      </c>
      <c r="C62" s="1">
        <v>16</v>
      </c>
      <c r="D62" s="1">
        <v>1272</v>
      </c>
      <c r="E62" s="1">
        <v>609</v>
      </c>
      <c r="F62" s="1">
        <v>466</v>
      </c>
      <c r="G62" s="8">
        <v>0.4</v>
      </c>
      <c r="H62" s="1">
        <v>40</v>
      </c>
      <c r="I62" s="1" t="s">
        <v>39</v>
      </c>
      <c r="J62" s="1"/>
      <c r="K62" s="1">
        <v>814</v>
      </c>
      <c r="L62" s="1">
        <f t="shared" si="22"/>
        <v>-205</v>
      </c>
      <c r="M62" s="1">
        <f t="shared" si="4"/>
        <v>411</v>
      </c>
      <c r="N62" s="1">
        <v>198</v>
      </c>
      <c r="O62" s="1"/>
      <c r="P62" s="1">
        <v>332.59999999999991</v>
      </c>
      <c r="Q62" s="1">
        <f>IFERROR(VLOOKUP(A62,[1]Sheet!$A:$D,4,0),0)</f>
        <v>0</v>
      </c>
      <c r="R62" s="1">
        <f t="shared" si="5"/>
        <v>82.2</v>
      </c>
      <c r="S62" s="5">
        <f t="shared" si="23"/>
        <v>187.80000000000018</v>
      </c>
      <c r="T62" s="5"/>
      <c r="U62" s="5">
        <f t="shared" si="12"/>
        <v>187.80000000000018</v>
      </c>
      <c r="V62" s="5">
        <f t="shared" si="6"/>
        <v>187.80000000000018</v>
      </c>
      <c r="W62" s="5"/>
      <c r="X62" s="5"/>
      <c r="Y62" s="5"/>
      <c r="Z62" s="1"/>
      <c r="AA62" s="1"/>
      <c r="AB62" s="1">
        <f t="shared" si="13"/>
        <v>12</v>
      </c>
      <c r="AC62" s="1">
        <f t="shared" si="7"/>
        <v>9.7153284671532827</v>
      </c>
      <c r="AD62" s="1">
        <v>90</v>
      </c>
      <c r="AE62" s="1">
        <v>89</v>
      </c>
      <c r="AF62" s="1">
        <v>104.6</v>
      </c>
      <c r="AG62" s="1">
        <v>96.2</v>
      </c>
      <c r="AH62" s="1">
        <v>83</v>
      </c>
      <c r="AI62" s="1">
        <v>101.6</v>
      </c>
      <c r="AJ62" s="1">
        <v>95</v>
      </c>
      <c r="AK62" s="1">
        <v>81.8</v>
      </c>
      <c r="AL62" s="1"/>
      <c r="AM62" s="1">
        <f t="shared" si="8"/>
        <v>75</v>
      </c>
      <c r="AN62" s="1">
        <f t="shared" si="9"/>
        <v>0</v>
      </c>
      <c r="AO62" s="1">
        <f t="shared" si="10"/>
        <v>0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55" x14ac:dyDescent="0.25">
      <c r="A63" s="1" t="s">
        <v>106</v>
      </c>
      <c r="B63" s="1" t="s">
        <v>36</v>
      </c>
      <c r="C63" s="1">
        <v>429.887</v>
      </c>
      <c r="D63" s="1">
        <v>1884.06</v>
      </c>
      <c r="E63" s="1">
        <v>594.38</v>
      </c>
      <c r="F63" s="1">
        <v>1080.1769999999999</v>
      </c>
      <c r="G63" s="8">
        <v>1</v>
      </c>
      <c r="H63" s="1">
        <v>40</v>
      </c>
      <c r="I63" s="1" t="s">
        <v>39</v>
      </c>
      <c r="J63" s="1"/>
      <c r="K63" s="1">
        <v>952.77300000000002</v>
      </c>
      <c r="L63" s="1">
        <f t="shared" si="22"/>
        <v>-358.39300000000003</v>
      </c>
      <c r="M63" s="1">
        <f t="shared" si="4"/>
        <v>594.38</v>
      </c>
      <c r="N63" s="1"/>
      <c r="O63" s="1"/>
      <c r="P63" s="1">
        <v>0</v>
      </c>
      <c r="Q63" s="1">
        <f>IFERROR(VLOOKUP(A63,[1]Sheet!$A:$D,4,0),0)</f>
        <v>0</v>
      </c>
      <c r="R63" s="1">
        <f t="shared" si="5"/>
        <v>118.876</v>
      </c>
      <c r="S63" s="5">
        <f t="shared" si="23"/>
        <v>346.33500000000026</v>
      </c>
      <c r="T63" s="5"/>
      <c r="U63" s="5">
        <f t="shared" si="12"/>
        <v>346.33500000000026</v>
      </c>
      <c r="V63" s="5">
        <f t="shared" si="6"/>
        <v>346.33500000000026</v>
      </c>
      <c r="W63" s="5"/>
      <c r="X63" s="5"/>
      <c r="Y63" s="5"/>
      <c r="Z63" s="1"/>
      <c r="AA63" s="1"/>
      <c r="AB63" s="1">
        <f t="shared" si="13"/>
        <v>12.000000000000002</v>
      </c>
      <c r="AC63" s="1">
        <f t="shared" si="7"/>
        <v>9.0865860224099055</v>
      </c>
      <c r="AD63" s="1">
        <v>86.885599999999997</v>
      </c>
      <c r="AE63" s="1">
        <v>134.798</v>
      </c>
      <c r="AF63" s="1">
        <v>142.23079999999999</v>
      </c>
      <c r="AG63" s="1">
        <v>134.5926</v>
      </c>
      <c r="AH63" s="1">
        <v>123.28319999999999</v>
      </c>
      <c r="AI63" s="1">
        <v>116.29859999999999</v>
      </c>
      <c r="AJ63" s="1">
        <v>103.773</v>
      </c>
      <c r="AK63" s="1">
        <v>101.7516</v>
      </c>
      <c r="AL63" s="1"/>
      <c r="AM63" s="1">
        <f t="shared" si="8"/>
        <v>346</v>
      </c>
      <c r="AN63" s="1">
        <f t="shared" si="9"/>
        <v>0</v>
      </c>
      <c r="AO63" s="1">
        <f t="shared" si="10"/>
        <v>0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55" x14ac:dyDescent="0.25">
      <c r="A64" s="1" t="s">
        <v>107</v>
      </c>
      <c r="B64" s="1" t="s">
        <v>36</v>
      </c>
      <c r="C64" s="1">
        <v>204.73599999999999</v>
      </c>
      <c r="D64" s="1">
        <v>459.97</v>
      </c>
      <c r="E64" s="1">
        <v>290.88499999999999</v>
      </c>
      <c r="F64" s="1">
        <v>202.34899999999999</v>
      </c>
      <c r="G64" s="8">
        <v>1</v>
      </c>
      <c r="H64" s="1">
        <v>40</v>
      </c>
      <c r="I64" s="1" t="s">
        <v>39</v>
      </c>
      <c r="J64" s="1"/>
      <c r="K64" s="1">
        <v>443.98500000000001</v>
      </c>
      <c r="L64" s="1">
        <f t="shared" si="22"/>
        <v>-153.10000000000002</v>
      </c>
      <c r="M64" s="1">
        <f t="shared" si="4"/>
        <v>144.6</v>
      </c>
      <c r="N64" s="1">
        <v>146.285</v>
      </c>
      <c r="O64" s="1"/>
      <c r="P64" s="1">
        <v>98.084400000000073</v>
      </c>
      <c r="Q64" s="1">
        <f>IFERROR(VLOOKUP(A64,[1]Sheet!$A:$D,4,0),0)</f>
        <v>0</v>
      </c>
      <c r="R64" s="1">
        <f t="shared" si="5"/>
        <v>28.919999999999998</v>
      </c>
      <c r="S64" s="5">
        <f t="shared" si="23"/>
        <v>46.606599999999901</v>
      </c>
      <c r="T64" s="5"/>
      <c r="U64" s="5">
        <f t="shared" si="12"/>
        <v>46.606599999999901</v>
      </c>
      <c r="V64" s="5">
        <f t="shared" si="6"/>
        <v>46.606599999999901</v>
      </c>
      <c r="W64" s="5"/>
      <c r="X64" s="5"/>
      <c r="Y64" s="5"/>
      <c r="Z64" s="1"/>
      <c r="AA64" s="1"/>
      <c r="AB64" s="1">
        <f t="shared" si="13"/>
        <v>12</v>
      </c>
      <c r="AC64" s="1">
        <f t="shared" si="7"/>
        <v>10.388430152143847</v>
      </c>
      <c r="AD64" s="1">
        <v>35.021999999999998</v>
      </c>
      <c r="AE64" s="1">
        <v>38.9268</v>
      </c>
      <c r="AF64" s="1">
        <v>41.825000000000003</v>
      </c>
      <c r="AG64" s="1">
        <v>31.602799999999998</v>
      </c>
      <c r="AH64" s="1">
        <v>52.027199999999993</v>
      </c>
      <c r="AI64" s="1">
        <v>59.866200000000013</v>
      </c>
      <c r="AJ64" s="1">
        <v>36.925400000000003</v>
      </c>
      <c r="AK64" s="1">
        <v>62.423400000000001</v>
      </c>
      <c r="AL64" s="1"/>
      <c r="AM64" s="1">
        <f t="shared" si="8"/>
        <v>47</v>
      </c>
      <c r="AN64" s="1">
        <f t="shared" si="9"/>
        <v>0</v>
      </c>
      <c r="AO64" s="1">
        <f t="shared" si="10"/>
        <v>0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</row>
    <row r="65" spans="1:55" x14ac:dyDescent="0.25">
      <c r="A65" s="1" t="s">
        <v>108</v>
      </c>
      <c r="B65" s="1" t="s">
        <v>36</v>
      </c>
      <c r="C65" s="1">
        <v>349.59</v>
      </c>
      <c r="D65" s="1">
        <v>821.70699999999999</v>
      </c>
      <c r="E65" s="1">
        <v>514.47699999999998</v>
      </c>
      <c r="F65" s="1">
        <v>287.495</v>
      </c>
      <c r="G65" s="8">
        <v>1</v>
      </c>
      <c r="H65" s="1">
        <v>40</v>
      </c>
      <c r="I65" s="1" t="s">
        <v>39</v>
      </c>
      <c r="J65" s="1"/>
      <c r="K65" s="1">
        <v>809.94100000000003</v>
      </c>
      <c r="L65" s="1">
        <f t="shared" si="22"/>
        <v>-295.46400000000006</v>
      </c>
      <c r="M65" s="1">
        <f t="shared" si="4"/>
        <v>242.036</v>
      </c>
      <c r="N65" s="1">
        <v>272.44099999999997</v>
      </c>
      <c r="O65" s="1"/>
      <c r="P65" s="1">
        <v>39.30499999999995</v>
      </c>
      <c r="Q65" s="1">
        <f>IFERROR(VLOOKUP(A65,[1]Sheet!$A:$D,4,0),0)</f>
        <v>0</v>
      </c>
      <c r="R65" s="1">
        <f t="shared" si="5"/>
        <v>48.407200000000003</v>
      </c>
      <c r="S65" s="5">
        <f t="shared" si="23"/>
        <v>254.08640000000014</v>
      </c>
      <c r="T65" s="5"/>
      <c r="U65" s="5">
        <f t="shared" si="12"/>
        <v>254.08640000000014</v>
      </c>
      <c r="V65" s="5">
        <f t="shared" si="6"/>
        <v>254.08640000000014</v>
      </c>
      <c r="W65" s="5"/>
      <c r="X65" s="5"/>
      <c r="Y65" s="5"/>
      <c r="Z65" s="1"/>
      <c r="AA65" s="1"/>
      <c r="AB65" s="1">
        <f t="shared" si="13"/>
        <v>12.000000000000002</v>
      </c>
      <c r="AC65" s="1">
        <f t="shared" si="7"/>
        <v>6.7510618255135588</v>
      </c>
      <c r="AD65" s="1">
        <v>42.871199999999988</v>
      </c>
      <c r="AE65" s="1">
        <v>60.671799999999998</v>
      </c>
      <c r="AF65" s="1">
        <v>72.136400000000009</v>
      </c>
      <c r="AG65" s="1">
        <v>81.566000000000003</v>
      </c>
      <c r="AH65" s="1">
        <v>95.064999999999998</v>
      </c>
      <c r="AI65" s="1">
        <v>99.543599999999998</v>
      </c>
      <c r="AJ65" s="1">
        <v>85.085399999999993</v>
      </c>
      <c r="AK65" s="1">
        <v>105.01519999999999</v>
      </c>
      <c r="AL65" s="1"/>
      <c r="AM65" s="1">
        <f t="shared" si="8"/>
        <v>254</v>
      </c>
      <c r="AN65" s="1">
        <f t="shared" si="9"/>
        <v>0</v>
      </c>
      <c r="AO65" s="1">
        <f t="shared" si="10"/>
        <v>0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x14ac:dyDescent="0.25">
      <c r="A66" s="1" t="s">
        <v>109</v>
      </c>
      <c r="B66" s="1" t="s">
        <v>36</v>
      </c>
      <c r="C66" s="1">
        <v>39.491</v>
      </c>
      <c r="D66" s="1">
        <v>79.763999999999996</v>
      </c>
      <c r="E66" s="1">
        <v>53.573</v>
      </c>
      <c r="F66" s="1">
        <v>60.97</v>
      </c>
      <c r="G66" s="8">
        <v>1</v>
      </c>
      <c r="H66" s="1">
        <v>30</v>
      </c>
      <c r="I66" s="1" t="s">
        <v>39</v>
      </c>
      <c r="J66" s="1"/>
      <c r="K66" s="1">
        <v>54.6</v>
      </c>
      <c r="L66" s="1">
        <f t="shared" si="22"/>
        <v>-1.027000000000001</v>
      </c>
      <c r="M66" s="1">
        <f t="shared" si="4"/>
        <v>53.573</v>
      </c>
      <c r="N66" s="1"/>
      <c r="O66" s="1"/>
      <c r="P66" s="1">
        <v>32.559399999999997</v>
      </c>
      <c r="Q66" s="1">
        <f>IFERROR(VLOOKUP(A66,[1]Sheet!$A:$D,4,0),0)</f>
        <v>0</v>
      </c>
      <c r="R66" s="1">
        <f t="shared" si="5"/>
        <v>10.714600000000001</v>
      </c>
      <c r="S66" s="5">
        <f t="shared" si="23"/>
        <v>35.0458</v>
      </c>
      <c r="T66" s="5"/>
      <c r="U66" s="5">
        <f t="shared" si="12"/>
        <v>35.0458</v>
      </c>
      <c r="V66" s="5">
        <f t="shared" si="6"/>
        <v>35.0458</v>
      </c>
      <c r="W66" s="5"/>
      <c r="X66" s="5"/>
      <c r="Y66" s="5"/>
      <c r="Z66" s="1"/>
      <c r="AA66" s="1"/>
      <c r="AB66" s="1">
        <f t="shared" si="13"/>
        <v>11.999999999999998</v>
      </c>
      <c r="AC66" s="1">
        <f t="shared" si="7"/>
        <v>8.7291546114647289</v>
      </c>
      <c r="AD66" s="1">
        <v>10.331799999999999</v>
      </c>
      <c r="AE66" s="1">
        <v>9.1194000000000006</v>
      </c>
      <c r="AF66" s="1">
        <v>10.2104</v>
      </c>
      <c r="AG66" s="1">
        <v>11.2958</v>
      </c>
      <c r="AH66" s="1">
        <v>9.4171999999999993</v>
      </c>
      <c r="AI66" s="1">
        <v>8.4593999999999987</v>
      </c>
      <c r="AJ66" s="1">
        <v>10.456</v>
      </c>
      <c r="AK66" s="1">
        <v>9.4792000000000005</v>
      </c>
      <c r="AL66" s="1"/>
      <c r="AM66" s="1">
        <f t="shared" si="8"/>
        <v>35</v>
      </c>
      <c r="AN66" s="1">
        <f t="shared" si="9"/>
        <v>0</v>
      </c>
      <c r="AO66" s="1">
        <f t="shared" si="10"/>
        <v>0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x14ac:dyDescent="0.25">
      <c r="A67" s="1" t="s">
        <v>110</v>
      </c>
      <c r="B67" s="1" t="s">
        <v>43</v>
      </c>
      <c r="C67" s="1">
        <v>57</v>
      </c>
      <c r="D67" s="1">
        <v>209</v>
      </c>
      <c r="E67" s="1">
        <v>97</v>
      </c>
      <c r="F67" s="1">
        <v>168</v>
      </c>
      <c r="G67" s="8">
        <v>0.6</v>
      </c>
      <c r="H67" s="1">
        <v>60</v>
      </c>
      <c r="I67" s="1" t="s">
        <v>39</v>
      </c>
      <c r="J67" s="1"/>
      <c r="K67" s="1">
        <v>97</v>
      </c>
      <c r="L67" s="1">
        <f t="shared" si="22"/>
        <v>0</v>
      </c>
      <c r="M67" s="1">
        <f t="shared" si="4"/>
        <v>97</v>
      </c>
      <c r="N67" s="1"/>
      <c r="O67" s="1"/>
      <c r="P67" s="1">
        <v>21.000000000000089</v>
      </c>
      <c r="Q67" s="1">
        <f>IFERROR(VLOOKUP(A67,[1]Sheet!$A:$D,4,0),0)</f>
        <v>0</v>
      </c>
      <c r="R67" s="1">
        <f t="shared" si="5"/>
        <v>19.399999999999999</v>
      </c>
      <c r="S67" s="5">
        <f t="shared" si="23"/>
        <v>43.799999999999898</v>
      </c>
      <c r="T67" s="5"/>
      <c r="U67" s="5">
        <f t="shared" si="12"/>
        <v>43.799999999999898</v>
      </c>
      <c r="V67" s="5">
        <f t="shared" si="6"/>
        <v>43.799999999999898</v>
      </c>
      <c r="W67" s="5"/>
      <c r="X67" s="5"/>
      <c r="Y67" s="5"/>
      <c r="Z67" s="1"/>
      <c r="AA67" s="1"/>
      <c r="AB67" s="1">
        <f t="shared" si="13"/>
        <v>12</v>
      </c>
      <c r="AC67" s="1">
        <f t="shared" si="7"/>
        <v>9.7422680412371179</v>
      </c>
      <c r="AD67" s="1">
        <v>21.4</v>
      </c>
      <c r="AE67" s="1">
        <v>21.4</v>
      </c>
      <c r="AF67" s="1">
        <v>14.4</v>
      </c>
      <c r="AG67" s="1">
        <v>15.4</v>
      </c>
      <c r="AH67" s="1">
        <v>16.399999999999999</v>
      </c>
      <c r="AI67" s="1">
        <v>16.2</v>
      </c>
      <c r="AJ67" s="1">
        <v>14.6</v>
      </c>
      <c r="AK67" s="1">
        <v>14.6</v>
      </c>
      <c r="AL67" s="1" t="s">
        <v>44</v>
      </c>
      <c r="AM67" s="1">
        <f t="shared" si="8"/>
        <v>26</v>
      </c>
      <c r="AN67" s="1">
        <f t="shared" si="9"/>
        <v>0</v>
      </c>
      <c r="AO67" s="1">
        <f t="shared" si="10"/>
        <v>0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x14ac:dyDescent="0.25">
      <c r="A68" s="16" t="s">
        <v>111</v>
      </c>
      <c r="B68" s="16" t="s">
        <v>43</v>
      </c>
      <c r="C68" s="16"/>
      <c r="D68" s="16"/>
      <c r="E68" s="16"/>
      <c r="F68" s="16"/>
      <c r="G68" s="17">
        <v>0</v>
      </c>
      <c r="H68" s="16">
        <v>50</v>
      </c>
      <c r="I68" s="16" t="s">
        <v>39</v>
      </c>
      <c r="J68" s="16"/>
      <c r="K68" s="16"/>
      <c r="L68" s="16">
        <f t="shared" si="22"/>
        <v>0</v>
      </c>
      <c r="M68" s="16">
        <f t="shared" si="4"/>
        <v>0</v>
      </c>
      <c r="N68" s="16"/>
      <c r="O68" s="16"/>
      <c r="P68" s="16">
        <v>0</v>
      </c>
      <c r="Q68" s="16">
        <f>IFERROR(VLOOKUP(A68,[1]Sheet!$A:$D,4,0),0)</f>
        <v>0</v>
      </c>
      <c r="R68" s="16">
        <f t="shared" si="5"/>
        <v>0</v>
      </c>
      <c r="S68" s="18"/>
      <c r="T68" s="18"/>
      <c r="U68" s="5">
        <f t="shared" si="12"/>
        <v>0</v>
      </c>
      <c r="V68" s="5">
        <f t="shared" si="6"/>
        <v>0</v>
      </c>
      <c r="W68" s="5"/>
      <c r="X68" s="5"/>
      <c r="Y68" s="18"/>
      <c r="Z68" s="16"/>
      <c r="AA68" s="16"/>
      <c r="AB68" s="1" t="e">
        <f t="shared" si="13"/>
        <v>#DIV/0!</v>
      </c>
      <c r="AC68" s="16" t="e">
        <f t="shared" si="7"/>
        <v>#DIV/0!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 t="s">
        <v>55</v>
      </c>
      <c r="AM68" s="1">
        <f t="shared" si="8"/>
        <v>0</v>
      </c>
      <c r="AN68" s="1">
        <f t="shared" si="9"/>
        <v>0</v>
      </c>
      <c r="AO68" s="1">
        <f t="shared" si="10"/>
        <v>0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x14ac:dyDescent="0.25">
      <c r="A69" s="16" t="s">
        <v>112</v>
      </c>
      <c r="B69" s="16" t="s">
        <v>43</v>
      </c>
      <c r="C69" s="16"/>
      <c r="D69" s="16"/>
      <c r="E69" s="16"/>
      <c r="F69" s="16"/>
      <c r="G69" s="17">
        <v>0</v>
      </c>
      <c r="H69" s="16">
        <v>30</v>
      </c>
      <c r="I69" s="16" t="s">
        <v>39</v>
      </c>
      <c r="J69" s="16"/>
      <c r="K69" s="16"/>
      <c r="L69" s="16">
        <f t="shared" si="22"/>
        <v>0</v>
      </c>
      <c r="M69" s="16">
        <f t="shared" si="4"/>
        <v>0</v>
      </c>
      <c r="N69" s="16"/>
      <c r="O69" s="16"/>
      <c r="P69" s="16">
        <v>0</v>
      </c>
      <c r="Q69" s="16">
        <f>IFERROR(VLOOKUP(A69,[1]Sheet!$A:$D,4,0),0)</f>
        <v>0</v>
      </c>
      <c r="R69" s="16">
        <f t="shared" si="5"/>
        <v>0</v>
      </c>
      <c r="S69" s="18"/>
      <c r="T69" s="18"/>
      <c r="U69" s="5">
        <f t="shared" si="12"/>
        <v>0</v>
      </c>
      <c r="V69" s="5">
        <f t="shared" si="6"/>
        <v>0</v>
      </c>
      <c r="W69" s="5"/>
      <c r="X69" s="5"/>
      <c r="Y69" s="18"/>
      <c r="Z69" s="16"/>
      <c r="AA69" s="16"/>
      <c r="AB69" s="1" t="e">
        <f t="shared" si="13"/>
        <v>#DIV/0!</v>
      </c>
      <c r="AC69" s="16" t="e">
        <f t="shared" si="7"/>
        <v>#DIV/0!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 t="s">
        <v>55</v>
      </c>
      <c r="AM69" s="1">
        <f t="shared" si="8"/>
        <v>0</v>
      </c>
      <c r="AN69" s="1">
        <f t="shared" si="9"/>
        <v>0</v>
      </c>
      <c r="AO69" s="1">
        <f t="shared" si="10"/>
        <v>0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x14ac:dyDescent="0.25">
      <c r="A70" s="1" t="s">
        <v>113</v>
      </c>
      <c r="B70" s="1" t="s">
        <v>43</v>
      </c>
      <c r="C70" s="1">
        <v>20</v>
      </c>
      <c r="D70" s="1">
        <v>153</v>
      </c>
      <c r="E70" s="1">
        <v>53</v>
      </c>
      <c r="F70" s="1">
        <v>119</v>
      </c>
      <c r="G70" s="8">
        <v>0.6</v>
      </c>
      <c r="H70" s="1">
        <v>55</v>
      </c>
      <c r="I70" s="1" t="s">
        <v>39</v>
      </c>
      <c r="J70" s="1"/>
      <c r="K70" s="1">
        <v>55</v>
      </c>
      <c r="L70" s="1">
        <f t="shared" ref="L70:L95" si="24">E70-K70</f>
        <v>-2</v>
      </c>
      <c r="M70" s="1">
        <f t="shared" si="4"/>
        <v>53</v>
      </c>
      <c r="N70" s="1"/>
      <c r="O70" s="1"/>
      <c r="P70" s="1">
        <v>22.599999999999991</v>
      </c>
      <c r="Q70" s="1">
        <f>IFERROR(VLOOKUP(A70,[1]Sheet!$A:$D,4,0),0)</f>
        <v>0</v>
      </c>
      <c r="R70" s="1">
        <f t="shared" si="5"/>
        <v>10.6</v>
      </c>
      <c r="S70" s="5"/>
      <c r="T70" s="5"/>
      <c r="U70" s="5">
        <f t="shared" si="12"/>
        <v>0</v>
      </c>
      <c r="V70" s="5">
        <f t="shared" si="6"/>
        <v>0</v>
      </c>
      <c r="W70" s="5"/>
      <c r="X70" s="5"/>
      <c r="Y70" s="5"/>
      <c r="Z70" s="1"/>
      <c r="AA70" s="1"/>
      <c r="AB70" s="1">
        <f t="shared" si="13"/>
        <v>13.358490566037736</v>
      </c>
      <c r="AC70" s="1">
        <f t="shared" si="7"/>
        <v>13.358490566037736</v>
      </c>
      <c r="AD70" s="1">
        <v>15.2</v>
      </c>
      <c r="AE70" s="1">
        <v>16.399999999999999</v>
      </c>
      <c r="AF70" s="1">
        <v>9.4</v>
      </c>
      <c r="AG70" s="1">
        <v>7.2</v>
      </c>
      <c r="AH70" s="1">
        <v>8.6</v>
      </c>
      <c r="AI70" s="1">
        <v>10.8</v>
      </c>
      <c r="AJ70" s="1">
        <v>10.199999999999999</v>
      </c>
      <c r="AK70" s="1">
        <v>10.199999999999999</v>
      </c>
      <c r="AL70" s="1"/>
      <c r="AM70" s="1">
        <f t="shared" si="8"/>
        <v>0</v>
      </c>
      <c r="AN70" s="1">
        <f t="shared" si="9"/>
        <v>0</v>
      </c>
      <c r="AO70" s="1">
        <f t="shared" si="10"/>
        <v>0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x14ac:dyDescent="0.25">
      <c r="A71" s="16" t="s">
        <v>114</v>
      </c>
      <c r="B71" s="16" t="s">
        <v>43</v>
      </c>
      <c r="C71" s="16"/>
      <c r="D71" s="16"/>
      <c r="E71" s="16"/>
      <c r="F71" s="16"/>
      <c r="G71" s="17">
        <v>0</v>
      </c>
      <c r="H71" s="16">
        <v>40</v>
      </c>
      <c r="I71" s="16" t="s">
        <v>39</v>
      </c>
      <c r="J71" s="16"/>
      <c r="K71" s="16"/>
      <c r="L71" s="16">
        <f t="shared" si="24"/>
        <v>0</v>
      </c>
      <c r="M71" s="16">
        <f t="shared" ref="M71:M95" si="25">E71-N71</f>
        <v>0</v>
      </c>
      <c r="N71" s="16"/>
      <c r="O71" s="16"/>
      <c r="P71" s="16">
        <v>0</v>
      </c>
      <c r="Q71" s="16">
        <f>IFERROR(VLOOKUP(A71,[1]Sheet!$A:$D,4,0),0)</f>
        <v>0</v>
      </c>
      <c r="R71" s="16">
        <f t="shared" ref="R71:R95" si="26">M71/5</f>
        <v>0</v>
      </c>
      <c r="S71" s="18"/>
      <c r="T71" s="18"/>
      <c r="U71" s="5">
        <f t="shared" si="12"/>
        <v>0</v>
      </c>
      <c r="V71" s="5">
        <f t="shared" ref="V71:V95" si="27">U71-W71</f>
        <v>0</v>
      </c>
      <c r="W71" s="5"/>
      <c r="X71" s="5"/>
      <c r="Y71" s="18"/>
      <c r="Z71" s="16"/>
      <c r="AA71" s="16"/>
      <c r="AB71" s="1" t="e">
        <f t="shared" si="13"/>
        <v>#DIV/0!</v>
      </c>
      <c r="AC71" s="16" t="e">
        <f t="shared" ref="AC71:AC95" si="28">(F71+O71+P71)/R71</f>
        <v>#DIV/0!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 t="s">
        <v>115</v>
      </c>
      <c r="AM71" s="1">
        <f t="shared" ref="AM71:AM95" si="29">ROUND(G71*V71,0)</f>
        <v>0</v>
      </c>
      <c r="AN71" s="1">
        <f t="shared" ref="AN71:AN95" si="30">ROUND(G71*W71,0)</f>
        <v>0</v>
      </c>
      <c r="AO71" s="1">
        <f t="shared" ref="AO71:AO95" si="31">ROUND(G71*X71,0)</f>
        <v>0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x14ac:dyDescent="0.25">
      <c r="A72" s="1" t="s">
        <v>116</v>
      </c>
      <c r="B72" s="1" t="s">
        <v>43</v>
      </c>
      <c r="C72" s="1">
        <v>55</v>
      </c>
      <c r="D72" s="1">
        <v>109</v>
      </c>
      <c r="E72" s="1">
        <v>60</v>
      </c>
      <c r="F72" s="1">
        <v>100</v>
      </c>
      <c r="G72" s="8">
        <v>0.4</v>
      </c>
      <c r="H72" s="1">
        <v>50</v>
      </c>
      <c r="I72" s="1" t="s">
        <v>39</v>
      </c>
      <c r="J72" s="1"/>
      <c r="K72" s="1">
        <v>61</v>
      </c>
      <c r="L72" s="1">
        <f t="shared" si="24"/>
        <v>-1</v>
      </c>
      <c r="M72" s="1">
        <f t="shared" si="25"/>
        <v>60</v>
      </c>
      <c r="N72" s="1"/>
      <c r="O72" s="1"/>
      <c r="P72" s="1">
        <v>0</v>
      </c>
      <c r="Q72" s="1">
        <f>IFERROR(VLOOKUP(A72,[1]Sheet!$A:$D,4,0),0)</f>
        <v>0</v>
      </c>
      <c r="R72" s="1">
        <f t="shared" si="26"/>
        <v>12</v>
      </c>
      <c r="S72" s="5">
        <f>12*R72-P72-O72-F72</f>
        <v>44</v>
      </c>
      <c r="T72" s="5"/>
      <c r="U72" s="5">
        <f t="shared" ref="U72:U95" si="32">T72+S72</f>
        <v>44</v>
      </c>
      <c r="V72" s="5">
        <f t="shared" si="27"/>
        <v>44</v>
      </c>
      <c r="W72" s="5"/>
      <c r="X72" s="5"/>
      <c r="Y72" s="5"/>
      <c r="Z72" s="1"/>
      <c r="AA72" s="1"/>
      <c r="AB72" s="1">
        <f t="shared" ref="AB72:AB95" si="33">(F72+O72+P72+U72)/R72</f>
        <v>12</v>
      </c>
      <c r="AC72" s="1">
        <f t="shared" si="28"/>
        <v>8.3333333333333339</v>
      </c>
      <c r="AD72" s="1">
        <v>9</v>
      </c>
      <c r="AE72" s="1">
        <v>13.4</v>
      </c>
      <c r="AF72" s="1">
        <v>11</v>
      </c>
      <c r="AG72" s="1">
        <v>6.2</v>
      </c>
      <c r="AH72" s="1">
        <v>8.8000000000000007</v>
      </c>
      <c r="AI72" s="1">
        <v>11</v>
      </c>
      <c r="AJ72" s="1">
        <v>11.8</v>
      </c>
      <c r="AK72" s="1">
        <v>10.199999999999999</v>
      </c>
      <c r="AL72" s="1" t="s">
        <v>44</v>
      </c>
      <c r="AM72" s="1">
        <f t="shared" si="29"/>
        <v>18</v>
      </c>
      <c r="AN72" s="1">
        <f t="shared" si="30"/>
        <v>0</v>
      </c>
      <c r="AO72" s="1">
        <f t="shared" si="31"/>
        <v>0</v>
      </c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x14ac:dyDescent="0.25">
      <c r="A73" s="16" t="s">
        <v>117</v>
      </c>
      <c r="B73" s="16" t="s">
        <v>43</v>
      </c>
      <c r="C73" s="16"/>
      <c r="D73" s="16"/>
      <c r="E73" s="16"/>
      <c r="F73" s="16"/>
      <c r="G73" s="17">
        <v>0</v>
      </c>
      <c r="H73" s="16">
        <v>55</v>
      </c>
      <c r="I73" s="16" t="s">
        <v>39</v>
      </c>
      <c r="J73" s="16"/>
      <c r="K73" s="16"/>
      <c r="L73" s="16">
        <f t="shared" si="24"/>
        <v>0</v>
      </c>
      <c r="M73" s="16">
        <f t="shared" si="25"/>
        <v>0</v>
      </c>
      <c r="N73" s="16"/>
      <c r="O73" s="16"/>
      <c r="P73" s="16">
        <v>0</v>
      </c>
      <c r="Q73" s="16">
        <f>IFERROR(VLOOKUP(A73,[1]Sheet!$A:$D,4,0),0)</f>
        <v>0</v>
      </c>
      <c r="R73" s="16">
        <f t="shared" si="26"/>
        <v>0</v>
      </c>
      <c r="S73" s="18"/>
      <c r="T73" s="18"/>
      <c r="U73" s="5">
        <f t="shared" si="32"/>
        <v>0</v>
      </c>
      <c r="V73" s="5">
        <f t="shared" si="27"/>
        <v>0</v>
      </c>
      <c r="W73" s="5"/>
      <c r="X73" s="5"/>
      <c r="Y73" s="18"/>
      <c r="Z73" s="16"/>
      <c r="AA73" s="16"/>
      <c r="AB73" s="1" t="e">
        <f t="shared" si="33"/>
        <v>#DIV/0!</v>
      </c>
      <c r="AC73" s="16" t="e">
        <f t="shared" si="28"/>
        <v>#DIV/0!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 t="s">
        <v>118</v>
      </c>
      <c r="AM73" s="1">
        <f t="shared" si="29"/>
        <v>0</v>
      </c>
      <c r="AN73" s="1">
        <f t="shared" si="30"/>
        <v>0</v>
      </c>
      <c r="AO73" s="1">
        <f t="shared" si="31"/>
        <v>0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x14ac:dyDescent="0.25">
      <c r="A74" s="1" t="s">
        <v>119</v>
      </c>
      <c r="B74" s="1" t="s">
        <v>36</v>
      </c>
      <c r="C74" s="1">
        <v>8.6649999999999991</v>
      </c>
      <c r="D74" s="1">
        <v>34.5</v>
      </c>
      <c r="E74" s="1">
        <v>11.555999999999999</v>
      </c>
      <c r="F74" s="1">
        <v>31.609000000000002</v>
      </c>
      <c r="G74" s="8">
        <v>1</v>
      </c>
      <c r="H74" s="1">
        <v>55</v>
      </c>
      <c r="I74" s="1" t="s">
        <v>39</v>
      </c>
      <c r="J74" s="1"/>
      <c r="K74" s="1">
        <v>10.3</v>
      </c>
      <c r="L74" s="1">
        <f t="shared" si="24"/>
        <v>1.2559999999999985</v>
      </c>
      <c r="M74" s="1">
        <f t="shared" si="25"/>
        <v>11.555999999999999</v>
      </c>
      <c r="N74" s="1"/>
      <c r="O74" s="1"/>
      <c r="P74" s="1">
        <v>0</v>
      </c>
      <c r="Q74" s="1">
        <f>IFERROR(VLOOKUP(A74,[1]Sheet!$A:$D,4,0),0)</f>
        <v>0</v>
      </c>
      <c r="R74" s="1">
        <f t="shared" si="26"/>
        <v>2.3111999999999999</v>
      </c>
      <c r="S74" s="5"/>
      <c r="T74" s="5"/>
      <c r="U74" s="5">
        <f t="shared" si="32"/>
        <v>0</v>
      </c>
      <c r="V74" s="5">
        <f t="shared" si="27"/>
        <v>0</v>
      </c>
      <c r="W74" s="5"/>
      <c r="X74" s="5"/>
      <c r="Y74" s="5"/>
      <c r="Z74" s="1"/>
      <c r="AA74" s="1"/>
      <c r="AB74" s="1">
        <f t="shared" si="33"/>
        <v>13.676445136725512</v>
      </c>
      <c r="AC74" s="1">
        <f t="shared" si="28"/>
        <v>13.676445136725512</v>
      </c>
      <c r="AD74" s="1">
        <v>2.8879999999999999</v>
      </c>
      <c r="AE74" s="1">
        <v>2.5996000000000001</v>
      </c>
      <c r="AF74" s="1">
        <v>1.7298</v>
      </c>
      <c r="AG74" s="1">
        <v>2.2995999999999999</v>
      </c>
      <c r="AH74" s="1">
        <v>1.7254</v>
      </c>
      <c r="AI74" s="1">
        <v>0</v>
      </c>
      <c r="AJ74" s="1">
        <v>0</v>
      </c>
      <c r="AK74" s="1">
        <v>0.2868</v>
      </c>
      <c r="AL74" s="1"/>
      <c r="AM74" s="1">
        <f t="shared" si="29"/>
        <v>0</v>
      </c>
      <c r="AN74" s="1">
        <f t="shared" si="30"/>
        <v>0</v>
      </c>
      <c r="AO74" s="1">
        <f t="shared" si="31"/>
        <v>0</v>
      </c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x14ac:dyDescent="0.25">
      <c r="A75" s="1" t="s">
        <v>120</v>
      </c>
      <c r="B75" s="1" t="s">
        <v>36</v>
      </c>
      <c r="C75" s="1">
        <v>2311.085</v>
      </c>
      <c r="D75" s="1">
        <v>4443.8450000000003</v>
      </c>
      <c r="E75" s="1">
        <v>2130.5149999999999</v>
      </c>
      <c r="F75" s="1">
        <v>3186.922</v>
      </c>
      <c r="G75" s="8">
        <v>1</v>
      </c>
      <c r="H75" s="1">
        <v>60</v>
      </c>
      <c r="I75" s="1" t="s">
        <v>39</v>
      </c>
      <c r="J75" s="1"/>
      <c r="K75" s="1">
        <v>2338.67</v>
      </c>
      <c r="L75" s="1">
        <f t="shared" si="24"/>
        <v>-208.1550000000002</v>
      </c>
      <c r="M75" s="1">
        <f t="shared" si="25"/>
        <v>2130.5149999999999</v>
      </c>
      <c r="N75" s="1"/>
      <c r="O75" s="1">
        <v>539.69544000000008</v>
      </c>
      <c r="P75" s="1">
        <v>0</v>
      </c>
      <c r="Q75" s="1">
        <f>IFERROR(VLOOKUP(A75,[1]Sheet!$A:$D,4,0),0)</f>
        <v>0</v>
      </c>
      <c r="R75" s="1">
        <f t="shared" si="26"/>
        <v>426.10299999999995</v>
      </c>
      <c r="S75" s="5">
        <f t="shared" ref="S75:S86" si="34">12*R75-P75-O75-F75</f>
        <v>1386.6185599999985</v>
      </c>
      <c r="T75" s="5">
        <f>$T$1*R75</f>
        <v>553.93389999999999</v>
      </c>
      <c r="U75" s="5">
        <f t="shared" si="32"/>
        <v>1940.5524599999985</v>
      </c>
      <c r="V75" s="5">
        <f t="shared" si="27"/>
        <v>740.55245999999852</v>
      </c>
      <c r="W75" s="5">
        <v>1200</v>
      </c>
      <c r="X75" s="5">
        <f>$X$1*R75</f>
        <v>703.06994999999984</v>
      </c>
      <c r="Y75" s="5"/>
      <c r="Z75" s="1"/>
      <c r="AA75" s="1"/>
      <c r="AB75" s="1">
        <f t="shared" si="33"/>
        <v>13.299999999999999</v>
      </c>
      <c r="AC75" s="1">
        <f t="shared" si="28"/>
        <v>8.7458136647711946</v>
      </c>
      <c r="AD75" s="1">
        <v>356.89120000000003</v>
      </c>
      <c r="AE75" s="1">
        <v>449.74619999999999</v>
      </c>
      <c r="AF75" s="1">
        <v>438.57800000000009</v>
      </c>
      <c r="AG75" s="1">
        <v>343.56400000000002</v>
      </c>
      <c r="AH75" s="1">
        <v>445.36980000000011</v>
      </c>
      <c r="AI75" s="1">
        <v>401.02140000000003</v>
      </c>
      <c r="AJ75" s="1">
        <v>365.46319999999997</v>
      </c>
      <c r="AK75" s="1">
        <v>306.22660000000002</v>
      </c>
      <c r="AL75" s="1" t="s">
        <v>50</v>
      </c>
      <c r="AM75" s="1">
        <f t="shared" si="29"/>
        <v>741</v>
      </c>
      <c r="AN75" s="1">
        <f t="shared" si="30"/>
        <v>1200</v>
      </c>
      <c r="AO75" s="1">
        <f t="shared" si="31"/>
        <v>703</v>
      </c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x14ac:dyDescent="0.25">
      <c r="A76" s="1" t="s">
        <v>121</v>
      </c>
      <c r="B76" s="1" t="s">
        <v>36</v>
      </c>
      <c r="C76" s="1">
        <v>1869.144</v>
      </c>
      <c r="D76" s="1">
        <v>1537.72</v>
      </c>
      <c r="E76" s="1">
        <v>802.279</v>
      </c>
      <c r="F76" s="1">
        <v>1906.2360000000001</v>
      </c>
      <c r="G76" s="8">
        <v>1</v>
      </c>
      <c r="H76" s="1">
        <v>60</v>
      </c>
      <c r="I76" s="1" t="s">
        <v>39</v>
      </c>
      <c r="J76" s="1"/>
      <c r="K76" s="1">
        <v>1041.5350000000001</v>
      </c>
      <c r="L76" s="1">
        <f t="shared" si="24"/>
        <v>-239.25600000000009</v>
      </c>
      <c r="M76" s="1">
        <f t="shared" si="25"/>
        <v>726.99400000000003</v>
      </c>
      <c r="N76" s="1">
        <v>75.284999999999997</v>
      </c>
      <c r="O76" s="1">
        <v>260.51208000000003</v>
      </c>
      <c r="P76" s="1">
        <v>0</v>
      </c>
      <c r="Q76" s="1">
        <f>IFERROR(VLOOKUP(A76,[1]Sheet!$A:$D,4,0),0)</f>
        <v>0</v>
      </c>
      <c r="R76" s="1">
        <f t="shared" si="26"/>
        <v>145.39879999999999</v>
      </c>
      <c r="S76" s="5"/>
      <c r="T76" s="5"/>
      <c r="U76" s="5">
        <f t="shared" si="32"/>
        <v>0</v>
      </c>
      <c r="V76" s="5">
        <f t="shared" si="27"/>
        <v>0</v>
      </c>
      <c r="W76" s="5"/>
      <c r="X76" s="5"/>
      <c r="Y76" s="5"/>
      <c r="Z76" s="1"/>
      <c r="AA76" s="1"/>
      <c r="AB76" s="1">
        <f t="shared" si="33"/>
        <v>14.902104281465874</v>
      </c>
      <c r="AC76" s="1">
        <f t="shared" si="28"/>
        <v>14.902104281465874</v>
      </c>
      <c r="AD76" s="1">
        <v>123.854</v>
      </c>
      <c r="AE76" s="1">
        <v>217.0934</v>
      </c>
      <c r="AF76" s="1">
        <v>212.60059999999999</v>
      </c>
      <c r="AG76" s="1">
        <v>128.0436</v>
      </c>
      <c r="AH76" s="1">
        <v>281.48399999999998</v>
      </c>
      <c r="AI76" s="1">
        <v>153.85640000000001</v>
      </c>
      <c r="AJ76" s="1">
        <v>127.7578</v>
      </c>
      <c r="AK76" s="1">
        <v>126.42919999999999</v>
      </c>
      <c r="AL76" s="1"/>
      <c r="AM76" s="1">
        <f t="shared" si="29"/>
        <v>0</v>
      </c>
      <c r="AN76" s="1">
        <f t="shared" si="30"/>
        <v>0</v>
      </c>
      <c r="AO76" s="1">
        <f t="shared" si="31"/>
        <v>0</v>
      </c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x14ac:dyDescent="0.25">
      <c r="A77" s="1" t="s">
        <v>122</v>
      </c>
      <c r="B77" s="1" t="s">
        <v>36</v>
      </c>
      <c r="C77" s="1">
        <v>220.55500000000001</v>
      </c>
      <c r="D77" s="1">
        <v>3158.319</v>
      </c>
      <c r="E77" s="1">
        <v>1353.444</v>
      </c>
      <c r="F77" s="1">
        <v>1371.97</v>
      </c>
      <c r="G77" s="8">
        <v>1</v>
      </c>
      <c r="H77" s="1">
        <v>60</v>
      </c>
      <c r="I77" s="1" t="s">
        <v>39</v>
      </c>
      <c r="J77" s="1"/>
      <c r="K77" s="1">
        <v>1759.1659999999999</v>
      </c>
      <c r="L77" s="1">
        <f t="shared" si="24"/>
        <v>-405.72199999999998</v>
      </c>
      <c r="M77" s="1">
        <f t="shared" si="25"/>
        <v>943.37799999999993</v>
      </c>
      <c r="N77" s="1">
        <v>410.06599999999997</v>
      </c>
      <c r="O77" s="1">
        <v>266.6268</v>
      </c>
      <c r="P77" s="1">
        <v>424.14390000000009</v>
      </c>
      <c r="Q77" s="1">
        <f>IFERROR(VLOOKUP(A77,[1]Sheet!$A:$D,4,0),0)</f>
        <v>0</v>
      </c>
      <c r="R77" s="1">
        <f t="shared" si="26"/>
        <v>188.67559999999997</v>
      </c>
      <c r="S77" s="5">
        <f t="shared" si="34"/>
        <v>201.36649999999941</v>
      </c>
      <c r="T77" s="5">
        <f t="shared" ref="T77:T78" si="35">$T$1*R77</f>
        <v>245.27827999999997</v>
      </c>
      <c r="U77" s="5">
        <f t="shared" si="32"/>
        <v>446.6447799999994</v>
      </c>
      <c r="V77" s="5">
        <f t="shared" si="27"/>
        <v>176.6447799999994</v>
      </c>
      <c r="W77" s="5">
        <v>270</v>
      </c>
      <c r="X77" s="5">
        <f t="shared" ref="X77:X78" si="36">$X$1*R77</f>
        <v>311.31473999999992</v>
      </c>
      <c r="Y77" s="5"/>
      <c r="Z77" s="1"/>
      <c r="AA77" s="1"/>
      <c r="AB77" s="1">
        <f t="shared" si="33"/>
        <v>13.3</v>
      </c>
      <c r="AC77" s="1">
        <f t="shared" si="28"/>
        <v>10.9327369304775</v>
      </c>
      <c r="AD77" s="1">
        <v>191.93440000000001</v>
      </c>
      <c r="AE77" s="1">
        <v>222.18899999999999</v>
      </c>
      <c r="AF77" s="1">
        <v>257.75979999999998</v>
      </c>
      <c r="AG77" s="1">
        <v>241.37219999999999</v>
      </c>
      <c r="AH77" s="1">
        <v>245.13919999999999</v>
      </c>
      <c r="AI77" s="1">
        <v>251.12299999999999</v>
      </c>
      <c r="AJ77" s="1">
        <v>248.63159999999999</v>
      </c>
      <c r="AK77" s="1">
        <v>266.42500000000001</v>
      </c>
      <c r="AL77" s="1" t="s">
        <v>123</v>
      </c>
      <c r="AM77" s="1">
        <f t="shared" si="29"/>
        <v>177</v>
      </c>
      <c r="AN77" s="1">
        <f t="shared" si="30"/>
        <v>270</v>
      </c>
      <c r="AO77" s="1">
        <f t="shared" si="31"/>
        <v>311</v>
      </c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x14ac:dyDescent="0.25">
      <c r="A78" s="1" t="s">
        <v>124</v>
      </c>
      <c r="B78" s="1" t="s">
        <v>36</v>
      </c>
      <c r="C78" s="1">
        <v>2584.9720000000002</v>
      </c>
      <c r="D78" s="1">
        <v>5082.2349999999997</v>
      </c>
      <c r="E78" s="1">
        <v>2259.9279999999999</v>
      </c>
      <c r="F78" s="1">
        <v>3394.7950000000001</v>
      </c>
      <c r="G78" s="8">
        <v>1</v>
      </c>
      <c r="H78" s="1">
        <v>60</v>
      </c>
      <c r="I78" s="1" t="s">
        <v>39</v>
      </c>
      <c r="J78" s="1"/>
      <c r="K78" s="1">
        <v>3011.931</v>
      </c>
      <c r="L78" s="1">
        <f t="shared" si="24"/>
        <v>-752.00300000000016</v>
      </c>
      <c r="M78" s="1">
        <f t="shared" si="25"/>
        <v>2093.8429999999998</v>
      </c>
      <c r="N78" s="1">
        <v>166.08500000000001</v>
      </c>
      <c r="O78" s="1"/>
      <c r="P78" s="1">
        <v>559.82680000000028</v>
      </c>
      <c r="Q78" s="1">
        <f>IFERROR(VLOOKUP(A78,[1]Sheet!$A:$D,4,0),0)</f>
        <v>140</v>
      </c>
      <c r="R78" s="1">
        <f t="shared" si="26"/>
        <v>418.76859999999999</v>
      </c>
      <c r="S78" s="5">
        <f t="shared" si="34"/>
        <v>1070.6013999999996</v>
      </c>
      <c r="T78" s="5">
        <f t="shared" si="35"/>
        <v>544.39918</v>
      </c>
      <c r="U78" s="5">
        <f t="shared" si="32"/>
        <v>1615.0005799999994</v>
      </c>
      <c r="V78" s="5">
        <f t="shared" si="27"/>
        <v>615.00057999999945</v>
      </c>
      <c r="W78" s="5">
        <v>1000</v>
      </c>
      <c r="X78" s="5">
        <f t="shared" si="36"/>
        <v>690.96818999999994</v>
      </c>
      <c r="Y78" s="5"/>
      <c r="Z78" s="1"/>
      <c r="AA78" s="1"/>
      <c r="AB78" s="1">
        <f t="shared" si="33"/>
        <v>13.299999999999999</v>
      </c>
      <c r="AC78" s="1">
        <f t="shared" si="28"/>
        <v>9.4434534967521451</v>
      </c>
      <c r="AD78" s="1">
        <v>363.77280000000002</v>
      </c>
      <c r="AE78" s="1">
        <v>424.80040000000002</v>
      </c>
      <c r="AF78" s="1">
        <v>503.06060000000002</v>
      </c>
      <c r="AG78" s="1">
        <v>405.0668</v>
      </c>
      <c r="AH78" s="1">
        <v>491.63380000000001</v>
      </c>
      <c r="AI78" s="1">
        <v>336.88099999999997</v>
      </c>
      <c r="AJ78" s="1">
        <v>323.82159999999999</v>
      </c>
      <c r="AK78" s="1">
        <v>264.303</v>
      </c>
      <c r="AL78" s="1" t="s">
        <v>50</v>
      </c>
      <c r="AM78" s="1">
        <f t="shared" si="29"/>
        <v>615</v>
      </c>
      <c r="AN78" s="1">
        <f t="shared" si="30"/>
        <v>1000</v>
      </c>
      <c r="AO78" s="1">
        <f t="shared" si="31"/>
        <v>691</v>
      </c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x14ac:dyDescent="0.25">
      <c r="A79" s="1" t="s">
        <v>125</v>
      </c>
      <c r="B79" s="1" t="s">
        <v>36</v>
      </c>
      <c r="C79" s="1">
        <v>203.678</v>
      </c>
      <c r="D79" s="1">
        <v>25.009</v>
      </c>
      <c r="E79" s="1">
        <v>24.48</v>
      </c>
      <c r="F79" s="1">
        <v>179.56899999999999</v>
      </c>
      <c r="G79" s="8">
        <v>1</v>
      </c>
      <c r="H79" s="1">
        <v>60</v>
      </c>
      <c r="I79" s="1" t="s">
        <v>39</v>
      </c>
      <c r="J79" s="1"/>
      <c r="K79" s="1">
        <v>36.496000000000002</v>
      </c>
      <c r="L79" s="1">
        <f t="shared" si="24"/>
        <v>-12.016000000000002</v>
      </c>
      <c r="M79" s="1">
        <f t="shared" si="25"/>
        <v>11.984</v>
      </c>
      <c r="N79" s="1">
        <v>12.496</v>
      </c>
      <c r="O79" s="1"/>
      <c r="P79" s="1">
        <v>0</v>
      </c>
      <c r="Q79" s="1">
        <f>IFERROR(VLOOKUP(A79,[1]Sheet!$A:$D,4,0),0)</f>
        <v>0</v>
      </c>
      <c r="R79" s="1">
        <f t="shared" si="26"/>
        <v>2.3967999999999998</v>
      </c>
      <c r="S79" s="5"/>
      <c r="T79" s="5"/>
      <c r="U79" s="5">
        <f t="shared" si="32"/>
        <v>0</v>
      </c>
      <c r="V79" s="5">
        <f t="shared" si="27"/>
        <v>0</v>
      </c>
      <c r="W79" s="5"/>
      <c r="X79" s="5"/>
      <c r="Y79" s="5"/>
      <c r="Z79" s="1"/>
      <c r="AA79" s="1"/>
      <c r="AB79" s="1">
        <f t="shared" si="33"/>
        <v>74.920310413885176</v>
      </c>
      <c r="AC79" s="1">
        <f t="shared" si="28"/>
        <v>74.920310413885176</v>
      </c>
      <c r="AD79" s="1">
        <v>0</v>
      </c>
      <c r="AE79" s="1">
        <v>2.4283999999999999</v>
      </c>
      <c r="AF79" s="1">
        <v>0</v>
      </c>
      <c r="AG79" s="1">
        <v>5.8215999999999992</v>
      </c>
      <c r="AH79" s="1">
        <v>1.2829999999999999</v>
      </c>
      <c r="AI79" s="1">
        <v>0.79899999999999982</v>
      </c>
      <c r="AJ79" s="1">
        <v>0.48000000000000009</v>
      </c>
      <c r="AK79" s="1">
        <v>0</v>
      </c>
      <c r="AL79" s="21" t="s">
        <v>57</v>
      </c>
      <c r="AM79" s="1">
        <f t="shared" si="29"/>
        <v>0</v>
      </c>
      <c r="AN79" s="1">
        <f t="shared" si="30"/>
        <v>0</v>
      </c>
      <c r="AO79" s="1">
        <f t="shared" si="31"/>
        <v>0</v>
      </c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x14ac:dyDescent="0.25">
      <c r="A80" s="1" t="s">
        <v>126</v>
      </c>
      <c r="B80" s="1" t="s">
        <v>43</v>
      </c>
      <c r="C80" s="1">
        <v>47</v>
      </c>
      <c r="D80" s="1">
        <v>181</v>
      </c>
      <c r="E80" s="1">
        <v>81</v>
      </c>
      <c r="F80" s="1">
        <v>139</v>
      </c>
      <c r="G80" s="8">
        <v>0.3</v>
      </c>
      <c r="H80" s="1">
        <v>40</v>
      </c>
      <c r="I80" s="1" t="s">
        <v>39</v>
      </c>
      <c r="J80" s="1"/>
      <c r="K80" s="1">
        <v>87</v>
      </c>
      <c r="L80" s="1">
        <f t="shared" si="24"/>
        <v>-6</v>
      </c>
      <c r="M80" s="1">
        <f t="shared" si="25"/>
        <v>81</v>
      </c>
      <c r="N80" s="1"/>
      <c r="O80" s="1"/>
      <c r="P80" s="1">
        <v>10.200000000000051</v>
      </c>
      <c r="Q80" s="1">
        <f>IFERROR(VLOOKUP(A80,[1]Sheet!$A:$D,4,0),0)</f>
        <v>0</v>
      </c>
      <c r="R80" s="1">
        <f t="shared" si="26"/>
        <v>16.2</v>
      </c>
      <c r="S80" s="5">
        <f t="shared" si="34"/>
        <v>45.199999999999932</v>
      </c>
      <c r="T80" s="5"/>
      <c r="U80" s="5">
        <f t="shared" si="32"/>
        <v>45.199999999999932</v>
      </c>
      <c r="V80" s="5">
        <f t="shared" si="27"/>
        <v>45.199999999999932</v>
      </c>
      <c r="W80" s="5"/>
      <c r="X80" s="5"/>
      <c r="Y80" s="5"/>
      <c r="Z80" s="1"/>
      <c r="AA80" s="1"/>
      <c r="AB80" s="1">
        <f t="shared" si="33"/>
        <v>12</v>
      </c>
      <c r="AC80" s="1">
        <f t="shared" si="28"/>
        <v>9.2098765432098801</v>
      </c>
      <c r="AD80" s="1">
        <v>16.600000000000001</v>
      </c>
      <c r="AE80" s="1">
        <v>18</v>
      </c>
      <c r="AF80" s="1">
        <v>18.600000000000001</v>
      </c>
      <c r="AG80" s="1">
        <v>16.2</v>
      </c>
      <c r="AH80" s="1">
        <v>16.2</v>
      </c>
      <c r="AI80" s="1">
        <v>16.600000000000001</v>
      </c>
      <c r="AJ80" s="1">
        <v>15.2</v>
      </c>
      <c r="AK80" s="1">
        <v>16</v>
      </c>
      <c r="AL80" s="1"/>
      <c r="AM80" s="1">
        <f t="shared" si="29"/>
        <v>14</v>
      </c>
      <c r="AN80" s="1">
        <f t="shared" si="30"/>
        <v>0</v>
      </c>
      <c r="AO80" s="1">
        <f t="shared" si="31"/>
        <v>0</v>
      </c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x14ac:dyDescent="0.25">
      <c r="A81" s="1" t="s">
        <v>127</v>
      </c>
      <c r="B81" s="1" t="s">
        <v>43</v>
      </c>
      <c r="C81" s="1">
        <v>79</v>
      </c>
      <c r="D81" s="1">
        <v>72</v>
      </c>
      <c r="E81" s="1">
        <v>63</v>
      </c>
      <c r="F81" s="1">
        <v>86</v>
      </c>
      <c r="G81" s="8">
        <v>7.0000000000000007E-2</v>
      </c>
      <c r="H81" s="1">
        <v>90</v>
      </c>
      <c r="I81" s="1" t="s">
        <v>39</v>
      </c>
      <c r="J81" s="1"/>
      <c r="K81" s="1">
        <v>63</v>
      </c>
      <c r="L81" s="1">
        <f t="shared" si="24"/>
        <v>0</v>
      </c>
      <c r="M81" s="1">
        <f t="shared" si="25"/>
        <v>63</v>
      </c>
      <c r="N81" s="1"/>
      <c r="O81" s="1"/>
      <c r="P81" s="1">
        <v>10.80000000000001</v>
      </c>
      <c r="Q81" s="1">
        <f>IFERROR(VLOOKUP(A81,[1]Sheet!$A:$D,4,0),0)</f>
        <v>0</v>
      </c>
      <c r="R81" s="1">
        <f t="shared" si="26"/>
        <v>12.6</v>
      </c>
      <c r="S81" s="5">
        <f t="shared" si="34"/>
        <v>54.399999999999977</v>
      </c>
      <c r="T81" s="5"/>
      <c r="U81" s="5">
        <f t="shared" si="32"/>
        <v>54.399999999999977</v>
      </c>
      <c r="V81" s="5">
        <f t="shared" si="27"/>
        <v>54.399999999999977</v>
      </c>
      <c r="W81" s="5"/>
      <c r="X81" s="5"/>
      <c r="Y81" s="5"/>
      <c r="Z81" s="1"/>
      <c r="AA81" s="1"/>
      <c r="AB81" s="1">
        <f t="shared" si="33"/>
        <v>12</v>
      </c>
      <c r="AC81" s="1">
        <f t="shared" si="28"/>
        <v>7.6825396825396837</v>
      </c>
      <c r="AD81" s="1">
        <v>10.8</v>
      </c>
      <c r="AE81" s="1">
        <v>12</v>
      </c>
      <c r="AF81" s="1">
        <v>13</v>
      </c>
      <c r="AG81" s="1">
        <v>12</v>
      </c>
      <c r="AH81" s="1">
        <v>14.4</v>
      </c>
      <c r="AI81" s="1">
        <v>15.6</v>
      </c>
      <c r="AJ81" s="1">
        <v>13.4</v>
      </c>
      <c r="AK81" s="1">
        <v>13.4</v>
      </c>
      <c r="AL81" s="1"/>
      <c r="AM81" s="1">
        <f t="shared" si="29"/>
        <v>4</v>
      </c>
      <c r="AN81" s="1">
        <f t="shared" si="30"/>
        <v>0</v>
      </c>
      <c r="AO81" s="1">
        <f t="shared" si="31"/>
        <v>0</v>
      </c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x14ac:dyDescent="0.25">
      <c r="A82" s="1" t="s">
        <v>128</v>
      </c>
      <c r="B82" s="1" t="s">
        <v>43</v>
      </c>
      <c r="C82" s="1">
        <v>98</v>
      </c>
      <c r="D82" s="1">
        <v>144</v>
      </c>
      <c r="E82" s="1">
        <v>65</v>
      </c>
      <c r="F82" s="1">
        <v>174</v>
      </c>
      <c r="G82" s="8">
        <v>7.0000000000000007E-2</v>
      </c>
      <c r="H82" s="1">
        <v>90</v>
      </c>
      <c r="I82" s="1" t="s">
        <v>39</v>
      </c>
      <c r="J82" s="1"/>
      <c r="K82" s="1">
        <v>65</v>
      </c>
      <c r="L82" s="1">
        <f t="shared" si="24"/>
        <v>0</v>
      </c>
      <c r="M82" s="1">
        <f t="shared" si="25"/>
        <v>65</v>
      </c>
      <c r="N82" s="1"/>
      <c r="O82" s="1"/>
      <c r="P82" s="1">
        <v>0</v>
      </c>
      <c r="Q82" s="1">
        <f>IFERROR(VLOOKUP(A82,[1]Sheet!$A:$D,4,0),0)</f>
        <v>0</v>
      </c>
      <c r="R82" s="1">
        <f t="shared" si="26"/>
        <v>13</v>
      </c>
      <c r="S82" s="5"/>
      <c r="T82" s="5"/>
      <c r="U82" s="5">
        <f t="shared" si="32"/>
        <v>0</v>
      </c>
      <c r="V82" s="5">
        <f t="shared" si="27"/>
        <v>0</v>
      </c>
      <c r="W82" s="5"/>
      <c r="X82" s="5"/>
      <c r="Y82" s="5"/>
      <c r="Z82" s="1"/>
      <c r="AA82" s="1"/>
      <c r="AB82" s="1">
        <f t="shared" si="33"/>
        <v>13.384615384615385</v>
      </c>
      <c r="AC82" s="1">
        <f t="shared" si="28"/>
        <v>13.384615384615385</v>
      </c>
      <c r="AD82" s="1">
        <v>12.2</v>
      </c>
      <c r="AE82" s="1">
        <v>18</v>
      </c>
      <c r="AF82" s="1">
        <v>19.600000000000001</v>
      </c>
      <c r="AG82" s="1">
        <v>14.4</v>
      </c>
      <c r="AH82" s="1">
        <v>18</v>
      </c>
      <c r="AI82" s="1">
        <v>15.2</v>
      </c>
      <c r="AJ82" s="1">
        <v>10.6</v>
      </c>
      <c r="AK82" s="1">
        <v>14.4</v>
      </c>
      <c r="AL82" s="1"/>
      <c r="AM82" s="1">
        <f t="shared" si="29"/>
        <v>0</v>
      </c>
      <c r="AN82" s="1">
        <f t="shared" si="30"/>
        <v>0</v>
      </c>
      <c r="AO82" s="1">
        <f t="shared" si="31"/>
        <v>0</v>
      </c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x14ac:dyDescent="0.25">
      <c r="A83" s="1" t="s">
        <v>129</v>
      </c>
      <c r="B83" s="1" t="s">
        <v>43</v>
      </c>
      <c r="C83" s="1">
        <v>68</v>
      </c>
      <c r="D83" s="1">
        <v>108</v>
      </c>
      <c r="E83" s="1">
        <v>45</v>
      </c>
      <c r="F83" s="1">
        <v>127</v>
      </c>
      <c r="G83" s="8">
        <v>7.0000000000000007E-2</v>
      </c>
      <c r="H83" s="1">
        <v>90</v>
      </c>
      <c r="I83" s="1" t="s">
        <v>39</v>
      </c>
      <c r="J83" s="1"/>
      <c r="K83" s="1">
        <v>46</v>
      </c>
      <c r="L83" s="1">
        <f t="shared" si="24"/>
        <v>-1</v>
      </c>
      <c r="M83" s="1">
        <f t="shared" si="25"/>
        <v>45</v>
      </c>
      <c r="N83" s="1"/>
      <c r="O83" s="1"/>
      <c r="P83" s="1">
        <v>0</v>
      </c>
      <c r="Q83" s="1">
        <f>IFERROR(VLOOKUP(A83,[1]Sheet!$A:$D,4,0),0)</f>
        <v>0</v>
      </c>
      <c r="R83" s="1">
        <f t="shared" si="26"/>
        <v>9</v>
      </c>
      <c r="S83" s="5"/>
      <c r="T83" s="5"/>
      <c r="U83" s="5">
        <f t="shared" si="32"/>
        <v>0</v>
      </c>
      <c r="V83" s="5">
        <f t="shared" si="27"/>
        <v>0</v>
      </c>
      <c r="W83" s="5"/>
      <c r="X83" s="5"/>
      <c r="Y83" s="5"/>
      <c r="Z83" s="1"/>
      <c r="AA83" s="1"/>
      <c r="AB83" s="1">
        <f t="shared" si="33"/>
        <v>14.111111111111111</v>
      </c>
      <c r="AC83" s="1">
        <f t="shared" si="28"/>
        <v>14.111111111111111</v>
      </c>
      <c r="AD83" s="1">
        <v>8.8000000000000007</v>
      </c>
      <c r="AE83" s="1">
        <v>12</v>
      </c>
      <c r="AF83" s="1">
        <v>13.6</v>
      </c>
      <c r="AG83" s="1">
        <v>12.6</v>
      </c>
      <c r="AH83" s="1">
        <v>13.4</v>
      </c>
      <c r="AI83" s="1">
        <v>12.8</v>
      </c>
      <c r="AJ83" s="1">
        <v>10.4</v>
      </c>
      <c r="AK83" s="1">
        <v>10.199999999999999</v>
      </c>
      <c r="AL83" s="1"/>
      <c r="AM83" s="1">
        <f t="shared" si="29"/>
        <v>0</v>
      </c>
      <c r="AN83" s="1">
        <f t="shared" si="30"/>
        <v>0</v>
      </c>
      <c r="AO83" s="1">
        <f t="shared" si="31"/>
        <v>0</v>
      </c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x14ac:dyDescent="0.25">
      <c r="A84" s="1" t="s">
        <v>130</v>
      </c>
      <c r="B84" s="1" t="s">
        <v>43</v>
      </c>
      <c r="C84" s="1">
        <v>91</v>
      </c>
      <c r="D84" s="1">
        <v>72</v>
      </c>
      <c r="E84" s="1">
        <v>50</v>
      </c>
      <c r="F84" s="1">
        <v>112</v>
      </c>
      <c r="G84" s="8">
        <v>0.05</v>
      </c>
      <c r="H84" s="1">
        <v>90</v>
      </c>
      <c r="I84" s="1" t="s">
        <v>39</v>
      </c>
      <c r="J84" s="1"/>
      <c r="K84" s="1">
        <v>50</v>
      </c>
      <c r="L84" s="1">
        <f t="shared" si="24"/>
        <v>0</v>
      </c>
      <c r="M84" s="1">
        <f t="shared" si="25"/>
        <v>50</v>
      </c>
      <c r="N84" s="1"/>
      <c r="O84" s="1"/>
      <c r="P84" s="1">
        <v>0</v>
      </c>
      <c r="Q84" s="1">
        <f>IFERROR(VLOOKUP(A84,[1]Sheet!$A:$D,4,0),0)</f>
        <v>0</v>
      </c>
      <c r="R84" s="1">
        <f t="shared" si="26"/>
        <v>10</v>
      </c>
      <c r="S84" s="5">
        <f t="shared" si="34"/>
        <v>8</v>
      </c>
      <c r="T84" s="5"/>
      <c r="U84" s="5">
        <f t="shared" si="32"/>
        <v>8</v>
      </c>
      <c r="V84" s="5">
        <f t="shared" si="27"/>
        <v>8</v>
      </c>
      <c r="W84" s="5"/>
      <c r="X84" s="5"/>
      <c r="Y84" s="5"/>
      <c r="Z84" s="1"/>
      <c r="AA84" s="1"/>
      <c r="AB84" s="1">
        <f t="shared" si="33"/>
        <v>12</v>
      </c>
      <c r="AC84" s="1">
        <f t="shared" si="28"/>
        <v>11.2</v>
      </c>
      <c r="AD84" s="1">
        <v>9</v>
      </c>
      <c r="AE84" s="1">
        <v>10.199999999999999</v>
      </c>
      <c r="AF84" s="1">
        <v>11.4</v>
      </c>
      <c r="AG84" s="1">
        <v>13</v>
      </c>
      <c r="AH84" s="1">
        <v>15.6</v>
      </c>
      <c r="AI84" s="1">
        <v>10.8</v>
      </c>
      <c r="AJ84" s="1">
        <v>6.2</v>
      </c>
      <c r="AK84" s="1">
        <v>8.6</v>
      </c>
      <c r="AL84" s="1"/>
      <c r="AM84" s="1">
        <f t="shared" si="29"/>
        <v>0</v>
      </c>
      <c r="AN84" s="1">
        <f t="shared" si="30"/>
        <v>0</v>
      </c>
      <c r="AO84" s="1">
        <f t="shared" si="31"/>
        <v>0</v>
      </c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x14ac:dyDescent="0.25">
      <c r="A85" s="1" t="s">
        <v>131</v>
      </c>
      <c r="B85" s="1" t="s">
        <v>43</v>
      </c>
      <c r="C85" s="1">
        <v>62</v>
      </c>
      <c r="D85" s="1">
        <v>126</v>
      </c>
      <c r="E85" s="1">
        <v>59</v>
      </c>
      <c r="F85" s="1">
        <v>126</v>
      </c>
      <c r="G85" s="8">
        <v>0.05</v>
      </c>
      <c r="H85" s="1">
        <v>90</v>
      </c>
      <c r="I85" s="1" t="s">
        <v>39</v>
      </c>
      <c r="J85" s="1"/>
      <c r="K85" s="1">
        <v>59</v>
      </c>
      <c r="L85" s="1">
        <f t="shared" si="24"/>
        <v>0</v>
      </c>
      <c r="M85" s="1">
        <f t="shared" si="25"/>
        <v>59</v>
      </c>
      <c r="N85" s="1"/>
      <c r="O85" s="1"/>
      <c r="P85" s="1">
        <v>0</v>
      </c>
      <c r="Q85" s="1">
        <f>IFERROR(VLOOKUP(A85,[1]Sheet!$A:$D,4,0),0)</f>
        <v>0</v>
      </c>
      <c r="R85" s="1">
        <f t="shared" si="26"/>
        <v>11.8</v>
      </c>
      <c r="S85" s="5">
        <f t="shared" si="34"/>
        <v>15.600000000000023</v>
      </c>
      <c r="T85" s="5"/>
      <c r="U85" s="5">
        <f t="shared" si="32"/>
        <v>15.600000000000023</v>
      </c>
      <c r="V85" s="5">
        <f t="shared" si="27"/>
        <v>15.600000000000023</v>
      </c>
      <c r="W85" s="5"/>
      <c r="X85" s="5"/>
      <c r="Y85" s="5"/>
      <c r="Z85" s="1"/>
      <c r="AA85" s="1"/>
      <c r="AB85" s="1">
        <f t="shared" si="33"/>
        <v>12.000000000000002</v>
      </c>
      <c r="AC85" s="1">
        <f t="shared" si="28"/>
        <v>10.677966101694915</v>
      </c>
      <c r="AD85" s="1">
        <v>11</v>
      </c>
      <c r="AE85" s="1">
        <v>11.8</v>
      </c>
      <c r="AF85" s="1">
        <v>12.6</v>
      </c>
      <c r="AG85" s="1">
        <v>12.8</v>
      </c>
      <c r="AH85" s="1">
        <v>12.6</v>
      </c>
      <c r="AI85" s="1">
        <v>7.2</v>
      </c>
      <c r="AJ85" s="1">
        <v>5.4</v>
      </c>
      <c r="AK85" s="1">
        <v>3.2</v>
      </c>
      <c r="AL85" s="1"/>
      <c r="AM85" s="1">
        <f t="shared" si="29"/>
        <v>1</v>
      </c>
      <c r="AN85" s="1">
        <f t="shared" si="30"/>
        <v>0</v>
      </c>
      <c r="AO85" s="1">
        <f t="shared" si="31"/>
        <v>0</v>
      </c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x14ac:dyDescent="0.25">
      <c r="A86" s="1" t="s">
        <v>132</v>
      </c>
      <c r="B86" s="1" t="s">
        <v>43</v>
      </c>
      <c r="C86" s="1">
        <v>150</v>
      </c>
      <c r="D86" s="1"/>
      <c r="E86" s="1">
        <v>51</v>
      </c>
      <c r="F86" s="1">
        <v>96</v>
      </c>
      <c r="G86" s="8">
        <v>5.5E-2</v>
      </c>
      <c r="H86" s="1">
        <v>90</v>
      </c>
      <c r="I86" s="1" t="s">
        <v>39</v>
      </c>
      <c r="J86" s="1"/>
      <c r="K86" s="1">
        <v>51</v>
      </c>
      <c r="L86" s="1">
        <f t="shared" si="24"/>
        <v>0</v>
      </c>
      <c r="M86" s="1">
        <f t="shared" si="25"/>
        <v>51</v>
      </c>
      <c r="N86" s="1"/>
      <c r="O86" s="1"/>
      <c r="P86" s="1">
        <v>0</v>
      </c>
      <c r="Q86" s="1">
        <f>IFERROR(VLOOKUP(A86,[1]Sheet!$A:$D,4,0),0)</f>
        <v>0</v>
      </c>
      <c r="R86" s="1">
        <f t="shared" si="26"/>
        <v>10.199999999999999</v>
      </c>
      <c r="S86" s="5">
        <f t="shared" si="34"/>
        <v>26.399999999999991</v>
      </c>
      <c r="T86" s="5"/>
      <c r="U86" s="5">
        <f t="shared" si="32"/>
        <v>26.399999999999991</v>
      </c>
      <c r="V86" s="5">
        <f t="shared" si="27"/>
        <v>26.399999999999991</v>
      </c>
      <c r="W86" s="5"/>
      <c r="X86" s="5"/>
      <c r="Y86" s="5"/>
      <c r="Z86" s="1"/>
      <c r="AA86" s="1"/>
      <c r="AB86" s="1">
        <f t="shared" si="33"/>
        <v>12</v>
      </c>
      <c r="AC86" s="1">
        <f t="shared" si="28"/>
        <v>9.4117647058823533</v>
      </c>
      <c r="AD86" s="1">
        <v>8.1999999999999993</v>
      </c>
      <c r="AE86" s="1">
        <v>6.6</v>
      </c>
      <c r="AF86" s="1">
        <v>7.8</v>
      </c>
      <c r="AG86" s="1">
        <v>10.6</v>
      </c>
      <c r="AH86" s="1">
        <v>11</v>
      </c>
      <c r="AI86" s="1">
        <v>6.4</v>
      </c>
      <c r="AJ86" s="1">
        <v>4.4000000000000004</v>
      </c>
      <c r="AK86" s="1">
        <v>9.6</v>
      </c>
      <c r="AL86" s="1"/>
      <c r="AM86" s="1">
        <f t="shared" si="29"/>
        <v>1</v>
      </c>
      <c r="AN86" s="1">
        <f t="shared" si="30"/>
        <v>0</v>
      </c>
      <c r="AO86" s="1">
        <f t="shared" si="31"/>
        <v>0</v>
      </c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x14ac:dyDescent="0.25">
      <c r="A87" s="13" t="s">
        <v>133</v>
      </c>
      <c r="B87" s="13" t="s">
        <v>43</v>
      </c>
      <c r="C87" s="13">
        <v>14</v>
      </c>
      <c r="D87" s="13"/>
      <c r="E87" s="13"/>
      <c r="F87" s="13">
        <v>14</v>
      </c>
      <c r="G87" s="14">
        <v>0</v>
      </c>
      <c r="H87" s="13">
        <v>120</v>
      </c>
      <c r="I87" s="13" t="s">
        <v>134</v>
      </c>
      <c r="J87" s="13"/>
      <c r="K87" s="13"/>
      <c r="L87" s="13">
        <f t="shared" si="24"/>
        <v>0</v>
      </c>
      <c r="M87" s="13">
        <f t="shared" si="25"/>
        <v>0</v>
      </c>
      <c r="N87" s="13"/>
      <c r="O87" s="13"/>
      <c r="P87" s="13">
        <v>0</v>
      </c>
      <c r="Q87" s="13">
        <f>IFERROR(VLOOKUP(A87,[1]Sheet!$A:$D,4,0),0)</f>
        <v>0</v>
      </c>
      <c r="R87" s="13">
        <f t="shared" si="26"/>
        <v>0</v>
      </c>
      <c r="S87" s="15"/>
      <c r="T87" s="15"/>
      <c r="U87" s="5">
        <f t="shared" si="32"/>
        <v>0</v>
      </c>
      <c r="V87" s="5">
        <f t="shared" si="27"/>
        <v>0</v>
      </c>
      <c r="W87" s="5"/>
      <c r="X87" s="5"/>
      <c r="Y87" s="15"/>
      <c r="Z87" s="13"/>
      <c r="AA87" s="13"/>
      <c r="AB87" s="1" t="e">
        <f t="shared" si="33"/>
        <v>#DIV/0!</v>
      </c>
      <c r="AC87" s="13" t="e">
        <f t="shared" si="28"/>
        <v>#DIV/0!</v>
      </c>
      <c r="AD87" s="13">
        <v>0</v>
      </c>
      <c r="AE87" s="13">
        <v>0</v>
      </c>
      <c r="AF87" s="13">
        <v>0.6</v>
      </c>
      <c r="AG87" s="13">
        <v>0.6</v>
      </c>
      <c r="AH87" s="13">
        <v>0</v>
      </c>
      <c r="AI87" s="13">
        <v>0</v>
      </c>
      <c r="AJ87" s="13">
        <v>0.8</v>
      </c>
      <c r="AK87" s="13">
        <v>1.4</v>
      </c>
      <c r="AL87" s="13" t="s">
        <v>135</v>
      </c>
      <c r="AM87" s="1">
        <f t="shared" si="29"/>
        <v>0</v>
      </c>
      <c r="AN87" s="1">
        <f t="shared" si="30"/>
        <v>0</v>
      </c>
      <c r="AO87" s="1">
        <f t="shared" si="31"/>
        <v>0</v>
      </c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x14ac:dyDescent="0.25">
      <c r="A88" s="1" t="s">
        <v>136</v>
      </c>
      <c r="B88" s="1" t="s">
        <v>36</v>
      </c>
      <c r="C88" s="1">
        <v>4001.971</v>
      </c>
      <c r="D88" s="1">
        <v>11872.98</v>
      </c>
      <c r="E88" s="1">
        <v>4726.8590000000004</v>
      </c>
      <c r="F88" s="1">
        <v>6446.6850000000004</v>
      </c>
      <c r="G88" s="8">
        <v>1</v>
      </c>
      <c r="H88" s="1">
        <v>40</v>
      </c>
      <c r="I88" s="1" t="s">
        <v>39</v>
      </c>
      <c r="J88" s="1"/>
      <c r="K88" s="1">
        <v>5052.6840000000002</v>
      </c>
      <c r="L88" s="1">
        <f t="shared" si="24"/>
        <v>-325.82499999999982</v>
      </c>
      <c r="M88" s="1">
        <f t="shared" si="25"/>
        <v>4462.7360000000008</v>
      </c>
      <c r="N88" s="1">
        <v>264.12299999999999</v>
      </c>
      <c r="O88" s="1"/>
      <c r="P88" s="1">
        <v>296.36439999999772</v>
      </c>
      <c r="Q88" s="1">
        <f>IFERROR(VLOOKUP(A88,[1]Sheet!$A:$D,4,0),0)</f>
        <v>0</v>
      </c>
      <c r="R88" s="1">
        <f t="shared" si="26"/>
        <v>892.5472000000002</v>
      </c>
      <c r="S88" s="5">
        <f t="shared" ref="S88:S93" si="37">12*R88-P88-O88-F88</f>
        <v>3967.5170000000044</v>
      </c>
      <c r="T88" s="5"/>
      <c r="U88" s="5">
        <f t="shared" si="32"/>
        <v>3967.5170000000044</v>
      </c>
      <c r="V88" s="5">
        <f t="shared" si="27"/>
        <v>1467.5170000000044</v>
      </c>
      <c r="W88" s="5">
        <v>2500</v>
      </c>
      <c r="X88" s="5"/>
      <c r="Y88" s="5"/>
      <c r="Z88" s="1"/>
      <c r="AA88" s="1"/>
      <c r="AB88" s="1">
        <f t="shared" si="33"/>
        <v>12.000000000000002</v>
      </c>
      <c r="AC88" s="1">
        <f t="shared" si="28"/>
        <v>7.5548378842037671</v>
      </c>
      <c r="AD88" s="1">
        <v>763.92160000000001</v>
      </c>
      <c r="AE88" s="1">
        <v>926.77520000000004</v>
      </c>
      <c r="AF88" s="1">
        <v>871.38319999999987</v>
      </c>
      <c r="AG88" s="1">
        <v>808.63199999999995</v>
      </c>
      <c r="AH88" s="1">
        <v>837.73419999999987</v>
      </c>
      <c r="AI88" s="1">
        <v>878.66679999999997</v>
      </c>
      <c r="AJ88" s="1">
        <v>853.15179999999998</v>
      </c>
      <c r="AK88" s="1">
        <v>861.34960000000012</v>
      </c>
      <c r="AL88" s="1" t="s">
        <v>50</v>
      </c>
      <c r="AM88" s="1">
        <f t="shared" si="29"/>
        <v>1468</v>
      </c>
      <c r="AN88" s="1">
        <f t="shared" si="30"/>
        <v>2500</v>
      </c>
      <c r="AO88" s="1">
        <f t="shared" si="31"/>
        <v>0</v>
      </c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x14ac:dyDescent="0.25">
      <c r="A89" s="1" t="s">
        <v>137</v>
      </c>
      <c r="B89" s="1" t="s">
        <v>36</v>
      </c>
      <c r="C89" s="1">
        <v>39.53</v>
      </c>
      <c r="D89" s="1">
        <v>2.8000000000000001E-2</v>
      </c>
      <c r="E89" s="1">
        <v>7.1879999999999997</v>
      </c>
      <c r="F89" s="1">
        <v>32.369999999999997</v>
      </c>
      <c r="G89" s="8">
        <v>1</v>
      </c>
      <c r="H89" s="1">
        <v>60</v>
      </c>
      <c r="I89" s="1" t="s">
        <v>39</v>
      </c>
      <c r="J89" s="1"/>
      <c r="K89" s="1">
        <v>6.8</v>
      </c>
      <c r="L89" s="1">
        <f t="shared" si="24"/>
        <v>0.3879999999999999</v>
      </c>
      <c r="M89" s="1">
        <f t="shared" si="25"/>
        <v>7.1879999999999997</v>
      </c>
      <c r="N89" s="1"/>
      <c r="O89" s="1"/>
      <c r="P89" s="1">
        <v>0</v>
      </c>
      <c r="Q89" s="1">
        <f>IFERROR(VLOOKUP(A89,[1]Sheet!$A:$D,4,0),0)</f>
        <v>0</v>
      </c>
      <c r="R89" s="1">
        <f t="shared" si="26"/>
        <v>1.4376</v>
      </c>
      <c r="S89" s="5"/>
      <c r="T89" s="5"/>
      <c r="U89" s="5">
        <f t="shared" si="32"/>
        <v>0</v>
      </c>
      <c r="V89" s="5">
        <f t="shared" si="27"/>
        <v>0</v>
      </c>
      <c r="W89" s="5"/>
      <c r="X89" s="5"/>
      <c r="Y89" s="5"/>
      <c r="Z89" s="1"/>
      <c r="AA89" s="1"/>
      <c r="AB89" s="1">
        <f t="shared" si="33"/>
        <v>22.516694490818029</v>
      </c>
      <c r="AC89" s="1">
        <f t="shared" si="28"/>
        <v>22.516694490818029</v>
      </c>
      <c r="AD89" s="1">
        <v>2.16</v>
      </c>
      <c r="AE89" s="1">
        <v>3.5950000000000002</v>
      </c>
      <c r="AF89" s="1">
        <v>2.875</v>
      </c>
      <c r="AG89" s="1">
        <v>1.7969999999999999</v>
      </c>
      <c r="AH89" s="1">
        <v>1.4372</v>
      </c>
      <c r="AI89" s="1">
        <v>2.1514000000000002</v>
      </c>
      <c r="AJ89" s="1">
        <v>1.7951999999999999</v>
      </c>
      <c r="AK89" s="1">
        <v>10.064399999999999</v>
      </c>
      <c r="AL89" s="20" t="s">
        <v>149</v>
      </c>
      <c r="AM89" s="1">
        <f t="shared" si="29"/>
        <v>0</v>
      </c>
      <c r="AN89" s="1">
        <f t="shared" si="30"/>
        <v>0</v>
      </c>
      <c r="AO89" s="1">
        <f t="shared" si="31"/>
        <v>0</v>
      </c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x14ac:dyDescent="0.25">
      <c r="A90" s="1" t="s">
        <v>138</v>
      </c>
      <c r="B90" s="1" t="s">
        <v>43</v>
      </c>
      <c r="C90" s="1">
        <v>128</v>
      </c>
      <c r="D90" s="1">
        <v>322</v>
      </c>
      <c r="E90" s="1">
        <v>195</v>
      </c>
      <c r="F90" s="1">
        <v>245</v>
      </c>
      <c r="G90" s="8">
        <v>0.3</v>
      </c>
      <c r="H90" s="1">
        <v>40</v>
      </c>
      <c r="I90" s="1" t="s">
        <v>39</v>
      </c>
      <c r="J90" s="1"/>
      <c r="K90" s="1">
        <v>197</v>
      </c>
      <c r="L90" s="1">
        <f t="shared" si="24"/>
        <v>-2</v>
      </c>
      <c r="M90" s="1">
        <f t="shared" si="25"/>
        <v>195</v>
      </c>
      <c r="N90" s="1"/>
      <c r="O90" s="1"/>
      <c r="P90" s="1">
        <v>96.799999999999955</v>
      </c>
      <c r="Q90" s="1">
        <f>IFERROR(VLOOKUP(A90,[1]Sheet!$A:$D,4,0),0)</f>
        <v>0</v>
      </c>
      <c r="R90" s="1">
        <f t="shared" si="26"/>
        <v>39</v>
      </c>
      <c r="S90" s="5">
        <f t="shared" si="37"/>
        <v>126.20000000000005</v>
      </c>
      <c r="T90" s="5"/>
      <c r="U90" s="5">
        <f t="shared" si="32"/>
        <v>126.20000000000005</v>
      </c>
      <c r="V90" s="5">
        <f t="shared" si="27"/>
        <v>126.20000000000005</v>
      </c>
      <c r="W90" s="5"/>
      <c r="X90" s="5"/>
      <c r="Y90" s="5"/>
      <c r="Z90" s="1"/>
      <c r="AA90" s="1"/>
      <c r="AB90" s="1">
        <f t="shared" si="33"/>
        <v>12</v>
      </c>
      <c r="AC90" s="1">
        <f t="shared" si="28"/>
        <v>8.7641025641025632</v>
      </c>
      <c r="AD90" s="1">
        <v>38.6</v>
      </c>
      <c r="AE90" s="1">
        <v>36.6</v>
      </c>
      <c r="AF90" s="1">
        <v>34.4</v>
      </c>
      <c r="AG90" s="1">
        <v>33.6</v>
      </c>
      <c r="AH90" s="1">
        <v>35</v>
      </c>
      <c r="AI90" s="1">
        <v>35.4</v>
      </c>
      <c r="AJ90" s="1">
        <v>30.6</v>
      </c>
      <c r="AK90" s="1">
        <v>26.8</v>
      </c>
      <c r="AL90" s="1"/>
      <c r="AM90" s="1">
        <f t="shared" si="29"/>
        <v>38</v>
      </c>
      <c r="AN90" s="1">
        <f t="shared" si="30"/>
        <v>0</v>
      </c>
      <c r="AO90" s="1">
        <f t="shared" si="31"/>
        <v>0</v>
      </c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x14ac:dyDescent="0.25">
      <c r="A91" s="1" t="s">
        <v>139</v>
      </c>
      <c r="B91" s="1" t="s">
        <v>43</v>
      </c>
      <c r="C91" s="1">
        <v>69</v>
      </c>
      <c r="D91" s="1">
        <v>180</v>
      </c>
      <c r="E91" s="1">
        <v>94</v>
      </c>
      <c r="F91" s="1">
        <v>148</v>
      </c>
      <c r="G91" s="8">
        <v>0.3</v>
      </c>
      <c r="H91" s="1">
        <v>40</v>
      </c>
      <c r="I91" s="1" t="s">
        <v>39</v>
      </c>
      <c r="J91" s="1"/>
      <c r="K91" s="1">
        <v>98</v>
      </c>
      <c r="L91" s="1">
        <f t="shared" si="24"/>
        <v>-4</v>
      </c>
      <c r="M91" s="1">
        <f t="shared" si="25"/>
        <v>94</v>
      </c>
      <c r="N91" s="1"/>
      <c r="O91" s="1"/>
      <c r="P91" s="1">
        <v>0</v>
      </c>
      <c r="Q91" s="1">
        <f>IFERROR(VLOOKUP(A91,[1]Sheet!$A:$D,4,0),0)</f>
        <v>0</v>
      </c>
      <c r="R91" s="1">
        <f t="shared" si="26"/>
        <v>18.8</v>
      </c>
      <c r="S91" s="5">
        <f t="shared" si="37"/>
        <v>77.600000000000023</v>
      </c>
      <c r="T91" s="5"/>
      <c r="U91" s="5">
        <f t="shared" si="32"/>
        <v>77.600000000000023</v>
      </c>
      <c r="V91" s="5">
        <f t="shared" si="27"/>
        <v>77.600000000000023</v>
      </c>
      <c r="W91" s="5"/>
      <c r="X91" s="5"/>
      <c r="Y91" s="5"/>
      <c r="Z91" s="1"/>
      <c r="AA91" s="1"/>
      <c r="AB91" s="1">
        <f t="shared" si="33"/>
        <v>12</v>
      </c>
      <c r="AC91" s="1">
        <f t="shared" si="28"/>
        <v>7.8723404255319149</v>
      </c>
      <c r="AD91" s="1">
        <v>17.2</v>
      </c>
      <c r="AE91" s="1">
        <v>20</v>
      </c>
      <c r="AF91" s="1">
        <v>21.2</v>
      </c>
      <c r="AG91" s="1">
        <v>19.600000000000001</v>
      </c>
      <c r="AH91" s="1">
        <v>19.399999999999999</v>
      </c>
      <c r="AI91" s="1">
        <v>19.399999999999999</v>
      </c>
      <c r="AJ91" s="1">
        <v>18.600000000000001</v>
      </c>
      <c r="AK91" s="1">
        <v>18.8</v>
      </c>
      <c r="AL91" s="1" t="s">
        <v>140</v>
      </c>
      <c r="AM91" s="1">
        <f t="shared" si="29"/>
        <v>23</v>
      </c>
      <c r="AN91" s="1">
        <f t="shared" si="30"/>
        <v>0</v>
      </c>
      <c r="AO91" s="1">
        <f t="shared" si="31"/>
        <v>0</v>
      </c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x14ac:dyDescent="0.25">
      <c r="A92" s="1" t="s">
        <v>141</v>
      </c>
      <c r="B92" s="1" t="s">
        <v>36</v>
      </c>
      <c r="C92" s="1">
        <v>69.989999999999995</v>
      </c>
      <c r="D92" s="1">
        <v>4.07</v>
      </c>
      <c r="E92" s="1">
        <v>47.38</v>
      </c>
      <c r="F92" s="1">
        <v>16.475000000000001</v>
      </c>
      <c r="G92" s="8">
        <v>1</v>
      </c>
      <c r="H92" s="1">
        <v>50</v>
      </c>
      <c r="I92" s="1" t="s">
        <v>39</v>
      </c>
      <c r="J92" s="1"/>
      <c r="K92" s="1">
        <v>48.9</v>
      </c>
      <c r="L92" s="1">
        <f t="shared" si="24"/>
        <v>-1.519999999999996</v>
      </c>
      <c r="M92" s="1">
        <f t="shared" si="25"/>
        <v>47.38</v>
      </c>
      <c r="N92" s="1"/>
      <c r="O92" s="1"/>
      <c r="P92" s="1">
        <v>47.689</v>
      </c>
      <c r="Q92" s="1">
        <f>IFERROR(VLOOKUP(A92,[1]Sheet!$A:$D,4,0),0)</f>
        <v>0</v>
      </c>
      <c r="R92" s="1">
        <f t="shared" si="26"/>
        <v>9.4760000000000009</v>
      </c>
      <c r="S92" s="5">
        <f t="shared" si="37"/>
        <v>49.548000000000023</v>
      </c>
      <c r="T92" s="5"/>
      <c r="U92" s="5">
        <f t="shared" si="32"/>
        <v>49.548000000000023</v>
      </c>
      <c r="V92" s="5">
        <f t="shared" si="27"/>
        <v>49.548000000000023</v>
      </c>
      <c r="W92" s="5"/>
      <c r="X92" s="5"/>
      <c r="Y92" s="5"/>
      <c r="Z92" s="1"/>
      <c r="AA92" s="1"/>
      <c r="AB92" s="1">
        <f t="shared" si="33"/>
        <v>12</v>
      </c>
      <c r="AC92" s="1">
        <f t="shared" si="28"/>
        <v>6.7712114816378213</v>
      </c>
      <c r="AD92" s="1">
        <v>8.6053999999999995</v>
      </c>
      <c r="AE92" s="1">
        <v>5.0423999999999998</v>
      </c>
      <c r="AF92" s="1">
        <v>2.6920000000000002</v>
      </c>
      <c r="AG92" s="1">
        <v>4.3211999999999993</v>
      </c>
      <c r="AH92" s="1">
        <v>7.9724000000000022</v>
      </c>
      <c r="AI92" s="1">
        <v>12.796200000000001</v>
      </c>
      <c r="AJ92" s="1">
        <v>7.5626000000000007</v>
      </c>
      <c r="AK92" s="1">
        <v>7.8322000000000003</v>
      </c>
      <c r="AL92" s="1"/>
      <c r="AM92" s="1">
        <f t="shared" si="29"/>
        <v>50</v>
      </c>
      <c r="AN92" s="1">
        <f t="shared" si="30"/>
        <v>0</v>
      </c>
      <c r="AO92" s="1">
        <f t="shared" si="31"/>
        <v>0</v>
      </c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x14ac:dyDescent="0.25">
      <c r="A93" s="1" t="s">
        <v>142</v>
      </c>
      <c r="B93" s="1" t="s">
        <v>43</v>
      </c>
      <c r="C93" s="1">
        <v>3</v>
      </c>
      <c r="D93" s="1">
        <v>54</v>
      </c>
      <c r="E93" s="1">
        <v>19</v>
      </c>
      <c r="F93" s="1">
        <v>34</v>
      </c>
      <c r="G93" s="8">
        <v>0.3</v>
      </c>
      <c r="H93" s="1">
        <v>40</v>
      </c>
      <c r="I93" s="1" t="s">
        <v>39</v>
      </c>
      <c r="J93" s="1"/>
      <c r="K93" s="1">
        <v>21</v>
      </c>
      <c r="L93" s="1">
        <f t="shared" si="24"/>
        <v>-2</v>
      </c>
      <c r="M93" s="1">
        <f t="shared" si="25"/>
        <v>19</v>
      </c>
      <c r="N93" s="1"/>
      <c r="O93" s="1"/>
      <c r="P93" s="1">
        <v>0</v>
      </c>
      <c r="Q93" s="1">
        <f>IFERROR(VLOOKUP(A93,[1]Sheet!$A:$D,4,0),0)</f>
        <v>0</v>
      </c>
      <c r="R93" s="1">
        <f t="shared" si="26"/>
        <v>3.8</v>
      </c>
      <c r="S93" s="5">
        <f t="shared" si="37"/>
        <v>11.599999999999994</v>
      </c>
      <c r="T93" s="5"/>
      <c r="U93" s="5">
        <f t="shared" si="32"/>
        <v>11.599999999999994</v>
      </c>
      <c r="V93" s="5">
        <f t="shared" si="27"/>
        <v>11.599999999999994</v>
      </c>
      <c r="W93" s="5"/>
      <c r="X93" s="5"/>
      <c r="Y93" s="5"/>
      <c r="Z93" s="1"/>
      <c r="AA93" s="1"/>
      <c r="AB93" s="1">
        <f t="shared" si="33"/>
        <v>11.999999999999998</v>
      </c>
      <c r="AC93" s="1">
        <f t="shared" si="28"/>
        <v>8.9473684210526319</v>
      </c>
      <c r="AD93" s="1">
        <v>3</v>
      </c>
      <c r="AE93" s="1">
        <v>3.4</v>
      </c>
      <c r="AF93" s="1">
        <v>5</v>
      </c>
      <c r="AG93" s="1">
        <v>4.4000000000000004</v>
      </c>
      <c r="AH93" s="1">
        <v>2.8</v>
      </c>
      <c r="AI93" s="1">
        <v>2.6</v>
      </c>
      <c r="AJ93" s="1">
        <v>3.8</v>
      </c>
      <c r="AK93" s="1">
        <v>4.2</v>
      </c>
      <c r="AL93" s="1"/>
      <c r="AM93" s="1">
        <f t="shared" si="29"/>
        <v>3</v>
      </c>
      <c r="AN93" s="1">
        <f t="shared" si="30"/>
        <v>0</v>
      </c>
      <c r="AO93" s="1">
        <f t="shared" si="31"/>
        <v>0</v>
      </c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x14ac:dyDescent="0.25">
      <c r="A94" s="1" t="s">
        <v>143</v>
      </c>
      <c r="B94" s="1" t="s">
        <v>43</v>
      </c>
      <c r="C94" s="1">
        <v>55</v>
      </c>
      <c r="D94" s="1">
        <v>60</v>
      </c>
      <c r="E94" s="1">
        <v>29</v>
      </c>
      <c r="F94" s="1">
        <v>81</v>
      </c>
      <c r="G94" s="8">
        <v>0.12</v>
      </c>
      <c r="H94" s="1">
        <v>45</v>
      </c>
      <c r="I94" s="1" t="s">
        <v>39</v>
      </c>
      <c r="J94" s="1"/>
      <c r="K94" s="1">
        <v>34</v>
      </c>
      <c r="L94" s="1">
        <f t="shared" si="24"/>
        <v>-5</v>
      </c>
      <c r="M94" s="1">
        <f t="shared" si="25"/>
        <v>29</v>
      </c>
      <c r="N94" s="1"/>
      <c r="O94" s="1"/>
      <c r="P94" s="1">
        <v>0</v>
      </c>
      <c r="Q94" s="1">
        <f>IFERROR(VLOOKUP(A94,[1]Sheet!$A:$D,4,0),0)</f>
        <v>0</v>
      </c>
      <c r="R94" s="1">
        <f t="shared" si="26"/>
        <v>5.8</v>
      </c>
      <c r="S94" s="5"/>
      <c r="T94" s="5"/>
      <c r="U94" s="5">
        <f t="shared" si="32"/>
        <v>0</v>
      </c>
      <c r="V94" s="5">
        <f t="shared" si="27"/>
        <v>0</v>
      </c>
      <c r="W94" s="5"/>
      <c r="X94" s="5"/>
      <c r="Y94" s="5"/>
      <c r="Z94" s="1"/>
      <c r="AA94" s="1"/>
      <c r="AB94" s="1">
        <f t="shared" si="33"/>
        <v>13.965517241379311</v>
      </c>
      <c r="AC94" s="1">
        <f t="shared" si="28"/>
        <v>13.965517241379311</v>
      </c>
      <c r="AD94" s="1">
        <v>6.6</v>
      </c>
      <c r="AE94" s="1">
        <v>7.2</v>
      </c>
      <c r="AF94" s="1">
        <v>9.4</v>
      </c>
      <c r="AG94" s="1">
        <v>11.6</v>
      </c>
      <c r="AH94" s="1">
        <v>9.6</v>
      </c>
      <c r="AI94" s="1">
        <v>7.4</v>
      </c>
      <c r="AJ94" s="1">
        <v>6.8</v>
      </c>
      <c r="AK94" s="1">
        <v>7.4</v>
      </c>
      <c r="AL94" s="1" t="s">
        <v>144</v>
      </c>
      <c r="AM94" s="1">
        <f t="shared" si="29"/>
        <v>0</v>
      </c>
      <c r="AN94" s="1">
        <f t="shared" si="30"/>
        <v>0</v>
      </c>
      <c r="AO94" s="1">
        <f t="shared" si="31"/>
        <v>0</v>
      </c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x14ac:dyDescent="0.25">
      <c r="A95" s="12" t="s">
        <v>145</v>
      </c>
      <c r="B95" s="1" t="s">
        <v>36</v>
      </c>
      <c r="C95" s="1"/>
      <c r="D95" s="1"/>
      <c r="E95" s="1"/>
      <c r="F95" s="1"/>
      <c r="G95" s="8">
        <v>1</v>
      </c>
      <c r="H95" s="1">
        <v>180</v>
      </c>
      <c r="I95" s="1" t="s">
        <v>39</v>
      </c>
      <c r="J95" s="1"/>
      <c r="K95" s="1"/>
      <c r="L95" s="1">
        <f t="shared" si="24"/>
        <v>0</v>
      </c>
      <c r="M95" s="1">
        <f t="shared" si="25"/>
        <v>0</v>
      </c>
      <c r="N95" s="1"/>
      <c r="O95" s="1"/>
      <c r="P95" s="12"/>
      <c r="Q95" s="1">
        <f>IFERROR(VLOOKUP(A95,[1]Sheet!$A:$D,4,0),0)</f>
        <v>0</v>
      </c>
      <c r="R95" s="1">
        <f t="shared" si="26"/>
        <v>0</v>
      </c>
      <c r="S95" s="19">
        <v>4</v>
      </c>
      <c r="T95" s="19"/>
      <c r="U95" s="5">
        <f t="shared" si="32"/>
        <v>4</v>
      </c>
      <c r="V95" s="5">
        <f t="shared" si="27"/>
        <v>4</v>
      </c>
      <c r="W95" s="5"/>
      <c r="X95" s="5"/>
      <c r="Y95" s="5"/>
      <c r="Z95" s="1"/>
      <c r="AA95" s="1"/>
      <c r="AB95" s="1" t="e">
        <f t="shared" si="33"/>
        <v>#DIV/0!</v>
      </c>
      <c r="AC95" s="1" t="e">
        <f t="shared" si="28"/>
        <v>#DIV/0!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2" t="s">
        <v>146</v>
      </c>
      <c r="AM95" s="1">
        <f t="shared" si="29"/>
        <v>4</v>
      </c>
      <c r="AN95" s="1">
        <f t="shared" si="30"/>
        <v>0</v>
      </c>
      <c r="AO95" s="1">
        <f t="shared" si="31"/>
        <v>0</v>
      </c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</row>
    <row r="119" spans="1:55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</row>
    <row r="120" spans="1:55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</row>
    <row r="121" spans="1:55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</row>
    <row r="122" spans="1:55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</row>
    <row r="123" spans="1:55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</row>
    <row r="124" spans="1:55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</row>
    <row r="125" spans="1:55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</row>
    <row r="126" spans="1:55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</row>
    <row r="127" spans="1:55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</row>
    <row r="128" spans="1:55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</row>
    <row r="129" spans="1:55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</row>
    <row r="130" spans="1:55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</row>
    <row r="131" spans="1:55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</row>
    <row r="132" spans="1:55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</row>
    <row r="133" spans="1:55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</row>
    <row r="134" spans="1:55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</row>
    <row r="135" spans="1:55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</row>
    <row r="136" spans="1:55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</row>
    <row r="137" spans="1:55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</row>
    <row r="138" spans="1:55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</row>
    <row r="139" spans="1:55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</row>
    <row r="140" spans="1:55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</row>
    <row r="141" spans="1:55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</row>
    <row r="142" spans="1:55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</row>
    <row r="143" spans="1:55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</row>
    <row r="144" spans="1:55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</row>
    <row r="145" spans="1:55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</row>
    <row r="146" spans="1:55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</row>
    <row r="147" spans="1:55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</row>
    <row r="148" spans="1:55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</row>
    <row r="149" spans="1:55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</row>
    <row r="150" spans="1:55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</row>
    <row r="151" spans="1:55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</row>
    <row r="152" spans="1:55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</row>
    <row r="153" spans="1:55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</row>
    <row r="154" spans="1:55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</row>
    <row r="155" spans="1:55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</row>
    <row r="156" spans="1:55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</row>
    <row r="157" spans="1:55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</row>
    <row r="158" spans="1:55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</row>
    <row r="159" spans="1:55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</row>
    <row r="160" spans="1:55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</row>
    <row r="161" spans="1:55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</row>
    <row r="162" spans="1:55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</row>
    <row r="163" spans="1:55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</row>
    <row r="164" spans="1:55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</row>
    <row r="165" spans="1:55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</row>
    <row r="166" spans="1:55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</row>
    <row r="167" spans="1:55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</row>
    <row r="168" spans="1:55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</row>
    <row r="169" spans="1:55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</row>
    <row r="170" spans="1:55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</row>
    <row r="171" spans="1:55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</row>
    <row r="172" spans="1:55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</row>
    <row r="173" spans="1:55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</row>
    <row r="174" spans="1:55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</row>
    <row r="175" spans="1:55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</row>
    <row r="176" spans="1:55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</row>
    <row r="177" spans="1:55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</row>
    <row r="178" spans="1:55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</row>
    <row r="179" spans="1:55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</row>
    <row r="180" spans="1:55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</row>
    <row r="181" spans="1:55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</row>
    <row r="182" spans="1:55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</row>
    <row r="183" spans="1:55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</row>
    <row r="184" spans="1:55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</row>
    <row r="185" spans="1:55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</row>
    <row r="186" spans="1:55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</row>
    <row r="187" spans="1:55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</row>
    <row r="188" spans="1:55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</row>
    <row r="189" spans="1:55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</row>
    <row r="190" spans="1:55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</row>
    <row r="191" spans="1:55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</row>
    <row r="192" spans="1:55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</row>
    <row r="193" spans="1:55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</row>
    <row r="194" spans="1:55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</row>
    <row r="195" spans="1:55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</row>
    <row r="196" spans="1:55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</row>
    <row r="197" spans="1:55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</row>
    <row r="198" spans="1:55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</row>
    <row r="199" spans="1:55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</row>
    <row r="200" spans="1:55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</row>
    <row r="201" spans="1:55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</row>
    <row r="202" spans="1:55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</row>
    <row r="203" spans="1:55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</row>
    <row r="204" spans="1:55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</row>
    <row r="205" spans="1:55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</row>
    <row r="206" spans="1:55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</row>
    <row r="207" spans="1:55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</row>
    <row r="208" spans="1:55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</row>
    <row r="209" spans="1:55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</row>
    <row r="210" spans="1:55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1:55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</row>
    <row r="212" spans="1:55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</row>
    <row r="213" spans="1:55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</row>
    <row r="214" spans="1:55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</row>
    <row r="215" spans="1:55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</row>
    <row r="216" spans="1:55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</row>
    <row r="217" spans="1:55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</row>
    <row r="218" spans="1:55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</row>
    <row r="219" spans="1:55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</row>
    <row r="220" spans="1:55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</row>
    <row r="221" spans="1:55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</row>
    <row r="222" spans="1:55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</row>
    <row r="223" spans="1:55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</row>
    <row r="224" spans="1:55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</row>
    <row r="225" spans="1:55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</row>
    <row r="226" spans="1:55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</row>
    <row r="227" spans="1:55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</row>
    <row r="228" spans="1:55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</row>
    <row r="229" spans="1:55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</row>
    <row r="230" spans="1:55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</row>
    <row r="231" spans="1:55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</row>
    <row r="232" spans="1:55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</row>
    <row r="233" spans="1:55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</row>
    <row r="234" spans="1:55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</row>
    <row r="235" spans="1:55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</row>
    <row r="236" spans="1:55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</row>
    <row r="237" spans="1:55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</row>
    <row r="238" spans="1:55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</row>
    <row r="239" spans="1:55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</row>
    <row r="240" spans="1:55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</row>
    <row r="241" spans="1:55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</row>
    <row r="242" spans="1:55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</row>
    <row r="243" spans="1:55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</row>
    <row r="244" spans="1:55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</row>
    <row r="245" spans="1:55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</row>
    <row r="246" spans="1:55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</row>
    <row r="247" spans="1:55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</row>
    <row r="248" spans="1:55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</row>
    <row r="249" spans="1:55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</row>
    <row r="250" spans="1:55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</row>
    <row r="251" spans="1:55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</row>
    <row r="252" spans="1:55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</row>
    <row r="253" spans="1:55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</row>
    <row r="254" spans="1:55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</row>
    <row r="255" spans="1:55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</row>
    <row r="256" spans="1:55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</row>
    <row r="257" spans="1:55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</row>
    <row r="258" spans="1:55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</row>
    <row r="259" spans="1:55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</row>
    <row r="260" spans="1:55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</row>
    <row r="261" spans="1:55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</row>
    <row r="262" spans="1:55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</row>
    <row r="263" spans="1:55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</row>
    <row r="264" spans="1:55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</row>
    <row r="265" spans="1:55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</row>
    <row r="266" spans="1:55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</row>
    <row r="267" spans="1:55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</row>
    <row r="268" spans="1:55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</row>
    <row r="269" spans="1:55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</row>
    <row r="270" spans="1:55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</row>
    <row r="271" spans="1:55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</row>
    <row r="272" spans="1:55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</row>
    <row r="273" spans="1:55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</row>
    <row r="274" spans="1:55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</row>
    <row r="275" spans="1:55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</row>
    <row r="276" spans="1:55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</row>
    <row r="277" spans="1:55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</row>
    <row r="278" spans="1:55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</row>
    <row r="279" spans="1:55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</row>
    <row r="280" spans="1:55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</row>
    <row r="281" spans="1:55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</row>
    <row r="282" spans="1:55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</row>
    <row r="283" spans="1:55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</row>
    <row r="284" spans="1:55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</row>
    <row r="285" spans="1:55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</row>
    <row r="286" spans="1:55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</row>
    <row r="287" spans="1:55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</row>
    <row r="288" spans="1:55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</row>
    <row r="289" spans="1:55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</row>
    <row r="290" spans="1:55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</row>
    <row r="291" spans="1:55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</row>
    <row r="292" spans="1:55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</row>
    <row r="293" spans="1:55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</row>
    <row r="294" spans="1:55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</row>
    <row r="295" spans="1:55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</row>
    <row r="296" spans="1:55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</row>
    <row r="297" spans="1:55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</row>
    <row r="298" spans="1:55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</row>
    <row r="299" spans="1:55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</row>
    <row r="300" spans="1:55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</row>
    <row r="301" spans="1:55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</row>
    <row r="302" spans="1:55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</row>
    <row r="303" spans="1:55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</row>
    <row r="304" spans="1:55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</row>
    <row r="305" spans="1:55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</row>
    <row r="306" spans="1:55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</row>
    <row r="307" spans="1:55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</row>
    <row r="308" spans="1:55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</row>
    <row r="309" spans="1:55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</row>
    <row r="310" spans="1:55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</row>
    <row r="311" spans="1:55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</row>
    <row r="312" spans="1:55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</row>
    <row r="313" spans="1:55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</row>
    <row r="314" spans="1:55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</row>
    <row r="315" spans="1:55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</row>
    <row r="316" spans="1:55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</row>
    <row r="317" spans="1:55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</row>
    <row r="318" spans="1:55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</row>
    <row r="319" spans="1:55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</row>
    <row r="320" spans="1:55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</row>
    <row r="321" spans="1:55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</row>
    <row r="322" spans="1:55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</row>
    <row r="323" spans="1:55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</row>
    <row r="324" spans="1:55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</row>
    <row r="325" spans="1:55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</row>
    <row r="326" spans="1:55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</row>
    <row r="327" spans="1:55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</row>
    <row r="328" spans="1:55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</row>
    <row r="329" spans="1:55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</row>
    <row r="330" spans="1:55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</row>
    <row r="331" spans="1:55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</row>
    <row r="332" spans="1:55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</row>
    <row r="333" spans="1:55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</row>
    <row r="334" spans="1:55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</row>
    <row r="335" spans="1:55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</row>
    <row r="336" spans="1:55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</row>
    <row r="337" spans="1:55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</row>
    <row r="338" spans="1:55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</row>
    <row r="339" spans="1:55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</row>
    <row r="340" spans="1:55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</row>
    <row r="341" spans="1:55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</row>
    <row r="342" spans="1:55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</row>
    <row r="343" spans="1:55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</row>
    <row r="344" spans="1:55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</row>
    <row r="345" spans="1:55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</row>
    <row r="346" spans="1:55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</row>
    <row r="347" spans="1:55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</row>
    <row r="348" spans="1:55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</row>
    <row r="349" spans="1:55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</row>
    <row r="350" spans="1:55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</row>
    <row r="351" spans="1:55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</row>
    <row r="352" spans="1:55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</row>
    <row r="353" spans="1:55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</row>
    <row r="354" spans="1:55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</row>
    <row r="355" spans="1:55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</row>
    <row r="356" spans="1:55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</row>
    <row r="357" spans="1:55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</row>
    <row r="358" spans="1:55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</row>
    <row r="359" spans="1:55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</row>
    <row r="360" spans="1:55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</row>
    <row r="361" spans="1:55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</row>
    <row r="362" spans="1:55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</row>
    <row r="363" spans="1:55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</row>
    <row r="364" spans="1:55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</row>
    <row r="365" spans="1:55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</row>
    <row r="366" spans="1:55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</row>
    <row r="367" spans="1:55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</row>
    <row r="368" spans="1:55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</row>
    <row r="369" spans="1:55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</row>
    <row r="370" spans="1:55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</row>
    <row r="371" spans="1:55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</row>
    <row r="372" spans="1:55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</row>
    <row r="373" spans="1:55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</row>
    <row r="374" spans="1:55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</row>
    <row r="375" spans="1:55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</row>
    <row r="376" spans="1:55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</row>
    <row r="377" spans="1:55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</row>
    <row r="378" spans="1:55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</row>
    <row r="379" spans="1:55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</row>
    <row r="380" spans="1:55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</row>
    <row r="381" spans="1:55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</row>
    <row r="382" spans="1:55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</row>
    <row r="383" spans="1:55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</row>
    <row r="384" spans="1:55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</row>
    <row r="385" spans="1:55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</row>
    <row r="386" spans="1:55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</row>
    <row r="387" spans="1:55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</row>
    <row r="388" spans="1:55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</row>
    <row r="389" spans="1:55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</row>
    <row r="390" spans="1:55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</row>
    <row r="391" spans="1:55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</row>
    <row r="392" spans="1:55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</row>
    <row r="393" spans="1:55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</row>
    <row r="394" spans="1:55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</row>
    <row r="395" spans="1:55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</row>
    <row r="396" spans="1:55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</row>
    <row r="397" spans="1:55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</row>
    <row r="398" spans="1:55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</row>
    <row r="399" spans="1:55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</row>
    <row r="400" spans="1:55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</row>
    <row r="401" spans="1:55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</row>
    <row r="402" spans="1:55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</row>
    <row r="403" spans="1:55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</row>
    <row r="404" spans="1:55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</row>
    <row r="405" spans="1:55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</row>
    <row r="406" spans="1:55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</row>
    <row r="407" spans="1:55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</row>
    <row r="408" spans="1:55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</row>
    <row r="409" spans="1:55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</row>
    <row r="410" spans="1:55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</row>
    <row r="411" spans="1:55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</row>
    <row r="412" spans="1:55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</row>
    <row r="413" spans="1:55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</row>
    <row r="414" spans="1:55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</row>
    <row r="415" spans="1:55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</row>
    <row r="416" spans="1:55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</row>
    <row r="417" spans="1:55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</row>
    <row r="418" spans="1:55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</row>
    <row r="419" spans="1:55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</row>
    <row r="420" spans="1:55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</row>
    <row r="421" spans="1:55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</row>
    <row r="422" spans="1:55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</row>
    <row r="423" spans="1:55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</row>
    <row r="424" spans="1:55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</row>
    <row r="425" spans="1:55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</row>
    <row r="426" spans="1:55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</row>
    <row r="427" spans="1:55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</row>
    <row r="428" spans="1:55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</row>
    <row r="429" spans="1:55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</row>
    <row r="430" spans="1:55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</row>
    <row r="431" spans="1:55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</row>
    <row r="432" spans="1:55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</row>
    <row r="433" spans="1:55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</row>
    <row r="434" spans="1:55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</row>
    <row r="435" spans="1:55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</row>
    <row r="436" spans="1:55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</row>
    <row r="437" spans="1:55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</row>
    <row r="438" spans="1:55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</row>
    <row r="439" spans="1:55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</row>
    <row r="440" spans="1:55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</row>
    <row r="441" spans="1:55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</row>
    <row r="442" spans="1:55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</row>
    <row r="443" spans="1:55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</row>
    <row r="444" spans="1:55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</row>
    <row r="445" spans="1:55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</row>
    <row r="446" spans="1:55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</row>
    <row r="447" spans="1:55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</row>
    <row r="448" spans="1:55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</row>
    <row r="449" spans="1:55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</row>
    <row r="450" spans="1:55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</row>
    <row r="451" spans="1:55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</row>
    <row r="452" spans="1:55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</row>
    <row r="453" spans="1:55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</row>
    <row r="454" spans="1:55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</row>
    <row r="455" spans="1:55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</row>
    <row r="456" spans="1:55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</row>
    <row r="457" spans="1:55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</row>
    <row r="458" spans="1:55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</row>
    <row r="459" spans="1:55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</row>
    <row r="460" spans="1:55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</row>
    <row r="461" spans="1:55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</row>
    <row r="462" spans="1:55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</row>
    <row r="463" spans="1:55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</row>
    <row r="464" spans="1:55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</row>
    <row r="465" spans="1:55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</row>
    <row r="466" spans="1:55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</row>
    <row r="467" spans="1:55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</row>
    <row r="468" spans="1:55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</row>
    <row r="469" spans="1:55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</row>
    <row r="470" spans="1:55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</row>
    <row r="471" spans="1:55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</row>
    <row r="472" spans="1:55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</row>
    <row r="473" spans="1:55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</row>
    <row r="474" spans="1:55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</row>
    <row r="475" spans="1:55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</row>
    <row r="476" spans="1:55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</row>
    <row r="477" spans="1:55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</row>
    <row r="478" spans="1:55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</row>
    <row r="479" spans="1:55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</row>
    <row r="480" spans="1:55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</row>
    <row r="481" spans="1:55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</row>
    <row r="482" spans="1:55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</row>
    <row r="483" spans="1:55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</row>
    <row r="484" spans="1:55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</row>
    <row r="485" spans="1:55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</row>
    <row r="486" spans="1:55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</row>
    <row r="487" spans="1:55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</row>
    <row r="488" spans="1:55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</row>
    <row r="489" spans="1:55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</row>
    <row r="490" spans="1:55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</row>
    <row r="491" spans="1:55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</row>
    <row r="492" spans="1:55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</row>
    <row r="493" spans="1:55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</row>
    <row r="494" spans="1:55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</row>
    <row r="495" spans="1:55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</row>
    <row r="496" spans="1:55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</row>
    <row r="497" spans="1:55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</row>
    <row r="498" spans="1:55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</row>
    <row r="499" spans="1:55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</row>
    <row r="500" spans="1:55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</row>
  </sheetData>
  <autoFilter ref="A3:AM95" xr:uid="{741AA49C-142E-4B11-8BA8-633A1BC1195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2025-11-27T11:23:58Z</dcterms:created>
  <dcterms:modified xsi:type="dcterms:W3CDTF">2025-12-01T10:32:42Z</dcterms:modified>
</cp:coreProperties>
</file>