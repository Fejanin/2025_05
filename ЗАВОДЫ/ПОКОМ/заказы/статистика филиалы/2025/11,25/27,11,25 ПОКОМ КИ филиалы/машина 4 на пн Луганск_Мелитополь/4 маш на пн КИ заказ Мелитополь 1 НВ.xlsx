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EE32E1C-4FD3-4588-B816-2948356F53E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Y187" i="1" s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BP27" i="1" l="1"/>
  <c r="Y491" i="1" s="1"/>
  <c r="BN27" i="1"/>
  <c r="Y490" i="1" s="1"/>
  <c r="Y492" i="1" s="1"/>
  <c r="Z27" i="1"/>
  <c r="Z31" i="1" s="1"/>
  <c r="B499" i="1"/>
  <c r="Y31" i="1"/>
  <c r="Y493" i="1" s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Y148" i="1"/>
  <c r="X489" i="1"/>
  <c r="Y32" i="1"/>
  <c r="Y489" i="1" s="1"/>
  <c r="BP29" i="1"/>
  <c r="BN29" i="1"/>
  <c r="Z29" i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9" i="1"/>
  <c r="Y88" i="1"/>
  <c r="BP85" i="1"/>
  <c r="BN85" i="1"/>
  <c r="Z85" i="1"/>
  <c r="Z88" i="1" s="1"/>
  <c r="BP93" i="1"/>
  <c r="BN93" i="1"/>
  <c r="Z93" i="1"/>
  <c r="F499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9" i="1"/>
  <c r="Y143" i="1"/>
  <c r="BP140" i="1"/>
  <c r="BN140" i="1"/>
  <c r="Z140" i="1"/>
  <c r="Z142" i="1" s="1"/>
  <c r="Y149" i="1"/>
  <c r="Z285" i="1"/>
  <c r="Y171" i="1"/>
  <c r="Y177" i="1"/>
  <c r="Y188" i="1"/>
  <c r="Y192" i="1"/>
  <c r="Y204" i="1"/>
  <c r="Y216" i="1"/>
  <c r="Y220" i="1"/>
  <c r="Y235" i="1"/>
  <c r="Y239" i="1"/>
  <c r="Y243" i="1"/>
  <c r="Y251" i="1"/>
  <c r="Y260" i="1"/>
  <c r="M499" i="1"/>
  <c r="Y267" i="1"/>
  <c r="Y268" i="1"/>
  <c r="Y274" i="1"/>
  <c r="BP271" i="1"/>
  <c r="BN271" i="1"/>
  <c r="Z271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Z324" i="1" s="1"/>
  <c r="BP329" i="1"/>
  <c r="BN329" i="1"/>
  <c r="Z329" i="1"/>
  <c r="Y331" i="1"/>
  <c r="R499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1" i="1"/>
  <c r="BP377" i="1"/>
  <c r="BN377" i="1"/>
  <c r="Z377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Z453" i="1"/>
  <c r="BP451" i="1"/>
  <c r="BN451" i="1"/>
  <c r="Z451" i="1"/>
  <c r="Y453" i="1"/>
  <c r="J499" i="1"/>
  <c r="S499" i="1"/>
  <c r="H9" i="1"/>
  <c r="X490" i="1"/>
  <c r="X492" i="1" s="1"/>
  <c r="X491" i="1"/>
  <c r="X493" i="1"/>
  <c r="C499" i="1"/>
  <c r="Y44" i="1"/>
  <c r="D499" i="1"/>
  <c r="Y57" i="1"/>
  <c r="Y103" i="1"/>
  <c r="G499" i="1"/>
  <c r="Y126" i="1"/>
  <c r="I499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Z186" i="1"/>
  <c r="Z187" i="1" s="1"/>
  <c r="BN186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Z259" i="1" s="1"/>
  <c r="BN254" i="1"/>
  <c r="BP254" i="1"/>
  <c r="Z256" i="1"/>
  <c r="BN256" i="1"/>
  <c r="Z258" i="1"/>
  <c r="BN258" i="1"/>
  <c r="Y259" i="1"/>
  <c r="Z263" i="1"/>
  <c r="Z267" i="1" s="1"/>
  <c r="BN263" i="1"/>
  <c r="BP263" i="1"/>
  <c r="Z265" i="1"/>
  <c r="BN265" i="1"/>
  <c r="BP266" i="1"/>
  <c r="BN266" i="1"/>
  <c r="BP273" i="1"/>
  <c r="BN273" i="1"/>
  <c r="Z273" i="1"/>
  <c r="Y275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25" i="1"/>
  <c r="Y330" i="1"/>
  <c r="BP327" i="1"/>
  <c r="BN327" i="1"/>
  <c r="Z327" i="1"/>
  <c r="Z330" i="1" s="1"/>
  <c r="BP336" i="1"/>
  <c r="BN336" i="1"/>
  <c r="Z336" i="1"/>
  <c r="Y338" i="1"/>
  <c r="Y349" i="1"/>
  <c r="BP342" i="1"/>
  <c r="BN342" i="1"/>
  <c r="Z342" i="1"/>
  <c r="Z349" i="1" s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9" i="1"/>
  <c r="Y370" i="1"/>
  <c r="BP367" i="1"/>
  <c r="BN367" i="1"/>
  <c r="Z367" i="1"/>
  <c r="Z369" i="1" s="1"/>
  <c r="Y374" i="1"/>
  <c r="Y380" i="1"/>
  <c r="BP386" i="1"/>
  <c r="BN386" i="1"/>
  <c r="Z386" i="1"/>
  <c r="Z394" i="1" s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Z447" i="1" s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Z468" i="1" l="1"/>
  <c r="Z250" i="1"/>
  <c r="Z215" i="1"/>
  <c r="Z337" i="1"/>
  <c r="Z304" i="1"/>
  <c r="Z294" i="1"/>
  <c r="Z69" i="1"/>
  <c r="Z494" i="1" s="1"/>
  <c r="Z432" i="1"/>
  <c r="Z438" i="1"/>
  <c r="Z274" i="1"/>
</calcChain>
</file>

<file path=xl/sharedStrings.xml><?xml version="1.0" encoding="utf-8"?>
<sst xmlns="http://schemas.openxmlformats.org/spreadsheetml/2006/main" count="2316" uniqueCount="762">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</sst>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100</v>
      </c>
      <c r="Y195" s="542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150</v>
      </c>
      <c r="Y196" s="542">
        <f t="shared" si="10"/>
        <v>151.20000000000002</v>
      </c>
      <c r="Z196" s="36">
        <f>IFERROR(IF(Y196=0,"",ROUNDUP(Y196/H196,0)*0.00902),"")</f>
        <v>0.25256000000000001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155.27777777777777</v>
      </c>
      <c r="BN196" s="64">
        <f t="shared" si="12"/>
        <v>156.52000000000001</v>
      </c>
      <c r="BO196" s="64">
        <f t="shared" si="13"/>
        <v>0.21043771043771042</v>
      </c>
      <c r="BP196" s="64">
        <f t="shared" si="14"/>
        <v>0.21212121212121213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46.296296296296291</v>
      </c>
      <c r="Y203" s="543">
        <f>IFERROR(Y195/H195,"0")+IFERROR(Y196/H196,"0")+IFERROR(Y197/H197,"0")+IFERROR(Y198/H198,"0")+IFERROR(Y199/H199,"0")+IFERROR(Y200/H200,"0")+IFERROR(Y201/H201,"0")+IFERROR(Y202/H202,"0")</f>
        <v>47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0.42393999999999998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250</v>
      </c>
      <c r="Y204" s="543">
        <f>IFERROR(SUM(Y195:Y202),"0")</f>
        <v>253.8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150</v>
      </c>
      <c r="Y342" s="542">
        <f t="shared" ref="Y342:Y348" si="31">IFERROR(IF(X342="",0,CEILING((X342/$H342),1)*$H342),"")</f>
        <v>150</v>
      </c>
      <c r="Z342" s="36">
        <f>IFERROR(IF(Y342=0,"",ROUNDUP(Y342/H342,0)*0.02175),"")</f>
        <v>0.21749999999999997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154.69999999999999</v>
      </c>
      <c r="BN342" s="64">
        <f t="shared" ref="BN342:BN348" si="33">IFERROR(Y342*I342/H342,"0")</f>
        <v>154.69999999999999</v>
      </c>
      <c r="BO342" s="64">
        <f t="shared" ref="BO342:BO348" si="34">IFERROR(1/J342*(X342/H342),"0")</f>
        <v>0.20833333333333331</v>
      </c>
      <c r="BP342" s="64">
        <f t="shared" ref="BP342:BP348" si="35">IFERROR(1/J342*(Y342/H342),"0")</f>
        <v>0.20833333333333331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300</v>
      </c>
      <c r="Y345" s="542">
        <f t="shared" si="31"/>
        <v>300</v>
      </c>
      <c r="Z345" s="36">
        <f>IFERROR(IF(Y345=0,"",ROUNDUP(Y345/H345,0)*0.02175),"")</f>
        <v>0.43499999999999994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309.39999999999998</v>
      </c>
      <c r="BN345" s="64">
        <f t="shared" si="33"/>
        <v>309.39999999999998</v>
      </c>
      <c r="BO345" s="64">
        <f t="shared" si="34"/>
        <v>0.41666666666666663</v>
      </c>
      <c r="BP345" s="64">
        <f t="shared" si="35"/>
        <v>0.41666666666666663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30</v>
      </c>
      <c r="Y349" s="543">
        <f>IFERROR(Y342/H342,"0")+IFERROR(Y343/H343,"0")+IFERROR(Y344/H344,"0")+IFERROR(Y345/H345,"0")+IFERROR(Y346/H346,"0")+IFERROR(Y347/H347,"0")+IFERROR(Y348/H348,"0")</f>
        <v>30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0.65249999999999986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450</v>
      </c>
      <c r="Y350" s="543">
        <f>IFERROR(SUM(Y342:Y348),"0")</f>
        <v>450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150</v>
      </c>
      <c r="Y352" s="542">
        <f>IFERROR(IF(X352="",0,CEILING((X352/$H352),1)*$H352),"")</f>
        <v>150</v>
      </c>
      <c r="Z352" s="36">
        <f>IFERROR(IF(Y352=0,"",ROUNDUP(Y352/H352,0)*0.02175),"")</f>
        <v>0.21749999999999997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154.69999999999999</v>
      </c>
      <c r="BN352" s="64">
        <f>IFERROR(Y352*I352/H352,"0")</f>
        <v>154.69999999999999</v>
      </c>
      <c r="BO352" s="64">
        <f>IFERROR(1/J352*(X352/H352),"0")</f>
        <v>0.20833333333333331</v>
      </c>
      <c r="BP352" s="64">
        <f>IFERROR(1/J352*(Y352/H352),"0")</f>
        <v>0.20833333333333331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10</v>
      </c>
      <c r="Y354" s="543">
        <f>IFERROR(Y352/H352,"0")+IFERROR(Y353/H353,"0")</f>
        <v>10</v>
      </c>
      <c r="Z354" s="543">
        <f>IFERROR(IF(Z352="",0,Z352),"0")+IFERROR(IF(Z353="",0,Z353),"0")</f>
        <v>0.21749999999999997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150</v>
      </c>
      <c r="Y355" s="543">
        <f>IFERROR(SUM(Y352:Y353),"0")</f>
        <v>150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150</v>
      </c>
      <c r="Y377" s="542">
        <f>IFERROR(IF(X377="",0,CEILING((X377/$H377),1)*$H377),"")</f>
        <v>153</v>
      </c>
      <c r="Z377" s="36">
        <f>IFERROR(IF(Y377=0,"",ROUNDUP(Y377/H377,0)*0.01898),"")</f>
        <v>0.32266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158.23333333333332</v>
      </c>
      <c r="BN377" s="64">
        <f>IFERROR(Y377*I377/H377,"0")</f>
        <v>161.398</v>
      </c>
      <c r="BO377" s="64">
        <f>IFERROR(1/J377*(X377/H377),"0")</f>
        <v>0.26041666666666669</v>
      </c>
      <c r="BP377" s="64">
        <f>IFERROR(1/J377*(Y377/H377),"0")</f>
        <v>0.265625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16.666666666666668</v>
      </c>
      <c r="Y380" s="543">
        <f>IFERROR(Y377/H377,"0")+IFERROR(Y378/H378,"0")+IFERROR(Y379/H379,"0")</f>
        <v>17</v>
      </c>
      <c r="Z380" s="543">
        <f>IFERROR(IF(Z377="",0,Z377),"0")+IFERROR(IF(Z378="",0,Z378),"0")+IFERROR(IF(Z379="",0,Z379),"0")</f>
        <v>0.32266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150</v>
      </c>
      <c r="Y381" s="543">
        <f>IFERROR(SUM(Y377:Y379),"0")</f>
        <v>153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1000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1006.8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1035.8296296296296</v>
      </c>
      <c r="Y490" s="543">
        <f>IFERROR(SUM(BN22:BN486),"0")</f>
        <v>1042.9279999999999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1085.8296296296296</v>
      </c>
      <c r="Y492" s="543">
        <f>GrossWeightTotalR+PalletQtyTotalR*25</f>
        <v>1092.9279999999999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102.96296296296296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104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1.6165999999999998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253.8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600</v>
      </c>
      <c r="T499" s="46">
        <f>IFERROR(Y367*1,"0")+IFERROR(Y368*1,"0")+IFERROR(Y372*1,"0")+IFERROR(Y373*1,"0")+IFERROR(Y377*1,"0")+IFERROR(Y378*1,"0")+IFERROR(Y379*1,"0")</f>
        <v>153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