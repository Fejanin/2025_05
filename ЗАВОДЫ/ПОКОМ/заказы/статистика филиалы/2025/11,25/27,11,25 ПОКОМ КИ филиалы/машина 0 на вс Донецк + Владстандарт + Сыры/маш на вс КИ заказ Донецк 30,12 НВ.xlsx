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A3FD360E-C085-4663-8579-80876861FC9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4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Y399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1" i="1"/>
  <c r="X380" i="1"/>
  <c r="BO379" i="1"/>
  <c r="BM379" i="1"/>
  <c r="Y379" i="1"/>
  <c r="BO378" i="1"/>
  <c r="BM378" i="1"/>
  <c r="Y378" i="1"/>
  <c r="P378" i="1"/>
  <c r="BP377" i="1"/>
  <c r="BO377" i="1"/>
  <c r="BN377" i="1"/>
  <c r="BM377" i="1"/>
  <c r="Z377" i="1"/>
  <c r="Y377" i="1"/>
  <c r="P377" i="1"/>
  <c r="X375" i="1"/>
  <c r="Y374" i="1"/>
  <c r="X374" i="1"/>
  <c r="BP373" i="1"/>
  <c r="BO373" i="1"/>
  <c r="BN373" i="1"/>
  <c r="BM373" i="1"/>
  <c r="Z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X359" i="1"/>
  <c r="BP358" i="1"/>
  <c r="BO358" i="1"/>
  <c r="BN358" i="1"/>
  <c r="BM358" i="1"/>
  <c r="Z358" i="1"/>
  <c r="Y358" i="1"/>
  <c r="P358" i="1"/>
  <c r="BO357" i="1"/>
  <c r="BM357" i="1"/>
  <c r="Z357" i="1"/>
  <c r="Z359" i="1" s="1"/>
  <c r="Y357" i="1"/>
  <c r="P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Y317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Y318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BP283" i="1"/>
  <c r="BO283" i="1"/>
  <c r="BN283" i="1"/>
  <c r="BM283" i="1"/>
  <c r="Z283" i="1"/>
  <c r="Y283" i="1"/>
  <c r="P283" i="1"/>
  <c r="X281" i="1"/>
  <c r="Y280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Y260" i="1" s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BP245" i="1"/>
  <c r="BO245" i="1"/>
  <c r="BN245" i="1"/>
  <c r="BM245" i="1"/>
  <c r="Z245" i="1"/>
  <c r="Y245" i="1"/>
  <c r="Y251" i="1" s="1"/>
  <c r="P245" i="1"/>
  <c r="X243" i="1"/>
  <c r="Y242" i="1"/>
  <c r="X242" i="1"/>
  <c r="BP241" i="1"/>
  <c r="BO241" i="1"/>
  <c r="BN241" i="1"/>
  <c r="BM241" i="1"/>
  <c r="Z241" i="1"/>
  <c r="Z242" i="1" s="1"/>
  <c r="Y241" i="1"/>
  <c r="Y243" i="1" s="1"/>
  <c r="P241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X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P218" i="1"/>
  <c r="BO218" i="1"/>
  <c r="BN218" i="1"/>
  <c r="BM218" i="1"/>
  <c r="Z218" i="1"/>
  <c r="Y218" i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4" i="1"/>
  <c r="X203" i="1"/>
  <c r="BO202" i="1"/>
  <c r="BM202" i="1"/>
  <c r="Y202" i="1"/>
  <c r="P202" i="1"/>
  <c r="BP201" i="1"/>
  <c r="BO201" i="1"/>
  <c r="BN201" i="1"/>
  <c r="BM201" i="1"/>
  <c r="Z201" i="1"/>
  <c r="Y201" i="1"/>
  <c r="P201" i="1"/>
  <c r="BO200" i="1"/>
  <c r="BM200" i="1"/>
  <c r="Y200" i="1"/>
  <c r="P200" i="1"/>
  <c r="BP199" i="1"/>
  <c r="BO199" i="1"/>
  <c r="BN199" i="1"/>
  <c r="BM199" i="1"/>
  <c r="Z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BP195" i="1"/>
  <c r="BO195" i="1"/>
  <c r="BN195" i="1"/>
  <c r="BM195" i="1"/>
  <c r="Z195" i="1"/>
  <c r="Y195" i="1"/>
  <c r="Y203" i="1" s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8" i="1"/>
  <c r="Y177" i="1"/>
  <c r="X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Y178" i="1" s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P162" i="1"/>
  <c r="BP161" i="1"/>
  <c r="BO161" i="1"/>
  <c r="BN161" i="1"/>
  <c r="BM161" i="1"/>
  <c r="Z161" i="1"/>
  <c r="Y161" i="1"/>
  <c r="P161" i="1"/>
  <c r="X159" i="1"/>
  <c r="Y158" i="1"/>
  <c r="X158" i="1"/>
  <c r="BP157" i="1"/>
  <c r="BO157" i="1"/>
  <c r="BN157" i="1"/>
  <c r="BM157" i="1"/>
  <c r="Z157" i="1"/>
  <c r="Z158" i="1" s="1"/>
  <c r="Y157" i="1"/>
  <c r="P157" i="1"/>
  <c r="X153" i="1"/>
  <c r="Y152" i="1"/>
  <c r="X152" i="1"/>
  <c r="BP151" i="1"/>
  <c r="BO151" i="1"/>
  <c r="BN151" i="1"/>
  <c r="BM151" i="1"/>
  <c r="Z151" i="1"/>
  <c r="Z152" i="1" s="1"/>
  <c r="Y151" i="1"/>
  <c r="Y153" i="1" s="1"/>
  <c r="P151" i="1"/>
  <c r="X149" i="1"/>
  <c r="Y148" i="1"/>
  <c r="X148" i="1"/>
  <c r="BP147" i="1"/>
  <c r="BO147" i="1"/>
  <c r="BN147" i="1"/>
  <c r="BM147" i="1"/>
  <c r="Z147" i="1"/>
  <c r="Y147" i="1"/>
  <c r="P147" i="1"/>
  <c r="BO146" i="1"/>
  <c r="BM146" i="1"/>
  <c r="Y146" i="1"/>
  <c r="P146" i="1"/>
  <c r="BP145" i="1"/>
  <c r="BO145" i="1"/>
  <c r="BN145" i="1"/>
  <c r="BM145" i="1"/>
  <c r="Z145" i="1"/>
  <c r="Y145" i="1"/>
  <c r="Y149" i="1" s="1"/>
  <c r="P145" i="1"/>
  <c r="X143" i="1"/>
  <c r="X142" i="1"/>
  <c r="BP141" i="1"/>
  <c r="BO141" i="1"/>
  <c r="BN141" i="1"/>
  <c r="BM141" i="1"/>
  <c r="Z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P134" i="1"/>
  <c r="X132" i="1"/>
  <c r="Y131" i="1"/>
  <c r="X131" i="1"/>
  <c r="BP130" i="1"/>
  <c r="BO130" i="1"/>
  <c r="BN130" i="1"/>
  <c r="BM130" i="1"/>
  <c r="Z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Y57" i="1" s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89" i="1" s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Y31" i="1" l="1"/>
  <c r="Y493" i="1" s="1"/>
  <c r="Y43" i="1"/>
  <c r="Y58" i="1"/>
  <c r="Y64" i="1"/>
  <c r="Y70" i="1"/>
  <c r="Y77" i="1"/>
  <c r="BP72" i="1"/>
  <c r="BN72" i="1"/>
  <c r="Z72" i="1"/>
  <c r="Y76" i="1"/>
  <c r="BP80" i="1"/>
  <c r="BN80" i="1"/>
  <c r="Z80" i="1"/>
  <c r="Z81" i="1" s="1"/>
  <c r="Y82" i="1"/>
  <c r="E499" i="1"/>
  <c r="Y88" i="1"/>
  <c r="BP85" i="1"/>
  <c r="BN85" i="1"/>
  <c r="Z85" i="1"/>
  <c r="BP93" i="1"/>
  <c r="BN93" i="1"/>
  <c r="Z93" i="1"/>
  <c r="BP102" i="1"/>
  <c r="BN102" i="1"/>
  <c r="Z102" i="1"/>
  <c r="Y104" i="1"/>
  <c r="Y109" i="1"/>
  <c r="BP106" i="1"/>
  <c r="BN106" i="1"/>
  <c r="Z106" i="1"/>
  <c r="BP114" i="1"/>
  <c r="BN114" i="1"/>
  <c r="Z114" i="1"/>
  <c r="BP135" i="1"/>
  <c r="BN135" i="1"/>
  <c r="Z135" i="1"/>
  <c r="Z136" i="1" s="1"/>
  <c r="Y137" i="1"/>
  <c r="H499" i="1"/>
  <c r="Y143" i="1"/>
  <c r="BP140" i="1"/>
  <c r="BN140" i="1"/>
  <c r="Z140" i="1"/>
  <c r="Z142" i="1" s="1"/>
  <c r="BP162" i="1"/>
  <c r="BN162" i="1"/>
  <c r="Z162" i="1"/>
  <c r="Z171" i="1" s="1"/>
  <c r="BP165" i="1"/>
  <c r="BN165" i="1"/>
  <c r="Z165" i="1"/>
  <c r="BP169" i="1"/>
  <c r="BN169" i="1"/>
  <c r="Z169" i="1"/>
  <c r="BP186" i="1"/>
  <c r="BN186" i="1"/>
  <c r="Z186" i="1"/>
  <c r="Z187" i="1" s="1"/>
  <c r="Y188" i="1"/>
  <c r="Y193" i="1"/>
  <c r="BP190" i="1"/>
  <c r="BN190" i="1"/>
  <c r="Z190" i="1"/>
  <c r="Z192" i="1" s="1"/>
  <c r="BP198" i="1"/>
  <c r="BN198" i="1"/>
  <c r="Z198" i="1"/>
  <c r="BP202" i="1"/>
  <c r="BN202" i="1"/>
  <c r="Z202" i="1"/>
  <c r="Y204" i="1"/>
  <c r="Y216" i="1"/>
  <c r="BP206" i="1"/>
  <c r="BN206" i="1"/>
  <c r="Z206" i="1"/>
  <c r="BP210" i="1"/>
  <c r="BN210" i="1"/>
  <c r="Z210" i="1"/>
  <c r="Y215" i="1"/>
  <c r="BP219" i="1"/>
  <c r="BN219" i="1"/>
  <c r="Z219" i="1"/>
  <c r="Z220" i="1" s="1"/>
  <c r="Y221" i="1"/>
  <c r="K499" i="1"/>
  <c r="Y235" i="1"/>
  <c r="BP224" i="1"/>
  <c r="BN224" i="1"/>
  <c r="Z224" i="1"/>
  <c r="Y234" i="1"/>
  <c r="BP228" i="1"/>
  <c r="BN228" i="1"/>
  <c r="Z228" i="1"/>
  <c r="BP232" i="1"/>
  <c r="BN232" i="1"/>
  <c r="Z232" i="1"/>
  <c r="BP257" i="1"/>
  <c r="BN257" i="1"/>
  <c r="Z257" i="1"/>
  <c r="BP321" i="1"/>
  <c r="BN321" i="1"/>
  <c r="Z321" i="1"/>
  <c r="Z324" i="1" s="1"/>
  <c r="Y325" i="1"/>
  <c r="BP329" i="1"/>
  <c r="BN329" i="1"/>
  <c r="Z329" i="1"/>
  <c r="Y331" i="1"/>
  <c r="R499" i="1"/>
  <c r="Y337" i="1"/>
  <c r="BP334" i="1"/>
  <c r="BN334" i="1"/>
  <c r="Z334" i="1"/>
  <c r="Y338" i="1"/>
  <c r="BP344" i="1"/>
  <c r="BN344" i="1"/>
  <c r="Z344" i="1"/>
  <c r="BP348" i="1"/>
  <c r="BN348" i="1"/>
  <c r="Z348" i="1"/>
  <c r="Y350" i="1"/>
  <c r="Y355" i="1"/>
  <c r="BP352" i="1"/>
  <c r="BN352" i="1"/>
  <c r="Z352" i="1"/>
  <c r="Z354" i="1" s="1"/>
  <c r="Y354" i="1"/>
  <c r="D499" i="1"/>
  <c r="H9" i="1"/>
  <c r="B499" i="1"/>
  <c r="X490" i="1"/>
  <c r="X491" i="1"/>
  <c r="X493" i="1"/>
  <c r="Y24" i="1"/>
  <c r="Z27" i="1"/>
  <c r="Z31" i="1" s="1"/>
  <c r="BN27" i="1"/>
  <c r="Y490" i="1" s="1"/>
  <c r="Z29" i="1"/>
  <c r="BN29" i="1"/>
  <c r="C499" i="1"/>
  <c r="Z41" i="1"/>
  <c r="Z43" i="1" s="1"/>
  <c r="BN41" i="1"/>
  <c r="Y44" i="1"/>
  <c r="Z52" i="1"/>
  <c r="Z57" i="1" s="1"/>
  <c r="BN52" i="1"/>
  <c r="Z54" i="1"/>
  <c r="BN54" i="1"/>
  <c r="Z56" i="1"/>
  <c r="BN56" i="1"/>
  <c r="Z60" i="1"/>
  <c r="Z63" i="1" s="1"/>
  <c r="BN60" i="1"/>
  <c r="BP60" i="1"/>
  <c r="Y491" i="1" s="1"/>
  <c r="Z62" i="1"/>
  <c r="BN62" i="1"/>
  <c r="Z66" i="1"/>
  <c r="BN66" i="1"/>
  <c r="BP66" i="1"/>
  <c r="Z68" i="1"/>
  <c r="BN68" i="1"/>
  <c r="BP74" i="1"/>
  <c r="BN74" i="1"/>
  <c r="Z74" i="1"/>
  <c r="Y81" i="1"/>
  <c r="BP87" i="1"/>
  <c r="BN87" i="1"/>
  <c r="Z87" i="1"/>
  <c r="Y89" i="1"/>
  <c r="Y96" i="1"/>
  <c r="BP91" i="1"/>
  <c r="BN91" i="1"/>
  <c r="Z91" i="1"/>
  <c r="Z95" i="1" s="1"/>
  <c r="Y95" i="1"/>
  <c r="BP100" i="1"/>
  <c r="BN100" i="1"/>
  <c r="Z100" i="1"/>
  <c r="Z103" i="1" s="1"/>
  <c r="BP108" i="1"/>
  <c r="BN108" i="1"/>
  <c r="Z108" i="1"/>
  <c r="Y110" i="1"/>
  <c r="Y117" i="1"/>
  <c r="BP112" i="1"/>
  <c r="BN112" i="1"/>
  <c r="Z112" i="1"/>
  <c r="Z116" i="1" s="1"/>
  <c r="Y116" i="1"/>
  <c r="BP125" i="1"/>
  <c r="BN125" i="1"/>
  <c r="Z125" i="1"/>
  <c r="Z126" i="1" s="1"/>
  <c r="Y127" i="1"/>
  <c r="Y132" i="1"/>
  <c r="BP129" i="1"/>
  <c r="BN129" i="1"/>
  <c r="Z129" i="1"/>
  <c r="Z131" i="1" s="1"/>
  <c r="Y136" i="1"/>
  <c r="Y142" i="1"/>
  <c r="BP146" i="1"/>
  <c r="BN146" i="1"/>
  <c r="Z146" i="1"/>
  <c r="Z148" i="1" s="1"/>
  <c r="Y172" i="1"/>
  <c r="BP164" i="1"/>
  <c r="BN164" i="1"/>
  <c r="Z164" i="1"/>
  <c r="BP167" i="1"/>
  <c r="BN167" i="1"/>
  <c r="Z167" i="1"/>
  <c r="Y171" i="1"/>
  <c r="BP175" i="1"/>
  <c r="BN175" i="1"/>
  <c r="Z175" i="1"/>
  <c r="Z177" i="1" s="1"/>
  <c r="Y192" i="1"/>
  <c r="BP196" i="1"/>
  <c r="BN196" i="1"/>
  <c r="Z196" i="1"/>
  <c r="Z203" i="1" s="1"/>
  <c r="BP200" i="1"/>
  <c r="BN200" i="1"/>
  <c r="Z200" i="1"/>
  <c r="BP208" i="1"/>
  <c r="BN208" i="1"/>
  <c r="Z208" i="1"/>
  <c r="BP212" i="1"/>
  <c r="BN212" i="1"/>
  <c r="Z212" i="1"/>
  <c r="BP248" i="1"/>
  <c r="BN248" i="1"/>
  <c r="Z248" i="1"/>
  <c r="BP266" i="1"/>
  <c r="BN266" i="1"/>
  <c r="Z266" i="1"/>
  <c r="Y268" i="1"/>
  <c r="O499" i="1"/>
  <c r="Y274" i="1"/>
  <c r="BP271" i="1"/>
  <c r="BN271" i="1"/>
  <c r="Z271" i="1"/>
  <c r="Y275" i="1"/>
  <c r="BP284" i="1"/>
  <c r="BN284" i="1"/>
  <c r="Z284" i="1"/>
  <c r="Z285" i="1" s="1"/>
  <c r="Y286" i="1"/>
  <c r="Q499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Y305" i="1"/>
  <c r="BP301" i="1"/>
  <c r="BN301" i="1"/>
  <c r="Z301" i="1"/>
  <c r="BP309" i="1"/>
  <c r="BN309" i="1"/>
  <c r="Z309" i="1"/>
  <c r="BP378" i="1"/>
  <c r="BN378" i="1"/>
  <c r="Z378" i="1"/>
  <c r="Z380" i="1" s="1"/>
  <c r="Y381" i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F499" i="1"/>
  <c r="Y103" i="1"/>
  <c r="G499" i="1"/>
  <c r="Y126" i="1"/>
  <c r="I499" i="1"/>
  <c r="Y159" i="1"/>
  <c r="J499" i="1"/>
  <c r="Y187" i="1"/>
  <c r="BP213" i="1"/>
  <c r="BN213" i="1"/>
  <c r="Z213" i="1"/>
  <c r="Y220" i="1"/>
  <c r="BP226" i="1"/>
  <c r="BN226" i="1"/>
  <c r="Z226" i="1"/>
  <c r="BP230" i="1"/>
  <c r="BN230" i="1"/>
  <c r="Z230" i="1"/>
  <c r="BP246" i="1"/>
  <c r="BN246" i="1"/>
  <c r="Z246" i="1"/>
  <c r="Z250" i="1" s="1"/>
  <c r="Y250" i="1"/>
  <c r="BP255" i="1"/>
  <c r="BN255" i="1"/>
  <c r="Z255" i="1"/>
  <c r="Z259" i="1" s="1"/>
  <c r="Y259" i="1"/>
  <c r="BP264" i="1"/>
  <c r="BN264" i="1"/>
  <c r="Z264" i="1"/>
  <c r="Z267" i="1" s="1"/>
  <c r="BP273" i="1"/>
  <c r="BN273" i="1"/>
  <c r="Z273" i="1"/>
  <c r="P499" i="1"/>
  <c r="Y281" i="1"/>
  <c r="BP278" i="1"/>
  <c r="BN278" i="1"/>
  <c r="Z278" i="1"/>
  <c r="Z280" i="1" s="1"/>
  <c r="Y285" i="1"/>
  <c r="BP291" i="1"/>
  <c r="BN291" i="1"/>
  <c r="Z291" i="1"/>
  <c r="BP299" i="1"/>
  <c r="BN299" i="1"/>
  <c r="Z299" i="1"/>
  <c r="BP303" i="1"/>
  <c r="BN303" i="1"/>
  <c r="Z303" i="1"/>
  <c r="Y312" i="1"/>
  <c r="BP307" i="1"/>
  <c r="BN307" i="1"/>
  <c r="Z307" i="1"/>
  <c r="Z311" i="1" s="1"/>
  <c r="Y311" i="1"/>
  <c r="Z317" i="1"/>
  <c r="BP315" i="1"/>
  <c r="BN315" i="1"/>
  <c r="Z315" i="1"/>
  <c r="Y324" i="1"/>
  <c r="BP323" i="1"/>
  <c r="BN323" i="1"/>
  <c r="Z323" i="1"/>
  <c r="Y330" i="1"/>
  <c r="BP327" i="1"/>
  <c r="BN327" i="1"/>
  <c r="Z327" i="1"/>
  <c r="Z330" i="1" s="1"/>
  <c r="BP336" i="1"/>
  <c r="BN336" i="1"/>
  <c r="Z336" i="1"/>
  <c r="S499" i="1"/>
  <c r="Y349" i="1"/>
  <c r="BP342" i="1"/>
  <c r="BN342" i="1"/>
  <c r="Z342" i="1"/>
  <c r="BP346" i="1"/>
  <c r="BN346" i="1"/>
  <c r="Z346" i="1"/>
  <c r="L499" i="1"/>
  <c r="M499" i="1"/>
  <c r="Y267" i="1"/>
  <c r="Y360" i="1"/>
  <c r="BP357" i="1"/>
  <c r="BN357" i="1"/>
  <c r="Y359" i="1"/>
  <c r="BP368" i="1"/>
  <c r="BN368" i="1"/>
  <c r="Z368" i="1"/>
  <c r="Z369" i="1" s="1"/>
  <c r="Y370" i="1"/>
  <c r="Y375" i="1"/>
  <c r="BP372" i="1"/>
  <c r="BN372" i="1"/>
  <c r="Z372" i="1"/>
  <c r="Z374" i="1" s="1"/>
  <c r="Y380" i="1"/>
  <c r="BP379" i="1"/>
  <c r="BN379" i="1"/>
  <c r="Z379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Z411" i="1" s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69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Z438" i="1" s="1"/>
  <c r="BP443" i="1"/>
  <c r="BN443" i="1"/>
  <c r="Z443" i="1"/>
  <c r="BP451" i="1"/>
  <c r="BN451" i="1"/>
  <c r="Z451" i="1"/>
  <c r="Z453" i="1" s="1"/>
  <c r="Y462" i="1"/>
  <c r="BP461" i="1"/>
  <c r="BN461" i="1"/>
  <c r="Z461" i="1"/>
  <c r="Z462" i="1" s="1"/>
  <c r="Y468" i="1"/>
  <c r="BP465" i="1"/>
  <c r="BN465" i="1"/>
  <c r="Z465" i="1"/>
  <c r="Z468" i="1" s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Y492" i="1" l="1"/>
  <c r="Z447" i="1"/>
  <c r="Z432" i="1"/>
  <c r="Z349" i="1"/>
  <c r="X492" i="1"/>
  <c r="Z215" i="1"/>
  <c r="Z88" i="1"/>
  <c r="Z76" i="1"/>
  <c r="Z394" i="1"/>
  <c r="Z304" i="1"/>
  <c r="Z294" i="1"/>
  <c r="Z274" i="1"/>
  <c r="Z69" i="1"/>
  <c r="Z494" i="1" s="1"/>
  <c r="Y489" i="1"/>
  <c r="Z337" i="1"/>
  <c r="Z234" i="1"/>
  <c r="Z109" i="1"/>
</calcChain>
</file>

<file path=xl/sharedStrings.xml><?xml version="1.0" encoding="utf-8"?>
<sst xmlns="http://schemas.openxmlformats.org/spreadsheetml/2006/main" count="2276" uniqueCount="762">
  <si>
    <t xml:space="preserve">  БЛАНК ЗАКАЗА </t>
  </si>
  <si>
    <t>КИ</t>
  </si>
  <si>
    <t>на отгрузку продукции с ООО Трейд-Сервис с</t>
  </si>
  <si>
    <t>01.12.2025</t>
  </si>
  <si>
    <t>бланк создан</t>
  </si>
  <si>
    <t>26.11.2025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</si>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</sst>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0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4" t="s">
        <v>0</v>
      </c>
      <c r="E1" s="573"/>
      <c r="F1" s="573"/>
      <c r="G1" s="12" t="s">
        <v>1</v>
      </c>
      <c r="H1" s="614" t="s">
        <v>2</v>
      </c>
      <c r="I1" s="573"/>
      <c r="J1" s="573"/>
      <c r="K1" s="573"/>
      <c r="L1" s="573"/>
      <c r="M1" s="573"/>
      <c r="N1" s="573"/>
      <c r="O1" s="573"/>
      <c r="P1" s="573"/>
      <c r="Q1" s="573"/>
      <c r="R1" s="572" t="s">
        <v>3</v>
      </c>
      <c r="S1" s="573"/>
      <c r="T1" s="5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53" t="s">
        <v>8</v>
      </c>
      <c r="B5" s="628"/>
      <c r="C5" s="629"/>
      <c r="D5" s="617"/>
      <c r="E5" s="618"/>
      <c r="F5" s="823" t="s">
        <v>9</v>
      </c>
      <c r="G5" s="629"/>
      <c r="H5" s="617"/>
      <c r="I5" s="764"/>
      <c r="J5" s="764"/>
      <c r="K5" s="764"/>
      <c r="L5" s="764"/>
      <c r="M5" s="618"/>
      <c r="N5" s="58"/>
      <c r="P5" s="24" t="s">
        <v>10</v>
      </c>
      <c r="Q5" s="839">
        <v>45992</v>
      </c>
      <c r="R5" s="652"/>
      <c r="T5" s="701" t="s">
        <v>11</v>
      </c>
      <c r="U5" s="702"/>
      <c r="V5" s="703" t="s">
        <v>12</v>
      </c>
      <c r="W5" s="652"/>
      <c r="AB5" s="51"/>
      <c r="AC5" s="51"/>
      <c r="AD5" s="51"/>
      <c r="AE5" s="51"/>
    </row>
    <row r="6" spans="1:32" s="535" customFormat="1" ht="24" customHeight="1" x14ac:dyDescent="0.2">
      <c r="A6" s="653" t="s">
        <v>13</v>
      </c>
      <c r="B6" s="628"/>
      <c r="C6" s="629"/>
      <c r="D6" s="766" t="s">
        <v>14</v>
      </c>
      <c r="E6" s="767"/>
      <c r="F6" s="767"/>
      <c r="G6" s="767"/>
      <c r="H6" s="767"/>
      <c r="I6" s="767"/>
      <c r="J6" s="767"/>
      <c r="K6" s="767"/>
      <c r="L6" s="767"/>
      <c r="M6" s="652"/>
      <c r="N6" s="59"/>
      <c r="P6" s="24" t="s">
        <v>15</v>
      </c>
      <c r="Q6" s="846" t="str">
        <f>IF(Q5=0," ",CHOOSE(WEEKDAY(Q5,2),"Понедельник","Вторник","Среда","Четверг","Пятница","Суббота","Воскресенье"))</f>
        <v>Понедельник</v>
      </c>
      <c r="R6" s="549"/>
      <c r="T6" s="706" t="s">
        <v>16</v>
      </c>
      <c r="U6" s="702"/>
      <c r="V6" s="750" t="s">
        <v>17</v>
      </c>
      <c r="W6" s="586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5"/>
      <c r="U7" s="702"/>
      <c r="V7" s="751"/>
      <c r="W7" s="752"/>
      <c r="AB7" s="51"/>
      <c r="AC7" s="51"/>
      <c r="AD7" s="51"/>
      <c r="AE7" s="51"/>
    </row>
    <row r="8" spans="1:32" s="535" customFormat="1" ht="25.5" customHeight="1" x14ac:dyDescent="0.2">
      <c r="A8" s="861" t="s">
        <v>18</v>
      </c>
      <c r="B8" s="563"/>
      <c r="C8" s="564"/>
      <c r="D8" s="608" t="s">
        <v>19</v>
      </c>
      <c r="E8" s="609"/>
      <c r="F8" s="609"/>
      <c r="G8" s="609"/>
      <c r="H8" s="609"/>
      <c r="I8" s="609"/>
      <c r="J8" s="609"/>
      <c r="K8" s="609"/>
      <c r="L8" s="609"/>
      <c r="M8" s="610"/>
      <c r="N8" s="61"/>
      <c r="P8" s="24" t="s">
        <v>20</v>
      </c>
      <c r="Q8" s="661">
        <v>0.41666666666666669</v>
      </c>
      <c r="R8" s="599"/>
      <c r="T8" s="555"/>
      <c r="U8" s="702"/>
      <c r="V8" s="751"/>
      <c r="W8" s="752"/>
      <c r="AB8" s="51"/>
      <c r="AC8" s="51"/>
      <c r="AD8" s="51"/>
      <c r="AE8" s="51"/>
    </row>
    <row r="9" spans="1:32" s="535" customFormat="1" ht="39.950000000000003" customHeight="1" x14ac:dyDescent="0.2">
      <c r="A9" s="67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73"/>
      <c r="E9" s="561"/>
      <c r="F9" s="67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3"/>
      <c r="P9" s="26" t="s">
        <v>21</v>
      </c>
      <c r="Q9" s="649"/>
      <c r="R9" s="650"/>
      <c r="T9" s="555"/>
      <c r="U9" s="702"/>
      <c r="V9" s="753"/>
      <c r="W9" s="754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7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73"/>
      <c r="E10" s="561"/>
      <c r="F10" s="67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43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07"/>
      <c r="R10" s="708"/>
      <c r="U10" s="24" t="s">
        <v>23</v>
      </c>
      <c r="V10" s="585" t="s">
        <v>24</v>
      </c>
      <c r="W10" s="586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1"/>
      <c r="R11" s="652"/>
      <c r="U11" s="24" t="s">
        <v>27</v>
      </c>
      <c r="V11" s="790" t="s">
        <v>28</v>
      </c>
      <c r="W11" s="650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4" t="s">
        <v>29</v>
      </c>
      <c r="B12" s="628"/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9"/>
      <c r="N12" s="62"/>
      <c r="P12" s="24" t="s">
        <v>30</v>
      </c>
      <c r="Q12" s="661"/>
      <c r="R12" s="599"/>
      <c r="S12" s="23"/>
      <c r="U12" s="24"/>
      <c r="V12" s="573"/>
      <c r="W12" s="555"/>
      <c r="AB12" s="51"/>
      <c r="AC12" s="51"/>
      <c r="AD12" s="51"/>
      <c r="AE12" s="51"/>
    </row>
    <row r="13" spans="1:32" s="535" customFormat="1" ht="23.25" customHeight="1" x14ac:dyDescent="0.2">
      <c r="A13" s="694" t="s">
        <v>31</v>
      </c>
      <c r="B13" s="628"/>
      <c r="C13" s="628"/>
      <c r="D13" s="628"/>
      <c r="E13" s="628"/>
      <c r="F13" s="628"/>
      <c r="G13" s="628"/>
      <c r="H13" s="628"/>
      <c r="I13" s="628"/>
      <c r="J13" s="628"/>
      <c r="K13" s="628"/>
      <c r="L13" s="628"/>
      <c r="M13" s="629"/>
      <c r="N13" s="62"/>
      <c r="O13" s="26"/>
      <c r="P13" s="26" t="s">
        <v>32</v>
      </c>
      <c r="Q13" s="790"/>
      <c r="R13" s="65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4" t="s">
        <v>33</v>
      </c>
      <c r="B14" s="628"/>
      <c r="C14" s="628"/>
      <c r="D14" s="628"/>
      <c r="E14" s="628"/>
      <c r="F14" s="628"/>
      <c r="G14" s="628"/>
      <c r="H14" s="628"/>
      <c r="I14" s="628"/>
      <c r="J14" s="628"/>
      <c r="K14" s="628"/>
      <c r="L14" s="628"/>
      <c r="M14" s="62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0" t="s">
        <v>34</v>
      </c>
      <c r="B15" s="628"/>
      <c r="C15" s="628"/>
      <c r="D15" s="628"/>
      <c r="E15" s="628"/>
      <c r="F15" s="628"/>
      <c r="G15" s="628"/>
      <c r="H15" s="628"/>
      <c r="I15" s="628"/>
      <c r="J15" s="628"/>
      <c r="K15" s="628"/>
      <c r="L15" s="628"/>
      <c r="M15" s="629"/>
      <c r="N15" s="63"/>
      <c r="P15" s="684" t="s">
        <v>35</v>
      </c>
      <c r="Q15" s="573"/>
      <c r="R15" s="573"/>
      <c r="S15" s="573"/>
      <c r="T15" s="5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5"/>
      <c r="Q16" s="685"/>
      <c r="R16" s="685"/>
      <c r="S16" s="685"/>
      <c r="T16" s="68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70" t="s">
        <v>38</v>
      </c>
      <c r="D17" s="581" t="s">
        <v>39</v>
      </c>
      <c r="E17" s="638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7"/>
      <c r="R17" s="637"/>
      <c r="S17" s="637"/>
      <c r="T17" s="638"/>
      <c r="U17" s="856" t="s">
        <v>51</v>
      </c>
      <c r="V17" s="629"/>
      <c r="W17" s="581" t="s">
        <v>52</v>
      </c>
      <c r="X17" s="581" t="s">
        <v>53</v>
      </c>
      <c r="Y17" s="859" t="s">
        <v>54</v>
      </c>
      <c r="Z17" s="762" t="s">
        <v>55</v>
      </c>
      <c r="AA17" s="741" t="s">
        <v>56</v>
      </c>
      <c r="AB17" s="741" t="s">
        <v>57</v>
      </c>
      <c r="AC17" s="741" t="s">
        <v>58</v>
      </c>
      <c r="AD17" s="741" t="s">
        <v>59</v>
      </c>
      <c r="AE17" s="818"/>
      <c r="AF17" s="819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9"/>
      <c r="E18" s="641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9"/>
      <c r="Q18" s="640"/>
      <c r="R18" s="640"/>
      <c r="S18" s="640"/>
      <c r="T18" s="641"/>
      <c r="U18" s="67" t="s">
        <v>61</v>
      </c>
      <c r="V18" s="67" t="s">
        <v>62</v>
      </c>
      <c r="W18" s="582"/>
      <c r="X18" s="582"/>
      <c r="Y18" s="860"/>
      <c r="Z18" s="763"/>
      <c r="AA18" s="742"/>
      <c r="AB18" s="742"/>
      <c r="AC18" s="742"/>
      <c r="AD18" s="820"/>
      <c r="AE18" s="821"/>
      <c r="AF18" s="822"/>
      <c r="AG18" s="66"/>
      <c r="BD18" s="65"/>
    </row>
    <row r="19" spans="1:68" ht="27.75" customHeight="1" x14ac:dyDescent="0.2">
      <c r="A19" s="632" t="s">
        <v>63</v>
      </c>
      <c r="B19" s="633"/>
      <c r="C19" s="633"/>
      <c r="D19" s="633"/>
      <c r="E19" s="633"/>
      <c r="F19" s="633"/>
      <c r="G19" s="633"/>
      <c r="H19" s="633"/>
      <c r="I19" s="633"/>
      <c r="J19" s="633"/>
      <c r="K19" s="633"/>
      <c r="L19" s="633"/>
      <c r="M19" s="633"/>
      <c r="N19" s="633"/>
      <c r="O19" s="633"/>
      <c r="P19" s="633"/>
      <c r="Q19" s="633"/>
      <c r="R19" s="633"/>
      <c r="S19" s="633"/>
      <c r="T19" s="633"/>
      <c r="U19" s="633"/>
      <c r="V19" s="633"/>
      <c r="W19" s="633"/>
      <c r="X19" s="633"/>
      <c r="Y19" s="633"/>
      <c r="Z19" s="633"/>
      <c r="AA19" s="48"/>
      <c r="AB19" s="48"/>
      <c r="AC19" s="48"/>
    </row>
    <row r="20" spans="1:68" ht="16.5" customHeight="1" x14ac:dyDescent="0.25">
      <c r="A20" s="558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customHeight="1" x14ac:dyDescent="0.25">
      <c r="A21" s="559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9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9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2" t="s">
        <v>97</v>
      </c>
      <c r="B37" s="633"/>
      <c r="C37" s="633"/>
      <c r="D37" s="633"/>
      <c r="E37" s="633"/>
      <c r="F37" s="633"/>
      <c r="G37" s="633"/>
      <c r="H37" s="633"/>
      <c r="I37" s="633"/>
      <c r="J37" s="633"/>
      <c r="K37" s="633"/>
      <c r="L37" s="633"/>
      <c r="M37" s="633"/>
      <c r="N37" s="633"/>
      <c r="O37" s="633"/>
      <c r="P37" s="633"/>
      <c r="Q37" s="633"/>
      <c r="R37" s="633"/>
      <c r="S37" s="633"/>
      <c r="T37" s="633"/>
      <c r="U37" s="633"/>
      <c r="V37" s="633"/>
      <c r="W37" s="633"/>
      <c r="X37" s="633"/>
      <c r="Y37" s="633"/>
      <c r="Z37" s="633"/>
      <c r="AA37" s="48"/>
      <c r="AB37" s="48"/>
      <c r="AC37" s="48"/>
    </row>
    <row r="38" spans="1:68" ht="16.5" customHeight="1" x14ac:dyDescent="0.25">
      <c r="A38" s="558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customHeight="1" x14ac:dyDescent="0.25">
      <c r="A39" s="559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5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79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3">
        <f>IFERROR(X40/H40,"0")+IFERROR(X41/H41,"0")+IFERROR(X42/H42,"0")</f>
        <v>0</v>
      </c>
      <c r="Y43" s="543">
        <f>IFERROR(Y40/H40,"0")+IFERROR(Y41/H41,"0")+IFERROR(Y42/H42,"0")</f>
        <v>0</v>
      </c>
      <c r="Z43" s="543">
        <f>IFERROR(IF(Z40="",0,Z40),"0")+IFERROR(IF(Z41="",0,Z41),"0")+IFERROR(IF(Z42="",0,Z42),"0")</f>
        <v>0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3">
        <f>IFERROR(SUM(X40:X42),"0")</f>
        <v>0</v>
      </c>
      <c r="Y44" s="543">
        <f>IFERROR(SUM(Y40:Y42),"0")</f>
        <v>0</v>
      </c>
      <c r="Z44" s="37"/>
      <c r="AA44" s="544"/>
      <c r="AB44" s="544"/>
      <c r="AC44" s="544"/>
    </row>
    <row r="45" spans="1:68" ht="14.25" customHeight="1" x14ac:dyDescent="0.25">
      <c r="A45" s="559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8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8" t="s">
        <v>116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customHeight="1" x14ac:dyDescent="0.25">
      <c r="A50" s="559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1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50</v>
      </c>
      <c r="Y51" s="542">
        <f t="shared" ref="Y51:Y56" si="0">IFERROR(IF(X51="",0,CEILING((X51/$H51),1)*$H51),"")</f>
        <v>56</v>
      </c>
      <c r="Z51" s="36">
        <f>IFERROR(IF(Y51=0,"",ROUNDUP(Y51/H51,0)*0.01898),"")</f>
        <v>9.4899999999999998E-2</v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51.830357142857146</v>
      </c>
      <c r="BN51" s="64">
        <f t="shared" ref="BN51:BN56" si="2">IFERROR(Y51*I51/H51,"0")</f>
        <v>58.050000000000004</v>
      </c>
      <c r="BO51" s="64">
        <f t="shared" ref="BO51:BO56" si="3">IFERROR(1/J51*(X51/H51),"0")</f>
        <v>6.9754464285714288E-2</v>
      </c>
      <c r="BP51" s="64">
        <f t="shared" ref="BP51:BP56" si="4">IFERROR(1/J51*(Y51/H51),"0")</f>
        <v>7.8125E-2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225</v>
      </c>
      <c r="Y52" s="542">
        <f t="shared" si="0"/>
        <v>226.8</v>
      </c>
      <c r="Z52" s="36">
        <f>IFERROR(IF(Y52=0,"",ROUNDUP(Y52/H52,0)*0.01898),"")</f>
        <v>0.39857999999999999</v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233.54166666666666</v>
      </c>
      <c r="BN52" s="64">
        <f t="shared" si="2"/>
        <v>235.41000000000003</v>
      </c>
      <c r="BO52" s="64">
        <f t="shared" si="3"/>
        <v>0.32552083333333331</v>
      </c>
      <c r="BP52" s="64">
        <f t="shared" si="4"/>
        <v>0.328125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7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1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64</v>
      </c>
      <c r="Y54" s="542">
        <f t="shared" si="0"/>
        <v>64</v>
      </c>
      <c r="Z54" s="36">
        <f>IFERROR(IF(Y54=0,"",ROUNDUP(Y54/H54,0)*0.00902),"")</f>
        <v>0.14432</v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67.040000000000006</v>
      </c>
      <c r="BN54" s="64">
        <f t="shared" si="2"/>
        <v>67.040000000000006</v>
      </c>
      <c r="BO54" s="64">
        <f t="shared" si="3"/>
        <v>0.12121212121212122</v>
      </c>
      <c r="BP54" s="64">
        <f t="shared" si="4"/>
        <v>0.12121212121212122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5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3">
        <f>IFERROR(X51/H51,"0")+IFERROR(X52/H52,"0")+IFERROR(X53/H53,"0")+IFERROR(X54/H54,"0")+IFERROR(X55/H55,"0")+IFERROR(X56/H56,"0")</f>
        <v>41.297619047619051</v>
      </c>
      <c r="Y57" s="543">
        <f>IFERROR(Y51/H51,"0")+IFERROR(Y52/H52,"0")+IFERROR(Y53/H53,"0")+IFERROR(Y54/H54,"0")+IFERROR(Y55/H55,"0")+IFERROR(Y56/H56,"0")</f>
        <v>42</v>
      </c>
      <c r="Z57" s="543">
        <f>IFERROR(IF(Z51="",0,Z51),"0")+IFERROR(IF(Z52="",0,Z52),"0")+IFERROR(IF(Z53="",0,Z53),"0")+IFERROR(IF(Z54="",0,Z54),"0")+IFERROR(IF(Z55="",0,Z55),"0")+IFERROR(IF(Z56="",0,Z56),"0")</f>
        <v>0.63779999999999992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3">
        <f>IFERROR(SUM(X51:X56),"0")</f>
        <v>339</v>
      </c>
      <c r="Y58" s="543">
        <f>IFERROR(SUM(Y51:Y56),"0")</f>
        <v>346.8</v>
      </c>
      <c r="Z58" s="37"/>
      <c r="AA58" s="544"/>
      <c r="AB58" s="544"/>
      <c r="AC58" s="544"/>
    </row>
    <row r="59" spans="1:68" ht="14.25" customHeight="1" x14ac:dyDescent="0.25">
      <c r="A59" s="559" t="s">
        <v>135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84</v>
      </c>
      <c r="Y60" s="542">
        <f>IFERROR(IF(X60="",0,CEILING((X60/$H60),1)*$H60),"")</f>
        <v>86.4</v>
      </c>
      <c r="Z60" s="36">
        <f>IFERROR(IF(Y60=0,"",ROUNDUP(Y60/H60,0)*0.01898),"")</f>
        <v>0.15184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87.188888888888897</v>
      </c>
      <c r="BN60" s="64">
        <f>IFERROR(Y60*I60/H60,"0")</f>
        <v>89.68</v>
      </c>
      <c r="BO60" s="64">
        <f>IFERROR(1/J60*(X60/H60),"0")</f>
        <v>0.12152777777777778</v>
      </c>
      <c r="BP60" s="64">
        <f>IFERROR(1/J60*(Y60/H60),"0")</f>
        <v>0.125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0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3">
        <f>IFERROR(X60/H60,"0")+IFERROR(X61/H61,"0")+IFERROR(X62/H62,"0")</f>
        <v>7.7777777777777777</v>
      </c>
      <c r="Y63" s="543">
        <f>IFERROR(Y60/H60,"0")+IFERROR(Y61/H61,"0")+IFERROR(Y62/H62,"0")</f>
        <v>8</v>
      </c>
      <c r="Z63" s="543">
        <f>IFERROR(IF(Z60="",0,Z60),"0")+IFERROR(IF(Z61="",0,Z61),"0")+IFERROR(IF(Z62="",0,Z62),"0")</f>
        <v>0.15184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3">
        <f>IFERROR(SUM(X60:X62),"0")</f>
        <v>84</v>
      </c>
      <c r="Y64" s="543">
        <f>IFERROR(SUM(Y60:Y62),"0")</f>
        <v>86.4</v>
      </c>
      <c r="Z64" s="37"/>
      <c r="AA64" s="544"/>
      <c r="AB64" s="544"/>
      <c r="AC64" s="544"/>
    </row>
    <row r="65" spans="1:68" ht="14.25" customHeight="1" x14ac:dyDescent="0.25">
      <c r="A65" s="559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9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3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2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9" t="s">
        <v>163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35</v>
      </c>
      <c r="Y79" s="542">
        <f>IFERROR(IF(X79="",0,CEILING((X79/$H79),1)*$H79),"")</f>
        <v>39</v>
      </c>
      <c r="Z79" s="36">
        <f>IFERROR(IF(Y79=0,"",ROUNDUP(Y79/H79,0)*0.01898),"")</f>
        <v>9.4899999999999998E-2</v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36.839743589743591</v>
      </c>
      <c r="BN79" s="64">
        <f>IFERROR(Y79*I79/H79,"0")</f>
        <v>41.050000000000011</v>
      </c>
      <c r="BO79" s="64">
        <f>IFERROR(1/J79*(X79/H79),"0")</f>
        <v>7.0112179487179488E-2</v>
      </c>
      <c r="BP79" s="64">
        <f>IFERROR(1/J79*(Y79/H79),"0")</f>
        <v>7.8125E-2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6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3">
        <f>IFERROR(X79/H79,"0")+IFERROR(X80/H80,"0")</f>
        <v>4.4871794871794872</v>
      </c>
      <c r="Y81" s="543">
        <f>IFERROR(Y79/H79,"0")+IFERROR(Y80/H80,"0")</f>
        <v>5</v>
      </c>
      <c r="Z81" s="543">
        <f>IFERROR(IF(Z79="",0,Z79),"0")+IFERROR(IF(Z80="",0,Z80),"0")</f>
        <v>9.4899999999999998E-2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3">
        <f>IFERROR(SUM(X79:X80),"0")</f>
        <v>35</v>
      </c>
      <c r="Y82" s="543">
        <f>IFERROR(SUM(Y79:Y80),"0")</f>
        <v>39</v>
      </c>
      <c r="Z82" s="37"/>
      <c r="AA82" s="544"/>
      <c r="AB82" s="544"/>
      <c r="AC82" s="544"/>
    </row>
    <row r="83" spans="1:68" ht="16.5" customHeight="1" x14ac:dyDescent="0.25">
      <c r="A83" s="558" t="s">
        <v>170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customHeight="1" x14ac:dyDescent="0.25">
      <c r="A84" s="559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356</v>
      </c>
      <c r="Y85" s="542">
        <f>IFERROR(IF(X85="",0,CEILING((X85/$H85),1)*$H85),"")</f>
        <v>356.40000000000003</v>
      </c>
      <c r="Z85" s="36">
        <f>IFERROR(IF(Y85=0,"",ROUNDUP(Y85/H85,0)*0.01898),"")</f>
        <v>0.62634000000000001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369.51481481481483</v>
      </c>
      <c r="BN85" s="64">
        <f>IFERROR(Y85*I85/H85,"0")</f>
        <v>369.93</v>
      </c>
      <c r="BO85" s="64">
        <f>IFERROR(1/J85*(X85/H85),"0")</f>
        <v>0.51504629629629628</v>
      </c>
      <c r="BP85" s="64">
        <f>IFERROR(1/J85*(Y85/H85),"0")</f>
        <v>0.515625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 t="s">
        <v>110</v>
      </c>
      <c r="M86" s="33" t="s">
        <v>77</v>
      </c>
      <c r="N86" s="33"/>
      <c r="O86" s="32">
        <v>50</v>
      </c>
      <c r="P86" s="5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 t="s">
        <v>106</v>
      </c>
      <c r="AK86" s="68">
        <v>48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 t="s">
        <v>110</v>
      </c>
      <c r="M87" s="33" t="s">
        <v>84</v>
      </c>
      <c r="N87" s="33"/>
      <c r="O87" s="32">
        <v>50</v>
      </c>
      <c r="P87" s="71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65</v>
      </c>
      <c r="Y87" s="542">
        <f>IFERROR(IF(X87="",0,CEILING((X87/$H87),1)*$H87),"")</f>
        <v>67.5</v>
      </c>
      <c r="Z87" s="36">
        <f>IFERROR(IF(Y87=0,"",ROUNDUP(Y87/H87,0)*0.00902),"")</f>
        <v>0.1353</v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67.744444444444454</v>
      </c>
      <c r="BN87" s="64">
        <f>IFERROR(Y87*I87/H87,"0")</f>
        <v>70.350000000000009</v>
      </c>
      <c r="BO87" s="64">
        <f>IFERROR(1/J87*(X87/H87),"0")</f>
        <v>0.10942760942760943</v>
      </c>
      <c r="BP87" s="64">
        <f>IFERROR(1/J87*(Y87/H87),"0")</f>
        <v>0.11363636363636365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3">
        <f>IFERROR(X85/H85,"0")+IFERROR(X86/H86,"0")+IFERROR(X87/H87,"0")</f>
        <v>47.407407407407405</v>
      </c>
      <c r="Y88" s="543">
        <f>IFERROR(Y85/H85,"0")+IFERROR(Y86/H86,"0")+IFERROR(Y87/H87,"0")</f>
        <v>48</v>
      </c>
      <c r="Z88" s="543">
        <f>IFERROR(IF(Z85="",0,Z85),"0")+IFERROR(IF(Z86="",0,Z86),"0")+IFERROR(IF(Z87="",0,Z87),"0")</f>
        <v>0.76163999999999998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3">
        <f>IFERROR(SUM(X85:X87),"0")</f>
        <v>421</v>
      </c>
      <c r="Y89" s="543">
        <f>IFERROR(SUM(Y85:Y87),"0")</f>
        <v>423.90000000000003</v>
      </c>
      <c r="Z89" s="37"/>
      <c r="AA89" s="544"/>
      <c r="AB89" s="544"/>
      <c r="AC89" s="544"/>
    </row>
    <row r="90" spans="1:68" ht="14.25" customHeight="1" x14ac:dyDescent="0.25">
      <c r="A90" s="559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27" customHeight="1" x14ac:dyDescent="0.25">
      <c r="A91" s="54" t="s">
        <v>178</v>
      </c>
      <c r="B91" s="54" t="s">
        <v>179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3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81</v>
      </c>
      <c r="Y91" s="542">
        <f>IFERROR(IF(X91="",0,CEILING((X91/$H91),1)*$H91),"")</f>
        <v>81</v>
      </c>
      <c r="Z91" s="36">
        <f>IFERROR(IF(Y91=0,"",ROUNDUP(Y91/H91,0)*0.01898),"")</f>
        <v>0.1898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85.94</v>
      </c>
      <c r="BN91" s="64">
        <f>IFERROR(Y91*I91/H91,"0")</f>
        <v>85.94</v>
      </c>
      <c r="BO91" s="64">
        <f>IFERROR(1/J91*(X91/H91),"0")</f>
        <v>0.15625</v>
      </c>
      <c r="BP91" s="64">
        <f>IFERROR(1/J91*(Y91/H91),"0")</f>
        <v>0.15625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 t="s">
        <v>186</v>
      </c>
      <c r="M93" s="33" t="s">
        <v>84</v>
      </c>
      <c r="N93" s="33"/>
      <c r="O93" s="32">
        <v>45</v>
      </c>
      <c r="P93" s="77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225</v>
      </c>
      <c r="Y93" s="542">
        <f>IFERROR(IF(X93="",0,CEILING((X93/$H93),1)*$H93),"")</f>
        <v>226.8</v>
      </c>
      <c r="Z93" s="36">
        <f>IFERROR(IF(Y93=0,"",ROUNDUP(Y93/H93,0)*0.00651),"")</f>
        <v>0.54683999999999999</v>
      </c>
      <c r="AA93" s="56"/>
      <c r="AB93" s="57"/>
      <c r="AC93" s="137" t="s">
        <v>180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246</v>
      </c>
      <c r="BN93" s="64">
        <f>IFERROR(Y93*I93/H93,"0")</f>
        <v>247.96799999999999</v>
      </c>
      <c r="BO93" s="64">
        <f>IFERROR(1/J93*(X93/H93),"0")</f>
        <v>0.45787545787545786</v>
      </c>
      <c r="BP93" s="64">
        <f>IFERROR(1/J93*(Y93/H93),"0")</f>
        <v>0.46153846153846156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186</v>
      </c>
      <c r="M94" s="33" t="s">
        <v>77</v>
      </c>
      <c r="N94" s="33"/>
      <c r="O94" s="32">
        <v>45</v>
      </c>
      <c r="P94" s="60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3">
        <f>IFERROR(X91/H91,"0")+IFERROR(X92/H92,"0")+IFERROR(X93/H93,"0")+IFERROR(X94/H94,"0")</f>
        <v>93.333333333333329</v>
      </c>
      <c r="Y95" s="543">
        <f>IFERROR(Y91/H91,"0")+IFERROR(Y92/H92,"0")+IFERROR(Y93/H93,"0")+IFERROR(Y94/H94,"0")</f>
        <v>94</v>
      </c>
      <c r="Z95" s="543">
        <f>IFERROR(IF(Z91="",0,Z91),"0")+IFERROR(IF(Z92="",0,Z92),"0")+IFERROR(IF(Z93="",0,Z93),"0")+IFERROR(IF(Z94="",0,Z94),"0")</f>
        <v>0.73663999999999996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3">
        <f>IFERROR(SUM(X91:X94),"0")</f>
        <v>306</v>
      </c>
      <c r="Y96" s="543">
        <f>IFERROR(SUM(Y91:Y94),"0")</f>
        <v>307.8</v>
      </c>
      <c r="Z96" s="37"/>
      <c r="AA96" s="544"/>
      <c r="AB96" s="544"/>
      <c r="AC96" s="544"/>
    </row>
    <row r="97" spans="1:68" ht="16.5" customHeight="1" x14ac:dyDescent="0.25">
      <c r="A97" s="558" t="s">
        <v>190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customHeight="1" x14ac:dyDescent="0.25">
      <c r="A98" s="559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196</v>
      </c>
      <c r="Y99" s="542">
        <f>IFERROR(IF(X99="",0,CEILING((X99/$H99),1)*$H99),"")</f>
        <v>205.20000000000002</v>
      </c>
      <c r="Z99" s="36">
        <f>IFERROR(IF(Y99=0,"",ROUNDUP(Y99/H99,0)*0.01898),"")</f>
        <v>0.36062</v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203.44074074074075</v>
      </c>
      <c r="BN99" s="64">
        <f>IFERROR(Y99*I99/H99,"0")</f>
        <v>212.99</v>
      </c>
      <c r="BO99" s="64">
        <f>IFERROR(1/J99*(X99/H99),"0")</f>
        <v>0.28356481481481477</v>
      </c>
      <c r="BP99" s="64">
        <f>IFERROR(1/J99*(Y99/H99),"0")</f>
        <v>0.296875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 t="s">
        <v>110</v>
      </c>
      <c r="M100" s="33" t="s">
        <v>77</v>
      </c>
      <c r="N100" s="33"/>
      <c r="O100" s="32">
        <v>50</v>
      </c>
      <c r="P100" s="6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106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80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3">
        <f>IFERROR(X99/H99,"0")+IFERROR(X100/H100,"0")+IFERROR(X101/H101,"0")+IFERROR(X102/H102,"0")</f>
        <v>18.148148148148145</v>
      </c>
      <c r="Y103" s="543">
        <f>IFERROR(Y99/H99,"0")+IFERROR(Y100/H100,"0")+IFERROR(Y101/H101,"0")+IFERROR(Y102/H102,"0")</f>
        <v>19</v>
      </c>
      <c r="Z103" s="543">
        <f>IFERROR(IF(Z99="",0,Z99),"0")+IFERROR(IF(Z100="",0,Z100),"0")+IFERROR(IF(Z101="",0,Z101),"0")+IFERROR(IF(Z102="",0,Z102),"0")</f>
        <v>0.36062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3">
        <f>IFERROR(SUM(X99:X102),"0")</f>
        <v>196</v>
      </c>
      <c r="Y104" s="543">
        <f>IFERROR(SUM(Y99:Y102),"0")</f>
        <v>205.20000000000002</v>
      </c>
      <c r="Z104" s="37"/>
      <c r="AA104" s="544"/>
      <c r="AB104" s="544"/>
      <c r="AC104" s="544"/>
    </row>
    <row r="105" spans="1:68" ht="14.25" customHeight="1" x14ac:dyDescent="0.25">
      <c r="A105" s="559" t="s">
        <v>135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24</v>
      </c>
      <c r="Y106" s="542">
        <f>IFERROR(IF(X106="",0,CEILING((X106/$H106),1)*$H106),"")</f>
        <v>32.400000000000006</v>
      </c>
      <c r="Z106" s="36">
        <f>IFERROR(IF(Y106=0,"",ROUNDUP(Y106/H106,0)*0.01898),"")</f>
        <v>5.6940000000000004E-2</v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24.911111111111111</v>
      </c>
      <c r="BN106" s="64">
        <f>IFERROR(Y106*I106/H106,"0")</f>
        <v>33.630000000000003</v>
      </c>
      <c r="BO106" s="64">
        <f>IFERROR(1/J106*(X106/H106),"0")</f>
        <v>3.4722222222222217E-2</v>
      </c>
      <c r="BP106" s="64">
        <f>IFERROR(1/J106*(Y106/H106),"0")</f>
        <v>4.6875000000000007E-2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4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18</v>
      </c>
      <c r="Y108" s="542">
        <f>IFERROR(IF(X108="",0,CEILING((X108/$H108),1)*$H108),"")</f>
        <v>19.2</v>
      </c>
      <c r="Z108" s="36">
        <f>IFERROR(IF(Y108=0,"",ROUNDUP(Y108/H108,0)*0.00651),"")</f>
        <v>5.2080000000000001E-2</v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19.350000000000001</v>
      </c>
      <c r="BN108" s="64">
        <f>IFERROR(Y108*I108/H108,"0")</f>
        <v>20.64</v>
      </c>
      <c r="BO108" s="64">
        <f>IFERROR(1/J108*(X108/H108),"0")</f>
        <v>4.1208791208791215E-2</v>
      </c>
      <c r="BP108" s="64">
        <f>IFERROR(1/J108*(Y108/H108),"0")</f>
        <v>4.3956043956043959E-2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3">
        <f>IFERROR(X106/H106,"0")+IFERROR(X107/H107,"0")+IFERROR(X108/H108,"0")</f>
        <v>9.7222222222222214</v>
      </c>
      <c r="Y109" s="543">
        <f>IFERROR(Y106/H106,"0")+IFERROR(Y107/H107,"0")+IFERROR(Y108/H108,"0")</f>
        <v>11</v>
      </c>
      <c r="Z109" s="543">
        <f>IFERROR(IF(Z106="",0,Z106),"0")+IFERROR(IF(Z107="",0,Z107),"0")+IFERROR(IF(Z108="",0,Z108),"0")</f>
        <v>0.10902000000000001</v>
      </c>
      <c r="AA109" s="544"/>
      <c r="AB109" s="544"/>
      <c r="AC109" s="544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3">
        <f>IFERROR(SUM(X106:X108),"0")</f>
        <v>42</v>
      </c>
      <c r="Y110" s="543">
        <f>IFERROR(SUM(Y106:Y108),"0")</f>
        <v>51.600000000000009</v>
      </c>
      <c r="Z110" s="37"/>
      <c r="AA110" s="544"/>
      <c r="AB110" s="544"/>
      <c r="AC110" s="544"/>
    </row>
    <row r="111" spans="1:68" ht="14.25" customHeight="1" x14ac:dyDescent="0.25">
      <c r="A111" s="559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8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534</v>
      </c>
      <c r="Y112" s="542">
        <f>IFERROR(IF(X112="",0,CEILING((X112/$H112),1)*$H112),"")</f>
        <v>534.6</v>
      </c>
      <c r="Z112" s="36">
        <f>IFERROR(IF(Y112=0,"",ROUNDUP(Y112/H112,0)*0.01898),"")</f>
        <v>1.25268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566.17185185185178</v>
      </c>
      <c r="BN112" s="64">
        <f>IFERROR(Y112*I112/H112,"0")</f>
        <v>566.80799999999999</v>
      </c>
      <c r="BO112" s="64">
        <f>IFERROR(1/J112*(X112/H112),"0")</f>
        <v>1.0300925925925926</v>
      </c>
      <c r="BP112" s="64">
        <f>IFERROR(1/J112*(Y112/H112),"0")</f>
        <v>1.03125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186</v>
      </c>
      <c r="M114" s="33" t="s">
        <v>84</v>
      </c>
      <c r="N114" s="33"/>
      <c r="O114" s="32">
        <v>45</v>
      </c>
      <c r="P114" s="79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265</v>
      </c>
      <c r="Y114" s="542">
        <f>IFERROR(IF(X114="",0,CEILING((X114/$H114),1)*$H114),"")</f>
        <v>267.3</v>
      </c>
      <c r="Z114" s="36">
        <f>IFERROR(IF(Y114=0,"",ROUNDUP(Y114/H114,0)*0.00651),"")</f>
        <v>0.64449000000000001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289.73333333333329</v>
      </c>
      <c r="BN114" s="64">
        <f>IFERROR(Y114*I114/H114,"0")</f>
        <v>292.24799999999999</v>
      </c>
      <c r="BO114" s="64">
        <f>IFERROR(1/J114*(X114/H114),"0")</f>
        <v>0.53927553927553928</v>
      </c>
      <c r="BP114" s="64">
        <f>IFERROR(1/J114*(Y114/H114),"0")</f>
        <v>0.54395604395604402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1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3">
        <f>IFERROR(X112/H112,"0")+IFERROR(X113/H113,"0")+IFERROR(X114/H114,"0")+IFERROR(X115/H115,"0")</f>
        <v>164.07407407407408</v>
      </c>
      <c r="Y116" s="543">
        <f>IFERROR(Y112/H112,"0")+IFERROR(Y113/H113,"0")+IFERROR(Y114/H114,"0")+IFERROR(Y115/H115,"0")</f>
        <v>165</v>
      </c>
      <c r="Z116" s="543">
        <f>IFERROR(IF(Z112="",0,Z112),"0")+IFERROR(IF(Z113="",0,Z113),"0")+IFERROR(IF(Z114="",0,Z114),"0")+IFERROR(IF(Z115="",0,Z115),"0")</f>
        <v>1.89717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3">
        <f>IFERROR(SUM(X112:X115),"0")</f>
        <v>799</v>
      </c>
      <c r="Y117" s="543">
        <f>IFERROR(SUM(Y112:Y115),"0")</f>
        <v>801.90000000000009</v>
      </c>
      <c r="Z117" s="37"/>
      <c r="AA117" s="544"/>
      <c r="AB117" s="544"/>
      <c r="AC117" s="544"/>
    </row>
    <row r="118" spans="1:68" ht="14.25" customHeight="1" x14ac:dyDescent="0.25">
      <c r="A118" s="559" t="s">
        <v>163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6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customHeight="1" x14ac:dyDescent="0.25">
      <c r="A122" s="558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customHeight="1" x14ac:dyDescent="0.25">
      <c r="A123" s="559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186</v>
      </c>
      <c r="M124" s="33" t="s">
        <v>94</v>
      </c>
      <c r="N124" s="33"/>
      <c r="O124" s="32">
        <v>90</v>
      </c>
      <c r="P124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186</v>
      </c>
      <c r="M125" s="33" t="s">
        <v>94</v>
      </c>
      <c r="N125" s="33"/>
      <c r="O125" s="32">
        <v>90</v>
      </c>
      <c r="P125" s="78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customHeight="1" x14ac:dyDescent="0.25">
      <c r="A128" s="559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186</v>
      </c>
      <c r="M130" s="33" t="s">
        <v>94</v>
      </c>
      <c r="N130" s="33"/>
      <c r="O130" s="32">
        <v>90</v>
      </c>
      <c r="P130" s="7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customHeight="1" x14ac:dyDescent="0.25">
      <c r="A133" s="559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customHeight="1" x14ac:dyDescent="0.25">
      <c r="A138" s="558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customHeight="1" x14ac:dyDescent="0.25">
      <c r="A139" s="559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554"/>
      <c r="B142" s="555"/>
      <c r="C142" s="555"/>
      <c r="D142" s="555"/>
      <c r="E142" s="555"/>
      <c r="F142" s="555"/>
      <c r="G142" s="555"/>
      <c r="H142" s="555"/>
      <c r="I142" s="555"/>
      <c r="J142" s="555"/>
      <c r="K142" s="555"/>
      <c r="L142" s="555"/>
      <c r="M142" s="555"/>
      <c r="N142" s="555"/>
      <c r="O142" s="556"/>
      <c r="P142" s="562" t="s">
        <v>71</v>
      </c>
      <c r="Q142" s="563"/>
      <c r="R142" s="563"/>
      <c r="S142" s="563"/>
      <c r="T142" s="563"/>
      <c r="U142" s="563"/>
      <c r="V142" s="564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x14ac:dyDescent="0.2">
      <c r="A143" s="555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2" t="s">
        <v>71</v>
      </c>
      <c r="Q143" s="563"/>
      <c r="R143" s="563"/>
      <c r="S143" s="563"/>
      <c r="T143" s="563"/>
      <c r="U143" s="563"/>
      <c r="V143" s="564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customHeight="1" x14ac:dyDescent="0.25">
      <c r="A144" s="559" t="s">
        <v>64</v>
      </c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5"/>
      <c r="P144" s="555"/>
      <c r="Q144" s="555"/>
      <c r="R144" s="555"/>
      <c r="S144" s="555"/>
      <c r="T144" s="555"/>
      <c r="U144" s="555"/>
      <c r="V144" s="555"/>
      <c r="W144" s="555"/>
      <c r="X144" s="555"/>
      <c r="Y144" s="555"/>
      <c r="Z144" s="555"/>
      <c r="AA144" s="537"/>
      <c r="AB144" s="537"/>
      <c r="AC144" s="537"/>
    </row>
    <row r="145" spans="1:68" ht="16.5" customHeight="1" x14ac:dyDescent="0.25">
      <c r="A145" s="54" t="s">
        <v>238</v>
      </c>
      <c r="B145" s="54" t="s">
        <v>239</v>
      </c>
      <c r="C145" s="31">
        <v>4301030895</v>
      </c>
      <c r="D145" s="548">
        <v>4607091387667</v>
      </c>
      <c r="E145" s="549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102</v>
      </c>
      <c r="L145" s="32"/>
      <c r="M145" s="33" t="s">
        <v>104</v>
      </c>
      <c r="N145" s="33"/>
      <c r="O145" s="32">
        <v>40</v>
      </c>
      <c r="P145" s="59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6"/>
      <c r="R145" s="546"/>
      <c r="S145" s="546"/>
      <c r="T145" s="547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241</v>
      </c>
      <c r="B146" s="54" t="s">
        <v>242</v>
      </c>
      <c r="C146" s="31">
        <v>4301030961</v>
      </c>
      <c r="D146" s="548">
        <v>4607091387636</v>
      </c>
      <c r="E146" s="549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3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244</v>
      </c>
      <c r="B147" s="54" t="s">
        <v>245</v>
      </c>
      <c r="C147" s="31">
        <v>4301030963</v>
      </c>
      <c r="D147" s="548">
        <v>4607091382426</v>
      </c>
      <c r="E147" s="549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102</v>
      </c>
      <c r="L147" s="32"/>
      <c r="M147" s="33" t="s">
        <v>68</v>
      </c>
      <c r="N147" s="33"/>
      <c r="O147" s="32">
        <v>40</v>
      </c>
      <c r="P147" s="5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554"/>
      <c r="B148" s="555"/>
      <c r="C148" s="555"/>
      <c r="D148" s="555"/>
      <c r="E148" s="555"/>
      <c r="F148" s="555"/>
      <c r="G148" s="555"/>
      <c r="H148" s="555"/>
      <c r="I148" s="555"/>
      <c r="J148" s="555"/>
      <c r="K148" s="555"/>
      <c r="L148" s="555"/>
      <c r="M148" s="555"/>
      <c r="N148" s="555"/>
      <c r="O148" s="556"/>
      <c r="P148" s="562" t="s">
        <v>71</v>
      </c>
      <c r="Q148" s="563"/>
      <c r="R148" s="563"/>
      <c r="S148" s="563"/>
      <c r="T148" s="563"/>
      <c r="U148" s="563"/>
      <c r="V148" s="564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x14ac:dyDescent="0.2">
      <c r="A149" s="555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2" t="s">
        <v>71</v>
      </c>
      <c r="Q149" s="563"/>
      <c r="R149" s="563"/>
      <c r="S149" s="563"/>
      <c r="T149" s="563"/>
      <c r="U149" s="563"/>
      <c r="V149" s="564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customHeight="1" x14ac:dyDescent="0.25">
      <c r="A150" s="559" t="s">
        <v>73</v>
      </c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5"/>
      <c r="P150" s="555"/>
      <c r="Q150" s="555"/>
      <c r="R150" s="555"/>
      <c r="S150" s="555"/>
      <c r="T150" s="555"/>
      <c r="U150" s="555"/>
      <c r="V150" s="555"/>
      <c r="W150" s="555"/>
      <c r="X150" s="555"/>
      <c r="Y150" s="555"/>
      <c r="Z150" s="555"/>
      <c r="AA150" s="537"/>
      <c r="AB150" s="537"/>
      <c r="AC150" s="537"/>
    </row>
    <row r="151" spans="1:68" ht="27" customHeight="1" x14ac:dyDescent="0.25">
      <c r="A151" s="54" t="s">
        <v>247</v>
      </c>
      <c r="B151" s="54" t="s">
        <v>248</v>
      </c>
      <c r="C151" s="31">
        <v>4301052064</v>
      </c>
      <c r="D151" s="548">
        <v>4680115887459</v>
      </c>
      <c r="E151" s="549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546"/>
      <c r="R151" s="546"/>
      <c r="S151" s="546"/>
      <c r="T151" s="547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54"/>
      <c r="B152" s="555"/>
      <c r="C152" s="555"/>
      <c r="D152" s="555"/>
      <c r="E152" s="555"/>
      <c r="F152" s="555"/>
      <c r="G152" s="555"/>
      <c r="H152" s="555"/>
      <c r="I152" s="555"/>
      <c r="J152" s="555"/>
      <c r="K152" s="555"/>
      <c r="L152" s="555"/>
      <c r="M152" s="555"/>
      <c r="N152" s="555"/>
      <c r="O152" s="556"/>
      <c r="P152" s="562" t="s">
        <v>71</v>
      </c>
      <c r="Q152" s="563"/>
      <c r="R152" s="563"/>
      <c r="S152" s="563"/>
      <c r="T152" s="563"/>
      <c r="U152" s="563"/>
      <c r="V152" s="564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x14ac:dyDescent="0.2">
      <c r="A153" s="555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2" t="s">
        <v>71</v>
      </c>
      <c r="Q153" s="563"/>
      <c r="R153" s="563"/>
      <c r="S153" s="563"/>
      <c r="T153" s="563"/>
      <c r="U153" s="563"/>
      <c r="V153" s="564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customHeight="1" x14ac:dyDescent="0.2">
      <c r="A154" s="632" t="s">
        <v>250</v>
      </c>
      <c r="B154" s="633"/>
      <c r="C154" s="633"/>
      <c r="D154" s="633"/>
      <c r="E154" s="633"/>
      <c r="F154" s="633"/>
      <c r="G154" s="633"/>
      <c r="H154" s="633"/>
      <c r="I154" s="633"/>
      <c r="J154" s="633"/>
      <c r="K154" s="633"/>
      <c r="L154" s="633"/>
      <c r="M154" s="633"/>
      <c r="N154" s="633"/>
      <c r="O154" s="633"/>
      <c r="P154" s="633"/>
      <c r="Q154" s="633"/>
      <c r="R154" s="633"/>
      <c r="S154" s="633"/>
      <c r="T154" s="633"/>
      <c r="U154" s="633"/>
      <c r="V154" s="633"/>
      <c r="W154" s="633"/>
      <c r="X154" s="633"/>
      <c r="Y154" s="633"/>
      <c r="Z154" s="633"/>
      <c r="AA154" s="48"/>
      <c r="AB154" s="48"/>
      <c r="AC154" s="48"/>
    </row>
    <row r="155" spans="1:68" ht="16.5" customHeight="1" x14ac:dyDescent="0.25">
      <c r="A155" s="558" t="s">
        <v>251</v>
      </c>
      <c r="B155" s="555"/>
      <c r="C155" s="555"/>
      <c r="D155" s="555"/>
      <c r="E155" s="555"/>
      <c r="F155" s="555"/>
      <c r="G155" s="555"/>
      <c r="H155" s="555"/>
      <c r="I155" s="555"/>
      <c r="J155" s="555"/>
      <c r="K155" s="555"/>
      <c r="L155" s="555"/>
      <c r="M155" s="555"/>
      <c r="N155" s="555"/>
      <c r="O155" s="555"/>
      <c r="P155" s="555"/>
      <c r="Q155" s="555"/>
      <c r="R155" s="555"/>
      <c r="S155" s="555"/>
      <c r="T155" s="555"/>
      <c r="U155" s="555"/>
      <c r="V155" s="555"/>
      <c r="W155" s="555"/>
      <c r="X155" s="555"/>
      <c r="Y155" s="555"/>
      <c r="Z155" s="555"/>
      <c r="AA155" s="536"/>
      <c r="AB155" s="536"/>
      <c r="AC155" s="536"/>
    </row>
    <row r="156" spans="1:68" ht="14.25" customHeight="1" x14ac:dyDescent="0.25">
      <c r="A156" s="559" t="s">
        <v>135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7"/>
      <c r="AB156" s="537"/>
      <c r="AC156" s="537"/>
    </row>
    <row r="157" spans="1:68" ht="27" customHeight="1" x14ac:dyDescent="0.25">
      <c r="A157" s="54" t="s">
        <v>252</v>
      </c>
      <c r="B157" s="54" t="s">
        <v>253</v>
      </c>
      <c r="C157" s="31">
        <v>4301020323</v>
      </c>
      <c r="D157" s="548">
        <v>4680115886223</v>
      </c>
      <c r="E157" s="549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7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6"/>
      <c r="R157" s="546"/>
      <c r="S157" s="546"/>
      <c r="T157" s="547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54"/>
      <c r="B158" s="555"/>
      <c r="C158" s="555"/>
      <c r="D158" s="555"/>
      <c r="E158" s="555"/>
      <c r="F158" s="555"/>
      <c r="G158" s="555"/>
      <c r="H158" s="555"/>
      <c r="I158" s="555"/>
      <c r="J158" s="555"/>
      <c r="K158" s="555"/>
      <c r="L158" s="555"/>
      <c r="M158" s="555"/>
      <c r="N158" s="555"/>
      <c r="O158" s="556"/>
      <c r="P158" s="562" t="s">
        <v>71</v>
      </c>
      <c r="Q158" s="563"/>
      <c r="R158" s="563"/>
      <c r="S158" s="563"/>
      <c r="T158" s="563"/>
      <c r="U158" s="563"/>
      <c r="V158" s="564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x14ac:dyDescent="0.2">
      <c r="A159" s="555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2" t="s">
        <v>71</v>
      </c>
      <c r="Q159" s="563"/>
      <c r="R159" s="563"/>
      <c r="S159" s="563"/>
      <c r="T159" s="563"/>
      <c r="U159" s="563"/>
      <c r="V159" s="564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customHeight="1" x14ac:dyDescent="0.25">
      <c r="A160" s="559" t="s">
        <v>64</v>
      </c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5"/>
      <c r="P160" s="555"/>
      <c r="Q160" s="555"/>
      <c r="R160" s="555"/>
      <c r="S160" s="555"/>
      <c r="T160" s="555"/>
      <c r="U160" s="555"/>
      <c r="V160" s="555"/>
      <c r="W160" s="555"/>
      <c r="X160" s="555"/>
      <c r="Y160" s="555"/>
      <c r="Z160" s="555"/>
      <c r="AA160" s="537"/>
      <c r="AB160" s="537"/>
      <c r="AC160" s="537"/>
    </row>
    <row r="161" spans="1:68" ht="27" customHeight="1" x14ac:dyDescent="0.25">
      <c r="A161" s="54" t="s">
        <v>255</v>
      </c>
      <c r="B161" s="54" t="s">
        <v>256</v>
      </c>
      <c r="C161" s="31">
        <v>4301031191</v>
      </c>
      <c r="D161" s="548">
        <v>4680115880993</v>
      </c>
      <c r="E161" s="549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109</v>
      </c>
      <c r="L161" s="32"/>
      <c r="M161" s="33" t="s">
        <v>68</v>
      </c>
      <c r="N161" s="33"/>
      <c r="O161" s="32">
        <v>40</v>
      </c>
      <c r="P161" s="7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6"/>
      <c r="R161" s="546"/>
      <c r="S161" s="546"/>
      <c r="T161" s="547"/>
      <c r="U161" s="34"/>
      <c r="V161" s="34"/>
      <c r="W161" s="35" t="s">
        <v>69</v>
      </c>
      <c r="X161" s="541">
        <v>28</v>
      </c>
      <c r="Y161" s="542">
        <f t="shared" ref="Y161:Y170" si="5">IFERROR(IF(X161="",0,CEILING((X161/$H161),1)*$H161),"")</f>
        <v>29.400000000000002</v>
      </c>
      <c r="Z161" s="36">
        <f>IFERROR(IF(Y161=0,"",ROUNDUP(Y161/H161,0)*0.00902),"")</f>
        <v>6.3140000000000002E-2</v>
      </c>
      <c r="AA161" s="56"/>
      <c r="AB161" s="57"/>
      <c r="AC161" s="191" t="s">
        <v>257</v>
      </c>
      <c r="AG161" s="64"/>
      <c r="AJ161" s="68"/>
      <c r="AK161" s="68">
        <v>0</v>
      </c>
      <c r="BB161" s="192" t="s">
        <v>1</v>
      </c>
      <c r="BM161" s="64">
        <f t="shared" ref="BM161:BM170" si="6">IFERROR(X161*I161/H161,"0")</f>
        <v>29.666666666666668</v>
      </c>
      <c r="BN161" s="64">
        <f t="shared" ref="BN161:BN170" si="7">IFERROR(Y161*I161/H161,"0")</f>
        <v>31.150000000000002</v>
      </c>
      <c r="BO161" s="64">
        <f t="shared" ref="BO161:BO170" si="8">IFERROR(1/J161*(X161/H161),"0")</f>
        <v>5.0505050505050504E-2</v>
      </c>
      <c r="BP161" s="64">
        <f t="shared" ref="BP161:BP170" si="9">IFERROR(1/J161*(Y161/H161),"0")</f>
        <v>5.3030303030303032E-2</v>
      </c>
    </row>
    <row r="162" spans="1:68" ht="27" customHeight="1" x14ac:dyDescent="0.25">
      <c r="A162" s="54" t="s">
        <v>258</v>
      </c>
      <c r="B162" s="54" t="s">
        <v>259</v>
      </c>
      <c r="C162" s="31">
        <v>4301031204</v>
      </c>
      <c r="D162" s="548">
        <v>4680115881761</v>
      </c>
      <c r="E162" s="549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109</v>
      </c>
      <c r="L162" s="32"/>
      <c r="M162" s="33" t="s">
        <v>68</v>
      </c>
      <c r="N162" s="33"/>
      <c r="O162" s="32">
        <v>40</v>
      </c>
      <c r="P162" s="7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261</v>
      </c>
      <c r="B163" s="54" t="s">
        <v>262</v>
      </c>
      <c r="C163" s="31">
        <v>4301031201</v>
      </c>
      <c r="D163" s="548">
        <v>4680115881563</v>
      </c>
      <c r="E163" s="549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109</v>
      </c>
      <c r="L163" s="32" t="s">
        <v>110</v>
      </c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263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264</v>
      </c>
      <c r="B164" s="54" t="s">
        <v>265</v>
      </c>
      <c r="C164" s="31">
        <v>4301031199</v>
      </c>
      <c r="D164" s="548">
        <v>4680115880986</v>
      </c>
      <c r="E164" s="549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266</v>
      </c>
      <c r="M164" s="33" t="s">
        <v>68</v>
      </c>
      <c r="N164" s="33"/>
      <c r="O164" s="32">
        <v>40</v>
      </c>
      <c r="P164" s="7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91</v>
      </c>
      <c r="Y164" s="542">
        <f t="shared" si="5"/>
        <v>92.4</v>
      </c>
      <c r="Z164" s="36">
        <f>IFERROR(IF(Y164=0,"",ROUNDUP(Y164/H164,0)*0.00502),"")</f>
        <v>0.22088000000000002</v>
      </c>
      <c r="AA164" s="56"/>
      <c r="AB164" s="57"/>
      <c r="AC164" s="197" t="s">
        <v>257</v>
      </c>
      <c r="AG164" s="64"/>
      <c r="AJ164" s="68" t="s">
        <v>106</v>
      </c>
      <c r="AK164" s="68">
        <v>37.799999999999997</v>
      </c>
      <c r="BB164" s="198" t="s">
        <v>1</v>
      </c>
      <c r="BM164" s="64">
        <f t="shared" si="6"/>
        <v>96.633333333333326</v>
      </c>
      <c r="BN164" s="64">
        <f t="shared" si="7"/>
        <v>98.12</v>
      </c>
      <c r="BO164" s="64">
        <f t="shared" si="8"/>
        <v>0.18518518518518517</v>
      </c>
      <c r="BP164" s="64">
        <f t="shared" si="9"/>
        <v>0.18803418803418806</v>
      </c>
    </row>
    <row r="165" spans="1:68" ht="27" customHeight="1" x14ac:dyDescent="0.25">
      <c r="A165" s="54" t="s">
        <v>267</v>
      </c>
      <c r="B165" s="54" t="s">
        <v>268</v>
      </c>
      <c r="C165" s="31">
        <v>4301031443</v>
      </c>
      <c r="D165" s="548">
        <v>4680115887213</v>
      </c>
      <c r="E165" s="549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7" t="s">
        <v>269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4301031205</v>
      </c>
      <c r="D166" s="548">
        <v>4680115881785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273</v>
      </c>
      <c r="B167" s="54" t="s">
        <v>274</v>
      </c>
      <c r="C167" s="31">
        <v>4301031399</v>
      </c>
      <c r="D167" s="548">
        <v>4680115886537</v>
      </c>
      <c r="E167" s="549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3</v>
      </c>
      <c r="Y167" s="542">
        <f t="shared" si="5"/>
        <v>3.6</v>
      </c>
      <c r="Z167" s="36">
        <f>IFERROR(IF(Y167=0,"",ROUNDUP(Y167/H167,0)*0.00502),"")</f>
        <v>1.004E-2</v>
      </c>
      <c r="AA167" s="56"/>
      <c r="AB167" s="57"/>
      <c r="AC167" s="203" t="s">
        <v>275</v>
      </c>
      <c r="AG167" s="64"/>
      <c r="AJ167" s="68"/>
      <c r="AK167" s="68">
        <v>0</v>
      </c>
      <c r="BB167" s="204" t="s">
        <v>1</v>
      </c>
      <c r="BM167" s="64">
        <f t="shared" si="6"/>
        <v>3.2166666666666668</v>
      </c>
      <c r="BN167" s="64">
        <f t="shared" si="7"/>
        <v>3.8599999999999994</v>
      </c>
      <c r="BO167" s="64">
        <f t="shared" si="8"/>
        <v>7.1225071225071226E-3</v>
      </c>
      <c r="BP167" s="64">
        <f t="shared" si="9"/>
        <v>8.5470085470085479E-3</v>
      </c>
    </row>
    <row r="168" spans="1:68" ht="37.5" customHeight="1" x14ac:dyDescent="0.25">
      <c r="A168" s="54" t="s">
        <v>276</v>
      </c>
      <c r="B168" s="54" t="s">
        <v>277</v>
      </c>
      <c r="C168" s="31">
        <v>4301031202</v>
      </c>
      <c r="D168" s="548">
        <v>4680115881679</v>
      </c>
      <c r="E168" s="549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266</v>
      </c>
      <c r="M168" s="33" t="s">
        <v>68</v>
      </c>
      <c r="N168" s="33"/>
      <c r="O168" s="32">
        <v>40</v>
      </c>
      <c r="P168" s="6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181</v>
      </c>
      <c r="Y168" s="542">
        <f t="shared" si="5"/>
        <v>182.70000000000002</v>
      </c>
      <c r="Z168" s="36">
        <f>IFERROR(IF(Y168=0,"",ROUNDUP(Y168/H168,0)*0.00502),"")</f>
        <v>0.43674000000000002</v>
      </c>
      <c r="AA168" s="56"/>
      <c r="AB168" s="57"/>
      <c r="AC168" s="205" t="s">
        <v>263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189.61904761904762</v>
      </c>
      <c r="BN168" s="64">
        <f t="shared" si="7"/>
        <v>191.4</v>
      </c>
      <c r="BO168" s="64">
        <f t="shared" si="8"/>
        <v>0.3683353683353684</v>
      </c>
      <c r="BP168" s="64">
        <f t="shared" si="9"/>
        <v>0.37179487179487181</v>
      </c>
    </row>
    <row r="169" spans="1:68" ht="27" customHeight="1" x14ac:dyDescent="0.25">
      <c r="A169" s="54" t="s">
        <v>278</v>
      </c>
      <c r="B169" s="54" t="s">
        <v>279</v>
      </c>
      <c r="C169" s="31">
        <v>4301031158</v>
      </c>
      <c r="D169" s="548">
        <v>4680115880191</v>
      </c>
      <c r="E169" s="549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280</v>
      </c>
      <c r="B170" s="54" t="s">
        <v>281</v>
      </c>
      <c r="C170" s="31">
        <v>4301031245</v>
      </c>
      <c r="D170" s="548">
        <v>4680115883963</v>
      </c>
      <c r="E170" s="549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4"/>
      <c r="B171" s="555"/>
      <c r="C171" s="555"/>
      <c r="D171" s="555"/>
      <c r="E171" s="555"/>
      <c r="F171" s="555"/>
      <c r="G171" s="555"/>
      <c r="H171" s="555"/>
      <c r="I171" s="555"/>
      <c r="J171" s="555"/>
      <c r="K171" s="555"/>
      <c r="L171" s="555"/>
      <c r="M171" s="555"/>
      <c r="N171" s="555"/>
      <c r="O171" s="556"/>
      <c r="P171" s="562" t="s">
        <v>71</v>
      </c>
      <c r="Q171" s="563"/>
      <c r="R171" s="563"/>
      <c r="S171" s="563"/>
      <c r="T171" s="563"/>
      <c r="U171" s="563"/>
      <c r="V171" s="564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137.85714285714283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140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0.73080000000000012</v>
      </c>
      <c r="AA171" s="544"/>
      <c r="AB171" s="544"/>
      <c r="AC171" s="544"/>
    </row>
    <row r="172" spans="1:68" x14ac:dyDescent="0.2">
      <c r="A172" s="555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2" t="s">
        <v>71</v>
      </c>
      <c r="Q172" s="563"/>
      <c r="R172" s="563"/>
      <c r="S172" s="563"/>
      <c r="T172" s="563"/>
      <c r="U172" s="563"/>
      <c r="V172" s="564"/>
      <c r="W172" s="37" t="s">
        <v>69</v>
      </c>
      <c r="X172" s="543">
        <f>IFERROR(SUM(X161:X170),"0")</f>
        <v>303</v>
      </c>
      <c r="Y172" s="543">
        <f>IFERROR(SUM(Y161:Y170),"0")</f>
        <v>308.10000000000002</v>
      </c>
      <c r="Z172" s="37"/>
      <c r="AA172" s="544"/>
      <c r="AB172" s="544"/>
      <c r="AC172" s="544"/>
    </row>
    <row r="173" spans="1:68" ht="14.25" customHeight="1" x14ac:dyDescent="0.25">
      <c r="A173" s="559" t="s">
        <v>91</v>
      </c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5"/>
      <c r="P173" s="555"/>
      <c r="Q173" s="555"/>
      <c r="R173" s="555"/>
      <c r="S173" s="555"/>
      <c r="T173" s="555"/>
      <c r="U173" s="555"/>
      <c r="V173" s="555"/>
      <c r="W173" s="555"/>
      <c r="X173" s="555"/>
      <c r="Y173" s="555"/>
      <c r="Z173" s="555"/>
      <c r="AA173" s="537"/>
      <c r="AB173" s="537"/>
      <c r="AC173" s="537"/>
    </row>
    <row r="174" spans="1:68" ht="27" customHeight="1" x14ac:dyDescent="0.25">
      <c r="A174" s="54" t="s">
        <v>283</v>
      </c>
      <c r="B174" s="54" t="s">
        <v>284</v>
      </c>
      <c r="C174" s="31">
        <v>4301032053</v>
      </c>
      <c r="D174" s="548">
        <v>4680115886780</v>
      </c>
      <c r="E174" s="549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85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6"/>
      <c r="R174" s="546"/>
      <c r="S174" s="546"/>
      <c r="T174" s="547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288</v>
      </c>
      <c r="B175" s="54" t="s">
        <v>289</v>
      </c>
      <c r="C175" s="31">
        <v>4301032051</v>
      </c>
      <c r="D175" s="548">
        <v>4680115886742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6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4</v>
      </c>
      <c r="Y175" s="542">
        <f>IFERROR(IF(X175="",0,CEILING((X175/$H175),1)*$H175),"")</f>
        <v>5.04</v>
      </c>
      <c r="Z175" s="36">
        <f>IFERROR(IF(Y175=0,"",ROUNDUP(Y175/H175,0)*0.0059),"")</f>
        <v>2.3599999999999999E-2</v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4.6031746031746028</v>
      </c>
      <c r="BN175" s="64">
        <f>IFERROR(Y175*I175/H175,"0")</f>
        <v>5.8</v>
      </c>
      <c r="BO175" s="64">
        <f>IFERROR(1/J175*(X175/H175),"0")</f>
        <v>1.469723691945914E-2</v>
      </c>
      <c r="BP175" s="64">
        <f>IFERROR(1/J175*(Y175/H175),"0")</f>
        <v>1.8518518518518517E-2</v>
      </c>
    </row>
    <row r="176" spans="1:68" ht="27" customHeight="1" x14ac:dyDescent="0.25">
      <c r="A176" s="54" t="s">
        <v>291</v>
      </c>
      <c r="B176" s="54" t="s">
        <v>292</v>
      </c>
      <c r="C176" s="31">
        <v>4301032052</v>
      </c>
      <c r="D176" s="548">
        <v>4680115886766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79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54"/>
      <c r="B177" s="555"/>
      <c r="C177" s="555"/>
      <c r="D177" s="555"/>
      <c r="E177" s="555"/>
      <c r="F177" s="555"/>
      <c r="G177" s="555"/>
      <c r="H177" s="555"/>
      <c r="I177" s="555"/>
      <c r="J177" s="555"/>
      <c r="K177" s="555"/>
      <c r="L177" s="555"/>
      <c r="M177" s="555"/>
      <c r="N177" s="555"/>
      <c r="O177" s="556"/>
      <c r="P177" s="562" t="s">
        <v>71</v>
      </c>
      <c r="Q177" s="563"/>
      <c r="R177" s="563"/>
      <c r="S177" s="563"/>
      <c r="T177" s="563"/>
      <c r="U177" s="563"/>
      <c r="V177" s="564"/>
      <c r="W177" s="37" t="s">
        <v>72</v>
      </c>
      <c r="X177" s="543">
        <f>IFERROR(X174/H174,"0")+IFERROR(X175/H175,"0")+IFERROR(X176/H176,"0")</f>
        <v>3.1746031746031744</v>
      </c>
      <c r="Y177" s="543">
        <f>IFERROR(Y174/H174,"0")+IFERROR(Y175/H175,"0")+IFERROR(Y176/H176,"0")</f>
        <v>4</v>
      </c>
      <c r="Z177" s="543">
        <f>IFERROR(IF(Z174="",0,Z174),"0")+IFERROR(IF(Z175="",0,Z175),"0")+IFERROR(IF(Z176="",0,Z176),"0")</f>
        <v>2.3599999999999999E-2</v>
      </c>
      <c r="AA177" s="544"/>
      <c r="AB177" s="544"/>
      <c r="AC177" s="544"/>
    </row>
    <row r="178" spans="1:68" x14ac:dyDescent="0.2">
      <c r="A178" s="555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2" t="s">
        <v>71</v>
      </c>
      <c r="Q178" s="563"/>
      <c r="R178" s="563"/>
      <c r="S178" s="563"/>
      <c r="T178" s="563"/>
      <c r="U178" s="563"/>
      <c r="V178" s="564"/>
      <c r="W178" s="37" t="s">
        <v>69</v>
      </c>
      <c r="X178" s="543">
        <f>IFERROR(SUM(X174:X176),"0")</f>
        <v>4</v>
      </c>
      <c r="Y178" s="543">
        <f>IFERROR(SUM(Y174:Y176),"0")</f>
        <v>5.04</v>
      </c>
      <c r="Z178" s="37"/>
      <c r="AA178" s="544"/>
      <c r="AB178" s="544"/>
      <c r="AC178" s="544"/>
    </row>
    <row r="179" spans="1:68" ht="14.25" customHeight="1" x14ac:dyDescent="0.25">
      <c r="A179" s="559" t="s">
        <v>293</v>
      </c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5"/>
      <c r="P179" s="555"/>
      <c r="Q179" s="555"/>
      <c r="R179" s="555"/>
      <c r="S179" s="555"/>
      <c r="T179" s="555"/>
      <c r="U179" s="555"/>
      <c r="V179" s="555"/>
      <c r="W179" s="555"/>
      <c r="X179" s="555"/>
      <c r="Y179" s="555"/>
      <c r="Z179" s="555"/>
      <c r="AA179" s="537"/>
      <c r="AB179" s="537"/>
      <c r="AC179" s="537"/>
    </row>
    <row r="180" spans="1:68" ht="27" customHeight="1" x14ac:dyDescent="0.25">
      <c r="A180" s="54" t="s">
        <v>294</v>
      </c>
      <c r="B180" s="54" t="s">
        <v>295</v>
      </c>
      <c r="C180" s="31">
        <v>4301170013</v>
      </c>
      <c r="D180" s="548">
        <v>4680115886797</v>
      </c>
      <c r="E180" s="549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5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6"/>
      <c r="R180" s="546"/>
      <c r="S180" s="546"/>
      <c r="T180" s="547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54"/>
      <c r="B181" s="555"/>
      <c r="C181" s="555"/>
      <c r="D181" s="555"/>
      <c r="E181" s="555"/>
      <c r="F181" s="555"/>
      <c r="G181" s="555"/>
      <c r="H181" s="555"/>
      <c r="I181" s="555"/>
      <c r="J181" s="555"/>
      <c r="K181" s="555"/>
      <c r="L181" s="555"/>
      <c r="M181" s="555"/>
      <c r="N181" s="555"/>
      <c r="O181" s="556"/>
      <c r="P181" s="562" t="s">
        <v>71</v>
      </c>
      <c r="Q181" s="563"/>
      <c r="R181" s="563"/>
      <c r="S181" s="563"/>
      <c r="T181" s="563"/>
      <c r="U181" s="563"/>
      <c r="V181" s="564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x14ac:dyDescent="0.2">
      <c r="A182" s="555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2" t="s">
        <v>71</v>
      </c>
      <c r="Q182" s="563"/>
      <c r="R182" s="563"/>
      <c r="S182" s="563"/>
      <c r="T182" s="563"/>
      <c r="U182" s="563"/>
      <c r="V182" s="564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customHeight="1" x14ac:dyDescent="0.25">
      <c r="A183" s="558" t="s">
        <v>296</v>
      </c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5"/>
      <c r="P183" s="555"/>
      <c r="Q183" s="555"/>
      <c r="R183" s="555"/>
      <c r="S183" s="555"/>
      <c r="T183" s="555"/>
      <c r="U183" s="555"/>
      <c r="V183" s="555"/>
      <c r="W183" s="555"/>
      <c r="X183" s="555"/>
      <c r="Y183" s="555"/>
      <c r="Z183" s="555"/>
      <c r="AA183" s="536"/>
      <c r="AB183" s="536"/>
      <c r="AC183" s="536"/>
    </row>
    <row r="184" spans="1:68" ht="14.25" customHeight="1" x14ac:dyDescent="0.25">
      <c r="A184" s="559" t="s">
        <v>99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7"/>
      <c r="AB184" s="537"/>
      <c r="AC184" s="537"/>
    </row>
    <row r="185" spans="1:68" ht="27" customHeight="1" x14ac:dyDescent="0.25">
      <c r="A185" s="54" t="s">
        <v>297</v>
      </c>
      <c r="B185" s="54" t="s">
        <v>298</v>
      </c>
      <c r="C185" s="31">
        <v>4301011450</v>
      </c>
      <c r="D185" s="548">
        <v>4680115881402</v>
      </c>
      <c r="E185" s="549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9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6"/>
      <c r="R185" s="546"/>
      <c r="S185" s="546"/>
      <c r="T185" s="547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300</v>
      </c>
      <c r="B186" s="54" t="s">
        <v>301</v>
      </c>
      <c r="C186" s="31">
        <v>4301011768</v>
      </c>
      <c r="D186" s="548">
        <v>4680115881396</v>
      </c>
      <c r="E186" s="549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 t="s">
        <v>186</v>
      </c>
      <c r="M186" s="33" t="s">
        <v>104</v>
      </c>
      <c r="N186" s="33"/>
      <c r="O186" s="32">
        <v>55</v>
      </c>
      <c r="P186" s="82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 t="s">
        <v>106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54"/>
      <c r="B187" s="555"/>
      <c r="C187" s="555"/>
      <c r="D187" s="555"/>
      <c r="E187" s="555"/>
      <c r="F187" s="555"/>
      <c r="G187" s="555"/>
      <c r="H187" s="555"/>
      <c r="I187" s="555"/>
      <c r="J187" s="555"/>
      <c r="K187" s="555"/>
      <c r="L187" s="555"/>
      <c r="M187" s="555"/>
      <c r="N187" s="555"/>
      <c r="O187" s="556"/>
      <c r="P187" s="562" t="s">
        <v>71</v>
      </c>
      <c r="Q187" s="563"/>
      <c r="R187" s="563"/>
      <c r="S187" s="563"/>
      <c r="T187" s="563"/>
      <c r="U187" s="563"/>
      <c r="V187" s="564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x14ac:dyDescent="0.2">
      <c r="A188" s="555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2" t="s">
        <v>71</v>
      </c>
      <c r="Q188" s="563"/>
      <c r="R188" s="563"/>
      <c r="S188" s="563"/>
      <c r="T188" s="563"/>
      <c r="U188" s="563"/>
      <c r="V188" s="564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customHeight="1" x14ac:dyDescent="0.25">
      <c r="A189" s="559" t="s">
        <v>135</v>
      </c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5"/>
      <c r="P189" s="555"/>
      <c r="Q189" s="555"/>
      <c r="R189" s="555"/>
      <c r="S189" s="555"/>
      <c r="T189" s="555"/>
      <c r="U189" s="555"/>
      <c r="V189" s="555"/>
      <c r="W189" s="555"/>
      <c r="X189" s="555"/>
      <c r="Y189" s="555"/>
      <c r="Z189" s="555"/>
      <c r="AA189" s="537"/>
      <c r="AB189" s="537"/>
      <c r="AC189" s="537"/>
    </row>
    <row r="190" spans="1:68" ht="16.5" customHeight="1" x14ac:dyDescent="0.25">
      <c r="A190" s="54" t="s">
        <v>302</v>
      </c>
      <c r="B190" s="54" t="s">
        <v>303</v>
      </c>
      <c r="C190" s="31">
        <v>4301020261</v>
      </c>
      <c r="D190" s="548">
        <v>4680115882935</v>
      </c>
      <c r="E190" s="549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8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6"/>
      <c r="R190" s="546"/>
      <c r="S190" s="546"/>
      <c r="T190" s="547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305</v>
      </c>
      <c r="B191" s="54" t="s">
        <v>306</v>
      </c>
      <c r="C191" s="31">
        <v>4301020220</v>
      </c>
      <c r="D191" s="548">
        <v>4680115880764</v>
      </c>
      <c r="E191" s="549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104</v>
      </c>
      <c r="N191" s="33"/>
      <c r="O191" s="32">
        <v>50</v>
      </c>
      <c r="P191" s="8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54"/>
      <c r="B192" s="555"/>
      <c r="C192" s="555"/>
      <c r="D192" s="555"/>
      <c r="E192" s="555"/>
      <c r="F192" s="555"/>
      <c r="G192" s="555"/>
      <c r="H192" s="555"/>
      <c r="I192" s="555"/>
      <c r="J192" s="555"/>
      <c r="K192" s="555"/>
      <c r="L192" s="555"/>
      <c r="M192" s="555"/>
      <c r="N192" s="555"/>
      <c r="O192" s="556"/>
      <c r="P192" s="562" t="s">
        <v>71</v>
      </c>
      <c r="Q192" s="563"/>
      <c r="R192" s="563"/>
      <c r="S192" s="563"/>
      <c r="T192" s="563"/>
      <c r="U192" s="563"/>
      <c r="V192" s="564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x14ac:dyDescent="0.2">
      <c r="A193" s="555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2" t="s">
        <v>71</v>
      </c>
      <c r="Q193" s="563"/>
      <c r="R193" s="563"/>
      <c r="S193" s="563"/>
      <c r="T193" s="563"/>
      <c r="U193" s="563"/>
      <c r="V193" s="564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customHeight="1" x14ac:dyDescent="0.25">
      <c r="A194" s="559" t="s">
        <v>64</v>
      </c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5"/>
      <c r="P194" s="555"/>
      <c r="Q194" s="555"/>
      <c r="R194" s="555"/>
      <c r="S194" s="555"/>
      <c r="T194" s="555"/>
      <c r="U194" s="555"/>
      <c r="V194" s="555"/>
      <c r="W194" s="555"/>
      <c r="X194" s="555"/>
      <c r="Y194" s="555"/>
      <c r="Z194" s="555"/>
      <c r="AA194" s="537"/>
      <c r="AB194" s="537"/>
      <c r="AC194" s="537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48">
        <v>4680115882683</v>
      </c>
      <c r="E195" s="549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109</v>
      </c>
      <c r="L195" s="32" t="s">
        <v>110</v>
      </c>
      <c r="M195" s="33" t="s">
        <v>68</v>
      </c>
      <c r="N195" s="33"/>
      <c r="O195" s="32">
        <v>40</v>
      </c>
      <c r="P195" s="6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6"/>
      <c r="R195" s="546"/>
      <c r="S195" s="546"/>
      <c r="T195" s="547"/>
      <c r="U195" s="34"/>
      <c r="V195" s="34"/>
      <c r="W195" s="35" t="s">
        <v>69</v>
      </c>
      <c r="X195" s="541">
        <v>346</v>
      </c>
      <c r="Y195" s="542">
        <f t="shared" ref="Y195:Y202" si="10">IFERROR(IF(X195="",0,CEILING((X195/$H195),1)*$H195),"")</f>
        <v>351</v>
      </c>
      <c r="Z195" s="36">
        <f>IFERROR(IF(Y195=0,"",ROUNDUP(Y195/H195,0)*0.00902),"")</f>
        <v>0.58630000000000004</v>
      </c>
      <c r="AA195" s="56"/>
      <c r="AB195" s="57"/>
      <c r="AC195" s="227" t="s">
        <v>309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358.17407407407404</v>
      </c>
      <c r="BN195" s="64">
        <f t="shared" ref="BN195:BN202" si="12">IFERROR(Y195*I195/H195,"0")</f>
        <v>363.34999999999997</v>
      </c>
      <c r="BO195" s="64">
        <f t="shared" ref="BO195:BO202" si="13">IFERROR(1/J195*(X195/H195),"0")</f>
        <v>0.48540965207631875</v>
      </c>
      <c r="BP195" s="64">
        <f t="shared" ref="BP195:BP202" si="14">IFERROR(1/J195*(Y195/H195),"0")</f>
        <v>0.49242424242424243</v>
      </c>
    </row>
    <row r="196" spans="1:68" ht="27" customHeight="1" x14ac:dyDescent="0.25">
      <c r="A196" s="54" t="s">
        <v>310</v>
      </c>
      <c r="B196" s="54" t="s">
        <v>311</v>
      </c>
      <c r="C196" s="31">
        <v>4301031230</v>
      </c>
      <c r="D196" s="548">
        <v>4680115882690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47</v>
      </c>
      <c r="Y196" s="542">
        <f t="shared" si="10"/>
        <v>48.6</v>
      </c>
      <c r="Z196" s="36">
        <f>IFERROR(IF(Y196=0,"",ROUNDUP(Y196/H196,0)*0.00902),"")</f>
        <v>8.1180000000000002E-2</v>
      </c>
      <c r="AA196" s="56"/>
      <c r="AB196" s="57"/>
      <c r="AC196" s="229" t="s">
        <v>312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48.653703703703705</v>
      </c>
      <c r="BN196" s="64">
        <f t="shared" si="12"/>
        <v>50.309999999999995</v>
      </c>
      <c r="BO196" s="64">
        <f t="shared" si="13"/>
        <v>6.5937149270482595E-2</v>
      </c>
      <c r="BP196" s="64">
        <f t="shared" si="14"/>
        <v>6.8181818181818177E-2</v>
      </c>
    </row>
    <row r="197" spans="1:68" ht="27" customHeight="1" x14ac:dyDescent="0.25">
      <c r="A197" s="54" t="s">
        <v>313</v>
      </c>
      <c r="B197" s="54" t="s">
        <v>314</v>
      </c>
      <c r="C197" s="31">
        <v>4301031220</v>
      </c>
      <c r="D197" s="548">
        <v>4680115882669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7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48">
        <v>4680115882676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254</v>
      </c>
      <c r="Y198" s="542">
        <f t="shared" si="10"/>
        <v>259.20000000000005</v>
      </c>
      <c r="Z198" s="36">
        <f>IFERROR(IF(Y198=0,"",ROUNDUP(Y198/H198,0)*0.00902),"")</f>
        <v>0.43296000000000001</v>
      </c>
      <c r="AA198" s="56"/>
      <c r="AB198" s="57"/>
      <c r="AC198" s="233" t="s">
        <v>318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262.93703703703699</v>
      </c>
      <c r="BN198" s="64">
        <f t="shared" si="12"/>
        <v>268.32</v>
      </c>
      <c r="BO198" s="64">
        <f t="shared" si="13"/>
        <v>0.356341189674523</v>
      </c>
      <c r="BP198" s="64">
        <f t="shared" si="14"/>
        <v>0.3636363636363637</v>
      </c>
    </row>
    <row r="199" spans="1:68" ht="27" customHeight="1" x14ac:dyDescent="0.25">
      <c r="A199" s="54" t="s">
        <v>319</v>
      </c>
      <c r="B199" s="54" t="s">
        <v>320</v>
      </c>
      <c r="C199" s="31">
        <v>4301031223</v>
      </c>
      <c r="D199" s="548">
        <v>4680115884014</v>
      </c>
      <c r="E199" s="549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266</v>
      </c>
      <c r="M199" s="33" t="s">
        <v>68</v>
      </c>
      <c r="N199" s="33"/>
      <c r="O199" s="32">
        <v>40</v>
      </c>
      <c r="P199" s="83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38</v>
      </c>
      <c r="Y199" s="542">
        <f t="shared" si="10"/>
        <v>39.6</v>
      </c>
      <c r="Z199" s="36">
        <f>IFERROR(IF(Y199=0,"",ROUNDUP(Y199/H199,0)*0.00502),"")</f>
        <v>0.11044000000000001</v>
      </c>
      <c r="AA199" s="56"/>
      <c r="AB199" s="57"/>
      <c r="AC199" s="235" t="s">
        <v>309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40.744444444444447</v>
      </c>
      <c r="BN199" s="64">
        <f t="shared" si="12"/>
        <v>42.46</v>
      </c>
      <c r="BO199" s="64">
        <f t="shared" si="13"/>
        <v>9.0218423551756896E-2</v>
      </c>
      <c r="BP199" s="64">
        <f t="shared" si="14"/>
        <v>9.401709401709403E-2</v>
      </c>
    </row>
    <row r="200" spans="1:68" ht="27" customHeight="1" x14ac:dyDescent="0.25">
      <c r="A200" s="54" t="s">
        <v>321</v>
      </c>
      <c r="B200" s="54" t="s">
        <v>322</v>
      </c>
      <c r="C200" s="31">
        <v>4301031222</v>
      </c>
      <c r="D200" s="548">
        <v>4680115884007</v>
      </c>
      <c r="E200" s="549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266</v>
      </c>
      <c r="M200" s="33" t="s">
        <v>68</v>
      </c>
      <c r="N200" s="33"/>
      <c r="O200" s="32">
        <v>40</v>
      </c>
      <c r="P200" s="84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23</v>
      </c>
      <c r="Y200" s="542">
        <f t="shared" si="10"/>
        <v>23.400000000000002</v>
      </c>
      <c r="Z200" s="36">
        <f>IFERROR(IF(Y200=0,"",ROUNDUP(Y200/H200,0)*0.00502),"")</f>
        <v>6.5259999999999999E-2</v>
      </c>
      <c r="AA200" s="56"/>
      <c r="AB200" s="57"/>
      <c r="AC200" s="237" t="s">
        <v>312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24.277777777777775</v>
      </c>
      <c r="BN200" s="64">
        <f t="shared" si="12"/>
        <v>24.7</v>
      </c>
      <c r="BO200" s="64">
        <f t="shared" si="13"/>
        <v>5.4605887939221276E-2</v>
      </c>
      <c r="BP200" s="64">
        <f t="shared" si="14"/>
        <v>5.5555555555555559E-2</v>
      </c>
    </row>
    <row r="201" spans="1:68" ht="27" customHeight="1" x14ac:dyDescent="0.25">
      <c r="A201" s="54" t="s">
        <v>323</v>
      </c>
      <c r="B201" s="54" t="s">
        <v>324</v>
      </c>
      <c r="C201" s="31">
        <v>4301031229</v>
      </c>
      <c r="D201" s="548">
        <v>4680115884038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9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325</v>
      </c>
      <c r="B202" s="54" t="s">
        <v>326</v>
      </c>
      <c r="C202" s="31">
        <v>4301031225</v>
      </c>
      <c r="D202" s="548">
        <v>4680115884021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266</v>
      </c>
      <c r="M202" s="33" t="s">
        <v>68</v>
      </c>
      <c r="N202" s="33"/>
      <c r="O202" s="32">
        <v>40</v>
      </c>
      <c r="P202" s="8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14</v>
      </c>
      <c r="Y202" s="542">
        <f t="shared" si="10"/>
        <v>14.4</v>
      </c>
      <c r="Z202" s="36">
        <f>IFERROR(IF(Y202=0,"",ROUNDUP(Y202/H202,0)*0.00502),"")</f>
        <v>4.0160000000000001E-2</v>
      </c>
      <c r="AA202" s="56"/>
      <c r="AB202" s="57"/>
      <c r="AC202" s="241" t="s">
        <v>318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14.777777777777777</v>
      </c>
      <c r="BN202" s="64">
        <f t="shared" si="12"/>
        <v>15.2</v>
      </c>
      <c r="BO202" s="64">
        <f t="shared" si="13"/>
        <v>3.3238366571699908E-2</v>
      </c>
      <c r="BP202" s="64">
        <f t="shared" si="14"/>
        <v>3.4188034188034191E-2</v>
      </c>
    </row>
    <row r="203" spans="1:68" x14ac:dyDescent="0.2">
      <c r="A203" s="554"/>
      <c r="B203" s="555"/>
      <c r="C203" s="555"/>
      <c r="D203" s="555"/>
      <c r="E203" s="555"/>
      <c r="F203" s="555"/>
      <c r="G203" s="555"/>
      <c r="H203" s="555"/>
      <c r="I203" s="555"/>
      <c r="J203" s="555"/>
      <c r="K203" s="555"/>
      <c r="L203" s="555"/>
      <c r="M203" s="555"/>
      <c r="N203" s="555"/>
      <c r="O203" s="556"/>
      <c r="P203" s="562" t="s">
        <v>71</v>
      </c>
      <c r="Q203" s="563"/>
      <c r="R203" s="563"/>
      <c r="S203" s="563"/>
      <c r="T203" s="563"/>
      <c r="U203" s="563"/>
      <c r="V203" s="564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161.48148148148147</v>
      </c>
      <c r="Y203" s="543">
        <f>IFERROR(Y195/H195,"0")+IFERROR(Y196/H196,"0")+IFERROR(Y197/H197,"0")+IFERROR(Y198/H198,"0")+IFERROR(Y199/H199,"0")+IFERROR(Y200/H200,"0")+IFERROR(Y201/H201,"0")+IFERROR(Y202/H202,"0")</f>
        <v>165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1.3163000000000002</v>
      </c>
      <c r="AA203" s="544"/>
      <c r="AB203" s="544"/>
      <c r="AC203" s="544"/>
    </row>
    <row r="204" spans="1:68" x14ac:dyDescent="0.2">
      <c r="A204" s="555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2" t="s">
        <v>71</v>
      </c>
      <c r="Q204" s="563"/>
      <c r="R204" s="563"/>
      <c r="S204" s="563"/>
      <c r="T204" s="563"/>
      <c r="U204" s="563"/>
      <c r="V204" s="564"/>
      <c r="W204" s="37" t="s">
        <v>69</v>
      </c>
      <c r="X204" s="543">
        <f>IFERROR(SUM(X195:X202),"0")</f>
        <v>722</v>
      </c>
      <c r="Y204" s="543">
        <f>IFERROR(SUM(Y195:Y202),"0")</f>
        <v>736.2</v>
      </c>
      <c r="Z204" s="37"/>
      <c r="AA204" s="544"/>
      <c r="AB204" s="544"/>
      <c r="AC204" s="544"/>
    </row>
    <row r="205" spans="1:68" ht="14.25" customHeight="1" x14ac:dyDescent="0.25">
      <c r="A205" s="559" t="s">
        <v>73</v>
      </c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5"/>
      <c r="P205" s="555"/>
      <c r="Q205" s="555"/>
      <c r="R205" s="555"/>
      <c r="S205" s="555"/>
      <c r="T205" s="555"/>
      <c r="U205" s="555"/>
      <c r="V205" s="555"/>
      <c r="W205" s="555"/>
      <c r="X205" s="555"/>
      <c r="Y205" s="555"/>
      <c r="Z205" s="555"/>
      <c r="AA205" s="537"/>
      <c r="AB205" s="537"/>
      <c r="AC205" s="537"/>
    </row>
    <row r="206" spans="1:68" ht="27" customHeight="1" x14ac:dyDescent="0.25">
      <c r="A206" s="54" t="s">
        <v>327</v>
      </c>
      <c r="B206" s="54" t="s">
        <v>328</v>
      </c>
      <c r="C206" s="31">
        <v>4301051408</v>
      </c>
      <c r="D206" s="548">
        <v>4680115881594</v>
      </c>
      <c r="E206" s="549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102</v>
      </c>
      <c r="L206" s="32" t="s">
        <v>103</v>
      </c>
      <c r="M206" s="33" t="s">
        <v>77</v>
      </c>
      <c r="N206" s="33"/>
      <c r="O206" s="32">
        <v>40</v>
      </c>
      <c r="P206" s="7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6"/>
      <c r="R206" s="546"/>
      <c r="S206" s="546"/>
      <c r="T206" s="547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 t="s">
        <v>106</v>
      </c>
      <c r="AK206" s="68">
        <v>64.8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330</v>
      </c>
      <c r="B207" s="54" t="s">
        <v>331</v>
      </c>
      <c r="C207" s="31">
        <v>4301051411</v>
      </c>
      <c r="D207" s="548">
        <v>4680115881617</v>
      </c>
      <c r="E207" s="549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7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 t="s">
        <v>106</v>
      </c>
      <c r="AK207" s="68">
        <v>64.8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4301051656</v>
      </c>
      <c r="D208" s="548">
        <v>4680115880573</v>
      </c>
      <c r="E208" s="549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6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340</v>
      </c>
      <c r="Y208" s="542">
        <f t="shared" si="15"/>
        <v>348</v>
      </c>
      <c r="Z208" s="36">
        <f>IFERROR(IF(Y208=0,"",ROUNDUP(Y208/H208,0)*0.01898),"")</f>
        <v>0.75919999999999999</v>
      </c>
      <c r="AA208" s="56"/>
      <c r="AB208" s="57"/>
      <c r="AC208" s="247" t="s">
        <v>335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359.30574712643687</v>
      </c>
      <c r="BN208" s="64">
        <f t="shared" si="17"/>
        <v>367.76000000000005</v>
      </c>
      <c r="BO208" s="64">
        <f t="shared" si="18"/>
        <v>0.61063218390804608</v>
      </c>
      <c r="BP208" s="64">
        <f t="shared" si="19"/>
        <v>0.625</v>
      </c>
    </row>
    <row r="209" spans="1:68" ht="27" customHeight="1" x14ac:dyDescent="0.25">
      <c r="A209" s="54" t="s">
        <v>336</v>
      </c>
      <c r="B209" s="54" t="s">
        <v>337</v>
      </c>
      <c r="C209" s="31">
        <v>4301051407</v>
      </c>
      <c r="D209" s="548">
        <v>4680115882195</v>
      </c>
      <c r="E209" s="549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186</v>
      </c>
      <c r="M209" s="33" t="s">
        <v>77</v>
      </c>
      <c r="N209" s="33"/>
      <c r="O209" s="32">
        <v>40</v>
      </c>
      <c r="P209" s="5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47</v>
      </c>
      <c r="Y209" s="542">
        <f t="shared" si="15"/>
        <v>48</v>
      </c>
      <c r="Z209" s="36">
        <f t="shared" ref="Z209:Z214" si="20">IFERROR(IF(Y209=0,"",ROUNDUP(Y209/H209,0)*0.00651),"")</f>
        <v>0.13020000000000001</v>
      </c>
      <c r="AA209" s="56"/>
      <c r="AB209" s="57"/>
      <c r="AC209" s="249" t="s">
        <v>329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52.287500000000001</v>
      </c>
      <c r="BN209" s="64">
        <f t="shared" si="17"/>
        <v>53.4</v>
      </c>
      <c r="BO209" s="64">
        <f t="shared" si="18"/>
        <v>0.10760073260073262</v>
      </c>
      <c r="BP209" s="64">
        <f t="shared" si="19"/>
        <v>0.1098901098901099</v>
      </c>
    </row>
    <row r="210" spans="1:68" ht="27" customHeight="1" x14ac:dyDescent="0.25">
      <c r="A210" s="54" t="s">
        <v>338</v>
      </c>
      <c r="B210" s="54" t="s">
        <v>339</v>
      </c>
      <c r="C210" s="31">
        <v>4301051752</v>
      </c>
      <c r="D210" s="548">
        <v>4680115882607</v>
      </c>
      <c r="E210" s="549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9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8">
        <v>4680115880092</v>
      </c>
      <c r="E211" s="549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186</v>
      </c>
      <c r="M211" s="33" t="s">
        <v>77</v>
      </c>
      <c r="N211" s="33"/>
      <c r="O211" s="32">
        <v>45</v>
      </c>
      <c r="P211" s="71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264</v>
      </c>
      <c r="Y211" s="542">
        <f t="shared" si="15"/>
        <v>264</v>
      </c>
      <c r="Z211" s="36">
        <f t="shared" si="20"/>
        <v>0.71610000000000007</v>
      </c>
      <c r="AA211" s="56"/>
      <c r="AB211" s="57"/>
      <c r="AC211" s="253" t="s">
        <v>335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291.72000000000003</v>
      </c>
      <c r="BN211" s="64">
        <f t="shared" si="17"/>
        <v>291.72000000000003</v>
      </c>
      <c r="BO211" s="64">
        <f t="shared" si="18"/>
        <v>0.60439560439560447</v>
      </c>
      <c r="BP211" s="64">
        <f t="shared" si="19"/>
        <v>0.60439560439560447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48">
        <v>4680115880221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186</v>
      </c>
      <c r="M212" s="33" t="s">
        <v>77</v>
      </c>
      <c r="N212" s="33"/>
      <c r="O212" s="32">
        <v>45</v>
      </c>
      <c r="P212" s="74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124</v>
      </c>
      <c r="Y212" s="542">
        <f t="shared" si="15"/>
        <v>124.8</v>
      </c>
      <c r="Z212" s="36">
        <f t="shared" si="20"/>
        <v>0.33851999999999999</v>
      </c>
      <c r="AA212" s="56"/>
      <c r="AB212" s="57"/>
      <c r="AC212" s="255" t="s">
        <v>335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137.02000000000001</v>
      </c>
      <c r="BN212" s="64">
        <f t="shared" si="17"/>
        <v>137.90400000000002</v>
      </c>
      <c r="BO212" s="64">
        <f t="shared" si="18"/>
        <v>0.28388278388278393</v>
      </c>
      <c r="BP212" s="64">
        <f t="shared" si="19"/>
        <v>0.28571428571428575</v>
      </c>
    </row>
    <row r="213" spans="1:68" ht="27" customHeight="1" x14ac:dyDescent="0.25">
      <c r="A213" s="54" t="s">
        <v>344</v>
      </c>
      <c r="B213" s="54" t="s">
        <v>345</v>
      </c>
      <c r="C213" s="31">
        <v>4301051945</v>
      </c>
      <c r="D213" s="548">
        <v>4680115880504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186</v>
      </c>
      <c r="M213" s="33" t="s">
        <v>84</v>
      </c>
      <c r="N213" s="33"/>
      <c r="O213" s="32">
        <v>40</v>
      </c>
      <c r="P213" s="56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90</v>
      </c>
      <c r="Y213" s="542">
        <f t="shared" si="15"/>
        <v>91.2</v>
      </c>
      <c r="Z213" s="36">
        <f t="shared" si="20"/>
        <v>0.24738000000000002</v>
      </c>
      <c r="AA213" s="56"/>
      <c r="AB213" s="57"/>
      <c r="AC213" s="257" t="s">
        <v>346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99.45</v>
      </c>
      <c r="BN213" s="64">
        <f t="shared" si="17"/>
        <v>100.77600000000001</v>
      </c>
      <c r="BO213" s="64">
        <f t="shared" si="18"/>
        <v>0.20604395604395606</v>
      </c>
      <c r="BP213" s="64">
        <f t="shared" si="19"/>
        <v>0.2087912087912088</v>
      </c>
    </row>
    <row r="214" spans="1:68" ht="27" customHeight="1" x14ac:dyDescent="0.25">
      <c r="A214" s="54" t="s">
        <v>347</v>
      </c>
      <c r="B214" s="54" t="s">
        <v>348</v>
      </c>
      <c r="C214" s="31">
        <v>4301051410</v>
      </c>
      <c r="D214" s="548">
        <v>4680115882164</v>
      </c>
      <c r="E214" s="549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186</v>
      </c>
      <c r="M214" s="33" t="s">
        <v>77</v>
      </c>
      <c r="N214" s="33"/>
      <c r="O214" s="32">
        <v>40</v>
      </c>
      <c r="P214" s="79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75</v>
      </c>
      <c r="Y214" s="542">
        <f t="shared" si="15"/>
        <v>76.8</v>
      </c>
      <c r="Z214" s="36">
        <f t="shared" si="20"/>
        <v>0.20832000000000001</v>
      </c>
      <c r="AA214" s="56"/>
      <c r="AB214" s="57"/>
      <c r="AC214" s="259" t="s">
        <v>332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83.0625</v>
      </c>
      <c r="BN214" s="64">
        <f t="shared" si="17"/>
        <v>85.055999999999997</v>
      </c>
      <c r="BO214" s="64">
        <f t="shared" si="18"/>
        <v>0.1717032967032967</v>
      </c>
      <c r="BP214" s="64">
        <f t="shared" si="19"/>
        <v>0.17582417582417584</v>
      </c>
    </row>
    <row r="215" spans="1:68" x14ac:dyDescent="0.2">
      <c r="A215" s="554"/>
      <c r="B215" s="555"/>
      <c r="C215" s="555"/>
      <c r="D215" s="555"/>
      <c r="E215" s="555"/>
      <c r="F215" s="555"/>
      <c r="G215" s="555"/>
      <c r="H215" s="555"/>
      <c r="I215" s="555"/>
      <c r="J215" s="555"/>
      <c r="K215" s="555"/>
      <c r="L215" s="555"/>
      <c r="M215" s="555"/>
      <c r="N215" s="555"/>
      <c r="O215" s="556"/>
      <c r="P215" s="562" t="s">
        <v>71</v>
      </c>
      <c r="Q215" s="563"/>
      <c r="R215" s="563"/>
      <c r="S215" s="563"/>
      <c r="T215" s="563"/>
      <c r="U215" s="563"/>
      <c r="V215" s="564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289.08045977011494</v>
      </c>
      <c r="Y215" s="543">
        <f>IFERROR(Y206/H206,"0")+IFERROR(Y207/H207,"0")+IFERROR(Y208/H208,"0")+IFERROR(Y209/H209,"0")+IFERROR(Y210/H210,"0")+IFERROR(Y211/H211,"0")+IFERROR(Y212/H212,"0")+IFERROR(Y213/H213,"0")+IFERROR(Y214/H214,"0")</f>
        <v>292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2.3997200000000003</v>
      </c>
      <c r="AA215" s="544"/>
      <c r="AB215" s="544"/>
      <c r="AC215" s="544"/>
    </row>
    <row r="216" spans="1:68" x14ac:dyDescent="0.2">
      <c r="A216" s="555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2" t="s">
        <v>71</v>
      </c>
      <c r="Q216" s="563"/>
      <c r="R216" s="563"/>
      <c r="S216" s="563"/>
      <c r="T216" s="563"/>
      <c r="U216" s="563"/>
      <c r="V216" s="564"/>
      <c r="W216" s="37" t="s">
        <v>69</v>
      </c>
      <c r="X216" s="543">
        <f>IFERROR(SUM(X206:X214),"0")</f>
        <v>940</v>
      </c>
      <c r="Y216" s="543">
        <f>IFERROR(SUM(Y206:Y214),"0")</f>
        <v>952.8</v>
      </c>
      <c r="Z216" s="37"/>
      <c r="AA216" s="544"/>
      <c r="AB216" s="544"/>
      <c r="AC216" s="544"/>
    </row>
    <row r="217" spans="1:68" ht="14.25" customHeight="1" x14ac:dyDescent="0.25">
      <c r="A217" s="559" t="s">
        <v>163</v>
      </c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5"/>
      <c r="P217" s="555"/>
      <c r="Q217" s="555"/>
      <c r="R217" s="555"/>
      <c r="S217" s="555"/>
      <c r="T217" s="555"/>
      <c r="U217" s="555"/>
      <c r="V217" s="555"/>
      <c r="W217" s="555"/>
      <c r="X217" s="555"/>
      <c r="Y217" s="555"/>
      <c r="Z217" s="555"/>
      <c r="AA217" s="537"/>
      <c r="AB217" s="537"/>
      <c r="AC217" s="537"/>
    </row>
    <row r="218" spans="1:68" ht="27" customHeight="1" x14ac:dyDescent="0.25">
      <c r="A218" s="54" t="s">
        <v>349</v>
      </c>
      <c r="B218" s="54" t="s">
        <v>350</v>
      </c>
      <c r="C218" s="31">
        <v>4301060463</v>
      </c>
      <c r="D218" s="548">
        <v>4680115880818</v>
      </c>
      <c r="E218" s="549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/>
      <c r="M218" s="33" t="s">
        <v>84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6"/>
      <c r="R218" s="546"/>
      <c r="S218" s="546"/>
      <c r="T218" s="547"/>
      <c r="U218" s="34"/>
      <c r="V218" s="34"/>
      <c r="W218" s="35" t="s">
        <v>69</v>
      </c>
      <c r="X218" s="541">
        <v>17</v>
      </c>
      <c r="Y218" s="542">
        <f>IFERROR(IF(X218="",0,CEILING((X218/$H218),1)*$H218),"")</f>
        <v>19.2</v>
      </c>
      <c r="Z218" s="36">
        <f>IFERROR(IF(Y218=0,"",ROUNDUP(Y218/H218,0)*0.00651),"")</f>
        <v>5.2080000000000001E-2</v>
      </c>
      <c r="AA218" s="56"/>
      <c r="AB218" s="57"/>
      <c r="AC218" s="261" t="s">
        <v>351</v>
      </c>
      <c r="AG218" s="64"/>
      <c r="AJ218" s="68"/>
      <c r="AK218" s="68">
        <v>0</v>
      </c>
      <c r="BB218" s="262" t="s">
        <v>1</v>
      </c>
      <c r="BM218" s="64">
        <f>IFERROR(X218*I218/H218,"0")</f>
        <v>18.785000000000004</v>
      </c>
      <c r="BN218" s="64">
        <f>IFERROR(Y218*I218/H218,"0")</f>
        <v>21.216000000000001</v>
      </c>
      <c r="BO218" s="64">
        <f>IFERROR(1/J218*(X218/H218),"0")</f>
        <v>3.8919413919413927E-2</v>
      </c>
      <c r="BP218" s="64">
        <f>IFERROR(1/J218*(Y218/H218),"0")</f>
        <v>4.3956043956043959E-2</v>
      </c>
    </row>
    <row r="219" spans="1:68" ht="37.5" customHeight="1" x14ac:dyDescent="0.25">
      <c r="A219" s="54" t="s">
        <v>352</v>
      </c>
      <c r="B219" s="54" t="s">
        <v>353</v>
      </c>
      <c r="C219" s="31">
        <v>4301060389</v>
      </c>
      <c r="D219" s="548">
        <v>4680115880801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16</v>
      </c>
      <c r="Y219" s="542">
        <f>IFERROR(IF(X219="",0,CEILING((X219/$H219),1)*$H219),"")</f>
        <v>16.8</v>
      </c>
      <c r="Z219" s="36">
        <f>IFERROR(IF(Y219=0,"",ROUNDUP(Y219/H219,0)*0.00651),"")</f>
        <v>4.5569999999999999E-2</v>
      </c>
      <c r="AA219" s="56"/>
      <c r="AB219" s="57"/>
      <c r="AC219" s="263" t="s">
        <v>354</v>
      </c>
      <c r="AG219" s="64"/>
      <c r="AJ219" s="68"/>
      <c r="AK219" s="68">
        <v>0</v>
      </c>
      <c r="BB219" s="264" t="s">
        <v>1</v>
      </c>
      <c r="BM219" s="64">
        <f>IFERROR(X219*I219/H219,"0")</f>
        <v>17.680000000000003</v>
      </c>
      <c r="BN219" s="64">
        <f>IFERROR(Y219*I219/H219,"0")</f>
        <v>18.564000000000004</v>
      </c>
      <c r="BO219" s="64">
        <f>IFERROR(1/J219*(X219/H219),"0")</f>
        <v>3.6630036630036632E-2</v>
      </c>
      <c r="BP219" s="64">
        <f>IFERROR(1/J219*(Y219/H219),"0")</f>
        <v>3.8461538461538471E-2</v>
      </c>
    </row>
    <row r="220" spans="1:68" x14ac:dyDescent="0.2">
      <c r="A220" s="554"/>
      <c r="B220" s="555"/>
      <c r="C220" s="555"/>
      <c r="D220" s="555"/>
      <c r="E220" s="555"/>
      <c r="F220" s="555"/>
      <c r="G220" s="555"/>
      <c r="H220" s="555"/>
      <c r="I220" s="555"/>
      <c r="J220" s="555"/>
      <c r="K220" s="555"/>
      <c r="L220" s="555"/>
      <c r="M220" s="555"/>
      <c r="N220" s="555"/>
      <c r="O220" s="556"/>
      <c r="P220" s="562" t="s">
        <v>71</v>
      </c>
      <c r="Q220" s="563"/>
      <c r="R220" s="563"/>
      <c r="S220" s="563"/>
      <c r="T220" s="563"/>
      <c r="U220" s="563"/>
      <c r="V220" s="564"/>
      <c r="W220" s="37" t="s">
        <v>72</v>
      </c>
      <c r="X220" s="543">
        <f>IFERROR(X218/H218,"0")+IFERROR(X219/H219,"0")</f>
        <v>13.75</v>
      </c>
      <c r="Y220" s="543">
        <f>IFERROR(Y218/H218,"0")+IFERROR(Y219/H219,"0")</f>
        <v>15</v>
      </c>
      <c r="Z220" s="543">
        <f>IFERROR(IF(Z218="",0,Z218),"0")+IFERROR(IF(Z219="",0,Z219),"0")</f>
        <v>9.7650000000000001E-2</v>
      </c>
      <c r="AA220" s="544"/>
      <c r="AB220" s="544"/>
      <c r="AC220" s="544"/>
    </row>
    <row r="221" spans="1:68" x14ac:dyDescent="0.2">
      <c r="A221" s="555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2" t="s">
        <v>71</v>
      </c>
      <c r="Q221" s="563"/>
      <c r="R221" s="563"/>
      <c r="S221" s="563"/>
      <c r="T221" s="563"/>
      <c r="U221" s="563"/>
      <c r="V221" s="564"/>
      <c r="W221" s="37" t="s">
        <v>69</v>
      </c>
      <c r="X221" s="543">
        <f>IFERROR(SUM(X218:X219),"0")</f>
        <v>33</v>
      </c>
      <c r="Y221" s="543">
        <f>IFERROR(SUM(Y218:Y219),"0")</f>
        <v>36</v>
      </c>
      <c r="Z221" s="37"/>
      <c r="AA221" s="544"/>
      <c r="AB221" s="544"/>
      <c r="AC221" s="544"/>
    </row>
    <row r="222" spans="1:68" ht="16.5" customHeight="1" x14ac:dyDescent="0.25">
      <c r="A222" s="558" t="s">
        <v>355</v>
      </c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5"/>
      <c r="P222" s="555"/>
      <c r="Q222" s="555"/>
      <c r="R222" s="555"/>
      <c r="S222" s="555"/>
      <c r="T222" s="555"/>
      <c r="U222" s="555"/>
      <c r="V222" s="555"/>
      <c r="W222" s="555"/>
      <c r="X222" s="555"/>
      <c r="Y222" s="555"/>
      <c r="Z222" s="555"/>
      <c r="AA222" s="536"/>
      <c r="AB222" s="536"/>
      <c r="AC222" s="536"/>
    </row>
    <row r="223" spans="1:68" ht="14.25" customHeight="1" x14ac:dyDescent="0.25">
      <c r="A223" s="559" t="s">
        <v>99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7"/>
      <c r="AB223" s="537"/>
      <c r="AC223" s="537"/>
    </row>
    <row r="224" spans="1:68" ht="27" customHeight="1" x14ac:dyDescent="0.25">
      <c r="A224" s="54" t="s">
        <v>356</v>
      </c>
      <c r="B224" s="54" t="s">
        <v>357</v>
      </c>
      <c r="C224" s="31">
        <v>4301011826</v>
      </c>
      <c r="D224" s="548">
        <v>4680115884137</v>
      </c>
      <c r="E224" s="549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102</v>
      </c>
      <c r="L224" s="32"/>
      <c r="M224" s="33" t="s">
        <v>104</v>
      </c>
      <c r="N224" s="33"/>
      <c r="O224" s="32">
        <v>55</v>
      </c>
      <c r="P224" s="71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6"/>
      <c r="R224" s="546"/>
      <c r="S224" s="546"/>
      <c r="T224" s="547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359</v>
      </c>
      <c r="B225" s="54" t="s">
        <v>360</v>
      </c>
      <c r="C225" s="31">
        <v>4301011724</v>
      </c>
      <c r="D225" s="548">
        <v>4680115884236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4301011721</v>
      </c>
      <c r="D226" s="548">
        <v>4680115884175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365</v>
      </c>
      <c r="B227" s="54" t="s">
        <v>366</v>
      </c>
      <c r="C227" s="31">
        <v>4301011824</v>
      </c>
      <c r="D227" s="548">
        <v>4680115884144</v>
      </c>
      <c r="E227" s="549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109</v>
      </c>
      <c r="L227" s="32"/>
      <c r="M227" s="33" t="s">
        <v>104</v>
      </c>
      <c r="N227" s="33"/>
      <c r="O227" s="32">
        <v>55</v>
      </c>
      <c r="P227" s="7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365</v>
      </c>
      <c r="B228" s="54" t="s">
        <v>367</v>
      </c>
      <c r="C228" s="31">
        <v>4301012196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368</v>
      </c>
      <c r="B229" s="54" t="s">
        <v>369</v>
      </c>
      <c r="C229" s="31">
        <v>4301012149</v>
      </c>
      <c r="D229" s="548">
        <v>4680115886551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371</v>
      </c>
      <c r="B230" s="54" t="s">
        <v>372</v>
      </c>
      <c r="C230" s="31">
        <v>4301011726</v>
      </c>
      <c r="D230" s="548">
        <v>4680115884182</v>
      </c>
      <c r="E230" s="549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373</v>
      </c>
      <c r="B231" s="54" t="s">
        <v>374</v>
      </c>
      <c r="C231" s="31">
        <v>4301012228</v>
      </c>
      <c r="D231" s="548">
        <v>4680115887282</v>
      </c>
      <c r="E231" s="549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375</v>
      </c>
      <c r="B232" s="54" t="s">
        <v>376</v>
      </c>
      <c r="C232" s="31">
        <v>4301011722</v>
      </c>
      <c r="D232" s="548">
        <v>4680115884205</v>
      </c>
      <c r="E232" s="549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109</v>
      </c>
      <c r="L232" s="32" t="s">
        <v>110</v>
      </c>
      <c r="M232" s="33" t="s">
        <v>104</v>
      </c>
      <c r="N232" s="33"/>
      <c r="O232" s="32">
        <v>55</v>
      </c>
      <c r="P232" s="73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 t="s">
        <v>106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375</v>
      </c>
      <c r="B233" s="54" t="s">
        <v>377</v>
      </c>
      <c r="C233" s="31">
        <v>4301012195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54"/>
      <c r="B234" s="555"/>
      <c r="C234" s="555"/>
      <c r="D234" s="555"/>
      <c r="E234" s="555"/>
      <c r="F234" s="555"/>
      <c r="G234" s="555"/>
      <c r="H234" s="555"/>
      <c r="I234" s="555"/>
      <c r="J234" s="555"/>
      <c r="K234" s="555"/>
      <c r="L234" s="555"/>
      <c r="M234" s="555"/>
      <c r="N234" s="555"/>
      <c r="O234" s="556"/>
      <c r="P234" s="562" t="s">
        <v>71</v>
      </c>
      <c r="Q234" s="563"/>
      <c r="R234" s="563"/>
      <c r="S234" s="563"/>
      <c r="T234" s="563"/>
      <c r="U234" s="563"/>
      <c r="V234" s="564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x14ac:dyDescent="0.2">
      <c r="A235" s="555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2" t="s">
        <v>71</v>
      </c>
      <c r="Q235" s="563"/>
      <c r="R235" s="563"/>
      <c r="S235" s="563"/>
      <c r="T235" s="563"/>
      <c r="U235" s="563"/>
      <c r="V235" s="564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customHeight="1" x14ac:dyDescent="0.25">
      <c r="A236" s="559" t="s">
        <v>135</v>
      </c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5"/>
      <c r="P236" s="555"/>
      <c r="Q236" s="555"/>
      <c r="R236" s="555"/>
      <c r="S236" s="555"/>
      <c r="T236" s="555"/>
      <c r="U236" s="555"/>
      <c r="V236" s="555"/>
      <c r="W236" s="555"/>
      <c r="X236" s="555"/>
      <c r="Y236" s="555"/>
      <c r="Z236" s="555"/>
      <c r="AA236" s="537"/>
      <c r="AB236" s="537"/>
      <c r="AC236" s="537"/>
    </row>
    <row r="237" spans="1:68" ht="27" customHeight="1" x14ac:dyDescent="0.25">
      <c r="A237" s="54" t="s">
        <v>378</v>
      </c>
      <c r="B237" s="54" t="s">
        <v>379</v>
      </c>
      <c r="C237" s="31">
        <v>4301020377</v>
      </c>
      <c r="D237" s="548">
        <v>4680115885981</v>
      </c>
      <c r="E237" s="549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6"/>
      <c r="R237" s="546"/>
      <c r="S237" s="546"/>
      <c r="T237" s="547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54"/>
      <c r="B238" s="555"/>
      <c r="C238" s="555"/>
      <c r="D238" s="555"/>
      <c r="E238" s="555"/>
      <c r="F238" s="555"/>
      <c r="G238" s="555"/>
      <c r="H238" s="555"/>
      <c r="I238" s="555"/>
      <c r="J238" s="555"/>
      <c r="K238" s="555"/>
      <c r="L238" s="555"/>
      <c r="M238" s="555"/>
      <c r="N238" s="555"/>
      <c r="O238" s="556"/>
      <c r="P238" s="562" t="s">
        <v>71</v>
      </c>
      <c r="Q238" s="563"/>
      <c r="R238" s="563"/>
      <c r="S238" s="563"/>
      <c r="T238" s="563"/>
      <c r="U238" s="563"/>
      <c r="V238" s="564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x14ac:dyDescent="0.2">
      <c r="A239" s="555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2" t="s">
        <v>71</v>
      </c>
      <c r="Q239" s="563"/>
      <c r="R239" s="563"/>
      <c r="S239" s="563"/>
      <c r="T239" s="563"/>
      <c r="U239" s="563"/>
      <c r="V239" s="564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customHeight="1" x14ac:dyDescent="0.25">
      <c r="A240" s="559" t="s">
        <v>381</v>
      </c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5"/>
      <c r="P240" s="555"/>
      <c r="Q240" s="555"/>
      <c r="R240" s="555"/>
      <c r="S240" s="555"/>
      <c r="T240" s="555"/>
      <c r="U240" s="555"/>
      <c r="V240" s="555"/>
      <c r="W240" s="555"/>
      <c r="X240" s="555"/>
      <c r="Y240" s="555"/>
      <c r="Z240" s="555"/>
      <c r="AA240" s="537"/>
      <c r="AB240" s="537"/>
      <c r="AC240" s="537"/>
    </row>
    <row r="241" spans="1:68" ht="27" customHeight="1" x14ac:dyDescent="0.25">
      <c r="A241" s="54" t="s">
        <v>382</v>
      </c>
      <c r="B241" s="54" t="s">
        <v>383</v>
      </c>
      <c r="C241" s="31">
        <v>4301040362</v>
      </c>
      <c r="D241" s="548">
        <v>4680115886803</v>
      </c>
      <c r="E241" s="549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7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6"/>
      <c r="R241" s="546"/>
      <c r="S241" s="546"/>
      <c r="T241" s="547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54"/>
      <c r="B242" s="555"/>
      <c r="C242" s="555"/>
      <c r="D242" s="555"/>
      <c r="E242" s="555"/>
      <c r="F242" s="555"/>
      <c r="G242" s="555"/>
      <c r="H242" s="555"/>
      <c r="I242" s="555"/>
      <c r="J242" s="555"/>
      <c r="K242" s="555"/>
      <c r="L242" s="555"/>
      <c r="M242" s="555"/>
      <c r="N242" s="555"/>
      <c r="O242" s="556"/>
      <c r="P242" s="562" t="s">
        <v>71</v>
      </c>
      <c r="Q242" s="563"/>
      <c r="R242" s="563"/>
      <c r="S242" s="563"/>
      <c r="T242" s="563"/>
      <c r="U242" s="563"/>
      <c r="V242" s="564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x14ac:dyDescent="0.2">
      <c r="A243" s="555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2" t="s">
        <v>71</v>
      </c>
      <c r="Q243" s="563"/>
      <c r="R243" s="563"/>
      <c r="S243" s="563"/>
      <c r="T243" s="563"/>
      <c r="U243" s="563"/>
      <c r="V243" s="564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customHeight="1" x14ac:dyDescent="0.25">
      <c r="A244" s="559" t="s">
        <v>385</v>
      </c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5"/>
      <c r="P244" s="555"/>
      <c r="Q244" s="555"/>
      <c r="R244" s="555"/>
      <c r="S244" s="555"/>
      <c r="T244" s="555"/>
      <c r="U244" s="555"/>
      <c r="V244" s="555"/>
      <c r="W244" s="555"/>
      <c r="X244" s="555"/>
      <c r="Y244" s="555"/>
      <c r="Z244" s="555"/>
      <c r="AA244" s="537"/>
      <c r="AB244" s="537"/>
      <c r="AC244" s="537"/>
    </row>
    <row r="245" spans="1:68" ht="27" customHeight="1" x14ac:dyDescent="0.25">
      <c r="A245" s="54" t="s">
        <v>386</v>
      </c>
      <c r="B245" s="54" t="s">
        <v>387</v>
      </c>
      <c r="C245" s="31">
        <v>4301041004</v>
      </c>
      <c r="D245" s="548">
        <v>4680115886704</v>
      </c>
      <c r="E245" s="549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71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6"/>
      <c r="R245" s="546"/>
      <c r="S245" s="546"/>
      <c r="T245" s="547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389</v>
      </c>
      <c r="B246" s="54" t="s">
        <v>390</v>
      </c>
      <c r="C246" s="31">
        <v>4301041008</v>
      </c>
      <c r="D246" s="548">
        <v>4680115886681</v>
      </c>
      <c r="E246" s="549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6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391</v>
      </c>
      <c r="B247" s="54" t="s">
        <v>392</v>
      </c>
      <c r="C247" s="31">
        <v>4301041007</v>
      </c>
      <c r="D247" s="548">
        <v>4680115886735</v>
      </c>
      <c r="E247" s="549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79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393</v>
      </c>
      <c r="B248" s="54" t="s">
        <v>394</v>
      </c>
      <c r="C248" s="31">
        <v>4301041006</v>
      </c>
      <c r="D248" s="548">
        <v>4680115886728</v>
      </c>
      <c r="E248" s="549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2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1</v>
      </c>
      <c r="Y248" s="542">
        <f>IFERROR(IF(X248="",0,CEILING((X248/$H248),1)*$H248),"")</f>
        <v>1.98</v>
      </c>
      <c r="Z248" s="36">
        <f>IFERROR(IF(Y248=0,"",ROUNDUP(Y248/H248,0)*0.0059),"")</f>
        <v>1.18E-2</v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1.1919191919191918</v>
      </c>
      <c r="BN248" s="64">
        <f>IFERROR(Y248*I248/H248,"0")</f>
        <v>2.36</v>
      </c>
      <c r="BO248" s="64">
        <f>IFERROR(1/J248*(X248/H248),"0")</f>
        <v>4.6763935652824546E-3</v>
      </c>
      <c r="BP248" s="64">
        <f>IFERROR(1/J248*(Y248/H248),"0")</f>
        <v>9.2592592592592587E-3</v>
      </c>
    </row>
    <row r="249" spans="1:68" ht="27" customHeight="1" x14ac:dyDescent="0.25">
      <c r="A249" s="54" t="s">
        <v>395</v>
      </c>
      <c r="B249" s="54" t="s">
        <v>396</v>
      </c>
      <c r="C249" s="31">
        <v>4301041005</v>
      </c>
      <c r="D249" s="548">
        <v>4680115886711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7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1</v>
      </c>
      <c r="Y249" s="542">
        <f>IFERROR(IF(X249="",0,CEILING((X249/$H249),1)*$H249),"")</f>
        <v>1.98</v>
      </c>
      <c r="Z249" s="36">
        <f>IFERROR(IF(Y249=0,"",ROUNDUP(Y249/H249,0)*0.0059),"")</f>
        <v>1.18E-2</v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1.1919191919191918</v>
      </c>
      <c r="BN249" s="64">
        <f>IFERROR(Y249*I249/H249,"0")</f>
        <v>2.36</v>
      </c>
      <c r="BO249" s="64">
        <f>IFERROR(1/J249*(X249/H249),"0")</f>
        <v>4.6763935652824546E-3</v>
      </c>
      <c r="BP249" s="64">
        <f>IFERROR(1/J249*(Y249/H249),"0")</f>
        <v>9.2592592592592587E-3</v>
      </c>
    </row>
    <row r="250" spans="1:68" x14ac:dyDescent="0.2">
      <c r="A250" s="554"/>
      <c r="B250" s="555"/>
      <c r="C250" s="555"/>
      <c r="D250" s="555"/>
      <c r="E250" s="555"/>
      <c r="F250" s="555"/>
      <c r="G250" s="555"/>
      <c r="H250" s="555"/>
      <c r="I250" s="555"/>
      <c r="J250" s="555"/>
      <c r="K250" s="555"/>
      <c r="L250" s="555"/>
      <c r="M250" s="555"/>
      <c r="N250" s="555"/>
      <c r="O250" s="556"/>
      <c r="P250" s="562" t="s">
        <v>71</v>
      </c>
      <c r="Q250" s="563"/>
      <c r="R250" s="563"/>
      <c r="S250" s="563"/>
      <c r="T250" s="563"/>
      <c r="U250" s="563"/>
      <c r="V250" s="564"/>
      <c r="W250" s="37" t="s">
        <v>72</v>
      </c>
      <c r="X250" s="543">
        <f>IFERROR(X245/H245,"0")+IFERROR(X246/H246,"0")+IFERROR(X247/H247,"0")+IFERROR(X248/H248,"0")+IFERROR(X249/H249,"0")</f>
        <v>2.0202020202020203</v>
      </c>
      <c r="Y250" s="543">
        <f>IFERROR(Y245/H245,"0")+IFERROR(Y246/H246,"0")+IFERROR(Y247/H247,"0")+IFERROR(Y248/H248,"0")+IFERROR(Y249/H249,"0")</f>
        <v>4</v>
      </c>
      <c r="Z250" s="543">
        <f>IFERROR(IF(Z245="",0,Z245),"0")+IFERROR(IF(Z246="",0,Z246),"0")+IFERROR(IF(Z247="",0,Z247),"0")+IFERROR(IF(Z248="",0,Z248),"0")+IFERROR(IF(Z249="",0,Z249),"0")</f>
        <v>2.3599999999999999E-2</v>
      </c>
      <c r="AA250" s="544"/>
      <c r="AB250" s="544"/>
      <c r="AC250" s="544"/>
    </row>
    <row r="251" spans="1:68" x14ac:dyDescent="0.2">
      <c r="A251" s="555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2" t="s">
        <v>71</v>
      </c>
      <c r="Q251" s="563"/>
      <c r="R251" s="563"/>
      <c r="S251" s="563"/>
      <c r="T251" s="563"/>
      <c r="U251" s="563"/>
      <c r="V251" s="564"/>
      <c r="W251" s="37" t="s">
        <v>69</v>
      </c>
      <c r="X251" s="543">
        <f>IFERROR(SUM(X245:X249),"0")</f>
        <v>2</v>
      </c>
      <c r="Y251" s="543">
        <f>IFERROR(SUM(Y245:Y249),"0")</f>
        <v>3.96</v>
      </c>
      <c r="Z251" s="37"/>
      <c r="AA251" s="544"/>
      <c r="AB251" s="544"/>
      <c r="AC251" s="544"/>
    </row>
    <row r="252" spans="1:68" ht="16.5" customHeight="1" x14ac:dyDescent="0.25">
      <c r="A252" s="558" t="s">
        <v>397</v>
      </c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5"/>
      <c r="P252" s="555"/>
      <c r="Q252" s="555"/>
      <c r="R252" s="555"/>
      <c r="S252" s="555"/>
      <c r="T252" s="555"/>
      <c r="U252" s="555"/>
      <c r="V252" s="555"/>
      <c r="W252" s="555"/>
      <c r="X252" s="555"/>
      <c r="Y252" s="555"/>
      <c r="Z252" s="555"/>
      <c r="AA252" s="536"/>
      <c r="AB252" s="536"/>
      <c r="AC252" s="536"/>
    </row>
    <row r="253" spans="1:68" ht="14.25" customHeight="1" x14ac:dyDescent="0.25">
      <c r="A253" s="559" t="s">
        <v>99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7"/>
      <c r="AB253" s="537"/>
      <c r="AC253" s="537"/>
    </row>
    <row r="254" spans="1:68" ht="27" customHeight="1" x14ac:dyDescent="0.25">
      <c r="A254" s="54" t="s">
        <v>398</v>
      </c>
      <c r="B254" s="54" t="s">
        <v>399</v>
      </c>
      <c r="C254" s="31">
        <v>4301011855</v>
      </c>
      <c r="D254" s="548">
        <v>4680115885837</v>
      </c>
      <c r="E254" s="549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102</v>
      </c>
      <c r="L254" s="32" t="s">
        <v>103</v>
      </c>
      <c r="M254" s="33" t="s">
        <v>104</v>
      </c>
      <c r="N254" s="33"/>
      <c r="O254" s="32">
        <v>55</v>
      </c>
      <c r="P254" s="74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6"/>
      <c r="R254" s="546"/>
      <c r="S254" s="546"/>
      <c r="T254" s="547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 t="s">
        <v>106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401</v>
      </c>
      <c r="B255" s="54" t="s">
        <v>402</v>
      </c>
      <c r="C255" s="31">
        <v>4301011853</v>
      </c>
      <c r="D255" s="548">
        <v>4680115885851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404</v>
      </c>
      <c r="B256" s="54" t="s">
        <v>405</v>
      </c>
      <c r="C256" s="31">
        <v>4301011850</v>
      </c>
      <c r="D256" s="548">
        <v>4680115885806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 t="s">
        <v>103</v>
      </c>
      <c r="M256" s="33" t="s">
        <v>104</v>
      </c>
      <c r="N256" s="33"/>
      <c r="O256" s="32">
        <v>55</v>
      </c>
      <c r="P256" s="74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 t="s">
        <v>106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4301011852</v>
      </c>
      <c r="D257" s="548">
        <v>4680115885844</v>
      </c>
      <c r="E257" s="549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6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410</v>
      </c>
      <c r="B258" s="54" t="s">
        <v>411</v>
      </c>
      <c r="C258" s="31">
        <v>4301011851</v>
      </c>
      <c r="D258" s="548">
        <v>4680115885820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54"/>
      <c r="B259" s="555"/>
      <c r="C259" s="555"/>
      <c r="D259" s="555"/>
      <c r="E259" s="555"/>
      <c r="F259" s="555"/>
      <c r="G259" s="555"/>
      <c r="H259" s="555"/>
      <c r="I259" s="555"/>
      <c r="J259" s="555"/>
      <c r="K259" s="555"/>
      <c r="L259" s="555"/>
      <c r="M259" s="555"/>
      <c r="N259" s="555"/>
      <c r="O259" s="556"/>
      <c r="P259" s="562" t="s">
        <v>71</v>
      </c>
      <c r="Q259" s="563"/>
      <c r="R259" s="563"/>
      <c r="S259" s="563"/>
      <c r="T259" s="563"/>
      <c r="U259" s="563"/>
      <c r="V259" s="564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x14ac:dyDescent="0.2">
      <c r="A260" s="555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2" t="s">
        <v>71</v>
      </c>
      <c r="Q260" s="563"/>
      <c r="R260" s="563"/>
      <c r="S260" s="563"/>
      <c r="T260" s="563"/>
      <c r="U260" s="563"/>
      <c r="V260" s="564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customHeight="1" x14ac:dyDescent="0.25">
      <c r="A261" s="558" t="s">
        <v>413</v>
      </c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5"/>
      <c r="P261" s="555"/>
      <c r="Q261" s="555"/>
      <c r="R261" s="555"/>
      <c r="S261" s="555"/>
      <c r="T261" s="555"/>
      <c r="U261" s="555"/>
      <c r="V261" s="555"/>
      <c r="W261" s="555"/>
      <c r="X261" s="555"/>
      <c r="Y261" s="555"/>
      <c r="Z261" s="555"/>
      <c r="AA261" s="536"/>
      <c r="AB261" s="536"/>
      <c r="AC261" s="536"/>
    </row>
    <row r="262" spans="1:68" ht="14.25" customHeight="1" x14ac:dyDescent="0.25">
      <c r="A262" s="559" t="s">
        <v>99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7"/>
      <c r="AB262" s="537"/>
      <c r="AC262" s="537"/>
    </row>
    <row r="263" spans="1:68" ht="27" customHeight="1" x14ac:dyDescent="0.25">
      <c r="A263" s="54" t="s">
        <v>414</v>
      </c>
      <c r="B263" s="54" t="s">
        <v>415</v>
      </c>
      <c r="C263" s="31">
        <v>4301011223</v>
      </c>
      <c r="D263" s="548">
        <v>4607091383423</v>
      </c>
      <c r="E263" s="549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6"/>
      <c r="R263" s="546"/>
      <c r="S263" s="546"/>
      <c r="T263" s="547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416</v>
      </c>
      <c r="B264" s="54" t="s">
        <v>417</v>
      </c>
      <c r="C264" s="31">
        <v>4301012199</v>
      </c>
      <c r="D264" s="548">
        <v>4680115886957</v>
      </c>
      <c r="E264" s="549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7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419</v>
      </c>
      <c r="B265" s="54" t="s">
        <v>420</v>
      </c>
      <c r="C265" s="31">
        <v>4301012098</v>
      </c>
      <c r="D265" s="548">
        <v>4680115885660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421</v>
      </c>
      <c r="B266" s="54" t="s">
        <v>422</v>
      </c>
      <c r="C266" s="31">
        <v>4301012176</v>
      </c>
      <c r="D266" s="548">
        <v>4680115886773</v>
      </c>
      <c r="E266" s="549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54"/>
      <c r="B267" s="555"/>
      <c r="C267" s="555"/>
      <c r="D267" s="555"/>
      <c r="E267" s="555"/>
      <c r="F267" s="555"/>
      <c r="G267" s="555"/>
      <c r="H267" s="555"/>
      <c r="I267" s="555"/>
      <c r="J267" s="555"/>
      <c r="K267" s="555"/>
      <c r="L267" s="555"/>
      <c r="M267" s="555"/>
      <c r="N267" s="555"/>
      <c r="O267" s="556"/>
      <c r="P267" s="562" t="s">
        <v>71</v>
      </c>
      <c r="Q267" s="563"/>
      <c r="R267" s="563"/>
      <c r="S267" s="563"/>
      <c r="T267" s="563"/>
      <c r="U267" s="563"/>
      <c r="V267" s="564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x14ac:dyDescent="0.2">
      <c r="A268" s="555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2" t="s">
        <v>71</v>
      </c>
      <c r="Q268" s="563"/>
      <c r="R268" s="563"/>
      <c r="S268" s="563"/>
      <c r="T268" s="563"/>
      <c r="U268" s="563"/>
      <c r="V268" s="564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customHeight="1" x14ac:dyDescent="0.25">
      <c r="A269" s="558" t="s">
        <v>424</v>
      </c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5"/>
      <c r="P269" s="555"/>
      <c r="Q269" s="555"/>
      <c r="R269" s="555"/>
      <c r="S269" s="555"/>
      <c r="T269" s="555"/>
      <c r="U269" s="555"/>
      <c r="V269" s="555"/>
      <c r="W269" s="555"/>
      <c r="X269" s="555"/>
      <c r="Y269" s="555"/>
      <c r="Z269" s="555"/>
      <c r="AA269" s="536"/>
      <c r="AB269" s="536"/>
      <c r="AC269" s="536"/>
    </row>
    <row r="270" spans="1:68" ht="14.25" customHeight="1" x14ac:dyDescent="0.25">
      <c r="A270" s="559" t="s">
        <v>73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7"/>
      <c r="AB270" s="537"/>
      <c r="AC270" s="537"/>
    </row>
    <row r="271" spans="1:68" ht="27" customHeight="1" x14ac:dyDescent="0.25">
      <c r="A271" s="54" t="s">
        <v>425</v>
      </c>
      <c r="B271" s="54" t="s">
        <v>426</v>
      </c>
      <c r="C271" s="31">
        <v>4301051893</v>
      </c>
      <c r="D271" s="548">
        <v>4680115886186</v>
      </c>
      <c r="E271" s="549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6"/>
      <c r="R271" s="546"/>
      <c r="S271" s="546"/>
      <c r="T271" s="547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428</v>
      </c>
      <c r="B272" s="54" t="s">
        <v>429</v>
      </c>
      <c r="C272" s="31">
        <v>4301051795</v>
      </c>
      <c r="D272" s="548">
        <v>4680115881228</v>
      </c>
      <c r="E272" s="549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 t="s">
        <v>186</v>
      </c>
      <c r="M272" s="33" t="s">
        <v>84</v>
      </c>
      <c r="N272" s="33"/>
      <c r="O272" s="32">
        <v>40</v>
      </c>
      <c r="P272" s="6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49</v>
      </c>
      <c r="Y272" s="542">
        <f>IFERROR(IF(X272="",0,CEILING((X272/$H272),1)*$H272),"")</f>
        <v>50.4</v>
      </c>
      <c r="Z272" s="36">
        <f>IFERROR(IF(Y272=0,"",ROUNDUP(Y272/H272,0)*0.00651),"")</f>
        <v>0.13671</v>
      </c>
      <c r="AA272" s="56"/>
      <c r="AB272" s="57"/>
      <c r="AC272" s="319" t="s">
        <v>430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54.145000000000003</v>
      </c>
      <c r="BN272" s="64">
        <f>IFERROR(Y272*I272/H272,"0")</f>
        <v>55.692</v>
      </c>
      <c r="BO272" s="64">
        <f>IFERROR(1/J272*(X272/H272),"0")</f>
        <v>0.1121794871794872</v>
      </c>
      <c r="BP272" s="64">
        <f>IFERROR(1/J272*(Y272/H272),"0")</f>
        <v>0.11538461538461539</v>
      </c>
    </row>
    <row r="273" spans="1:68" ht="27" customHeight="1" x14ac:dyDescent="0.25">
      <c r="A273" s="54" t="s">
        <v>431</v>
      </c>
      <c r="B273" s="54" t="s">
        <v>432</v>
      </c>
      <c r="C273" s="31">
        <v>4301051388</v>
      </c>
      <c r="D273" s="548">
        <v>4680115881211</v>
      </c>
      <c r="E273" s="549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186</v>
      </c>
      <c r="M273" s="33" t="s">
        <v>77</v>
      </c>
      <c r="N273" s="33"/>
      <c r="O273" s="32">
        <v>45</v>
      </c>
      <c r="P273" s="6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427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54"/>
      <c r="B274" s="555"/>
      <c r="C274" s="555"/>
      <c r="D274" s="555"/>
      <c r="E274" s="555"/>
      <c r="F274" s="555"/>
      <c r="G274" s="555"/>
      <c r="H274" s="555"/>
      <c r="I274" s="555"/>
      <c r="J274" s="555"/>
      <c r="K274" s="555"/>
      <c r="L274" s="555"/>
      <c r="M274" s="555"/>
      <c r="N274" s="555"/>
      <c r="O274" s="556"/>
      <c r="P274" s="562" t="s">
        <v>71</v>
      </c>
      <c r="Q274" s="563"/>
      <c r="R274" s="563"/>
      <c r="S274" s="563"/>
      <c r="T274" s="563"/>
      <c r="U274" s="563"/>
      <c r="V274" s="564"/>
      <c r="W274" s="37" t="s">
        <v>72</v>
      </c>
      <c r="X274" s="543">
        <f>IFERROR(X271/H271,"0")+IFERROR(X272/H272,"0")+IFERROR(X273/H273,"0")</f>
        <v>20.416666666666668</v>
      </c>
      <c r="Y274" s="543">
        <f>IFERROR(Y271/H271,"0")+IFERROR(Y272/H272,"0")+IFERROR(Y273/H273,"0")</f>
        <v>21</v>
      </c>
      <c r="Z274" s="543">
        <f>IFERROR(IF(Z271="",0,Z271),"0")+IFERROR(IF(Z272="",0,Z272),"0")+IFERROR(IF(Z273="",0,Z273),"0")</f>
        <v>0.13671</v>
      </c>
      <c r="AA274" s="544"/>
      <c r="AB274" s="544"/>
      <c r="AC274" s="544"/>
    </row>
    <row r="275" spans="1:68" x14ac:dyDescent="0.2">
      <c r="A275" s="555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2" t="s">
        <v>71</v>
      </c>
      <c r="Q275" s="563"/>
      <c r="R275" s="563"/>
      <c r="S275" s="563"/>
      <c r="T275" s="563"/>
      <c r="U275" s="563"/>
      <c r="V275" s="564"/>
      <c r="W275" s="37" t="s">
        <v>69</v>
      </c>
      <c r="X275" s="543">
        <f>IFERROR(SUM(X271:X273),"0")</f>
        <v>49</v>
      </c>
      <c r="Y275" s="543">
        <f>IFERROR(SUM(Y271:Y273),"0")</f>
        <v>50.4</v>
      </c>
      <c r="Z275" s="37"/>
      <c r="AA275" s="544"/>
      <c r="AB275" s="544"/>
      <c r="AC275" s="544"/>
    </row>
    <row r="276" spans="1:68" ht="16.5" customHeight="1" x14ac:dyDescent="0.25">
      <c r="A276" s="558" t="s">
        <v>433</v>
      </c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5"/>
      <c r="P276" s="555"/>
      <c r="Q276" s="555"/>
      <c r="R276" s="555"/>
      <c r="S276" s="555"/>
      <c r="T276" s="555"/>
      <c r="U276" s="555"/>
      <c r="V276" s="555"/>
      <c r="W276" s="555"/>
      <c r="X276" s="555"/>
      <c r="Y276" s="555"/>
      <c r="Z276" s="555"/>
      <c r="AA276" s="536"/>
      <c r="AB276" s="536"/>
      <c r="AC276" s="536"/>
    </row>
    <row r="277" spans="1:68" ht="14.25" customHeight="1" x14ac:dyDescent="0.25">
      <c r="A277" s="559" t="s">
        <v>64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7"/>
      <c r="AB277" s="537"/>
      <c r="AC277" s="537"/>
    </row>
    <row r="278" spans="1:68" ht="27" customHeight="1" x14ac:dyDescent="0.25">
      <c r="A278" s="54" t="s">
        <v>434</v>
      </c>
      <c r="B278" s="54" t="s">
        <v>435</v>
      </c>
      <c r="C278" s="31">
        <v>4301031307</v>
      </c>
      <c r="D278" s="548">
        <v>4680115880344</v>
      </c>
      <c r="E278" s="549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6"/>
      <c r="R278" s="546"/>
      <c r="S278" s="546"/>
      <c r="T278" s="547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437</v>
      </c>
      <c r="B279" s="54" t="s">
        <v>438</v>
      </c>
      <c r="C279" s="31">
        <v>4301031429</v>
      </c>
      <c r="D279" s="548">
        <v>4680115886919</v>
      </c>
      <c r="E279" s="549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54"/>
      <c r="B280" s="555"/>
      <c r="C280" s="555"/>
      <c r="D280" s="555"/>
      <c r="E280" s="555"/>
      <c r="F280" s="555"/>
      <c r="G280" s="555"/>
      <c r="H280" s="555"/>
      <c r="I280" s="555"/>
      <c r="J280" s="555"/>
      <c r="K280" s="555"/>
      <c r="L280" s="555"/>
      <c r="M280" s="555"/>
      <c r="N280" s="555"/>
      <c r="O280" s="556"/>
      <c r="P280" s="562" t="s">
        <v>71</v>
      </c>
      <c r="Q280" s="563"/>
      <c r="R280" s="563"/>
      <c r="S280" s="563"/>
      <c r="T280" s="563"/>
      <c r="U280" s="563"/>
      <c r="V280" s="564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x14ac:dyDescent="0.2">
      <c r="A281" s="555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2" t="s">
        <v>71</v>
      </c>
      <c r="Q281" s="563"/>
      <c r="R281" s="563"/>
      <c r="S281" s="563"/>
      <c r="T281" s="563"/>
      <c r="U281" s="563"/>
      <c r="V281" s="564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customHeight="1" x14ac:dyDescent="0.25">
      <c r="A282" s="559" t="s">
        <v>73</v>
      </c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5"/>
      <c r="P282" s="555"/>
      <c r="Q282" s="555"/>
      <c r="R282" s="555"/>
      <c r="S282" s="555"/>
      <c r="T282" s="555"/>
      <c r="U282" s="555"/>
      <c r="V282" s="555"/>
      <c r="W282" s="555"/>
      <c r="X282" s="555"/>
      <c r="Y282" s="555"/>
      <c r="Z282" s="555"/>
      <c r="AA282" s="537"/>
      <c r="AB282" s="537"/>
      <c r="AC282" s="537"/>
    </row>
    <row r="283" spans="1:68" ht="37.5" customHeight="1" x14ac:dyDescent="0.25">
      <c r="A283" s="54" t="s">
        <v>440</v>
      </c>
      <c r="B283" s="54" t="s">
        <v>441</v>
      </c>
      <c r="C283" s="31">
        <v>4301051782</v>
      </c>
      <c r="D283" s="548">
        <v>4680115884618</v>
      </c>
      <c r="E283" s="549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9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6"/>
      <c r="R283" s="546"/>
      <c r="S283" s="546"/>
      <c r="T283" s="547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443</v>
      </c>
      <c r="B284" s="54" t="s">
        <v>444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3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54"/>
      <c r="B285" s="555"/>
      <c r="C285" s="555"/>
      <c r="D285" s="555"/>
      <c r="E285" s="555"/>
      <c r="F285" s="555"/>
      <c r="G285" s="555"/>
      <c r="H285" s="555"/>
      <c r="I285" s="555"/>
      <c r="J285" s="555"/>
      <c r="K285" s="555"/>
      <c r="L285" s="555"/>
      <c r="M285" s="555"/>
      <c r="N285" s="555"/>
      <c r="O285" s="556"/>
      <c r="P285" s="562" t="s">
        <v>71</v>
      </c>
      <c r="Q285" s="563"/>
      <c r="R285" s="563"/>
      <c r="S285" s="563"/>
      <c r="T285" s="563"/>
      <c r="U285" s="563"/>
      <c r="V285" s="564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x14ac:dyDescent="0.2">
      <c r="A286" s="555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2" t="s">
        <v>71</v>
      </c>
      <c r="Q286" s="563"/>
      <c r="R286" s="563"/>
      <c r="S286" s="563"/>
      <c r="T286" s="563"/>
      <c r="U286" s="563"/>
      <c r="V286" s="564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customHeight="1" x14ac:dyDescent="0.25">
      <c r="A287" s="558" t="s">
        <v>446</v>
      </c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5"/>
      <c r="P287" s="555"/>
      <c r="Q287" s="555"/>
      <c r="R287" s="555"/>
      <c r="S287" s="555"/>
      <c r="T287" s="555"/>
      <c r="U287" s="555"/>
      <c r="V287" s="555"/>
      <c r="W287" s="555"/>
      <c r="X287" s="555"/>
      <c r="Y287" s="555"/>
      <c r="Z287" s="555"/>
      <c r="AA287" s="536"/>
      <c r="AB287" s="536"/>
      <c r="AC287" s="536"/>
    </row>
    <row r="288" spans="1:68" ht="14.25" customHeight="1" x14ac:dyDescent="0.25">
      <c r="A288" s="559" t="s">
        <v>99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7"/>
      <c r="AB288" s="537"/>
      <c r="AC288" s="537"/>
    </row>
    <row r="289" spans="1:68" ht="27" customHeight="1" x14ac:dyDescent="0.25">
      <c r="A289" s="54" t="s">
        <v>447</v>
      </c>
      <c r="B289" s="54" t="s">
        <v>448</v>
      </c>
      <c r="C289" s="31">
        <v>4301012024</v>
      </c>
      <c r="D289" s="548">
        <v>4680115885615</v>
      </c>
      <c r="E289" s="549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7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6"/>
      <c r="R289" s="546"/>
      <c r="S289" s="546"/>
      <c r="T289" s="547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449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customHeight="1" x14ac:dyDescent="0.25">
      <c r="A290" s="54" t="s">
        <v>450</v>
      </c>
      <c r="B290" s="54" t="s">
        <v>451</v>
      </c>
      <c r="C290" s="31">
        <v>4301011858</v>
      </c>
      <c r="D290" s="548">
        <v>4680115885646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7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453</v>
      </c>
      <c r="B291" s="54" t="s">
        <v>454</v>
      </c>
      <c r="C291" s="31">
        <v>4301012016</v>
      </c>
      <c r="D291" s="548">
        <v>4680115885554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4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456</v>
      </c>
      <c r="B292" s="54" t="s">
        <v>457</v>
      </c>
      <c r="C292" s="31">
        <v>4301011857</v>
      </c>
      <c r="D292" s="548">
        <v>4680115885622</v>
      </c>
      <c r="E292" s="549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5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449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458</v>
      </c>
      <c r="B293" s="54" t="s">
        <v>459</v>
      </c>
      <c r="C293" s="31">
        <v>4301011859</v>
      </c>
      <c r="D293" s="548">
        <v>4680115885608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460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54"/>
      <c r="B294" s="555"/>
      <c r="C294" s="555"/>
      <c r="D294" s="555"/>
      <c r="E294" s="555"/>
      <c r="F294" s="555"/>
      <c r="G294" s="555"/>
      <c r="H294" s="555"/>
      <c r="I294" s="555"/>
      <c r="J294" s="555"/>
      <c r="K294" s="555"/>
      <c r="L294" s="555"/>
      <c r="M294" s="555"/>
      <c r="N294" s="555"/>
      <c r="O294" s="556"/>
      <c r="P294" s="562" t="s">
        <v>71</v>
      </c>
      <c r="Q294" s="563"/>
      <c r="R294" s="563"/>
      <c r="S294" s="563"/>
      <c r="T294" s="563"/>
      <c r="U294" s="563"/>
      <c r="V294" s="564"/>
      <c r="W294" s="37" t="s">
        <v>72</v>
      </c>
      <c r="X294" s="543">
        <f>IFERROR(X289/H289,"0")+IFERROR(X290/H290,"0")+IFERROR(X291/H291,"0")+IFERROR(X292/H292,"0")+IFERROR(X293/H293,"0")</f>
        <v>0</v>
      </c>
      <c r="Y294" s="543">
        <f>IFERROR(Y289/H289,"0")+IFERROR(Y290/H290,"0")+IFERROR(Y291/H291,"0")+IFERROR(Y292/H292,"0")+IFERROR(Y293/H293,"0")</f>
        <v>0</v>
      </c>
      <c r="Z294" s="543">
        <f>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x14ac:dyDescent="0.2">
      <c r="A295" s="555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62" t="s">
        <v>71</v>
      </c>
      <c r="Q295" s="563"/>
      <c r="R295" s="563"/>
      <c r="S295" s="563"/>
      <c r="T295" s="563"/>
      <c r="U295" s="563"/>
      <c r="V295" s="564"/>
      <c r="W295" s="37" t="s">
        <v>69</v>
      </c>
      <c r="X295" s="543">
        <f>IFERROR(SUM(X289:X293),"0")</f>
        <v>0</v>
      </c>
      <c r="Y295" s="543">
        <f>IFERROR(SUM(Y289:Y293),"0")</f>
        <v>0</v>
      </c>
      <c r="Z295" s="37"/>
      <c r="AA295" s="544"/>
      <c r="AB295" s="544"/>
      <c r="AC295" s="544"/>
    </row>
    <row r="296" spans="1:68" ht="14.25" customHeight="1" x14ac:dyDescent="0.25">
      <c r="A296" s="559" t="s">
        <v>64</v>
      </c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5"/>
      <c r="P296" s="555"/>
      <c r="Q296" s="555"/>
      <c r="R296" s="555"/>
      <c r="S296" s="555"/>
      <c r="T296" s="555"/>
      <c r="U296" s="555"/>
      <c r="V296" s="555"/>
      <c r="W296" s="555"/>
      <c r="X296" s="555"/>
      <c r="Y296" s="555"/>
      <c r="Z296" s="555"/>
      <c r="AA296" s="537"/>
      <c r="AB296" s="537"/>
      <c r="AC296" s="537"/>
    </row>
    <row r="297" spans="1:68" ht="27" customHeight="1" x14ac:dyDescent="0.25">
      <c r="A297" s="54" t="s">
        <v>461</v>
      </c>
      <c r="B297" s="54" t="s">
        <v>462</v>
      </c>
      <c r="C297" s="31">
        <v>4301030878</v>
      </c>
      <c r="D297" s="548">
        <v>4607091387193</v>
      </c>
      <c r="E297" s="549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4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6"/>
      <c r="R297" s="546"/>
      <c r="S297" s="546"/>
      <c r="T297" s="547"/>
      <c r="U297" s="34"/>
      <c r="V297" s="34"/>
      <c r="W297" s="35" t="s">
        <v>69</v>
      </c>
      <c r="X297" s="541">
        <v>0</v>
      </c>
      <c r="Y297" s="542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463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customHeight="1" x14ac:dyDescent="0.25">
      <c r="A298" s="54" t="s">
        <v>464</v>
      </c>
      <c r="B298" s="54" t="s">
        <v>465</v>
      </c>
      <c r="C298" s="31">
        <v>4301031153</v>
      </c>
      <c r="D298" s="548">
        <v>4607091387230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 t="s">
        <v>110</v>
      </c>
      <c r="M298" s="33" t="s">
        <v>68</v>
      </c>
      <c r="N298" s="33"/>
      <c r="O298" s="32">
        <v>40</v>
      </c>
      <c r="P298" s="8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466</v>
      </c>
      <c r="AG298" s="64"/>
      <c r="AJ298" s="68" t="s">
        <v>106</v>
      </c>
      <c r="AK298" s="68">
        <v>50.4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467</v>
      </c>
      <c r="B299" s="54" t="s">
        <v>468</v>
      </c>
      <c r="C299" s="31">
        <v>4301031154</v>
      </c>
      <c r="D299" s="548">
        <v>4607091387292</v>
      </c>
      <c r="E299" s="549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3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470</v>
      </c>
      <c r="B300" s="54" t="s">
        <v>471</v>
      </c>
      <c r="C300" s="31">
        <v>4301031152</v>
      </c>
      <c r="D300" s="548">
        <v>4607091387285</v>
      </c>
      <c r="E300" s="549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6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472</v>
      </c>
      <c r="B301" s="54" t="s">
        <v>473</v>
      </c>
      <c r="C301" s="31">
        <v>4301031305</v>
      </c>
      <c r="D301" s="548">
        <v>4607091389845</v>
      </c>
      <c r="E301" s="549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79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474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475</v>
      </c>
      <c r="B302" s="54" t="s">
        <v>476</v>
      </c>
      <c r="C302" s="31">
        <v>4301031306</v>
      </c>
      <c r="D302" s="548">
        <v>4680115882881</v>
      </c>
      <c r="E302" s="549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474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477</v>
      </c>
      <c r="B303" s="54" t="s">
        <v>478</v>
      </c>
      <c r="C303" s="31">
        <v>4301031066</v>
      </c>
      <c r="D303" s="548">
        <v>4607091383836</v>
      </c>
      <c r="E303" s="549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/>
      <c r="M303" s="33" t="s">
        <v>68</v>
      </c>
      <c r="N303" s="33"/>
      <c r="O303" s="32">
        <v>40</v>
      </c>
      <c r="P303" s="68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x14ac:dyDescent="0.2">
      <c r="A304" s="554"/>
      <c r="B304" s="555"/>
      <c r="C304" s="555"/>
      <c r="D304" s="555"/>
      <c r="E304" s="555"/>
      <c r="F304" s="555"/>
      <c r="G304" s="555"/>
      <c r="H304" s="555"/>
      <c r="I304" s="555"/>
      <c r="J304" s="555"/>
      <c r="K304" s="555"/>
      <c r="L304" s="555"/>
      <c r="M304" s="555"/>
      <c r="N304" s="555"/>
      <c r="O304" s="556"/>
      <c r="P304" s="562" t="s">
        <v>71</v>
      </c>
      <c r="Q304" s="563"/>
      <c r="R304" s="563"/>
      <c r="S304" s="563"/>
      <c r="T304" s="563"/>
      <c r="U304" s="563"/>
      <c r="V304" s="564"/>
      <c r="W304" s="37" t="s">
        <v>72</v>
      </c>
      <c r="X304" s="543">
        <f>IFERROR(X297/H297,"0")+IFERROR(X298/H298,"0")+IFERROR(X299/H299,"0")+IFERROR(X300/H300,"0")+IFERROR(X301/H301,"0")+IFERROR(X302/H302,"0")+IFERROR(X303/H303,"0")</f>
        <v>0</v>
      </c>
      <c r="Y304" s="543">
        <f>IFERROR(Y297/H297,"0")+IFERROR(Y298/H298,"0")+IFERROR(Y299/H299,"0")+IFERROR(Y300/H300,"0")+IFERROR(Y301/H301,"0")+IFERROR(Y302/H302,"0")+IFERROR(Y303/H303,"0")</f>
        <v>0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544"/>
      <c r="AB304" s="544"/>
      <c r="AC304" s="544"/>
    </row>
    <row r="305" spans="1:68" x14ac:dyDescent="0.2">
      <c r="A305" s="555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62" t="s">
        <v>71</v>
      </c>
      <c r="Q305" s="563"/>
      <c r="R305" s="563"/>
      <c r="S305" s="563"/>
      <c r="T305" s="563"/>
      <c r="U305" s="563"/>
      <c r="V305" s="564"/>
      <c r="W305" s="37" t="s">
        <v>69</v>
      </c>
      <c r="X305" s="543">
        <f>IFERROR(SUM(X297:X303),"0")</f>
        <v>0</v>
      </c>
      <c r="Y305" s="543">
        <f>IFERROR(SUM(Y297:Y303),"0")</f>
        <v>0</v>
      </c>
      <c r="Z305" s="37"/>
      <c r="AA305" s="544"/>
      <c r="AB305" s="544"/>
      <c r="AC305" s="544"/>
    </row>
    <row r="306" spans="1:68" ht="14.25" customHeight="1" x14ac:dyDescent="0.25">
      <c r="A306" s="559" t="s">
        <v>73</v>
      </c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5"/>
      <c r="P306" s="555"/>
      <c r="Q306" s="555"/>
      <c r="R306" s="555"/>
      <c r="S306" s="555"/>
      <c r="T306" s="555"/>
      <c r="U306" s="555"/>
      <c r="V306" s="555"/>
      <c r="W306" s="555"/>
      <c r="X306" s="555"/>
      <c r="Y306" s="555"/>
      <c r="Z306" s="555"/>
      <c r="AA306" s="537"/>
      <c r="AB306" s="537"/>
      <c r="AC306" s="537"/>
    </row>
    <row r="307" spans="1:68" ht="27" customHeight="1" x14ac:dyDescent="0.25">
      <c r="A307" s="54" t="s">
        <v>480</v>
      </c>
      <c r="B307" s="54" t="s">
        <v>481</v>
      </c>
      <c r="C307" s="31">
        <v>4301051100</v>
      </c>
      <c r="D307" s="548">
        <v>4607091387766</v>
      </c>
      <c r="E307" s="549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102</v>
      </c>
      <c r="L307" s="32" t="s">
        <v>103</v>
      </c>
      <c r="M307" s="33" t="s">
        <v>77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6"/>
      <c r="R307" s="546"/>
      <c r="S307" s="546"/>
      <c r="T307" s="547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482</v>
      </c>
      <c r="AG307" s="64"/>
      <c r="AJ307" s="68" t="s">
        <v>106</v>
      </c>
      <c r="AK307" s="68">
        <v>62.4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483</v>
      </c>
      <c r="B308" s="54" t="s">
        <v>484</v>
      </c>
      <c r="C308" s="31">
        <v>4301051818</v>
      </c>
      <c r="D308" s="548">
        <v>4607091387957</v>
      </c>
      <c r="E308" s="549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485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486</v>
      </c>
      <c r="B309" s="54" t="s">
        <v>487</v>
      </c>
      <c r="C309" s="31">
        <v>4301051819</v>
      </c>
      <c r="D309" s="548">
        <v>4607091387964</v>
      </c>
      <c r="E309" s="549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1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488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489</v>
      </c>
      <c r="B310" s="54" t="s">
        <v>490</v>
      </c>
      <c r="C310" s="31">
        <v>4301051734</v>
      </c>
      <c r="D310" s="548">
        <v>4680115884588</v>
      </c>
      <c r="E310" s="549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69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491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54"/>
      <c r="B311" s="555"/>
      <c r="C311" s="555"/>
      <c r="D311" s="555"/>
      <c r="E311" s="555"/>
      <c r="F311" s="555"/>
      <c r="G311" s="555"/>
      <c r="H311" s="555"/>
      <c r="I311" s="555"/>
      <c r="J311" s="555"/>
      <c r="K311" s="555"/>
      <c r="L311" s="555"/>
      <c r="M311" s="555"/>
      <c r="N311" s="555"/>
      <c r="O311" s="556"/>
      <c r="P311" s="562" t="s">
        <v>71</v>
      </c>
      <c r="Q311" s="563"/>
      <c r="R311" s="563"/>
      <c r="S311" s="563"/>
      <c r="T311" s="563"/>
      <c r="U311" s="563"/>
      <c r="V311" s="564"/>
      <c r="W311" s="37" t="s">
        <v>72</v>
      </c>
      <c r="X311" s="543">
        <f>IFERROR(X307/H307,"0")+IFERROR(X308/H308,"0")+IFERROR(X309/H309,"0")+IFERROR(X310/H310,"0")</f>
        <v>0</v>
      </c>
      <c r="Y311" s="543">
        <f>IFERROR(Y307/H307,"0")+IFERROR(Y308/H308,"0")+IFERROR(Y309/H309,"0")+IFERROR(Y310/H310,"0")</f>
        <v>0</v>
      </c>
      <c r="Z311" s="543">
        <f>IFERROR(IF(Z307="",0,Z307),"0")+IFERROR(IF(Z308="",0,Z308),"0")+IFERROR(IF(Z309="",0,Z309),"0")+IFERROR(IF(Z310="",0,Z310),"0")</f>
        <v>0</v>
      </c>
      <c r="AA311" s="544"/>
      <c r="AB311" s="544"/>
      <c r="AC311" s="544"/>
    </row>
    <row r="312" spans="1:68" x14ac:dyDescent="0.2">
      <c r="A312" s="555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62" t="s">
        <v>71</v>
      </c>
      <c r="Q312" s="563"/>
      <c r="R312" s="563"/>
      <c r="S312" s="563"/>
      <c r="T312" s="563"/>
      <c r="U312" s="563"/>
      <c r="V312" s="564"/>
      <c r="W312" s="37" t="s">
        <v>69</v>
      </c>
      <c r="X312" s="543">
        <f>IFERROR(SUM(X307:X310),"0")</f>
        <v>0</v>
      </c>
      <c r="Y312" s="543">
        <f>IFERROR(SUM(Y307:Y310),"0")</f>
        <v>0</v>
      </c>
      <c r="Z312" s="37"/>
      <c r="AA312" s="544"/>
      <c r="AB312" s="544"/>
      <c r="AC312" s="544"/>
    </row>
    <row r="313" spans="1:68" ht="14.25" customHeight="1" x14ac:dyDescent="0.25">
      <c r="A313" s="559" t="s">
        <v>163</v>
      </c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5"/>
      <c r="P313" s="555"/>
      <c r="Q313" s="555"/>
      <c r="R313" s="555"/>
      <c r="S313" s="555"/>
      <c r="T313" s="555"/>
      <c r="U313" s="555"/>
      <c r="V313" s="555"/>
      <c r="W313" s="555"/>
      <c r="X313" s="555"/>
      <c r="Y313" s="555"/>
      <c r="Z313" s="555"/>
      <c r="AA313" s="537"/>
      <c r="AB313" s="537"/>
      <c r="AC313" s="537"/>
    </row>
    <row r="314" spans="1:68" ht="27" customHeight="1" x14ac:dyDescent="0.25">
      <c r="A314" s="54" t="s">
        <v>492</v>
      </c>
      <c r="B314" s="54" t="s">
        <v>493</v>
      </c>
      <c r="C314" s="31">
        <v>4301060387</v>
      </c>
      <c r="D314" s="548">
        <v>4607091380880</v>
      </c>
      <c r="E314" s="549"/>
      <c r="F314" s="540">
        <v>1.4</v>
      </c>
      <c r="G314" s="32">
        <v>6</v>
      </c>
      <c r="H314" s="540">
        <v>8.4</v>
      </c>
      <c r="I314" s="540">
        <v>8.8940000000000001</v>
      </c>
      <c r="J314" s="32">
        <v>64</v>
      </c>
      <c r="K314" s="32" t="s">
        <v>102</v>
      </c>
      <c r="L314" s="32"/>
      <c r="M314" s="33" t="s">
        <v>77</v>
      </c>
      <c r="N314" s="33"/>
      <c r="O314" s="32">
        <v>30</v>
      </c>
      <c r="P314" s="75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6"/>
      <c r="R314" s="546"/>
      <c r="S314" s="546"/>
      <c r="T314" s="547"/>
      <c r="U314" s="34"/>
      <c r="V314" s="34"/>
      <c r="W314" s="35" t="s">
        <v>69</v>
      </c>
      <c r="X314" s="541">
        <v>0</v>
      </c>
      <c r="Y314" s="542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494</v>
      </c>
      <c r="AG314" s="64"/>
      <c r="AJ314" s="68"/>
      <c r="AK314" s="68">
        <v>0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495</v>
      </c>
      <c r="B315" s="54" t="s">
        <v>496</v>
      </c>
      <c r="C315" s="31">
        <v>4301060406</v>
      </c>
      <c r="D315" s="548">
        <v>4607091384482</v>
      </c>
      <c r="E315" s="549"/>
      <c r="F315" s="540">
        <v>1.3</v>
      </c>
      <c r="G315" s="32">
        <v>6</v>
      </c>
      <c r="H315" s="540">
        <v>7.8</v>
      </c>
      <c r="I315" s="540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243</v>
      </c>
      <c r="Y315" s="542">
        <f>IFERROR(IF(X315="",0,CEILING((X315/$H315),1)*$H315),"")</f>
        <v>249.6</v>
      </c>
      <c r="Z315" s="36">
        <f>IFERROR(IF(Y315=0,"",ROUNDUP(Y315/H315,0)*0.01898),"")</f>
        <v>0.60736000000000001</v>
      </c>
      <c r="AA315" s="56"/>
      <c r="AB315" s="57"/>
      <c r="AC315" s="365" t="s">
        <v>497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258.39</v>
      </c>
      <c r="BN315" s="64">
        <f>IFERROR(Y315*I315/H315,"0")</f>
        <v>265.40800000000002</v>
      </c>
      <c r="BO315" s="64">
        <f>IFERROR(1/J315*(X315/H315),"0")</f>
        <v>0.48677884615384615</v>
      </c>
      <c r="BP315" s="64">
        <f>IFERROR(1/J315*(Y315/H315),"0")</f>
        <v>0.5</v>
      </c>
    </row>
    <row r="316" spans="1:68" ht="16.5" customHeight="1" x14ac:dyDescent="0.25">
      <c r="A316" s="54" t="s">
        <v>498</v>
      </c>
      <c r="B316" s="54" t="s">
        <v>499</v>
      </c>
      <c r="C316" s="31">
        <v>4301060484</v>
      </c>
      <c r="D316" s="548">
        <v>4607091380897</v>
      </c>
      <c r="E316" s="549"/>
      <c r="F316" s="540">
        <v>1.4</v>
      </c>
      <c r="G316" s="32">
        <v>6</v>
      </c>
      <c r="H316" s="540">
        <v>8.4</v>
      </c>
      <c r="I316" s="540">
        <v>8.8940000000000001</v>
      </c>
      <c r="J316" s="32">
        <v>64</v>
      </c>
      <c r="K316" s="32" t="s">
        <v>102</v>
      </c>
      <c r="L316" s="32"/>
      <c r="M316" s="33" t="s">
        <v>84</v>
      </c>
      <c r="N316" s="33"/>
      <c r="O316" s="32">
        <v>30</v>
      </c>
      <c r="P316" s="58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500</v>
      </c>
      <c r="AG316" s="64"/>
      <c r="AJ316" s="68"/>
      <c r="AK316" s="68">
        <v>0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54"/>
      <c r="B317" s="555"/>
      <c r="C317" s="555"/>
      <c r="D317" s="555"/>
      <c r="E317" s="555"/>
      <c r="F317" s="555"/>
      <c r="G317" s="555"/>
      <c r="H317" s="555"/>
      <c r="I317" s="555"/>
      <c r="J317" s="555"/>
      <c r="K317" s="555"/>
      <c r="L317" s="555"/>
      <c r="M317" s="555"/>
      <c r="N317" s="555"/>
      <c r="O317" s="556"/>
      <c r="P317" s="562" t="s">
        <v>71</v>
      </c>
      <c r="Q317" s="563"/>
      <c r="R317" s="563"/>
      <c r="S317" s="563"/>
      <c r="T317" s="563"/>
      <c r="U317" s="563"/>
      <c r="V317" s="564"/>
      <c r="W317" s="37" t="s">
        <v>72</v>
      </c>
      <c r="X317" s="543">
        <f>IFERROR(X314/H314,"0")+IFERROR(X315/H315,"0")+IFERROR(X316/H316,"0")</f>
        <v>31.153846153846153</v>
      </c>
      <c r="Y317" s="543">
        <f>IFERROR(Y314/H314,"0")+IFERROR(Y315/H315,"0")+IFERROR(Y316/H316,"0")</f>
        <v>32</v>
      </c>
      <c r="Z317" s="543">
        <f>IFERROR(IF(Z314="",0,Z314),"0")+IFERROR(IF(Z315="",0,Z315),"0")+IFERROR(IF(Z316="",0,Z316),"0")</f>
        <v>0.60736000000000001</v>
      </c>
      <c r="AA317" s="544"/>
      <c r="AB317" s="544"/>
      <c r="AC317" s="544"/>
    </row>
    <row r="318" spans="1:68" x14ac:dyDescent="0.2">
      <c r="A318" s="555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62" t="s">
        <v>71</v>
      </c>
      <c r="Q318" s="563"/>
      <c r="R318" s="563"/>
      <c r="S318" s="563"/>
      <c r="T318" s="563"/>
      <c r="U318" s="563"/>
      <c r="V318" s="564"/>
      <c r="W318" s="37" t="s">
        <v>69</v>
      </c>
      <c r="X318" s="543">
        <f>IFERROR(SUM(X314:X316),"0")</f>
        <v>243</v>
      </c>
      <c r="Y318" s="543">
        <f>IFERROR(SUM(Y314:Y316),"0")</f>
        <v>249.6</v>
      </c>
      <c r="Z318" s="37"/>
      <c r="AA318" s="544"/>
      <c r="AB318" s="544"/>
      <c r="AC318" s="544"/>
    </row>
    <row r="319" spans="1:68" ht="14.25" customHeight="1" x14ac:dyDescent="0.25">
      <c r="A319" s="559" t="s">
        <v>91</v>
      </c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5"/>
      <c r="P319" s="555"/>
      <c r="Q319" s="555"/>
      <c r="R319" s="555"/>
      <c r="S319" s="555"/>
      <c r="T319" s="555"/>
      <c r="U319" s="555"/>
      <c r="V319" s="555"/>
      <c r="W319" s="555"/>
      <c r="X319" s="555"/>
      <c r="Y319" s="555"/>
      <c r="Z319" s="555"/>
      <c r="AA319" s="537"/>
      <c r="AB319" s="537"/>
      <c r="AC319" s="537"/>
    </row>
    <row r="320" spans="1:68" ht="27" customHeight="1" x14ac:dyDescent="0.25">
      <c r="A320" s="54" t="s">
        <v>501</v>
      </c>
      <c r="B320" s="54" t="s">
        <v>502</v>
      </c>
      <c r="C320" s="31">
        <v>4301030235</v>
      </c>
      <c r="D320" s="548">
        <v>4607091388381</v>
      </c>
      <c r="E320" s="549"/>
      <c r="F320" s="540">
        <v>0.38</v>
      </c>
      <c r="G320" s="32">
        <v>8</v>
      </c>
      <c r="H320" s="540">
        <v>3.04</v>
      </c>
      <c r="I320" s="540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5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6"/>
      <c r="R320" s="546"/>
      <c r="S320" s="546"/>
      <c r="T320" s="547"/>
      <c r="U320" s="34"/>
      <c r="V320" s="34"/>
      <c r="W320" s="35" t="s">
        <v>69</v>
      </c>
      <c r="X320" s="541">
        <v>0</v>
      </c>
      <c r="Y320" s="542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503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504</v>
      </c>
      <c r="B321" s="54" t="s">
        <v>505</v>
      </c>
      <c r="C321" s="31">
        <v>4301030232</v>
      </c>
      <c r="D321" s="548">
        <v>4607091388374</v>
      </c>
      <c r="E321" s="549"/>
      <c r="F321" s="540">
        <v>0.38</v>
      </c>
      <c r="G321" s="32">
        <v>8</v>
      </c>
      <c r="H321" s="540">
        <v>3.04</v>
      </c>
      <c r="I321" s="540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8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503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506</v>
      </c>
      <c r="B322" s="54" t="s">
        <v>507</v>
      </c>
      <c r="C322" s="31">
        <v>4301032015</v>
      </c>
      <c r="D322" s="548">
        <v>4607091383102</v>
      </c>
      <c r="E322" s="549"/>
      <c r="F322" s="540">
        <v>0.17</v>
      </c>
      <c r="G322" s="32">
        <v>15</v>
      </c>
      <c r="H322" s="540">
        <v>2.5499999999999998</v>
      </c>
      <c r="I322" s="540">
        <v>2.9550000000000001</v>
      </c>
      <c r="J322" s="32">
        <v>182</v>
      </c>
      <c r="K322" s="32" t="s">
        <v>76</v>
      </c>
      <c r="L322" s="32" t="s">
        <v>186</v>
      </c>
      <c r="M322" s="33" t="s">
        <v>94</v>
      </c>
      <c r="N322" s="33"/>
      <c r="O322" s="32">
        <v>180</v>
      </c>
      <c r="P322" s="71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4</v>
      </c>
      <c r="Y322" s="542">
        <f>IFERROR(IF(X322="",0,CEILING((X322/$H322),1)*$H322),"")</f>
        <v>5.0999999999999996</v>
      </c>
      <c r="Z322" s="36">
        <f>IFERROR(IF(Y322=0,"",ROUNDUP(Y322/H322,0)*0.00651),"")</f>
        <v>1.302E-2</v>
      </c>
      <c r="AA322" s="56"/>
      <c r="AB322" s="57"/>
      <c r="AC322" s="373" t="s">
        <v>508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4.6352941176470592</v>
      </c>
      <c r="BN322" s="64">
        <f>IFERROR(Y322*I322/H322,"0")</f>
        <v>5.91</v>
      </c>
      <c r="BO322" s="64">
        <f>IFERROR(1/J322*(X322/H322),"0")</f>
        <v>8.6188321482439153E-3</v>
      </c>
      <c r="BP322" s="64">
        <f>IFERROR(1/J322*(Y322/H322),"0")</f>
        <v>1.098901098901099E-2</v>
      </c>
    </row>
    <row r="323" spans="1:68" ht="27" customHeight="1" x14ac:dyDescent="0.25">
      <c r="A323" s="54" t="s">
        <v>509</v>
      </c>
      <c r="B323" s="54" t="s">
        <v>510</v>
      </c>
      <c r="C323" s="31">
        <v>4301030233</v>
      </c>
      <c r="D323" s="548">
        <v>4607091388404</v>
      </c>
      <c r="E323" s="549"/>
      <c r="F323" s="540">
        <v>0.17</v>
      </c>
      <c r="G323" s="32">
        <v>15</v>
      </c>
      <c r="H323" s="540">
        <v>2.5499999999999998</v>
      </c>
      <c r="I323" s="540">
        <v>2.88</v>
      </c>
      <c r="J323" s="32">
        <v>182</v>
      </c>
      <c r="K323" s="32" t="s">
        <v>76</v>
      </c>
      <c r="L323" s="32" t="s">
        <v>186</v>
      </c>
      <c r="M323" s="33" t="s">
        <v>94</v>
      </c>
      <c r="N323" s="33"/>
      <c r="O323" s="32">
        <v>180</v>
      </c>
      <c r="P323" s="78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36</v>
      </c>
      <c r="Y323" s="542">
        <f>IFERROR(IF(X323="",0,CEILING((X323/$H323),1)*$H323),"")</f>
        <v>38.25</v>
      </c>
      <c r="Z323" s="36">
        <f>IFERROR(IF(Y323=0,"",ROUNDUP(Y323/H323,0)*0.00651),"")</f>
        <v>9.7650000000000001E-2</v>
      </c>
      <c r="AA323" s="56"/>
      <c r="AB323" s="57"/>
      <c r="AC323" s="375" t="s">
        <v>503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40.658823529411762</v>
      </c>
      <c r="BN323" s="64">
        <f>IFERROR(Y323*I323/H323,"0")</f>
        <v>43.2</v>
      </c>
      <c r="BO323" s="64">
        <f>IFERROR(1/J323*(X323/H323),"0")</f>
        <v>7.7569489334195232E-2</v>
      </c>
      <c r="BP323" s="64">
        <f>IFERROR(1/J323*(Y323/H323),"0")</f>
        <v>8.241758241758243E-2</v>
      </c>
    </row>
    <row r="324" spans="1:68" x14ac:dyDescent="0.2">
      <c r="A324" s="554"/>
      <c r="B324" s="555"/>
      <c r="C324" s="555"/>
      <c r="D324" s="555"/>
      <c r="E324" s="555"/>
      <c r="F324" s="555"/>
      <c r="G324" s="555"/>
      <c r="H324" s="555"/>
      <c r="I324" s="555"/>
      <c r="J324" s="555"/>
      <c r="K324" s="555"/>
      <c r="L324" s="555"/>
      <c r="M324" s="555"/>
      <c r="N324" s="555"/>
      <c r="O324" s="556"/>
      <c r="P324" s="562" t="s">
        <v>71</v>
      </c>
      <c r="Q324" s="563"/>
      <c r="R324" s="563"/>
      <c r="S324" s="563"/>
      <c r="T324" s="563"/>
      <c r="U324" s="563"/>
      <c r="V324" s="564"/>
      <c r="W324" s="37" t="s">
        <v>72</v>
      </c>
      <c r="X324" s="543">
        <f>IFERROR(X320/H320,"0")+IFERROR(X321/H321,"0")+IFERROR(X322/H322,"0")+IFERROR(X323/H323,"0")</f>
        <v>15.686274509803923</v>
      </c>
      <c r="Y324" s="543">
        <f>IFERROR(Y320/H320,"0")+IFERROR(Y321/H321,"0")+IFERROR(Y322/H322,"0")+IFERROR(Y323/H323,"0")</f>
        <v>17</v>
      </c>
      <c r="Z324" s="543">
        <f>IFERROR(IF(Z320="",0,Z320),"0")+IFERROR(IF(Z321="",0,Z321),"0")+IFERROR(IF(Z322="",0,Z322),"0")+IFERROR(IF(Z323="",0,Z323),"0")</f>
        <v>0.11067</v>
      </c>
      <c r="AA324" s="544"/>
      <c r="AB324" s="544"/>
      <c r="AC324" s="544"/>
    </row>
    <row r="325" spans="1:68" x14ac:dyDescent="0.2">
      <c r="A325" s="555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62" t="s">
        <v>71</v>
      </c>
      <c r="Q325" s="563"/>
      <c r="R325" s="563"/>
      <c r="S325" s="563"/>
      <c r="T325" s="563"/>
      <c r="U325" s="563"/>
      <c r="V325" s="564"/>
      <c r="W325" s="37" t="s">
        <v>69</v>
      </c>
      <c r="X325" s="543">
        <f>IFERROR(SUM(X320:X323),"0")</f>
        <v>40</v>
      </c>
      <c r="Y325" s="543">
        <f>IFERROR(SUM(Y320:Y323),"0")</f>
        <v>43.35</v>
      </c>
      <c r="Z325" s="37"/>
      <c r="AA325" s="544"/>
      <c r="AB325" s="544"/>
      <c r="AC325" s="544"/>
    </row>
    <row r="326" spans="1:68" ht="14.25" customHeight="1" x14ac:dyDescent="0.25">
      <c r="A326" s="559" t="s">
        <v>511</v>
      </c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5"/>
      <c r="P326" s="555"/>
      <c r="Q326" s="555"/>
      <c r="R326" s="555"/>
      <c r="S326" s="555"/>
      <c r="T326" s="555"/>
      <c r="U326" s="555"/>
      <c r="V326" s="555"/>
      <c r="W326" s="555"/>
      <c r="X326" s="555"/>
      <c r="Y326" s="555"/>
      <c r="Z326" s="555"/>
      <c r="AA326" s="537"/>
      <c r="AB326" s="537"/>
      <c r="AC326" s="537"/>
    </row>
    <row r="327" spans="1:68" ht="16.5" customHeight="1" x14ac:dyDescent="0.25">
      <c r="A327" s="54" t="s">
        <v>512</v>
      </c>
      <c r="B327" s="54" t="s">
        <v>513</v>
      </c>
      <c r="C327" s="31">
        <v>4301180007</v>
      </c>
      <c r="D327" s="548">
        <v>4680115881808</v>
      </c>
      <c r="E327" s="549"/>
      <c r="F327" s="540">
        <v>0.1</v>
      </c>
      <c r="G327" s="32">
        <v>20</v>
      </c>
      <c r="H327" s="540">
        <v>2</v>
      </c>
      <c r="I327" s="540">
        <v>2.2400000000000002</v>
      </c>
      <c r="J327" s="32">
        <v>238</v>
      </c>
      <c r="K327" s="32" t="s">
        <v>76</v>
      </c>
      <c r="L327" s="32"/>
      <c r="M327" s="33" t="s">
        <v>514</v>
      </c>
      <c r="N327" s="33"/>
      <c r="O327" s="32">
        <v>730</v>
      </c>
      <c r="P327" s="7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6"/>
      <c r="R327" s="546"/>
      <c r="S327" s="546"/>
      <c r="T327" s="547"/>
      <c r="U327" s="34"/>
      <c r="V327" s="34"/>
      <c r="W327" s="35" t="s">
        <v>69</v>
      </c>
      <c r="X327" s="541">
        <v>0</v>
      </c>
      <c r="Y327" s="542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515</v>
      </c>
      <c r="AG327" s="64"/>
      <c r="AJ327" s="68"/>
      <c r="AK327" s="68">
        <v>0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516</v>
      </c>
      <c r="B328" s="54" t="s">
        <v>517</v>
      </c>
      <c r="C328" s="31">
        <v>4301180006</v>
      </c>
      <c r="D328" s="548">
        <v>4680115881822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514</v>
      </c>
      <c r="N328" s="33"/>
      <c r="O328" s="32">
        <v>730</v>
      </c>
      <c r="P328" s="56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9</v>
      </c>
      <c r="Y328" s="542">
        <f>IFERROR(IF(X328="",0,CEILING((X328/$H328),1)*$H328),"")</f>
        <v>10</v>
      </c>
      <c r="Z328" s="36">
        <f>IFERROR(IF(Y328=0,"",ROUNDUP(Y328/H328,0)*0.00474),"")</f>
        <v>2.3700000000000002E-2</v>
      </c>
      <c r="AA328" s="56"/>
      <c r="AB328" s="57"/>
      <c r="AC328" s="379" t="s">
        <v>515</v>
      </c>
      <c r="AG328" s="64"/>
      <c r="AJ328" s="68"/>
      <c r="AK328" s="68">
        <v>0</v>
      </c>
      <c r="BB328" s="380" t="s">
        <v>1</v>
      </c>
      <c r="BM328" s="64">
        <f>IFERROR(X328*I328/H328,"0")</f>
        <v>10.080000000000002</v>
      </c>
      <c r="BN328" s="64">
        <f>IFERROR(Y328*I328/H328,"0")</f>
        <v>11.200000000000001</v>
      </c>
      <c r="BO328" s="64">
        <f>IFERROR(1/J328*(X328/H328),"0")</f>
        <v>1.8907563025210083E-2</v>
      </c>
      <c r="BP328" s="64">
        <f>IFERROR(1/J328*(Y328/H328),"0")</f>
        <v>2.1008403361344536E-2</v>
      </c>
    </row>
    <row r="329" spans="1:68" ht="27" customHeight="1" x14ac:dyDescent="0.25">
      <c r="A329" s="54" t="s">
        <v>518</v>
      </c>
      <c r="B329" s="54" t="s">
        <v>519</v>
      </c>
      <c r="C329" s="31">
        <v>4301180001</v>
      </c>
      <c r="D329" s="548">
        <v>4680115880016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514</v>
      </c>
      <c r="N329" s="33"/>
      <c r="O329" s="32">
        <v>730</v>
      </c>
      <c r="P329" s="6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7</v>
      </c>
      <c r="Y329" s="542">
        <f>IFERROR(IF(X329="",0,CEILING((X329/$H329),1)*$H329),"")</f>
        <v>8</v>
      </c>
      <c r="Z329" s="36">
        <f>IFERROR(IF(Y329=0,"",ROUNDUP(Y329/H329,0)*0.00474),"")</f>
        <v>1.8960000000000001E-2</v>
      </c>
      <c r="AA329" s="56"/>
      <c r="AB329" s="57"/>
      <c r="AC329" s="381" t="s">
        <v>515</v>
      </c>
      <c r="AG329" s="64"/>
      <c r="AJ329" s="68"/>
      <c r="AK329" s="68">
        <v>0</v>
      </c>
      <c r="BB329" s="382" t="s">
        <v>1</v>
      </c>
      <c r="BM329" s="64">
        <f>IFERROR(X329*I329/H329,"0")</f>
        <v>7.8400000000000007</v>
      </c>
      <c r="BN329" s="64">
        <f>IFERROR(Y329*I329/H329,"0")</f>
        <v>8.9600000000000009</v>
      </c>
      <c r="BO329" s="64">
        <f>IFERROR(1/J329*(X329/H329),"0")</f>
        <v>1.4705882352941176E-2</v>
      </c>
      <c r="BP329" s="64">
        <f>IFERROR(1/J329*(Y329/H329),"0")</f>
        <v>1.680672268907563E-2</v>
      </c>
    </row>
    <row r="330" spans="1:68" x14ac:dyDescent="0.2">
      <c r="A330" s="554"/>
      <c r="B330" s="555"/>
      <c r="C330" s="555"/>
      <c r="D330" s="555"/>
      <c r="E330" s="555"/>
      <c r="F330" s="555"/>
      <c r="G330" s="555"/>
      <c r="H330" s="555"/>
      <c r="I330" s="555"/>
      <c r="J330" s="555"/>
      <c r="K330" s="555"/>
      <c r="L330" s="555"/>
      <c r="M330" s="555"/>
      <c r="N330" s="555"/>
      <c r="O330" s="556"/>
      <c r="P330" s="562" t="s">
        <v>71</v>
      </c>
      <c r="Q330" s="563"/>
      <c r="R330" s="563"/>
      <c r="S330" s="563"/>
      <c r="T330" s="563"/>
      <c r="U330" s="563"/>
      <c r="V330" s="564"/>
      <c r="W330" s="37" t="s">
        <v>72</v>
      </c>
      <c r="X330" s="543">
        <f>IFERROR(X327/H327,"0")+IFERROR(X328/H328,"0")+IFERROR(X329/H329,"0")</f>
        <v>8</v>
      </c>
      <c r="Y330" s="543">
        <f>IFERROR(Y327/H327,"0")+IFERROR(Y328/H328,"0")+IFERROR(Y329/H329,"0")</f>
        <v>9</v>
      </c>
      <c r="Z330" s="543">
        <f>IFERROR(IF(Z327="",0,Z327),"0")+IFERROR(IF(Z328="",0,Z328),"0")+IFERROR(IF(Z329="",0,Z329),"0")</f>
        <v>4.2660000000000003E-2</v>
      </c>
      <c r="AA330" s="544"/>
      <c r="AB330" s="544"/>
      <c r="AC330" s="544"/>
    </row>
    <row r="331" spans="1:68" x14ac:dyDescent="0.2">
      <c r="A331" s="555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62" t="s">
        <v>71</v>
      </c>
      <c r="Q331" s="563"/>
      <c r="R331" s="563"/>
      <c r="S331" s="563"/>
      <c r="T331" s="563"/>
      <c r="U331" s="563"/>
      <c r="V331" s="564"/>
      <c r="W331" s="37" t="s">
        <v>69</v>
      </c>
      <c r="X331" s="543">
        <f>IFERROR(SUM(X327:X329),"0")</f>
        <v>16</v>
      </c>
      <c r="Y331" s="543">
        <f>IFERROR(SUM(Y327:Y329),"0")</f>
        <v>18</v>
      </c>
      <c r="Z331" s="37"/>
      <c r="AA331" s="544"/>
      <c r="AB331" s="544"/>
      <c r="AC331" s="544"/>
    </row>
    <row r="332" spans="1:68" ht="16.5" customHeight="1" x14ac:dyDescent="0.25">
      <c r="A332" s="558" t="s">
        <v>520</v>
      </c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5"/>
      <c r="P332" s="555"/>
      <c r="Q332" s="555"/>
      <c r="R332" s="555"/>
      <c r="S332" s="555"/>
      <c r="T332" s="555"/>
      <c r="U332" s="555"/>
      <c r="V332" s="555"/>
      <c r="W332" s="555"/>
      <c r="X332" s="555"/>
      <c r="Y332" s="555"/>
      <c r="Z332" s="555"/>
      <c r="AA332" s="536"/>
      <c r="AB332" s="536"/>
      <c r="AC332" s="536"/>
    </row>
    <row r="333" spans="1:68" ht="14.25" customHeight="1" x14ac:dyDescent="0.25">
      <c r="A333" s="559" t="s">
        <v>73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7"/>
      <c r="AB333" s="537"/>
      <c r="AC333" s="537"/>
    </row>
    <row r="334" spans="1:68" ht="27" customHeight="1" x14ac:dyDescent="0.25">
      <c r="A334" s="54" t="s">
        <v>521</v>
      </c>
      <c r="B334" s="54" t="s">
        <v>522</v>
      </c>
      <c r="C334" s="31">
        <v>4301051489</v>
      </c>
      <c r="D334" s="548">
        <v>4607091387919</v>
      </c>
      <c r="E334" s="549"/>
      <c r="F334" s="540">
        <v>1.35</v>
      </c>
      <c r="G334" s="32">
        <v>6</v>
      </c>
      <c r="H334" s="540">
        <v>8.1</v>
      </c>
      <c r="I334" s="540">
        <v>8.5939999999999994</v>
      </c>
      <c r="J334" s="32">
        <v>64</v>
      </c>
      <c r="K334" s="32" t="s">
        <v>102</v>
      </c>
      <c r="L334" s="32"/>
      <c r="M334" s="33" t="s">
        <v>84</v>
      </c>
      <c r="N334" s="33"/>
      <c r="O334" s="32">
        <v>45</v>
      </c>
      <c r="P334" s="60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6"/>
      <c r="R334" s="546"/>
      <c r="S334" s="546"/>
      <c r="T334" s="547"/>
      <c r="U334" s="34"/>
      <c r="V334" s="34"/>
      <c r="W334" s="35" t="s">
        <v>69</v>
      </c>
      <c r="X334" s="541">
        <v>0</v>
      </c>
      <c r="Y334" s="542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523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524</v>
      </c>
      <c r="B335" s="54" t="s">
        <v>525</v>
      </c>
      <c r="C335" s="31">
        <v>4301051461</v>
      </c>
      <c r="D335" s="548">
        <v>4680115883604</v>
      </c>
      <c r="E335" s="549"/>
      <c r="F335" s="540">
        <v>0.35</v>
      </c>
      <c r="G335" s="32">
        <v>6</v>
      </c>
      <c r="H335" s="540">
        <v>2.1</v>
      </c>
      <c r="I335" s="540">
        <v>2.3519999999999999</v>
      </c>
      <c r="J335" s="32">
        <v>182</v>
      </c>
      <c r="K335" s="32" t="s">
        <v>76</v>
      </c>
      <c r="L335" s="32" t="s">
        <v>186</v>
      </c>
      <c r="M335" s="33" t="s">
        <v>77</v>
      </c>
      <c r="N335" s="33"/>
      <c r="O335" s="32">
        <v>45</v>
      </c>
      <c r="P335" s="7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526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527</v>
      </c>
      <c r="B336" s="54" t="s">
        <v>528</v>
      </c>
      <c r="C336" s="31">
        <v>4301051864</v>
      </c>
      <c r="D336" s="548">
        <v>4680115883567</v>
      </c>
      <c r="E336" s="549"/>
      <c r="F336" s="540">
        <v>0.35</v>
      </c>
      <c r="G336" s="32">
        <v>6</v>
      </c>
      <c r="H336" s="540">
        <v>2.1</v>
      </c>
      <c r="I336" s="540">
        <v>2.34</v>
      </c>
      <c r="J336" s="32">
        <v>182</v>
      </c>
      <c r="K336" s="32" t="s">
        <v>76</v>
      </c>
      <c r="L336" s="32" t="s">
        <v>186</v>
      </c>
      <c r="M336" s="33" t="s">
        <v>84</v>
      </c>
      <c r="N336" s="33"/>
      <c r="O336" s="32">
        <v>40</v>
      </c>
      <c r="P336" s="80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529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54"/>
      <c r="B337" s="555"/>
      <c r="C337" s="555"/>
      <c r="D337" s="555"/>
      <c r="E337" s="555"/>
      <c r="F337" s="555"/>
      <c r="G337" s="555"/>
      <c r="H337" s="555"/>
      <c r="I337" s="555"/>
      <c r="J337" s="555"/>
      <c r="K337" s="555"/>
      <c r="L337" s="555"/>
      <c r="M337" s="555"/>
      <c r="N337" s="555"/>
      <c r="O337" s="556"/>
      <c r="P337" s="562" t="s">
        <v>71</v>
      </c>
      <c r="Q337" s="563"/>
      <c r="R337" s="563"/>
      <c r="S337" s="563"/>
      <c r="T337" s="563"/>
      <c r="U337" s="563"/>
      <c r="V337" s="564"/>
      <c r="W337" s="37" t="s">
        <v>72</v>
      </c>
      <c r="X337" s="543">
        <f>IFERROR(X334/H334,"0")+IFERROR(X335/H335,"0")+IFERROR(X336/H336,"0")</f>
        <v>0</v>
      </c>
      <c r="Y337" s="543">
        <f>IFERROR(Y334/H334,"0")+IFERROR(Y335/H335,"0")+IFERROR(Y336/H336,"0")</f>
        <v>0</v>
      </c>
      <c r="Z337" s="543">
        <f>IFERROR(IF(Z334="",0,Z334),"0")+IFERROR(IF(Z335="",0,Z335),"0")+IFERROR(IF(Z336="",0,Z336),"0")</f>
        <v>0</v>
      </c>
      <c r="AA337" s="544"/>
      <c r="AB337" s="544"/>
      <c r="AC337" s="544"/>
    </row>
    <row r="338" spans="1:68" x14ac:dyDescent="0.2">
      <c r="A338" s="555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62" t="s">
        <v>71</v>
      </c>
      <c r="Q338" s="563"/>
      <c r="R338" s="563"/>
      <c r="S338" s="563"/>
      <c r="T338" s="563"/>
      <c r="U338" s="563"/>
      <c r="V338" s="564"/>
      <c r="W338" s="37" t="s">
        <v>69</v>
      </c>
      <c r="X338" s="543">
        <f>IFERROR(SUM(X334:X336),"0")</f>
        <v>0</v>
      </c>
      <c r="Y338" s="543">
        <f>IFERROR(SUM(Y334:Y336),"0")</f>
        <v>0</v>
      </c>
      <c r="Z338" s="37"/>
      <c r="AA338" s="544"/>
      <c r="AB338" s="544"/>
      <c r="AC338" s="544"/>
    </row>
    <row r="339" spans="1:68" ht="27.75" customHeight="1" x14ac:dyDescent="0.2">
      <c r="A339" s="632" t="s">
        <v>530</v>
      </c>
      <c r="B339" s="633"/>
      <c r="C339" s="633"/>
      <c r="D339" s="633"/>
      <c r="E339" s="633"/>
      <c r="F339" s="633"/>
      <c r="G339" s="633"/>
      <c r="H339" s="633"/>
      <c r="I339" s="633"/>
      <c r="J339" s="633"/>
      <c r="K339" s="633"/>
      <c r="L339" s="633"/>
      <c r="M339" s="633"/>
      <c r="N339" s="633"/>
      <c r="O339" s="633"/>
      <c r="P339" s="633"/>
      <c r="Q339" s="633"/>
      <c r="R339" s="633"/>
      <c r="S339" s="633"/>
      <c r="T339" s="633"/>
      <c r="U339" s="633"/>
      <c r="V339" s="633"/>
      <c r="W339" s="633"/>
      <c r="X339" s="633"/>
      <c r="Y339" s="633"/>
      <c r="Z339" s="633"/>
      <c r="AA339" s="48"/>
      <c r="AB339" s="48"/>
      <c r="AC339" s="48"/>
    </row>
    <row r="340" spans="1:68" ht="16.5" customHeight="1" x14ac:dyDescent="0.25">
      <c r="A340" s="558" t="s">
        <v>531</v>
      </c>
      <c r="B340" s="555"/>
      <c r="C340" s="555"/>
      <c r="D340" s="555"/>
      <c r="E340" s="555"/>
      <c r="F340" s="555"/>
      <c r="G340" s="555"/>
      <c r="H340" s="555"/>
      <c r="I340" s="555"/>
      <c r="J340" s="555"/>
      <c r="K340" s="555"/>
      <c r="L340" s="555"/>
      <c r="M340" s="555"/>
      <c r="N340" s="555"/>
      <c r="O340" s="555"/>
      <c r="P340" s="555"/>
      <c r="Q340" s="555"/>
      <c r="R340" s="555"/>
      <c r="S340" s="555"/>
      <c r="T340" s="555"/>
      <c r="U340" s="555"/>
      <c r="V340" s="555"/>
      <c r="W340" s="555"/>
      <c r="X340" s="555"/>
      <c r="Y340" s="555"/>
      <c r="Z340" s="555"/>
      <c r="AA340" s="536"/>
      <c r="AB340" s="536"/>
      <c r="AC340" s="536"/>
    </row>
    <row r="341" spans="1:68" ht="14.25" customHeight="1" x14ac:dyDescent="0.25">
      <c r="A341" s="559" t="s">
        <v>99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7"/>
      <c r="AB341" s="537"/>
      <c r="AC341" s="537"/>
    </row>
    <row r="342" spans="1:68" ht="37.5" customHeight="1" x14ac:dyDescent="0.25">
      <c r="A342" s="54" t="s">
        <v>532</v>
      </c>
      <c r="B342" s="54" t="s">
        <v>533</v>
      </c>
      <c r="C342" s="31">
        <v>4301011869</v>
      </c>
      <c r="D342" s="548">
        <v>4680115884847</v>
      </c>
      <c r="E342" s="549"/>
      <c r="F342" s="540">
        <v>2.5</v>
      </c>
      <c r="G342" s="32">
        <v>6</v>
      </c>
      <c r="H342" s="540">
        <v>15</v>
      </c>
      <c r="I342" s="540">
        <v>15.47</v>
      </c>
      <c r="J342" s="32">
        <v>48</v>
      </c>
      <c r="K342" s="32" t="s">
        <v>102</v>
      </c>
      <c r="L342" s="32" t="s">
        <v>103</v>
      </c>
      <c r="M342" s="33" t="s">
        <v>68</v>
      </c>
      <c r="N342" s="33"/>
      <c r="O342" s="32">
        <v>60</v>
      </c>
      <c r="P342" s="8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6"/>
      <c r="R342" s="546"/>
      <c r="S342" s="546"/>
      <c r="T342" s="547"/>
      <c r="U342" s="34"/>
      <c r="V342" s="34"/>
      <c r="W342" s="35" t="s">
        <v>69</v>
      </c>
      <c r="X342" s="541">
        <v>615</v>
      </c>
      <c r="Y342" s="542">
        <f t="shared" ref="Y342:Y348" si="31">IFERROR(IF(X342="",0,CEILING((X342/$H342),1)*$H342),"")</f>
        <v>615</v>
      </c>
      <c r="Z342" s="36">
        <f>IFERROR(IF(Y342=0,"",ROUNDUP(Y342/H342,0)*0.02175),"")</f>
        <v>0.89174999999999993</v>
      </c>
      <c r="AA342" s="56"/>
      <c r="AB342" s="57"/>
      <c r="AC342" s="389" t="s">
        <v>534</v>
      </c>
      <c r="AG342" s="64"/>
      <c r="AJ342" s="68" t="s">
        <v>106</v>
      </c>
      <c r="AK342" s="68">
        <v>120</v>
      </c>
      <c r="BB342" s="390" t="s">
        <v>1</v>
      </c>
      <c r="BM342" s="64">
        <f t="shared" ref="BM342:BM348" si="32">IFERROR(X342*I342/H342,"0")</f>
        <v>634.2700000000001</v>
      </c>
      <c r="BN342" s="64">
        <f t="shared" ref="BN342:BN348" si="33">IFERROR(Y342*I342/H342,"0")</f>
        <v>634.2700000000001</v>
      </c>
      <c r="BO342" s="64">
        <f t="shared" ref="BO342:BO348" si="34">IFERROR(1/J342*(X342/H342),"0")</f>
        <v>0.85416666666666663</v>
      </c>
      <c r="BP342" s="64">
        <f t="shared" ref="BP342:BP348" si="35">IFERROR(1/J342*(Y342/H342),"0")</f>
        <v>0.85416666666666663</v>
      </c>
    </row>
    <row r="343" spans="1:68" ht="27" customHeight="1" x14ac:dyDescent="0.25">
      <c r="A343" s="54" t="s">
        <v>535</v>
      </c>
      <c r="B343" s="54" t="s">
        <v>536</v>
      </c>
      <c r="C343" s="31">
        <v>4301011870</v>
      </c>
      <c r="D343" s="548">
        <v>4680115884854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4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0</v>
      </c>
      <c r="Y343" s="542">
        <f t="shared" si="31"/>
        <v>0</v>
      </c>
      <c r="Z343" s="36" t="str">
        <f>IFERROR(IF(Y343=0,"",ROUNDUP(Y343/H343,0)*0.02175),"")</f>
        <v/>
      </c>
      <c r="AA343" s="56"/>
      <c r="AB343" s="57"/>
      <c r="AC343" s="391" t="s">
        <v>537</v>
      </c>
      <c r="AG343" s="64"/>
      <c r="AJ343" s="68" t="s">
        <v>106</v>
      </c>
      <c r="AK343" s="68">
        <v>120</v>
      </c>
      <c r="BB343" s="392" t="s">
        <v>1</v>
      </c>
      <c r="BM343" s="64">
        <f t="shared" si="32"/>
        <v>0</v>
      </c>
      <c r="BN343" s="64">
        <f t="shared" si="33"/>
        <v>0</v>
      </c>
      <c r="BO343" s="64">
        <f t="shared" si="34"/>
        <v>0</v>
      </c>
      <c r="BP343" s="64">
        <f t="shared" si="35"/>
        <v>0</v>
      </c>
    </row>
    <row r="344" spans="1:68" ht="37.5" customHeight="1" x14ac:dyDescent="0.25">
      <c r="A344" s="54" t="s">
        <v>538</v>
      </c>
      <c r="B344" s="54" t="s">
        <v>539</v>
      </c>
      <c r="C344" s="31">
        <v>4301011867</v>
      </c>
      <c r="D344" s="548">
        <v>4680115884830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3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177</v>
      </c>
      <c r="Y344" s="542">
        <f t="shared" si="31"/>
        <v>180</v>
      </c>
      <c r="Z344" s="36">
        <f>IFERROR(IF(Y344=0,"",ROUNDUP(Y344/H344,0)*0.02175),"")</f>
        <v>0.26100000000000001</v>
      </c>
      <c r="AA344" s="56"/>
      <c r="AB344" s="57"/>
      <c r="AC344" s="393" t="s">
        <v>540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182.54599999999999</v>
      </c>
      <c r="BN344" s="64">
        <f t="shared" si="33"/>
        <v>185.64</v>
      </c>
      <c r="BO344" s="64">
        <f t="shared" si="34"/>
        <v>0.24583333333333335</v>
      </c>
      <c r="BP344" s="64">
        <f t="shared" si="35"/>
        <v>0.25</v>
      </c>
    </row>
    <row r="345" spans="1:68" ht="27" customHeight="1" x14ac:dyDescent="0.25">
      <c r="A345" s="54" t="s">
        <v>541</v>
      </c>
      <c r="B345" s="54" t="s">
        <v>542</v>
      </c>
      <c r="C345" s="31">
        <v>4301012215</v>
      </c>
      <c r="D345" s="548">
        <v>4680115887046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275</v>
      </c>
      <c r="Y345" s="542">
        <f t="shared" si="31"/>
        <v>285</v>
      </c>
      <c r="Z345" s="36">
        <f>IFERROR(IF(Y345=0,"",ROUNDUP(Y345/H345,0)*0.02175),"")</f>
        <v>0.41324999999999995</v>
      </c>
      <c r="AA345" s="56"/>
      <c r="AB345" s="57"/>
      <c r="AC345" s="395" t="s">
        <v>543</v>
      </c>
      <c r="AG345" s="64"/>
      <c r="AJ345" s="68"/>
      <c r="AK345" s="68">
        <v>0</v>
      </c>
      <c r="BB345" s="396" t="s">
        <v>1</v>
      </c>
      <c r="BM345" s="64">
        <f t="shared" si="32"/>
        <v>283.61666666666667</v>
      </c>
      <c r="BN345" s="64">
        <f t="shared" si="33"/>
        <v>293.93</v>
      </c>
      <c r="BO345" s="64">
        <f t="shared" si="34"/>
        <v>0.38194444444444442</v>
      </c>
      <c r="BP345" s="64">
        <f t="shared" si="35"/>
        <v>0.39583333333333331</v>
      </c>
    </row>
    <row r="346" spans="1:68" ht="27" customHeight="1" x14ac:dyDescent="0.25">
      <c r="A346" s="54" t="s">
        <v>544</v>
      </c>
      <c r="B346" s="54" t="s">
        <v>545</v>
      </c>
      <c r="C346" s="31">
        <v>4301011433</v>
      </c>
      <c r="D346" s="548">
        <v>4680115882638</v>
      </c>
      <c r="E346" s="549"/>
      <c r="F346" s="540">
        <v>0.4</v>
      </c>
      <c r="G346" s="32">
        <v>10</v>
      </c>
      <c r="H346" s="540">
        <v>4</v>
      </c>
      <c r="I346" s="540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78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0</v>
      </c>
      <c r="Y346" s="542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546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547</v>
      </c>
      <c r="B347" s="54" t="s">
        <v>548</v>
      </c>
      <c r="C347" s="31">
        <v>4301011952</v>
      </c>
      <c r="D347" s="548">
        <v>4680115884922</v>
      </c>
      <c r="E347" s="549"/>
      <c r="F347" s="540">
        <v>0.5</v>
      </c>
      <c r="G347" s="32">
        <v>10</v>
      </c>
      <c r="H347" s="540">
        <v>5</v>
      </c>
      <c r="I347" s="540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537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549</v>
      </c>
      <c r="B348" s="54" t="s">
        <v>550</v>
      </c>
      <c r="C348" s="31">
        <v>4301011868</v>
      </c>
      <c r="D348" s="548">
        <v>4680115884861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8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540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54"/>
      <c r="B349" s="555"/>
      <c r="C349" s="555"/>
      <c r="D349" s="555"/>
      <c r="E349" s="555"/>
      <c r="F349" s="555"/>
      <c r="G349" s="555"/>
      <c r="H349" s="555"/>
      <c r="I349" s="555"/>
      <c r="J349" s="555"/>
      <c r="K349" s="555"/>
      <c r="L349" s="555"/>
      <c r="M349" s="555"/>
      <c r="N349" s="555"/>
      <c r="O349" s="556"/>
      <c r="P349" s="562" t="s">
        <v>71</v>
      </c>
      <c r="Q349" s="563"/>
      <c r="R349" s="563"/>
      <c r="S349" s="563"/>
      <c r="T349" s="563"/>
      <c r="U349" s="563"/>
      <c r="V349" s="564"/>
      <c r="W349" s="37" t="s">
        <v>72</v>
      </c>
      <c r="X349" s="543">
        <f>IFERROR(X342/H342,"0")+IFERROR(X343/H343,"0")+IFERROR(X344/H344,"0")+IFERROR(X345/H345,"0")+IFERROR(X346/H346,"0")+IFERROR(X347/H347,"0")+IFERROR(X348/H348,"0")</f>
        <v>71.133333333333326</v>
      </c>
      <c r="Y349" s="543">
        <f>IFERROR(Y342/H342,"0")+IFERROR(Y343/H343,"0")+IFERROR(Y344/H344,"0")+IFERROR(Y345/H345,"0")+IFERROR(Y346/H346,"0")+IFERROR(Y347/H347,"0")+IFERROR(Y348/H348,"0")</f>
        <v>72</v>
      </c>
      <c r="Z349" s="543">
        <f>IFERROR(IF(Z342="",0,Z342),"0")+IFERROR(IF(Z343="",0,Z343),"0")+IFERROR(IF(Z344="",0,Z344),"0")+IFERROR(IF(Z345="",0,Z345),"0")+IFERROR(IF(Z346="",0,Z346),"0")+IFERROR(IF(Z347="",0,Z347),"0")+IFERROR(IF(Z348="",0,Z348),"0")</f>
        <v>1.5659999999999998</v>
      </c>
      <c r="AA349" s="544"/>
      <c r="AB349" s="544"/>
      <c r="AC349" s="544"/>
    </row>
    <row r="350" spans="1:68" x14ac:dyDescent="0.2">
      <c r="A350" s="555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62" t="s">
        <v>71</v>
      </c>
      <c r="Q350" s="563"/>
      <c r="R350" s="563"/>
      <c r="S350" s="563"/>
      <c r="T350" s="563"/>
      <c r="U350" s="563"/>
      <c r="V350" s="564"/>
      <c r="W350" s="37" t="s">
        <v>69</v>
      </c>
      <c r="X350" s="543">
        <f>IFERROR(SUM(X342:X348),"0")</f>
        <v>1067</v>
      </c>
      <c r="Y350" s="543">
        <f>IFERROR(SUM(Y342:Y348),"0")</f>
        <v>1080</v>
      </c>
      <c r="Z350" s="37"/>
      <c r="AA350" s="544"/>
      <c r="AB350" s="544"/>
      <c r="AC350" s="544"/>
    </row>
    <row r="351" spans="1:68" ht="14.25" customHeight="1" x14ac:dyDescent="0.25">
      <c r="A351" s="559" t="s">
        <v>135</v>
      </c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5"/>
      <c r="P351" s="555"/>
      <c r="Q351" s="555"/>
      <c r="R351" s="555"/>
      <c r="S351" s="555"/>
      <c r="T351" s="555"/>
      <c r="U351" s="555"/>
      <c r="V351" s="555"/>
      <c r="W351" s="555"/>
      <c r="X351" s="555"/>
      <c r="Y351" s="555"/>
      <c r="Z351" s="555"/>
      <c r="AA351" s="537"/>
      <c r="AB351" s="537"/>
      <c r="AC351" s="537"/>
    </row>
    <row r="352" spans="1:68" ht="27" customHeight="1" x14ac:dyDescent="0.25">
      <c r="A352" s="54" t="s">
        <v>551</v>
      </c>
      <c r="B352" s="54" t="s">
        <v>552</v>
      </c>
      <c r="C352" s="31">
        <v>4301020178</v>
      </c>
      <c r="D352" s="548">
        <v>4607091383980</v>
      </c>
      <c r="E352" s="549"/>
      <c r="F352" s="540">
        <v>2.5</v>
      </c>
      <c r="G352" s="32">
        <v>6</v>
      </c>
      <c r="H352" s="540">
        <v>15</v>
      </c>
      <c r="I352" s="540">
        <v>15.47</v>
      </c>
      <c r="J352" s="32">
        <v>48</v>
      </c>
      <c r="K352" s="32" t="s">
        <v>102</v>
      </c>
      <c r="L352" s="32" t="s">
        <v>103</v>
      </c>
      <c r="M352" s="33" t="s">
        <v>104</v>
      </c>
      <c r="N352" s="33"/>
      <c r="O352" s="32">
        <v>50</v>
      </c>
      <c r="P352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6"/>
      <c r="R352" s="546"/>
      <c r="S352" s="546"/>
      <c r="T352" s="547"/>
      <c r="U352" s="34"/>
      <c r="V352" s="34"/>
      <c r="W352" s="35" t="s">
        <v>69</v>
      </c>
      <c r="X352" s="541">
        <v>550</v>
      </c>
      <c r="Y352" s="542">
        <f>IFERROR(IF(X352="",0,CEILING((X352/$H352),1)*$H352),"")</f>
        <v>555</v>
      </c>
      <c r="Z352" s="36">
        <f>IFERROR(IF(Y352=0,"",ROUNDUP(Y352/H352,0)*0.02175),"")</f>
        <v>0.80474999999999997</v>
      </c>
      <c r="AA352" s="56"/>
      <c r="AB352" s="57"/>
      <c r="AC352" s="403" t="s">
        <v>553</v>
      </c>
      <c r="AG352" s="64"/>
      <c r="AJ352" s="68" t="s">
        <v>106</v>
      </c>
      <c r="AK352" s="68">
        <v>120</v>
      </c>
      <c r="BB352" s="404" t="s">
        <v>1</v>
      </c>
      <c r="BM352" s="64">
        <f>IFERROR(X352*I352/H352,"0")</f>
        <v>567.23333333333335</v>
      </c>
      <c r="BN352" s="64">
        <f>IFERROR(Y352*I352/H352,"0")</f>
        <v>572.39</v>
      </c>
      <c r="BO352" s="64">
        <f>IFERROR(1/J352*(X352/H352),"0")</f>
        <v>0.76388888888888884</v>
      </c>
      <c r="BP352" s="64">
        <f>IFERROR(1/J352*(Y352/H352),"0")</f>
        <v>0.77083333333333326</v>
      </c>
    </row>
    <row r="353" spans="1:68" ht="27" customHeight="1" x14ac:dyDescent="0.25">
      <c r="A353" s="54" t="s">
        <v>554</v>
      </c>
      <c r="B353" s="54" t="s">
        <v>555</v>
      </c>
      <c r="C353" s="31">
        <v>4301020179</v>
      </c>
      <c r="D353" s="548">
        <v>4607091384178</v>
      </c>
      <c r="E353" s="549"/>
      <c r="F353" s="540">
        <v>0.4</v>
      </c>
      <c r="G353" s="32">
        <v>10</v>
      </c>
      <c r="H353" s="540">
        <v>4</v>
      </c>
      <c r="I353" s="540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8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0</v>
      </c>
      <c r="Y353" s="542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556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54"/>
      <c r="B354" s="555"/>
      <c r="C354" s="555"/>
      <c r="D354" s="555"/>
      <c r="E354" s="555"/>
      <c r="F354" s="555"/>
      <c r="G354" s="555"/>
      <c r="H354" s="555"/>
      <c r="I354" s="555"/>
      <c r="J354" s="555"/>
      <c r="K354" s="555"/>
      <c r="L354" s="555"/>
      <c r="M354" s="555"/>
      <c r="N354" s="555"/>
      <c r="O354" s="556"/>
      <c r="P354" s="562" t="s">
        <v>71</v>
      </c>
      <c r="Q354" s="563"/>
      <c r="R354" s="563"/>
      <c r="S354" s="563"/>
      <c r="T354" s="563"/>
      <c r="U354" s="563"/>
      <c r="V354" s="564"/>
      <c r="W354" s="37" t="s">
        <v>72</v>
      </c>
      <c r="X354" s="543">
        <f>IFERROR(X352/H352,"0")+IFERROR(X353/H353,"0")</f>
        <v>36.666666666666664</v>
      </c>
      <c r="Y354" s="543">
        <f>IFERROR(Y352/H352,"0")+IFERROR(Y353/H353,"0")</f>
        <v>37</v>
      </c>
      <c r="Z354" s="543">
        <f>IFERROR(IF(Z352="",0,Z352),"0")+IFERROR(IF(Z353="",0,Z353),"0")</f>
        <v>0.80474999999999997</v>
      </c>
      <c r="AA354" s="544"/>
      <c r="AB354" s="544"/>
      <c r="AC354" s="544"/>
    </row>
    <row r="355" spans="1:68" x14ac:dyDescent="0.2">
      <c r="A355" s="555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62" t="s">
        <v>71</v>
      </c>
      <c r="Q355" s="563"/>
      <c r="R355" s="563"/>
      <c r="S355" s="563"/>
      <c r="T355" s="563"/>
      <c r="U355" s="563"/>
      <c r="V355" s="564"/>
      <c r="W355" s="37" t="s">
        <v>69</v>
      </c>
      <c r="X355" s="543">
        <f>IFERROR(SUM(X352:X353),"0")</f>
        <v>550</v>
      </c>
      <c r="Y355" s="543">
        <f>IFERROR(SUM(Y352:Y353),"0")</f>
        <v>555</v>
      </c>
      <c r="Z355" s="37"/>
      <c r="AA355" s="544"/>
      <c r="AB355" s="544"/>
      <c r="AC355" s="544"/>
    </row>
    <row r="356" spans="1:68" ht="14.25" customHeight="1" x14ac:dyDescent="0.25">
      <c r="A356" s="559" t="s">
        <v>73</v>
      </c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5"/>
      <c r="P356" s="555"/>
      <c r="Q356" s="555"/>
      <c r="R356" s="555"/>
      <c r="S356" s="555"/>
      <c r="T356" s="555"/>
      <c r="U356" s="555"/>
      <c r="V356" s="555"/>
      <c r="W356" s="555"/>
      <c r="X356" s="555"/>
      <c r="Y356" s="555"/>
      <c r="Z356" s="555"/>
      <c r="AA356" s="537"/>
      <c r="AB356" s="537"/>
      <c r="AC356" s="537"/>
    </row>
    <row r="357" spans="1:68" ht="27" customHeight="1" x14ac:dyDescent="0.25">
      <c r="A357" s="54" t="s">
        <v>557</v>
      </c>
      <c r="B357" s="54" t="s">
        <v>558</v>
      </c>
      <c r="C357" s="31">
        <v>4301051903</v>
      </c>
      <c r="D357" s="548">
        <v>4607091383928</v>
      </c>
      <c r="E357" s="549"/>
      <c r="F357" s="540">
        <v>1.5</v>
      </c>
      <c r="G357" s="32">
        <v>6</v>
      </c>
      <c r="H357" s="540">
        <v>9</v>
      </c>
      <c r="I357" s="540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3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6"/>
      <c r="R357" s="546"/>
      <c r="S357" s="546"/>
      <c r="T357" s="547"/>
      <c r="U357" s="34"/>
      <c r="V357" s="34"/>
      <c r="W357" s="35" t="s">
        <v>69</v>
      </c>
      <c r="X357" s="541">
        <v>0</v>
      </c>
      <c r="Y357" s="542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560</v>
      </c>
      <c r="B358" s="54" t="s">
        <v>561</v>
      </c>
      <c r="C358" s="31">
        <v>4301051897</v>
      </c>
      <c r="D358" s="548">
        <v>4607091384260</v>
      </c>
      <c r="E358" s="549"/>
      <c r="F358" s="540">
        <v>1.5</v>
      </c>
      <c r="G358" s="32">
        <v>6</v>
      </c>
      <c r="H358" s="540">
        <v>9</v>
      </c>
      <c r="I358" s="540">
        <v>9.4939999999999998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7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562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554"/>
      <c r="B359" s="555"/>
      <c r="C359" s="555"/>
      <c r="D359" s="555"/>
      <c r="E359" s="555"/>
      <c r="F359" s="555"/>
      <c r="G359" s="555"/>
      <c r="H359" s="555"/>
      <c r="I359" s="555"/>
      <c r="J359" s="555"/>
      <c r="K359" s="555"/>
      <c r="L359" s="555"/>
      <c r="M359" s="555"/>
      <c r="N359" s="555"/>
      <c r="O359" s="556"/>
      <c r="P359" s="562" t="s">
        <v>71</v>
      </c>
      <c r="Q359" s="563"/>
      <c r="R359" s="563"/>
      <c r="S359" s="563"/>
      <c r="T359" s="563"/>
      <c r="U359" s="563"/>
      <c r="V359" s="564"/>
      <c r="W359" s="37" t="s">
        <v>72</v>
      </c>
      <c r="X359" s="543">
        <f>IFERROR(X357/H357,"0")+IFERROR(X358/H358,"0")</f>
        <v>0</v>
      </c>
      <c r="Y359" s="543">
        <f>IFERROR(Y357/H357,"0")+IFERROR(Y358/H358,"0")</f>
        <v>0</v>
      </c>
      <c r="Z359" s="543">
        <f>IFERROR(IF(Z357="",0,Z357),"0")+IFERROR(IF(Z358="",0,Z358),"0")</f>
        <v>0</v>
      </c>
      <c r="AA359" s="544"/>
      <c r="AB359" s="544"/>
      <c r="AC359" s="544"/>
    </row>
    <row r="360" spans="1:68" x14ac:dyDescent="0.2">
      <c r="A360" s="555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62" t="s">
        <v>71</v>
      </c>
      <c r="Q360" s="563"/>
      <c r="R360" s="563"/>
      <c r="S360" s="563"/>
      <c r="T360" s="563"/>
      <c r="U360" s="563"/>
      <c r="V360" s="564"/>
      <c r="W360" s="37" t="s">
        <v>69</v>
      </c>
      <c r="X360" s="543">
        <f>IFERROR(SUM(X357:X358),"0")</f>
        <v>0</v>
      </c>
      <c r="Y360" s="543">
        <f>IFERROR(SUM(Y357:Y358),"0")</f>
        <v>0</v>
      </c>
      <c r="Z360" s="37"/>
      <c r="AA360" s="544"/>
      <c r="AB360" s="544"/>
      <c r="AC360" s="544"/>
    </row>
    <row r="361" spans="1:68" ht="14.25" customHeight="1" x14ac:dyDescent="0.25">
      <c r="A361" s="559" t="s">
        <v>163</v>
      </c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5"/>
      <c r="P361" s="555"/>
      <c r="Q361" s="555"/>
      <c r="R361" s="555"/>
      <c r="S361" s="555"/>
      <c r="T361" s="555"/>
      <c r="U361" s="555"/>
      <c r="V361" s="555"/>
      <c r="W361" s="555"/>
      <c r="X361" s="555"/>
      <c r="Y361" s="555"/>
      <c r="Z361" s="555"/>
      <c r="AA361" s="537"/>
      <c r="AB361" s="537"/>
      <c r="AC361" s="537"/>
    </row>
    <row r="362" spans="1:68" ht="16.5" customHeight="1" x14ac:dyDescent="0.25">
      <c r="A362" s="54" t="s">
        <v>563</v>
      </c>
      <c r="B362" s="54" t="s">
        <v>564</v>
      </c>
      <c r="C362" s="31">
        <v>4301060524</v>
      </c>
      <c r="D362" s="548">
        <v>4607091384673</v>
      </c>
      <c r="E362" s="549"/>
      <c r="F362" s="540">
        <v>1.5</v>
      </c>
      <c r="G362" s="32">
        <v>6</v>
      </c>
      <c r="H362" s="540">
        <v>9</v>
      </c>
      <c r="I362" s="540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6"/>
      <c r="R362" s="546"/>
      <c r="S362" s="546"/>
      <c r="T362" s="547"/>
      <c r="U362" s="34"/>
      <c r="V362" s="34"/>
      <c r="W362" s="35" t="s">
        <v>69</v>
      </c>
      <c r="X362" s="541">
        <v>0</v>
      </c>
      <c r="Y362" s="542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54"/>
      <c r="B363" s="555"/>
      <c r="C363" s="555"/>
      <c r="D363" s="555"/>
      <c r="E363" s="555"/>
      <c r="F363" s="555"/>
      <c r="G363" s="555"/>
      <c r="H363" s="555"/>
      <c r="I363" s="555"/>
      <c r="J363" s="555"/>
      <c r="K363" s="555"/>
      <c r="L363" s="555"/>
      <c r="M363" s="555"/>
      <c r="N363" s="555"/>
      <c r="O363" s="556"/>
      <c r="P363" s="562" t="s">
        <v>71</v>
      </c>
      <c r="Q363" s="563"/>
      <c r="R363" s="563"/>
      <c r="S363" s="563"/>
      <c r="T363" s="563"/>
      <c r="U363" s="563"/>
      <c r="V363" s="564"/>
      <c r="W363" s="37" t="s">
        <v>72</v>
      </c>
      <c r="X363" s="543">
        <f>IFERROR(X362/H362,"0")</f>
        <v>0</v>
      </c>
      <c r="Y363" s="543">
        <f>IFERROR(Y362/H362,"0")</f>
        <v>0</v>
      </c>
      <c r="Z363" s="543">
        <f>IFERROR(IF(Z362="",0,Z362),"0")</f>
        <v>0</v>
      </c>
      <c r="AA363" s="544"/>
      <c r="AB363" s="544"/>
      <c r="AC363" s="544"/>
    </row>
    <row r="364" spans="1:68" x14ac:dyDescent="0.2">
      <c r="A364" s="555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62" t="s">
        <v>71</v>
      </c>
      <c r="Q364" s="563"/>
      <c r="R364" s="563"/>
      <c r="S364" s="563"/>
      <c r="T364" s="563"/>
      <c r="U364" s="563"/>
      <c r="V364" s="564"/>
      <c r="W364" s="37" t="s">
        <v>69</v>
      </c>
      <c r="X364" s="543">
        <f>IFERROR(SUM(X362:X362),"0")</f>
        <v>0</v>
      </c>
      <c r="Y364" s="543">
        <f>IFERROR(SUM(Y362:Y362),"0")</f>
        <v>0</v>
      </c>
      <c r="Z364" s="37"/>
      <c r="AA364" s="544"/>
      <c r="AB364" s="544"/>
      <c r="AC364" s="544"/>
    </row>
    <row r="365" spans="1:68" ht="16.5" customHeight="1" x14ac:dyDescent="0.25">
      <c r="A365" s="558" t="s">
        <v>566</v>
      </c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5"/>
      <c r="P365" s="555"/>
      <c r="Q365" s="555"/>
      <c r="R365" s="555"/>
      <c r="S365" s="555"/>
      <c r="T365" s="555"/>
      <c r="U365" s="555"/>
      <c r="V365" s="555"/>
      <c r="W365" s="555"/>
      <c r="X365" s="555"/>
      <c r="Y365" s="555"/>
      <c r="Z365" s="555"/>
      <c r="AA365" s="536"/>
      <c r="AB365" s="536"/>
      <c r="AC365" s="536"/>
    </row>
    <row r="366" spans="1:68" ht="14.25" customHeight="1" x14ac:dyDescent="0.25">
      <c r="A366" s="559" t="s">
        <v>99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7"/>
      <c r="AB366" s="537"/>
      <c r="AC366" s="537"/>
    </row>
    <row r="367" spans="1:68" ht="37.5" customHeight="1" x14ac:dyDescent="0.25">
      <c r="A367" s="54" t="s">
        <v>567</v>
      </c>
      <c r="B367" s="54" t="s">
        <v>568</v>
      </c>
      <c r="C367" s="31">
        <v>4301011875</v>
      </c>
      <c r="D367" s="548">
        <v>4680115884885</v>
      </c>
      <c r="E367" s="549"/>
      <c r="F367" s="540">
        <v>0.8</v>
      </c>
      <c r="G367" s="32">
        <v>15</v>
      </c>
      <c r="H367" s="540">
        <v>12</v>
      </c>
      <c r="I367" s="540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82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6"/>
      <c r="R367" s="546"/>
      <c r="S367" s="546"/>
      <c r="T367" s="547"/>
      <c r="U367" s="34"/>
      <c r="V367" s="34"/>
      <c r="W367" s="35" t="s">
        <v>69</v>
      </c>
      <c r="X367" s="541">
        <v>0</v>
      </c>
      <c r="Y367" s="542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569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customHeight="1" x14ac:dyDescent="0.25">
      <c r="A368" s="54" t="s">
        <v>570</v>
      </c>
      <c r="B368" s="54" t="s">
        <v>571</v>
      </c>
      <c r="C368" s="31">
        <v>4301011871</v>
      </c>
      <c r="D368" s="548">
        <v>4680115884908</v>
      </c>
      <c r="E368" s="549"/>
      <c r="F368" s="540">
        <v>0.4</v>
      </c>
      <c r="G368" s="32">
        <v>10</v>
      </c>
      <c r="H368" s="540">
        <v>4</v>
      </c>
      <c r="I368" s="540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54"/>
      <c r="B369" s="555"/>
      <c r="C369" s="555"/>
      <c r="D369" s="555"/>
      <c r="E369" s="555"/>
      <c r="F369" s="555"/>
      <c r="G369" s="555"/>
      <c r="H369" s="555"/>
      <c r="I369" s="555"/>
      <c r="J369" s="555"/>
      <c r="K369" s="555"/>
      <c r="L369" s="555"/>
      <c r="M369" s="555"/>
      <c r="N369" s="555"/>
      <c r="O369" s="556"/>
      <c r="P369" s="562" t="s">
        <v>71</v>
      </c>
      <c r="Q369" s="563"/>
      <c r="R369" s="563"/>
      <c r="S369" s="563"/>
      <c r="T369" s="563"/>
      <c r="U369" s="563"/>
      <c r="V369" s="564"/>
      <c r="W369" s="37" t="s">
        <v>72</v>
      </c>
      <c r="X369" s="543">
        <f>IFERROR(X367/H367,"0")+IFERROR(X368/H368,"0")</f>
        <v>0</v>
      </c>
      <c r="Y369" s="543">
        <f>IFERROR(Y367/H367,"0")+IFERROR(Y368/H368,"0")</f>
        <v>0</v>
      </c>
      <c r="Z369" s="543">
        <f>IFERROR(IF(Z367="",0,Z367),"0")+IFERROR(IF(Z368="",0,Z368),"0")</f>
        <v>0</v>
      </c>
      <c r="AA369" s="544"/>
      <c r="AB369" s="544"/>
      <c r="AC369" s="544"/>
    </row>
    <row r="370" spans="1:68" x14ac:dyDescent="0.2">
      <c r="A370" s="555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62" t="s">
        <v>71</v>
      </c>
      <c r="Q370" s="563"/>
      <c r="R370" s="563"/>
      <c r="S370" s="563"/>
      <c r="T370" s="563"/>
      <c r="U370" s="563"/>
      <c r="V370" s="564"/>
      <c r="W370" s="37" t="s">
        <v>69</v>
      </c>
      <c r="X370" s="543">
        <f>IFERROR(SUM(X367:X368),"0")</f>
        <v>0</v>
      </c>
      <c r="Y370" s="543">
        <f>IFERROR(SUM(Y367:Y368),"0")</f>
        <v>0</v>
      </c>
      <c r="Z370" s="37"/>
      <c r="AA370" s="544"/>
      <c r="AB370" s="544"/>
      <c r="AC370" s="544"/>
    </row>
    <row r="371" spans="1:68" ht="14.25" customHeight="1" x14ac:dyDescent="0.25">
      <c r="A371" s="559" t="s">
        <v>64</v>
      </c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5"/>
      <c r="P371" s="555"/>
      <c r="Q371" s="555"/>
      <c r="R371" s="555"/>
      <c r="S371" s="555"/>
      <c r="T371" s="555"/>
      <c r="U371" s="555"/>
      <c r="V371" s="555"/>
      <c r="W371" s="555"/>
      <c r="X371" s="555"/>
      <c r="Y371" s="555"/>
      <c r="Z371" s="555"/>
      <c r="AA371" s="537"/>
      <c r="AB371" s="537"/>
      <c r="AC371" s="537"/>
    </row>
    <row r="372" spans="1:68" ht="27" customHeight="1" x14ac:dyDescent="0.25">
      <c r="A372" s="54" t="s">
        <v>572</v>
      </c>
      <c r="B372" s="54" t="s">
        <v>573</v>
      </c>
      <c r="C372" s="31">
        <v>4301031303</v>
      </c>
      <c r="D372" s="548">
        <v>4607091384802</v>
      </c>
      <c r="E372" s="549"/>
      <c r="F372" s="540">
        <v>0.73</v>
      </c>
      <c r="G372" s="32">
        <v>6</v>
      </c>
      <c r="H372" s="540">
        <v>4.38</v>
      </c>
      <c r="I372" s="540">
        <v>4.63</v>
      </c>
      <c r="J372" s="32">
        <v>132</v>
      </c>
      <c r="K372" s="32" t="s">
        <v>109</v>
      </c>
      <c r="L372" s="32" t="s">
        <v>110</v>
      </c>
      <c r="M372" s="33" t="s">
        <v>68</v>
      </c>
      <c r="N372" s="33"/>
      <c r="O372" s="32">
        <v>35</v>
      </c>
      <c r="P372" s="69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6"/>
      <c r="R372" s="546"/>
      <c r="S372" s="546"/>
      <c r="T372" s="547"/>
      <c r="U372" s="34"/>
      <c r="V372" s="34"/>
      <c r="W372" s="35" t="s">
        <v>69</v>
      </c>
      <c r="X372" s="541">
        <v>0</v>
      </c>
      <c r="Y372" s="542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 t="s">
        <v>106</v>
      </c>
      <c r="AK372" s="68">
        <v>52.56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572</v>
      </c>
      <c r="B373" s="54" t="s">
        <v>575</v>
      </c>
      <c r="C373" s="31">
        <v>4301031457</v>
      </c>
      <c r="D373" s="548">
        <v>4607091384802</v>
      </c>
      <c r="E373" s="549"/>
      <c r="F373" s="540">
        <v>0.7</v>
      </c>
      <c r="G373" s="32">
        <v>6</v>
      </c>
      <c r="H373" s="540">
        <v>4.2</v>
      </c>
      <c r="I373" s="540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54"/>
      <c r="B374" s="555"/>
      <c r="C374" s="555"/>
      <c r="D374" s="555"/>
      <c r="E374" s="555"/>
      <c r="F374" s="555"/>
      <c r="G374" s="555"/>
      <c r="H374" s="555"/>
      <c r="I374" s="555"/>
      <c r="J374" s="555"/>
      <c r="K374" s="555"/>
      <c r="L374" s="555"/>
      <c r="M374" s="555"/>
      <c r="N374" s="555"/>
      <c r="O374" s="556"/>
      <c r="P374" s="562" t="s">
        <v>71</v>
      </c>
      <c r="Q374" s="563"/>
      <c r="R374" s="563"/>
      <c r="S374" s="563"/>
      <c r="T374" s="563"/>
      <c r="U374" s="563"/>
      <c r="V374" s="564"/>
      <c r="W374" s="37" t="s">
        <v>72</v>
      </c>
      <c r="X374" s="543">
        <f>IFERROR(X372/H372,"0")+IFERROR(X373/H373,"0")</f>
        <v>0</v>
      </c>
      <c r="Y374" s="543">
        <f>IFERROR(Y372/H372,"0")+IFERROR(Y373/H373,"0")</f>
        <v>0</v>
      </c>
      <c r="Z374" s="543">
        <f>IFERROR(IF(Z372="",0,Z372),"0")+IFERROR(IF(Z373="",0,Z373),"0")</f>
        <v>0</v>
      </c>
      <c r="AA374" s="544"/>
      <c r="AB374" s="544"/>
      <c r="AC374" s="544"/>
    </row>
    <row r="375" spans="1:68" x14ac:dyDescent="0.2">
      <c r="A375" s="555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62" t="s">
        <v>71</v>
      </c>
      <c r="Q375" s="563"/>
      <c r="R375" s="563"/>
      <c r="S375" s="563"/>
      <c r="T375" s="563"/>
      <c r="U375" s="563"/>
      <c r="V375" s="564"/>
      <c r="W375" s="37" t="s">
        <v>69</v>
      </c>
      <c r="X375" s="543">
        <f>IFERROR(SUM(X372:X373),"0")</f>
        <v>0</v>
      </c>
      <c r="Y375" s="543">
        <f>IFERROR(SUM(Y372:Y373),"0")</f>
        <v>0</v>
      </c>
      <c r="Z375" s="37"/>
      <c r="AA375" s="544"/>
      <c r="AB375" s="544"/>
      <c r="AC375" s="544"/>
    </row>
    <row r="376" spans="1:68" ht="14.25" customHeight="1" x14ac:dyDescent="0.25">
      <c r="A376" s="559" t="s">
        <v>73</v>
      </c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5"/>
      <c r="P376" s="555"/>
      <c r="Q376" s="555"/>
      <c r="R376" s="555"/>
      <c r="S376" s="555"/>
      <c r="T376" s="555"/>
      <c r="U376" s="555"/>
      <c r="V376" s="555"/>
      <c r="W376" s="555"/>
      <c r="X376" s="555"/>
      <c r="Y376" s="555"/>
      <c r="Z376" s="555"/>
      <c r="AA376" s="537"/>
      <c r="AB376" s="537"/>
      <c r="AC376" s="537"/>
    </row>
    <row r="377" spans="1:68" ht="27" customHeight="1" x14ac:dyDescent="0.25">
      <c r="A377" s="54" t="s">
        <v>577</v>
      </c>
      <c r="B377" s="54" t="s">
        <v>578</v>
      </c>
      <c r="C377" s="31">
        <v>4301051899</v>
      </c>
      <c r="D377" s="548">
        <v>4607091384246</v>
      </c>
      <c r="E377" s="549"/>
      <c r="F377" s="540">
        <v>1.5</v>
      </c>
      <c r="G377" s="32">
        <v>6</v>
      </c>
      <c r="H377" s="540">
        <v>9</v>
      </c>
      <c r="I377" s="540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6"/>
      <c r="R377" s="546"/>
      <c r="S377" s="546"/>
      <c r="T377" s="547"/>
      <c r="U377" s="34"/>
      <c r="V377" s="34"/>
      <c r="W377" s="35" t="s">
        <v>69</v>
      </c>
      <c r="X377" s="541">
        <v>1468</v>
      </c>
      <c r="Y377" s="542">
        <f>IFERROR(IF(X377="",0,CEILING((X377/$H377),1)*$H377),"")</f>
        <v>1476</v>
      </c>
      <c r="Z377" s="36">
        <f>IFERROR(IF(Y377=0,"",ROUNDUP(Y377/H377,0)*0.01898),"")</f>
        <v>3.1127199999999999</v>
      </c>
      <c r="AA377" s="56"/>
      <c r="AB377" s="57"/>
      <c r="AC377" s="421" t="s">
        <v>579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1548.5768888888888</v>
      </c>
      <c r="BN377" s="64">
        <f>IFERROR(Y377*I377/H377,"0")</f>
        <v>1557.0160000000001</v>
      </c>
      <c r="BO377" s="64">
        <f>IFERROR(1/J377*(X377/H377),"0")</f>
        <v>2.5486111111111112</v>
      </c>
      <c r="BP377" s="64">
        <f>IFERROR(1/J377*(Y377/H377),"0")</f>
        <v>2.5625</v>
      </c>
    </row>
    <row r="378" spans="1:68" ht="27" customHeight="1" x14ac:dyDescent="0.25">
      <c r="A378" s="54" t="s">
        <v>580</v>
      </c>
      <c r="B378" s="54" t="s">
        <v>581</v>
      </c>
      <c r="C378" s="31">
        <v>4301051660</v>
      </c>
      <c r="D378" s="548">
        <v>4607091384253</v>
      </c>
      <c r="E378" s="549"/>
      <c r="F378" s="540">
        <v>0.4</v>
      </c>
      <c r="G378" s="32">
        <v>6</v>
      </c>
      <c r="H378" s="540">
        <v>2.4</v>
      </c>
      <c r="I378" s="540">
        <v>2.6640000000000001</v>
      </c>
      <c r="J378" s="32">
        <v>182</v>
      </c>
      <c r="K378" s="32" t="s">
        <v>76</v>
      </c>
      <c r="L378" s="32" t="s">
        <v>186</v>
      </c>
      <c r="M378" s="33" t="s">
        <v>77</v>
      </c>
      <c r="N378" s="33"/>
      <c r="O378" s="32">
        <v>40</v>
      </c>
      <c r="P378" s="65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58</v>
      </c>
      <c r="Y378" s="542">
        <f>IFERROR(IF(X378="",0,CEILING((X378/$H378),1)*$H378),"")</f>
        <v>60</v>
      </c>
      <c r="Z378" s="36">
        <f>IFERROR(IF(Y378=0,"",ROUNDUP(Y378/H378,0)*0.00651),"")</f>
        <v>0.16275000000000001</v>
      </c>
      <c r="AA378" s="56"/>
      <c r="AB378" s="57"/>
      <c r="AC378" s="423" t="s">
        <v>579</v>
      </c>
      <c r="AG378" s="64"/>
      <c r="AJ378" s="68" t="s">
        <v>106</v>
      </c>
      <c r="AK378" s="68">
        <v>33.6</v>
      </c>
      <c r="BB378" s="424" t="s">
        <v>1</v>
      </c>
      <c r="BM378" s="64">
        <f>IFERROR(X378*I378/H378,"0")</f>
        <v>64.38000000000001</v>
      </c>
      <c r="BN378" s="64">
        <f>IFERROR(Y378*I378/H378,"0")</f>
        <v>66.600000000000009</v>
      </c>
      <c r="BO378" s="64">
        <f>IFERROR(1/J378*(X378/H378),"0")</f>
        <v>0.13278388278388281</v>
      </c>
      <c r="BP378" s="64">
        <f>IFERROR(1/J378*(Y378/H378),"0")</f>
        <v>0.13736263736263737</v>
      </c>
    </row>
    <row r="379" spans="1:68" ht="27" customHeight="1" x14ac:dyDescent="0.25">
      <c r="A379" s="54" t="s">
        <v>580</v>
      </c>
      <c r="B379" s="54" t="s">
        <v>582</v>
      </c>
      <c r="C379" s="31">
        <v>4301052069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584" t="s">
        <v>583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584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62" t="s">
        <v>71</v>
      </c>
      <c r="Q380" s="563"/>
      <c r="R380" s="563"/>
      <c r="S380" s="563"/>
      <c r="T380" s="563"/>
      <c r="U380" s="563"/>
      <c r="V380" s="564"/>
      <c r="W380" s="37" t="s">
        <v>72</v>
      </c>
      <c r="X380" s="543">
        <f>IFERROR(X377/H377,"0")+IFERROR(X378/H378,"0")+IFERROR(X379/H379,"0")</f>
        <v>187.27777777777777</v>
      </c>
      <c r="Y380" s="543">
        <f>IFERROR(Y377/H377,"0")+IFERROR(Y378/H378,"0")+IFERROR(Y379/H379,"0")</f>
        <v>189</v>
      </c>
      <c r="Z380" s="543">
        <f>IFERROR(IF(Z377="",0,Z377),"0")+IFERROR(IF(Z378="",0,Z378),"0")+IFERROR(IF(Z379="",0,Z379),"0")</f>
        <v>3.2754699999999999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2" t="s">
        <v>71</v>
      </c>
      <c r="Q381" s="563"/>
      <c r="R381" s="563"/>
      <c r="S381" s="563"/>
      <c r="T381" s="563"/>
      <c r="U381" s="563"/>
      <c r="V381" s="564"/>
      <c r="W381" s="37" t="s">
        <v>69</v>
      </c>
      <c r="X381" s="543">
        <f>IFERROR(SUM(X377:X379),"0")</f>
        <v>1526</v>
      </c>
      <c r="Y381" s="543">
        <f>IFERROR(SUM(Y377:Y379),"0")</f>
        <v>1536</v>
      </c>
      <c r="Z381" s="37"/>
      <c r="AA381" s="544"/>
      <c r="AB381" s="544"/>
      <c r="AC381" s="544"/>
    </row>
    <row r="382" spans="1:68" ht="27.75" customHeight="1" x14ac:dyDescent="0.2">
      <c r="A382" s="632" t="s">
        <v>585</v>
      </c>
      <c r="B382" s="633"/>
      <c r="C382" s="633"/>
      <c r="D382" s="633"/>
      <c r="E382" s="633"/>
      <c r="F382" s="633"/>
      <c r="G382" s="633"/>
      <c r="H382" s="633"/>
      <c r="I382" s="633"/>
      <c r="J382" s="633"/>
      <c r="K382" s="633"/>
      <c r="L382" s="633"/>
      <c r="M382" s="633"/>
      <c r="N382" s="633"/>
      <c r="O382" s="633"/>
      <c r="P382" s="633"/>
      <c r="Q382" s="633"/>
      <c r="R382" s="633"/>
      <c r="S382" s="633"/>
      <c r="T382" s="633"/>
      <c r="U382" s="633"/>
      <c r="V382" s="633"/>
      <c r="W382" s="633"/>
      <c r="X382" s="633"/>
      <c r="Y382" s="633"/>
      <c r="Z382" s="633"/>
      <c r="AA382" s="48"/>
      <c r="AB382" s="48"/>
      <c r="AC382" s="48"/>
    </row>
    <row r="383" spans="1:68" ht="16.5" customHeight="1" x14ac:dyDescent="0.25">
      <c r="A383" s="558" t="s">
        <v>586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customHeight="1" x14ac:dyDescent="0.25">
      <c r="A384" s="559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customHeight="1" x14ac:dyDescent="0.25">
      <c r="A385" s="54" t="s">
        <v>587</v>
      </c>
      <c r="B385" s="54" t="s">
        <v>588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5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customHeight="1" x14ac:dyDescent="0.25">
      <c r="A386" s="54" t="s">
        <v>590</v>
      </c>
      <c r="B386" s="54" t="s">
        <v>591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593</v>
      </c>
      <c r="B387" s="54" t="s">
        <v>594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 t="s">
        <v>110</v>
      </c>
      <c r="M387" s="33" t="s">
        <v>68</v>
      </c>
      <c r="N387" s="33"/>
      <c r="O387" s="32">
        <v>50</v>
      </c>
      <c r="P387" s="70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 t="s">
        <v>106</v>
      </c>
      <c r="AK387" s="68">
        <v>64.8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596</v>
      </c>
      <c r="B388" s="54" t="s">
        <v>597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598</v>
      </c>
      <c r="B389" s="54" t="s">
        <v>599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589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customHeight="1" x14ac:dyDescent="0.25">
      <c r="A390" s="54" t="s">
        <v>600</v>
      </c>
      <c r="B390" s="54" t="s">
        <v>601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603</v>
      </c>
      <c r="B391" s="54" t="s">
        <v>604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606</v>
      </c>
      <c r="B392" s="54" t="s">
        <v>607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customHeight="1" x14ac:dyDescent="0.25">
      <c r="A393" s="54" t="s">
        <v>609</v>
      </c>
      <c r="B393" s="54" t="s">
        <v>610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605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62" t="s">
        <v>71</v>
      </c>
      <c r="Q394" s="563"/>
      <c r="R394" s="563"/>
      <c r="S394" s="563"/>
      <c r="T394" s="563"/>
      <c r="U394" s="563"/>
      <c r="V394" s="564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2" t="s">
        <v>71</v>
      </c>
      <c r="Q395" s="563"/>
      <c r="R395" s="563"/>
      <c r="S395" s="563"/>
      <c r="T395" s="563"/>
      <c r="U395" s="563"/>
      <c r="V395" s="564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customHeight="1" x14ac:dyDescent="0.25">
      <c r="A396" s="559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customHeight="1" x14ac:dyDescent="0.25">
      <c r="A397" s="54" t="s">
        <v>611</v>
      </c>
      <c r="B397" s="54" t="s">
        <v>612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69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614</v>
      </c>
      <c r="B398" s="54" t="s">
        <v>615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616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62" t="s">
        <v>71</v>
      </c>
      <c r="Q399" s="563"/>
      <c r="R399" s="563"/>
      <c r="S399" s="563"/>
      <c r="T399" s="563"/>
      <c r="U399" s="563"/>
      <c r="V399" s="564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2" t="s">
        <v>71</v>
      </c>
      <c r="Q400" s="563"/>
      <c r="R400" s="563"/>
      <c r="S400" s="563"/>
      <c r="T400" s="563"/>
      <c r="U400" s="563"/>
      <c r="V400" s="564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8" t="s">
        <v>617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customHeight="1" x14ac:dyDescent="0.25">
      <c r="A402" s="559" t="s">
        <v>135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customHeight="1" x14ac:dyDescent="0.25">
      <c r="A403" s="54" t="s">
        <v>618</v>
      </c>
      <c r="B403" s="54" t="s">
        <v>619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5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620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62" t="s">
        <v>71</v>
      </c>
      <c r="Q404" s="563"/>
      <c r="R404" s="563"/>
      <c r="S404" s="563"/>
      <c r="T404" s="563"/>
      <c r="U404" s="563"/>
      <c r="V404" s="564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2" t="s">
        <v>71</v>
      </c>
      <c r="Q405" s="563"/>
      <c r="R405" s="563"/>
      <c r="S405" s="563"/>
      <c r="T405" s="563"/>
      <c r="U405" s="563"/>
      <c r="V405" s="564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9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customHeight="1" x14ac:dyDescent="0.25">
      <c r="A407" s="54" t="s">
        <v>621</v>
      </c>
      <c r="B407" s="54" t="s">
        <v>622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61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623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624</v>
      </c>
      <c r="B408" s="54" t="s">
        <v>625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627</v>
      </c>
      <c r="B409" s="54" t="s">
        <v>628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630</v>
      </c>
      <c r="B410" s="54" t="s">
        <v>631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629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62" t="s">
        <v>71</v>
      </c>
      <c r="Q411" s="563"/>
      <c r="R411" s="563"/>
      <c r="S411" s="563"/>
      <c r="T411" s="563"/>
      <c r="U411" s="563"/>
      <c r="V411" s="564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2" t="s">
        <v>71</v>
      </c>
      <c r="Q412" s="563"/>
      <c r="R412" s="563"/>
      <c r="S412" s="563"/>
      <c r="T412" s="563"/>
      <c r="U412" s="563"/>
      <c r="V412" s="564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customHeight="1" x14ac:dyDescent="0.25">
      <c r="A413" s="558" t="s">
        <v>632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customHeight="1" x14ac:dyDescent="0.25">
      <c r="A414" s="559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customHeight="1" x14ac:dyDescent="0.25">
      <c r="A415" s="54" t="s">
        <v>633</v>
      </c>
      <c r="B415" s="54" t="s">
        <v>634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635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62" t="s">
        <v>71</v>
      </c>
      <c r="Q416" s="563"/>
      <c r="R416" s="563"/>
      <c r="S416" s="563"/>
      <c r="T416" s="563"/>
      <c r="U416" s="563"/>
      <c r="V416" s="564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2" t="s">
        <v>71</v>
      </c>
      <c r="Q417" s="563"/>
      <c r="R417" s="563"/>
      <c r="S417" s="563"/>
      <c r="T417" s="563"/>
      <c r="U417" s="563"/>
      <c r="V417" s="564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32" t="s">
        <v>636</v>
      </c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3"/>
      <c r="P418" s="633"/>
      <c r="Q418" s="633"/>
      <c r="R418" s="633"/>
      <c r="S418" s="633"/>
      <c r="T418" s="633"/>
      <c r="U418" s="633"/>
      <c r="V418" s="633"/>
      <c r="W418" s="633"/>
      <c r="X418" s="633"/>
      <c r="Y418" s="633"/>
      <c r="Z418" s="633"/>
      <c r="AA418" s="48"/>
      <c r="AB418" s="48"/>
      <c r="AC418" s="48"/>
    </row>
    <row r="419" spans="1:68" ht="16.5" customHeight="1" x14ac:dyDescent="0.25">
      <c r="A419" s="558" t="s">
        <v>636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customHeight="1" x14ac:dyDescent="0.25">
      <c r="A420" s="559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637</v>
      </c>
      <c r="B421" s="54" t="s">
        <v>638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137</v>
      </c>
      <c r="Y421" s="542">
        <f t="shared" ref="Y421:Y431" si="42">IFERROR(IF(X421="",0,CEILING((X421/$H421),1)*$H421),"")</f>
        <v>137.28</v>
      </c>
      <c r="Z421" s="36">
        <f t="shared" ref="Z421:Z426" si="43">IFERROR(IF(Y421=0,"",ROUNDUP(Y421/H421,0)*0.01196),"")</f>
        <v>0.31096000000000001</v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146.08143939393938</v>
      </c>
      <c r="BN421" s="64">
        <f t="shared" ref="BN421:BN431" si="45">IFERROR(Y421*I421/H421,"0")</f>
        <v>146.38</v>
      </c>
      <c r="BO421" s="64">
        <f t="shared" ref="BO421:BO431" si="46">IFERROR(1/J421*(X421/H421),"0")</f>
        <v>0.24949009324009325</v>
      </c>
      <c r="BP421" s="64">
        <f t="shared" ref="BP421:BP431" si="47">IFERROR(1/J421*(Y421/H421),"0")</f>
        <v>0.25</v>
      </c>
    </row>
    <row r="422" spans="1:68" ht="27" customHeight="1" x14ac:dyDescent="0.25">
      <c r="A422" s="54" t="s">
        <v>639</v>
      </c>
      <c r="B422" s="54" t="s">
        <v>640</v>
      </c>
      <c r="C422" s="31">
        <v>4301012145</v>
      </c>
      <c r="D422" s="548">
        <v>4607091383522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7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642</v>
      </c>
      <c r="B423" s="54" t="s">
        <v>643</v>
      </c>
      <c r="C423" s="31">
        <v>4301011961</v>
      </c>
      <c r="D423" s="548">
        <v>4680115885271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104</v>
      </c>
      <c r="N423" s="33"/>
      <c r="O423" s="32">
        <v>60</v>
      </c>
      <c r="P423" s="64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0</v>
      </c>
      <c r="Y423" s="542">
        <f t="shared" si="42"/>
        <v>0</v>
      </c>
      <c r="Z423" s="36" t="str">
        <f t="shared" si="43"/>
        <v/>
      </c>
      <c r="AA423" s="56"/>
      <c r="AB423" s="57"/>
      <c r="AC423" s="465" t="s">
        <v>644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customHeight="1" x14ac:dyDescent="0.25">
      <c r="A424" s="54" t="s">
        <v>645</v>
      </c>
      <c r="B424" s="54" t="s">
        <v>646</v>
      </c>
      <c r="C424" s="31">
        <v>4301011376</v>
      </c>
      <c r="D424" s="548">
        <v>4680115885226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 t="s">
        <v>103</v>
      </c>
      <c r="M424" s="33" t="s">
        <v>77</v>
      </c>
      <c r="N424" s="33"/>
      <c r="O424" s="32">
        <v>60</v>
      </c>
      <c r="P424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741</v>
      </c>
      <c r="Y424" s="542">
        <f t="shared" si="42"/>
        <v>744.48</v>
      </c>
      <c r="Z424" s="36">
        <f t="shared" si="43"/>
        <v>1.6863600000000001</v>
      </c>
      <c r="AA424" s="56"/>
      <c r="AB424" s="57"/>
      <c r="AC424" s="467" t="s">
        <v>647</v>
      </c>
      <c r="AG424" s="64"/>
      <c r="AJ424" s="68" t="s">
        <v>106</v>
      </c>
      <c r="AK424" s="68">
        <v>42.24</v>
      </c>
      <c r="BB424" s="468" t="s">
        <v>1</v>
      </c>
      <c r="BM424" s="64">
        <f t="shared" si="44"/>
        <v>790.11931818181813</v>
      </c>
      <c r="BN424" s="64">
        <f t="shared" si="45"/>
        <v>793.83</v>
      </c>
      <c r="BO424" s="64">
        <f t="shared" si="46"/>
        <v>1.3494318181818183</v>
      </c>
      <c r="BP424" s="64">
        <f t="shared" si="47"/>
        <v>1.3557692307692308</v>
      </c>
    </row>
    <row r="425" spans="1:68" ht="16.5" customHeight="1" x14ac:dyDescent="0.25">
      <c r="A425" s="54" t="s">
        <v>648</v>
      </c>
      <c r="B425" s="54" t="s">
        <v>649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650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651</v>
      </c>
      <c r="B426" s="54" t="s">
        <v>652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3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1012</v>
      </c>
      <c r="Y426" s="542">
        <f t="shared" si="42"/>
        <v>1013.76</v>
      </c>
      <c r="Z426" s="36">
        <f t="shared" si="43"/>
        <v>2.2963200000000001</v>
      </c>
      <c r="AA426" s="56"/>
      <c r="AB426" s="57"/>
      <c r="AC426" s="471" t="s">
        <v>653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1079.0833333333333</v>
      </c>
      <c r="BN426" s="64">
        <f t="shared" si="45"/>
        <v>1080.9599999999998</v>
      </c>
      <c r="BO426" s="64">
        <f t="shared" si="46"/>
        <v>1.8429487179487181</v>
      </c>
      <c r="BP426" s="64">
        <f t="shared" si="47"/>
        <v>1.8461538461538463</v>
      </c>
    </row>
    <row r="427" spans="1:68" ht="27" customHeight="1" x14ac:dyDescent="0.25">
      <c r="A427" s="54" t="s">
        <v>654</v>
      </c>
      <c r="B427" s="54" t="s">
        <v>655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656</v>
      </c>
      <c r="B428" s="54" t="s">
        <v>657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3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26</v>
      </c>
      <c r="Y428" s="542">
        <f t="shared" si="42"/>
        <v>28.799999999999997</v>
      </c>
      <c r="Z428" s="36">
        <f>IFERROR(IF(Y428=0,"",ROUNDUP(Y428/H428,0)*0.00902),"")</f>
        <v>5.4120000000000001E-2</v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37.429166666666667</v>
      </c>
      <c r="BN428" s="64">
        <f t="shared" si="45"/>
        <v>41.46</v>
      </c>
      <c r="BO428" s="64">
        <f t="shared" si="46"/>
        <v>4.1035353535353536E-2</v>
      </c>
      <c r="BP428" s="64">
        <f t="shared" si="47"/>
        <v>4.5454545454545456E-2</v>
      </c>
    </row>
    <row r="429" spans="1:68" ht="27" customHeight="1" x14ac:dyDescent="0.25">
      <c r="A429" s="54" t="s">
        <v>658</v>
      </c>
      <c r="B429" s="54" t="s">
        <v>659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4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644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660</v>
      </c>
      <c r="B430" s="54" t="s">
        <v>661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663</v>
      </c>
      <c r="B431" s="54" t="s">
        <v>664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6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653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62" t="s">
        <v>71</v>
      </c>
      <c r="Q432" s="563"/>
      <c r="R432" s="563"/>
      <c r="S432" s="563"/>
      <c r="T432" s="563"/>
      <c r="U432" s="563"/>
      <c r="V432" s="564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363.37121212121212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365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4.3477600000000001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2" t="s">
        <v>71</v>
      </c>
      <c r="Q433" s="563"/>
      <c r="R433" s="563"/>
      <c r="S433" s="563"/>
      <c r="T433" s="563"/>
      <c r="U433" s="563"/>
      <c r="V433" s="564"/>
      <c r="W433" s="37" t="s">
        <v>69</v>
      </c>
      <c r="X433" s="543">
        <f>IFERROR(SUM(X421:X431),"0")</f>
        <v>1916</v>
      </c>
      <c r="Y433" s="543">
        <f>IFERROR(SUM(Y421:Y431),"0")</f>
        <v>1924.32</v>
      </c>
      <c r="Z433" s="37"/>
      <c r="AA433" s="544"/>
      <c r="AB433" s="544"/>
      <c r="AC433" s="544"/>
    </row>
    <row r="434" spans="1:68" ht="14.25" customHeight="1" x14ac:dyDescent="0.25">
      <c r="A434" s="559" t="s">
        <v>135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665</v>
      </c>
      <c r="B435" s="54" t="s">
        <v>666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779</v>
      </c>
      <c r="Y435" s="542">
        <f>IFERROR(IF(X435="",0,CEILING((X435/$H435),1)*$H435),"")</f>
        <v>781.44</v>
      </c>
      <c r="Z435" s="36">
        <f>IFERROR(IF(Y435=0,"",ROUNDUP(Y435/H435,0)*0.01196),"")</f>
        <v>1.7700800000000001</v>
      </c>
      <c r="AA435" s="56"/>
      <c r="AB435" s="57"/>
      <c r="AC435" s="483" t="s">
        <v>667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830.63825757575739</v>
      </c>
      <c r="BN435" s="64">
        <f>IFERROR(Y435*I435/H435,"0")</f>
        <v>833.24</v>
      </c>
      <c r="BO435" s="64">
        <f>IFERROR(1/J435*(X435/H435),"0")</f>
        <v>1.4186334498834499</v>
      </c>
      <c r="BP435" s="64">
        <f>IFERROR(1/J435*(Y435/H435),"0")</f>
        <v>1.4230769230769231</v>
      </c>
    </row>
    <row r="436" spans="1:68" ht="16.5" customHeight="1" x14ac:dyDescent="0.25">
      <c r="A436" s="54" t="s">
        <v>668</v>
      </c>
      <c r="B436" s="54" t="s">
        <v>669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4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667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670</v>
      </c>
      <c r="B437" s="54" t="s">
        <v>671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 t="s">
        <v>110</v>
      </c>
      <c r="M437" s="33" t="s">
        <v>104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667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62" t="s">
        <v>71</v>
      </c>
      <c r="Q438" s="563"/>
      <c r="R438" s="563"/>
      <c r="S438" s="563"/>
      <c r="T438" s="563"/>
      <c r="U438" s="563"/>
      <c r="V438" s="564"/>
      <c r="W438" s="37" t="s">
        <v>72</v>
      </c>
      <c r="X438" s="543">
        <f>IFERROR(X435/H435,"0")+IFERROR(X436/H436,"0")+IFERROR(X437/H437,"0")</f>
        <v>147.53787878787878</v>
      </c>
      <c r="Y438" s="543">
        <f>IFERROR(Y435/H435,"0")+IFERROR(Y436/H436,"0")+IFERROR(Y437/H437,"0")</f>
        <v>148</v>
      </c>
      <c r="Z438" s="543">
        <f>IFERROR(IF(Z435="",0,Z435),"0")+IFERROR(IF(Z436="",0,Z436),"0")+IFERROR(IF(Z437="",0,Z437),"0")</f>
        <v>1.7700800000000001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2" t="s">
        <v>71</v>
      </c>
      <c r="Q439" s="563"/>
      <c r="R439" s="563"/>
      <c r="S439" s="563"/>
      <c r="T439" s="563"/>
      <c r="U439" s="563"/>
      <c r="V439" s="564"/>
      <c r="W439" s="37" t="s">
        <v>69</v>
      </c>
      <c r="X439" s="543">
        <f>IFERROR(SUM(X435:X437),"0")</f>
        <v>779</v>
      </c>
      <c r="Y439" s="543">
        <f>IFERROR(SUM(Y435:Y437),"0")</f>
        <v>781.44</v>
      </c>
      <c r="Z439" s="37"/>
      <c r="AA439" s="544"/>
      <c r="AB439" s="544"/>
      <c r="AC439" s="544"/>
    </row>
    <row r="440" spans="1:68" ht="14.25" customHeight="1" x14ac:dyDescent="0.25">
      <c r="A440" s="559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672</v>
      </c>
      <c r="B441" s="54" t="s">
        <v>673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2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308</v>
      </c>
      <c r="Y441" s="542">
        <f t="shared" ref="Y441:Y446" si="48">IFERROR(IF(X441="",0,CEILING((X441/$H441),1)*$H441),"")</f>
        <v>311.52000000000004</v>
      </c>
      <c r="Z441" s="36">
        <f>IFERROR(IF(Y441=0,"",ROUNDUP(Y441/H441,0)*0.01196),"")</f>
        <v>0.70564000000000004</v>
      </c>
      <c r="AA441" s="56"/>
      <c r="AB441" s="57"/>
      <c r="AC441" s="489" t="s">
        <v>674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328.41666666666663</v>
      </c>
      <c r="BN441" s="64">
        <f t="shared" ref="BN441:BN446" si="50">IFERROR(Y441*I441/H441,"0")</f>
        <v>332.17</v>
      </c>
      <c r="BO441" s="64">
        <f t="shared" ref="BO441:BO446" si="51">IFERROR(1/J441*(X441/H441),"0")</f>
        <v>0.5608974358974359</v>
      </c>
      <c r="BP441" s="64">
        <f t="shared" ref="BP441:BP446" si="52">IFERROR(1/J441*(Y441/H441),"0")</f>
        <v>0.5673076923076924</v>
      </c>
    </row>
    <row r="442" spans="1:68" ht="27" customHeight="1" x14ac:dyDescent="0.25">
      <c r="A442" s="54" t="s">
        <v>675</v>
      </c>
      <c r="B442" s="54" t="s">
        <v>676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6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388</v>
      </c>
      <c r="Y442" s="542">
        <f t="shared" si="48"/>
        <v>390.72</v>
      </c>
      <c r="Z442" s="36">
        <f>IFERROR(IF(Y442=0,"",ROUNDUP(Y442/H442,0)*0.01196),"")</f>
        <v>0.88504000000000005</v>
      </c>
      <c r="AA442" s="56"/>
      <c r="AB442" s="57"/>
      <c r="AC442" s="491" t="s">
        <v>677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413.71969696969694</v>
      </c>
      <c r="BN442" s="64">
        <f t="shared" si="50"/>
        <v>416.62</v>
      </c>
      <c r="BO442" s="64">
        <f t="shared" si="51"/>
        <v>0.7065850815850816</v>
      </c>
      <c r="BP442" s="64">
        <f t="shared" si="52"/>
        <v>0.71153846153846156</v>
      </c>
    </row>
    <row r="443" spans="1:68" ht="27" customHeight="1" x14ac:dyDescent="0.25">
      <c r="A443" s="54" t="s">
        <v>678</v>
      </c>
      <c r="B443" s="54" t="s">
        <v>679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9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389</v>
      </c>
      <c r="Y443" s="542">
        <f t="shared" si="48"/>
        <v>390.72</v>
      </c>
      <c r="Z443" s="36">
        <f>IFERROR(IF(Y443=0,"",ROUNDUP(Y443/H443,0)*0.01196),"")</f>
        <v>0.88504000000000005</v>
      </c>
      <c r="AA443" s="56"/>
      <c r="AB443" s="57"/>
      <c r="AC443" s="493" t="s">
        <v>680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414.78598484848487</v>
      </c>
      <c r="BN443" s="64">
        <f t="shared" si="50"/>
        <v>416.62</v>
      </c>
      <c r="BO443" s="64">
        <f t="shared" si="51"/>
        <v>0.70840617715617715</v>
      </c>
      <c r="BP443" s="64">
        <f t="shared" si="52"/>
        <v>0.71153846153846156</v>
      </c>
    </row>
    <row r="444" spans="1:68" ht="27" customHeight="1" x14ac:dyDescent="0.25">
      <c r="A444" s="54" t="s">
        <v>681</v>
      </c>
      <c r="B444" s="54" t="s">
        <v>682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683</v>
      </c>
      <c r="B445" s="54" t="s">
        <v>684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customHeight="1" x14ac:dyDescent="0.25">
      <c r="A446" s="54" t="s">
        <v>685</v>
      </c>
      <c r="B446" s="54" t="s">
        <v>686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2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680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62" t="s">
        <v>71</v>
      </c>
      <c r="Q447" s="563"/>
      <c r="R447" s="563"/>
      <c r="S447" s="563"/>
      <c r="T447" s="563"/>
      <c r="U447" s="563"/>
      <c r="V447" s="564"/>
      <c r="W447" s="37" t="s">
        <v>72</v>
      </c>
      <c r="X447" s="543">
        <f>IFERROR(X441/H441,"0")+IFERROR(X442/H442,"0")+IFERROR(X443/H443,"0")+IFERROR(X444/H444,"0")+IFERROR(X445/H445,"0")+IFERROR(X446/H446,"0")</f>
        <v>205.49242424242425</v>
      </c>
      <c r="Y447" s="543">
        <f>IFERROR(Y441/H441,"0")+IFERROR(Y442/H442,"0")+IFERROR(Y443/H443,"0")+IFERROR(Y444/H444,"0")+IFERROR(Y445/H445,"0")+IFERROR(Y446/H446,"0")</f>
        <v>207</v>
      </c>
      <c r="Z447" s="543">
        <f>IFERROR(IF(Z441="",0,Z441),"0")+IFERROR(IF(Z442="",0,Z442),"0")+IFERROR(IF(Z443="",0,Z443),"0")+IFERROR(IF(Z444="",0,Z444),"0")+IFERROR(IF(Z445="",0,Z445),"0")+IFERROR(IF(Z446="",0,Z446),"0")</f>
        <v>2.4757199999999999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2" t="s">
        <v>71</v>
      </c>
      <c r="Q448" s="563"/>
      <c r="R448" s="563"/>
      <c r="S448" s="563"/>
      <c r="T448" s="563"/>
      <c r="U448" s="563"/>
      <c r="V448" s="564"/>
      <c r="W448" s="37" t="s">
        <v>69</v>
      </c>
      <c r="X448" s="543">
        <f>IFERROR(SUM(X441:X446),"0")</f>
        <v>1085</v>
      </c>
      <c r="Y448" s="543">
        <f>IFERROR(SUM(Y441:Y446),"0")</f>
        <v>1092.96</v>
      </c>
      <c r="Z448" s="37"/>
      <c r="AA448" s="544"/>
      <c r="AB448" s="544"/>
      <c r="AC448" s="544"/>
    </row>
    <row r="449" spans="1:68" ht="14.25" customHeight="1" x14ac:dyDescent="0.25">
      <c r="A449" s="559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customHeight="1" x14ac:dyDescent="0.25">
      <c r="A450" s="54" t="s">
        <v>687</v>
      </c>
      <c r="B450" s="54" t="s">
        <v>688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690</v>
      </c>
      <c r="B451" s="54" t="s">
        <v>691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1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693</v>
      </c>
      <c r="B452" s="54" t="s">
        <v>694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62" t="s">
        <v>71</v>
      </c>
      <c r="Q453" s="563"/>
      <c r="R453" s="563"/>
      <c r="S453" s="563"/>
      <c r="T453" s="563"/>
      <c r="U453" s="563"/>
      <c r="V453" s="564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2" t="s">
        <v>71</v>
      </c>
      <c r="Q454" s="563"/>
      <c r="R454" s="563"/>
      <c r="S454" s="563"/>
      <c r="T454" s="563"/>
      <c r="U454" s="563"/>
      <c r="V454" s="564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2" t="s">
        <v>696</v>
      </c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3"/>
      <c r="P455" s="633"/>
      <c r="Q455" s="633"/>
      <c r="R455" s="633"/>
      <c r="S455" s="633"/>
      <c r="T455" s="633"/>
      <c r="U455" s="633"/>
      <c r="V455" s="633"/>
      <c r="W455" s="633"/>
      <c r="X455" s="633"/>
      <c r="Y455" s="633"/>
      <c r="Z455" s="633"/>
      <c r="AA455" s="48"/>
      <c r="AB455" s="48"/>
      <c r="AC455" s="48"/>
    </row>
    <row r="456" spans="1:68" ht="16.5" customHeight="1" x14ac:dyDescent="0.25">
      <c r="A456" s="558" t="s">
        <v>696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customHeight="1" x14ac:dyDescent="0.25">
      <c r="A457" s="559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customHeight="1" x14ac:dyDescent="0.25">
      <c r="A458" s="54" t="s">
        <v>697</v>
      </c>
      <c r="B458" s="54" t="s">
        <v>698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0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700</v>
      </c>
      <c r="B459" s="54" t="s">
        <v>701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3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703</v>
      </c>
      <c r="B460" s="54" t="s">
        <v>704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 t="s">
        <v>103</v>
      </c>
      <c r="M460" s="33" t="s">
        <v>104</v>
      </c>
      <c r="N460" s="33"/>
      <c r="O460" s="32">
        <v>50</v>
      </c>
      <c r="P460" s="77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 t="s">
        <v>106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706</v>
      </c>
      <c r="B461" s="54" t="s">
        <v>707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6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699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62" t="s">
        <v>71</v>
      </c>
      <c r="Q462" s="563"/>
      <c r="R462" s="563"/>
      <c r="S462" s="563"/>
      <c r="T462" s="563"/>
      <c r="U462" s="563"/>
      <c r="V462" s="564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2" t="s">
        <v>71</v>
      </c>
      <c r="Q463" s="563"/>
      <c r="R463" s="563"/>
      <c r="S463" s="563"/>
      <c r="T463" s="563"/>
      <c r="U463" s="563"/>
      <c r="V463" s="564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9" t="s">
        <v>135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customHeight="1" x14ac:dyDescent="0.25">
      <c r="A465" s="54" t="s">
        <v>708</v>
      </c>
      <c r="B465" s="54" t="s">
        <v>709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711</v>
      </c>
      <c r="B466" s="54" t="s">
        <v>712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26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714</v>
      </c>
      <c r="B467" s="54" t="s">
        <v>715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63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62" t="s">
        <v>71</v>
      </c>
      <c r="Q468" s="563"/>
      <c r="R468" s="563"/>
      <c r="S468" s="563"/>
      <c r="T468" s="563"/>
      <c r="U468" s="563"/>
      <c r="V468" s="564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2" t="s">
        <v>71</v>
      </c>
      <c r="Q469" s="563"/>
      <c r="R469" s="563"/>
      <c r="S469" s="563"/>
      <c r="T469" s="563"/>
      <c r="U469" s="563"/>
      <c r="V469" s="564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9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customHeight="1" x14ac:dyDescent="0.25">
      <c r="A471" s="54" t="s">
        <v>717</v>
      </c>
      <c r="B471" s="54" t="s">
        <v>718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2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720</v>
      </c>
      <c r="B472" s="54" t="s">
        <v>721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/>
      <c r="M472" s="33" t="s">
        <v>68</v>
      </c>
      <c r="N472" s="33"/>
      <c r="O472" s="32">
        <v>40</v>
      </c>
      <c r="P472" s="74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62" t="s">
        <v>71</v>
      </c>
      <c r="Q473" s="563"/>
      <c r="R473" s="563"/>
      <c r="S473" s="563"/>
      <c r="T473" s="563"/>
      <c r="U473" s="563"/>
      <c r="V473" s="564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2" t="s">
        <v>71</v>
      </c>
      <c r="Q474" s="563"/>
      <c r="R474" s="563"/>
      <c r="S474" s="563"/>
      <c r="T474" s="563"/>
      <c r="U474" s="563"/>
      <c r="V474" s="564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customHeight="1" x14ac:dyDescent="0.25">
      <c r="A475" s="559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723</v>
      </c>
      <c r="B476" s="54" t="s">
        <v>724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6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725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62" t="s">
        <v>71</v>
      </c>
      <c r="Q477" s="563"/>
      <c r="R477" s="563"/>
      <c r="S477" s="563"/>
      <c r="T477" s="563"/>
      <c r="U477" s="563"/>
      <c r="V477" s="564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2" t="s">
        <v>71</v>
      </c>
      <c r="Q478" s="563"/>
      <c r="R478" s="563"/>
      <c r="S478" s="563"/>
      <c r="T478" s="563"/>
      <c r="U478" s="563"/>
      <c r="V478" s="564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customHeight="1" x14ac:dyDescent="0.25">
      <c r="A479" s="559" t="s">
        <v>163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customHeight="1" x14ac:dyDescent="0.25">
      <c r="A480" s="54" t="s">
        <v>726</v>
      </c>
      <c r="B480" s="54" t="s">
        <v>727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0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729</v>
      </c>
      <c r="B481" s="54" t="s">
        <v>730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4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62" t="s">
        <v>71</v>
      </c>
      <c r="Q482" s="563"/>
      <c r="R482" s="563"/>
      <c r="S482" s="563"/>
      <c r="T482" s="563"/>
      <c r="U482" s="563"/>
      <c r="V482" s="564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2" t="s">
        <v>71</v>
      </c>
      <c r="Q483" s="563"/>
      <c r="R483" s="563"/>
      <c r="S483" s="563"/>
      <c r="T483" s="563"/>
      <c r="U483" s="563"/>
      <c r="V483" s="564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8" t="s">
        <v>732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customHeight="1" x14ac:dyDescent="0.25">
      <c r="A485" s="559" t="s">
        <v>135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customHeight="1" x14ac:dyDescent="0.25">
      <c r="A486" s="54" t="s">
        <v>733</v>
      </c>
      <c r="B486" s="54" t="s">
        <v>734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2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735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62" t="s">
        <v>71</v>
      </c>
      <c r="Q487" s="563"/>
      <c r="R487" s="563"/>
      <c r="S487" s="563"/>
      <c r="T487" s="563"/>
      <c r="U487" s="563"/>
      <c r="V487" s="564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2" t="s">
        <v>71</v>
      </c>
      <c r="Q488" s="563"/>
      <c r="R488" s="563"/>
      <c r="S488" s="563"/>
      <c r="T488" s="563"/>
      <c r="U488" s="563"/>
      <c r="V488" s="564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2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2"/>
      <c r="P489" s="627" t="s">
        <v>736</v>
      </c>
      <c r="Q489" s="628"/>
      <c r="R489" s="628"/>
      <c r="S489" s="628"/>
      <c r="T489" s="628"/>
      <c r="U489" s="628"/>
      <c r="V489" s="629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295+X305+X312+X318+X325+X331+X338+X350+X355+X360+X364+X370+X375+X381+X395+X400+X405+X412+X417+X433+X439+X448+X454+X463+X469+X474+X478+X483+X488,"0")</f>
        <v>11497</v>
      </c>
      <c r="Y489" s="543">
        <f>IFERROR(Y24+Y32+Y36+Y44+Y48+Y58+Y64+Y70+Y77+Y82+Y89+Y96+Y104+Y110+Y117+Y121+Y127+Y132+Y137+Y143+Y149+Y153+Y159+Y172+Y178+Y182+Y188+Y193+Y204+Y216+Y221+Y235+Y239+Y243+Y251+Y260+Y268+Y275+Y281+Y286+Y295+Y305+Y312+Y318+Y325+Y331+Y338+Y350+Y355+Y360+Y364+Y370+Y375+Y381+Y395+Y400+Y405+Y412+Y417+Y433+Y439+Y448+Y454+Y463+Y469+Y474+Y478+Y483+Y488,"0")</f>
        <v>11635.77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2"/>
      <c r="P490" s="627" t="s">
        <v>737</v>
      </c>
      <c r="Q490" s="628"/>
      <c r="R490" s="628"/>
      <c r="S490" s="628"/>
      <c r="T490" s="628"/>
      <c r="U490" s="628"/>
      <c r="V490" s="629"/>
      <c r="W490" s="37" t="s">
        <v>69</v>
      </c>
      <c r="X490" s="543">
        <f>IFERROR(SUM(BM22:BM486),"0")</f>
        <v>12180.891111970745</v>
      </c>
      <c r="Y490" s="543">
        <f>IFERROR(SUM(BN22:BN486),"0")</f>
        <v>12329.016000000001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2"/>
      <c r="P491" s="627" t="s">
        <v>738</v>
      </c>
      <c r="Q491" s="628"/>
      <c r="R491" s="628"/>
      <c r="S491" s="628"/>
      <c r="T491" s="628"/>
      <c r="U491" s="628"/>
      <c r="V491" s="629"/>
      <c r="W491" s="37" t="s">
        <v>739</v>
      </c>
      <c r="X491" s="38">
        <f>ROUNDUP(SUM(BO22:BO486),0)</f>
        <v>21</v>
      </c>
      <c r="Y491" s="38">
        <f>ROUNDUP(SUM(BP22:BP486),0)</f>
        <v>21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2"/>
      <c r="P492" s="627" t="s">
        <v>740</v>
      </c>
      <c r="Q492" s="628"/>
      <c r="R492" s="628"/>
      <c r="S492" s="628"/>
      <c r="T492" s="628"/>
      <c r="U492" s="628"/>
      <c r="V492" s="629"/>
      <c r="W492" s="37" t="s">
        <v>69</v>
      </c>
      <c r="X492" s="543">
        <f>GrossWeightTotal+PalletQtyTotal*25</f>
        <v>12705.891111970745</v>
      </c>
      <c r="Y492" s="543">
        <f>GrossWeightTotalR+PalletQtyTotalR*25</f>
        <v>12854.016000000001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2"/>
      <c r="P493" s="627" t="s">
        <v>741</v>
      </c>
      <c r="Q493" s="628"/>
      <c r="R493" s="628"/>
      <c r="S493" s="628"/>
      <c r="T493" s="628"/>
      <c r="U493" s="628"/>
      <c r="V493" s="629"/>
      <c r="W493" s="37" t="s">
        <v>739</v>
      </c>
      <c r="X493" s="543">
        <f>IFERROR(X23+X31+X35+X43+X47+X57+X63+X69+X76+X81+X88+X95+X103+X109+X116+X120+X126+X131+X136+X142+X148+X152+X158+X171+X177+X181+X187+X192+X203+X215+X220+X234+X238+X242+X250+X259+X267+X274+X280+X285+X294+X304+X311+X317+X324+X330+X337+X349+X354+X359+X363+X369+X374+X380+X394+X399+X404+X411+X416+X432+X438+X447+X453+X462+X468+X473+X477+X482+X487,"0")</f>
        <v>2080.347731060916</v>
      </c>
      <c r="Y493" s="543">
        <f>IFERROR(Y23+Y31+Y35+Y43+Y47+Y57+Y63+Y69+Y76+Y81+Y88+Y95+Y103+Y109+Y116+Y120+Y126+Y131+Y136+Y142+Y148+Y152+Y158+Y171+Y177+Y181+Y187+Y192+Y203+Y215+Y220+Y234+Y238+Y242+Y250+Y259+Y267+Y274+Y280+Y285+Y294+Y304+Y311+Y317+Y324+Y330+Y337+Y349+Y354+Y359+Y363+Y369+Y374+Y380+Y394+Y399+Y404+Y411+Y416+Y432+Y438+Y447+Y453+Y462+Y468+Y473+Y477+Y482+Y487,"0")</f>
        <v>2109</v>
      </c>
      <c r="Z493" s="37"/>
      <c r="AA493" s="544"/>
      <c r="AB493" s="544"/>
      <c r="AC493" s="544"/>
    </row>
    <row r="494" spans="1:68" ht="14.25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2"/>
      <c r="P494" s="627" t="s">
        <v>742</v>
      </c>
      <c r="Q494" s="628"/>
      <c r="R494" s="628"/>
      <c r="S494" s="628"/>
      <c r="T494" s="628"/>
      <c r="U494" s="628"/>
      <c r="V494" s="629"/>
      <c r="W494" s="39" t="s">
        <v>743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380+Z394+Z399+Z404+Z411+Z416+Z432+Z438+Z447+Z453+Z462+Z468+Z473+Z477+Z482+Z487,"0")</f>
        <v>24.478480000000001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744</v>
      </c>
      <c r="B496" s="538" t="s">
        <v>63</v>
      </c>
      <c r="C496" s="592" t="s">
        <v>97</v>
      </c>
      <c r="D496" s="654"/>
      <c r="E496" s="654"/>
      <c r="F496" s="654"/>
      <c r="G496" s="654"/>
      <c r="H496" s="622"/>
      <c r="I496" s="592" t="s">
        <v>250</v>
      </c>
      <c r="J496" s="654"/>
      <c r="K496" s="654"/>
      <c r="L496" s="654"/>
      <c r="M496" s="654"/>
      <c r="N496" s="654"/>
      <c r="O496" s="654"/>
      <c r="P496" s="654"/>
      <c r="Q496" s="654"/>
      <c r="R496" s="622"/>
      <c r="S496" s="592" t="s">
        <v>530</v>
      </c>
      <c r="T496" s="622"/>
      <c r="U496" s="592" t="s">
        <v>585</v>
      </c>
      <c r="V496" s="654"/>
      <c r="W496" s="622"/>
      <c r="X496" s="538" t="s">
        <v>636</v>
      </c>
      <c r="Y496" s="592" t="s">
        <v>696</v>
      </c>
      <c r="Z496" s="622"/>
      <c r="AB496" s="52"/>
      <c r="AC496" s="52"/>
      <c r="AF496" s="539"/>
    </row>
    <row r="497" spans="1:32" ht="14.25" customHeight="1" thickTop="1" x14ac:dyDescent="0.2">
      <c r="A497" s="835" t="s">
        <v>745</v>
      </c>
      <c r="B497" s="592" t="s">
        <v>63</v>
      </c>
      <c r="C497" s="592" t="s">
        <v>98</v>
      </c>
      <c r="D497" s="592" t="s">
        <v>116</v>
      </c>
      <c r="E497" s="592" t="s">
        <v>170</v>
      </c>
      <c r="F497" s="592" t="s">
        <v>190</v>
      </c>
      <c r="G497" s="592" t="s">
        <v>220</v>
      </c>
      <c r="H497" s="592" t="s">
        <v>97</v>
      </c>
      <c r="I497" s="592" t="s">
        <v>251</v>
      </c>
      <c r="J497" s="592" t="s">
        <v>296</v>
      </c>
      <c r="K497" s="592" t="s">
        <v>355</v>
      </c>
      <c r="L497" s="592" t="s">
        <v>397</v>
      </c>
      <c r="M497" s="592" t="s">
        <v>413</v>
      </c>
      <c r="N497" s="539"/>
      <c r="O497" s="592" t="s">
        <v>424</v>
      </c>
      <c r="P497" s="592" t="s">
        <v>433</v>
      </c>
      <c r="Q497" s="592" t="s">
        <v>446</v>
      </c>
      <c r="R497" s="592" t="s">
        <v>520</v>
      </c>
      <c r="S497" s="592" t="s">
        <v>531</v>
      </c>
      <c r="T497" s="592" t="s">
        <v>566</v>
      </c>
      <c r="U497" s="592" t="s">
        <v>586</v>
      </c>
      <c r="V497" s="592" t="s">
        <v>617</v>
      </c>
      <c r="W497" s="592" t="s">
        <v>632</v>
      </c>
      <c r="X497" s="592" t="s">
        <v>636</v>
      </c>
      <c r="Y497" s="592" t="s">
        <v>696</v>
      </c>
      <c r="Z497" s="592" t="s">
        <v>732</v>
      </c>
      <c r="AB497" s="52"/>
      <c r="AC497" s="52"/>
      <c r="AF497" s="539"/>
    </row>
    <row r="498" spans="1:32" ht="13.5" customHeight="1" thickBot="1" x14ac:dyDescent="0.25">
      <c r="A498" s="836"/>
      <c r="B498" s="593"/>
      <c r="C498" s="593"/>
      <c r="D498" s="593"/>
      <c r="E498" s="593"/>
      <c r="F498" s="593"/>
      <c r="G498" s="593"/>
      <c r="H498" s="593"/>
      <c r="I498" s="593"/>
      <c r="J498" s="593"/>
      <c r="K498" s="593"/>
      <c r="L498" s="593"/>
      <c r="M498" s="593"/>
      <c r="N498" s="539"/>
      <c r="O498" s="593"/>
      <c r="P498" s="593"/>
      <c r="Q498" s="593"/>
      <c r="R498" s="593"/>
      <c r="S498" s="593"/>
      <c r="T498" s="593"/>
      <c r="U498" s="593"/>
      <c r="V498" s="593"/>
      <c r="W498" s="593"/>
      <c r="X498" s="593"/>
      <c r="Y498" s="593"/>
      <c r="Z498" s="593"/>
      <c r="AB498" s="52"/>
      <c r="AC498" s="52"/>
      <c r="AF498" s="539"/>
    </row>
    <row r="499" spans="1:32" ht="18" customHeight="1" thickTop="1" thickBot="1" x14ac:dyDescent="0.25">
      <c r="A499" s="40" t="s">
        <v>746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0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472.20000000000005</v>
      </c>
      <c r="E499" s="46">
        <f>IFERROR(Y85*1,"0")+IFERROR(Y86*1,"0")+IFERROR(Y87*1,"0")+IFERROR(Y91*1,"0")+IFERROR(Y92*1,"0")+IFERROR(Y93*1,"0")+IFERROR(Y94*1,"0")</f>
        <v>731.7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1058.7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IFERROR(Y140*1,"0")+IFERROR(Y141*1,"0")+IFERROR(Y145*1,"0")+IFERROR(Y146*1,"0")+IFERROR(Y147*1,"0")+IFERROR(Y151*1,"0")</f>
        <v>0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313.14000000000004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1725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3.96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50.4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310.95</v>
      </c>
      <c r="R499" s="46">
        <f>IFERROR(Y334*1,"0")+IFERROR(Y335*1,"0")+IFERROR(Y336*1,"0")</f>
        <v>0</v>
      </c>
      <c r="S499" s="46">
        <f>IFERROR(Y342*1,"0")+IFERROR(Y343*1,"0")+IFERROR(Y344*1,"0")+IFERROR(Y345*1,"0")+IFERROR(Y346*1,"0")+IFERROR(Y347*1,"0")+IFERROR(Y348*1,"0")+IFERROR(Y352*1,"0")+IFERROR(Y353*1,"0")+IFERROR(Y357*1,"0")+IFERROR(Y358*1,"0")+IFERROR(Y362*1,"0")</f>
        <v>1635</v>
      </c>
      <c r="T499" s="46">
        <f>IFERROR(Y367*1,"0")+IFERROR(Y368*1,"0")+IFERROR(Y372*1,"0")+IFERROR(Y373*1,"0")+IFERROR(Y377*1,"0")+IFERROR(Y378*1,"0")+IFERROR(Y379*1,"0")</f>
        <v>1536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3798.7200000000003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KsyrZkJsBYn0v0p57SqHd6TtPtMCBscTCBjX3zRZfC0O5DsnhAHZpxfhkhRYQmfjLqUM7baNZPnqVuFh6TgdEA==" saltValue="8KWS2d12fJEDSrDhzUBqK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A484:Z484"/>
    <mergeCell ref="P218:T218"/>
    <mergeCell ref="P69:V69"/>
    <mergeCell ref="P311:V311"/>
    <mergeCell ref="A21:Z21"/>
    <mergeCell ref="P438:V438"/>
    <mergeCell ref="A194:Z194"/>
    <mergeCell ref="Q497:Q498"/>
    <mergeCell ref="G497:G498"/>
    <mergeCell ref="I497:I498"/>
    <mergeCell ref="D42:E42"/>
    <mergeCell ref="A468:O469"/>
    <mergeCell ref="A479:Z479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A8:C8"/>
    <mergeCell ref="P124:T124"/>
    <mergeCell ref="D293:E293"/>
    <mergeCell ref="A477:O478"/>
    <mergeCell ref="P151:T151"/>
    <mergeCell ref="P76:V76"/>
    <mergeCell ref="A128:Z128"/>
    <mergeCell ref="P374:V374"/>
    <mergeCell ref="A10:C10"/>
    <mergeCell ref="A413:Z413"/>
    <mergeCell ref="A217:Z217"/>
    <mergeCell ref="D17:E18"/>
    <mergeCell ref="X17:X18"/>
    <mergeCell ref="T497:T498"/>
    <mergeCell ref="D196:E196"/>
    <mergeCell ref="V497:V498"/>
    <mergeCell ref="A440:Z440"/>
    <mergeCell ref="A269:Z269"/>
    <mergeCell ref="A126:O127"/>
    <mergeCell ref="P23:V23"/>
    <mergeCell ref="P381:V381"/>
    <mergeCell ref="A262:Z262"/>
    <mergeCell ref="A333:Z333"/>
    <mergeCell ref="D54:E54"/>
    <mergeCell ref="D271:E271"/>
    <mergeCell ref="D191:E191"/>
    <mergeCell ref="D458:E458"/>
    <mergeCell ref="P368:T368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Q5:R5"/>
    <mergeCell ref="P297:T297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33:Z33"/>
    <mergeCell ref="V12:W12"/>
    <mergeCell ref="D291:E291"/>
    <mergeCell ref="D266:E266"/>
    <mergeCell ref="AD17:AF18"/>
    <mergeCell ref="P142:V142"/>
    <mergeCell ref="A337:O338"/>
    <mergeCell ref="D101:E101"/>
    <mergeCell ref="P117:V117"/>
    <mergeCell ref="F5:G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P367:T367"/>
    <mergeCell ref="D165:E165"/>
    <mergeCell ref="P75:T75"/>
    <mergeCell ref="P342:T342"/>
    <mergeCell ref="P146:T146"/>
    <mergeCell ref="D323:E323"/>
    <mergeCell ref="A136:O137"/>
    <mergeCell ref="A192:O193"/>
    <mergeCell ref="D279:E279"/>
    <mergeCell ref="W497:W498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D430:E430"/>
    <mergeCell ref="P469:V469"/>
    <mergeCell ref="P486:T486"/>
    <mergeCell ref="D450:E450"/>
    <mergeCell ref="P357:T357"/>
    <mergeCell ref="D29:E29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D241:E241"/>
    <mergeCell ref="P198:T198"/>
    <mergeCell ref="P347:T347"/>
    <mergeCell ref="A57:O58"/>
    <mergeCell ref="P54:T54"/>
    <mergeCell ref="D228:E228"/>
    <mergeCell ref="P312:V312"/>
    <mergeCell ref="P421:T421"/>
    <mergeCell ref="A411:O412"/>
    <mergeCell ref="P408:T408"/>
    <mergeCell ref="D218:E218"/>
    <mergeCell ref="P137:V137"/>
    <mergeCell ref="D247:E247"/>
    <mergeCell ref="P239:V239"/>
    <mergeCell ref="P432:V432"/>
    <mergeCell ref="D249:E249"/>
    <mergeCell ref="D170:E170"/>
    <mergeCell ref="P132:V132"/>
    <mergeCell ref="P72:T72"/>
    <mergeCell ref="A31:O32"/>
    <mergeCell ref="N17:N18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P187:V187"/>
    <mergeCell ref="A453:O454"/>
    <mergeCell ref="P494:V494"/>
    <mergeCell ref="P430:T430"/>
    <mergeCell ref="P350:V350"/>
    <mergeCell ref="P102:T102"/>
    <mergeCell ref="P196:T196"/>
    <mergeCell ref="P281:V281"/>
    <mergeCell ref="D226:E226"/>
    <mergeCell ref="D164:E164"/>
    <mergeCell ref="P62:T62"/>
    <mergeCell ref="U497:U498"/>
    <mergeCell ref="I496:R496"/>
    <mergeCell ref="A497:A498"/>
    <mergeCell ref="L497:L498"/>
    <mergeCell ref="D389:E389"/>
    <mergeCell ref="P47:V47"/>
    <mergeCell ref="P176:T176"/>
    <mergeCell ref="P247:T247"/>
    <mergeCell ref="P114:T114"/>
    <mergeCell ref="P241:T241"/>
    <mergeCell ref="P41:T41"/>
    <mergeCell ref="A35:O36"/>
    <mergeCell ref="A455:Z455"/>
    <mergeCell ref="D320:E320"/>
    <mergeCell ref="A222:Z222"/>
    <mergeCell ref="D385:E385"/>
    <mergeCell ref="P301:T301"/>
    <mergeCell ref="D257:E257"/>
    <mergeCell ref="P214:T214"/>
    <mergeCell ref="D86:E86"/>
    <mergeCell ref="D213:E213"/>
    <mergeCell ref="A457:Z457"/>
    <mergeCell ref="P192:V192"/>
    <mergeCell ref="D151:E151"/>
    <mergeCell ref="D321:E321"/>
    <mergeCell ref="P278:T278"/>
    <mergeCell ref="P107:T107"/>
    <mergeCell ref="C496:H496"/>
    <mergeCell ref="P112:T112"/>
    <mergeCell ref="P348:T348"/>
    <mergeCell ref="P323:T323"/>
    <mergeCell ref="A414:Z414"/>
    <mergeCell ref="D231:E231"/>
    <mergeCell ref="D358:E358"/>
    <mergeCell ref="P70:V70"/>
    <mergeCell ref="P337:V337"/>
    <mergeCell ref="A156:Z156"/>
    <mergeCell ref="P116:V116"/>
    <mergeCell ref="P474:V474"/>
    <mergeCell ref="P103:V103"/>
    <mergeCell ref="A155:Z155"/>
    <mergeCell ref="P268:V268"/>
    <mergeCell ref="P201:T201"/>
    <mergeCell ref="P101:T101"/>
    <mergeCell ref="P465:T465"/>
    <mergeCell ref="D386:E386"/>
    <mergeCell ref="P250:V250"/>
    <mergeCell ref="P199:T199"/>
    <mergeCell ref="A447:O448"/>
    <mergeCell ref="P436:T436"/>
    <mergeCell ref="A487:O488"/>
    <mergeCell ref="P482:V482"/>
    <mergeCell ref="D225:E225"/>
    <mergeCell ref="P409:T409"/>
    <mergeCell ref="A399:O400"/>
    <mergeCell ref="D461:E461"/>
    <mergeCell ref="P61:T61"/>
    <mergeCell ref="D200:E200"/>
    <mergeCell ref="D436:E436"/>
    <mergeCell ref="D292:E292"/>
    <mergeCell ref="P346:T346"/>
    <mergeCell ref="D227:E227"/>
    <mergeCell ref="P321:T321"/>
    <mergeCell ref="P125:T125"/>
    <mergeCell ref="D373:E373"/>
    <mergeCell ref="D202:E202"/>
    <mergeCell ref="A242:O243"/>
    <mergeCell ref="A179:Z179"/>
    <mergeCell ref="P63:V63"/>
    <mergeCell ref="P174:T174"/>
    <mergeCell ref="A339:Z339"/>
    <mergeCell ref="P410:T410"/>
    <mergeCell ref="P385:T385"/>
    <mergeCell ref="AB17:AB18"/>
    <mergeCell ref="A90:Z90"/>
    <mergeCell ref="D446:E446"/>
    <mergeCell ref="A277:Z277"/>
    <mergeCell ref="P44:V44"/>
    <mergeCell ref="D367:E367"/>
    <mergeCell ref="H5:M5"/>
    <mergeCell ref="P31:V31"/>
    <mergeCell ref="P473:V473"/>
    <mergeCell ref="P158:V158"/>
    <mergeCell ref="A154:Z154"/>
    <mergeCell ref="D212:E212"/>
    <mergeCell ref="P225:T225"/>
    <mergeCell ref="A456:Z456"/>
    <mergeCell ref="A341:Z341"/>
    <mergeCell ref="D146:E146"/>
    <mergeCell ref="D6:M6"/>
    <mergeCell ref="P461:T461"/>
    <mergeCell ref="A317:O318"/>
    <mergeCell ref="A306:Z306"/>
    <mergeCell ref="P175:T175"/>
    <mergeCell ref="P95:V95"/>
    <mergeCell ref="P162:T162"/>
    <mergeCell ref="P331:V331"/>
    <mergeCell ref="S497:S498"/>
    <mergeCell ref="D428:E428"/>
    <mergeCell ref="P40:T40"/>
    <mergeCell ref="K497:K498"/>
    <mergeCell ref="M497:M498"/>
    <mergeCell ref="D415:E415"/>
    <mergeCell ref="P394:V394"/>
    <mergeCell ref="P257:T257"/>
    <mergeCell ref="P80:T80"/>
    <mergeCell ref="P460:T460"/>
    <mergeCell ref="D441:E441"/>
    <mergeCell ref="P398:T398"/>
    <mergeCell ref="P227:T227"/>
    <mergeCell ref="D368:E368"/>
    <mergeCell ref="P106:T106"/>
    <mergeCell ref="D481:E481"/>
    <mergeCell ref="A294:O295"/>
    <mergeCell ref="P335:T335"/>
    <mergeCell ref="D256:E256"/>
    <mergeCell ref="P226:T226"/>
    <mergeCell ref="D207:E207"/>
    <mergeCell ref="P164:T164"/>
    <mergeCell ref="P120:V120"/>
    <mergeCell ref="P93:T93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P320:T320"/>
    <mergeCell ref="P314:T314"/>
    <mergeCell ref="P483:V483"/>
    <mergeCell ref="D298:E298"/>
    <mergeCell ref="P91:T91"/>
    <mergeCell ref="P404:V404"/>
    <mergeCell ref="A351:Z351"/>
    <mergeCell ref="D273:E273"/>
    <mergeCell ref="P327:T327"/>
    <mergeCell ref="P468:V468"/>
    <mergeCell ref="A464:Z464"/>
    <mergeCell ref="A160:Z160"/>
    <mergeCell ref="P212:T212"/>
    <mergeCell ref="D299:E299"/>
    <mergeCell ref="P405:V405"/>
    <mergeCell ref="A401:Z401"/>
    <mergeCell ref="D314:E314"/>
    <mergeCell ref="A152:O153"/>
    <mergeCell ref="P171:V171"/>
    <mergeCell ref="P242:V242"/>
    <mergeCell ref="P121:V121"/>
    <mergeCell ref="A296:Z296"/>
    <mergeCell ref="D459:E459"/>
    <mergeCell ref="P148:V148"/>
    <mergeCell ref="P130:T130"/>
    <mergeCell ref="P190:T190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D85:E85"/>
    <mergeCell ref="P57:V57"/>
    <mergeCell ref="A81:O82"/>
    <mergeCell ref="D80:E80"/>
    <mergeCell ref="P46:T46"/>
    <mergeCell ref="P32:V32"/>
    <mergeCell ref="P34:T34"/>
    <mergeCell ref="C497:C498"/>
    <mergeCell ref="D114:E114"/>
    <mergeCell ref="E497:E498"/>
    <mergeCell ref="P220:V220"/>
    <mergeCell ref="P248:T248"/>
    <mergeCell ref="P441:T441"/>
    <mergeCell ref="D362:E362"/>
    <mergeCell ref="D51:E51"/>
    <mergeCell ref="D476:E476"/>
    <mergeCell ref="P207:T207"/>
    <mergeCell ref="A131:O132"/>
    <mergeCell ref="P299:T299"/>
    <mergeCell ref="P172:V172"/>
    <mergeCell ref="P221:V221"/>
    <mergeCell ref="P215:V215"/>
    <mergeCell ref="P393:T393"/>
    <mergeCell ref="P232:T232"/>
    <mergeCell ref="P152:V152"/>
    <mergeCell ref="D140:E140"/>
    <mergeCell ref="A340:Z340"/>
    <mergeCell ref="D425:E425"/>
    <mergeCell ref="A220:O221"/>
    <mergeCell ref="P161:T161"/>
    <mergeCell ref="P388:T388"/>
    <mergeCell ref="P446:T446"/>
    <mergeCell ref="J9:M9"/>
    <mergeCell ref="A418:Z418"/>
    <mergeCell ref="D283:E283"/>
    <mergeCell ref="A356:Z356"/>
    <mergeCell ref="D112:E112"/>
    <mergeCell ref="D348:E348"/>
    <mergeCell ref="P141:T141"/>
    <mergeCell ref="P454:V454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A38:Z38"/>
    <mergeCell ref="H17:H18"/>
    <mergeCell ref="V6:W9"/>
    <mergeCell ref="Z17:Z18"/>
    <mergeCell ref="G17:G18"/>
    <mergeCell ref="A9:C9"/>
    <mergeCell ref="Q13:R13"/>
    <mergeCell ref="P58:V58"/>
    <mergeCell ref="A13:M13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P229:T229"/>
    <mergeCell ref="A133:Z133"/>
    <mergeCell ref="D125:E125"/>
    <mergeCell ref="D22:E22"/>
    <mergeCell ref="F17:F18"/>
    <mergeCell ref="U17:V17"/>
    <mergeCell ref="Y17:Y18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39:Z139"/>
    <mergeCell ref="D74:E74"/>
    <mergeCell ref="D130:E130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A349:O350"/>
    <mergeCell ref="Y497:Y498"/>
    <mergeCell ref="P447:V447"/>
    <mergeCell ref="P387:T387"/>
    <mergeCell ref="A406:Z406"/>
    <mergeCell ref="D422:E422"/>
    <mergeCell ref="P360:V360"/>
    <mergeCell ref="P87:T87"/>
    <mergeCell ref="P451:T451"/>
    <mergeCell ref="D335:E335"/>
    <mergeCell ref="A470:Z470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372:E372"/>
    <mergeCell ref="P245:T245"/>
    <mergeCell ref="D201:E201"/>
    <mergeCell ref="P126:V126"/>
    <mergeCell ref="A69:O70"/>
    <mergeCell ref="D68:E68"/>
    <mergeCell ref="P224:T224"/>
    <mergeCell ref="P322:T322"/>
    <mergeCell ref="A285:O286"/>
    <mergeCell ref="P211:T211"/>
    <mergeCell ref="P309:T309"/>
    <mergeCell ref="P51:T51"/>
    <mergeCell ref="P26:T26"/>
    <mergeCell ref="A261:Z261"/>
    <mergeCell ref="D52:E52"/>
    <mergeCell ref="P110:V110"/>
    <mergeCell ref="D27:E27"/>
    <mergeCell ref="P208:T208"/>
    <mergeCell ref="P15:T16"/>
    <mergeCell ref="P450:T450"/>
    <mergeCell ref="D352:E352"/>
    <mergeCell ref="P219:T219"/>
    <mergeCell ref="D91:E91"/>
    <mergeCell ref="D162:E162"/>
    <mergeCell ref="P272:T272"/>
    <mergeCell ref="D327:E327"/>
    <mergeCell ref="P439:V439"/>
    <mergeCell ref="D398:E398"/>
    <mergeCell ref="A438:O439"/>
    <mergeCell ref="P433:V433"/>
    <mergeCell ref="P308:T308"/>
    <mergeCell ref="A267:O268"/>
    <mergeCell ref="P210:T210"/>
    <mergeCell ref="P185:T185"/>
    <mergeCell ref="D106:E106"/>
    <mergeCell ref="P427:T427"/>
    <mergeCell ref="P283:T283"/>
    <mergeCell ref="D264:E264"/>
    <mergeCell ref="A5:C5"/>
    <mergeCell ref="P412:V412"/>
    <mergeCell ref="P64:V64"/>
    <mergeCell ref="A485:Z485"/>
    <mergeCell ref="P349:V349"/>
    <mergeCell ref="D166:E166"/>
    <mergeCell ref="P195:T195"/>
    <mergeCell ref="P364:V364"/>
    <mergeCell ref="A189:Z189"/>
    <mergeCell ref="P300:T300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A332:Z332"/>
    <mergeCell ref="D26:E26"/>
    <mergeCell ref="P403:T403"/>
    <mergeCell ref="P378:T378"/>
    <mergeCell ref="A259:O260"/>
    <mergeCell ref="A324:O325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354:V354"/>
    <mergeCell ref="P246:T246"/>
    <mergeCell ref="A43:O44"/>
    <mergeCell ref="D390:E390"/>
    <mergeCell ref="A123:Z123"/>
    <mergeCell ref="P491:V491"/>
    <mergeCell ref="P369:V369"/>
    <mergeCell ref="P127:V127"/>
    <mergeCell ref="A354:O355"/>
    <mergeCell ref="P53:T53"/>
    <mergeCell ref="F9:G9"/>
    <mergeCell ref="D167:E167"/>
    <mergeCell ref="P422:T422"/>
    <mergeCell ref="P289:T289"/>
    <mergeCell ref="P52:T52"/>
    <mergeCell ref="P481:T481"/>
    <mergeCell ref="I17:I18"/>
    <mergeCell ref="D141:E141"/>
    <mergeCell ref="D135:E135"/>
    <mergeCell ref="D377:E377"/>
    <mergeCell ref="P352:T352"/>
    <mergeCell ref="P203:V203"/>
    <mergeCell ref="D72:E72"/>
    <mergeCell ref="A326:Z326"/>
    <mergeCell ref="P295:V295"/>
    <mergeCell ref="P178:V178"/>
    <mergeCell ref="A177:O178"/>
    <mergeCell ref="P463:V463"/>
    <mergeCell ref="P267:V267"/>
    <mergeCell ref="D403:E403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P497:P498"/>
    <mergeCell ref="A402:Z402"/>
    <mergeCell ref="D229:E229"/>
    <mergeCell ref="R497:R498"/>
    <mergeCell ref="D108:E108"/>
    <mergeCell ref="P429:T429"/>
    <mergeCell ref="P258:T258"/>
    <mergeCell ref="P423:T423"/>
    <mergeCell ref="A304:O305"/>
    <mergeCell ref="Z497:Z498"/>
    <mergeCell ref="P303:T303"/>
    <mergeCell ref="P317:V317"/>
    <mergeCell ref="P304:V304"/>
    <mergeCell ref="P181:V181"/>
    <mergeCell ref="A396:Z396"/>
    <mergeCell ref="D460:E460"/>
    <mergeCell ref="D391:E391"/>
    <mergeCell ref="P370:V370"/>
    <mergeCell ref="A394:O395"/>
    <mergeCell ref="A369:O370"/>
    <mergeCell ref="D328:E328"/>
    <mergeCell ref="D157:E157"/>
    <mergeCell ref="P136:V136"/>
    <mergeCell ref="A253:Z253"/>
    <mergeCell ref="D1:F1"/>
    <mergeCell ref="P466:T466"/>
    <mergeCell ref="A71:Z71"/>
    <mergeCell ref="P488:V488"/>
    <mergeCell ref="A313:Z313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D209:E209"/>
    <mergeCell ref="P166:T166"/>
    <mergeCell ref="A282:Z282"/>
    <mergeCell ref="P188:V188"/>
    <mergeCell ref="A187:O188"/>
    <mergeCell ref="D445:E445"/>
    <mergeCell ref="D245:E245"/>
    <mergeCell ref="D301:E301"/>
    <mergeCell ref="D147:E147"/>
    <mergeCell ref="A376:Z376"/>
    <mergeCell ref="D224:E224"/>
    <mergeCell ref="P230:T230"/>
    <mergeCell ref="D211:E211"/>
    <mergeCell ref="P168:T168"/>
    <mergeCell ref="P490:V490"/>
    <mergeCell ref="A482:O483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A361:Z361"/>
    <mergeCell ref="D55:E55"/>
    <mergeCell ref="A95:O96"/>
    <mergeCell ref="D353:E353"/>
    <mergeCell ref="D30:E30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7:M7"/>
    <mergeCell ref="D79:E79"/>
    <mergeCell ref="P92:T92"/>
    <mergeCell ref="P334:T334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H497:H498"/>
    <mergeCell ref="A473:O474"/>
    <mergeCell ref="P330:V330"/>
    <mergeCell ref="J497:J498"/>
    <mergeCell ref="D289:E289"/>
    <mergeCell ref="P395:V395"/>
    <mergeCell ref="P159:V159"/>
    <mergeCell ref="P209:T209"/>
    <mergeCell ref="P147:T147"/>
    <mergeCell ref="P445:T445"/>
    <mergeCell ref="A434:Z434"/>
    <mergeCell ref="A384:Z384"/>
    <mergeCell ref="A449:Z449"/>
    <mergeCell ref="P325:V325"/>
    <mergeCell ref="A150:Z150"/>
    <mergeCell ref="D378:E378"/>
    <mergeCell ref="P458:T458"/>
    <mergeCell ref="P487:V487"/>
    <mergeCell ref="P182:V182"/>
    <mergeCell ref="P476:T476"/>
    <mergeCell ref="P407:T407"/>
    <mergeCell ref="P471:T471"/>
    <mergeCell ref="X497:X498"/>
    <mergeCell ref="A475:Z475"/>
    <mergeCell ref="P56:T56"/>
    <mergeCell ref="D195:E195"/>
    <mergeCell ref="P379:T379"/>
    <mergeCell ref="V10:W10"/>
    <mergeCell ref="D431:E431"/>
    <mergeCell ref="P99:T99"/>
    <mergeCell ref="P170:T170"/>
    <mergeCell ref="P316:T316"/>
    <mergeCell ref="P145:T145"/>
    <mergeCell ref="D66:E66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R1:T1"/>
    <mergeCell ref="A158:O159"/>
    <mergeCell ref="P28:T28"/>
    <mergeCell ref="P392:T392"/>
    <mergeCell ref="P386:T386"/>
    <mergeCell ref="D307:E307"/>
    <mergeCell ref="P165:T165"/>
    <mergeCell ref="P400:V400"/>
    <mergeCell ref="D73:E73"/>
    <mergeCell ref="P77:V77"/>
    <mergeCell ref="P30:T30"/>
    <mergeCell ref="A76:O77"/>
    <mergeCell ref="P375:V375"/>
    <mergeCell ref="A374:O375"/>
    <mergeCell ref="P290:T290"/>
    <mergeCell ref="A311:O312"/>
    <mergeCell ref="A234:O235"/>
    <mergeCell ref="A63:O64"/>
    <mergeCell ref="B17:B18"/>
    <mergeCell ref="P143:V143"/>
    <mergeCell ref="A171:O172"/>
    <mergeCell ref="D258:E258"/>
    <mergeCell ref="P235:V235"/>
    <mergeCell ref="D124:E124"/>
    <mergeCell ref="D486:E486"/>
    <mergeCell ref="P86:T86"/>
    <mergeCell ref="P328:T328"/>
    <mergeCell ref="P213:T213"/>
    <mergeCell ref="P157:T157"/>
    <mergeCell ref="D134:E134"/>
    <mergeCell ref="A330:O331"/>
    <mergeCell ref="P249:T249"/>
    <mergeCell ref="A365:Z365"/>
    <mergeCell ref="D357:E357"/>
    <mergeCell ref="P452:T452"/>
    <mergeCell ref="P448:V448"/>
    <mergeCell ref="P477:V477"/>
    <mergeCell ref="P443:T443"/>
    <mergeCell ref="P462:V462"/>
    <mergeCell ref="D316:E316"/>
    <mergeCell ref="P273:T273"/>
    <mergeCell ref="D87:E87"/>
    <mergeCell ref="A105:Z105"/>
    <mergeCell ref="A416:O417"/>
    <mergeCell ref="D329:E329"/>
    <mergeCell ref="A98:Z98"/>
    <mergeCell ref="D93:E93"/>
    <mergeCell ref="D424:E424"/>
    <mergeCell ref="D472:E472"/>
    <mergeCell ref="A83:Z83"/>
    <mergeCell ref="D410:E410"/>
    <mergeCell ref="A276:Z276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79:T79"/>
    <mergeCell ref="D60:E60"/>
    <mergeCell ref="P73:T73"/>
    <mergeCell ref="P437:T437"/>
    <mergeCell ref="P315:T315"/>
    <mergeCell ref="P231:T231"/>
    <mergeCell ref="A432:O433"/>
    <mergeCell ref="D423:E423"/>
    <mergeCell ref="P302:T302"/>
    <mergeCell ref="D174:E174"/>
    <mergeCell ref="P82:V82"/>
    <mergeCell ref="P338:V338"/>
    <mergeCell ref="A138:Z138"/>
    <mergeCell ref="A419:Z41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4 X56 X60 X79 X85:X87 X91 X93:X94 X99:X101 X106 X112 X114 X124:X125 X130 X163:X164 X168 X186 X195:X200 X202 X206:X209 X211:X214 X232 X254 X256 X272:X273 X298 X307 X315 X322:X323 X335:X336 X342:X344 X352 X367 X372 X377:X378 X387 X421 X423:X424 X426 X435 X437 X441:X443 X460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ai57I0qyl3NU9xU6W9fvpzPqiYM3RzYA9l/zekjC704yffVkUfJ431EvWCl8S1TE2Fn8CpRYIjNZoV3KJ6O/1w==" saltValue="uz1nQfykUEKLwYQ5X/8OY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2025-11-28T08:12:56Z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