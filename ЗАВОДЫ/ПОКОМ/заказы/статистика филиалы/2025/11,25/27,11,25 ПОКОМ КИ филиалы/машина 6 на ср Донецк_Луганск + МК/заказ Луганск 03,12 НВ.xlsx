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3D64E76-73A2-43D2-A6CD-1AB3095DF46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S499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9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0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2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4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499" i="1" s="1"/>
  <c r="P289" i="1"/>
  <c r="X286" i="1"/>
  <c r="X285" i="1"/>
  <c r="BO284" i="1"/>
  <c r="BM284" i="1"/>
  <c r="Y284" i="1"/>
  <c r="BP284" i="1" s="1"/>
  <c r="P284" i="1"/>
  <c r="BP283" i="1"/>
  <c r="BO283" i="1"/>
  <c r="BN283" i="1"/>
  <c r="BM283" i="1"/>
  <c r="Z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9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9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Y234" i="1" s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1" i="1" s="1"/>
  <c r="P161" i="1"/>
  <c r="X159" i="1"/>
  <c r="X158" i="1"/>
  <c r="BO157" i="1"/>
  <c r="BM157" i="1"/>
  <c r="Y157" i="1"/>
  <c r="I499" i="1" s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3" i="1"/>
  <c r="Y159" i="1"/>
  <c r="Y172" i="1"/>
  <c r="Y178" i="1"/>
  <c r="Y182" i="1"/>
  <c r="Y187" i="1"/>
  <c r="Y193" i="1"/>
  <c r="Y203" i="1"/>
  <c r="BP213" i="1"/>
  <c r="BN213" i="1"/>
  <c r="Z213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Y259" i="1"/>
  <c r="BP264" i="1"/>
  <c r="BN264" i="1"/>
  <c r="Z264" i="1"/>
  <c r="Z267" i="1" s="1"/>
  <c r="Y268" i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Z148" i="1" s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Z215" i="1" s="1"/>
  <c r="BN207" i="1"/>
  <c r="Z209" i="1"/>
  <c r="BN209" i="1"/>
  <c r="Z211" i="1"/>
  <c r="BN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Y275" i="1"/>
  <c r="Y280" i="1"/>
  <c r="Y286" i="1"/>
  <c r="Y295" i="1"/>
  <c r="Y305" i="1"/>
  <c r="Y311" i="1"/>
  <c r="Y317" i="1"/>
  <c r="Y325" i="1"/>
  <c r="Y331" i="1"/>
  <c r="Y338" i="1"/>
  <c r="Y350" i="1"/>
  <c r="Y354" i="1"/>
  <c r="BP378" i="1"/>
  <c r="BN378" i="1"/>
  <c r="Z378" i="1"/>
  <c r="Z380" i="1" s="1"/>
  <c r="BP387" i="1"/>
  <c r="BN387" i="1"/>
  <c r="Z387" i="1"/>
  <c r="BP391" i="1"/>
  <c r="BN391" i="1"/>
  <c r="Z391" i="1"/>
  <c r="BP408" i="1"/>
  <c r="BN408" i="1"/>
  <c r="Z408" i="1"/>
  <c r="Z411" i="1" s="1"/>
  <c r="BP423" i="1"/>
  <c r="BN423" i="1"/>
  <c r="Z423" i="1"/>
  <c r="BP459" i="1"/>
  <c r="BN459" i="1"/>
  <c r="Z459" i="1"/>
  <c r="Y463" i="1"/>
  <c r="BP467" i="1"/>
  <c r="BN467" i="1"/>
  <c r="Z467" i="1"/>
  <c r="Y469" i="1"/>
  <c r="Y474" i="1"/>
  <c r="BP471" i="1"/>
  <c r="BN471" i="1"/>
  <c r="Z471" i="1"/>
  <c r="Z473" i="1" s="1"/>
  <c r="Y473" i="1"/>
  <c r="L499" i="1"/>
  <c r="U499" i="1"/>
  <c r="M499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Z284" i="1"/>
  <c r="Z285" i="1" s="1"/>
  <c r="BN284" i="1"/>
  <c r="Z289" i="1"/>
  <c r="BN289" i="1"/>
  <c r="BP289" i="1"/>
  <c r="Z291" i="1"/>
  <c r="BN291" i="1"/>
  <c r="Z293" i="1"/>
  <c r="BN293" i="1"/>
  <c r="Y294" i="1"/>
  <c r="Z297" i="1"/>
  <c r="BN297" i="1"/>
  <c r="BP297" i="1"/>
  <c r="Z299" i="1"/>
  <c r="BN299" i="1"/>
  <c r="Z301" i="1"/>
  <c r="BN301" i="1"/>
  <c r="Z303" i="1"/>
  <c r="BN303" i="1"/>
  <c r="Z307" i="1"/>
  <c r="Z311" i="1" s="1"/>
  <c r="BN307" i="1"/>
  <c r="BP307" i="1"/>
  <c r="Z309" i="1"/>
  <c r="BN309" i="1"/>
  <c r="Z315" i="1"/>
  <c r="Z317" i="1" s="1"/>
  <c r="BN315" i="1"/>
  <c r="Z321" i="1"/>
  <c r="Z324" i="1" s="1"/>
  <c r="BN321" i="1"/>
  <c r="Z323" i="1"/>
  <c r="BN323" i="1"/>
  <c r="Z327" i="1"/>
  <c r="BN327" i="1"/>
  <c r="BP327" i="1"/>
  <c r="Z329" i="1"/>
  <c r="BN329" i="1"/>
  <c r="Z334" i="1"/>
  <c r="Z337" i="1" s="1"/>
  <c r="BN334" i="1"/>
  <c r="BP334" i="1"/>
  <c r="Z336" i="1"/>
  <c r="BN336" i="1"/>
  <c r="Y337" i="1"/>
  <c r="Z342" i="1"/>
  <c r="Z349" i="1" s="1"/>
  <c r="BN342" i="1"/>
  <c r="BP342" i="1"/>
  <c r="Z344" i="1"/>
  <c r="BN344" i="1"/>
  <c r="Z346" i="1"/>
  <c r="BN346" i="1"/>
  <c r="Z348" i="1"/>
  <c r="BN348" i="1"/>
  <c r="Y349" i="1"/>
  <c r="Z352" i="1"/>
  <c r="Z354" i="1" s="1"/>
  <c r="BN352" i="1"/>
  <c r="BP352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34" i="1" l="1"/>
  <c r="Y491" i="1"/>
  <c r="Y489" i="1"/>
  <c r="Z447" i="1"/>
  <c r="Z432" i="1"/>
  <c r="Z394" i="1"/>
  <c r="Z330" i="1"/>
  <c r="Z304" i="1"/>
  <c r="Z294" i="1"/>
  <c r="Z274" i="1"/>
  <c r="Z203" i="1"/>
  <c r="Z177" i="1"/>
  <c r="Z57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<sst xmlns="http://schemas.openxmlformats.org/spreadsheetml/2006/main" count="2252" uniqueCount="762">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</sst>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297</v>
      </c>
      <c r="Y40" s="542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308.27500000000003</v>
      </c>
      <c r="BN40" s="64">
        <f>IFERROR(Y40*I40/H40,"0")</f>
        <v>313.88</v>
      </c>
      <c r="BO40" s="64">
        <f>IFERROR(1/J40*(X40/H40),"0")</f>
        <v>0.42968749999999994</v>
      </c>
      <c r="BP40" s="64">
        <f>IFERROR(1/J40*(Y40/H40),"0")</f>
        <v>0.4375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72</v>
      </c>
      <c r="Y42" s="542">
        <f>IFERROR(IF(X42="",0,CEILING((X42/$H42),1)*$H42),"")</f>
        <v>74</v>
      </c>
      <c r="Z42" s="36">
        <f>IFERROR(IF(Y42=0,"",ROUNDUP(Y42/H42,0)*0.00902),"")</f>
        <v>0.1804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75.697297297297283</v>
      </c>
      <c r="BN42" s="64">
        <f>IFERROR(Y42*I42/H42,"0")</f>
        <v>77.8</v>
      </c>
      <c r="BO42" s="64">
        <f>IFERROR(1/J42*(X42/H42),"0")</f>
        <v>0.14742014742014742</v>
      </c>
      <c r="BP42" s="64">
        <f>IFERROR(1/J42*(Y42/H42),"0")</f>
        <v>0.15151515151515152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46.959459459459453</v>
      </c>
      <c r="Y43" s="543">
        <f>IFERROR(Y40/H40,"0")+IFERROR(Y41/H41,"0")+IFERROR(Y42/H42,"0")</f>
        <v>48</v>
      </c>
      <c r="Z43" s="543">
        <f>IFERROR(IF(Z40="",0,Z40),"0")+IFERROR(IF(Z41="",0,Z41),"0")+IFERROR(IF(Z42="",0,Z42),"0")</f>
        <v>0.71184000000000003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369</v>
      </c>
      <c r="Y44" s="543">
        <f>IFERROR(SUM(Y40:Y42),"0")</f>
        <v>376.40000000000003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84</v>
      </c>
      <c r="Y51" s="542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87.075000000000003</v>
      </c>
      <c r="BN51" s="64">
        <f t="shared" ref="BN51:BN56" si="2">IFERROR(Y51*I51/H51,"0")</f>
        <v>92.88</v>
      </c>
      <c r="BO51" s="64">
        <f t="shared" ref="BO51:BO56" si="3">IFERROR(1/J51*(X51/H51),"0")</f>
        <v>0.11718750000000001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130</v>
      </c>
      <c r="Y52" s="542">
        <f t="shared" si="0"/>
        <v>140.4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134.93518518518519</v>
      </c>
      <c r="BN52" s="64">
        <f t="shared" si="2"/>
        <v>145.73000000000002</v>
      </c>
      <c r="BO52" s="64">
        <f t="shared" si="3"/>
        <v>0.18807870370370369</v>
      </c>
      <c r="BP52" s="64">
        <f t="shared" si="4"/>
        <v>0.203125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19.537037037037038</v>
      </c>
      <c r="Y57" s="543">
        <f>IFERROR(Y51/H51,"0")+IFERROR(Y52/H52,"0")+IFERROR(Y53/H53,"0")+IFERROR(Y54/H54,"0")+IFERROR(Y55/H55,"0")+IFERROR(Y56/H56,"0")</f>
        <v>21</v>
      </c>
      <c r="Z57" s="543">
        <f>IFERROR(IF(Z51="",0,Z51),"0")+IFERROR(IF(Z52="",0,Z52),"0")+IFERROR(IF(Z53="",0,Z53),"0")+IFERROR(IF(Z54="",0,Z54),"0")+IFERROR(IF(Z55="",0,Z55),"0")+IFERROR(IF(Z56="",0,Z56),"0")</f>
        <v>0.39858000000000005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214</v>
      </c>
      <c r="Y58" s="543">
        <f>IFERROR(SUM(Y51:Y56),"0")</f>
        <v>230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142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147.39074074074074</v>
      </c>
      <c r="BN60" s="64">
        <f>IFERROR(Y60*I60/H60,"0")</f>
        <v>156.94</v>
      </c>
      <c r="BO60" s="64">
        <f>IFERROR(1/J60*(X60/H60),"0")</f>
        <v>0.2054398148148148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13.148148148148147</v>
      </c>
      <c r="Y63" s="543">
        <f>IFERROR(Y60/H60,"0")+IFERROR(Y61/H61,"0")+IFERROR(Y62/H62,"0")</f>
        <v>14</v>
      </c>
      <c r="Z63" s="543">
        <f>IFERROR(IF(Z60="",0,Z60),"0")+IFERROR(IF(Z61="",0,Z61),"0")+IFERROR(IF(Z62="",0,Z62),"0")</f>
        <v>0.26572000000000001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142</v>
      </c>
      <c r="Y64" s="543">
        <f>IFERROR(SUM(Y60:Y62),"0")</f>
        <v>151.20000000000002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227</v>
      </c>
      <c r="Y85" s="542">
        <f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235.61759259259259</v>
      </c>
      <c r="BN85" s="64">
        <f>IFERROR(Y85*I85/H85,"0")</f>
        <v>246.62000000000003</v>
      </c>
      <c r="BO85" s="64">
        <f>IFERROR(1/J85*(X85/H85),"0")</f>
        <v>0.3284143518518518</v>
      </c>
      <c r="BP85" s="64">
        <f>IFERROR(1/J85*(Y85/H85),"0")</f>
        <v>0.34375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114</v>
      </c>
      <c r="Y87" s="542">
        <f>IFERROR(IF(X87="",0,CEILING((X87/$H87),1)*$H87),"")</f>
        <v>117</v>
      </c>
      <c r="Z87" s="36">
        <f>IFERROR(IF(Y87=0,"",ROUNDUP(Y87/H87,0)*0.00902),"")</f>
        <v>0.23452000000000001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118.81333333333335</v>
      </c>
      <c r="BN87" s="64">
        <f>IFERROR(Y87*I87/H87,"0")</f>
        <v>121.94</v>
      </c>
      <c r="BO87" s="64">
        <f>IFERROR(1/J87*(X87/H87),"0")</f>
        <v>0.19191919191919191</v>
      </c>
      <c r="BP87" s="64">
        <f>IFERROR(1/J87*(Y87/H87),"0")</f>
        <v>0.19696969696969696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46.351851851851848</v>
      </c>
      <c r="Y88" s="543">
        <f>IFERROR(Y85/H85,"0")+IFERROR(Y86/H86,"0")+IFERROR(Y87/H87,"0")</f>
        <v>48</v>
      </c>
      <c r="Z88" s="543">
        <f>IFERROR(IF(Z85="",0,Z85),"0")+IFERROR(IF(Z86="",0,Z86),"0")+IFERROR(IF(Z87="",0,Z87),"0")</f>
        <v>0.65207999999999999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341</v>
      </c>
      <c r="Y89" s="543">
        <f>IFERROR(SUM(Y85:Y87),"0")</f>
        <v>354.6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103</v>
      </c>
      <c r="Y91" s="542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109.28172839506172</v>
      </c>
      <c r="BN91" s="64">
        <f>IFERROR(Y91*I91/H91,"0")</f>
        <v>111.72199999999999</v>
      </c>
      <c r="BO91" s="64">
        <f>IFERROR(1/J91*(X91/H91),"0")</f>
        <v>0.19868827160493829</v>
      </c>
      <c r="BP91" s="64">
        <f>IFERROR(1/J91*(Y91/H91),"0")</f>
        <v>0.203125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67</v>
      </c>
      <c r="Y93" s="542">
        <f>IFERROR(IF(X93="",0,CEILING((X93/$H93),1)*$H93),"")</f>
        <v>67.5</v>
      </c>
      <c r="Z93" s="36">
        <f>IFERROR(IF(Y93=0,"",ROUNDUP(Y93/H93,0)*0.00651),"")</f>
        <v>0.16275000000000001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73.25333333333333</v>
      </c>
      <c r="BN93" s="64">
        <f>IFERROR(Y93*I93/H93,"0")</f>
        <v>73.8</v>
      </c>
      <c r="BO93" s="64">
        <f>IFERROR(1/J93*(X93/H93),"0")</f>
        <v>0.13634513634513634</v>
      </c>
      <c r="BP93" s="64">
        <f>IFERROR(1/J93*(Y93/H93),"0")</f>
        <v>0.13736263736263737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37.53086419753086</v>
      </c>
      <c r="Y95" s="543">
        <f>IFERROR(Y91/H91,"0")+IFERROR(Y92/H92,"0")+IFERROR(Y93/H93,"0")+IFERROR(Y94/H94,"0")</f>
        <v>38</v>
      </c>
      <c r="Z95" s="543">
        <f>IFERROR(IF(Z91="",0,Z91),"0")+IFERROR(IF(Z92="",0,Z92),"0")+IFERROR(IF(Z93="",0,Z93),"0")+IFERROR(IF(Z94="",0,Z94),"0")</f>
        <v>0.40949000000000002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170</v>
      </c>
      <c r="Y96" s="543">
        <f>IFERROR(SUM(Y91:Y94),"0")</f>
        <v>172.8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243</v>
      </c>
      <c r="Y99" s="542">
        <f>IFERROR(IF(X99="",0,CEILING((X99/$H99),1)*$H99),"")</f>
        <v>248.4</v>
      </c>
      <c r="Z99" s="36">
        <f>IFERROR(IF(Y99=0,"",ROUNDUP(Y99/H99,0)*0.01898),"")</f>
        <v>0.43653999999999998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252.22499999999999</v>
      </c>
      <c r="BN99" s="64">
        <f>IFERROR(Y99*I99/H99,"0")</f>
        <v>257.83</v>
      </c>
      <c r="BO99" s="64">
        <f>IFERROR(1/J99*(X99/H99),"0")</f>
        <v>0.3515625</v>
      </c>
      <c r="BP99" s="64">
        <f>IFERROR(1/J99*(Y99/H99),"0")</f>
        <v>0.359375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76</v>
      </c>
      <c r="Y101" s="542">
        <f>IFERROR(IF(X101="",0,CEILING((X101/$H101),1)*$H101),"")</f>
        <v>76.5</v>
      </c>
      <c r="Z101" s="36">
        <f>IFERROR(IF(Y101=0,"",ROUNDUP(Y101/H101,0)*0.00902),"")</f>
        <v>0.15334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79.208888888888907</v>
      </c>
      <c r="BN101" s="64">
        <f>IFERROR(Y101*I101/H101,"0")</f>
        <v>79.73</v>
      </c>
      <c r="BO101" s="64">
        <f>IFERROR(1/J101*(X101/H101),"0")</f>
        <v>0.12794612794612795</v>
      </c>
      <c r="BP101" s="64">
        <f>IFERROR(1/J101*(Y101/H101),"0")</f>
        <v>0.12878787878787878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39.388888888888886</v>
      </c>
      <c r="Y103" s="543">
        <f>IFERROR(Y99/H99,"0")+IFERROR(Y100/H100,"0")+IFERROR(Y101/H101,"0")+IFERROR(Y102/H102,"0")</f>
        <v>40</v>
      </c>
      <c r="Z103" s="543">
        <f>IFERROR(IF(Z99="",0,Z99),"0")+IFERROR(IF(Z100="",0,Z100),"0")+IFERROR(IF(Z101="",0,Z101),"0")+IFERROR(IF(Z102="",0,Z102),"0")</f>
        <v>0.58987999999999996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319</v>
      </c>
      <c r="Y104" s="543">
        <f>IFERROR(SUM(Y99:Y102),"0")</f>
        <v>324.89999999999998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37</v>
      </c>
      <c r="Y108" s="542">
        <f>IFERROR(IF(X108="",0,CEILING((X108/$H108),1)*$H108),"")</f>
        <v>38.4</v>
      </c>
      <c r="Z108" s="36">
        <f>IFERROR(IF(Y108=0,"",ROUNDUP(Y108/H108,0)*0.00651),"")</f>
        <v>0.10416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39.775000000000006</v>
      </c>
      <c r="BN108" s="64">
        <f>IFERROR(Y108*I108/H108,"0")</f>
        <v>41.28</v>
      </c>
      <c r="BO108" s="64">
        <f>IFERROR(1/J108*(X108/H108),"0")</f>
        <v>8.4706959706959725E-2</v>
      </c>
      <c r="BP108" s="64">
        <f>IFERROR(1/J108*(Y108/H108),"0")</f>
        <v>8.7912087912087919E-2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15.416666666666668</v>
      </c>
      <c r="Y109" s="543">
        <f>IFERROR(Y106/H106,"0")+IFERROR(Y107/H107,"0")+IFERROR(Y108/H108,"0")</f>
        <v>16</v>
      </c>
      <c r="Z109" s="543">
        <f>IFERROR(IF(Z106="",0,Z106),"0")+IFERROR(IF(Z107="",0,Z107),"0")+IFERROR(IF(Z108="",0,Z108),"0")</f>
        <v>0.10416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37</v>
      </c>
      <c r="Y110" s="543">
        <f>IFERROR(SUM(Y106:Y108),"0")</f>
        <v>38.4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97</v>
      </c>
      <c r="Y112" s="542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102.84395061728395</v>
      </c>
      <c r="BN112" s="64">
        <f>IFERROR(Y112*I112/H112,"0")</f>
        <v>103.05599999999998</v>
      </c>
      <c r="BO112" s="64">
        <f>IFERROR(1/J112*(X112/H112),"0")</f>
        <v>0.1871141975308642</v>
      </c>
      <c r="BP112" s="64">
        <f>IFERROR(1/J112*(Y112/H112),"0")</f>
        <v>0.1875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128</v>
      </c>
      <c r="Y114" s="542">
        <f>IFERROR(IF(X114="",0,CEILING((X114/$H114),1)*$H114),"")</f>
        <v>129.60000000000002</v>
      </c>
      <c r="Z114" s="36">
        <f>IFERROR(IF(Y114=0,"",ROUNDUP(Y114/H114,0)*0.00651),"")</f>
        <v>0.31247999999999998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139.94666666666666</v>
      </c>
      <c r="BN114" s="64">
        <f>IFERROR(Y114*I114/H114,"0")</f>
        <v>141.69600000000003</v>
      </c>
      <c r="BO114" s="64">
        <f>IFERROR(1/J114*(X114/H114),"0")</f>
        <v>0.26048026048026046</v>
      </c>
      <c r="BP114" s="64">
        <f>IFERROR(1/J114*(Y114/H114),"0")</f>
        <v>0.2637362637362638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59.382716049382715</v>
      </c>
      <c r="Y116" s="543">
        <f>IFERROR(Y112/H112,"0")+IFERROR(Y113/H113,"0")+IFERROR(Y114/H114,"0")+IFERROR(Y115/H115,"0")</f>
        <v>60.000000000000007</v>
      </c>
      <c r="Z116" s="543">
        <f>IFERROR(IF(Z112="",0,Z112),"0")+IFERROR(IF(Z113="",0,Z113),"0")+IFERROR(IF(Z114="",0,Z114),"0")+IFERROR(IF(Z115="",0,Z115),"0")</f>
        <v>0.54024000000000005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127</v>
      </c>
      <c r="Y208" s="542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134.21126436781611</v>
      </c>
      <c r="BN208" s="64">
        <f t="shared" si="17"/>
        <v>137.91000000000003</v>
      </c>
      <c r="BO208" s="64">
        <f t="shared" si="18"/>
        <v>0.22808908045977014</v>
      </c>
      <c r="BP208" s="64">
        <f t="shared" si="19"/>
        <v>0.23437500000000003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327</v>
      </c>
      <c r="Y211" s="542">
        <f t="shared" si="15"/>
        <v>328.8</v>
      </c>
      <c r="Z211" s="36">
        <f t="shared" si="20"/>
        <v>0.89187000000000005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361.33500000000004</v>
      </c>
      <c r="BN211" s="64">
        <f t="shared" si="17"/>
        <v>363.32400000000001</v>
      </c>
      <c r="BO211" s="64">
        <f t="shared" si="18"/>
        <v>0.74862637362637363</v>
      </c>
      <c r="BP211" s="64">
        <f t="shared" si="19"/>
        <v>0.75274725274725285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181</v>
      </c>
      <c r="Y212" s="542">
        <f t="shared" si="15"/>
        <v>182.4</v>
      </c>
      <c r="Z212" s="36">
        <f t="shared" si="20"/>
        <v>0.49476000000000003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200.005</v>
      </c>
      <c r="BN212" s="64">
        <f t="shared" si="17"/>
        <v>201.55200000000002</v>
      </c>
      <c r="BO212" s="64">
        <f t="shared" si="18"/>
        <v>0.41437728937728946</v>
      </c>
      <c r="BP212" s="64">
        <f t="shared" si="19"/>
        <v>0.4175824175824176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226.26436781609198</v>
      </c>
      <c r="Y215" s="543">
        <f>IFERROR(Y206/H206,"0")+IFERROR(Y207/H207,"0")+IFERROR(Y208/H208,"0")+IFERROR(Y209/H209,"0")+IFERROR(Y210/H210,"0")+IFERROR(Y211/H211,"0")+IFERROR(Y212/H212,"0")+IFERROR(Y213/H213,"0")+IFERROR(Y214/H214,"0")</f>
        <v>228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1.6713300000000002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635</v>
      </c>
      <c r="Y216" s="543">
        <f>IFERROR(SUM(Y206:Y214),"0")</f>
        <v>641.70000000000005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40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</v>
      </c>
      <c r="BN273" s="64">
        <f>IFERROR(Y273*I273/H273,"0")</f>
        <v>43.86</v>
      </c>
      <c r="BO273" s="64">
        <f>IFERROR(1/J273*(X273/H273),"0")</f>
        <v>9.1575091575091583E-2</v>
      </c>
      <c r="BP273" s="64">
        <f>IFERROR(1/J273*(Y273/H273),"0")</f>
        <v>9.3406593406593408E-2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16.666666666666668</v>
      </c>
      <c r="Y274" s="543">
        <f>IFERROR(Y271/H271,"0")+IFERROR(Y272/H272,"0")+IFERROR(Y273/H273,"0")</f>
        <v>17</v>
      </c>
      <c r="Z274" s="543">
        <f>IFERROR(IF(Z271="",0,Z271),"0")+IFERROR(IF(Z272="",0,Z272),"0")+IFERROR(IF(Z273="",0,Z273),"0")</f>
        <v>0.11067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40</v>
      </c>
      <c r="Y275" s="543">
        <f>IFERROR(SUM(Y271:Y273),"0")</f>
        <v>40.799999999999997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10</v>
      </c>
      <c r="Y329" s="542">
        <f>IFERROR(IF(X329="",0,CEILING((X329/$H329),1)*$H329),"")</f>
        <v>10</v>
      </c>
      <c r="Z329" s="36">
        <f>IFERROR(IF(Y329=0,"",ROUNDUP(Y329/H329,0)*0.00474),"")</f>
        <v>2.3700000000000002E-2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11.200000000000001</v>
      </c>
      <c r="BN329" s="64">
        <f>IFERROR(Y329*I329/H329,"0")</f>
        <v>11.200000000000001</v>
      </c>
      <c r="BO329" s="64">
        <f>IFERROR(1/J329*(X329/H329),"0")</f>
        <v>2.1008403361344536E-2</v>
      </c>
      <c r="BP329" s="64">
        <f>IFERROR(1/J329*(Y329/H329),"0")</f>
        <v>2.1008403361344536E-2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5</v>
      </c>
      <c r="Y330" s="543">
        <f>IFERROR(Y327/H327,"0")+IFERROR(Y328/H328,"0")+IFERROR(Y329/H329,"0")</f>
        <v>5</v>
      </c>
      <c r="Z330" s="543">
        <f>IFERROR(IF(Z327="",0,Z327),"0")+IFERROR(IF(Z328="",0,Z328),"0")+IFERROR(IF(Z329="",0,Z329),"0")</f>
        <v>2.3700000000000002E-2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10</v>
      </c>
      <c r="Y331" s="543">
        <f>IFERROR(SUM(Y327:Y329),"0")</f>
        <v>10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629</v>
      </c>
      <c r="Y342" s="542">
        <f t="shared" ref="Y342:Y348" si="31">IFERROR(IF(X342="",0,CEILING((X342/$H342),1)*$H342),"")</f>
        <v>630</v>
      </c>
      <c r="Z342" s="36">
        <f>IFERROR(IF(Y342=0,"",ROUNDUP(Y342/H342,0)*0.02175),"")</f>
        <v>0.91349999999999998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648.70866666666677</v>
      </c>
      <c r="BN342" s="64">
        <f t="shared" ref="BN342:BN348" si="33">IFERROR(Y342*I342/H342,"0")</f>
        <v>649.74</v>
      </c>
      <c r="BO342" s="64">
        <f t="shared" ref="BO342:BO348" si="34">IFERROR(1/J342*(X342/H342),"0")</f>
        <v>0.87361111111111101</v>
      </c>
      <c r="BP342" s="64">
        <f t="shared" ref="BP342:BP348" si="35">IFERROR(1/J342*(Y342/H342),"0")</f>
        <v>0.875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388</v>
      </c>
      <c r="Y343" s="542">
        <f t="shared" si="31"/>
        <v>390</v>
      </c>
      <c r="Z343" s="36">
        <f>IFERROR(IF(Y343=0,"",ROUNDUP(Y343/H343,0)*0.02175),"")</f>
        <v>0.5655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400.15733333333338</v>
      </c>
      <c r="BN343" s="64">
        <f t="shared" si="33"/>
        <v>402.22</v>
      </c>
      <c r="BO343" s="64">
        <f t="shared" si="34"/>
        <v>0.53888888888888886</v>
      </c>
      <c r="BP343" s="64">
        <f t="shared" si="35"/>
        <v>0.54166666666666663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360</v>
      </c>
      <c r="Y344" s="542">
        <f t="shared" si="31"/>
        <v>360</v>
      </c>
      <c r="Z344" s="36">
        <f>IFERROR(IF(Y344=0,"",ROUNDUP(Y344/H344,0)*0.02175),"")</f>
        <v>0.52200000000000002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371.28</v>
      </c>
      <c r="BN344" s="64">
        <f t="shared" si="33"/>
        <v>371.28</v>
      </c>
      <c r="BO344" s="64">
        <f t="shared" si="34"/>
        <v>0.5</v>
      </c>
      <c r="BP344" s="64">
        <f t="shared" si="35"/>
        <v>0.5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416</v>
      </c>
      <c r="Y345" s="542">
        <f t="shared" si="31"/>
        <v>420</v>
      </c>
      <c r="Z345" s="36">
        <f>IFERROR(IF(Y345=0,"",ROUNDUP(Y345/H345,0)*0.02175),"")</f>
        <v>0.60899999999999999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429.03466666666668</v>
      </c>
      <c r="BN345" s="64">
        <f t="shared" si="33"/>
        <v>433.16</v>
      </c>
      <c r="BO345" s="64">
        <f t="shared" si="34"/>
        <v>0.57777777777777772</v>
      </c>
      <c r="BP345" s="64">
        <f t="shared" si="35"/>
        <v>0.58333333333333326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119.53333333333333</v>
      </c>
      <c r="Y349" s="543">
        <f>IFERROR(Y342/H342,"0")+IFERROR(Y343/H343,"0")+IFERROR(Y344/H344,"0")+IFERROR(Y345/H345,"0")+IFERROR(Y346/H346,"0")+IFERROR(Y347/H347,"0")+IFERROR(Y348/H348,"0")</f>
        <v>120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2.6100000000000003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1793</v>
      </c>
      <c r="Y350" s="543">
        <f>IFERROR(SUM(Y342:Y348),"0")</f>
        <v>1800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665</v>
      </c>
      <c r="Y352" s="542">
        <f>IFERROR(IF(X352="",0,CEILING((X352/$H352),1)*$H352),"")</f>
        <v>675</v>
      </c>
      <c r="Z352" s="36">
        <f>IFERROR(IF(Y352=0,"",ROUNDUP(Y352/H352,0)*0.02175),"")</f>
        <v>0.9787499999999999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685.8366666666667</v>
      </c>
      <c r="BN352" s="64">
        <f>IFERROR(Y352*I352/H352,"0")</f>
        <v>696.15</v>
      </c>
      <c r="BO352" s="64">
        <f>IFERROR(1/J352*(X352/H352),"0")</f>
        <v>0.92361111111111116</v>
      </c>
      <c r="BP352" s="64">
        <f>IFERROR(1/J352*(Y352/H352),"0")</f>
        <v>0.9375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44.333333333333336</v>
      </c>
      <c r="Y354" s="543">
        <f>IFERROR(Y352/H352,"0")+IFERROR(Y353/H353,"0")</f>
        <v>45</v>
      </c>
      <c r="Z354" s="543">
        <f>IFERROR(IF(Z352="",0,Z352),"0")+IFERROR(IF(Z353="",0,Z353),"0")</f>
        <v>0.9787499999999999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665</v>
      </c>
      <c r="Y355" s="543">
        <f>IFERROR(SUM(Y352:Y353),"0")</f>
        <v>675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229</v>
      </c>
      <c r="Y424" s="542">
        <f t="shared" si="42"/>
        <v>232.32000000000002</v>
      </c>
      <c r="Z424" s="36">
        <f t="shared" si="43"/>
        <v>0.52624000000000004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244.17992424242422</v>
      </c>
      <c r="BN424" s="64">
        <f t="shared" si="45"/>
        <v>247.72</v>
      </c>
      <c r="BO424" s="64">
        <f t="shared" si="46"/>
        <v>0.41703088578088576</v>
      </c>
      <c r="BP424" s="64">
        <f t="shared" si="47"/>
        <v>0.42307692307692313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439</v>
      </c>
      <c r="Y426" s="542">
        <f t="shared" si="42"/>
        <v>443.52000000000004</v>
      </c>
      <c r="Z426" s="36">
        <f t="shared" si="43"/>
        <v>1.00464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468.10037878787881</v>
      </c>
      <c r="BN426" s="64">
        <f t="shared" si="45"/>
        <v>472.92</v>
      </c>
      <c r="BO426" s="64">
        <f t="shared" si="46"/>
        <v>0.79946095571095577</v>
      </c>
      <c r="BP426" s="64">
        <f t="shared" si="47"/>
        <v>0.80769230769230771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126.5151515151515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128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1.53088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668</v>
      </c>
      <c r="Y433" s="543">
        <f>IFERROR(SUM(Y421:Y431),"0")</f>
        <v>675.84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214</v>
      </c>
      <c r="Y435" s="542">
        <f>IFERROR(IF(X435="",0,CEILING((X435/$H435),1)*$H435),"")</f>
        <v>216.48000000000002</v>
      </c>
      <c r="Z435" s="36">
        <f>IFERROR(IF(Y435=0,"",ROUNDUP(Y435/H435,0)*0.01196),"")</f>
        <v>0.49036000000000002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228.18560606060603</v>
      </c>
      <c r="BN435" s="64">
        <f>IFERROR(Y435*I435/H435,"0")</f>
        <v>230.83</v>
      </c>
      <c r="BO435" s="64">
        <f>IFERROR(1/J435*(X435/H435),"0")</f>
        <v>0.38971445221445222</v>
      </c>
      <c r="BP435" s="64">
        <f>IFERROR(1/J435*(Y435/H435),"0")</f>
        <v>0.39423076923076927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40.530303030303031</v>
      </c>
      <c r="Y438" s="543">
        <f>IFERROR(Y435/H435,"0")+IFERROR(Y436/H436,"0")+IFERROR(Y437/H437,"0")</f>
        <v>41</v>
      </c>
      <c r="Z438" s="543">
        <f>IFERROR(IF(Z435="",0,Z435),"0")+IFERROR(IF(Z436="",0,Z436),"0")+IFERROR(IF(Z437="",0,Z437),"0")</f>
        <v>0.49036000000000002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214</v>
      </c>
      <c r="Y439" s="543">
        <f>IFERROR(SUM(Y435:Y437),"0")</f>
        <v>216.48000000000002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177</v>
      </c>
      <c r="Y443" s="542">
        <f t="shared" si="48"/>
        <v>179.52</v>
      </c>
      <c r="Z443" s="36">
        <f>IFERROR(IF(Y443=0,"",ROUNDUP(Y443/H443,0)*0.01196),"")</f>
        <v>0.40664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188.73295454545453</v>
      </c>
      <c r="BN443" s="64">
        <f t="shared" si="50"/>
        <v>191.42000000000002</v>
      </c>
      <c r="BO443" s="64">
        <f t="shared" si="51"/>
        <v>0.32233391608391609</v>
      </c>
      <c r="BP443" s="64">
        <f t="shared" si="52"/>
        <v>0.32692307692307693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33.522727272727273</v>
      </c>
      <c r="Y447" s="543">
        <f>IFERROR(Y441/H441,"0")+IFERROR(Y442/H442,"0")+IFERROR(Y443/H443,"0")+IFERROR(Y444/H444,"0")+IFERROR(Y445/H445,"0")+IFERROR(Y446/H446,"0")</f>
        <v>34</v>
      </c>
      <c r="Z447" s="543">
        <f>IFERROR(IF(Z441="",0,Z441),"0")+IFERROR(IF(Z442="",0,Z442),"0")+IFERROR(IF(Z443="",0,Z443),"0")+IFERROR(IF(Z444="",0,Z444),"0")+IFERROR(IF(Z445="",0,Z445),"0")+IFERROR(IF(Z446="",0,Z446),"0")</f>
        <v>0.40664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177</v>
      </c>
      <c r="Y448" s="543">
        <f>IFERROR(SUM(Y441:Y446),"0")</f>
        <v>179.52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6019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6114.4400000000005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6318.3061783878975</v>
      </c>
      <c r="Y490" s="543">
        <f>IFERROR(SUM(BN22:BN486),"0")</f>
        <v>6418.19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6568.3061783878975</v>
      </c>
      <c r="Y492" s="543">
        <f>GrossWeightTotalR+PalletQtyTotalR*25</f>
        <v>6668.19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890.08151526657264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903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11.49432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376.40000000000003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381.20000000000005</v>
      </c>
      <c r="E499" s="46">
        <f>IFERROR(Y85*1,"0")+IFERROR(Y86*1,"0")+IFERROR(Y87*1,"0")+IFERROR(Y91*1,"0")+IFERROR(Y92*1,"0")+IFERROR(Y93*1,"0")+IFERROR(Y94*1,"0")</f>
        <v>527.40000000000009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590.09999999999991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641.70000000000005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40.799999999999997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2475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1071.8400000000001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2025-12-01T10:36:55Z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