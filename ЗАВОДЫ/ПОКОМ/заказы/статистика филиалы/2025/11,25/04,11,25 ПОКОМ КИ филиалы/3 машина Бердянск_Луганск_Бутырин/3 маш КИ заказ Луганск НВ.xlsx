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81FD2001-1D94-4289-B083-31A0736A3CF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BO321" i="1"/>
  <c r="BM321" i="1"/>
  <c r="Y321" i="1"/>
  <c r="P321" i="1"/>
  <c r="X319" i="1"/>
  <c r="X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Y221" i="1" s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Y204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Y178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Y179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Y173" i="1" s="1"/>
  <c r="P163" i="1"/>
  <c r="X161" i="1"/>
  <c r="Y160" i="1"/>
  <c r="X160" i="1"/>
  <c r="BP159" i="1"/>
  <c r="BO159" i="1"/>
  <c r="BN159" i="1"/>
  <c r="BM159" i="1"/>
  <c r="Z159" i="1"/>
  <c r="Z160" i="1" s="1"/>
  <c r="Y159" i="1"/>
  <c r="P159" i="1"/>
  <c r="X155" i="1"/>
  <c r="Y154" i="1"/>
  <c r="X154" i="1"/>
  <c r="BP153" i="1"/>
  <c r="BO153" i="1"/>
  <c r="BN153" i="1"/>
  <c r="BM153" i="1"/>
  <c r="Z153" i="1"/>
  <c r="Z154" i="1" s="1"/>
  <c r="Y153" i="1"/>
  <c r="Y155" i="1" s="1"/>
  <c r="X151" i="1"/>
  <c r="X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Y151" i="1" s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BO141" i="1"/>
  <c r="BM141" i="1"/>
  <c r="Y141" i="1"/>
  <c r="P141" i="1"/>
  <c r="X138" i="1"/>
  <c r="X137" i="1"/>
  <c r="BO136" i="1"/>
  <c r="BM136" i="1"/>
  <c r="Y136" i="1"/>
  <c r="P136" i="1"/>
  <c r="BP135" i="1"/>
  <c r="BO135" i="1"/>
  <c r="BN135" i="1"/>
  <c r="BM135" i="1"/>
  <c r="Z135" i="1"/>
  <c r="Y135" i="1"/>
  <c r="Y137" i="1" s="1"/>
  <c r="P135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Y132" i="1" s="1"/>
  <c r="P130" i="1"/>
  <c r="X128" i="1"/>
  <c r="X127" i="1"/>
  <c r="BO126" i="1"/>
  <c r="BM126" i="1"/>
  <c r="Y126" i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Y105" i="1" s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Y57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9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2" i="1" s="1"/>
  <c r="P26" i="1"/>
  <c r="X24" i="1"/>
  <c r="X489" i="1" s="1"/>
  <c r="X23" i="1"/>
  <c r="X493" i="1" s="1"/>
  <c r="BO22" i="1"/>
  <c r="X491" i="1" s="1"/>
  <c r="BM22" i="1"/>
  <c r="X490" i="1" s="1"/>
  <c r="X492" i="1" s="1"/>
  <c r="Y22" i="1"/>
  <c r="B499" i="1" s="1"/>
  <c r="P22" i="1"/>
  <c r="H10" i="1"/>
  <c r="A9" i="1"/>
  <c r="A10" i="1" s="1"/>
  <c r="D7" i="1"/>
  <c r="Q6" i="1"/>
  <c r="P2" i="1"/>
  <c r="F9" i="1" l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Z57" i="1" s="1"/>
  <c r="BN51" i="1"/>
  <c r="BP51" i="1"/>
  <c r="Z53" i="1"/>
  <c r="BN53" i="1"/>
  <c r="Z55" i="1"/>
  <c r="BN55" i="1"/>
  <c r="Y58" i="1"/>
  <c r="Z61" i="1"/>
  <c r="Z63" i="1" s="1"/>
  <c r="BN61" i="1"/>
  <c r="BP61" i="1"/>
  <c r="Z67" i="1"/>
  <c r="Z69" i="1" s="1"/>
  <c r="BN67" i="1"/>
  <c r="BP67" i="1"/>
  <c r="Y78" i="1"/>
  <c r="Z73" i="1"/>
  <c r="BN73" i="1"/>
  <c r="Z75" i="1"/>
  <c r="BN75" i="1"/>
  <c r="Y77" i="1"/>
  <c r="BP81" i="1"/>
  <c r="BN81" i="1"/>
  <c r="Z81" i="1"/>
  <c r="Z82" i="1" s="1"/>
  <c r="Y83" i="1"/>
  <c r="E499" i="1"/>
  <c r="Y89" i="1"/>
  <c r="BP86" i="1"/>
  <c r="BN86" i="1"/>
  <c r="Z86" i="1"/>
  <c r="BP94" i="1"/>
  <c r="BN94" i="1"/>
  <c r="Z94" i="1"/>
  <c r="BP103" i="1"/>
  <c r="BN103" i="1"/>
  <c r="Z103" i="1"/>
  <c r="Y110" i="1"/>
  <c r="BP107" i="1"/>
  <c r="BN107" i="1"/>
  <c r="Z107" i="1"/>
  <c r="BP115" i="1"/>
  <c r="BN115" i="1"/>
  <c r="Z115" i="1"/>
  <c r="BP136" i="1"/>
  <c r="BN136" i="1"/>
  <c r="Z136" i="1"/>
  <c r="Z137" i="1" s="1"/>
  <c r="Y138" i="1"/>
  <c r="H499" i="1"/>
  <c r="Y144" i="1"/>
  <c r="BP141" i="1"/>
  <c r="BN141" i="1"/>
  <c r="Z141" i="1"/>
  <c r="BP149" i="1"/>
  <c r="BN149" i="1"/>
  <c r="Z149" i="1"/>
  <c r="BP164" i="1"/>
  <c r="BN164" i="1"/>
  <c r="Z164" i="1"/>
  <c r="BP168" i="1"/>
  <c r="BN168" i="1"/>
  <c r="Z168" i="1"/>
  <c r="Y172" i="1"/>
  <c r="Z178" i="1"/>
  <c r="BP176" i="1"/>
  <c r="BN176" i="1"/>
  <c r="Z176" i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Z275" i="1" s="1"/>
  <c r="Y275" i="1"/>
  <c r="D499" i="1"/>
  <c r="H9" i="1"/>
  <c r="Y24" i="1"/>
  <c r="Y44" i="1"/>
  <c r="Z77" i="1"/>
  <c r="BP88" i="1"/>
  <c r="BN88" i="1"/>
  <c r="Z88" i="1"/>
  <c r="Y90" i="1"/>
  <c r="Y97" i="1"/>
  <c r="BP92" i="1"/>
  <c r="BN92" i="1"/>
  <c r="Z92" i="1"/>
  <c r="Z96" i="1" s="1"/>
  <c r="Y96" i="1"/>
  <c r="BP101" i="1"/>
  <c r="BN101" i="1"/>
  <c r="Z101" i="1"/>
  <c r="Z104" i="1" s="1"/>
  <c r="BP109" i="1"/>
  <c r="BN109" i="1"/>
  <c r="Z109" i="1"/>
  <c r="Y111" i="1"/>
  <c r="Y118" i="1"/>
  <c r="BP113" i="1"/>
  <c r="BN113" i="1"/>
  <c r="Z113" i="1"/>
  <c r="Z117" i="1" s="1"/>
  <c r="Y117" i="1"/>
  <c r="BP126" i="1"/>
  <c r="BN126" i="1"/>
  <c r="Z126" i="1"/>
  <c r="Z127" i="1" s="1"/>
  <c r="Y128" i="1"/>
  <c r="Y133" i="1"/>
  <c r="BP130" i="1"/>
  <c r="BN130" i="1"/>
  <c r="Z130" i="1"/>
  <c r="Z132" i="1" s="1"/>
  <c r="BP143" i="1"/>
  <c r="BN143" i="1"/>
  <c r="Z143" i="1"/>
  <c r="Y145" i="1"/>
  <c r="Y150" i="1"/>
  <c r="BP147" i="1"/>
  <c r="BN147" i="1"/>
  <c r="Z147" i="1"/>
  <c r="Z150" i="1" s="1"/>
  <c r="BP166" i="1"/>
  <c r="BN166" i="1"/>
  <c r="Z166" i="1"/>
  <c r="Z172" i="1" s="1"/>
  <c r="BP170" i="1"/>
  <c r="BN170" i="1"/>
  <c r="Z170" i="1"/>
  <c r="BP187" i="1"/>
  <c r="BN187" i="1"/>
  <c r="Z187" i="1"/>
  <c r="Z188" i="1" s="1"/>
  <c r="Y189" i="1"/>
  <c r="Y194" i="1"/>
  <c r="BP191" i="1"/>
  <c r="BN191" i="1"/>
  <c r="Z191" i="1"/>
  <c r="Z193" i="1" s="1"/>
  <c r="BP199" i="1"/>
  <c r="BN199" i="1"/>
  <c r="Z199" i="1"/>
  <c r="BP203" i="1"/>
  <c r="BN203" i="1"/>
  <c r="Z203" i="1"/>
  <c r="Y205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BN219" i="1"/>
  <c r="Z219" i="1"/>
  <c r="Z221" i="1" s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BP311" i="1"/>
  <c r="BN311" i="1"/>
  <c r="Z311" i="1"/>
  <c r="Y313" i="1"/>
  <c r="Y318" i="1"/>
  <c r="BP315" i="1"/>
  <c r="BN315" i="1"/>
  <c r="Z315" i="1"/>
  <c r="Y319" i="1"/>
  <c r="BP322" i="1"/>
  <c r="BN322" i="1"/>
  <c r="Z322" i="1"/>
  <c r="BP330" i="1"/>
  <c r="BN330" i="1"/>
  <c r="Z330" i="1"/>
  <c r="Y332" i="1"/>
  <c r="R499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4" i="1"/>
  <c r="G499" i="1"/>
  <c r="Y127" i="1"/>
  <c r="I499" i="1"/>
  <c r="Y161" i="1"/>
  <c r="J499" i="1"/>
  <c r="Y188" i="1"/>
  <c r="K499" i="1"/>
  <c r="Y235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Y28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BP301" i="1"/>
  <c r="BN301" i="1"/>
  <c r="Z301" i="1"/>
  <c r="BP309" i="1"/>
  <c r="BN309" i="1"/>
  <c r="Z309" i="1"/>
  <c r="BP317" i="1"/>
  <c r="BN317" i="1"/>
  <c r="Z317" i="1"/>
  <c r="Y325" i="1"/>
  <c r="BP321" i="1"/>
  <c r="BN321" i="1"/>
  <c r="Z321" i="1"/>
  <c r="Z325" i="1" s="1"/>
  <c r="BP324" i="1"/>
  <c r="BN324" i="1"/>
  <c r="Z324" i="1"/>
  <c r="Y326" i="1"/>
  <c r="Y331" i="1"/>
  <c r="BP328" i="1"/>
  <c r="BN328" i="1"/>
  <c r="Z328" i="1"/>
  <c r="Z331" i="1" s="1"/>
  <c r="BP337" i="1"/>
  <c r="BN337" i="1"/>
  <c r="Z337" i="1"/>
  <c r="S499" i="1"/>
  <c r="Y350" i="1"/>
  <c r="BP343" i="1"/>
  <c r="BN343" i="1"/>
  <c r="Z343" i="1"/>
  <c r="Z350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O499" i="1"/>
  <c r="Y276" i="1"/>
  <c r="P499" i="1"/>
  <c r="Y281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47" i="1" l="1"/>
  <c r="Z432" i="1"/>
  <c r="Z338" i="1"/>
  <c r="Z216" i="1"/>
  <c r="Y489" i="1"/>
  <c r="Z204" i="1"/>
  <c r="Z144" i="1"/>
  <c r="Z110" i="1"/>
  <c r="Z89" i="1"/>
  <c r="Z43" i="1"/>
  <c r="Z31" i="1"/>
  <c r="Y491" i="1"/>
  <c r="Z394" i="1"/>
  <c r="Z304" i="1"/>
  <c r="Z294" i="1"/>
  <c r="Z318" i="1"/>
  <c r="Z312" i="1"/>
  <c r="Z268" i="1"/>
  <c r="Z260" i="1"/>
  <c r="Z251" i="1"/>
  <c r="Z494" i="1" s="1"/>
  <c r="Y493" i="1"/>
  <c r="Y490" i="1"/>
  <c r="Y492" i="1" s="1"/>
</calcChain>
</file>

<file path=xl/sharedStrings.xml><?xml version="1.0" encoding="utf-8"?>
<sst xmlns="http://schemas.openxmlformats.org/spreadsheetml/2006/main" count="2256" uniqueCount="763">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</sst>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3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2" t="s">
        <v>0</v>
      </c>
      <c r="E1" s="572"/>
      <c r="F1" s="572"/>
      <c r="G1" s="12" t="s">
        <v>1</v>
      </c>
      <c r="H1" s="612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1" t="s">
        <v>8</v>
      </c>
      <c r="B5" s="634"/>
      <c r="C5" s="635"/>
      <c r="D5" s="618"/>
      <c r="E5" s="619"/>
      <c r="F5" s="828" t="s">
        <v>9</v>
      </c>
      <c r="G5" s="635"/>
      <c r="H5" s="618"/>
      <c r="I5" s="771"/>
      <c r="J5" s="771"/>
      <c r="K5" s="771"/>
      <c r="L5" s="771"/>
      <c r="M5" s="619"/>
      <c r="N5" s="58"/>
      <c r="P5" s="24" t="s">
        <v>10</v>
      </c>
      <c r="Q5" s="841">
        <v>45964</v>
      </c>
      <c r="R5" s="660"/>
      <c r="T5" s="705" t="s">
        <v>11</v>
      </c>
      <c r="U5" s="706"/>
      <c r="V5" s="708" t="s">
        <v>12</v>
      </c>
      <c r="W5" s="660"/>
      <c r="AB5" s="51"/>
      <c r="AC5" s="51"/>
      <c r="AD5" s="51"/>
      <c r="AE5" s="51"/>
    </row>
    <row r="6" spans="1:32" s="535" customFormat="1" ht="24" customHeight="1" x14ac:dyDescent="0.2">
      <c r="A6" s="661" t="s">
        <v>13</v>
      </c>
      <c r="B6" s="634"/>
      <c r="C6" s="635"/>
      <c r="D6" s="773" t="s">
        <v>14</v>
      </c>
      <c r="E6" s="774"/>
      <c r="F6" s="774"/>
      <c r="G6" s="774"/>
      <c r="H6" s="774"/>
      <c r="I6" s="774"/>
      <c r="J6" s="774"/>
      <c r="K6" s="774"/>
      <c r="L6" s="774"/>
      <c r="M6" s="660"/>
      <c r="N6" s="59"/>
      <c r="P6" s="24" t="s">
        <v>15</v>
      </c>
      <c r="Q6" s="849" t="str">
        <f>IF(Q5=0," ",CHOOSE(WEEKDAY(Q5,2),"Понедельник","Вторник","Среда","Четверг","Пятница","Суббота","Воскресенье"))</f>
        <v>Понедельник</v>
      </c>
      <c r="R6" s="546"/>
      <c r="T6" s="714" t="s">
        <v>16</v>
      </c>
      <c r="U6" s="706"/>
      <c r="V6" s="757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4"/>
      <c r="U7" s="706"/>
      <c r="V7" s="758"/>
      <c r="W7" s="759"/>
      <c r="AB7" s="51"/>
      <c r="AC7" s="51"/>
      <c r="AD7" s="51"/>
      <c r="AE7" s="51"/>
    </row>
    <row r="8" spans="1:32" s="535" customFormat="1" ht="25.5" customHeight="1" x14ac:dyDescent="0.2">
      <c r="A8" s="862" t="s">
        <v>18</v>
      </c>
      <c r="B8" s="562"/>
      <c r="C8" s="563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0">
        <v>0.41666666666666669</v>
      </c>
      <c r="R8" s="599"/>
      <c r="T8" s="554"/>
      <c r="U8" s="706"/>
      <c r="V8" s="758"/>
      <c r="W8" s="759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0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3"/>
      <c r="P9" s="26" t="s">
        <v>21</v>
      </c>
      <c r="Q9" s="657"/>
      <c r="R9" s="658"/>
      <c r="T9" s="554"/>
      <c r="U9" s="706"/>
      <c r="V9" s="760"/>
      <c r="W9" s="761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0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1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5"/>
      <c r="R10" s="716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9"/>
      <c r="R11" s="660"/>
      <c r="U11" s="24" t="s">
        <v>27</v>
      </c>
      <c r="V11" s="795" t="s">
        <v>28</v>
      </c>
      <c r="W11" s="658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2"/>
      <c r="P12" s="24" t="s">
        <v>30</v>
      </c>
      <c r="Q12" s="670"/>
      <c r="R12" s="599"/>
      <c r="S12" s="23"/>
      <c r="U12" s="24"/>
      <c r="V12" s="572"/>
      <c r="W12" s="554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62"/>
      <c r="O13" s="26"/>
      <c r="P13" s="26" t="s">
        <v>32</v>
      </c>
      <c r="Q13" s="795"/>
      <c r="R13" s="65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9" t="s">
        <v>34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63"/>
      <c r="P15" s="691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6" t="s">
        <v>38</v>
      </c>
      <c r="D17" s="581" t="s">
        <v>39</v>
      </c>
      <c r="E17" s="645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44"/>
      <c r="R17" s="644"/>
      <c r="S17" s="644"/>
      <c r="T17" s="645"/>
      <c r="U17" s="857" t="s">
        <v>51</v>
      </c>
      <c r="V17" s="635"/>
      <c r="W17" s="581" t="s">
        <v>52</v>
      </c>
      <c r="X17" s="581" t="s">
        <v>53</v>
      </c>
      <c r="Y17" s="860" t="s">
        <v>54</v>
      </c>
      <c r="Z17" s="769" t="s">
        <v>55</v>
      </c>
      <c r="AA17" s="749" t="s">
        <v>56</v>
      </c>
      <c r="AB17" s="749" t="s">
        <v>57</v>
      </c>
      <c r="AC17" s="749" t="s">
        <v>58</v>
      </c>
      <c r="AD17" s="749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46"/>
      <c r="E18" s="648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6"/>
      <c r="Q18" s="647"/>
      <c r="R18" s="647"/>
      <c r="S18" s="647"/>
      <c r="T18" s="648"/>
      <c r="U18" s="67" t="s">
        <v>61</v>
      </c>
      <c r="V18" s="67" t="s">
        <v>62</v>
      </c>
      <c r="W18" s="582"/>
      <c r="X18" s="582"/>
      <c r="Y18" s="861"/>
      <c r="Z18" s="770"/>
      <c r="AA18" s="750"/>
      <c r="AB18" s="750"/>
      <c r="AC18" s="750"/>
      <c r="AD18" s="825"/>
      <c r="AE18" s="826"/>
      <c r="AF18" s="827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58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customHeight="1" x14ac:dyDescent="0.25">
      <c r="A21" s="557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1" t="s">
        <v>71</v>
      </c>
      <c r="Q23" s="562"/>
      <c r="R23" s="562"/>
      <c r="S23" s="562"/>
      <c r="T23" s="562"/>
      <c r="U23" s="562"/>
      <c r="V23" s="563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1" t="s">
        <v>71</v>
      </c>
      <c r="Q24" s="562"/>
      <c r="R24" s="562"/>
      <c r="S24" s="562"/>
      <c r="T24" s="562"/>
      <c r="U24" s="562"/>
      <c r="V24" s="563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7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1" t="s">
        <v>71</v>
      </c>
      <c r="Q31" s="562"/>
      <c r="R31" s="562"/>
      <c r="S31" s="562"/>
      <c r="T31" s="562"/>
      <c r="U31" s="562"/>
      <c r="V31" s="563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1" t="s">
        <v>71</v>
      </c>
      <c r="Q32" s="562"/>
      <c r="R32" s="562"/>
      <c r="S32" s="562"/>
      <c r="T32" s="562"/>
      <c r="U32" s="562"/>
      <c r="V32" s="563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7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1" t="s">
        <v>71</v>
      </c>
      <c r="Q35" s="562"/>
      <c r="R35" s="562"/>
      <c r="S35" s="562"/>
      <c r="T35" s="562"/>
      <c r="U35" s="562"/>
      <c r="V35" s="563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1" t="s">
        <v>71</v>
      </c>
      <c r="Q36" s="562"/>
      <c r="R36" s="562"/>
      <c r="S36" s="562"/>
      <c r="T36" s="562"/>
      <c r="U36" s="562"/>
      <c r="V36" s="563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58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customHeight="1" x14ac:dyDescent="0.25">
      <c r="A39" s="557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11.234999999999999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467</v>
      </c>
      <c r="Y40" s="542">
        <f>IFERROR(IF(X40="",0,CEILING((X40/$H40),1)*$H40),"")</f>
        <v>475.20000000000005</v>
      </c>
      <c r="Z40" s="36">
        <f>IFERROR(IF(Y40=0,"",ROUNDUP(Y40/H40,0)*0.01898),"")</f>
        <v>0.83511999999999997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485.80972222222221</v>
      </c>
      <c r="BN40" s="64">
        <f>IFERROR(Y40*I40/H40,"0")</f>
        <v>494.34</v>
      </c>
      <c r="BO40" s="64">
        <f>IFERROR(1/J40*(X40/H40),"0")</f>
        <v>0.67563657407407407</v>
      </c>
      <c r="BP40" s="64">
        <f>IFERROR(1/J40*(Y40/H40),"0")</f>
        <v>0.6875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4.21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3.91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104</v>
      </c>
      <c r="Y42" s="542">
        <f>IFERROR(IF(X42="",0,CEILING((X42/$H42),1)*$H42),"")</f>
        <v>107.30000000000001</v>
      </c>
      <c r="Z42" s="36">
        <f>IFERROR(IF(Y42=0,"",ROUNDUP(Y42/H42,0)*0.00902),"")</f>
        <v>0.26158000000000003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109.9027027027027</v>
      </c>
      <c r="BN42" s="64">
        <f>IFERROR(Y42*I42/H42,"0")</f>
        <v>113.39000000000001</v>
      </c>
      <c r="BO42" s="64">
        <f>IFERROR(1/J42*(X42/H42),"0")</f>
        <v>0.21294021294021293</v>
      </c>
      <c r="BP42" s="64">
        <f>IFERROR(1/J42*(Y42/H42),"0")</f>
        <v>0.2196969696969697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1" t="s">
        <v>71</v>
      </c>
      <c r="Q43" s="562"/>
      <c r="R43" s="562"/>
      <c r="S43" s="562"/>
      <c r="T43" s="562"/>
      <c r="U43" s="562"/>
      <c r="V43" s="563"/>
      <c r="W43" s="37" t="s">
        <v>72</v>
      </c>
      <c r="X43" s="543">
        <f>IFERROR(X40/H40,"0")+IFERROR(X41/H41,"0")+IFERROR(X42/H42,"0")</f>
        <v>71.348848848848846</v>
      </c>
      <c r="Y43" s="543">
        <f>IFERROR(Y40/H40,"0")+IFERROR(Y41/H41,"0")+IFERROR(Y42/H42,"0")</f>
        <v>73</v>
      </c>
      <c r="Z43" s="543">
        <f>IFERROR(IF(Z40="",0,Z40),"0")+IFERROR(IF(Z41="",0,Z41),"0")+IFERROR(IF(Z42="",0,Z42),"0")</f>
        <v>1.0967</v>
      </c>
      <c r="AA43" s="544"/>
      <c r="AB43" s="544"/>
      <c r="AC43" s="544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1" t="s">
        <v>71</v>
      </c>
      <c r="Q44" s="562"/>
      <c r="R44" s="562"/>
      <c r="S44" s="562"/>
      <c r="T44" s="562"/>
      <c r="U44" s="562"/>
      <c r="V44" s="563"/>
      <c r="W44" s="37" t="s">
        <v>69</v>
      </c>
      <c r="X44" s="543">
        <f>IFERROR(SUM(X40:X42),"0")</f>
        <v>571</v>
      </c>
      <c r="Y44" s="543">
        <f>IFERROR(SUM(Y40:Y42),"0")</f>
        <v>582.5</v>
      </c>
      <c r="Z44" s="37"/>
      <c r="AA44" s="544"/>
      <c r="AB44" s="544"/>
      <c r="AC44" s="544"/>
    </row>
    <row r="45" spans="1:68" ht="14.25" customHeight="1" x14ac:dyDescent="0.25">
      <c r="A45" s="557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1" t="s">
        <v>71</v>
      </c>
      <c r="Q47" s="562"/>
      <c r="R47" s="562"/>
      <c r="S47" s="562"/>
      <c r="T47" s="562"/>
      <c r="U47" s="562"/>
      <c r="V47" s="563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1" t="s">
        <v>71</v>
      </c>
      <c r="Q48" s="562"/>
      <c r="R48" s="562"/>
      <c r="S48" s="562"/>
      <c r="T48" s="562"/>
      <c r="U48" s="562"/>
      <c r="V48" s="563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customHeight="1" x14ac:dyDescent="0.25">
      <c r="A50" s="557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11.635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2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11.234999999999999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107</v>
      </c>
      <c r="Y52" s="542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111.30972222222222</v>
      </c>
      <c r="BN52" s="64">
        <f t="shared" si="2"/>
        <v>112.34999999999998</v>
      </c>
      <c r="BO52" s="64">
        <f t="shared" si="3"/>
        <v>0.15480324074074073</v>
      </c>
      <c r="BP52" s="64">
        <f t="shared" si="4"/>
        <v>0.15625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5.01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4.21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4.71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1" t="s">
        <v>71</v>
      </c>
      <c r="Q57" s="562"/>
      <c r="R57" s="562"/>
      <c r="S57" s="562"/>
      <c r="T57" s="562"/>
      <c r="U57" s="562"/>
      <c r="V57" s="563"/>
      <c r="W57" s="37" t="s">
        <v>72</v>
      </c>
      <c r="X57" s="543">
        <f>IFERROR(X51/H51,"0")+IFERROR(X52/H52,"0")+IFERROR(X53/H53,"0")+IFERROR(X54/H54,"0")+IFERROR(X55/H55,"0")+IFERROR(X56/H56,"0")</f>
        <v>9.9074074074074066</v>
      </c>
      <c r="Y57" s="543">
        <f>IFERROR(Y51/H51,"0")+IFERROR(Y52/H52,"0")+IFERROR(Y53/H53,"0")+IFERROR(Y54/H54,"0")+IFERROR(Y55/H55,"0")+IFERROR(Y56/H56,"0")</f>
        <v>10</v>
      </c>
      <c r="Z57" s="543">
        <f>IFERROR(IF(Z51="",0,Z51),"0")+IFERROR(IF(Z52="",0,Z52),"0")+IFERROR(IF(Z53="",0,Z53),"0")+IFERROR(IF(Z54="",0,Z54),"0")+IFERROR(IF(Z55="",0,Z55),"0")+IFERROR(IF(Z56="",0,Z56),"0")</f>
        <v>0.1898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1" t="s">
        <v>71</v>
      </c>
      <c r="Q58" s="562"/>
      <c r="R58" s="562"/>
      <c r="S58" s="562"/>
      <c r="T58" s="562"/>
      <c r="U58" s="562"/>
      <c r="V58" s="563"/>
      <c r="W58" s="37" t="s">
        <v>69</v>
      </c>
      <c r="X58" s="543">
        <f>IFERROR(SUM(X51:X56),"0")</f>
        <v>107</v>
      </c>
      <c r="Y58" s="543">
        <f>IFERROR(SUM(Y51:Y56),"0")</f>
        <v>108</v>
      </c>
      <c r="Z58" s="37"/>
      <c r="AA58" s="544"/>
      <c r="AB58" s="544"/>
      <c r="AC58" s="544"/>
    </row>
    <row r="59" spans="1:68" ht="14.25" customHeight="1" x14ac:dyDescent="0.25">
      <c r="A59" s="557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11.234999999999999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172</v>
      </c>
      <c r="Y60" s="542">
        <f>IFERROR(IF(X60="",0,CEILING((X60/$H60),1)*$H60),"")</f>
        <v>172.8</v>
      </c>
      <c r="Z60" s="36">
        <f>IFERROR(IF(Y60=0,"",ROUNDUP(Y60/H60,0)*0.01898),"")</f>
        <v>0.30368000000000001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178.92777777777775</v>
      </c>
      <c r="BN60" s="64">
        <f>IFERROR(Y60*I60/H60,"0")</f>
        <v>179.76</v>
      </c>
      <c r="BO60" s="64">
        <f>IFERROR(1/J60*(X60/H60),"0")</f>
        <v>0.24884259259259259</v>
      </c>
      <c r="BP60" s="64">
        <f>IFERROR(1/J60*(Y60/H60),"0")</f>
        <v>0.25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1" t="s">
        <v>71</v>
      </c>
      <c r="Q63" s="562"/>
      <c r="R63" s="562"/>
      <c r="S63" s="562"/>
      <c r="T63" s="562"/>
      <c r="U63" s="562"/>
      <c r="V63" s="563"/>
      <c r="W63" s="37" t="s">
        <v>72</v>
      </c>
      <c r="X63" s="543">
        <f>IFERROR(X60/H60,"0")+IFERROR(X61/H61,"0")+IFERROR(X62/H62,"0")</f>
        <v>15.925925925925926</v>
      </c>
      <c r="Y63" s="543">
        <f>IFERROR(Y60/H60,"0")+IFERROR(Y61/H61,"0")+IFERROR(Y62/H62,"0")</f>
        <v>16</v>
      </c>
      <c r="Z63" s="543">
        <f>IFERROR(IF(Z60="",0,Z60),"0")+IFERROR(IF(Z61="",0,Z61),"0")+IFERROR(IF(Z62="",0,Z62),"0")</f>
        <v>0.30368000000000001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1" t="s">
        <v>71</v>
      </c>
      <c r="Q64" s="562"/>
      <c r="R64" s="562"/>
      <c r="S64" s="562"/>
      <c r="T64" s="562"/>
      <c r="U64" s="562"/>
      <c r="V64" s="563"/>
      <c r="W64" s="37" t="s">
        <v>69</v>
      </c>
      <c r="X64" s="543">
        <f>IFERROR(SUM(X60:X62),"0")</f>
        <v>172</v>
      </c>
      <c r="Y64" s="543">
        <f>IFERROR(SUM(Y60:Y62),"0")</f>
        <v>172.8</v>
      </c>
      <c r="Z64" s="37"/>
      <c r="AA64" s="544"/>
      <c r="AB64" s="544"/>
      <c r="AC64" s="544"/>
    </row>
    <row r="65" spans="1:68" ht="14.25" customHeight="1" x14ac:dyDescent="0.25">
      <c r="A65" s="557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1" t="s">
        <v>71</v>
      </c>
      <c r="Q69" s="562"/>
      <c r="R69" s="562"/>
      <c r="S69" s="562"/>
      <c r="T69" s="562"/>
      <c r="U69" s="562"/>
      <c r="V69" s="563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1" t="s">
        <v>71</v>
      </c>
      <c r="Q70" s="562"/>
      <c r="R70" s="562"/>
      <c r="S70" s="562"/>
      <c r="T70" s="562"/>
      <c r="U70" s="562"/>
      <c r="V70" s="563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7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16.5" customHeight="1" x14ac:dyDescent="0.25">
      <c r="A72" s="54" t="s">
        <v>152</v>
      </c>
      <c r="B72" s="54" t="s">
        <v>153</v>
      </c>
      <c r="C72" s="31">
        <v>4301051838</v>
      </c>
      <c r="D72" s="545">
        <v>4680115881891</v>
      </c>
      <c r="E72" s="546"/>
      <c r="F72" s="540">
        <v>1.4</v>
      </c>
      <c r="G72" s="32">
        <v>6</v>
      </c>
      <c r="H72" s="540">
        <v>8.4</v>
      </c>
      <c r="I72" s="540">
        <v>8.9190000000000005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40</v>
      </c>
      <c r="P72" s="840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5">
        <v>4680115885769</v>
      </c>
      <c r="E73" s="546"/>
      <c r="F73" s="540">
        <v>1.4</v>
      </c>
      <c r="G73" s="32">
        <v>6</v>
      </c>
      <c r="H73" s="540">
        <v>8.4</v>
      </c>
      <c r="I73" s="540">
        <v>8.8350000000000009</v>
      </c>
      <c r="J73" s="32">
        <v>64</v>
      </c>
      <c r="K73" s="32" t="s">
        <v>102</v>
      </c>
      <c r="L73" s="32" t="s">
        <v>103</v>
      </c>
      <c r="M73" s="33" t="s">
        <v>77</v>
      </c>
      <c r="N73" s="33"/>
      <c r="O73" s="32">
        <v>45</v>
      </c>
      <c r="P73" s="54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106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5">
        <v>4680115884311</v>
      </c>
      <c r="E74" s="546"/>
      <c r="F74" s="540">
        <v>0.3</v>
      </c>
      <c r="G74" s="32">
        <v>6</v>
      </c>
      <c r="H74" s="540">
        <v>1.8</v>
      </c>
      <c r="I74" s="540">
        <v>2.0459999999999998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40</v>
      </c>
      <c r="P74" s="70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4301051844</v>
      </c>
      <c r="D75" s="545">
        <v>4680115885929</v>
      </c>
      <c r="E75" s="546"/>
      <c r="F75" s="540">
        <v>0.42</v>
      </c>
      <c r="G75" s="32">
        <v>6</v>
      </c>
      <c r="H75" s="540">
        <v>2.52</v>
      </c>
      <c r="I75" s="540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3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162</v>
      </c>
      <c r="B76" s="54" t="s">
        <v>163</v>
      </c>
      <c r="C76" s="31">
        <v>4301051929</v>
      </c>
      <c r="D76" s="545">
        <v>4680115884403</v>
      </c>
      <c r="E76" s="546"/>
      <c r="F76" s="540">
        <v>0.3</v>
      </c>
      <c r="G76" s="32">
        <v>6</v>
      </c>
      <c r="H76" s="540">
        <v>1.8</v>
      </c>
      <c r="I76" s="540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48"/>
      <c r="R76" s="548"/>
      <c r="S76" s="548"/>
      <c r="T76" s="549"/>
      <c r="U76" s="34"/>
      <c r="V76" s="34"/>
      <c r="W76" s="35" t="s">
        <v>69</v>
      </c>
      <c r="X76" s="541">
        <v>0</v>
      </c>
      <c r="Y76" s="542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164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53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1" t="s">
        <v>71</v>
      </c>
      <c r="Q77" s="562"/>
      <c r="R77" s="562"/>
      <c r="S77" s="562"/>
      <c r="T77" s="562"/>
      <c r="U77" s="562"/>
      <c r="V77" s="563"/>
      <c r="W77" s="37" t="s">
        <v>72</v>
      </c>
      <c r="X77" s="543">
        <f>IFERROR(X72/H72,"0")+IFERROR(X73/H73,"0")+IFERROR(X74/H74,"0")+IFERROR(X75/H75,"0")+IFERROR(X76/H76,"0")</f>
        <v>0</v>
      </c>
      <c r="Y77" s="543">
        <f>IFERROR(Y72/H72,"0")+IFERROR(Y73/H73,"0")+IFERROR(Y74/H74,"0")+IFERROR(Y75/H75,"0")+IFERROR(Y76/H76,"0")</f>
        <v>0</v>
      </c>
      <c r="Z77" s="543">
        <f>IFERROR(IF(Z72="",0,Z72),"0")+IFERROR(IF(Z73="",0,Z73),"0")+IFERROR(IF(Z74="",0,Z74),"0")+IFERROR(IF(Z75="",0,Z75),"0")+IFERROR(IF(Z76="",0,Z76),"0")</f>
        <v>0</v>
      </c>
      <c r="AA77" s="544"/>
      <c r="AB77" s="544"/>
      <c r="AC77" s="544"/>
    </row>
    <row r="78" spans="1:68" x14ac:dyDescent="0.2">
      <c r="A78" s="554"/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5"/>
      <c r="P78" s="561" t="s">
        <v>71</v>
      </c>
      <c r="Q78" s="562"/>
      <c r="R78" s="562"/>
      <c r="S78" s="562"/>
      <c r="T78" s="562"/>
      <c r="U78" s="562"/>
      <c r="V78" s="563"/>
      <c r="W78" s="37" t="s">
        <v>69</v>
      </c>
      <c r="X78" s="543">
        <f>IFERROR(SUM(X72:X76),"0")</f>
        <v>0</v>
      </c>
      <c r="Y78" s="543">
        <f>IFERROR(SUM(Y72:Y76),"0")</f>
        <v>0</v>
      </c>
      <c r="Z78" s="37"/>
      <c r="AA78" s="544"/>
      <c r="AB78" s="544"/>
      <c r="AC78" s="544"/>
    </row>
    <row r="79" spans="1:68" ht="14.25" customHeight="1" x14ac:dyDescent="0.25">
      <c r="A79" s="557" t="s">
        <v>165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537"/>
      <c r="AB79" s="537"/>
      <c r="AC79" s="537"/>
    </row>
    <row r="80" spans="1:68" ht="27" customHeight="1" x14ac:dyDescent="0.25">
      <c r="A80" s="54" t="s">
        <v>166</v>
      </c>
      <c r="B80" s="54" t="s">
        <v>167</v>
      </c>
      <c r="C80" s="31">
        <v>4301060455</v>
      </c>
      <c r="D80" s="545">
        <v>4680115881532</v>
      </c>
      <c r="E80" s="546"/>
      <c r="F80" s="540">
        <v>1.3</v>
      </c>
      <c r="G80" s="32">
        <v>6</v>
      </c>
      <c r="H80" s="540">
        <v>7.8</v>
      </c>
      <c r="I80" s="540">
        <v>8.2349999999999994</v>
      </c>
      <c r="J80" s="32">
        <v>64</v>
      </c>
      <c r="K80" s="32" t="s">
        <v>102</v>
      </c>
      <c r="L80" s="32" t="s">
        <v>103</v>
      </c>
      <c r="M80" s="33" t="s">
        <v>84</v>
      </c>
      <c r="N80" s="33"/>
      <c r="O80" s="32">
        <v>30</v>
      </c>
      <c r="P80" s="7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168</v>
      </c>
      <c r="AG80" s="64"/>
      <c r="AJ80" s="68" t="s">
        <v>106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169</v>
      </c>
      <c r="B81" s="54" t="s">
        <v>170</v>
      </c>
      <c r="C81" s="31">
        <v>4301060351</v>
      </c>
      <c r="D81" s="545">
        <v>4680115881464</v>
      </c>
      <c r="E81" s="546"/>
      <c r="F81" s="540">
        <v>0.4</v>
      </c>
      <c r="G81" s="32">
        <v>6</v>
      </c>
      <c r="H81" s="540">
        <v>2.4</v>
      </c>
      <c r="I81" s="540">
        <v>2.61</v>
      </c>
      <c r="J81" s="32">
        <v>132</v>
      </c>
      <c r="K81" s="32" t="s">
        <v>109</v>
      </c>
      <c r="L81" s="32"/>
      <c r="M81" s="33" t="s">
        <v>77</v>
      </c>
      <c r="N81" s="33"/>
      <c r="O81" s="32">
        <v>30</v>
      </c>
      <c r="P81" s="5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48"/>
      <c r="R81" s="548"/>
      <c r="S81" s="548"/>
      <c r="T81" s="549"/>
      <c r="U81" s="34"/>
      <c r="V81" s="34"/>
      <c r="W81" s="35" t="s">
        <v>69</v>
      </c>
      <c r="X81" s="541">
        <v>23</v>
      </c>
      <c r="Y81" s="542">
        <f>IFERROR(IF(X81="",0,CEILING((X81/$H81),1)*$H81),"")</f>
        <v>24</v>
      </c>
      <c r="Z81" s="36">
        <f>IFERROR(IF(Y81=0,"",ROUNDUP(Y81/H81,0)*0.00902),"")</f>
        <v>9.0200000000000002E-2</v>
      </c>
      <c r="AA81" s="56"/>
      <c r="AB81" s="57"/>
      <c r="AC81" s="127" t="s">
        <v>171</v>
      </c>
      <c r="AG81" s="64"/>
      <c r="AJ81" s="68"/>
      <c r="AK81" s="68">
        <v>0</v>
      </c>
      <c r="BB81" s="128" t="s">
        <v>1</v>
      </c>
      <c r="BM81" s="64">
        <f>IFERROR(X81*I81/H81,"0")</f>
        <v>25.012499999999999</v>
      </c>
      <c r="BN81" s="64">
        <f>IFERROR(Y81*I81/H81,"0")</f>
        <v>26.1</v>
      </c>
      <c r="BO81" s="64">
        <f>IFERROR(1/J81*(X81/H81),"0")</f>
        <v>7.2601010101010111E-2</v>
      </c>
      <c r="BP81" s="64">
        <f>IFERROR(1/J81*(Y81/H81),"0")</f>
        <v>7.575757575757576E-2</v>
      </c>
    </row>
    <row r="82" spans="1:68" x14ac:dyDescent="0.2">
      <c r="A82" s="553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1" t="s">
        <v>71</v>
      </c>
      <c r="Q82" s="562"/>
      <c r="R82" s="562"/>
      <c r="S82" s="562"/>
      <c r="T82" s="562"/>
      <c r="U82" s="562"/>
      <c r="V82" s="563"/>
      <c r="W82" s="37" t="s">
        <v>72</v>
      </c>
      <c r="X82" s="543">
        <f>IFERROR(X80/H80,"0")+IFERROR(X81/H81,"0")</f>
        <v>9.5833333333333339</v>
      </c>
      <c r="Y82" s="543">
        <f>IFERROR(Y80/H80,"0")+IFERROR(Y81/H81,"0")</f>
        <v>10</v>
      </c>
      <c r="Z82" s="543">
        <f>IFERROR(IF(Z80="",0,Z80),"0")+IFERROR(IF(Z81="",0,Z81),"0")</f>
        <v>9.0200000000000002E-2</v>
      </c>
      <c r="AA82" s="544"/>
      <c r="AB82" s="544"/>
      <c r="AC82" s="544"/>
    </row>
    <row r="83" spans="1:68" x14ac:dyDescent="0.2">
      <c r="A83" s="554"/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5"/>
      <c r="P83" s="561" t="s">
        <v>71</v>
      </c>
      <c r="Q83" s="562"/>
      <c r="R83" s="562"/>
      <c r="S83" s="562"/>
      <c r="T83" s="562"/>
      <c r="U83" s="562"/>
      <c r="V83" s="563"/>
      <c r="W83" s="37" t="s">
        <v>69</v>
      </c>
      <c r="X83" s="543">
        <f>IFERROR(SUM(X80:X81),"0")</f>
        <v>23</v>
      </c>
      <c r="Y83" s="543">
        <f>IFERROR(SUM(Y80:Y81),"0")</f>
        <v>24</v>
      </c>
      <c r="Z83" s="37"/>
      <c r="AA83" s="544"/>
      <c r="AB83" s="544"/>
      <c r="AC83" s="544"/>
    </row>
    <row r="84" spans="1:68" ht="16.5" customHeight="1" x14ac:dyDescent="0.25">
      <c r="A84" s="558" t="s">
        <v>172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6"/>
      <c r="AB84" s="536"/>
      <c r="AC84" s="536"/>
    </row>
    <row r="85" spans="1:68" ht="14.25" customHeight="1" x14ac:dyDescent="0.25">
      <c r="A85" s="557" t="s">
        <v>99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37"/>
      <c r="AB85" s="537"/>
      <c r="AC85" s="537"/>
    </row>
    <row r="86" spans="1:68" ht="27" customHeight="1" x14ac:dyDescent="0.25">
      <c r="A86" s="54" t="s">
        <v>173</v>
      </c>
      <c r="B86" s="54" t="s">
        <v>174</v>
      </c>
      <c r="C86" s="31">
        <v>4301011468</v>
      </c>
      <c r="D86" s="545">
        <v>4680115881327</v>
      </c>
      <c r="E86" s="546"/>
      <c r="F86" s="540">
        <v>1.35</v>
      </c>
      <c r="G86" s="32">
        <v>8</v>
      </c>
      <c r="H86" s="540">
        <v>10.8</v>
      </c>
      <c r="I86" s="540">
        <v>11.234999999999999</v>
      </c>
      <c r="J86" s="32">
        <v>64</v>
      </c>
      <c r="K86" s="32" t="s">
        <v>102</v>
      </c>
      <c r="L86" s="32" t="s">
        <v>103</v>
      </c>
      <c r="M86" s="33" t="s">
        <v>84</v>
      </c>
      <c r="N86" s="33"/>
      <c r="O86" s="32">
        <v>50</v>
      </c>
      <c r="P86" s="5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365</v>
      </c>
      <c r="Y86" s="542">
        <f>IFERROR(IF(X86="",0,CEILING((X86/$H86),1)*$H86),"")</f>
        <v>367.20000000000005</v>
      </c>
      <c r="Z86" s="36">
        <f>IFERROR(IF(Y86=0,"",ROUNDUP(Y86/H86,0)*0.01898),"")</f>
        <v>0.64532</v>
      </c>
      <c r="AA86" s="56"/>
      <c r="AB86" s="57"/>
      <c r="AC86" s="129" t="s">
        <v>175</v>
      </c>
      <c r="AG86" s="64"/>
      <c r="AJ86" s="68" t="s">
        <v>106</v>
      </c>
      <c r="AK86" s="68">
        <v>86.4</v>
      </c>
      <c r="BB86" s="130" t="s">
        <v>1</v>
      </c>
      <c r="BM86" s="64">
        <f>IFERROR(X86*I86/H86,"0")</f>
        <v>379.70138888888886</v>
      </c>
      <c r="BN86" s="64">
        <f>IFERROR(Y86*I86/H86,"0")</f>
        <v>381.99</v>
      </c>
      <c r="BO86" s="64">
        <f>IFERROR(1/J86*(X86/H86),"0")</f>
        <v>0.52806712962962965</v>
      </c>
      <c r="BP86" s="64">
        <f>IFERROR(1/J86*(Y86/H86),"0")</f>
        <v>0.53125</v>
      </c>
    </row>
    <row r="87" spans="1:68" ht="27" customHeight="1" x14ac:dyDescent="0.25">
      <c r="A87" s="54" t="s">
        <v>176</v>
      </c>
      <c r="B87" s="54" t="s">
        <v>177</v>
      </c>
      <c r="C87" s="31">
        <v>4301011476</v>
      </c>
      <c r="D87" s="545">
        <v>4680115881518</v>
      </c>
      <c r="E87" s="546"/>
      <c r="F87" s="540">
        <v>0.4</v>
      </c>
      <c r="G87" s="32">
        <v>10</v>
      </c>
      <c r="H87" s="540">
        <v>4</v>
      </c>
      <c r="I87" s="540">
        <v>4.21</v>
      </c>
      <c r="J87" s="32">
        <v>132</v>
      </c>
      <c r="K87" s="32" t="s">
        <v>109</v>
      </c>
      <c r="L87" s="32"/>
      <c r="M87" s="33" t="s">
        <v>77</v>
      </c>
      <c r="N87" s="33"/>
      <c r="O87" s="32">
        <v>50</v>
      </c>
      <c r="P87" s="7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175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178</v>
      </c>
      <c r="B88" s="54" t="s">
        <v>179</v>
      </c>
      <c r="C88" s="31">
        <v>4301011443</v>
      </c>
      <c r="D88" s="545">
        <v>4680115881303</v>
      </c>
      <c r="E88" s="546"/>
      <c r="F88" s="540">
        <v>0.45</v>
      </c>
      <c r="G88" s="32">
        <v>10</v>
      </c>
      <c r="H88" s="540">
        <v>4.5</v>
      </c>
      <c r="I88" s="540">
        <v>4.71</v>
      </c>
      <c r="J88" s="32">
        <v>132</v>
      </c>
      <c r="K88" s="32" t="s">
        <v>109</v>
      </c>
      <c r="L88" s="32" t="s">
        <v>112</v>
      </c>
      <c r="M88" s="33" t="s">
        <v>84</v>
      </c>
      <c r="N88" s="33"/>
      <c r="O88" s="32">
        <v>50</v>
      </c>
      <c r="P88" s="7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48"/>
      <c r="R88" s="548"/>
      <c r="S88" s="548"/>
      <c r="T88" s="549"/>
      <c r="U88" s="34"/>
      <c r="V88" s="34"/>
      <c r="W88" s="35" t="s">
        <v>69</v>
      </c>
      <c r="X88" s="541">
        <v>63</v>
      </c>
      <c r="Y88" s="542">
        <f>IFERROR(IF(X88="",0,CEILING((X88/$H88),1)*$H88),"")</f>
        <v>63</v>
      </c>
      <c r="Z88" s="36">
        <f>IFERROR(IF(Y88=0,"",ROUNDUP(Y88/H88,0)*0.00902),"")</f>
        <v>0.12628</v>
      </c>
      <c r="AA88" s="56"/>
      <c r="AB88" s="57"/>
      <c r="AC88" s="133" t="s">
        <v>175</v>
      </c>
      <c r="AG88" s="64"/>
      <c r="AJ88" s="68" t="s">
        <v>106</v>
      </c>
      <c r="AK88" s="68">
        <v>54</v>
      </c>
      <c r="BB88" s="134" t="s">
        <v>1</v>
      </c>
      <c r="BM88" s="64">
        <f>IFERROR(X88*I88/H88,"0")</f>
        <v>65.94</v>
      </c>
      <c r="BN88" s="64">
        <f>IFERROR(Y88*I88/H88,"0")</f>
        <v>65.94</v>
      </c>
      <c r="BO88" s="64">
        <f>IFERROR(1/J88*(X88/H88),"0")</f>
        <v>0.10606060606060606</v>
      </c>
      <c r="BP88" s="64">
        <f>IFERROR(1/J88*(Y88/H88),"0")</f>
        <v>0.10606060606060606</v>
      </c>
    </row>
    <row r="89" spans="1:68" x14ac:dyDescent="0.2">
      <c r="A89" s="553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1" t="s">
        <v>71</v>
      </c>
      <c r="Q89" s="562"/>
      <c r="R89" s="562"/>
      <c r="S89" s="562"/>
      <c r="T89" s="562"/>
      <c r="U89" s="562"/>
      <c r="V89" s="563"/>
      <c r="W89" s="37" t="s">
        <v>72</v>
      </c>
      <c r="X89" s="543">
        <f>IFERROR(X86/H86,"0")+IFERROR(X87/H87,"0")+IFERROR(X88/H88,"0")</f>
        <v>47.796296296296298</v>
      </c>
      <c r="Y89" s="543">
        <f>IFERROR(Y86/H86,"0")+IFERROR(Y87/H87,"0")+IFERROR(Y88/H88,"0")</f>
        <v>48</v>
      </c>
      <c r="Z89" s="543">
        <f>IFERROR(IF(Z86="",0,Z86),"0")+IFERROR(IF(Z87="",0,Z87),"0")+IFERROR(IF(Z88="",0,Z88),"0")</f>
        <v>0.77160000000000006</v>
      </c>
      <c r="AA89" s="544"/>
      <c r="AB89" s="544"/>
      <c r="AC89" s="544"/>
    </row>
    <row r="90" spans="1:68" x14ac:dyDescent="0.2">
      <c r="A90" s="554"/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5"/>
      <c r="P90" s="561" t="s">
        <v>71</v>
      </c>
      <c r="Q90" s="562"/>
      <c r="R90" s="562"/>
      <c r="S90" s="562"/>
      <c r="T90" s="562"/>
      <c r="U90" s="562"/>
      <c r="V90" s="563"/>
      <c r="W90" s="37" t="s">
        <v>69</v>
      </c>
      <c r="X90" s="543">
        <f>IFERROR(SUM(X86:X88),"0")</f>
        <v>428</v>
      </c>
      <c r="Y90" s="543">
        <f>IFERROR(SUM(Y86:Y88),"0")</f>
        <v>430.20000000000005</v>
      </c>
      <c r="Z90" s="37"/>
      <c r="AA90" s="544"/>
      <c r="AB90" s="544"/>
      <c r="AC90" s="544"/>
    </row>
    <row r="91" spans="1:68" ht="14.25" customHeight="1" x14ac:dyDescent="0.25">
      <c r="A91" s="557" t="s">
        <v>73</v>
      </c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537"/>
      <c r="AB91" s="537"/>
      <c r="AC91" s="537"/>
    </row>
    <row r="92" spans="1:68" ht="16.5" customHeight="1" x14ac:dyDescent="0.25">
      <c r="A92" s="54" t="s">
        <v>180</v>
      </c>
      <c r="B92" s="54" t="s">
        <v>181</v>
      </c>
      <c r="C92" s="31">
        <v>4301051712</v>
      </c>
      <c r="D92" s="545">
        <v>4607091386967</v>
      </c>
      <c r="E92" s="546"/>
      <c r="F92" s="540">
        <v>1.35</v>
      </c>
      <c r="G92" s="32">
        <v>6</v>
      </c>
      <c r="H92" s="540">
        <v>8.1</v>
      </c>
      <c r="I92" s="540">
        <v>8.6189999999999998</v>
      </c>
      <c r="J92" s="32">
        <v>64</v>
      </c>
      <c r="K92" s="32" t="s">
        <v>102</v>
      </c>
      <c r="L92" s="32" t="s">
        <v>103</v>
      </c>
      <c r="M92" s="33" t="s">
        <v>84</v>
      </c>
      <c r="N92" s="33"/>
      <c r="O92" s="32">
        <v>45</v>
      </c>
      <c r="P92" s="6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73</v>
      </c>
      <c r="Y92" s="542">
        <f>IFERROR(IF(X92="",0,CEILING((X92/$H92),1)*$H92),"")</f>
        <v>81</v>
      </c>
      <c r="Z92" s="36">
        <f>IFERROR(IF(Y92=0,"",ROUNDUP(Y92/H92,0)*0.01898),"")</f>
        <v>0.1898</v>
      </c>
      <c r="AA92" s="56"/>
      <c r="AB92" s="57"/>
      <c r="AC92" s="135" t="s">
        <v>182</v>
      </c>
      <c r="AG92" s="64"/>
      <c r="AJ92" s="68" t="s">
        <v>106</v>
      </c>
      <c r="AK92" s="68">
        <v>64.8</v>
      </c>
      <c r="BB92" s="136" t="s">
        <v>1</v>
      </c>
      <c r="BM92" s="64">
        <f>IFERROR(X92*I92/H92,"0")</f>
        <v>77.677407407407415</v>
      </c>
      <c r="BN92" s="64">
        <f>IFERROR(Y92*I92/H92,"0")</f>
        <v>86.190000000000012</v>
      </c>
      <c r="BO92" s="64">
        <f>IFERROR(1/J92*(X92/H92),"0")</f>
        <v>0.14081790123456792</v>
      </c>
      <c r="BP92" s="64">
        <f>IFERROR(1/J92*(Y92/H92),"0")</f>
        <v>0.15625</v>
      </c>
    </row>
    <row r="93" spans="1:68" ht="27" customHeight="1" x14ac:dyDescent="0.25">
      <c r="A93" s="54" t="s">
        <v>183</v>
      </c>
      <c r="B93" s="54" t="s">
        <v>184</v>
      </c>
      <c r="C93" s="31">
        <v>4301051788</v>
      </c>
      <c r="D93" s="545">
        <v>4680115884953</v>
      </c>
      <c r="E93" s="546"/>
      <c r="F93" s="540">
        <v>0.37</v>
      </c>
      <c r="G93" s="32">
        <v>6</v>
      </c>
      <c r="H93" s="540">
        <v>2.2200000000000002</v>
      </c>
      <c r="I93" s="540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8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185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45">
        <v>4607091385731</v>
      </c>
      <c r="E94" s="546"/>
      <c r="F94" s="540">
        <v>0.45</v>
      </c>
      <c r="G94" s="32">
        <v>6</v>
      </c>
      <c r="H94" s="540">
        <v>2.7</v>
      </c>
      <c r="I94" s="540">
        <v>2.952</v>
      </c>
      <c r="J94" s="32">
        <v>182</v>
      </c>
      <c r="K94" s="32" t="s">
        <v>76</v>
      </c>
      <c r="L94" s="32"/>
      <c r="M94" s="33" t="s">
        <v>84</v>
      </c>
      <c r="N94" s="33"/>
      <c r="O94" s="32">
        <v>45</v>
      </c>
      <c r="P94" s="6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48"/>
      <c r="R94" s="548"/>
      <c r="S94" s="548"/>
      <c r="T94" s="549"/>
      <c r="U94" s="34"/>
      <c r="V94" s="34"/>
      <c r="W94" s="35" t="s">
        <v>69</v>
      </c>
      <c r="X94" s="541">
        <v>79</v>
      </c>
      <c r="Y94" s="542">
        <f>IFERROR(IF(X94="",0,CEILING((X94/$H94),1)*$H94),"")</f>
        <v>81</v>
      </c>
      <c r="Z94" s="36">
        <f>IFERROR(IF(Y94=0,"",ROUNDUP(Y94/H94,0)*0.00651),"")</f>
        <v>0.1953</v>
      </c>
      <c r="AA94" s="56"/>
      <c r="AB94" s="57"/>
      <c r="AC94" s="139" t="s">
        <v>182</v>
      </c>
      <c r="AG94" s="64"/>
      <c r="AJ94" s="68"/>
      <c r="AK94" s="68">
        <v>0</v>
      </c>
      <c r="BB94" s="140" t="s">
        <v>1</v>
      </c>
      <c r="BM94" s="64">
        <f>IFERROR(X94*I94/H94,"0")</f>
        <v>86.373333333333321</v>
      </c>
      <c r="BN94" s="64">
        <f>IFERROR(Y94*I94/H94,"0")</f>
        <v>88.559999999999988</v>
      </c>
      <c r="BO94" s="64">
        <f>IFERROR(1/J94*(X94/H94),"0")</f>
        <v>0.16076516076516076</v>
      </c>
      <c r="BP94" s="64">
        <f>IFERROR(1/J94*(Y94/H94),"0")</f>
        <v>0.16483516483516483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45">
        <v>4680115880894</v>
      </c>
      <c r="E95" s="546"/>
      <c r="F95" s="540">
        <v>0.33</v>
      </c>
      <c r="G95" s="32">
        <v>6</v>
      </c>
      <c r="H95" s="540">
        <v>1.98</v>
      </c>
      <c r="I95" s="540">
        <v>2.238</v>
      </c>
      <c r="J95" s="32">
        <v>182</v>
      </c>
      <c r="K95" s="32" t="s">
        <v>76</v>
      </c>
      <c r="L95" s="32"/>
      <c r="M95" s="33" t="s">
        <v>77</v>
      </c>
      <c r="N95" s="33"/>
      <c r="O95" s="32">
        <v>45</v>
      </c>
      <c r="P95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48"/>
      <c r="R95" s="548"/>
      <c r="S95" s="548"/>
      <c r="T95" s="549"/>
      <c r="U95" s="34"/>
      <c r="V95" s="34"/>
      <c r="W95" s="35" t="s">
        <v>69</v>
      </c>
      <c r="X95" s="541">
        <v>0</v>
      </c>
      <c r="Y95" s="5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3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1" t="s">
        <v>71</v>
      </c>
      <c r="Q96" s="562"/>
      <c r="R96" s="562"/>
      <c r="S96" s="562"/>
      <c r="T96" s="562"/>
      <c r="U96" s="562"/>
      <c r="V96" s="563"/>
      <c r="W96" s="37" t="s">
        <v>72</v>
      </c>
      <c r="X96" s="543">
        <f>IFERROR(X92/H92,"0")+IFERROR(X93/H93,"0")+IFERROR(X94/H94,"0")+IFERROR(X95/H95,"0")</f>
        <v>38.271604938271601</v>
      </c>
      <c r="Y96" s="543">
        <f>IFERROR(Y92/H92,"0")+IFERROR(Y93/H93,"0")+IFERROR(Y94/H94,"0")+IFERROR(Y95/H95,"0")</f>
        <v>40</v>
      </c>
      <c r="Z96" s="543">
        <f>IFERROR(IF(Z92="",0,Z92),"0")+IFERROR(IF(Z93="",0,Z93),"0")+IFERROR(IF(Z94="",0,Z94),"0")+IFERROR(IF(Z95="",0,Z95),"0")</f>
        <v>0.3851</v>
      </c>
      <c r="AA96" s="544"/>
      <c r="AB96" s="544"/>
      <c r="AC96" s="544"/>
    </row>
    <row r="97" spans="1:68" x14ac:dyDescent="0.2">
      <c r="A97" s="554"/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5"/>
      <c r="P97" s="561" t="s">
        <v>71</v>
      </c>
      <c r="Q97" s="562"/>
      <c r="R97" s="562"/>
      <c r="S97" s="562"/>
      <c r="T97" s="562"/>
      <c r="U97" s="562"/>
      <c r="V97" s="563"/>
      <c r="W97" s="37" t="s">
        <v>69</v>
      </c>
      <c r="X97" s="543">
        <f>IFERROR(SUM(X92:X95),"0")</f>
        <v>152</v>
      </c>
      <c r="Y97" s="543">
        <f>IFERROR(SUM(Y92:Y95),"0")</f>
        <v>162</v>
      </c>
      <c r="Z97" s="37"/>
      <c r="AA97" s="544"/>
      <c r="AB97" s="544"/>
      <c r="AC97" s="544"/>
    </row>
    <row r="98" spans="1:68" ht="16.5" customHeight="1" x14ac:dyDescent="0.25">
      <c r="A98" s="558" t="s">
        <v>191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6"/>
      <c r="AB98" s="536"/>
      <c r="AC98" s="536"/>
    </row>
    <row r="99" spans="1:68" ht="14.25" customHeight="1" x14ac:dyDescent="0.25">
      <c r="A99" s="557" t="s">
        <v>99</v>
      </c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37"/>
      <c r="AB99" s="537"/>
      <c r="AC99" s="537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45">
        <v>4680115882133</v>
      </c>
      <c r="E100" s="546"/>
      <c r="F100" s="540">
        <v>1.35</v>
      </c>
      <c r="G100" s="32">
        <v>8</v>
      </c>
      <c r="H100" s="540">
        <v>10.8</v>
      </c>
      <c r="I100" s="540">
        <v>11.234999999999999</v>
      </c>
      <c r="J100" s="32">
        <v>64</v>
      </c>
      <c r="K100" s="32" t="s">
        <v>102</v>
      </c>
      <c r="L100" s="32" t="s">
        <v>103</v>
      </c>
      <c r="M100" s="33" t="s">
        <v>104</v>
      </c>
      <c r="N100" s="33"/>
      <c r="O100" s="32">
        <v>50</v>
      </c>
      <c r="P100" s="6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494</v>
      </c>
      <c r="Y100" s="542">
        <f>IFERROR(IF(X100="",0,CEILING((X100/$H100),1)*$H100),"")</f>
        <v>496.8</v>
      </c>
      <c r="Z100" s="36">
        <f>IFERROR(IF(Y100=0,"",ROUNDUP(Y100/H100,0)*0.01898),"")</f>
        <v>0.87307999999999997</v>
      </c>
      <c r="AA100" s="56"/>
      <c r="AB100" s="57"/>
      <c r="AC100" s="143" t="s">
        <v>194</v>
      </c>
      <c r="AG100" s="64"/>
      <c r="AJ100" s="68" t="s">
        <v>106</v>
      </c>
      <c r="AK100" s="68">
        <v>86.4</v>
      </c>
      <c r="BB100" s="144" t="s">
        <v>1</v>
      </c>
      <c r="BM100" s="64">
        <f>IFERROR(X100*I100/H100,"0")</f>
        <v>513.89722222222224</v>
      </c>
      <c r="BN100" s="64">
        <f>IFERROR(Y100*I100/H100,"0")</f>
        <v>516.80999999999995</v>
      </c>
      <c r="BO100" s="64">
        <f>IFERROR(1/J100*(X100/H100),"0")</f>
        <v>0.71469907407407407</v>
      </c>
      <c r="BP100" s="64">
        <f>IFERROR(1/J100*(Y100/H100),"0")</f>
        <v>0.71875</v>
      </c>
    </row>
    <row r="101" spans="1:68" ht="37.5" customHeight="1" x14ac:dyDescent="0.25">
      <c r="A101" s="54" t="s">
        <v>195</v>
      </c>
      <c r="B101" s="54" t="s">
        <v>196</v>
      </c>
      <c r="C101" s="31">
        <v>4301011417</v>
      </c>
      <c r="D101" s="545">
        <v>4680115880269</v>
      </c>
      <c r="E101" s="546"/>
      <c r="F101" s="540">
        <v>0.375</v>
      </c>
      <c r="G101" s="32">
        <v>10</v>
      </c>
      <c r="H101" s="540">
        <v>3.75</v>
      </c>
      <c r="I101" s="540">
        <v>3.96</v>
      </c>
      <c r="J101" s="32">
        <v>132</v>
      </c>
      <c r="K101" s="32" t="s">
        <v>109</v>
      </c>
      <c r="L101" s="32"/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194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4301011415</v>
      </c>
      <c r="D102" s="545">
        <v>4680115880429</v>
      </c>
      <c r="E102" s="546"/>
      <c r="F102" s="540">
        <v>0.45</v>
      </c>
      <c r="G102" s="32">
        <v>10</v>
      </c>
      <c r="H102" s="540">
        <v>4.5</v>
      </c>
      <c r="I102" s="540">
        <v>4.71</v>
      </c>
      <c r="J102" s="32">
        <v>132</v>
      </c>
      <c r="K102" s="32" t="s">
        <v>109</v>
      </c>
      <c r="L102" s="32" t="s">
        <v>112</v>
      </c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22</v>
      </c>
      <c r="Y102" s="542">
        <f>IFERROR(IF(X102="",0,CEILING((X102/$H102),1)*$H102),"")</f>
        <v>22.5</v>
      </c>
      <c r="Z102" s="36">
        <f>IFERROR(IF(Y102=0,"",ROUNDUP(Y102/H102,0)*0.00902),"")</f>
        <v>4.5100000000000001E-2</v>
      </c>
      <c r="AA102" s="56"/>
      <c r="AB102" s="57"/>
      <c r="AC102" s="147" t="s">
        <v>194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23.026666666666667</v>
      </c>
      <c r="BN102" s="64">
        <f>IFERROR(Y102*I102/H102,"0")</f>
        <v>23.549999999999997</v>
      </c>
      <c r="BO102" s="64">
        <f>IFERROR(1/J102*(X102/H102),"0")</f>
        <v>3.7037037037037042E-2</v>
      </c>
      <c r="BP102" s="64">
        <f>IFERROR(1/J102*(Y102/H102),"0")</f>
        <v>3.787878787878788E-2</v>
      </c>
    </row>
    <row r="103" spans="1:68" ht="37.5" customHeight="1" x14ac:dyDescent="0.25">
      <c r="A103" s="54" t="s">
        <v>199</v>
      </c>
      <c r="B103" s="54" t="s">
        <v>200</v>
      </c>
      <c r="C103" s="31">
        <v>4301011462</v>
      </c>
      <c r="D103" s="545">
        <v>4680115881457</v>
      </c>
      <c r="E103" s="546"/>
      <c r="F103" s="540">
        <v>0.75</v>
      </c>
      <c r="G103" s="32">
        <v>6</v>
      </c>
      <c r="H103" s="540">
        <v>4.5</v>
      </c>
      <c r="I103" s="540">
        <v>4.71</v>
      </c>
      <c r="J103" s="32">
        <v>132</v>
      </c>
      <c r="K103" s="32" t="s">
        <v>109</v>
      </c>
      <c r="L103" s="32"/>
      <c r="M103" s="33" t="s">
        <v>77</v>
      </c>
      <c r="N103" s="33"/>
      <c r="O103" s="32">
        <v>50</v>
      </c>
      <c r="P103" s="6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48"/>
      <c r="R103" s="548"/>
      <c r="S103" s="548"/>
      <c r="T103" s="549"/>
      <c r="U103" s="34"/>
      <c r="V103" s="34"/>
      <c r="W103" s="35" t="s">
        <v>69</v>
      </c>
      <c r="X103" s="541">
        <v>0</v>
      </c>
      <c r="Y103" s="54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194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3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1" t="s">
        <v>71</v>
      </c>
      <c r="Q104" s="562"/>
      <c r="R104" s="562"/>
      <c r="S104" s="562"/>
      <c r="T104" s="562"/>
      <c r="U104" s="562"/>
      <c r="V104" s="563"/>
      <c r="W104" s="37" t="s">
        <v>72</v>
      </c>
      <c r="X104" s="543">
        <f>IFERROR(X100/H100,"0")+IFERROR(X101/H101,"0")+IFERROR(X102/H102,"0")+IFERROR(X103/H103,"0")</f>
        <v>50.629629629629633</v>
      </c>
      <c r="Y104" s="543">
        <f>IFERROR(Y100/H100,"0")+IFERROR(Y101/H101,"0")+IFERROR(Y102/H102,"0")+IFERROR(Y103/H103,"0")</f>
        <v>51</v>
      </c>
      <c r="Z104" s="543">
        <f>IFERROR(IF(Z100="",0,Z100),"0")+IFERROR(IF(Z101="",0,Z101),"0")+IFERROR(IF(Z102="",0,Z102),"0")+IFERROR(IF(Z103="",0,Z103),"0")</f>
        <v>0.91818</v>
      </c>
      <c r="AA104" s="544"/>
      <c r="AB104" s="544"/>
      <c r="AC104" s="544"/>
    </row>
    <row r="105" spans="1:68" x14ac:dyDescent="0.2">
      <c r="A105" s="554"/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5"/>
      <c r="P105" s="561" t="s">
        <v>71</v>
      </c>
      <c r="Q105" s="562"/>
      <c r="R105" s="562"/>
      <c r="S105" s="562"/>
      <c r="T105" s="562"/>
      <c r="U105" s="562"/>
      <c r="V105" s="563"/>
      <c r="W105" s="37" t="s">
        <v>69</v>
      </c>
      <c r="X105" s="543">
        <f>IFERROR(SUM(X100:X103),"0")</f>
        <v>516</v>
      </c>
      <c r="Y105" s="543">
        <f>IFERROR(SUM(Y100:Y103),"0")</f>
        <v>519.29999999999995</v>
      </c>
      <c r="Z105" s="37"/>
      <c r="AA105" s="544"/>
      <c r="AB105" s="544"/>
      <c r="AC105" s="544"/>
    </row>
    <row r="106" spans="1:68" ht="14.25" customHeight="1" x14ac:dyDescent="0.25">
      <c r="A106" s="557" t="s">
        <v>135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537"/>
      <c r="AB106" s="537"/>
      <c r="AC106" s="537"/>
    </row>
    <row r="107" spans="1:68" ht="16.5" customHeight="1" x14ac:dyDescent="0.25">
      <c r="A107" s="54" t="s">
        <v>201</v>
      </c>
      <c r="B107" s="54" t="s">
        <v>202</v>
      </c>
      <c r="C107" s="31">
        <v>4301020345</v>
      </c>
      <c r="D107" s="545">
        <v>4680115881488</v>
      </c>
      <c r="E107" s="546"/>
      <c r="F107" s="540">
        <v>1.35</v>
      </c>
      <c r="G107" s="32">
        <v>8</v>
      </c>
      <c r="H107" s="540">
        <v>10.8</v>
      </c>
      <c r="I107" s="540">
        <v>11.234999999999999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203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4301020346</v>
      </c>
      <c r="D108" s="545">
        <v>4680115882775</v>
      </c>
      <c r="E108" s="546"/>
      <c r="F108" s="540">
        <v>0.3</v>
      </c>
      <c r="G108" s="32">
        <v>8</v>
      </c>
      <c r="H108" s="540">
        <v>2.4</v>
      </c>
      <c r="I108" s="540">
        <v>2.5</v>
      </c>
      <c r="J108" s="32">
        <v>234</v>
      </c>
      <c r="K108" s="32" t="s">
        <v>67</v>
      </c>
      <c r="L108" s="32"/>
      <c r="M108" s="33" t="s">
        <v>104</v>
      </c>
      <c r="N108" s="33"/>
      <c r="O108" s="32">
        <v>55</v>
      </c>
      <c r="P108" s="75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203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206</v>
      </c>
      <c r="B109" s="54" t="s">
        <v>207</v>
      </c>
      <c r="C109" s="31">
        <v>4301020344</v>
      </c>
      <c r="D109" s="545">
        <v>4680115880658</v>
      </c>
      <c r="E109" s="546"/>
      <c r="F109" s="540">
        <v>0.4</v>
      </c>
      <c r="G109" s="32">
        <v>6</v>
      </c>
      <c r="H109" s="540">
        <v>2.4</v>
      </c>
      <c r="I109" s="540">
        <v>2.58</v>
      </c>
      <c r="J109" s="32">
        <v>182</v>
      </c>
      <c r="K109" s="32" t="s">
        <v>76</v>
      </c>
      <c r="L109" s="32" t="s">
        <v>208</v>
      </c>
      <c r="M109" s="33" t="s">
        <v>104</v>
      </c>
      <c r="N109" s="33"/>
      <c r="O109" s="32">
        <v>55</v>
      </c>
      <c r="P109" s="76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48"/>
      <c r="R109" s="548"/>
      <c r="S109" s="548"/>
      <c r="T109" s="549"/>
      <c r="U109" s="34"/>
      <c r="V109" s="34"/>
      <c r="W109" s="35" t="s">
        <v>69</v>
      </c>
      <c r="X109" s="541">
        <v>11</v>
      </c>
      <c r="Y109" s="542">
        <f>IFERROR(IF(X109="",0,CEILING((X109/$H109),1)*$H109),"")</f>
        <v>12</v>
      </c>
      <c r="Z109" s="36">
        <f>IFERROR(IF(Y109=0,"",ROUNDUP(Y109/H109,0)*0.00651),"")</f>
        <v>3.2550000000000003E-2</v>
      </c>
      <c r="AA109" s="56"/>
      <c r="AB109" s="57"/>
      <c r="AC109" s="155" t="s">
        <v>203</v>
      </c>
      <c r="AG109" s="64"/>
      <c r="AJ109" s="68" t="s">
        <v>106</v>
      </c>
      <c r="AK109" s="68">
        <v>33.6</v>
      </c>
      <c r="BB109" s="156" t="s">
        <v>1</v>
      </c>
      <c r="BM109" s="64">
        <f>IFERROR(X109*I109/H109,"0")</f>
        <v>11.825000000000001</v>
      </c>
      <c r="BN109" s="64">
        <f>IFERROR(Y109*I109/H109,"0")</f>
        <v>12.9</v>
      </c>
      <c r="BO109" s="64">
        <f>IFERROR(1/J109*(X109/H109),"0")</f>
        <v>2.5183150183150187E-2</v>
      </c>
      <c r="BP109" s="64">
        <f>IFERROR(1/J109*(Y109/H109),"0")</f>
        <v>2.7472527472527476E-2</v>
      </c>
    </row>
    <row r="110" spans="1:68" x14ac:dyDescent="0.2">
      <c r="A110" s="553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1" t="s">
        <v>71</v>
      </c>
      <c r="Q110" s="562"/>
      <c r="R110" s="562"/>
      <c r="S110" s="562"/>
      <c r="T110" s="562"/>
      <c r="U110" s="562"/>
      <c r="V110" s="563"/>
      <c r="W110" s="37" t="s">
        <v>72</v>
      </c>
      <c r="X110" s="543">
        <f>IFERROR(X107/H107,"0")+IFERROR(X108/H108,"0")+IFERROR(X109/H109,"0")</f>
        <v>4.5833333333333339</v>
      </c>
      <c r="Y110" s="543">
        <f>IFERROR(Y107/H107,"0")+IFERROR(Y108/H108,"0")+IFERROR(Y109/H109,"0")</f>
        <v>5</v>
      </c>
      <c r="Z110" s="543">
        <f>IFERROR(IF(Z107="",0,Z107),"0")+IFERROR(IF(Z108="",0,Z108),"0")+IFERROR(IF(Z109="",0,Z109),"0")</f>
        <v>3.2550000000000003E-2</v>
      </c>
      <c r="AA110" s="544"/>
      <c r="AB110" s="544"/>
      <c r="AC110" s="544"/>
    </row>
    <row r="111" spans="1:68" x14ac:dyDescent="0.2">
      <c r="A111" s="554"/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5"/>
      <c r="P111" s="561" t="s">
        <v>71</v>
      </c>
      <c r="Q111" s="562"/>
      <c r="R111" s="562"/>
      <c r="S111" s="562"/>
      <c r="T111" s="562"/>
      <c r="U111" s="562"/>
      <c r="V111" s="563"/>
      <c r="W111" s="37" t="s">
        <v>69</v>
      </c>
      <c r="X111" s="543">
        <f>IFERROR(SUM(X107:X109),"0")</f>
        <v>11</v>
      </c>
      <c r="Y111" s="543">
        <f>IFERROR(SUM(Y107:Y109),"0")</f>
        <v>12</v>
      </c>
      <c r="Z111" s="37"/>
      <c r="AA111" s="544"/>
      <c r="AB111" s="544"/>
      <c r="AC111" s="544"/>
    </row>
    <row r="112" spans="1:68" ht="14.25" customHeight="1" x14ac:dyDescent="0.25">
      <c r="A112" s="557" t="s">
        <v>73</v>
      </c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537"/>
      <c r="AB112" s="537"/>
      <c r="AC112" s="537"/>
    </row>
    <row r="113" spans="1:68" ht="16.5" customHeight="1" x14ac:dyDescent="0.25">
      <c r="A113" s="54" t="s">
        <v>209</v>
      </c>
      <c r="B113" s="54" t="s">
        <v>210</v>
      </c>
      <c r="C113" s="31">
        <v>4301051724</v>
      </c>
      <c r="D113" s="545">
        <v>4607091385168</v>
      </c>
      <c r="E113" s="546"/>
      <c r="F113" s="540">
        <v>1.35</v>
      </c>
      <c r="G113" s="32">
        <v>6</v>
      </c>
      <c r="H113" s="540">
        <v>8.1</v>
      </c>
      <c r="I113" s="540">
        <v>8.6129999999999995</v>
      </c>
      <c r="J113" s="32">
        <v>64</v>
      </c>
      <c r="K113" s="32" t="s">
        <v>102</v>
      </c>
      <c r="L113" s="32" t="s">
        <v>103</v>
      </c>
      <c r="M113" s="33" t="s">
        <v>84</v>
      </c>
      <c r="N113" s="33"/>
      <c r="O113" s="32">
        <v>45</v>
      </c>
      <c r="P113" s="64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68</v>
      </c>
      <c r="Y113" s="542">
        <f>IFERROR(IF(X113="",0,CEILING((X113/$H113),1)*$H113),"")</f>
        <v>72.899999999999991</v>
      </c>
      <c r="Z113" s="36">
        <f>IFERROR(IF(Y113=0,"",ROUNDUP(Y113/H113,0)*0.01898),"")</f>
        <v>0.17082</v>
      </c>
      <c r="AA113" s="56"/>
      <c r="AB113" s="57"/>
      <c r="AC113" s="157" t="s">
        <v>211</v>
      </c>
      <c r="AG113" s="64"/>
      <c r="AJ113" s="68" t="s">
        <v>106</v>
      </c>
      <c r="AK113" s="68">
        <v>64.8</v>
      </c>
      <c r="BB113" s="158" t="s">
        <v>1</v>
      </c>
      <c r="BM113" s="64">
        <f>IFERROR(X113*I113/H113,"0")</f>
        <v>72.306666666666672</v>
      </c>
      <c r="BN113" s="64">
        <f>IFERROR(Y113*I113/H113,"0")</f>
        <v>77.516999999999982</v>
      </c>
      <c r="BO113" s="64">
        <f>IFERROR(1/J113*(X113/H113),"0")</f>
        <v>0.13117283950617284</v>
      </c>
      <c r="BP113" s="64">
        <f>IFERROR(1/J113*(Y113/H113),"0")</f>
        <v>0.140625</v>
      </c>
    </row>
    <row r="114" spans="1:68" ht="27" customHeight="1" x14ac:dyDescent="0.25">
      <c r="A114" s="54" t="s">
        <v>212</v>
      </c>
      <c r="B114" s="54" t="s">
        <v>213</v>
      </c>
      <c r="C114" s="31">
        <v>4301051730</v>
      </c>
      <c r="D114" s="545">
        <v>4607091383256</v>
      </c>
      <c r="E114" s="546"/>
      <c r="F114" s="540">
        <v>0.33</v>
      </c>
      <c r="G114" s="32">
        <v>6</v>
      </c>
      <c r="H114" s="540">
        <v>1.98</v>
      </c>
      <c r="I114" s="540">
        <v>2.226</v>
      </c>
      <c r="J114" s="32">
        <v>182</v>
      </c>
      <c r="K114" s="32" t="s">
        <v>76</v>
      </c>
      <c r="L114" s="32"/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214</v>
      </c>
      <c r="B115" s="54" t="s">
        <v>215</v>
      </c>
      <c r="C115" s="31">
        <v>4301051721</v>
      </c>
      <c r="D115" s="545">
        <v>4607091385748</v>
      </c>
      <c r="E115" s="546"/>
      <c r="F115" s="540">
        <v>0.45</v>
      </c>
      <c r="G115" s="32">
        <v>6</v>
      </c>
      <c r="H115" s="540">
        <v>2.7</v>
      </c>
      <c r="I115" s="540">
        <v>2.952</v>
      </c>
      <c r="J115" s="32">
        <v>182</v>
      </c>
      <c r="K115" s="32" t="s">
        <v>76</v>
      </c>
      <c r="L115" s="32" t="s">
        <v>208</v>
      </c>
      <c r="M115" s="33" t="s">
        <v>84</v>
      </c>
      <c r="N115" s="33"/>
      <c r="O115" s="32">
        <v>45</v>
      </c>
      <c r="P115" s="7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193</v>
      </c>
      <c r="Y115" s="542">
        <f>IFERROR(IF(X115="",0,CEILING((X115/$H115),1)*$H115),"")</f>
        <v>194.4</v>
      </c>
      <c r="Z115" s="36">
        <f>IFERROR(IF(Y115=0,"",ROUNDUP(Y115/H115,0)*0.00651),"")</f>
        <v>0.46872000000000003</v>
      </c>
      <c r="AA115" s="56"/>
      <c r="AB115" s="57"/>
      <c r="AC115" s="161" t="s">
        <v>211</v>
      </c>
      <c r="AG115" s="64"/>
      <c r="AJ115" s="68" t="s">
        <v>106</v>
      </c>
      <c r="AK115" s="68">
        <v>37.799999999999997</v>
      </c>
      <c r="BB115" s="162" t="s">
        <v>1</v>
      </c>
      <c r="BM115" s="64">
        <f>IFERROR(X115*I115/H115,"0")</f>
        <v>211.01333333333332</v>
      </c>
      <c r="BN115" s="64">
        <f>IFERROR(Y115*I115/H115,"0")</f>
        <v>212.54399999999998</v>
      </c>
      <c r="BO115" s="64">
        <f>IFERROR(1/J115*(X115/H115),"0")</f>
        <v>0.39275539275539278</v>
      </c>
      <c r="BP115" s="64">
        <f>IFERROR(1/J115*(Y115/H115),"0")</f>
        <v>0.39560439560439564</v>
      </c>
    </row>
    <row r="116" spans="1:68" ht="16.5" customHeight="1" x14ac:dyDescent="0.25">
      <c r="A116" s="54" t="s">
        <v>216</v>
      </c>
      <c r="B116" s="54" t="s">
        <v>217</v>
      </c>
      <c r="C116" s="31">
        <v>4301051740</v>
      </c>
      <c r="D116" s="545">
        <v>4680115884533</v>
      </c>
      <c r="E116" s="546"/>
      <c r="F116" s="540">
        <v>0.3</v>
      </c>
      <c r="G116" s="32">
        <v>6</v>
      </c>
      <c r="H116" s="540">
        <v>1.8</v>
      </c>
      <c r="I116" s="540">
        <v>1.98</v>
      </c>
      <c r="J116" s="32">
        <v>182</v>
      </c>
      <c r="K116" s="32" t="s">
        <v>76</v>
      </c>
      <c r="L116" s="32"/>
      <c r="M116" s="33" t="s">
        <v>77</v>
      </c>
      <c r="N116" s="33"/>
      <c r="O116" s="32">
        <v>45</v>
      </c>
      <c r="P116" s="6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48"/>
      <c r="R116" s="548"/>
      <c r="S116" s="548"/>
      <c r="T116" s="549"/>
      <c r="U116" s="34"/>
      <c r="V116" s="34"/>
      <c r="W116" s="35" t="s">
        <v>69</v>
      </c>
      <c r="X116" s="541">
        <v>0</v>
      </c>
      <c r="Y116" s="542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3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1" t="s">
        <v>71</v>
      </c>
      <c r="Q117" s="562"/>
      <c r="R117" s="562"/>
      <c r="S117" s="562"/>
      <c r="T117" s="562"/>
      <c r="U117" s="562"/>
      <c r="V117" s="563"/>
      <c r="W117" s="37" t="s">
        <v>72</v>
      </c>
      <c r="X117" s="543">
        <f>IFERROR(X113/H113,"0")+IFERROR(X114/H114,"0")+IFERROR(X115/H115,"0")+IFERROR(X116/H116,"0")</f>
        <v>79.876543209876544</v>
      </c>
      <c r="Y117" s="543">
        <f>IFERROR(Y113/H113,"0")+IFERROR(Y114/H114,"0")+IFERROR(Y115/H115,"0")+IFERROR(Y116/H116,"0")</f>
        <v>81</v>
      </c>
      <c r="Z117" s="543">
        <f>IFERROR(IF(Z113="",0,Z113),"0")+IFERROR(IF(Z114="",0,Z114),"0")+IFERROR(IF(Z115="",0,Z115),"0")+IFERROR(IF(Z116="",0,Z116),"0")</f>
        <v>0.63954</v>
      </c>
      <c r="AA117" s="544"/>
      <c r="AB117" s="544"/>
      <c r="AC117" s="544"/>
    </row>
    <row r="118" spans="1:68" x14ac:dyDescent="0.2">
      <c r="A118" s="554"/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5"/>
      <c r="P118" s="561" t="s">
        <v>71</v>
      </c>
      <c r="Q118" s="562"/>
      <c r="R118" s="562"/>
      <c r="S118" s="562"/>
      <c r="T118" s="562"/>
      <c r="U118" s="562"/>
      <c r="V118" s="563"/>
      <c r="W118" s="37" t="s">
        <v>69</v>
      </c>
      <c r="X118" s="543">
        <f>IFERROR(SUM(X113:X116),"0")</f>
        <v>261</v>
      </c>
      <c r="Y118" s="543">
        <f>IFERROR(SUM(Y113:Y116),"0")</f>
        <v>267.3</v>
      </c>
      <c r="Z118" s="37"/>
      <c r="AA118" s="544"/>
      <c r="AB118" s="544"/>
      <c r="AC118" s="544"/>
    </row>
    <row r="119" spans="1:68" ht="14.25" customHeight="1" x14ac:dyDescent="0.25">
      <c r="A119" s="557" t="s">
        <v>165</v>
      </c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537"/>
      <c r="AB119" s="537"/>
      <c r="AC119" s="537"/>
    </row>
    <row r="120" spans="1:68" ht="16.5" customHeight="1" x14ac:dyDescent="0.25">
      <c r="A120" s="54" t="s">
        <v>219</v>
      </c>
      <c r="B120" s="54" t="s">
        <v>220</v>
      </c>
      <c r="C120" s="31">
        <v>4301060317</v>
      </c>
      <c r="D120" s="545">
        <v>4680115880238</v>
      </c>
      <c r="E120" s="546"/>
      <c r="F120" s="540">
        <v>0.33</v>
      </c>
      <c r="G120" s="32">
        <v>6</v>
      </c>
      <c r="H120" s="540">
        <v>1.98</v>
      </c>
      <c r="I120" s="540">
        <v>2.238</v>
      </c>
      <c r="J120" s="32">
        <v>182</v>
      </c>
      <c r="K120" s="32" t="s">
        <v>76</v>
      </c>
      <c r="L120" s="32"/>
      <c r="M120" s="33" t="s">
        <v>77</v>
      </c>
      <c r="N120" s="33"/>
      <c r="O120" s="32">
        <v>40</v>
      </c>
      <c r="P120" s="61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48"/>
      <c r="R120" s="548"/>
      <c r="S120" s="548"/>
      <c r="T120" s="549"/>
      <c r="U120" s="34"/>
      <c r="V120" s="34"/>
      <c r="W120" s="35" t="s">
        <v>69</v>
      </c>
      <c r="X120" s="541">
        <v>0</v>
      </c>
      <c r="Y120" s="5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/>
      <c r="AK120" s="68">
        <v>0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53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1" t="s">
        <v>71</v>
      </c>
      <c r="Q121" s="562"/>
      <c r="R121" s="562"/>
      <c r="S121" s="562"/>
      <c r="T121" s="562"/>
      <c r="U121" s="562"/>
      <c r="V121" s="563"/>
      <c r="W121" s="37" t="s">
        <v>72</v>
      </c>
      <c r="X121" s="543">
        <f>IFERROR(X120/H120,"0")</f>
        <v>0</v>
      </c>
      <c r="Y121" s="543">
        <f>IFERROR(Y120/H120,"0")</f>
        <v>0</v>
      </c>
      <c r="Z121" s="543">
        <f>IFERROR(IF(Z120="",0,Z120),"0")</f>
        <v>0</v>
      </c>
      <c r="AA121" s="544"/>
      <c r="AB121" s="544"/>
      <c r="AC121" s="544"/>
    </row>
    <row r="122" spans="1:68" x14ac:dyDescent="0.2">
      <c r="A122" s="554"/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5"/>
      <c r="P122" s="561" t="s">
        <v>71</v>
      </c>
      <c r="Q122" s="562"/>
      <c r="R122" s="562"/>
      <c r="S122" s="562"/>
      <c r="T122" s="562"/>
      <c r="U122" s="562"/>
      <c r="V122" s="563"/>
      <c r="W122" s="37" t="s">
        <v>69</v>
      </c>
      <c r="X122" s="543">
        <f>IFERROR(SUM(X120:X120),"0")</f>
        <v>0</v>
      </c>
      <c r="Y122" s="543">
        <f>IFERROR(SUM(Y120:Y120),"0")</f>
        <v>0</v>
      </c>
      <c r="Z122" s="37"/>
      <c r="AA122" s="544"/>
      <c r="AB122" s="544"/>
      <c r="AC122" s="544"/>
    </row>
    <row r="123" spans="1:68" ht="16.5" customHeight="1" x14ac:dyDescent="0.25">
      <c r="A123" s="558" t="s">
        <v>222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6"/>
      <c r="AB123" s="536"/>
      <c r="AC123" s="536"/>
    </row>
    <row r="124" spans="1:68" ht="14.25" customHeight="1" x14ac:dyDescent="0.25">
      <c r="A124" s="557" t="s">
        <v>99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537"/>
      <c r="AB124" s="537"/>
      <c r="AC124" s="537"/>
    </row>
    <row r="125" spans="1:68" ht="27" customHeight="1" x14ac:dyDescent="0.25">
      <c r="A125" s="54" t="s">
        <v>223</v>
      </c>
      <c r="B125" s="54" t="s">
        <v>224</v>
      </c>
      <c r="C125" s="31">
        <v>4301011562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225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223</v>
      </c>
      <c r="B126" s="54" t="s">
        <v>226</v>
      </c>
      <c r="C126" s="31">
        <v>4301011564</v>
      </c>
      <c r="D126" s="545">
        <v>4680115882577</v>
      </c>
      <c r="E126" s="546"/>
      <c r="F126" s="540">
        <v>0.4</v>
      </c>
      <c r="G126" s="32">
        <v>8</v>
      </c>
      <c r="H126" s="540">
        <v>3.2</v>
      </c>
      <c r="I126" s="540">
        <v>3.38</v>
      </c>
      <c r="J126" s="32">
        <v>182</v>
      </c>
      <c r="K126" s="32" t="s">
        <v>76</v>
      </c>
      <c r="L126" s="32"/>
      <c r="M126" s="33" t="s">
        <v>94</v>
      </c>
      <c r="N126" s="33"/>
      <c r="O126" s="32">
        <v>90</v>
      </c>
      <c r="P126" s="8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48"/>
      <c r="R126" s="548"/>
      <c r="S126" s="548"/>
      <c r="T126" s="549"/>
      <c r="U126" s="34"/>
      <c r="V126" s="34"/>
      <c r="W126" s="35" t="s">
        <v>69</v>
      </c>
      <c r="X126" s="541">
        <v>0</v>
      </c>
      <c r="Y126" s="54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53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1" t="s">
        <v>71</v>
      </c>
      <c r="Q127" s="562"/>
      <c r="R127" s="562"/>
      <c r="S127" s="562"/>
      <c r="T127" s="562"/>
      <c r="U127" s="562"/>
      <c r="V127" s="563"/>
      <c r="W127" s="37" t="s">
        <v>72</v>
      </c>
      <c r="X127" s="543">
        <f>IFERROR(X125/H125,"0")+IFERROR(X126/H126,"0")</f>
        <v>0</v>
      </c>
      <c r="Y127" s="543">
        <f>IFERROR(Y125/H125,"0")+IFERROR(Y126/H126,"0")</f>
        <v>0</v>
      </c>
      <c r="Z127" s="543">
        <f>IFERROR(IF(Z125="",0,Z125),"0")+IFERROR(IF(Z126="",0,Z126),"0")</f>
        <v>0</v>
      </c>
      <c r="AA127" s="544"/>
      <c r="AB127" s="544"/>
      <c r="AC127" s="544"/>
    </row>
    <row r="128" spans="1:68" x14ac:dyDescent="0.2">
      <c r="A128" s="554"/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5"/>
      <c r="P128" s="561" t="s">
        <v>71</v>
      </c>
      <c r="Q128" s="562"/>
      <c r="R128" s="562"/>
      <c r="S128" s="562"/>
      <c r="T128" s="562"/>
      <c r="U128" s="562"/>
      <c r="V128" s="563"/>
      <c r="W128" s="37" t="s">
        <v>69</v>
      </c>
      <c r="X128" s="543">
        <f>IFERROR(SUM(X125:X126),"0")</f>
        <v>0</v>
      </c>
      <c r="Y128" s="543">
        <f>IFERROR(SUM(Y125:Y126),"0")</f>
        <v>0</v>
      </c>
      <c r="Z128" s="37"/>
      <c r="AA128" s="544"/>
      <c r="AB128" s="544"/>
      <c r="AC128" s="544"/>
    </row>
    <row r="129" spans="1:68" ht="14.25" customHeight="1" x14ac:dyDescent="0.25">
      <c r="A129" s="557" t="s">
        <v>64</v>
      </c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537"/>
      <c r="AB129" s="537"/>
      <c r="AC129" s="537"/>
    </row>
    <row r="130" spans="1:68" ht="27" customHeight="1" x14ac:dyDescent="0.25">
      <c r="A130" s="54" t="s">
        <v>227</v>
      </c>
      <c r="B130" s="54" t="s">
        <v>228</v>
      </c>
      <c r="C130" s="31">
        <v>4301031235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229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227</v>
      </c>
      <c r="B131" s="54" t="s">
        <v>230</v>
      </c>
      <c r="C131" s="31">
        <v>4301031234</v>
      </c>
      <c r="D131" s="545">
        <v>4680115883444</v>
      </c>
      <c r="E131" s="546"/>
      <c r="F131" s="540">
        <v>0.35</v>
      </c>
      <c r="G131" s="32">
        <v>8</v>
      </c>
      <c r="H131" s="540">
        <v>2.8</v>
      </c>
      <c r="I131" s="540">
        <v>3.0680000000000001</v>
      </c>
      <c r="J131" s="32">
        <v>182</v>
      </c>
      <c r="K131" s="32" t="s">
        <v>76</v>
      </c>
      <c r="L131" s="32"/>
      <c r="M131" s="33" t="s">
        <v>94</v>
      </c>
      <c r="N131" s="33"/>
      <c r="O131" s="32">
        <v>90</v>
      </c>
      <c r="P131" s="65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48"/>
      <c r="R131" s="548"/>
      <c r="S131" s="548"/>
      <c r="T131" s="549"/>
      <c r="U131" s="34"/>
      <c r="V131" s="34"/>
      <c r="W131" s="35" t="s">
        <v>69</v>
      </c>
      <c r="X131" s="541">
        <v>0</v>
      </c>
      <c r="Y131" s="5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229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53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1" t="s">
        <v>71</v>
      </c>
      <c r="Q132" s="562"/>
      <c r="R132" s="562"/>
      <c r="S132" s="562"/>
      <c r="T132" s="562"/>
      <c r="U132" s="562"/>
      <c r="V132" s="563"/>
      <c r="W132" s="37" t="s">
        <v>72</v>
      </c>
      <c r="X132" s="543">
        <f>IFERROR(X130/H130,"0")+IFERROR(X131/H131,"0")</f>
        <v>0</v>
      </c>
      <c r="Y132" s="543">
        <f>IFERROR(Y130/H130,"0")+IFERROR(Y131/H131,"0")</f>
        <v>0</v>
      </c>
      <c r="Z132" s="543">
        <f>IFERROR(IF(Z130="",0,Z130),"0")+IFERROR(IF(Z131="",0,Z131),"0")</f>
        <v>0</v>
      </c>
      <c r="AA132" s="544"/>
      <c r="AB132" s="544"/>
      <c r="AC132" s="544"/>
    </row>
    <row r="133" spans="1:68" x14ac:dyDescent="0.2">
      <c r="A133" s="554"/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5"/>
      <c r="P133" s="561" t="s">
        <v>71</v>
      </c>
      <c r="Q133" s="562"/>
      <c r="R133" s="562"/>
      <c r="S133" s="562"/>
      <c r="T133" s="562"/>
      <c r="U133" s="562"/>
      <c r="V133" s="563"/>
      <c r="W133" s="37" t="s">
        <v>69</v>
      </c>
      <c r="X133" s="543">
        <f>IFERROR(SUM(X130:X131),"0")</f>
        <v>0</v>
      </c>
      <c r="Y133" s="543">
        <f>IFERROR(SUM(Y130:Y131),"0")</f>
        <v>0</v>
      </c>
      <c r="Z133" s="37"/>
      <c r="AA133" s="544"/>
      <c r="AB133" s="544"/>
      <c r="AC133" s="544"/>
    </row>
    <row r="134" spans="1:68" ht="14.25" customHeight="1" x14ac:dyDescent="0.25">
      <c r="A134" s="557" t="s">
        <v>73</v>
      </c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537"/>
      <c r="AB134" s="537"/>
      <c r="AC134" s="537"/>
    </row>
    <row r="135" spans="1:68" ht="16.5" customHeight="1" x14ac:dyDescent="0.25">
      <c r="A135" s="54" t="s">
        <v>231</v>
      </c>
      <c r="B135" s="54" t="s">
        <v>232</v>
      </c>
      <c r="C135" s="31">
        <v>4301051477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231</v>
      </c>
      <c r="B136" s="54" t="s">
        <v>233</v>
      </c>
      <c r="C136" s="31">
        <v>4301051476</v>
      </c>
      <c r="D136" s="545">
        <v>4680115882584</v>
      </c>
      <c r="E136" s="546"/>
      <c r="F136" s="540">
        <v>0.33</v>
      </c>
      <c r="G136" s="32">
        <v>8</v>
      </c>
      <c r="H136" s="540">
        <v>2.64</v>
      </c>
      <c r="I136" s="540">
        <v>2.9079999999999999</v>
      </c>
      <c r="J136" s="32">
        <v>182</v>
      </c>
      <c r="K136" s="32" t="s">
        <v>76</v>
      </c>
      <c r="L136" s="32"/>
      <c r="M136" s="33" t="s">
        <v>94</v>
      </c>
      <c r="N136" s="33"/>
      <c r="O136" s="32">
        <v>60</v>
      </c>
      <c r="P136" s="84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48"/>
      <c r="R136" s="548"/>
      <c r="S136" s="548"/>
      <c r="T136" s="549"/>
      <c r="U136" s="34"/>
      <c r="V136" s="34"/>
      <c r="W136" s="35" t="s">
        <v>69</v>
      </c>
      <c r="X136" s="541">
        <v>0</v>
      </c>
      <c r="Y136" s="54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225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53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1" t="s">
        <v>71</v>
      </c>
      <c r="Q137" s="562"/>
      <c r="R137" s="562"/>
      <c r="S137" s="562"/>
      <c r="T137" s="562"/>
      <c r="U137" s="562"/>
      <c r="V137" s="563"/>
      <c r="W137" s="37" t="s">
        <v>72</v>
      </c>
      <c r="X137" s="543">
        <f>IFERROR(X135/H135,"0")+IFERROR(X136/H136,"0")</f>
        <v>0</v>
      </c>
      <c r="Y137" s="543">
        <f>IFERROR(Y135/H135,"0")+IFERROR(Y136/H136,"0")</f>
        <v>0</v>
      </c>
      <c r="Z137" s="543">
        <f>IFERROR(IF(Z135="",0,Z135),"0")+IFERROR(IF(Z136="",0,Z136),"0")</f>
        <v>0</v>
      </c>
      <c r="AA137" s="544"/>
      <c r="AB137" s="544"/>
      <c r="AC137" s="544"/>
    </row>
    <row r="138" spans="1:68" x14ac:dyDescent="0.2">
      <c r="A138" s="554"/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5"/>
      <c r="P138" s="561" t="s">
        <v>71</v>
      </c>
      <c r="Q138" s="562"/>
      <c r="R138" s="562"/>
      <c r="S138" s="562"/>
      <c r="T138" s="562"/>
      <c r="U138" s="562"/>
      <c r="V138" s="563"/>
      <c r="W138" s="37" t="s">
        <v>69</v>
      </c>
      <c r="X138" s="543">
        <f>IFERROR(SUM(X135:X136),"0")</f>
        <v>0</v>
      </c>
      <c r="Y138" s="543">
        <f>IFERROR(SUM(Y135:Y136),"0")</f>
        <v>0</v>
      </c>
      <c r="Z138" s="37"/>
      <c r="AA138" s="544"/>
      <c r="AB138" s="544"/>
      <c r="AC138" s="544"/>
    </row>
    <row r="139" spans="1:68" ht="16.5" customHeight="1" x14ac:dyDescent="0.25">
      <c r="A139" s="558" t="s">
        <v>97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6"/>
      <c r="AB139" s="536"/>
      <c r="AC139" s="536"/>
    </row>
    <row r="140" spans="1:68" ht="14.25" customHeight="1" x14ac:dyDescent="0.25">
      <c r="A140" s="557" t="s">
        <v>99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37"/>
      <c r="AB140" s="537"/>
      <c r="AC140" s="537"/>
    </row>
    <row r="141" spans="1:68" ht="27" customHeight="1" x14ac:dyDescent="0.25">
      <c r="A141" s="54" t="s">
        <v>234</v>
      </c>
      <c r="B141" s="54" t="s">
        <v>235</v>
      </c>
      <c r="C141" s="31">
        <v>4301012244</v>
      </c>
      <c r="D141" s="545">
        <v>4680115887374</v>
      </c>
      <c r="E141" s="546"/>
      <c r="F141" s="540">
        <v>1.6</v>
      </c>
      <c r="G141" s="32">
        <v>8</v>
      </c>
      <c r="H141" s="540">
        <v>12.8</v>
      </c>
      <c r="I141" s="540">
        <v>13.234999999999999</v>
      </c>
      <c r="J141" s="32">
        <v>64</v>
      </c>
      <c r="K141" s="32" t="s">
        <v>102</v>
      </c>
      <c r="L141" s="32"/>
      <c r="M141" s="33" t="s">
        <v>104</v>
      </c>
      <c r="N141" s="33"/>
      <c r="O141" s="32">
        <v>55</v>
      </c>
      <c r="P141" s="73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238</v>
      </c>
      <c r="B142" s="54" t="s">
        <v>239</v>
      </c>
      <c r="C142" s="31">
        <v>4301011705</v>
      </c>
      <c r="D142" s="545">
        <v>4607091384604</v>
      </c>
      <c r="E142" s="546"/>
      <c r="F142" s="540">
        <v>0.4</v>
      </c>
      <c r="G142" s="32">
        <v>10</v>
      </c>
      <c r="H142" s="540">
        <v>4</v>
      </c>
      <c r="I142" s="540">
        <v>4.21</v>
      </c>
      <c r="J142" s="32">
        <v>132</v>
      </c>
      <c r="K142" s="32" t="s">
        <v>109</v>
      </c>
      <c r="L142" s="32"/>
      <c r="M142" s="33" t="s">
        <v>104</v>
      </c>
      <c r="N142" s="33"/>
      <c r="O142" s="32">
        <v>50</v>
      </c>
      <c r="P142" s="66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241</v>
      </c>
      <c r="B143" s="54" t="s">
        <v>242</v>
      </c>
      <c r="C143" s="31">
        <v>4301012179</v>
      </c>
      <c r="D143" s="545">
        <v>4680115886810</v>
      </c>
      <c r="E143" s="546"/>
      <c r="F143" s="540">
        <v>0.3</v>
      </c>
      <c r="G143" s="32">
        <v>10</v>
      </c>
      <c r="H143" s="540">
        <v>3</v>
      </c>
      <c r="I143" s="540">
        <v>3.18</v>
      </c>
      <c r="J143" s="32">
        <v>182</v>
      </c>
      <c r="K143" s="32" t="s">
        <v>76</v>
      </c>
      <c r="L143" s="32"/>
      <c r="M143" s="33" t="s">
        <v>104</v>
      </c>
      <c r="N143" s="33"/>
      <c r="O143" s="32">
        <v>55</v>
      </c>
      <c r="P143" s="73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48"/>
      <c r="R143" s="548"/>
      <c r="S143" s="548"/>
      <c r="T143" s="549"/>
      <c r="U143" s="34"/>
      <c r="V143" s="34"/>
      <c r="W143" s="35" t="s">
        <v>69</v>
      </c>
      <c r="X143" s="541">
        <v>0</v>
      </c>
      <c r="Y143" s="542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53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1" t="s">
        <v>71</v>
      </c>
      <c r="Q144" s="562"/>
      <c r="R144" s="562"/>
      <c r="S144" s="562"/>
      <c r="T144" s="562"/>
      <c r="U144" s="562"/>
      <c r="V144" s="563"/>
      <c r="W144" s="37" t="s">
        <v>72</v>
      </c>
      <c r="X144" s="543">
        <f>IFERROR(X141/H141,"0")+IFERROR(X142/H142,"0")+IFERROR(X143/H143,"0")</f>
        <v>0</v>
      </c>
      <c r="Y144" s="543">
        <f>IFERROR(Y141/H141,"0")+IFERROR(Y142/H142,"0")+IFERROR(Y143/H143,"0")</f>
        <v>0</v>
      </c>
      <c r="Z144" s="543">
        <f>IFERROR(IF(Z141="",0,Z141),"0")+IFERROR(IF(Z142="",0,Z142),"0")+IFERROR(IF(Z143="",0,Z143),"0")</f>
        <v>0</v>
      </c>
      <c r="AA144" s="544"/>
      <c r="AB144" s="544"/>
      <c r="AC144" s="544"/>
    </row>
    <row r="145" spans="1:68" x14ac:dyDescent="0.2">
      <c r="A145" s="554"/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5"/>
      <c r="P145" s="561" t="s">
        <v>71</v>
      </c>
      <c r="Q145" s="562"/>
      <c r="R145" s="562"/>
      <c r="S145" s="562"/>
      <c r="T145" s="562"/>
      <c r="U145" s="562"/>
      <c r="V145" s="563"/>
      <c r="W145" s="37" t="s">
        <v>69</v>
      </c>
      <c r="X145" s="543">
        <f>IFERROR(SUM(X141:X143),"0")</f>
        <v>0</v>
      </c>
      <c r="Y145" s="543">
        <f>IFERROR(SUM(Y141:Y143),"0")</f>
        <v>0</v>
      </c>
      <c r="Z145" s="37"/>
      <c r="AA145" s="544"/>
      <c r="AB145" s="544"/>
      <c r="AC145" s="544"/>
    </row>
    <row r="146" spans="1:68" ht="14.25" customHeight="1" x14ac:dyDescent="0.25">
      <c r="A146" s="557" t="s">
        <v>64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537"/>
      <c r="AB146" s="537"/>
      <c r="AC146" s="537"/>
    </row>
    <row r="147" spans="1:68" ht="16.5" customHeight="1" x14ac:dyDescent="0.25">
      <c r="A147" s="54" t="s">
        <v>244</v>
      </c>
      <c r="B147" s="54" t="s">
        <v>245</v>
      </c>
      <c r="C147" s="31">
        <v>4301030895</v>
      </c>
      <c r="D147" s="545">
        <v>4607091387667</v>
      </c>
      <c r="E147" s="546"/>
      <c r="F147" s="540">
        <v>0.9</v>
      </c>
      <c r="G147" s="32">
        <v>10</v>
      </c>
      <c r="H147" s="540">
        <v>9</v>
      </c>
      <c r="I147" s="540">
        <v>9.5850000000000009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59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247</v>
      </c>
      <c r="B148" s="54" t="s">
        <v>248</v>
      </c>
      <c r="C148" s="31">
        <v>4301030961</v>
      </c>
      <c r="D148" s="545">
        <v>4607091387636</v>
      </c>
      <c r="E148" s="546"/>
      <c r="F148" s="540">
        <v>0.7</v>
      </c>
      <c r="G148" s="32">
        <v>6</v>
      </c>
      <c r="H148" s="540">
        <v>4.2</v>
      </c>
      <c r="I148" s="540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62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48"/>
      <c r="R148" s="548"/>
      <c r="S148" s="548"/>
      <c r="T148" s="549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250</v>
      </c>
      <c r="B149" s="54" t="s">
        <v>251</v>
      </c>
      <c r="C149" s="31">
        <v>4301030963</v>
      </c>
      <c r="D149" s="545">
        <v>4607091382426</v>
      </c>
      <c r="E149" s="546"/>
      <c r="F149" s="540">
        <v>0.9</v>
      </c>
      <c r="G149" s="32">
        <v>10</v>
      </c>
      <c r="H149" s="540">
        <v>9</v>
      </c>
      <c r="I149" s="540">
        <v>9.5850000000000009</v>
      </c>
      <c r="J149" s="32">
        <v>64</v>
      </c>
      <c r="K149" s="32" t="s">
        <v>102</v>
      </c>
      <c r="L149" s="32"/>
      <c r="M149" s="33" t="s">
        <v>68</v>
      </c>
      <c r="N149" s="33"/>
      <c r="O149" s="32">
        <v>40</v>
      </c>
      <c r="P149" s="85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48"/>
      <c r="R149" s="548"/>
      <c r="S149" s="548"/>
      <c r="T149" s="549"/>
      <c r="U149" s="34"/>
      <c r="V149" s="34"/>
      <c r="W149" s="35" t="s">
        <v>69</v>
      </c>
      <c r="X149" s="541">
        <v>0</v>
      </c>
      <c r="Y149" s="542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553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1" t="s">
        <v>71</v>
      </c>
      <c r="Q150" s="562"/>
      <c r="R150" s="562"/>
      <c r="S150" s="562"/>
      <c r="T150" s="562"/>
      <c r="U150" s="562"/>
      <c r="V150" s="563"/>
      <c r="W150" s="37" t="s">
        <v>72</v>
      </c>
      <c r="X150" s="543">
        <f>IFERROR(X147/H147,"0")+IFERROR(X148/H148,"0")+IFERROR(X149/H149,"0")</f>
        <v>0</v>
      </c>
      <c r="Y150" s="543">
        <f>IFERROR(Y147/H147,"0")+IFERROR(Y148/H148,"0")+IFERROR(Y149/H149,"0")</f>
        <v>0</v>
      </c>
      <c r="Z150" s="543">
        <f>IFERROR(IF(Z147="",0,Z147),"0")+IFERROR(IF(Z148="",0,Z148),"0")+IFERROR(IF(Z149="",0,Z149),"0")</f>
        <v>0</v>
      </c>
      <c r="AA150" s="544"/>
      <c r="AB150" s="544"/>
      <c r="AC150" s="544"/>
    </row>
    <row r="151" spans="1:68" x14ac:dyDescent="0.2">
      <c r="A151" s="554"/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5"/>
      <c r="P151" s="561" t="s">
        <v>71</v>
      </c>
      <c r="Q151" s="562"/>
      <c r="R151" s="562"/>
      <c r="S151" s="562"/>
      <c r="T151" s="562"/>
      <c r="U151" s="562"/>
      <c r="V151" s="563"/>
      <c r="W151" s="37" t="s">
        <v>69</v>
      </c>
      <c r="X151" s="543">
        <f>IFERROR(SUM(X147:X149),"0")</f>
        <v>0</v>
      </c>
      <c r="Y151" s="543">
        <f>IFERROR(SUM(Y147:Y149),"0")</f>
        <v>0</v>
      </c>
      <c r="Z151" s="37"/>
      <c r="AA151" s="544"/>
      <c r="AB151" s="544"/>
      <c r="AC151" s="544"/>
    </row>
    <row r="152" spans="1:68" ht="14.25" customHeight="1" x14ac:dyDescent="0.25">
      <c r="A152" s="557" t="s">
        <v>73</v>
      </c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537"/>
      <c r="AB152" s="537"/>
      <c r="AC152" s="537"/>
    </row>
    <row r="153" spans="1:68" ht="27" customHeight="1" x14ac:dyDescent="0.25">
      <c r="A153" s="54" t="s">
        <v>253</v>
      </c>
      <c r="B153" s="54" t="s">
        <v>254</v>
      </c>
      <c r="C153" s="31">
        <v>4301052064</v>
      </c>
      <c r="D153" s="545">
        <v>4680115887459</v>
      </c>
      <c r="E153" s="546"/>
      <c r="F153" s="540">
        <v>0.3</v>
      </c>
      <c r="G153" s="32">
        <v>6</v>
      </c>
      <c r="H153" s="540">
        <v>1.8</v>
      </c>
      <c r="I153" s="540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727" t="s">
        <v>255</v>
      </c>
      <c r="Q153" s="548"/>
      <c r="R153" s="548"/>
      <c r="S153" s="548"/>
      <c r="T153" s="549"/>
      <c r="U153" s="34"/>
      <c r="V153" s="34"/>
      <c r="W153" s="35" t="s">
        <v>69</v>
      </c>
      <c r="X153" s="541">
        <v>0</v>
      </c>
      <c r="Y153" s="542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553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1" t="s">
        <v>71</v>
      </c>
      <c r="Q154" s="562"/>
      <c r="R154" s="562"/>
      <c r="S154" s="562"/>
      <c r="T154" s="562"/>
      <c r="U154" s="562"/>
      <c r="V154" s="563"/>
      <c r="W154" s="37" t="s">
        <v>72</v>
      </c>
      <c r="X154" s="543">
        <f>IFERROR(X153/H153,"0")</f>
        <v>0</v>
      </c>
      <c r="Y154" s="543">
        <f>IFERROR(Y153/H153,"0")</f>
        <v>0</v>
      </c>
      <c r="Z154" s="543">
        <f>IFERROR(IF(Z153="",0,Z153),"0")</f>
        <v>0</v>
      </c>
      <c r="AA154" s="544"/>
      <c r="AB154" s="544"/>
      <c r="AC154" s="544"/>
    </row>
    <row r="155" spans="1:68" x14ac:dyDescent="0.2">
      <c r="A155" s="554"/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5"/>
      <c r="P155" s="561" t="s">
        <v>71</v>
      </c>
      <c r="Q155" s="562"/>
      <c r="R155" s="562"/>
      <c r="S155" s="562"/>
      <c r="T155" s="562"/>
      <c r="U155" s="562"/>
      <c r="V155" s="563"/>
      <c r="W155" s="37" t="s">
        <v>69</v>
      </c>
      <c r="X155" s="543">
        <f>IFERROR(SUM(X153:X153),"0")</f>
        <v>0</v>
      </c>
      <c r="Y155" s="543">
        <f>IFERROR(SUM(Y153:Y153),"0")</f>
        <v>0</v>
      </c>
      <c r="Z155" s="37"/>
      <c r="AA155" s="544"/>
      <c r="AB155" s="544"/>
      <c r="AC155" s="544"/>
    </row>
    <row r="156" spans="1:68" ht="27.75" customHeight="1" x14ac:dyDescent="0.2">
      <c r="A156" s="639" t="s">
        <v>257</v>
      </c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40"/>
      <c r="P156" s="640"/>
      <c r="Q156" s="640"/>
      <c r="R156" s="640"/>
      <c r="S156" s="640"/>
      <c r="T156" s="640"/>
      <c r="U156" s="640"/>
      <c r="V156" s="640"/>
      <c r="W156" s="640"/>
      <c r="X156" s="640"/>
      <c r="Y156" s="640"/>
      <c r="Z156" s="640"/>
      <c r="AA156" s="48"/>
      <c r="AB156" s="48"/>
      <c r="AC156" s="48"/>
    </row>
    <row r="157" spans="1:68" ht="16.5" customHeight="1" x14ac:dyDescent="0.25">
      <c r="A157" s="558" t="s">
        <v>258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6"/>
      <c r="AB157" s="536"/>
      <c r="AC157" s="536"/>
    </row>
    <row r="158" spans="1:68" ht="14.25" customHeight="1" x14ac:dyDescent="0.25">
      <c r="A158" s="557" t="s">
        <v>135</v>
      </c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537"/>
      <c r="AB158" s="537"/>
      <c r="AC158" s="537"/>
    </row>
    <row r="159" spans="1:68" ht="27" customHeight="1" x14ac:dyDescent="0.25">
      <c r="A159" s="54" t="s">
        <v>259</v>
      </c>
      <c r="B159" s="54" t="s">
        <v>260</v>
      </c>
      <c r="C159" s="31">
        <v>4301020323</v>
      </c>
      <c r="D159" s="545">
        <v>4680115886223</v>
      </c>
      <c r="E159" s="546"/>
      <c r="F159" s="540">
        <v>0.33</v>
      </c>
      <c r="G159" s="32">
        <v>6</v>
      </c>
      <c r="H159" s="540">
        <v>1.98</v>
      </c>
      <c r="I159" s="540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48"/>
      <c r="R159" s="548"/>
      <c r="S159" s="548"/>
      <c r="T159" s="549"/>
      <c r="U159" s="34"/>
      <c r="V159" s="34"/>
      <c r="W159" s="35" t="s">
        <v>69</v>
      </c>
      <c r="X159" s="541">
        <v>0</v>
      </c>
      <c r="Y159" s="542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553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1" t="s">
        <v>71</v>
      </c>
      <c r="Q160" s="562"/>
      <c r="R160" s="562"/>
      <c r="S160" s="562"/>
      <c r="T160" s="562"/>
      <c r="U160" s="562"/>
      <c r="V160" s="563"/>
      <c r="W160" s="37" t="s">
        <v>72</v>
      </c>
      <c r="X160" s="543">
        <f>IFERROR(X159/H159,"0")</f>
        <v>0</v>
      </c>
      <c r="Y160" s="543">
        <f>IFERROR(Y159/H159,"0")</f>
        <v>0</v>
      </c>
      <c r="Z160" s="543">
        <f>IFERROR(IF(Z159="",0,Z159),"0")</f>
        <v>0</v>
      </c>
      <c r="AA160" s="544"/>
      <c r="AB160" s="544"/>
      <c r="AC160" s="544"/>
    </row>
    <row r="161" spans="1:68" x14ac:dyDescent="0.2">
      <c r="A161" s="554"/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5"/>
      <c r="P161" s="561" t="s">
        <v>71</v>
      </c>
      <c r="Q161" s="562"/>
      <c r="R161" s="562"/>
      <c r="S161" s="562"/>
      <c r="T161" s="562"/>
      <c r="U161" s="562"/>
      <c r="V161" s="563"/>
      <c r="W161" s="37" t="s">
        <v>69</v>
      </c>
      <c r="X161" s="543">
        <f>IFERROR(SUM(X159:X159),"0")</f>
        <v>0</v>
      </c>
      <c r="Y161" s="543">
        <f>IFERROR(SUM(Y159:Y159),"0")</f>
        <v>0</v>
      </c>
      <c r="Z161" s="37"/>
      <c r="AA161" s="544"/>
      <c r="AB161" s="544"/>
      <c r="AC161" s="544"/>
    </row>
    <row r="162" spans="1:68" ht="14.25" customHeight="1" x14ac:dyDescent="0.25">
      <c r="A162" s="557" t="s">
        <v>64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537"/>
      <c r="AB162" s="537"/>
      <c r="AC162" s="537"/>
    </row>
    <row r="163" spans="1:68" ht="27" customHeight="1" x14ac:dyDescent="0.25">
      <c r="A163" s="54" t="s">
        <v>262</v>
      </c>
      <c r="B163" s="54" t="s">
        <v>263</v>
      </c>
      <c r="C163" s="31">
        <v>4301031191</v>
      </c>
      <c r="D163" s="545">
        <v>4680115880993</v>
      </c>
      <c r="E163" s="546"/>
      <c r="F163" s="540">
        <v>0.7</v>
      </c>
      <c r="G163" s="32">
        <v>6</v>
      </c>
      <c r="H163" s="540">
        <v>4.2</v>
      </c>
      <c r="I163" s="540">
        <v>4.47</v>
      </c>
      <c r="J163" s="32">
        <v>132</v>
      </c>
      <c r="K163" s="32" t="s">
        <v>109</v>
      </c>
      <c r="L163" s="32" t="s">
        <v>112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0</v>
      </c>
      <c r="Y163" s="542">
        <f t="shared" ref="Y163:Y171" si="5"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106</v>
      </c>
      <c r="AK163" s="68">
        <v>50.4</v>
      </c>
      <c r="BB163" s="196" t="s">
        <v>1</v>
      </c>
      <c r="BM163" s="64">
        <f t="shared" ref="BM163:BM171" si="6">IFERROR(X163*I163/H163,"0")</f>
        <v>0</v>
      </c>
      <c r="BN163" s="64">
        <f t="shared" ref="BN163:BN171" si="7">IFERROR(Y163*I163/H163,"0")</f>
        <v>0</v>
      </c>
      <c r="BO163" s="64">
        <f t="shared" ref="BO163:BO171" si="8">IFERROR(1/J163*(X163/H163),"0")</f>
        <v>0</v>
      </c>
      <c r="BP163" s="64">
        <f t="shared" ref="BP163:BP171" si="9">IFERROR(1/J163*(Y163/H163),"0")</f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4301031204</v>
      </c>
      <c r="D164" s="545">
        <v>4680115881761</v>
      </c>
      <c r="E164" s="546"/>
      <c r="F164" s="540">
        <v>0.7</v>
      </c>
      <c r="G164" s="32">
        <v>6</v>
      </c>
      <c r="H164" s="540">
        <v>4.2</v>
      </c>
      <c r="I164" s="540">
        <v>4.47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4301031201</v>
      </c>
      <c r="D165" s="545">
        <v>4680115881563</v>
      </c>
      <c r="E165" s="546"/>
      <c r="F165" s="540">
        <v>0.7</v>
      </c>
      <c r="G165" s="32">
        <v>6</v>
      </c>
      <c r="H165" s="540">
        <v>4.2</v>
      </c>
      <c r="I165" s="540">
        <v>4.41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302</v>
      </c>
      <c r="Y165" s="542">
        <f t="shared" si="5"/>
        <v>302.40000000000003</v>
      </c>
      <c r="Z165" s="36">
        <f>IFERROR(IF(Y165=0,"",ROUNDUP(Y165/H165,0)*0.00902),"")</f>
        <v>0.64944000000000002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317.09999999999997</v>
      </c>
      <c r="BN165" s="64">
        <f t="shared" si="7"/>
        <v>317.52000000000004</v>
      </c>
      <c r="BO165" s="64">
        <f t="shared" si="8"/>
        <v>0.54473304473304474</v>
      </c>
      <c r="BP165" s="64">
        <f t="shared" si="9"/>
        <v>0.54545454545454541</v>
      </c>
    </row>
    <row r="166" spans="1:68" ht="27" customHeight="1" x14ac:dyDescent="0.25">
      <c r="A166" s="54" t="s">
        <v>271</v>
      </c>
      <c r="B166" s="54" t="s">
        <v>272</v>
      </c>
      <c r="C166" s="31">
        <v>4301031199</v>
      </c>
      <c r="D166" s="545">
        <v>4680115880986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24</v>
      </c>
      <c r="Y166" s="542">
        <f t="shared" si="5"/>
        <v>25.200000000000003</v>
      </c>
      <c r="Z166" s="36">
        <f>IFERROR(IF(Y166=0,"",ROUNDUP(Y166/H166,0)*0.00502),"")</f>
        <v>6.0240000000000002E-2</v>
      </c>
      <c r="AA166" s="56"/>
      <c r="AB166" s="57"/>
      <c r="AC166" s="201" t="s">
        <v>264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25.485714285714284</v>
      </c>
      <c r="BN166" s="64">
        <f t="shared" si="7"/>
        <v>26.76</v>
      </c>
      <c r="BO166" s="64">
        <f t="shared" si="8"/>
        <v>4.8840048840048847E-2</v>
      </c>
      <c r="BP166" s="64">
        <f t="shared" si="9"/>
        <v>5.1282051282051287E-2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5">
        <v>4680115881785</v>
      </c>
      <c r="E167" s="546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267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5">
        <v>4680115886537</v>
      </c>
      <c r="E168" s="546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273</v>
      </c>
      <c r="M168" s="33" t="s">
        <v>68</v>
      </c>
      <c r="N168" s="33"/>
      <c r="O168" s="32">
        <v>40</v>
      </c>
      <c r="P168" s="6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27</v>
      </c>
      <c r="Y168" s="542">
        <f t="shared" si="5"/>
        <v>27</v>
      </c>
      <c r="Z168" s="36">
        <f>IFERROR(IF(Y168=0,"",ROUNDUP(Y168/H168,0)*0.00502),"")</f>
        <v>7.5300000000000006E-2</v>
      </c>
      <c r="AA168" s="56"/>
      <c r="AB168" s="57"/>
      <c r="AC168" s="205" t="s">
        <v>278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28.95</v>
      </c>
      <c r="BN168" s="64">
        <f t="shared" si="7"/>
        <v>28.95</v>
      </c>
      <c r="BO168" s="64">
        <f t="shared" si="8"/>
        <v>6.4102564102564111E-2</v>
      </c>
      <c r="BP168" s="64">
        <f t="shared" si="9"/>
        <v>6.4102564102564111E-2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5">
        <v>4680115881679</v>
      </c>
      <c r="E169" s="546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273</v>
      </c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168</v>
      </c>
      <c r="Y169" s="542">
        <f t="shared" si="5"/>
        <v>168</v>
      </c>
      <c r="Z169" s="36">
        <f>IFERROR(IF(Y169=0,"",ROUNDUP(Y169/H169,0)*0.00502),"")</f>
        <v>0.40160000000000001</v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176</v>
      </c>
      <c r="BN169" s="64">
        <f t="shared" si="7"/>
        <v>176</v>
      </c>
      <c r="BO169" s="64">
        <f t="shared" si="8"/>
        <v>0.34188034188034189</v>
      </c>
      <c r="BP169" s="64">
        <f t="shared" si="9"/>
        <v>0.34188034188034189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5">
        <v>4680115880191</v>
      </c>
      <c r="E170" s="546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5">
        <v>4680115883963</v>
      </c>
      <c r="E171" s="546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8"/>
      <c r="R171" s="548"/>
      <c r="S171" s="548"/>
      <c r="T171" s="549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1" t="s">
        <v>71</v>
      </c>
      <c r="Q172" s="562"/>
      <c r="R172" s="562"/>
      <c r="S172" s="562"/>
      <c r="T172" s="562"/>
      <c r="U172" s="562"/>
      <c r="V172" s="563"/>
      <c r="W172" s="37" t="s">
        <v>72</v>
      </c>
      <c r="X172" s="543">
        <f>IFERROR(X163/H163,"0")+IFERROR(X164/H164,"0")+IFERROR(X165/H165,"0")+IFERROR(X166/H166,"0")+IFERROR(X167/H167,"0")+IFERROR(X168/H168,"0")+IFERROR(X169/H169,"0")+IFERROR(X170/H170,"0")+IFERROR(X171/H171,"0")</f>
        <v>178.33333333333331</v>
      </c>
      <c r="Y172" s="543">
        <f>IFERROR(Y163/H163,"0")+IFERROR(Y164/H164,"0")+IFERROR(Y165/H165,"0")+IFERROR(Y166/H166,"0")+IFERROR(Y167/H167,"0")+IFERROR(Y168/H168,"0")+IFERROR(Y169/H169,"0")+IFERROR(Y170/H170,"0")+IFERROR(Y171/H171,"0")</f>
        <v>179</v>
      </c>
      <c r="Z172" s="543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1.18658</v>
      </c>
      <c r="AA172" s="544"/>
      <c r="AB172" s="544"/>
      <c r="AC172" s="544"/>
    </row>
    <row r="173" spans="1:68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1" t="s">
        <v>71</v>
      </c>
      <c r="Q173" s="562"/>
      <c r="R173" s="562"/>
      <c r="S173" s="562"/>
      <c r="T173" s="562"/>
      <c r="U173" s="562"/>
      <c r="V173" s="563"/>
      <c r="W173" s="37" t="s">
        <v>69</v>
      </c>
      <c r="X173" s="543">
        <f>IFERROR(SUM(X163:X171),"0")</f>
        <v>521</v>
      </c>
      <c r="Y173" s="543">
        <f>IFERROR(SUM(Y163:Y171),"0")</f>
        <v>522.6</v>
      </c>
      <c r="Z173" s="37"/>
      <c r="AA173" s="544"/>
      <c r="AB173" s="544"/>
      <c r="AC173" s="544"/>
    </row>
    <row r="174" spans="1:68" ht="14.25" customHeight="1" x14ac:dyDescent="0.25">
      <c r="A174" s="557" t="s">
        <v>91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7"/>
      <c r="AB174" s="537"/>
      <c r="AC174" s="537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5">
        <v>4680115886780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7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5">
        <v>4680115886742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5">
        <v>4680115886766</v>
      </c>
      <c r="E177" s="546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8"/>
      <c r="R177" s="548"/>
      <c r="S177" s="548"/>
      <c r="T177" s="549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1" t="s">
        <v>71</v>
      </c>
      <c r="Q178" s="562"/>
      <c r="R178" s="562"/>
      <c r="S178" s="562"/>
      <c r="T178" s="562"/>
      <c r="U178" s="562"/>
      <c r="V178" s="563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1" t="s">
        <v>71</v>
      </c>
      <c r="Q179" s="562"/>
      <c r="R179" s="562"/>
      <c r="S179" s="562"/>
      <c r="T179" s="562"/>
      <c r="U179" s="562"/>
      <c r="V179" s="563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customHeight="1" x14ac:dyDescent="0.25">
      <c r="A180" s="557" t="s">
        <v>296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7"/>
      <c r="AB180" s="537"/>
      <c r="AC180" s="537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5">
        <v>4680115886797</v>
      </c>
      <c r="E181" s="546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3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8"/>
      <c r="R181" s="548"/>
      <c r="S181" s="548"/>
      <c r="T181" s="549"/>
      <c r="U181" s="34"/>
      <c r="V181" s="34"/>
      <c r="W181" s="35" t="s">
        <v>69</v>
      </c>
      <c r="X181" s="541">
        <v>3</v>
      </c>
      <c r="Y181" s="542">
        <f>IFERROR(IF(X181="",0,CEILING((X181/$H181),1)*$H181),"")</f>
        <v>3.7800000000000002</v>
      </c>
      <c r="Z181" s="36">
        <f>IFERROR(IF(Y181=0,"",ROUNDUP(Y181/H181,0)*0.0059),"")</f>
        <v>1.77E-2</v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3.4523809523809521</v>
      </c>
      <c r="BN181" s="64">
        <f>IFERROR(Y181*I181/H181,"0")</f>
        <v>4.3499999999999996</v>
      </c>
      <c r="BO181" s="64">
        <f>IFERROR(1/J181*(X181/H181),"0")</f>
        <v>1.1022927689594356E-2</v>
      </c>
      <c r="BP181" s="64">
        <f>IFERROR(1/J181*(Y181/H181),"0")</f>
        <v>1.3888888888888888E-2</v>
      </c>
    </row>
    <row r="182" spans="1:68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1" t="s">
        <v>71</v>
      </c>
      <c r="Q182" s="562"/>
      <c r="R182" s="562"/>
      <c r="S182" s="562"/>
      <c r="T182" s="562"/>
      <c r="U182" s="562"/>
      <c r="V182" s="563"/>
      <c r="W182" s="37" t="s">
        <v>72</v>
      </c>
      <c r="X182" s="543">
        <f>IFERROR(X181/H181,"0")</f>
        <v>2.3809523809523809</v>
      </c>
      <c r="Y182" s="543">
        <f>IFERROR(Y181/H181,"0")</f>
        <v>3</v>
      </c>
      <c r="Z182" s="543">
        <f>IFERROR(IF(Z181="",0,Z181),"0")</f>
        <v>1.77E-2</v>
      </c>
      <c r="AA182" s="544"/>
      <c r="AB182" s="544"/>
      <c r="AC182" s="544"/>
    </row>
    <row r="183" spans="1:68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1" t="s">
        <v>71</v>
      </c>
      <c r="Q183" s="562"/>
      <c r="R183" s="562"/>
      <c r="S183" s="562"/>
      <c r="T183" s="562"/>
      <c r="U183" s="562"/>
      <c r="V183" s="563"/>
      <c r="W183" s="37" t="s">
        <v>69</v>
      </c>
      <c r="X183" s="543">
        <f>IFERROR(SUM(X181:X181),"0")</f>
        <v>3</v>
      </c>
      <c r="Y183" s="543">
        <f>IFERROR(SUM(Y181:Y181),"0")</f>
        <v>3.7800000000000002</v>
      </c>
      <c r="Z183" s="37"/>
      <c r="AA183" s="544"/>
      <c r="AB183" s="544"/>
      <c r="AC183" s="544"/>
    </row>
    <row r="184" spans="1:68" ht="16.5" customHeight="1" x14ac:dyDescent="0.25">
      <c r="A184" s="558" t="s">
        <v>299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6"/>
      <c r="AB184" s="536"/>
      <c r="AC184" s="536"/>
    </row>
    <row r="185" spans="1:68" ht="14.25" customHeight="1" x14ac:dyDescent="0.25">
      <c r="A185" s="557" t="s">
        <v>99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7"/>
      <c r="AB185" s="537"/>
      <c r="AC185" s="537"/>
    </row>
    <row r="186" spans="1:68" ht="16.5" customHeight="1" x14ac:dyDescent="0.25">
      <c r="A186" s="54" t="s">
        <v>300</v>
      </c>
      <c r="B186" s="54" t="s">
        <v>301</v>
      </c>
      <c r="C186" s="31">
        <v>4301011450</v>
      </c>
      <c r="D186" s="545">
        <v>4680115881402</v>
      </c>
      <c r="E186" s="546"/>
      <c r="F186" s="540">
        <v>1.35</v>
      </c>
      <c r="G186" s="32">
        <v>8</v>
      </c>
      <c r="H186" s="540">
        <v>10.8</v>
      </c>
      <c r="I186" s="540">
        <v>11.234999999999999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5">
        <v>4680115881396</v>
      </c>
      <c r="E187" s="546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5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8"/>
      <c r="R187" s="548"/>
      <c r="S187" s="548"/>
      <c r="T187" s="549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1" t="s">
        <v>71</v>
      </c>
      <c r="Q188" s="562"/>
      <c r="R188" s="562"/>
      <c r="S188" s="562"/>
      <c r="T188" s="562"/>
      <c r="U188" s="562"/>
      <c r="V188" s="563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1" t="s">
        <v>71</v>
      </c>
      <c r="Q189" s="562"/>
      <c r="R189" s="562"/>
      <c r="S189" s="562"/>
      <c r="T189" s="562"/>
      <c r="U189" s="562"/>
      <c r="V189" s="563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7" t="s">
        <v>135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7"/>
      <c r="AB190" s="537"/>
      <c r="AC190" s="537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5">
        <v>4680115882935</v>
      </c>
      <c r="E191" s="546"/>
      <c r="F191" s="540">
        <v>1.35</v>
      </c>
      <c r="G191" s="32">
        <v>8</v>
      </c>
      <c r="H191" s="540">
        <v>10.8</v>
      </c>
      <c r="I191" s="540">
        <v>11.234999999999999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5">
        <v>4680115880764</v>
      </c>
      <c r="E192" s="546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208</v>
      </c>
      <c r="M192" s="33" t="s">
        <v>104</v>
      </c>
      <c r="N192" s="33"/>
      <c r="O192" s="32">
        <v>50</v>
      </c>
      <c r="P192" s="63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8"/>
      <c r="R192" s="548"/>
      <c r="S192" s="548"/>
      <c r="T192" s="549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1" t="s">
        <v>71</v>
      </c>
      <c r="Q193" s="562"/>
      <c r="R193" s="562"/>
      <c r="S193" s="562"/>
      <c r="T193" s="562"/>
      <c r="U193" s="562"/>
      <c r="V193" s="563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1" t="s">
        <v>71</v>
      </c>
      <c r="Q194" s="562"/>
      <c r="R194" s="562"/>
      <c r="S194" s="562"/>
      <c r="T194" s="562"/>
      <c r="U194" s="562"/>
      <c r="V194" s="563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7" t="s">
        <v>64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7"/>
      <c r="AB195" s="537"/>
      <c r="AC195" s="537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5">
        <v>4680115882683</v>
      </c>
      <c r="E196" s="546"/>
      <c r="F196" s="540">
        <v>0.9</v>
      </c>
      <c r="G196" s="32">
        <v>6</v>
      </c>
      <c r="H196" s="540">
        <v>5.4</v>
      </c>
      <c r="I196" s="540">
        <v>5.61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90</v>
      </c>
      <c r="Y196" s="542">
        <f t="shared" ref="Y196:Y203" si="10">IFERROR(IF(X196="",0,CEILING((X196/$H196),1)*$H196),"")</f>
        <v>91.800000000000011</v>
      </c>
      <c r="Z196" s="36">
        <f>IFERROR(IF(Y196=0,"",ROUNDUP(Y196/H196,0)*0.00902),"")</f>
        <v>0.15334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93.5</v>
      </c>
      <c r="BN196" s="64">
        <f t="shared" ref="BN196:BN203" si="12">IFERROR(Y196*I196/H196,"0")</f>
        <v>95.37</v>
      </c>
      <c r="BO196" s="64">
        <f t="shared" ref="BO196:BO203" si="13">IFERROR(1/J196*(X196/H196),"0")</f>
        <v>0.12626262626262624</v>
      </c>
      <c r="BP196" s="64">
        <f t="shared" ref="BP196:BP203" si="14">IFERROR(1/J196*(Y196/H196),"0")</f>
        <v>0.12878787878787878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5">
        <v>4680115882690</v>
      </c>
      <c r="E197" s="546"/>
      <c r="F197" s="540">
        <v>0.9</v>
      </c>
      <c r="G197" s="32">
        <v>6</v>
      </c>
      <c r="H197" s="540">
        <v>5.4</v>
      </c>
      <c r="I197" s="540">
        <v>5.61</v>
      </c>
      <c r="J197" s="32">
        <v>132</v>
      </c>
      <c r="K197" s="32" t="s">
        <v>109</v>
      </c>
      <c r="L197" s="32" t="s">
        <v>112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360</v>
      </c>
      <c r="Y197" s="542">
        <f t="shared" si="10"/>
        <v>361.8</v>
      </c>
      <c r="Z197" s="36">
        <f>IFERROR(IF(Y197=0,"",ROUNDUP(Y197/H197,0)*0.00902),"")</f>
        <v>0.60433999999999999</v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374</v>
      </c>
      <c r="BN197" s="64">
        <f t="shared" si="12"/>
        <v>375.87</v>
      </c>
      <c r="BO197" s="64">
        <f t="shared" si="13"/>
        <v>0.50505050505050497</v>
      </c>
      <c r="BP197" s="64">
        <f t="shared" si="14"/>
        <v>0.50757575757575757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5">
        <v>4680115882669</v>
      </c>
      <c r="E198" s="546"/>
      <c r="F198" s="540">
        <v>0.9</v>
      </c>
      <c r="G198" s="32">
        <v>6</v>
      </c>
      <c r="H198" s="540">
        <v>5.4</v>
      </c>
      <c r="I198" s="540">
        <v>5.61</v>
      </c>
      <c r="J198" s="32">
        <v>132</v>
      </c>
      <c r="K198" s="32" t="s">
        <v>109</v>
      </c>
      <c r="L198" s="32"/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5">
        <v>4680115882676</v>
      </c>
      <c r="E199" s="546"/>
      <c r="F199" s="540">
        <v>0.9</v>
      </c>
      <c r="G199" s="32">
        <v>6</v>
      </c>
      <c r="H199" s="540">
        <v>5.4</v>
      </c>
      <c r="I199" s="540">
        <v>5.61</v>
      </c>
      <c r="J199" s="32">
        <v>132</v>
      </c>
      <c r="K199" s="32" t="s">
        <v>109</v>
      </c>
      <c r="L199" s="32" t="s">
        <v>112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384</v>
      </c>
      <c r="Y199" s="542">
        <f t="shared" si="10"/>
        <v>388.8</v>
      </c>
      <c r="Z199" s="36">
        <f>IFERROR(IF(Y199=0,"",ROUNDUP(Y199/H199,0)*0.00902),"")</f>
        <v>0.64944000000000002</v>
      </c>
      <c r="AA199" s="56"/>
      <c r="AB199" s="57"/>
      <c r="AC199" s="235" t="s">
        <v>321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398.93333333333334</v>
      </c>
      <c r="BN199" s="64">
        <f t="shared" si="12"/>
        <v>403.92</v>
      </c>
      <c r="BO199" s="64">
        <f t="shared" si="13"/>
        <v>0.5387205387205386</v>
      </c>
      <c r="BP199" s="64">
        <f t="shared" si="14"/>
        <v>0.54545454545454541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5">
        <v>4680115884014</v>
      </c>
      <c r="E200" s="546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85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71</v>
      </c>
      <c r="Y200" s="542">
        <f t="shared" si="10"/>
        <v>72</v>
      </c>
      <c r="Z200" s="36">
        <f>IFERROR(IF(Y200=0,"",ROUNDUP(Y200/H200,0)*0.00502),"")</f>
        <v>0.20080000000000001</v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76.12777777777778</v>
      </c>
      <c r="BN200" s="64">
        <f t="shared" si="12"/>
        <v>77.2</v>
      </c>
      <c r="BO200" s="64">
        <f t="shared" si="13"/>
        <v>0.16856600189933524</v>
      </c>
      <c r="BP200" s="64">
        <f t="shared" si="14"/>
        <v>0.17094017094017094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5">
        <v>4680115884007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43</v>
      </c>
      <c r="Y201" s="542">
        <f t="shared" si="10"/>
        <v>43.2</v>
      </c>
      <c r="Z201" s="36">
        <f>IFERROR(IF(Y201=0,"",ROUNDUP(Y201/H201,0)*0.00502),"")</f>
        <v>0.12048</v>
      </c>
      <c r="AA201" s="56"/>
      <c r="AB201" s="57"/>
      <c r="AC201" s="239" t="s">
        <v>315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45.388888888888893</v>
      </c>
      <c r="BN201" s="64">
        <f t="shared" si="12"/>
        <v>45.6</v>
      </c>
      <c r="BO201" s="64">
        <f t="shared" si="13"/>
        <v>0.10208926875593544</v>
      </c>
      <c r="BP201" s="64">
        <f t="shared" si="14"/>
        <v>0.10256410256410257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5">
        <v>4680115884038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5">
        <v>4680115884021</v>
      </c>
      <c r="E203" s="546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273</v>
      </c>
      <c r="M203" s="33" t="s">
        <v>68</v>
      </c>
      <c r="N203" s="33"/>
      <c r="O203" s="32">
        <v>40</v>
      </c>
      <c r="P203" s="71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8"/>
      <c r="R203" s="548"/>
      <c r="S203" s="548"/>
      <c r="T203" s="549"/>
      <c r="U203" s="34"/>
      <c r="V203" s="34"/>
      <c r="W203" s="35" t="s">
        <v>69</v>
      </c>
      <c r="X203" s="541">
        <v>34</v>
      </c>
      <c r="Y203" s="542">
        <f t="shared" si="10"/>
        <v>34.200000000000003</v>
      </c>
      <c r="Z203" s="36">
        <f>IFERROR(IF(Y203=0,"",ROUNDUP(Y203/H203,0)*0.00502),"")</f>
        <v>9.5380000000000006E-2</v>
      </c>
      <c r="AA203" s="56"/>
      <c r="AB203" s="57"/>
      <c r="AC203" s="243" t="s">
        <v>321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35.888888888888886</v>
      </c>
      <c r="BN203" s="64">
        <f t="shared" si="12"/>
        <v>36.1</v>
      </c>
      <c r="BO203" s="64">
        <f t="shared" si="13"/>
        <v>8.0721747388414061E-2</v>
      </c>
      <c r="BP203" s="64">
        <f t="shared" si="14"/>
        <v>8.11965811965812E-2</v>
      </c>
    </row>
    <row r="204" spans="1:68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1" t="s">
        <v>71</v>
      </c>
      <c r="Q204" s="562"/>
      <c r="R204" s="562"/>
      <c r="S204" s="562"/>
      <c r="T204" s="562"/>
      <c r="U204" s="562"/>
      <c r="V204" s="563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236.66666666666663</v>
      </c>
      <c r="Y204" s="543">
        <f>IFERROR(Y196/H196,"0")+IFERROR(Y197/H197,"0")+IFERROR(Y198/H198,"0")+IFERROR(Y199/H199,"0")+IFERROR(Y200/H200,"0")+IFERROR(Y201/H201,"0")+IFERROR(Y202/H202,"0")+IFERROR(Y203/H203,"0")</f>
        <v>239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1.82378</v>
      </c>
      <c r="AA204" s="544"/>
      <c r="AB204" s="544"/>
      <c r="AC204" s="544"/>
    </row>
    <row r="205" spans="1:68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1" t="s">
        <v>71</v>
      </c>
      <c r="Q205" s="562"/>
      <c r="R205" s="562"/>
      <c r="S205" s="562"/>
      <c r="T205" s="562"/>
      <c r="U205" s="562"/>
      <c r="V205" s="563"/>
      <c r="W205" s="37" t="s">
        <v>69</v>
      </c>
      <c r="X205" s="543">
        <f>IFERROR(SUM(X196:X203),"0")</f>
        <v>982</v>
      </c>
      <c r="Y205" s="543">
        <f>IFERROR(SUM(Y196:Y203),"0")</f>
        <v>991.80000000000018</v>
      </c>
      <c r="Z205" s="37"/>
      <c r="AA205" s="544"/>
      <c r="AB205" s="544"/>
      <c r="AC205" s="544"/>
    </row>
    <row r="206" spans="1:68" ht="14.25" customHeight="1" x14ac:dyDescent="0.25">
      <c r="A206" s="557" t="s">
        <v>73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7"/>
      <c r="AB206" s="537"/>
      <c r="AC206" s="537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5">
        <v>4680115881594</v>
      </c>
      <c r="E207" s="546"/>
      <c r="F207" s="540">
        <v>1.35</v>
      </c>
      <c r="G207" s="32">
        <v>6</v>
      </c>
      <c r="H207" s="540">
        <v>8.1</v>
      </c>
      <c r="I207" s="540">
        <v>8.6189999999999998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20</v>
      </c>
      <c r="Y207" s="542">
        <f t="shared" ref="Y207:Y215" si="15">IFERROR(IF(X207="",0,CEILING((X207/$H207),1)*$H207),"")</f>
        <v>24.299999999999997</v>
      </c>
      <c r="Z207" s="36">
        <f>IFERROR(IF(Y207=0,"",ROUNDUP(Y207/H207,0)*0.01898),"")</f>
        <v>5.6940000000000004E-2</v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21.281481481481482</v>
      </c>
      <c r="BN207" s="64">
        <f t="shared" ref="BN207:BN215" si="17">IFERROR(Y207*I207/H207,"0")</f>
        <v>25.856999999999996</v>
      </c>
      <c r="BO207" s="64">
        <f t="shared" ref="BO207:BO215" si="18">IFERROR(1/J207*(X207/H207),"0")</f>
        <v>3.8580246913580252E-2</v>
      </c>
      <c r="BP207" s="64">
        <f t="shared" ref="BP207:BP215" si="19">IFERROR(1/J207*(Y207/H207),"0")</f>
        <v>4.6875E-2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5">
        <v>4680115881617</v>
      </c>
      <c r="E208" s="546"/>
      <c r="F208" s="540">
        <v>1.35</v>
      </c>
      <c r="G208" s="32">
        <v>6</v>
      </c>
      <c r="H208" s="540">
        <v>8.1</v>
      </c>
      <c r="I208" s="540">
        <v>8.6010000000000009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9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20</v>
      </c>
      <c r="Y208" s="542">
        <f t="shared" si="15"/>
        <v>24.299999999999997</v>
      </c>
      <c r="Z208" s="36">
        <f>IFERROR(IF(Y208=0,"",ROUNDUP(Y208/H208,0)*0.01898),"")</f>
        <v>5.6940000000000004E-2</v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21.237037037037041</v>
      </c>
      <c r="BN208" s="64">
        <f t="shared" si="17"/>
        <v>25.803000000000001</v>
      </c>
      <c r="BO208" s="64">
        <f t="shared" si="18"/>
        <v>3.8580246913580252E-2</v>
      </c>
      <c r="BP208" s="64">
        <f t="shared" si="19"/>
        <v>4.6875E-2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5">
        <v>4680115880573</v>
      </c>
      <c r="E209" s="546"/>
      <c r="F209" s="540">
        <v>1.45</v>
      </c>
      <c r="G209" s="32">
        <v>6</v>
      </c>
      <c r="H209" s="540">
        <v>8.6999999999999993</v>
      </c>
      <c r="I209" s="540">
        <v>9.2189999999999994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232</v>
      </c>
      <c r="Y209" s="542">
        <f t="shared" si="15"/>
        <v>234.89999999999998</v>
      </c>
      <c r="Z209" s="36">
        <f>IFERROR(IF(Y209=0,"",ROUNDUP(Y209/H209,0)*0.01898),"")</f>
        <v>0.51246000000000003</v>
      </c>
      <c r="AA209" s="56"/>
      <c r="AB209" s="57"/>
      <c r="AC209" s="249" t="s">
        <v>338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245.84000000000003</v>
      </c>
      <c r="BN209" s="64">
        <f t="shared" si="17"/>
        <v>248.91300000000001</v>
      </c>
      <c r="BO209" s="64">
        <f t="shared" si="18"/>
        <v>0.41666666666666669</v>
      </c>
      <c r="BP209" s="64">
        <f t="shared" si="19"/>
        <v>0.421875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5">
        <v>4680115882195</v>
      </c>
      <c r="E210" s="546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208</v>
      </c>
      <c r="M210" s="33" t="s">
        <v>77</v>
      </c>
      <c r="N210" s="33"/>
      <c r="O210" s="32">
        <v>40</v>
      </c>
      <c r="P210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5">
        <v>4680115882607</v>
      </c>
      <c r="E211" s="546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4301051666</v>
      </c>
      <c r="D212" s="545">
        <v>4680115880092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208</v>
      </c>
      <c r="M212" s="33" t="s">
        <v>77</v>
      </c>
      <c r="N212" s="33"/>
      <c r="O212" s="32">
        <v>45</v>
      </c>
      <c r="P212" s="74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319</v>
      </c>
      <c r="Y212" s="542">
        <f t="shared" si="15"/>
        <v>319.2</v>
      </c>
      <c r="Z212" s="36">
        <f t="shared" si="20"/>
        <v>0.86582999999999999</v>
      </c>
      <c r="AA212" s="56"/>
      <c r="AB212" s="57"/>
      <c r="AC212" s="255" t="s">
        <v>338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352.49500000000006</v>
      </c>
      <c r="BN212" s="64">
        <f t="shared" si="17"/>
        <v>352.71600000000001</v>
      </c>
      <c r="BO212" s="64">
        <f t="shared" si="18"/>
        <v>0.73031135531135549</v>
      </c>
      <c r="BP212" s="64">
        <f t="shared" si="19"/>
        <v>0.73076923076923084</v>
      </c>
    </row>
    <row r="213" spans="1:68" ht="27" customHeight="1" x14ac:dyDescent="0.25">
      <c r="A213" s="54" t="s">
        <v>346</v>
      </c>
      <c r="B213" s="54" t="s">
        <v>347</v>
      </c>
      <c r="C213" s="31">
        <v>4301051668</v>
      </c>
      <c r="D213" s="545">
        <v>4680115880221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208</v>
      </c>
      <c r="M213" s="33" t="s">
        <v>77</v>
      </c>
      <c r="N213" s="33"/>
      <c r="O213" s="32">
        <v>45</v>
      </c>
      <c r="P213" s="56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348</v>
      </c>
      <c r="B214" s="54" t="s">
        <v>349</v>
      </c>
      <c r="C214" s="31">
        <v>4301051945</v>
      </c>
      <c r="D214" s="545">
        <v>4680115880504</v>
      </c>
      <c r="E214" s="546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208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76</v>
      </c>
      <c r="Y214" s="542">
        <f t="shared" si="15"/>
        <v>76.8</v>
      </c>
      <c r="Z214" s="36">
        <f t="shared" si="20"/>
        <v>0.20832000000000001</v>
      </c>
      <c r="AA214" s="56"/>
      <c r="AB214" s="57"/>
      <c r="AC214" s="259" t="s">
        <v>350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83.980000000000018</v>
      </c>
      <c r="BN214" s="64">
        <f t="shared" si="17"/>
        <v>84.864000000000004</v>
      </c>
      <c r="BO214" s="64">
        <f t="shared" si="18"/>
        <v>0.17399267399267401</v>
      </c>
      <c r="BP214" s="64">
        <f t="shared" si="19"/>
        <v>0.17582417582417584</v>
      </c>
    </row>
    <row r="215" spans="1:68" ht="27" customHeight="1" x14ac:dyDescent="0.25">
      <c r="A215" s="54" t="s">
        <v>351</v>
      </c>
      <c r="B215" s="54" t="s">
        <v>352</v>
      </c>
      <c r="C215" s="31">
        <v>4301051410</v>
      </c>
      <c r="D215" s="545">
        <v>4680115882164</v>
      </c>
      <c r="E215" s="546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208</v>
      </c>
      <c r="M215" s="33" t="s">
        <v>77</v>
      </c>
      <c r="N215" s="33"/>
      <c r="O215" s="32">
        <v>40</v>
      </c>
      <c r="P215" s="5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8"/>
      <c r="R215" s="548"/>
      <c r="S215" s="548"/>
      <c r="T215" s="549"/>
      <c r="U215" s="34"/>
      <c r="V215" s="34"/>
      <c r="W215" s="35" t="s">
        <v>69</v>
      </c>
      <c r="X215" s="541">
        <v>5</v>
      </c>
      <c r="Y215" s="542">
        <f t="shared" si="15"/>
        <v>7.1999999999999993</v>
      </c>
      <c r="Z215" s="36">
        <f t="shared" si="20"/>
        <v>1.9529999999999999E-2</v>
      </c>
      <c r="AA215" s="56"/>
      <c r="AB215" s="57"/>
      <c r="AC215" s="261" t="s">
        <v>335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5.5374999999999996</v>
      </c>
      <c r="BN215" s="64">
        <f t="shared" si="17"/>
        <v>7.9740000000000002</v>
      </c>
      <c r="BO215" s="64">
        <f t="shared" si="18"/>
        <v>1.1446886446886448E-2</v>
      </c>
      <c r="BP215" s="64">
        <f t="shared" si="19"/>
        <v>1.6483516483516484E-2</v>
      </c>
    </row>
    <row r="216" spans="1:68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1" t="s">
        <v>71</v>
      </c>
      <c r="Q216" s="562"/>
      <c r="R216" s="562"/>
      <c r="S216" s="562"/>
      <c r="T216" s="562"/>
      <c r="U216" s="562"/>
      <c r="V216" s="563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198.27160493827162</v>
      </c>
      <c r="Y216" s="543">
        <f>IFERROR(Y207/H207,"0")+IFERROR(Y208/H208,"0")+IFERROR(Y209/H209,"0")+IFERROR(Y210/H210,"0")+IFERROR(Y211/H211,"0")+IFERROR(Y212/H212,"0")+IFERROR(Y213/H213,"0")+IFERROR(Y214/H214,"0")+IFERROR(Y215/H215,"0")</f>
        <v>201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1.7200200000000001</v>
      </c>
      <c r="AA216" s="544"/>
      <c r="AB216" s="544"/>
      <c r="AC216" s="544"/>
    </row>
    <row r="217" spans="1:68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1" t="s">
        <v>71</v>
      </c>
      <c r="Q217" s="562"/>
      <c r="R217" s="562"/>
      <c r="S217" s="562"/>
      <c r="T217" s="562"/>
      <c r="U217" s="562"/>
      <c r="V217" s="563"/>
      <c r="W217" s="37" t="s">
        <v>69</v>
      </c>
      <c r="X217" s="543">
        <f>IFERROR(SUM(X207:X215),"0")</f>
        <v>672</v>
      </c>
      <c r="Y217" s="543">
        <f>IFERROR(SUM(Y207:Y215),"0")</f>
        <v>686.7</v>
      </c>
      <c r="Z217" s="37"/>
      <c r="AA217" s="544"/>
      <c r="AB217" s="544"/>
      <c r="AC217" s="544"/>
    </row>
    <row r="218" spans="1:68" ht="14.25" customHeight="1" x14ac:dyDescent="0.25">
      <c r="A218" s="557" t="s">
        <v>165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7"/>
      <c r="AB218" s="537"/>
      <c r="AC218" s="537"/>
    </row>
    <row r="219" spans="1:68" ht="27" customHeight="1" x14ac:dyDescent="0.25">
      <c r="A219" s="54" t="s">
        <v>353</v>
      </c>
      <c r="B219" s="54" t="s">
        <v>354</v>
      </c>
      <c r="C219" s="31">
        <v>4301060463</v>
      </c>
      <c r="D219" s="545">
        <v>4680115880818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6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356</v>
      </c>
      <c r="B220" s="54" t="s">
        <v>357</v>
      </c>
      <c r="C220" s="31">
        <v>4301060389</v>
      </c>
      <c r="D220" s="545">
        <v>4680115880801</v>
      </c>
      <c r="E220" s="546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208</v>
      </c>
      <c r="M220" s="33" t="s">
        <v>77</v>
      </c>
      <c r="N220" s="33"/>
      <c r="O220" s="32">
        <v>40</v>
      </c>
      <c r="P220" s="56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8"/>
      <c r="R220" s="548"/>
      <c r="S220" s="548"/>
      <c r="T220" s="549"/>
      <c r="U220" s="34"/>
      <c r="V220" s="34"/>
      <c r="W220" s="35" t="s">
        <v>69</v>
      </c>
      <c r="X220" s="541">
        <v>13</v>
      </c>
      <c r="Y220" s="542">
        <f>IFERROR(IF(X220="",0,CEILING((X220/$H220),1)*$H220),"")</f>
        <v>14.399999999999999</v>
      </c>
      <c r="Z220" s="36">
        <f>IFERROR(IF(Y220=0,"",ROUNDUP(Y220/H220,0)*0.00651),"")</f>
        <v>3.9059999999999997E-2</v>
      </c>
      <c r="AA220" s="56"/>
      <c r="AB220" s="57"/>
      <c r="AC220" s="265" t="s">
        <v>358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14.365</v>
      </c>
      <c r="BN220" s="64">
        <f>IFERROR(Y220*I220/H220,"0")</f>
        <v>15.912000000000001</v>
      </c>
      <c r="BO220" s="64">
        <f>IFERROR(1/J220*(X220/H220),"0")</f>
        <v>2.9761904761904767E-2</v>
      </c>
      <c r="BP220" s="64">
        <f>IFERROR(1/J220*(Y220/H220),"0")</f>
        <v>3.2967032967032968E-2</v>
      </c>
    </row>
    <row r="221" spans="1:68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1" t="s">
        <v>71</v>
      </c>
      <c r="Q221" s="562"/>
      <c r="R221" s="562"/>
      <c r="S221" s="562"/>
      <c r="T221" s="562"/>
      <c r="U221" s="562"/>
      <c r="V221" s="563"/>
      <c r="W221" s="37" t="s">
        <v>72</v>
      </c>
      <c r="X221" s="543">
        <f>IFERROR(X219/H219,"0")+IFERROR(X220/H220,"0")</f>
        <v>5.416666666666667</v>
      </c>
      <c r="Y221" s="543">
        <f>IFERROR(Y219/H219,"0")+IFERROR(Y220/H220,"0")</f>
        <v>6</v>
      </c>
      <c r="Z221" s="543">
        <f>IFERROR(IF(Z219="",0,Z219),"0")+IFERROR(IF(Z220="",0,Z220),"0")</f>
        <v>3.9059999999999997E-2</v>
      </c>
      <c r="AA221" s="544"/>
      <c r="AB221" s="544"/>
      <c r="AC221" s="544"/>
    </row>
    <row r="222" spans="1:68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1" t="s">
        <v>71</v>
      </c>
      <c r="Q222" s="562"/>
      <c r="R222" s="562"/>
      <c r="S222" s="562"/>
      <c r="T222" s="562"/>
      <c r="U222" s="562"/>
      <c r="V222" s="563"/>
      <c r="W222" s="37" t="s">
        <v>69</v>
      </c>
      <c r="X222" s="543">
        <f>IFERROR(SUM(X219:X220),"0")</f>
        <v>13</v>
      </c>
      <c r="Y222" s="543">
        <f>IFERROR(SUM(Y219:Y220),"0")</f>
        <v>14.399999999999999</v>
      </c>
      <c r="Z222" s="37"/>
      <c r="AA222" s="544"/>
      <c r="AB222" s="544"/>
      <c r="AC222" s="544"/>
    </row>
    <row r="223" spans="1:68" ht="16.5" customHeight="1" x14ac:dyDescent="0.25">
      <c r="A223" s="558" t="s">
        <v>359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6"/>
      <c r="AB223" s="536"/>
      <c r="AC223" s="536"/>
    </row>
    <row r="224" spans="1:68" ht="14.25" customHeight="1" x14ac:dyDescent="0.25">
      <c r="A224" s="557" t="s">
        <v>99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7"/>
      <c r="AB224" s="537"/>
      <c r="AC224" s="537"/>
    </row>
    <row r="225" spans="1:68" ht="27" customHeight="1" x14ac:dyDescent="0.25">
      <c r="A225" s="54" t="s">
        <v>360</v>
      </c>
      <c r="B225" s="54" t="s">
        <v>361</v>
      </c>
      <c r="C225" s="31">
        <v>4301011826</v>
      </c>
      <c r="D225" s="545">
        <v>4680115884137</v>
      </c>
      <c r="E225" s="546"/>
      <c r="F225" s="540">
        <v>1.45</v>
      </c>
      <c r="G225" s="32">
        <v>8</v>
      </c>
      <c r="H225" s="540">
        <v>11.6</v>
      </c>
      <c r="I225" s="540">
        <v>12.035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188</v>
      </c>
      <c r="Y225" s="542">
        <f t="shared" ref="Y225:Y234" si="21">IFERROR(IF(X225="",0,CEILING((X225/$H225),1)*$H225),"")</f>
        <v>197.2</v>
      </c>
      <c r="Z225" s="36">
        <f>IFERROR(IF(Y225=0,"",ROUNDUP(Y225/H225,0)*0.01898),"")</f>
        <v>0.32266</v>
      </c>
      <c r="AA225" s="56"/>
      <c r="AB225" s="57"/>
      <c r="AC225" s="267" t="s">
        <v>362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195.05</v>
      </c>
      <c r="BN225" s="64">
        <f t="shared" ref="BN225:BN234" si="23">IFERROR(Y225*I225/H225,"0")</f>
        <v>204.59499999999997</v>
      </c>
      <c r="BO225" s="64">
        <f t="shared" ref="BO225:BO234" si="24">IFERROR(1/J225*(X225/H225),"0")</f>
        <v>0.25323275862068967</v>
      </c>
      <c r="BP225" s="64">
        <f t="shared" ref="BP225:BP234" si="25">IFERROR(1/J225*(Y225/H225),"0")</f>
        <v>0.265625</v>
      </c>
    </row>
    <row r="226" spans="1:68" ht="27" customHeight="1" x14ac:dyDescent="0.25">
      <c r="A226" s="54" t="s">
        <v>363</v>
      </c>
      <c r="B226" s="54" t="s">
        <v>364</v>
      </c>
      <c r="C226" s="31">
        <v>4301011724</v>
      </c>
      <c r="D226" s="545">
        <v>4680115884236</v>
      </c>
      <c r="E226" s="546"/>
      <c r="F226" s="540">
        <v>1.45</v>
      </c>
      <c r="G226" s="32">
        <v>8</v>
      </c>
      <c r="H226" s="540">
        <v>11.6</v>
      </c>
      <c r="I226" s="540">
        <v>12.035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4301011721</v>
      </c>
      <c r="D227" s="545">
        <v>4680115884175</v>
      </c>
      <c r="E227" s="546"/>
      <c r="F227" s="540">
        <v>1.45</v>
      </c>
      <c r="G227" s="32">
        <v>8</v>
      </c>
      <c r="H227" s="540">
        <v>11.6</v>
      </c>
      <c r="I227" s="540">
        <v>12.035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369</v>
      </c>
      <c r="B228" s="54" t="s">
        <v>370</v>
      </c>
      <c r="C228" s="31">
        <v>4301011824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4.21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371</v>
      </c>
      <c r="C229" s="31">
        <v>4301012196</v>
      </c>
      <c r="D229" s="545">
        <v>4680115884144</v>
      </c>
      <c r="E229" s="546"/>
      <c r="F229" s="540">
        <v>0.4</v>
      </c>
      <c r="G229" s="32">
        <v>10</v>
      </c>
      <c r="H229" s="540">
        <v>4</v>
      </c>
      <c r="I229" s="540">
        <v>4.21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3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4301012149</v>
      </c>
      <c r="D230" s="545">
        <v>4680115886551</v>
      </c>
      <c r="E230" s="546"/>
      <c r="F230" s="540">
        <v>0.4</v>
      </c>
      <c r="G230" s="32">
        <v>10</v>
      </c>
      <c r="H230" s="540">
        <v>4</v>
      </c>
      <c r="I230" s="540">
        <v>4.21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4301011726</v>
      </c>
      <c r="D231" s="545">
        <v>4680115884182</v>
      </c>
      <c r="E231" s="546"/>
      <c r="F231" s="540">
        <v>0.37</v>
      </c>
      <c r="G231" s="32">
        <v>10</v>
      </c>
      <c r="H231" s="540">
        <v>3.7</v>
      </c>
      <c r="I231" s="540">
        <v>3.91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4301012228</v>
      </c>
      <c r="D232" s="545">
        <v>4680115887282</v>
      </c>
      <c r="E232" s="546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379</v>
      </c>
      <c r="B233" s="54" t="s">
        <v>380</v>
      </c>
      <c r="C233" s="31">
        <v>4301011722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4.21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3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379</v>
      </c>
      <c r="B234" s="54" t="s">
        <v>381</v>
      </c>
      <c r="C234" s="31">
        <v>4301012195</v>
      </c>
      <c r="D234" s="545">
        <v>4680115884205</v>
      </c>
      <c r="E234" s="546"/>
      <c r="F234" s="540">
        <v>0.4</v>
      </c>
      <c r="G234" s="32">
        <v>10</v>
      </c>
      <c r="H234" s="540">
        <v>4</v>
      </c>
      <c r="I234" s="540">
        <v>4.21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8"/>
      <c r="R234" s="548"/>
      <c r="S234" s="548"/>
      <c r="T234" s="549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1" t="s">
        <v>71</v>
      </c>
      <c r="Q235" s="562"/>
      <c r="R235" s="562"/>
      <c r="S235" s="562"/>
      <c r="T235" s="562"/>
      <c r="U235" s="562"/>
      <c r="V235" s="563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16.206896551724139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17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0.32266</v>
      </c>
      <c r="AA235" s="544"/>
      <c r="AB235" s="544"/>
      <c r="AC235" s="544"/>
    </row>
    <row r="236" spans="1:68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1" t="s">
        <v>71</v>
      </c>
      <c r="Q236" s="562"/>
      <c r="R236" s="562"/>
      <c r="S236" s="562"/>
      <c r="T236" s="562"/>
      <c r="U236" s="562"/>
      <c r="V236" s="563"/>
      <c r="W236" s="37" t="s">
        <v>69</v>
      </c>
      <c r="X236" s="543">
        <f>IFERROR(SUM(X225:X234),"0")</f>
        <v>188</v>
      </c>
      <c r="Y236" s="543">
        <f>IFERROR(SUM(Y225:Y234),"0")</f>
        <v>197.2</v>
      </c>
      <c r="Z236" s="37"/>
      <c r="AA236" s="544"/>
      <c r="AB236" s="544"/>
      <c r="AC236" s="544"/>
    </row>
    <row r="237" spans="1:68" ht="14.25" customHeight="1" x14ac:dyDescent="0.25">
      <c r="A237" s="557" t="s">
        <v>135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7"/>
      <c r="AB237" s="537"/>
      <c r="AC237" s="537"/>
    </row>
    <row r="238" spans="1:68" ht="27" customHeight="1" x14ac:dyDescent="0.25">
      <c r="A238" s="54" t="s">
        <v>382</v>
      </c>
      <c r="B238" s="54" t="s">
        <v>383</v>
      </c>
      <c r="C238" s="31">
        <v>4301020377</v>
      </c>
      <c r="D238" s="545">
        <v>4680115885981</v>
      </c>
      <c r="E238" s="546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8"/>
      <c r="R238" s="548"/>
      <c r="S238" s="548"/>
      <c r="T238" s="549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1" t="s">
        <v>71</v>
      </c>
      <c r="Q239" s="562"/>
      <c r="R239" s="562"/>
      <c r="S239" s="562"/>
      <c r="T239" s="562"/>
      <c r="U239" s="562"/>
      <c r="V239" s="563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1" t="s">
        <v>71</v>
      </c>
      <c r="Q240" s="562"/>
      <c r="R240" s="562"/>
      <c r="S240" s="562"/>
      <c r="T240" s="562"/>
      <c r="U240" s="562"/>
      <c r="V240" s="563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7" t="s">
        <v>385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7"/>
      <c r="AB241" s="537"/>
      <c r="AC241" s="537"/>
    </row>
    <row r="242" spans="1:68" ht="27" customHeight="1" x14ac:dyDescent="0.25">
      <c r="A242" s="54" t="s">
        <v>386</v>
      </c>
      <c r="B242" s="54" t="s">
        <v>387</v>
      </c>
      <c r="C242" s="31">
        <v>4301040362</v>
      </c>
      <c r="D242" s="545">
        <v>4680115886803</v>
      </c>
      <c r="E242" s="546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8"/>
      <c r="R242" s="548"/>
      <c r="S242" s="548"/>
      <c r="T242" s="549"/>
      <c r="U242" s="34"/>
      <c r="V242" s="34"/>
      <c r="W242" s="35" t="s">
        <v>69</v>
      </c>
      <c r="X242" s="541">
        <v>10</v>
      </c>
      <c r="Y242" s="542">
        <f>IFERROR(IF(X242="",0,CEILING((X242/$H242),1)*$H242),"")</f>
        <v>10.8</v>
      </c>
      <c r="Z242" s="36">
        <f>IFERROR(IF(Y242=0,"",ROUNDUP(Y242/H242,0)*0.0059),"")</f>
        <v>3.5400000000000001E-2</v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10.972222222222221</v>
      </c>
      <c r="BN242" s="64">
        <f>IFERROR(Y242*I242/H242,"0")</f>
        <v>11.850000000000001</v>
      </c>
      <c r="BO242" s="64">
        <f>IFERROR(1/J242*(X242/H242),"0")</f>
        <v>2.5720164609053495E-2</v>
      </c>
      <c r="BP242" s="64">
        <f>IFERROR(1/J242*(Y242/H242),"0")</f>
        <v>2.7777777777777776E-2</v>
      </c>
    </row>
    <row r="243" spans="1:68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1" t="s">
        <v>71</v>
      </c>
      <c r="Q243" s="562"/>
      <c r="R243" s="562"/>
      <c r="S243" s="562"/>
      <c r="T243" s="562"/>
      <c r="U243" s="562"/>
      <c r="V243" s="563"/>
      <c r="W243" s="37" t="s">
        <v>72</v>
      </c>
      <c r="X243" s="543">
        <f>IFERROR(X242/H242,"0")</f>
        <v>5.5555555555555554</v>
      </c>
      <c r="Y243" s="543">
        <f>IFERROR(Y242/H242,"0")</f>
        <v>6</v>
      </c>
      <c r="Z243" s="543">
        <f>IFERROR(IF(Z242="",0,Z242),"0")</f>
        <v>3.5400000000000001E-2</v>
      </c>
      <c r="AA243" s="544"/>
      <c r="AB243" s="544"/>
      <c r="AC243" s="544"/>
    </row>
    <row r="244" spans="1:68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1" t="s">
        <v>71</v>
      </c>
      <c r="Q244" s="562"/>
      <c r="R244" s="562"/>
      <c r="S244" s="562"/>
      <c r="T244" s="562"/>
      <c r="U244" s="562"/>
      <c r="V244" s="563"/>
      <c r="W244" s="37" t="s">
        <v>69</v>
      </c>
      <c r="X244" s="543">
        <f>IFERROR(SUM(X242:X242),"0")</f>
        <v>10</v>
      </c>
      <c r="Y244" s="543">
        <f>IFERROR(SUM(Y242:Y242),"0")</f>
        <v>10.8</v>
      </c>
      <c r="Z244" s="37"/>
      <c r="AA244" s="544"/>
      <c r="AB244" s="544"/>
      <c r="AC244" s="544"/>
    </row>
    <row r="245" spans="1:68" ht="14.25" customHeight="1" x14ac:dyDescent="0.25">
      <c r="A245" s="557" t="s">
        <v>389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7"/>
      <c r="AB245" s="537"/>
      <c r="AC245" s="537"/>
    </row>
    <row r="246" spans="1:68" ht="27" customHeight="1" x14ac:dyDescent="0.25">
      <c r="A246" s="54" t="s">
        <v>390</v>
      </c>
      <c r="B246" s="54" t="s">
        <v>391</v>
      </c>
      <c r="C246" s="31">
        <v>4301041004</v>
      </c>
      <c r="D246" s="545">
        <v>4680115886704</v>
      </c>
      <c r="E246" s="546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4301041008</v>
      </c>
      <c r="D247" s="545">
        <v>4680115886681</v>
      </c>
      <c r="E247" s="546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4301041007</v>
      </c>
      <c r="D248" s="545">
        <v>4680115886735</v>
      </c>
      <c r="E248" s="546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3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1</v>
      </c>
      <c r="Y248" s="542">
        <f>IFERROR(IF(X248="",0,CEILING((X248/$H248),1)*$H248),"")</f>
        <v>1.8</v>
      </c>
      <c r="Z248" s="36">
        <f>IFERROR(IF(Y248=0,"",ROUNDUP(Y248/H248,0)*0.0059),"")</f>
        <v>1.18E-2</v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1.2111111111111112</v>
      </c>
      <c r="BN248" s="64">
        <f>IFERROR(Y248*I248/H248,"0")</f>
        <v>2.1800000000000002</v>
      </c>
      <c r="BO248" s="64">
        <f>IFERROR(1/J248*(X248/H248),"0")</f>
        <v>5.1440329218106996E-3</v>
      </c>
      <c r="BP248" s="64">
        <f>IFERROR(1/J248*(Y248/H248),"0")</f>
        <v>9.2592592592592587E-3</v>
      </c>
    </row>
    <row r="249" spans="1:68" ht="27" customHeight="1" x14ac:dyDescent="0.25">
      <c r="A249" s="54" t="s">
        <v>397</v>
      </c>
      <c r="B249" s="54" t="s">
        <v>398</v>
      </c>
      <c r="C249" s="31">
        <v>4301041006</v>
      </c>
      <c r="D249" s="545">
        <v>4680115886728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399</v>
      </c>
      <c r="B250" s="54" t="s">
        <v>400</v>
      </c>
      <c r="C250" s="31">
        <v>4301041005</v>
      </c>
      <c r="D250" s="545">
        <v>4680115886711</v>
      </c>
      <c r="E250" s="546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8"/>
      <c r="R250" s="548"/>
      <c r="S250" s="548"/>
      <c r="T250" s="549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1" t="s">
        <v>71</v>
      </c>
      <c r="Q251" s="562"/>
      <c r="R251" s="562"/>
      <c r="S251" s="562"/>
      <c r="T251" s="562"/>
      <c r="U251" s="562"/>
      <c r="V251" s="563"/>
      <c r="W251" s="37" t="s">
        <v>72</v>
      </c>
      <c r="X251" s="543">
        <f>IFERROR(X246/H246,"0")+IFERROR(X247/H247,"0")+IFERROR(X248/H248,"0")+IFERROR(X249/H249,"0")+IFERROR(X250/H250,"0")</f>
        <v>1.1111111111111112</v>
      </c>
      <c r="Y251" s="543">
        <f>IFERROR(Y246/H246,"0")+IFERROR(Y247/H247,"0")+IFERROR(Y248/H248,"0")+IFERROR(Y249/H249,"0")+IFERROR(Y250/H250,"0")</f>
        <v>2</v>
      </c>
      <c r="Z251" s="543">
        <f>IFERROR(IF(Z246="",0,Z246),"0")+IFERROR(IF(Z247="",0,Z247),"0")+IFERROR(IF(Z248="",0,Z248),"0")+IFERROR(IF(Z249="",0,Z249),"0")+IFERROR(IF(Z250="",0,Z250),"0")</f>
        <v>1.18E-2</v>
      </c>
      <c r="AA251" s="544"/>
      <c r="AB251" s="544"/>
      <c r="AC251" s="544"/>
    </row>
    <row r="252" spans="1:68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1" t="s">
        <v>71</v>
      </c>
      <c r="Q252" s="562"/>
      <c r="R252" s="562"/>
      <c r="S252" s="562"/>
      <c r="T252" s="562"/>
      <c r="U252" s="562"/>
      <c r="V252" s="563"/>
      <c r="W252" s="37" t="s">
        <v>69</v>
      </c>
      <c r="X252" s="543">
        <f>IFERROR(SUM(X246:X250),"0")</f>
        <v>1</v>
      </c>
      <c r="Y252" s="543">
        <f>IFERROR(SUM(Y246:Y250),"0")</f>
        <v>1.8</v>
      </c>
      <c r="Z252" s="37"/>
      <c r="AA252" s="544"/>
      <c r="AB252" s="544"/>
      <c r="AC252" s="544"/>
    </row>
    <row r="253" spans="1:68" ht="16.5" customHeight="1" x14ac:dyDescent="0.25">
      <c r="A253" s="558" t="s">
        <v>401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6"/>
      <c r="AB253" s="536"/>
      <c r="AC253" s="536"/>
    </row>
    <row r="254" spans="1:68" ht="14.25" customHeight="1" x14ac:dyDescent="0.25">
      <c r="A254" s="557" t="s">
        <v>99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7"/>
      <c r="AB254" s="537"/>
      <c r="AC254" s="537"/>
    </row>
    <row r="255" spans="1:68" ht="27" customHeight="1" x14ac:dyDescent="0.25">
      <c r="A255" s="54" t="s">
        <v>402</v>
      </c>
      <c r="B255" s="54" t="s">
        <v>403</v>
      </c>
      <c r="C255" s="31">
        <v>4301011855</v>
      </c>
      <c r="D255" s="545">
        <v>4680115885837</v>
      </c>
      <c r="E255" s="546"/>
      <c r="F255" s="540">
        <v>1.35</v>
      </c>
      <c r="G255" s="32">
        <v>8</v>
      </c>
      <c r="H255" s="540">
        <v>10.8</v>
      </c>
      <c r="I255" s="540">
        <v>11.234999999999999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405</v>
      </c>
      <c r="B256" s="54" t="s">
        <v>406</v>
      </c>
      <c r="C256" s="31">
        <v>4301011853</v>
      </c>
      <c r="D256" s="545">
        <v>4680115885851</v>
      </c>
      <c r="E256" s="546"/>
      <c r="F256" s="540">
        <v>1.35</v>
      </c>
      <c r="G256" s="32">
        <v>8</v>
      </c>
      <c r="H256" s="540">
        <v>10.8</v>
      </c>
      <c r="I256" s="540">
        <v>11.234999999999999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4301011850</v>
      </c>
      <c r="D257" s="545">
        <v>4680115885806</v>
      </c>
      <c r="E257" s="546"/>
      <c r="F257" s="540">
        <v>1.35</v>
      </c>
      <c r="G257" s="32">
        <v>8</v>
      </c>
      <c r="H257" s="540">
        <v>10.8</v>
      </c>
      <c r="I257" s="540">
        <v>11.234999999999999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411</v>
      </c>
      <c r="B258" s="54" t="s">
        <v>412</v>
      </c>
      <c r="C258" s="31">
        <v>4301011852</v>
      </c>
      <c r="D258" s="545">
        <v>4680115885844</v>
      </c>
      <c r="E258" s="546"/>
      <c r="F258" s="540">
        <v>0.4</v>
      </c>
      <c r="G258" s="32">
        <v>10</v>
      </c>
      <c r="H258" s="540">
        <v>4</v>
      </c>
      <c r="I258" s="540">
        <v>4.21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414</v>
      </c>
      <c r="B259" s="54" t="s">
        <v>415</v>
      </c>
      <c r="C259" s="31">
        <v>4301011851</v>
      </c>
      <c r="D259" s="545">
        <v>4680115885820</v>
      </c>
      <c r="E259" s="546"/>
      <c r="F259" s="540">
        <v>0.4</v>
      </c>
      <c r="G259" s="32">
        <v>10</v>
      </c>
      <c r="H259" s="540">
        <v>4</v>
      </c>
      <c r="I259" s="540">
        <v>4.21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8"/>
      <c r="R259" s="548"/>
      <c r="S259" s="548"/>
      <c r="T259" s="549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1" t="s">
        <v>71</v>
      </c>
      <c r="Q260" s="562"/>
      <c r="R260" s="562"/>
      <c r="S260" s="562"/>
      <c r="T260" s="562"/>
      <c r="U260" s="562"/>
      <c r="V260" s="563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1" t="s">
        <v>71</v>
      </c>
      <c r="Q261" s="562"/>
      <c r="R261" s="562"/>
      <c r="S261" s="562"/>
      <c r="T261" s="562"/>
      <c r="U261" s="562"/>
      <c r="V261" s="563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8" t="s">
        <v>417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6"/>
      <c r="AB262" s="536"/>
      <c r="AC262" s="536"/>
    </row>
    <row r="263" spans="1:68" ht="14.25" customHeight="1" x14ac:dyDescent="0.25">
      <c r="A263" s="557" t="s">
        <v>99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7"/>
      <c r="AB263" s="537"/>
      <c r="AC263" s="537"/>
    </row>
    <row r="264" spans="1:68" ht="27" customHeight="1" x14ac:dyDescent="0.25">
      <c r="A264" s="54" t="s">
        <v>418</v>
      </c>
      <c r="B264" s="54" t="s">
        <v>419</v>
      </c>
      <c r="C264" s="31">
        <v>4301011223</v>
      </c>
      <c r="D264" s="545">
        <v>4607091383423</v>
      </c>
      <c r="E264" s="546"/>
      <c r="F264" s="540">
        <v>1.35</v>
      </c>
      <c r="G264" s="32">
        <v>8</v>
      </c>
      <c r="H264" s="540">
        <v>10.8</v>
      </c>
      <c r="I264" s="540">
        <v>11.331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4301012199</v>
      </c>
      <c r="D265" s="545">
        <v>4680115886957</v>
      </c>
      <c r="E265" s="546"/>
      <c r="F265" s="540">
        <v>1.35</v>
      </c>
      <c r="G265" s="32">
        <v>8</v>
      </c>
      <c r="H265" s="540">
        <v>10.8</v>
      </c>
      <c r="I265" s="540">
        <v>11.234999999999999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423</v>
      </c>
      <c r="B266" s="54" t="s">
        <v>424</v>
      </c>
      <c r="C266" s="31">
        <v>4301012098</v>
      </c>
      <c r="D266" s="545">
        <v>4680115885660</v>
      </c>
      <c r="E266" s="546"/>
      <c r="F266" s="540">
        <v>1.35</v>
      </c>
      <c r="G266" s="32">
        <v>8</v>
      </c>
      <c r="H266" s="540">
        <v>10.8</v>
      </c>
      <c r="I266" s="540">
        <v>11.234999999999999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425</v>
      </c>
      <c r="B267" s="54" t="s">
        <v>426</v>
      </c>
      <c r="C267" s="31">
        <v>4301012176</v>
      </c>
      <c r="D267" s="545">
        <v>4680115886773</v>
      </c>
      <c r="E267" s="546"/>
      <c r="F267" s="540">
        <v>0.9</v>
      </c>
      <c r="G267" s="32">
        <v>10</v>
      </c>
      <c r="H267" s="540">
        <v>9</v>
      </c>
      <c r="I267" s="540">
        <v>9.4350000000000005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8"/>
      <c r="R267" s="548"/>
      <c r="S267" s="548"/>
      <c r="T267" s="549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1" t="s">
        <v>71</v>
      </c>
      <c r="Q268" s="562"/>
      <c r="R268" s="562"/>
      <c r="S268" s="562"/>
      <c r="T268" s="562"/>
      <c r="U268" s="562"/>
      <c r="V268" s="563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1" t="s">
        <v>71</v>
      </c>
      <c r="Q269" s="562"/>
      <c r="R269" s="562"/>
      <c r="S269" s="562"/>
      <c r="T269" s="562"/>
      <c r="U269" s="562"/>
      <c r="V269" s="563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8" t="s">
        <v>428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6"/>
      <c r="AB270" s="536"/>
      <c r="AC270" s="536"/>
    </row>
    <row r="271" spans="1:68" ht="14.25" customHeight="1" x14ac:dyDescent="0.25">
      <c r="A271" s="557" t="s">
        <v>73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7"/>
      <c r="AB271" s="537"/>
      <c r="AC271" s="537"/>
    </row>
    <row r="272" spans="1:68" ht="27" customHeight="1" x14ac:dyDescent="0.25">
      <c r="A272" s="54" t="s">
        <v>429</v>
      </c>
      <c r="B272" s="54" t="s">
        <v>430</v>
      </c>
      <c r="C272" s="31">
        <v>4301051893</v>
      </c>
      <c r="D272" s="545">
        <v>4680115886186</v>
      </c>
      <c r="E272" s="546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4301051795</v>
      </c>
      <c r="D273" s="545">
        <v>4680115881228</v>
      </c>
      <c r="E273" s="546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208</v>
      </c>
      <c r="M273" s="33" t="s">
        <v>84</v>
      </c>
      <c r="N273" s="33"/>
      <c r="O273" s="32">
        <v>40</v>
      </c>
      <c r="P273" s="62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434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435</v>
      </c>
      <c r="B274" s="54" t="s">
        <v>436</v>
      </c>
      <c r="C274" s="31">
        <v>4301051388</v>
      </c>
      <c r="D274" s="545">
        <v>4680115881211</v>
      </c>
      <c r="E274" s="546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208</v>
      </c>
      <c r="M274" s="33" t="s">
        <v>77</v>
      </c>
      <c r="N274" s="33"/>
      <c r="O274" s="32">
        <v>45</v>
      </c>
      <c r="P274" s="7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8"/>
      <c r="R274" s="548"/>
      <c r="S274" s="548"/>
      <c r="T274" s="549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431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1" t="s">
        <v>71</v>
      </c>
      <c r="Q275" s="562"/>
      <c r="R275" s="562"/>
      <c r="S275" s="562"/>
      <c r="T275" s="562"/>
      <c r="U275" s="562"/>
      <c r="V275" s="563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1" t="s">
        <v>71</v>
      </c>
      <c r="Q276" s="562"/>
      <c r="R276" s="562"/>
      <c r="S276" s="562"/>
      <c r="T276" s="562"/>
      <c r="U276" s="562"/>
      <c r="V276" s="563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customHeight="1" x14ac:dyDescent="0.25">
      <c r="A277" s="558" t="s">
        <v>437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6"/>
      <c r="AB277" s="536"/>
      <c r="AC277" s="536"/>
    </row>
    <row r="278" spans="1:68" ht="14.25" customHeight="1" x14ac:dyDescent="0.25">
      <c r="A278" s="557" t="s">
        <v>64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7"/>
      <c r="AB278" s="537"/>
      <c r="AC278" s="537"/>
    </row>
    <row r="279" spans="1:68" ht="27" customHeight="1" x14ac:dyDescent="0.25">
      <c r="A279" s="54" t="s">
        <v>438</v>
      </c>
      <c r="B279" s="54" t="s">
        <v>439</v>
      </c>
      <c r="C279" s="31">
        <v>4301031307</v>
      </c>
      <c r="D279" s="545">
        <v>4680115880344</v>
      </c>
      <c r="E279" s="546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441</v>
      </c>
      <c r="B280" s="54" t="s">
        <v>442</v>
      </c>
      <c r="C280" s="31">
        <v>4301031429</v>
      </c>
      <c r="D280" s="545">
        <v>4680115886919</v>
      </c>
      <c r="E280" s="546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8"/>
      <c r="R280" s="548"/>
      <c r="S280" s="548"/>
      <c r="T280" s="549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1" t="s">
        <v>71</v>
      </c>
      <c r="Q281" s="562"/>
      <c r="R281" s="562"/>
      <c r="S281" s="562"/>
      <c r="T281" s="562"/>
      <c r="U281" s="562"/>
      <c r="V281" s="563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1" t="s">
        <v>71</v>
      </c>
      <c r="Q282" s="562"/>
      <c r="R282" s="562"/>
      <c r="S282" s="562"/>
      <c r="T282" s="562"/>
      <c r="U282" s="562"/>
      <c r="V282" s="563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7" t="s">
        <v>73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7"/>
      <c r="AB283" s="537"/>
      <c r="AC283" s="537"/>
    </row>
    <row r="284" spans="1:68" ht="37.5" customHeight="1" x14ac:dyDescent="0.25">
      <c r="A284" s="54" t="s">
        <v>444</v>
      </c>
      <c r="B284" s="54" t="s">
        <v>445</v>
      </c>
      <c r="C284" s="31">
        <v>4301051782</v>
      </c>
      <c r="D284" s="545">
        <v>4680115884618</v>
      </c>
      <c r="E284" s="546"/>
      <c r="F284" s="540">
        <v>0.6</v>
      </c>
      <c r="G284" s="32">
        <v>6</v>
      </c>
      <c r="H284" s="540">
        <v>3.6</v>
      </c>
      <c r="I284" s="540">
        <v>3.81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61" t="s">
        <v>71</v>
      </c>
      <c r="Q285" s="562"/>
      <c r="R285" s="562"/>
      <c r="S285" s="562"/>
      <c r="T285" s="562"/>
      <c r="U285" s="562"/>
      <c r="V285" s="563"/>
      <c r="W285" s="37" t="s">
        <v>72</v>
      </c>
      <c r="X285" s="543">
        <f>IFERROR(X284/H284,"0")</f>
        <v>0</v>
      </c>
      <c r="Y285" s="543">
        <f>IFERROR(Y284/H284,"0")</f>
        <v>0</v>
      </c>
      <c r="Z285" s="543">
        <f>IFERROR(IF(Z284="",0,Z284),"0")</f>
        <v>0</v>
      </c>
      <c r="AA285" s="544"/>
      <c r="AB285" s="544"/>
      <c r="AC285" s="544"/>
    </row>
    <row r="286" spans="1:68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1" t="s">
        <v>71</v>
      </c>
      <c r="Q286" s="562"/>
      <c r="R286" s="562"/>
      <c r="S286" s="562"/>
      <c r="T286" s="562"/>
      <c r="U286" s="562"/>
      <c r="V286" s="563"/>
      <c r="W286" s="37" t="s">
        <v>69</v>
      </c>
      <c r="X286" s="543">
        <f>IFERROR(SUM(X284:X284),"0")</f>
        <v>0</v>
      </c>
      <c r="Y286" s="543">
        <f>IFERROR(SUM(Y284:Y284),"0")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447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customHeight="1" x14ac:dyDescent="0.25">
      <c r="A288" s="557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customHeight="1" x14ac:dyDescent="0.25">
      <c r="A289" s="54" t="s">
        <v>448</v>
      </c>
      <c r="B289" s="54" t="s">
        <v>449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11.234999999999999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8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451</v>
      </c>
      <c r="B290" s="54" t="s">
        <v>452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11.234999999999999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454</v>
      </c>
      <c r="B291" s="54" t="s">
        <v>455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11.234999999999999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4.21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4.21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61" t="s">
        <v>71</v>
      </c>
      <c r="Q294" s="562"/>
      <c r="R294" s="562"/>
      <c r="S294" s="562"/>
      <c r="T294" s="562"/>
      <c r="U294" s="562"/>
      <c r="V294" s="563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61" t="s">
        <v>71</v>
      </c>
      <c r="Q295" s="562"/>
      <c r="R295" s="562"/>
      <c r="S295" s="562"/>
      <c r="T295" s="562"/>
      <c r="U295" s="562"/>
      <c r="V295" s="563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7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customHeight="1" x14ac:dyDescent="0.25">
      <c r="A297" s="54" t="s">
        <v>462</v>
      </c>
      <c r="B297" s="54" t="s">
        <v>463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4.47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465</v>
      </c>
      <c r="B298" s="54" t="s">
        <v>466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4.47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468</v>
      </c>
      <c r="B299" s="54" t="s">
        <v>469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4.6500000000000004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8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11</v>
      </c>
      <c r="Y303" s="542">
        <f t="shared" si="26"/>
        <v>12.6</v>
      </c>
      <c r="Z303" s="36">
        <f>IFERROR(IF(Y303=0,"",ROUNDUP(Y303/H303,0)*0.00651),"")</f>
        <v>4.5569999999999999E-2</v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12.393333333333333</v>
      </c>
      <c r="BN303" s="64">
        <f t="shared" si="28"/>
        <v>14.196</v>
      </c>
      <c r="BO303" s="64">
        <f t="shared" si="29"/>
        <v>3.3577533577533576E-2</v>
      </c>
      <c r="BP303" s="64">
        <f t="shared" si="30"/>
        <v>3.8461538461538464E-2</v>
      </c>
    </row>
    <row r="304" spans="1:68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61" t="s">
        <v>71</v>
      </c>
      <c r="Q304" s="562"/>
      <c r="R304" s="562"/>
      <c r="S304" s="562"/>
      <c r="T304" s="562"/>
      <c r="U304" s="562"/>
      <c r="V304" s="563"/>
      <c r="W304" s="37" t="s">
        <v>72</v>
      </c>
      <c r="X304" s="543">
        <f>IFERROR(X297/H297,"0")+IFERROR(X298/H298,"0")+IFERROR(X299/H299,"0")+IFERROR(X300/H300,"0")+IFERROR(X301/H301,"0")+IFERROR(X302/H302,"0")+IFERROR(X303/H303,"0")</f>
        <v>6.1111111111111107</v>
      </c>
      <c r="Y304" s="543">
        <f>IFERROR(Y297/H297,"0")+IFERROR(Y298/H298,"0")+IFERROR(Y299/H299,"0")+IFERROR(Y300/H300,"0")+IFERROR(Y301/H301,"0")+IFERROR(Y302/H302,"0")+IFERROR(Y303/H303,"0")</f>
        <v>7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4.5569999999999999E-2</v>
      </c>
      <c r="AA304" s="544"/>
      <c r="AB304" s="544"/>
      <c r="AC304" s="544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61" t="s">
        <v>71</v>
      </c>
      <c r="Q305" s="562"/>
      <c r="R305" s="562"/>
      <c r="S305" s="562"/>
      <c r="T305" s="562"/>
      <c r="U305" s="562"/>
      <c r="V305" s="563"/>
      <c r="W305" s="37" t="s">
        <v>69</v>
      </c>
      <c r="X305" s="543">
        <f>IFERROR(SUM(X297:X303),"0")</f>
        <v>11</v>
      </c>
      <c r="Y305" s="543">
        <f>IFERROR(SUM(Y297:Y303),"0")</f>
        <v>12.6</v>
      </c>
      <c r="Z305" s="37"/>
      <c r="AA305" s="544"/>
      <c r="AB305" s="544"/>
      <c r="AC305" s="544"/>
    </row>
    <row r="306" spans="1:68" ht="14.25" customHeight="1" x14ac:dyDescent="0.25">
      <c r="A306" s="557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customHeight="1" x14ac:dyDescent="0.25">
      <c r="A307" s="54" t="s">
        <v>481</v>
      </c>
      <c r="B307" s="54" t="s">
        <v>482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8.3130000000000006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8.3190000000000008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8.6010000000000009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4301051578</v>
      </c>
      <c r="D311" s="545">
        <v>4607091387513</v>
      </c>
      <c r="E311" s="546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1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48"/>
      <c r="R311" s="548"/>
      <c r="S311" s="548"/>
      <c r="T311" s="549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3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61" t="s">
        <v>71</v>
      </c>
      <c r="Q312" s="562"/>
      <c r="R312" s="562"/>
      <c r="S312" s="562"/>
      <c r="T312" s="562"/>
      <c r="U312" s="562"/>
      <c r="V312" s="563"/>
      <c r="W312" s="37" t="s">
        <v>72</v>
      </c>
      <c r="X312" s="543">
        <f>IFERROR(X307/H307,"0")+IFERROR(X308/H308,"0")+IFERROR(X309/H309,"0")+IFERROR(X310/H310,"0")+IFERROR(X311/H311,"0")</f>
        <v>0</v>
      </c>
      <c r="Y312" s="543">
        <f>IFERROR(Y307/H307,"0")+IFERROR(Y308/H308,"0")+IFERROR(Y309/H309,"0")+IFERROR(Y310/H310,"0")+IFERROR(Y311/H311,"0")</f>
        <v>0</v>
      </c>
      <c r="Z312" s="543">
        <f>IFERROR(IF(Z307="",0,Z307),"0")+IFERROR(IF(Z308="",0,Z308),"0")+IFERROR(IF(Z309="",0,Z309),"0")+IFERROR(IF(Z310="",0,Z310),"0")+IFERROR(IF(Z311="",0,Z311),"0")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4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1" t="s">
        <v>71</v>
      </c>
      <c r="Q313" s="562"/>
      <c r="R313" s="562"/>
      <c r="S313" s="562"/>
      <c r="T313" s="562"/>
      <c r="U313" s="562"/>
      <c r="V313" s="563"/>
      <c r="W313" s="37" t="s">
        <v>69</v>
      </c>
      <c r="X313" s="543">
        <f>IFERROR(SUM(X307:X311),"0")</f>
        <v>0</v>
      </c>
      <c r="Y313" s="543">
        <f>IFERROR(SUM(Y307:Y311),"0")</f>
        <v>0</v>
      </c>
      <c r="Z313" s="37"/>
      <c r="AA313" s="544"/>
      <c r="AB313" s="544"/>
      <c r="AC313" s="544"/>
    </row>
    <row r="314" spans="1:68" ht="14.25" customHeight="1" x14ac:dyDescent="0.25">
      <c r="A314" s="557" t="s">
        <v>165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537"/>
      <c r="AB314" s="537"/>
      <c r="AC314" s="537"/>
    </row>
    <row r="315" spans="1:68" ht="27" customHeight="1" x14ac:dyDescent="0.25">
      <c r="A315" s="54" t="s">
        <v>496</v>
      </c>
      <c r="B315" s="54" t="s">
        <v>497</v>
      </c>
      <c r="C315" s="31">
        <v>4301060387</v>
      </c>
      <c r="D315" s="545">
        <v>4607091380880</v>
      </c>
      <c r="E315" s="546"/>
      <c r="F315" s="540">
        <v>1.4</v>
      </c>
      <c r="G315" s="32">
        <v>6</v>
      </c>
      <c r="H315" s="540">
        <v>8.4</v>
      </c>
      <c r="I315" s="540">
        <v>8.9190000000000005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78</v>
      </c>
      <c r="Y315" s="542">
        <f>IFERROR(IF(X315="",0,CEILING((X315/$H315),1)*$H315),"")</f>
        <v>84</v>
      </c>
      <c r="Z315" s="36">
        <f>IFERROR(IF(Y315=0,"",ROUNDUP(Y315/H315,0)*0.01898),"")</f>
        <v>0.1898</v>
      </c>
      <c r="AA315" s="56"/>
      <c r="AB315" s="57"/>
      <c r="AC315" s="365" t="s">
        <v>498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82.819285714285712</v>
      </c>
      <c r="BN315" s="64">
        <f>IFERROR(Y315*I315/H315,"0")</f>
        <v>89.19</v>
      </c>
      <c r="BO315" s="64">
        <f>IFERROR(1/J315*(X315/H315),"0")</f>
        <v>0.1450892857142857</v>
      </c>
      <c r="BP315" s="64">
        <f>IFERROR(1/J315*(Y315/H315),"0")</f>
        <v>0.15625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5">
        <v>4607091384482</v>
      </c>
      <c r="E316" s="546"/>
      <c r="F316" s="540">
        <v>1.3</v>
      </c>
      <c r="G316" s="32">
        <v>6</v>
      </c>
      <c r="H316" s="540">
        <v>7.8</v>
      </c>
      <c r="I316" s="540">
        <v>8.3190000000000008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380</v>
      </c>
      <c r="Y316" s="542">
        <f>IFERROR(IF(X316="",0,CEILING((X316/$H316),1)*$H316),"")</f>
        <v>382.2</v>
      </c>
      <c r="Z316" s="36">
        <f>IFERROR(IF(Y316=0,"",ROUNDUP(Y316/H316,0)*0.01898),"")</f>
        <v>0.93002000000000007</v>
      </c>
      <c r="AA316" s="56"/>
      <c r="AB316" s="57"/>
      <c r="AC316" s="367" t="s">
        <v>501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405.28461538461545</v>
      </c>
      <c r="BN316" s="64">
        <f>IFERROR(Y316*I316/H316,"0")</f>
        <v>407.63100000000009</v>
      </c>
      <c r="BO316" s="64">
        <f>IFERROR(1/J316*(X316/H316),"0")</f>
        <v>0.76121794871794879</v>
      </c>
      <c r="BP316" s="64">
        <f>IFERROR(1/J316*(Y316/H316),"0")</f>
        <v>0.765625</v>
      </c>
    </row>
    <row r="317" spans="1:68" ht="16.5" customHeight="1" x14ac:dyDescent="0.25">
      <c r="A317" s="54" t="s">
        <v>502</v>
      </c>
      <c r="B317" s="54" t="s">
        <v>503</v>
      </c>
      <c r="C317" s="31">
        <v>4301060484</v>
      </c>
      <c r="D317" s="545">
        <v>4607091380897</v>
      </c>
      <c r="E317" s="546"/>
      <c r="F317" s="540">
        <v>1.4</v>
      </c>
      <c r="G317" s="32">
        <v>6</v>
      </c>
      <c r="H317" s="540">
        <v>8.4</v>
      </c>
      <c r="I317" s="540">
        <v>8.9190000000000005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1">
        <v>93</v>
      </c>
      <c r="Y317" s="542">
        <f>IFERROR(IF(X317="",0,CEILING((X317/$H317),1)*$H317),"")</f>
        <v>100.80000000000001</v>
      </c>
      <c r="Z317" s="36">
        <f>IFERROR(IF(Y317=0,"",ROUNDUP(Y317/H317,0)*0.01898),"")</f>
        <v>0.22776000000000002</v>
      </c>
      <c r="AA317" s="56"/>
      <c r="AB317" s="57"/>
      <c r="AC317" s="369" t="s">
        <v>504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98.74607142857144</v>
      </c>
      <c r="BN317" s="64">
        <f>IFERROR(Y317*I317/H317,"0")</f>
        <v>107.02800000000001</v>
      </c>
      <c r="BO317" s="64">
        <f>IFERROR(1/J317*(X317/H317),"0")</f>
        <v>0.17299107142857142</v>
      </c>
      <c r="BP317" s="64">
        <f>IFERROR(1/J317*(Y317/H317),"0")</f>
        <v>0.1875</v>
      </c>
    </row>
    <row r="318" spans="1:68" x14ac:dyDescent="0.2">
      <c r="A318" s="553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61" t="s">
        <v>71</v>
      </c>
      <c r="Q318" s="562"/>
      <c r="R318" s="562"/>
      <c r="S318" s="562"/>
      <c r="T318" s="562"/>
      <c r="U318" s="562"/>
      <c r="V318" s="563"/>
      <c r="W318" s="37" t="s">
        <v>72</v>
      </c>
      <c r="X318" s="543">
        <f>IFERROR(X315/H315,"0")+IFERROR(X316/H316,"0")+IFERROR(X317/H317,"0")</f>
        <v>69.075091575091577</v>
      </c>
      <c r="Y318" s="543">
        <f>IFERROR(Y315/H315,"0")+IFERROR(Y316/H316,"0")+IFERROR(Y317/H317,"0")</f>
        <v>71</v>
      </c>
      <c r="Z318" s="543">
        <f>IFERROR(IF(Z315="",0,Z315),"0")+IFERROR(IF(Z316="",0,Z316),"0")+IFERROR(IF(Z317="",0,Z317),"0")</f>
        <v>1.34758</v>
      </c>
      <c r="AA318" s="544"/>
      <c r="AB318" s="544"/>
      <c r="AC318" s="544"/>
    </row>
    <row r="319" spans="1:68" x14ac:dyDescent="0.2">
      <c r="A319" s="554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1" t="s">
        <v>71</v>
      </c>
      <c r="Q319" s="562"/>
      <c r="R319" s="562"/>
      <c r="S319" s="562"/>
      <c r="T319" s="562"/>
      <c r="U319" s="562"/>
      <c r="V319" s="563"/>
      <c r="W319" s="37" t="s">
        <v>69</v>
      </c>
      <c r="X319" s="543">
        <f>IFERROR(SUM(X315:X317),"0")</f>
        <v>551</v>
      </c>
      <c r="Y319" s="543">
        <f>IFERROR(SUM(Y315:Y317),"0")</f>
        <v>567</v>
      </c>
      <c r="Z319" s="37"/>
      <c r="AA319" s="544"/>
      <c r="AB319" s="544"/>
      <c r="AC319" s="544"/>
    </row>
    <row r="320" spans="1:68" ht="14.25" customHeight="1" x14ac:dyDescent="0.25">
      <c r="A320" s="557" t="s">
        <v>91</v>
      </c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537"/>
      <c r="AB320" s="537"/>
      <c r="AC320" s="537"/>
    </row>
    <row r="321" spans="1:68" ht="27" customHeight="1" x14ac:dyDescent="0.25">
      <c r="A321" s="54" t="s">
        <v>505</v>
      </c>
      <c r="B321" s="54" t="s">
        <v>506</v>
      </c>
      <c r="C321" s="31">
        <v>4301030235</v>
      </c>
      <c r="D321" s="545">
        <v>4607091388381</v>
      </c>
      <c r="E321" s="546"/>
      <c r="F321" s="540">
        <v>0.38</v>
      </c>
      <c r="G321" s="32">
        <v>8</v>
      </c>
      <c r="H321" s="540">
        <v>3.04</v>
      </c>
      <c r="I321" s="540">
        <v>3.33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508</v>
      </c>
      <c r="B322" s="54" t="s">
        <v>509</v>
      </c>
      <c r="C322" s="31">
        <v>4301030232</v>
      </c>
      <c r="D322" s="545">
        <v>4607091388374</v>
      </c>
      <c r="E322" s="546"/>
      <c r="F322" s="540">
        <v>0.38</v>
      </c>
      <c r="G322" s="32">
        <v>8</v>
      </c>
      <c r="H322" s="540">
        <v>3.04</v>
      </c>
      <c r="I322" s="540">
        <v>3.29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510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4</v>
      </c>
      <c r="Y322" s="542">
        <f>IFERROR(IF(X322="",0,CEILING((X322/$H322),1)*$H322),"")</f>
        <v>6.08</v>
      </c>
      <c r="Z322" s="36">
        <f>IFERROR(IF(Y322=0,"",ROUNDUP(Y322/H322,0)*0.00902),"")</f>
        <v>1.804E-2</v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4.3289473684210522</v>
      </c>
      <c r="BN322" s="64">
        <f>IFERROR(Y322*I322/H322,"0")</f>
        <v>6.58</v>
      </c>
      <c r="BO322" s="64">
        <f>IFERROR(1/J322*(X322/H322),"0")</f>
        <v>9.9681020733652318E-3</v>
      </c>
      <c r="BP322" s="64">
        <f>IFERROR(1/J322*(Y322/H322),"0")</f>
        <v>1.5151515151515152E-2</v>
      </c>
    </row>
    <row r="323" spans="1:68" ht="27" customHeight="1" x14ac:dyDescent="0.25">
      <c r="A323" s="54" t="s">
        <v>511</v>
      </c>
      <c r="B323" s="54" t="s">
        <v>512</v>
      </c>
      <c r="C323" s="31">
        <v>4301032015</v>
      </c>
      <c r="D323" s="545">
        <v>4607091383102</v>
      </c>
      <c r="E323" s="546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4301030233</v>
      </c>
      <c r="D324" s="545">
        <v>4607091388404</v>
      </c>
      <c r="E324" s="546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208</v>
      </c>
      <c r="M324" s="33" t="s">
        <v>94</v>
      </c>
      <c r="N324" s="33"/>
      <c r="O324" s="32">
        <v>180</v>
      </c>
      <c r="P324" s="7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1">
        <v>21</v>
      </c>
      <c r="Y324" s="542">
        <f>IFERROR(IF(X324="",0,CEILING((X324/$H324),1)*$H324),"")</f>
        <v>22.95</v>
      </c>
      <c r="Z324" s="36">
        <f>IFERROR(IF(Y324=0,"",ROUNDUP(Y324/H324,0)*0.00651),"")</f>
        <v>5.8590000000000003E-2</v>
      </c>
      <c r="AA324" s="56"/>
      <c r="AB324" s="57"/>
      <c r="AC324" s="377" t="s">
        <v>507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23.71764705882353</v>
      </c>
      <c r="BN324" s="64">
        <f>IFERROR(Y324*I324/H324,"0")</f>
        <v>25.919999999999998</v>
      </c>
      <c r="BO324" s="64">
        <f>IFERROR(1/J324*(X324/H324),"0")</f>
        <v>4.5248868778280549E-2</v>
      </c>
      <c r="BP324" s="64">
        <f>IFERROR(1/J324*(Y324/H324),"0")</f>
        <v>4.9450549450549455E-2</v>
      </c>
    </row>
    <row r="325" spans="1:68" x14ac:dyDescent="0.2">
      <c r="A325" s="553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61" t="s">
        <v>71</v>
      </c>
      <c r="Q325" s="562"/>
      <c r="R325" s="562"/>
      <c r="S325" s="562"/>
      <c r="T325" s="562"/>
      <c r="U325" s="562"/>
      <c r="V325" s="563"/>
      <c r="W325" s="37" t="s">
        <v>72</v>
      </c>
      <c r="X325" s="543">
        <f>IFERROR(X321/H321,"0")+IFERROR(X322/H322,"0")+IFERROR(X323/H323,"0")+IFERROR(X324/H324,"0")</f>
        <v>9.5510835913312704</v>
      </c>
      <c r="Y325" s="543">
        <f>IFERROR(Y321/H321,"0")+IFERROR(Y322/H322,"0")+IFERROR(Y323/H323,"0")+IFERROR(Y324/H324,"0")</f>
        <v>11</v>
      </c>
      <c r="Z325" s="543">
        <f>IFERROR(IF(Z321="",0,Z321),"0")+IFERROR(IF(Z322="",0,Z322),"0")+IFERROR(IF(Z323="",0,Z323),"0")+IFERROR(IF(Z324="",0,Z324),"0")</f>
        <v>7.6630000000000004E-2</v>
      </c>
      <c r="AA325" s="544"/>
      <c r="AB325" s="544"/>
      <c r="AC325" s="544"/>
    </row>
    <row r="326" spans="1:68" x14ac:dyDescent="0.2">
      <c r="A326" s="554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1" t="s">
        <v>71</v>
      </c>
      <c r="Q326" s="562"/>
      <c r="R326" s="562"/>
      <c r="S326" s="562"/>
      <c r="T326" s="562"/>
      <c r="U326" s="562"/>
      <c r="V326" s="563"/>
      <c r="W326" s="37" t="s">
        <v>69</v>
      </c>
      <c r="X326" s="543">
        <f>IFERROR(SUM(X321:X324),"0")</f>
        <v>25</v>
      </c>
      <c r="Y326" s="543">
        <f>IFERROR(SUM(Y321:Y324),"0")</f>
        <v>29.03</v>
      </c>
      <c r="Z326" s="37"/>
      <c r="AA326" s="544"/>
      <c r="AB326" s="544"/>
      <c r="AC326" s="544"/>
    </row>
    <row r="327" spans="1:68" ht="14.25" customHeight="1" x14ac:dyDescent="0.25">
      <c r="A327" s="557" t="s">
        <v>516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537"/>
      <c r="AB327" s="537"/>
      <c r="AC327" s="537"/>
    </row>
    <row r="328" spans="1:68" ht="16.5" customHeight="1" x14ac:dyDescent="0.25">
      <c r="A328" s="54" t="s">
        <v>517</v>
      </c>
      <c r="B328" s="54" t="s">
        <v>518</v>
      </c>
      <c r="C328" s="31">
        <v>4301180007</v>
      </c>
      <c r="D328" s="545">
        <v>4680115881808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4301180006</v>
      </c>
      <c r="D329" s="545">
        <v>4680115881822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0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2</v>
      </c>
      <c r="Y329" s="542">
        <f>IFERROR(IF(X329="",0,CEILING((X329/$H329),1)*$H329),"")</f>
        <v>2</v>
      </c>
      <c r="Z329" s="36">
        <f>IFERROR(IF(Y329=0,"",ROUNDUP(Y329/H329,0)*0.00474),"")</f>
        <v>4.7400000000000003E-3</v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2.2400000000000002</v>
      </c>
      <c r="BN329" s="64">
        <f>IFERROR(Y329*I329/H329,"0")</f>
        <v>2.2400000000000002</v>
      </c>
      <c r="BO329" s="64">
        <f>IFERROR(1/J329*(X329/H329),"0")</f>
        <v>4.2016806722689074E-3</v>
      </c>
      <c r="BP329" s="64">
        <f>IFERROR(1/J329*(Y329/H329),"0")</f>
        <v>4.2016806722689074E-3</v>
      </c>
    </row>
    <row r="330" spans="1:68" ht="27" customHeight="1" x14ac:dyDescent="0.25">
      <c r="A330" s="54" t="s">
        <v>523</v>
      </c>
      <c r="B330" s="54" t="s">
        <v>524</v>
      </c>
      <c r="C330" s="31">
        <v>4301180001</v>
      </c>
      <c r="D330" s="545">
        <v>4680115880016</v>
      </c>
      <c r="E330" s="546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8"/>
      <c r="R330" s="548"/>
      <c r="S330" s="548"/>
      <c r="T330" s="549"/>
      <c r="U330" s="34"/>
      <c r="V330" s="34"/>
      <c r="W330" s="35" t="s">
        <v>69</v>
      </c>
      <c r="X330" s="541">
        <v>23</v>
      </c>
      <c r="Y330" s="542">
        <f>IFERROR(IF(X330="",0,CEILING((X330/$H330),1)*$H330),"")</f>
        <v>24</v>
      </c>
      <c r="Z330" s="36">
        <f>IFERROR(IF(Y330=0,"",ROUNDUP(Y330/H330,0)*0.00474),"")</f>
        <v>5.688E-2</v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25.76</v>
      </c>
      <c r="BN330" s="64">
        <f>IFERROR(Y330*I330/H330,"0")</f>
        <v>26.880000000000003</v>
      </c>
      <c r="BO330" s="64">
        <f>IFERROR(1/J330*(X330/H330),"0")</f>
        <v>4.8319327731092432E-2</v>
      </c>
      <c r="BP330" s="64">
        <f>IFERROR(1/J330*(Y330/H330),"0")</f>
        <v>5.0420168067226892E-2</v>
      </c>
    </row>
    <row r="331" spans="1:68" x14ac:dyDescent="0.2">
      <c r="A331" s="553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61" t="s">
        <v>71</v>
      </c>
      <c r="Q331" s="562"/>
      <c r="R331" s="562"/>
      <c r="S331" s="562"/>
      <c r="T331" s="562"/>
      <c r="U331" s="562"/>
      <c r="V331" s="563"/>
      <c r="W331" s="37" t="s">
        <v>72</v>
      </c>
      <c r="X331" s="543">
        <f>IFERROR(X328/H328,"0")+IFERROR(X329/H329,"0")+IFERROR(X330/H330,"0")</f>
        <v>12.5</v>
      </c>
      <c r="Y331" s="543">
        <f>IFERROR(Y328/H328,"0")+IFERROR(Y329/H329,"0")+IFERROR(Y330/H330,"0")</f>
        <v>13</v>
      </c>
      <c r="Z331" s="543">
        <f>IFERROR(IF(Z328="",0,Z328),"0")+IFERROR(IF(Z329="",0,Z329),"0")+IFERROR(IF(Z330="",0,Z330),"0")</f>
        <v>6.1620000000000001E-2</v>
      </c>
      <c r="AA331" s="544"/>
      <c r="AB331" s="544"/>
      <c r="AC331" s="544"/>
    </row>
    <row r="332" spans="1:68" x14ac:dyDescent="0.2">
      <c r="A332" s="554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1" t="s">
        <v>71</v>
      </c>
      <c r="Q332" s="562"/>
      <c r="R332" s="562"/>
      <c r="S332" s="562"/>
      <c r="T332" s="562"/>
      <c r="U332" s="562"/>
      <c r="V332" s="563"/>
      <c r="W332" s="37" t="s">
        <v>69</v>
      </c>
      <c r="X332" s="543">
        <f>IFERROR(SUM(X328:X330),"0")</f>
        <v>25</v>
      </c>
      <c r="Y332" s="543">
        <f>IFERROR(SUM(Y328:Y330),"0")</f>
        <v>26</v>
      </c>
      <c r="Z332" s="37"/>
      <c r="AA332" s="544"/>
      <c r="AB332" s="544"/>
      <c r="AC332" s="544"/>
    </row>
    <row r="333" spans="1:68" ht="16.5" customHeight="1" x14ac:dyDescent="0.25">
      <c r="A333" s="558" t="s">
        <v>525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6"/>
      <c r="AB333" s="536"/>
      <c r="AC333" s="536"/>
    </row>
    <row r="334" spans="1:68" ht="14.25" customHeight="1" x14ac:dyDescent="0.25">
      <c r="A334" s="557" t="s">
        <v>73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7"/>
      <c r="AB334" s="537"/>
      <c r="AC334" s="537"/>
    </row>
    <row r="335" spans="1:68" ht="27" customHeight="1" x14ac:dyDescent="0.25">
      <c r="A335" s="54" t="s">
        <v>526</v>
      </c>
      <c r="B335" s="54" t="s">
        <v>527</v>
      </c>
      <c r="C335" s="31">
        <v>4301051489</v>
      </c>
      <c r="D335" s="545">
        <v>4607091387919</v>
      </c>
      <c r="E335" s="546"/>
      <c r="F335" s="540">
        <v>1.35</v>
      </c>
      <c r="G335" s="32">
        <v>6</v>
      </c>
      <c r="H335" s="540">
        <v>8.1</v>
      </c>
      <c r="I335" s="540">
        <v>8.6189999999999998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7</v>
      </c>
      <c r="Y335" s="542">
        <f>IFERROR(IF(X335="",0,CEILING((X335/$H335),1)*$H335),"")</f>
        <v>8.1</v>
      </c>
      <c r="Z335" s="36">
        <f>IFERROR(IF(Y335=0,"",ROUNDUP(Y335/H335,0)*0.01898),"")</f>
        <v>1.898E-2</v>
      </c>
      <c r="AA335" s="56"/>
      <c r="AB335" s="57"/>
      <c r="AC335" s="385" t="s">
        <v>528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7.4485185185185188</v>
      </c>
      <c r="BN335" s="64">
        <f>IFERROR(Y335*I335/H335,"0")</f>
        <v>8.6189999999999998</v>
      </c>
      <c r="BO335" s="64">
        <f>IFERROR(1/J335*(X335/H335),"0")</f>
        <v>1.3503086419753087E-2</v>
      </c>
      <c r="BP335" s="64">
        <f>IFERROR(1/J335*(Y335/H335),"0")</f>
        <v>1.5625E-2</v>
      </c>
    </row>
    <row r="336" spans="1:68" ht="27" customHeight="1" x14ac:dyDescent="0.25">
      <c r="A336" s="54" t="s">
        <v>529</v>
      </c>
      <c r="B336" s="54" t="s">
        <v>530</v>
      </c>
      <c r="C336" s="31">
        <v>4301051461</v>
      </c>
      <c r="D336" s="545">
        <v>4680115883604</v>
      </c>
      <c r="E336" s="546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531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532</v>
      </c>
      <c r="B337" s="54" t="s">
        <v>533</v>
      </c>
      <c r="C337" s="31">
        <v>4301051864</v>
      </c>
      <c r="D337" s="545">
        <v>4680115883567</v>
      </c>
      <c r="E337" s="546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/>
      <c r="M337" s="33" t="s">
        <v>84</v>
      </c>
      <c r="N337" s="33"/>
      <c r="O337" s="32">
        <v>40</v>
      </c>
      <c r="P337" s="6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/>
      <c r="AK337" s="68">
        <v>0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3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61" t="s">
        <v>71</v>
      </c>
      <c r="Q338" s="562"/>
      <c r="R338" s="562"/>
      <c r="S338" s="562"/>
      <c r="T338" s="562"/>
      <c r="U338" s="562"/>
      <c r="V338" s="563"/>
      <c r="W338" s="37" t="s">
        <v>72</v>
      </c>
      <c r="X338" s="543">
        <f>IFERROR(X335/H335,"0")+IFERROR(X336/H336,"0")+IFERROR(X337/H337,"0")</f>
        <v>0.86419753086419759</v>
      </c>
      <c r="Y338" s="543">
        <f>IFERROR(Y335/H335,"0")+IFERROR(Y336/H336,"0")+IFERROR(Y337/H337,"0")</f>
        <v>1</v>
      </c>
      <c r="Z338" s="543">
        <f>IFERROR(IF(Z335="",0,Z335),"0")+IFERROR(IF(Z336="",0,Z336),"0")+IFERROR(IF(Z337="",0,Z337),"0")</f>
        <v>1.898E-2</v>
      </c>
      <c r="AA338" s="544"/>
      <c r="AB338" s="544"/>
      <c r="AC338" s="544"/>
    </row>
    <row r="339" spans="1:68" x14ac:dyDescent="0.2">
      <c r="A339" s="554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1" t="s">
        <v>71</v>
      </c>
      <c r="Q339" s="562"/>
      <c r="R339" s="562"/>
      <c r="S339" s="562"/>
      <c r="T339" s="562"/>
      <c r="U339" s="562"/>
      <c r="V339" s="563"/>
      <c r="W339" s="37" t="s">
        <v>69</v>
      </c>
      <c r="X339" s="543">
        <f>IFERROR(SUM(X335:X337),"0")</f>
        <v>7</v>
      </c>
      <c r="Y339" s="543">
        <f>IFERROR(SUM(Y335:Y337),"0")</f>
        <v>8.1</v>
      </c>
      <c r="Z339" s="37"/>
      <c r="AA339" s="544"/>
      <c r="AB339" s="544"/>
      <c r="AC339" s="544"/>
    </row>
    <row r="340" spans="1:68" ht="27.75" customHeight="1" x14ac:dyDescent="0.2">
      <c r="A340" s="639" t="s">
        <v>535</v>
      </c>
      <c r="B340" s="640"/>
      <c r="C340" s="640"/>
      <c r="D340" s="640"/>
      <c r="E340" s="640"/>
      <c r="F340" s="640"/>
      <c r="G340" s="640"/>
      <c r="H340" s="640"/>
      <c r="I340" s="640"/>
      <c r="J340" s="640"/>
      <c r="K340" s="640"/>
      <c r="L340" s="640"/>
      <c r="M340" s="640"/>
      <c r="N340" s="640"/>
      <c r="O340" s="640"/>
      <c r="P340" s="640"/>
      <c r="Q340" s="640"/>
      <c r="R340" s="640"/>
      <c r="S340" s="640"/>
      <c r="T340" s="640"/>
      <c r="U340" s="640"/>
      <c r="V340" s="640"/>
      <c r="W340" s="640"/>
      <c r="X340" s="640"/>
      <c r="Y340" s="640"/>
      <c r="Z340" s="640"/>
      <c r="AA340" s="48"/>
      <c r="AB340" s="48"/>
      <c r="AC340" s="48"/>
    </row>
    <row r="341" spans="1:68" ht="16.5" customHeight="1" x14ac:dyDescent="0.25">
      <c r="A341" s="558" t="s">
        <v>536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6"/>
      <c r="AB341" s="536"/>
      <c r="AC341" s="536"/>
    </row>
    <row r="342" spans="1:68" ht="14.25" customHeight="1" x14ac:dyDescent="0.25">
      <c r="A342" s="557" t="s">
        <v>99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45">
        <v>4680115884847</v>
      </c>
      <c r="E343" s="546"/>
      <c r="F343" s="540">
        <v>2.5</v>
      </c>
      <c r="G343" s="32">
        <v>6</v>
      </c>
      <c r="H343" s="540">
        <v>15</v>
      </c>
      <c r="I343" s="540">
        <v>15.48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5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1136</v>
      </c>
      <c r="Y343" s="542">
        <f t="shared" ref="Y343:Y349" si="31">IFERROR(IF(X343="",0,CEILING((X343/$H343),1)*$H343),"")</f>
        <v>1140</v>
      </c>
      <c r="Z343" s="36">
        <f>IFERROR(IF(Y343=0,"",ROUNDUP(Y343/H343,0)*0.02175),"")</f>
        <v>1.6529999999999998</v>
      </c>
      <c r="AA343" s="56"/>
      <c r="AB343" s="57"/>
      <c r="AC343" s="391" t="s">
        <v>539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1172.3519999999999</v>
      </c>
      <c r="BN343" s="64">
        <f t="shared" ref="BN343:BN349" si="33">IFERROR(Y343*I343/H343,"0")</f>
        <v>1176.48</v>
      </c>
      <c r="BO343" s="64">
        <f t="shared" ref="BO343:BO349" si="34">IFERROR(1/J343*(X343/H343),"0")</f>
        <v>1.5777777777777777</v>
      </c>
      <c r="BP343" s="64">
        <f t="shared" ref="BP343:BP349" si="35">IFERROR(1/J343*(Y343/H343),"0")</f>
        <v>1.5833333333333333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45">
        <v>4680115884854</v>
      </c>
      <c r="E344" s="546"/>
      <c r="F344" s="540">
        <v>2.5</v>
      </c>
      <c r="G344" s="32">
        <v>6</v>
      </c>
      <c r="H344" s="540">
        <v>15</v>
      </c>
      <c r="I344" s="540">
        <v>15.48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601</v>
      </c>
      <c r="Y344" s="542">
        <f t="shared" si="31"/>
        <v>615</v>
      </c>
      <c r="Z344" s="36">
        <f>IFERROR(IF(Y344=0,"",ROUNDUP(Y344/H344,0)*0.02175),"")</f>
        <v>0.89174999999999993</v>
      </c>
      <c r="AA344" s="56"/>
      <c r="AB344" s="57"/>
      <c r="AC344" s="393" t="s">
        <v>542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620.23199999999997</v>
      </c>
      <c r="BN344" s="64">
        <f t="shared" si="33"/>
        <v>634.68000000000006</v>
      </c>
      <c r="BO344" s="64">
        <f t="shared" si="34"/>
        <v>0.83472222222222225</v>
      </c>
      <c r="BP344" s="64">
        <f t="shared" si="35"/>
        <v>0.85416666666666663</v>
      </c>
    </row>
    <row r="345" spans="1:68" ht="27" customHeight="1" x14ac:dyDescent="0.25">
      <c r="A345" s="54" t="s">
        <v>543</v>
      </c>
      <c r="B345" s="54" t="s">
        <v>544</v>
      </c>
      <c r="C345" s="31">
        <v>4301011832</v>
      </c>
      <c r="D345" s="545">
        <v>4607091383997</v>
      </c>
      <c r="E345" s="546"/>
      <c r="F345" s="540">
        <v>2.5</v>
      </c>
      <c r="G345" s="32">
        <v>6</v>
      </c>
      <c r="H345" s="540">
        <v>15</v>
      </c>
      <c r="I345" s="540">
        <v>15.48</v>
      </c>
      <c r="J345" s="32">
        <v>48</v>
      </c>
      <c r="K345" s="32" t="s">
        <v>102</v>
      </c>
      <c r="L345" s="32" t="s">
        <v>103</v>
      </c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711</v>
      </c>
      <c r="Y345" s="542">
        <f t="shared" si="31"/>
        <v>720</v>
      </c>
      <c r="Z345" s="36">
        <f>IFERROR(IF(Y345=0,"",ROUNDUP(Y345/H345,0)*0.02175),"")</f>
        <v>1.044</v>
      </c>
      <c r="AA345" s="56"/>
      <c r="AB345" s="57"/>
      <c r="AC345" s="395" t="s">
        <v>545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733.75200000000007</v>
      </c>
      <c r="BN345" s="64">
        <f t="shared" si="33"/>
        <v>743.04000000000008</v>
      </c>
      <c r="BO345" s="64">
        <f t="shared" si="34"/>
        <v>0.98749999999999993</v>
      </c>
      <c r="BP345" s="64">
        <f t="shared" si="35"/>
        <v>1</v>
      </c>
    </row>
    <row r="346" spans="1:68" ht="37.5" customHeight="1" x14ac:dyDescent="0.25">
      <c r="A346" s="54" t="s">
        <v>546</v>
      </c>
      <c r="B346" s="54" t="s">
        <v>547</v>
      </c>
      <c r="C346" s="31">
        <v>4301011867</v>
      </c>
      <c r="D346" s="545">
        <v>4680115884830</v>
      </c>
      <c r="E346" s="546"/>
      <c r="F346" s="540">
        <v>2.5</v>
      </c>
      <c r="G346" s="32">
        <v>6</v>
      </c>
      <c r="H346" s="540">
        <v>15</v>
      </c>
      <c r="I346" s="540">
        <v>15.48</v>
      </c>
      <c r="J346" s="32">
        <v>48</v>
      </c>
      <c r="K346" s="32" t="s">
        <v>102</v>
      </c>
      <c r="L346" s="32" t="s">
        <v>103</v>
      </c>
      <c r="M346" s="33" t="s">
        <v>68</v>
      </c>
      <c r="N346" s="33"/>
      <c r="O346" s="32">
        <v>60</v>
      </c>
      <c r="P346" s="7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557</v>
      </c>
      <c r="Y346" s="542">
        <f t="shared" si="31"/>
        <v>570</v>
      </c>
      <c r="Z346" s="36">
        <f>IFERROR(IF(Y346=0,"",ROUNDUP(Y346/H346,0)*0.02175),"")</f>
        <v>0.8264999999999999</v>
      </c>
      <c r="AA346" s="56"/>
      <c r="AB346" s="57"/>
      <c r="AC346" s="397" t="s">
        <v>548</v>
      </c>
      <c r="AG346" s="64"/>
      <c r="AJ346" s="68" t="s">
        <v>106</v>
      </c>
      <c r="AK346" s="68">
        <v>120</v>
      </c>
      <c r="BB346" s="398" t="s">
        <v>1</v>
      </c>
      <c r="BM346" s="64">
        <f t="shared" si="32"/>
        <v>574.82400000000007</v>
      </c>
      <c r="BN346" s="64">
        <f t="shared" si="33"/>
        <v>588.24</v>
      </c>
      <c r="BO346" s="64">
        <f t="shared" si="34"/>
        <v>0.77361111111111103</v>
      </c>
      <c r="BP346" s="64">
        <f t="shared" si="35"/>
        <v>0.79166666666666663</v>
      </c>
    </row>
    <row r="347" spans="1:68" ht="27" customHeight="1" x14ac:dyDescent="0.25">
      <c r="A347" s="54" t="s">
        <v>549</v>
      </c>
      <c r="B347" s="54" t="s">
        <v>550</v>
      </c>
      <c r="C347" s="31">
        <v>4301011433</v>
      </c>
      <c r="D347" s="545">
        <v>4680115882638</v>
      </c>
      <c r="E347" s="546"/>
      <c r="F347" s="540">
        <v>0.4</v>
      </c>
      <c r="G347" s="32">
        <v>10</v>
      </c>
      <c r="H347" s="540">
        <v>4</v>
      </c>
      <c r="I347" s="540">
        <v>4.21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552</v>
      </c>
      <c r="B348" s="54" t="s">
        <v>553</v>
      </c>
      <c r="C348" s="31">
        <v>4301011952</v>
      </c>
      <c r="D348" s="545">
        <v>4680115884922</v>
      </c>
      <c r="E348" s="546"/>
      <c r="F348" s="540">
        <v>0.5</v>
      </c>
      <c r="G348" s="32">
        <v>10</v>
      </c>
      <c r="H348" s="540">
        <v>5</v>
      </c>
      <c r="I348" s="540">
        <v>5.21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554</v>
      </c>
      <c r="B349" s="54" t="s">
        <v>555</v>
      </c>
      <c r="C349" s="31">
        <v>4301011868</v>
      </c>
      <c r="D349" s="545">
        <v>4680115884861</v>
      </c>
      <c r="E349" s="546"/>
      <c r="F349" s="540">
        <v>0.5</v>
      </c>
      <c r="G349" s="32">
        <v>10</v>
      </c>
      <c r="H349" s="540">
        <v>5</v>
      </c>
      <c r="I349" s="540">
        <v>5.21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3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61" t="s">
        <v>71</v>
      </c>
      <c r="Q350" s="562"/>
      <c r="R350" s="562"/>
      <c r="S350" s="562"/>
      <c r="T350" s="562"/>
      <c r="U350" s="562"/>
      <c r="V350" s="563"/>
      <c r="W350" s="37" t="s">
        <v>72</v>
      </c>
      <c r="X350" s="543">
        <f>IFERROR(X343/H343,"0")+IFERROR(X344/H344,"0")+IFERROR(X345/H345,"0")+IFERROR(X346/H346,"0")+IFERROR(X347/H347,"0")+IFERROR(X348/H348,"0")+IFERROR(X349/H349,"0")</f>
        <v>200.33333333333334</v>
      </c>
      <c r="Y350" s="543">
        <f>IFERROR(Y343/H343,"0")+IFERROR(Y344/H344,"0")+IFERROR(Y345/H345,"0")+IFERROR(Y346/H346,"0")+IFERROR(Y347/H347,"0")+IFERROR(Y348/H348,"0")+IFERROR(Y349/H349,"0")</f>
        <v>203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4.4152499999999995</v>
      </c>
      <c r="AA350" s="544"/>
      <c r="AB350" s="544"/>
      <c r="AC350" s="544"/>
    </row>
    <row r="351" spans="1:68" x14ac:dyDescent="0.2">
      <c r="A351" s="554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1" t="s">
        <v>71</v>
      </c>
      <c r="Q351" s="562"/>
      <c r="R351" s="562"/>
      <c r="S351" s="562"/>
      <c r="T351" s="562"/>
      <c r="U351" s="562"/>
      <c r="V351" s="563"/>
      <c r="W351" s="37" t="s">
        <v>69</v>
      </c>
      <c r="X351" s="543">
        <f>IFERROR(SUM(X343:X349),"0")</f>
        <v>3005</v>
      </c>
      <c r="Y351" s="543">
        <f>IFERROR(SUM(Y343:Y349),"0")</f>
        <v>3045</v>
      </c>
      <c r="Z351" s="37"/>
      <c r="AA351" s="544"/>
      <c r="AB351" s="544"/>
      <c r="AC351" s="544"/>
    </row>
    <row r="352" spans="1:68" ht="14.25" customHeight="1" x14ac:dyDescent="0.25">
      <c r="A352" s="557" t="s">
        <v>135</v>
      </c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4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45">
        <v>4607091383980</v>
      </c>
      <c r="E353" s="546"/>
      <c r="F353" s="540">
        <v>2.5</v>
      </c>
      <c r="G353" s="32">
        <v>6</v>
      </c>
      <c r="H353" s="540">
        <v>15</v>
      </c>
      <c r="I353" s="540">
        <v>15.48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8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1070</v>
      </c>
      <c r="Y353" s="542">
        <f>IFERROR(IF(X353="",0,CEILING((X353/$H353),1)*$H353),"")</f>
        <v>1080</v>
      </c>
      <c r="Z353" s="36">
        <f>IFERROR(IF(Y353=0,"",ROUNDUP(Y353/H353,0)*0.02175),"")</f>
        <v>1.5659999999999998</v>
      </c>
      <c r="AA353" s="56"/>
      <c r="AB353" s="57"/>
      <c r="AC353" s="405" t="s">
        <v>558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1104.2400000000002</v>
      </c>
      <c r="BN353" s="64">
        <f>IFERROR(Y353*I353/H353,"0")</f>
        <v>1114.5600000000002</v>
      </c>
      <c r="BO353" s="64">
        <f>IFERROR(1/J353*(X353/H353),"0")</f>
        <v>1.4861111111111109</v>
      </c>
      <c r="BP353" s="64">
        <f>IFERROR(1/J353*(Y353/H353),"0")</f>
        <v>1.5</v>
      </c>
    </row>
    <row r="354" spans="1:68" ht="16.5" customHeight="1" x14ac:dyDescent="0.25">
      <c r="A354" s="54" t="s">
        <v>559</v>
      </c>
      <c r="B354" s="54" t="s">
        <v>560</v>
      </c>
      <c r="C354" s="31">
        <v>4301020179</v>
      </c>
      <c r="D354" s="545">
        <v>4607091384178</v>
      </c>
      <c r="E354" s="546"/>
      <c r="F354" s="540">
        <v>0.4</v>
      </c>
      <c r="G354" s="32">
        <v>10</v>
      </c>
      <c r="H354" s="540">
        <v>4</v>
      </c>
      <c r="I354" s="540">
        <v>4.21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8"/>
      <c r="R354" s="548"/>
      <c r="S354" s="548"/>
      <c r="T354" s="549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3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61" t="s">
        <v>71</v>
      </c>
      <c r="Q355" s="562"/>
      <c r="R355" s="562"/>
      <c r="S355" s="562"/>
      <c r="T355" s="562"/>
      <c r="U355" s="562"/>
      <c r="V355" s="563"/>
      <c r="W355" s="37" t="s">
        <v>72</v>
      </c>
      <c r="X355" s="543">
        <f>IFERROR(X353/H353,"0")+IFERROR(X354/H354,"0")</f>
        <v>71.333333333333329</v>
      </c>
      <c r="Y355" s="543">
        <f>IFERROR(Y353/H353,"0")+IFERROR(Y354/H354,"0")</f>
        <v>72</v>
      </c>
      <c r="Z355" s="543">
        <f>IFERROR(IF(Z353="",0,Z353),"0")+IFERROR(IF(Z354="",0,Z354),"0")</f>
        <v>1.5659999999999998</v>
      </c>
      <c r="AA355" s="544"/>
      <c r="AB355" s="544"/>
      <c r="AC355" s="544"/>
    </row>
    <row r="356" spans="1:68" x14ac:dyDescent="0.2">
      <c r="A356" s="554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1" t="s">
        <v>71</v>
      </c>
      <c r="Q356" s="562"/>
      <c r="R356" s="562"/>
      <c r="S356" s="562"/>
      <c r="T356" s="562"/>
      <c r="U356" s="562"/>
      <c r="V356" s="563"/>
      <c r="W356" s="37" t="s">
        <v>69</v>
      </c>
      <c r="X356" s="543">
        <f>IFERROR(SUM(X353:X354),"0")</f>
        <v>1070</v>
      </c>
      <c r="Y356" s="543">
        <f>IFERROR(SUM(Y353:Y354),"0")</f>
        <v>1080</v>
      </c>
      <c r="Z356" s="37"/>
      <c r="AA356" s="544"/>
      <c r="AB356" s="544"/>
      <c r="AC356" s="544"/>
    </row>
    <row r="357" spans="1:68" ht="14.25" customHeight="1" x14ac:dyDescent="0.25">
      <c r="A357" s="557" t="s">
        <v>73</v>
      </c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4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537"/>
      <c r="AB357" s="537"/>
      <c r="AC357" s="537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5">
        <v>4607091383928</v>
      </c>
      <c r="E358" s="546"/>
      <c r="F358" s="540">
        <v>1.5</v>
      </c>
      <c r="G358" s="32">
        <v>6</v>
      </c>
      <c r="H358" s="540">
        <v>9</v>
      </c>
      <c r="I358" s="540">
        <v>9.5250000000000004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5">
        <v>4607091384260</v>
      </c>
      <c r="E359" s="546"/>
      <c r="F359" s="540">
        <v>1.5</v>
      </c>
      <c r="G359" s="32">
        <v>6</v>
      </c>
      <c r="H359" s="540">
        <v>9</v>
      </c>
      <c r="I359" s="540">
        <v>9.5190000000000001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8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3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61" t="s">
        <v>71</v>
      </c>
      <c r="Q360" s="562"/>
      <c r="R360" s="562"/>
      <c r="S360" s="562"/>
      <c r="T360" s="562"/>
      <c r="U360" s="562"/>
      <c r="V360" s="563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4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1" t="s">
        <v>71</v>
      </c>
      <c r="Q361" s="562"/>
      <c r="R361" s="562"/>
      <c r="S361" s="562"/>
      <c r="T361" s="562"/>
      <c r="U361" s="562"/>
      <c r="V361" s="563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7" t="s">
        <v>165</v>
      </c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4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537"/>
      <c r="AB362" s="537"/>
      <c r="AC362" s="537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5">
        <v>4607091384673</v>
      </c>
      <c r="E363" s="546"/>
      <c r="F363" s="540">
        <v>1.5</v>
      </c>
      <c r="G363" s="32">
        <v>6</v>
      </c>
      <c r="H363" s="540">
        <v>9</v>
      </c>
      <c r="I363" s="540">
        <v>9.5190000000000001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8"/>
      <c r="R363" s="548"/>
      <c r="S363" s="548"/>
      <c r="T363" s="549"/>
      <c r="U363" s="34"/>
      <c r="V363" s="34"/>
      <c r="W363" s="35" t="s">
        <v>69</v>
      </c>
      <c r="X363" s="541">
        <v>35</v>
      </c>
      <c r="Y363" s="542">
        <f>IFERROR(IF(X363="",0,CEILING((X363/$H363),1)*$H363),"")</f>
        <v>36</v>
      </c>
      <c r="Z363" s="36">
        <f>IFERROR(IF(Y363=0,"",ROUNDUP(Y363/H363,0)*0.01898),"")</f>
        <v>7.5920000000000001E-2</v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37.018333333333338</v>
      </c>
      <c r="BN363" s="64">
        <f>IFERROR(Y363*I363/H363,"0")</f>
        <v>38.076000000000001</v>
      </c>
      <c r="BO363" s="64">
        <f>IFERROR(1/J363*(X363/H363),"0")</f>
        <v>6.0763888888888888E-2</v>
      </c>
      <c r="BP363" s="64">
        <f>IFERROR(1/J363*(Y363/H363),"0")</f>
        <v>6.25E-2</v>
      </c>
    </row>
    <row r="364" spans="1:68" x14ac:dyDescent="0.2">
      <c r="A364" s="553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61" t="s">
        <v>71</v>
      </c>
      <c r="Q364" s="562"/>
      <c r="R364" s="562"/>
      <c r="S364" s="562"/>
      <c r="T364" s="562"/>
      <c r="U364" s="562"/>
      <c r="V364" s="563"/>
      <c r="W364" s="37" t="s">
        <v>72</v>
      </c>
      <c r="X364" s="543">
        <f>IFERROR(X363/H363,"0")</f>
        <v>3.8888888888888888</v>
      </c>
      <c r="Y364" s="543">
        <f>IFERROR(Y363/H363,"0")</f>
        <v>4</v>
      </c>
      <c r="Z364" s="543">
        <f>IFERROR(IF(Z363="",0,Z363),"0")</f>
        <v>7.5920000000000001E-2</v>
      </c>
      <c r="AA364" s="544"/>
      <c r="AB364" s="544"/>
      <c r="AC364" s="544"/>
    </row>
    <row r="365" spans="1:68" x14ac:dyDescent="0.2">
      <c r="A365" s="554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1" t="s">
        <v>71</v>
      </c>
      <c r="Q365" s="562"/>
      <c r="R365" s="562"/>
      <c r="S365" s="562"/>
      <c r="T365" s="562"/>
      <c r="U365" s="562"/>
      <c r="V365" s="563"/>
      <c r="W365" s="37" t="s">
        <v>69</v>
      </c>
      <c r="X365" s="543">
        <f>IFERROR(SUM(X363:X363),"0")</f>
        <v>35</v>
      </c>
      <c r="Y365" s="543">
        <f>IFERROR(SUM(Y363:Y363),"0")</f>
        <v>36</v>
      </c>
      <c r="Z365" s="37"/>
      <c r="AA365" s="544"/>
      <c r="AB365" s="544"/>
      <c r="AC365" s="544"/>
    </row>
    <row r="366" spans="1:68" ht="16.5" customHeight="1" x14ac:dyDescent="0.25">
      <c r="A366" s="558" t="s">
        <v>570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6"/>
      <c r="AB366" s="536"/>
      <c r="AC366" s="536"/>
    </row>
    <row r="367" spans="1:68" ht="14.25" customHeight="1" x14ac:dyDescent="0.25">
      <c r="A367" s="557" t="s">
        <v>99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7"/>
      <c r="AB367" s="537"/>
      <c r="AC367" s="537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5">
        <v>4680115884885</v>
      </c>
      <c r="E368" s="546"/>
      <c r="F368" s="540">
        <v>0.8</v>
      </c>
      <c r="G368" s="32">
        <v>15</v>
      </c>
      <c r="H368" s="540">
        <v>12</v>
      </c>
      <c r="I368" s="540">
        <v>12.435</v>
      </c>
      <c r="J368" s="32">
        <v>64</v>
      </c>
      <c r="K368" s="32" t="s">
        <v>102</v>
      </c>
      <c r="L368" s="32"/>
      <c r="M368" s="33" t="s">
        <v>68</v>
      </c>
      <c r="N368" s="33"/>
      <c r="O368" s="32">
        <v>60</v>
      </c>
      <c r="P368" s="85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5">
        <v>4680115884908</v>
      </c>
      <c r="E369" s="546"/>
      <c r="F369" s="540">
        <v>0.4</v>
      </c>
      <c r="G369" s="32">
        <v>10</v>
      </c>
      <c r="H369" s="540">
        <v>4</v>
      </c>
      <c r="I369" s="540">
        <v>4.21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3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61" t="s">
        <v>71</v>
      </c>
      <c r="Q370" s="562"/>
      <c r="R370" s="562"/>
      <c r="S370" s="562"/>
      <c r="T370" s="562"/>
      <c r="U370" s="562"/>
      <c r="V370" s="563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4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1" t="s">
        <v>71</v>
      </c>
      <c r="Q371" s="562"/>
      <c r="R371" s="562"/>
      <c r="S371" s="562"/>
      <c r="T371" s="562"/>
      <c r="U371" s="562"/>
      <c r="V371" s="563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7" t="s">
        <v>64</v>
      </c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537"/>
      <c r="AB372" s="537"/>
      <c r="AC372" s="537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5">
        <v>4607091384802</v>
      </c>
      <c r="E373" s="546"/>
      <c r="F373" s="540">
        <v>0.73</v>
      </c>
      <c r="G373" s="32">
        <v>6</v>
      </c>
      <c r="H373" s="540">
        <v>4.38</v>
      </c>
      <c r="I373" s="540">
        <v>4.6500000000000004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5">
        <v>4607091384802</v>
      </c>
      <c r="E374" s="546"/>
      <c r="F374" s="540">
        <v>0.7</v>
      </c>
      <c r="G374" s="32">
        <v>6</v>
      </c>
      <c r="H374" s="540">
        <v>4.2</v>
      </c>
      <c r="I374" s="540">
        <v>4.47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8"/>
      <c r="R374" s="548"/>
      <c r="S374" s="548"/>
      <c r="T374" s="549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3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61" t="s">
        <v>71</v>
      </c>
      <c r="Q375" s="562"/>
      <c r="R375" s="562"/>
      <c r="S375" s="562"/>
      <c r="T375" s="562"/>
      <c r="U375" s="562"/>
      <c r="V375" s="563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4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1" t="s">
        <v>71</v>
      </c>
      <c r="Q376" s="562"/>
      <c r="R376" s="562"/>
      <c r="S376" s="562"/>
      <c r="T376" s="562"/>
      <c r="U376" s="562"/>
      <c r="V376" s="563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7" t="s">
        <v>73</v>
      </c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4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5">
        <v>4607091384246</v>
      </c>
      <c r="E378" s="546"/>
      <c r="F378" s="540">
        <v>1.5</v>
      </c>
      <c r="G378" s="32">
        <v>6</v>
      </c>
      <c r="H378" s="540">
        <v>9</v>
      </c>
      <c r="I378" s="540">
        <v>9.5190000000000001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594</v>
      </c>
      <c r="Y378" s="542">
        <f>IFERROR(IF(X378="",0,CEILING((X378/$H378),1)*$H378),"")</f>
        <v>594</v>
      </c>
      <c r="Z378" s="36">
        <f>IFERROR(IF(Y378=0,"",ROUNDUP(Y378/H378,0)*0.01898),"")</f>
        <v>1.25268</v>
      </c>
      <c r="AA378" s="56"/>
      <c r="AB378" s="57"/>
      <c r="AC378" s="423" t="s">
        <v>583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628.25400000000002</v>
      </c>
      <c r="BN378" s="64">
        <f>IFERROR(Y378*I378/H378,"0")</f>
        <v>628.25400000000002</v>
      </c>
      <c r="BO378" s="64">
        <f>IFERROR(1/J378*(X378/H378),"0")</f>
        <v>1.03125</v>
      </c>
      <c r="BP378" s="64">
        <f>IFERROR(1/J378*(Y378/H378),"0")</f>
        <v>1.03125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208</v>
      </c>
      <c r="M379" s="33" t="s">
        <v>77</v>
      </c>
      <c r="N379" s="33"/>
      <c r="O379" s="32">
        <v>40</v>
      </c>
      <c r="P379" s="5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60</v>
      </c>
      <c r="Y379" s="542">
        <f>IFERROR(IF(X379="",0,CEILING((X379/$H379),1)*$H379),"")</f>
        <v>60</v>
      </c>
      <c r="Z379" s="36">
        <f>IFERROR(IF(Y379=0,"",ROUNDUP(Y379/H379,0)*0.00651),"")</f>
        <v>0.16275000000000001</v>
      </c>
      <c r="AA379" s="56"/>
      <c r="AB379" s="57"/>
      <c r="AC379" s="425" t="s">
        <v>583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66.600000000000009</v>
      </c>
      <c r="BN379" s="64">
        <f>IFERROR(Y379*I379/H379,"0")</f>
        <v>66.600000000000009</v>
      </c>
      <c r="BO379" s="64">
        <f>IFERROR(1/J379*(X379/H379),"0")</f>
        <v>0.13736263736263737</v>
      </c>
      <c r="BP379" s="64">
        <f>IFERROR(1/J379*(Y379/H379),"0")</f>
        <v>0.13736263736263737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61" t="s">
        <v>71</v>
      </c>
      <c r="Q380" s="562"/>
      <c r="R380" s="562"/>
      <c r="S380" s="562"/>
      <c r="T380" s="562"/>
      <c r="U380" s="562"/>
      <c r="V380" s="563"/>
      <c r="W380" s="37" t="s">
        <v>72</v>
      </c>
      <c r="X380" s="543">
        <f>IFERROR(X378/H378,"0")+IFERROR(X379/H379,"0")</f>
        <v>91</v>
      </c>
      <c r="Y380" s="543">
        <f>IFERROR(Y378/H378,"0")+IFERROR(Y379/H379,"0")</f>
        <v>91</v>
      </c>
      <c r="Z380" s="543">
        <f>IFERROR(IF(Z378="",0,Z378),"0")+IFERROR(IF(Z379="",0,Z379),"0")</f>
        <v>1.41543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1" t="s">
        <v>71</v>
      </c>
      <c r="Q381" s="562"/>
      <c r="R381" s="562"/>
      <c r="S381" s="562"/>
      <c r="T381" s="562"/>
      <c r="U381" s="562"/>
      <c r="V381" s="563"/>
      <c r="W381" s="37" t="s">
        <v>69</v>
      </c>
      <c r="X381" s="543">
        <f>IFERROR(SUM(X378:X379),"0")</f>
        <v>654</v>
      </c>
      <c r="Y381" s="543">
        <f>IFERROR(SUM(Y378:Y379),"0")</f>
        <v>654</v>
      </c>
      <c r="Z381" s="37"/>
      <c r="AA381" s="544"/>
      <c r="AB381" s="544"/>
      <c r="AC381" s="544"/>
    </row>
    <row r="382" spans="1:68" ht="27.75" customHeight="1" x14ac:dyDescent="0.2">
      <c r="A382" s="639" t="s">
        <v>586</v>
      </c>
      <c r="B382" s="640"/>
      <c r="C382" s="640"/>
      <c r="D382" s="640"/>
      <c r="E382" s="640"/>
      <c r="F382" s="640"/>
      <c r="G382" s="640"/>
      <c r="H382" s="640"/>
      <c r="I382" s="640"/>
      <c r="J382" s="640"/>
      <c r="K382" s="640"/>
      <c r="L382" s="640"/>
      <c r="M382" s="640"/>
      <c r="N382" s="640"/>
      <c r="O382" s="640"/>
      <c r="P382" s="640"/>
      <c r="Q382" s="640"/>
      <c r="R382" s="640"/>
      <c r="S382" s="640"/>
      <c r="T382" s="640"/>
      <c r="U382" s="640"/>
      <c r="V382" s="640"/>
      <c r="W382" s="640"/>
      <c r="X382" s="640"/>
      <c r="Y382" s="640"/>
      <c r="Z382" s="640"/>
      <c r="AA382" s="48"/>
      <c r="AB382" s="48"/>
      <c r="AC382" s="48"/>
    </row>
    <row r="383" spans="1:68" ht="16.5" customHeight="1" x14ac:dyDescent="0.25">
      <c r="A383" s="558" t="s">
        <v>587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customHeight="1" x14ac:dyDescent="0.25">
      <c r="A384" s="557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customHeight="1" x14ac:dyDescent="0.25">
      <c r="A385" s="54" t="s">
        <v>588</v>
      </c>
      <c r="B385" s="54" t="s">
        <v>589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5.61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591</v>
      </c>
      <c r="B386" s="54" t="s">
        <v>592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5.61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5.61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597</v>
      </c>
      <c r="B388" s="54" t="s">
        <v>598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601</v>
      </c>
      <c r="B390" s="54" t="s">
        <v>602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604</v>
      </c>
      <c r="B391" s="54" t="s">
        <v>605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610</v>
      </c>
      <c r="B393" s="54" t="s">
        <v>611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61" t="s">
        <v>71</v>
      </c>
      <c r="Q394" s="562"/>
      <c r="R394" s="562"/>
      <c r="S394" s="562"/>
      <c r="T394" s="562"/>
      <c r="U394" s="562"/>
      <c r="V394" s="563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1" t="s">
        <v>71</v>
      </c>
      <c r="Q395" s="562"/>
      <c r="R395" s="562"/>
      <c r="S395" s="562"/>
      <c r="T395" s="562"/>
      <c r="U395" s="562"/>
      <c r="V395" s="563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7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customHeight="1" x14ac:dyDescent="0.25">
      <c r="A397" s="54" t="s">
        <v>612</v>
      </c>
      <c r="B397" s="54" t="s">
        <v>613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2.6459999999999999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615</v>
      </c>
      <c r="B398" s="54" t="s">
        <v>616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61" t="s">
        <v>71</v>
      </c>
      <c r="Q399" s="562"/>
      <c r="R399" s="562"/>
      <c r="S399" s="562"/>
      <c r="T399" s="562"/>
      <c r="U399" s="562"/>
      <c r="V399" s="563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1" t="s">
        <v>71</v>
      </c>
      <c r="Q400" s="562"/>
      <c r="R400" s="562"/>
      <c r="S400" s="562"/>
      <c r="T400" s="562"/>
      <c r="U400" s="562"/>
      <c r="V400" s="563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618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customHeight="1" x14ac:dyDescent="0.25">
      <c r="A402" s="557" t="s">
        <v>135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customHeight="1" x14ac:dyDescent="0.25">
      <c r="A403" s="54" t="s">
        <v>619</v>
      </c>
      <c r="B403" s="54" t="s">
        <v>620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61" t="s">
        <v>71</v>
      </c>
      <c r="Q404" s="562"/>
      <c r="R404" s="562"/>
      <c r="S404" s="562"/>
      <c r="T404" s="562"/>
      <c r="U404" s="562"/>
      <c r="V404" s="563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1" t="s">
        <v>71</v>
      </c>
      <c r="Q405" s="562"/>
      <c r="R405" s="562"/>
      <c r="S405" s="562"/>
      <c r="T405" s="562"/>
      <c r="U405" s="562"/>
      <c r="V405" s="563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7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customHeight="1" x14ac:dyDescent="0.25">
      <c r="A407" s="54" t="s">
        <v>622</v>
      </c>
      <c r="B407" s="54" t="s">
        <v>623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5.61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625</v>
      </c>
      <c r="B408" s="54" t="s">
        <v>626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61" t="s">
        <v>71</v>
      </c>
      <c r="Q411" s="562"/>
      <c r="R411" s="562"/>
      <c r="S411" s="562"/>
      <c r="T411" s="562"/>
      <c r="U411" s="562"/>
      <c r="V411" s="563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1" t="s">
        <v>71</v>
      </c>
      <c r="Q412" s="562"/>
      <c r="R412" s="562"/>
      <c r="S412" s="562"/>
      <c r="T412" s="562"/>
      <c r="U412" s="562"/>
      <c r="V412" s="563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8" t="s">
        <v>633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customHeight="1" x14ac:dyDescent="0.25">
      <c r="A414" s="557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customHeight="1" x14ac:dyDescent="0.25">
      <c r="A415" s="54" t="s">
        <v>634</v>
      </c>
      <c r="B415" s="54" t="s">
        <v>635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61" t="s">
        <v>71</v>
      </c>
      <c r="Q416" s="562"/>
      <c r="R416" s="562"/>
      <c r="S416" s="562"/>
      <c r="T416" s="562"/>
      <c r="U416" s="562"/>
      <c r="V416" s="563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1" t="s">
        <v>71</v>
      </c>
      <c r="Q417" s="562"/>
      <c r="R417" s="562"/>
      <c r="S417" s="562"/>
      <c r="T417" s="562"/>
      <c r="U417" s="562"/>
      <c r="V417" s="563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9" t="s">
        <v>637</v>
      </c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0"/>
      <c r="P418" s="640"/>
      <c r="Q418" s="640"/>
      <c r="R418" s="640"/>
      <c r="S418" s="640"/>
      <c r="T418" s="640"/>
      <c r="U418" s="640"/>
      <c r="V418" s="640"/>
      <c r="W418" s="640"/>
      <c r="X418" s="640"/>
      <c r="Y418" s="640"/>
      <c r="Z418" s="640"/>
      <c r="AA418" s="48"/>
      <c r="AB418" s="48"/>
      <c r="AC418" s="48"/>
    </row>
    <row r="419" spans="1:68" ht="16.5" customHeight="1" x14ac:dyDescent="0.25">
      <c r="A419" s="558" t="s">
        <v>637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customHeight="1" x14ac:dyDescent="0.25">
      <c r="A420" s="557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customHeight="1" x14ac:dyDescent="0.25">
      <c r="A421" s="54" t="s">
        <v>638</v>
      </c>
      <c r="B421" s="54" t="s">
        <v>639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5.64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124</v>
      </c>
      <c r="Y421" s="542">
        <f t="shared" ref="Y421:Y431" si="42">IFERROR(IF(X421="",0,CEILING((X421/$H421),1)*$H421),"")</f>
        <v>126.72</v>
      </c>
      <c r="Z421" s="36">
        <f t="shared" ref="Z421:Z426" si="43">IFERROR(IF(Y421=0,"",ROUNDUP(Y421/H421,0)*0.01196),"")</f>
        <v>0.28704000000000002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132.45454545454544</v>
      </c>
      <c r="BN421" s="64">
        <f t="shared" ref="BN421:BN431" si="45">IFERROR(Y421*I421/H421,"0")</f>
        <v>135.35999999999999</v>
      </c>
      <c r="BO421" s="64">
        <f t="shared" ref="BO421:BO431" si="46">IFERROR(1/J421*(X421/H421),"0")</f>
        <v>0.22581585081585082</v>
      </c>
      <c r="BP421" s="64">
        <f t="shared" ref="BP421:BP431" si="47">IFERROR(1/J421*(Y421/H421),"0")</f>
        <v>0.23076923076923078</v>
      </c>
    </row>
    <row r="422" spans="1:68" ht="27" customHeight="1" x14ac:dyDescent="0.25">
      <c r="A422" s="54" t="s">
        <v>640</v>
      </c>
      <c r="B422" s="54" t="s">
        <v>641</v>
      </c>
      <c r="C422" s="31">
        <v>4301011961</v>
      </c>
      <c r="D422" s="545">
        <v>4680115885271</v>
      </c>
      <c r="E422" s="546"/>
      <c r="F422" s="540">
        <v>0.88</v>
      </c>
      <c r="G422" s="32">
        <v>6</v>
      </c>
      <c r="H422" s="540">
        <v>5.28</v>
      </c>
      <c r="I422" s="540">
        <v>5.64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14</v>
      </c>
      <c r="Y422" s="542">
        <f t="shared" si="42"/>
        <v>15.84</v>
      </c>
      <c r="Z422" s="36">
        <f t="shared" si="43"/>
        <v>3.5880000000000002E-2</v>
      </c>
      <c r="AA422" s="56"/>
      <c r="AB422" s="57"/>
      <c r="AC422" s="463" t="s">
        <v>642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14.954545454545453</v>
      </c>
      <c r="BN422" s="64">
        <f t="shared" si="45"/>
        <v>16.919999999999998</v>
      </c>
      <c r="BO422" s="64">
        <f t="shared" si="46"/>
        <v>2.5495337995337996E-2</v>
      </c>
      <c r="BP422" s="64">
        <f t="shared" si="47"/>
        <v>2.8846153846153848E-2</v>
      </c>
    </row>
    <row r="423" spans="1:68" ht="27" customHeight="1" x14ac:dyDescent="0.25">
      <c r="A423" s="54" t="s">
        <v>643</v>
      </c>
      <c r="B423" s="54" t="s">
        <v>644</v>
      </c>
      <c r="C423" s="31">
        <v>4301011376</v>
      </c>
      <c r="D423" s="545">
        <v>4680115885226</v>
      </c>
      <c r="E423" s="546"/>
      <c r="F423" s="540">
        <v>0.88</v>
      </c>
      <c r="G423" s="32">
        <v>6</v>
      </c>
      <c r="H423" s="540">
        <v>5.28</v>
      </c>
      <c r="I423" s="540">
        <v>5.64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356</v>
      </c>
      <c r="Y423" s="542">
        <f t="shared" si="42"/>
        <v>359.04</v>
      </c>
      <c r="Z423" s="36">
        <f t="shared" si="43"/>
        <v>0.81328</v>
      </c>
      <c r="AA423" s="56"/>
      <c r="AB423" s="57"/>
      <c r="AC423" s="465" t="s">
        <v>645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380.27272727272725</v>
      </c>
      <c r="BN423" s="64">
        <f t="shared" si="45"/>
        <v>383.52</v>
      </c>
      <c r="BO423" s="64">
        <f t="shared" si="46"/>
        <v>0.6483100233100233</v>
      </c>
      <c r="BP423" s="64">
        <f t="shared" si="47"/>
        <v>0.65384615384615385</v>
      </c>
    </row>
    <row r="424" spans="1:68" ht="27" customHeight="1" x14ac:dyDescent="0.25">
      <c r="A424" s="54" t="s">
        <v>646</v>
      </c>
      <c r="B424" s="54" t="s">
        <v>647</v>
      </c>
      <c r="C424" s="31">
        <v>4301012145</v>
      </c>
      <c r="D424" s="545">
        <v>4607091383522</v>
      </c>
      <c r="E424" s="546"/>
      <c r="F424" s="540">
        <v>0.88</v>
      </c>
      <c r="G424" s="32">
        <v>6</v>
      </c>
      <c r="H424" s="540">
        <v>5.28</v>
      </c>
      <c r="I424" s="540">
        <v>5.64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648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649</v>
      </c>
      <c r="B425" s="54" t="s">
        <v>650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5.64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5.64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698</v>
      </c>
      <c r="Y426" s="542">
        <f t="shared" si="42"/>
        <v>702.24</v>
      </c>
      <c r="Z426" s="36">
        <f t="shared" si="43"/>
        <v>1.5906800000000001</v>
      </c>
      <c r="AA426" s="56"/>
      <c r="AB426" s="57"/>
      <c r="AC426" s="471" t="s">
        <v>654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745.59090909090901</v>
      </c>
      <c r="BN426" s="64">
        <f t="shared" si="45"/>
        <v>750.11999999999989</v>
      </c>
      <c r="BO426" s="64">
        <f t="shared" si="46"/>
        <v>1.2711247086247086</v>
      </c>
      <c r="BP426" s="64">
        <f t="shared" si="47"/>
        <v>1.278846153846154</v>
      </c>
    </row>
    <row r="427" spans="1:68" ht="27" customHeight="1" x14ac:dyDescent="0.25">
      <c r="A427" s="54" t="s">
        <v>655</v>
      </c>
      <c r="B427" s="54" t="s">
        <v>656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657</v>
      </c>
      <c r="B428" s="54" t="s">
        <v>658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6.93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6.93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61" t="s">
        <v>71</v>
      </c>
      <c r="Q432" s="562"/>
      <c r="R432" s="562"/>
      <c r="S432" s="562"/>
      <c r="T432" s="562"/>
      <c r="U432" s="562"/>
      <c r="V432" s="563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225.75757575757575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228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2.7268800000000004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1" t="s">
        <v>71</v>
      </c>
      <c r="Q433" s="562"/>
      <c r="R433" s="562"/>
      <c r="S433" s="562"/>
      <c r="T433" s="562"/>
      <c r="U433" s="562"/>
      <c r="V433" s="563"/>
      <c r="W433" s="37" t="s">
        <v>69</v>
      </c>
      <c r="X433" s="543">
        <f>IFERROR(SUM(X421:X431),"0")</f>
        <v>1192</v>
      </c>
      <c r="Y433" s="543">
        <f>IFERROR(SUM(Y421:Y431),"0")</f>
        <v>1203.8400000000001</v>
      </c>
      <c r="Z433" s="37"/>
      <c r="AA433" s="544"/>
      <c r="AB433" s="544"/>
      <c r="AC433" s="544"/>
    </row>
    <row r="434" spans="1:68" ht="14.25" customHeight="1" x14ac:dyDescent="0.25">
      <c r="A434" s="557" t="s">
        <v>135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5.64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392</v>
      </c>
      <c r="Y435" s="542">
        <f>IFERROR(IF(X435="",0,CEILING((X435/$H435),1)*$H435),"")</f>
        <v>396</v>
      </c>
      <c r="Z435" s="36">
        <f>IFERROR(IF(Y435=0,"",ROUNDUP(Y435/H435,0)*0.01196),"")</f>
        <v>0.89700000000000002</v>
      </c>
      <c r="AA435" s="56"/>
      <c r="AB435" s="57"/>
      <c r="AC435" s="483" t="s">
        <v>668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418.72727272727263</v>
      </c>
      <c r="BN435" s="64">
        <f>IFERROR(Y435*I435/H435,"0")</f>
        <v>423</v>
      </c>
      <c r="BO435" s="64">
        <f>IFERROR(1/J435*(X435/H435),"0")</f>
        <v>0.71386946386946382</v>
      </c>
      <c r="BP435" s="64">
        <f>IFERROR(1/J435*(Y435/H435),"0")</f>
        <v>0.72115384615384615</v>
      </c>
    </row>
    <row r="436" spans="1:68" ht="16.5" customHeight="1" x14ac:dyDescent="0.25">
      <c r="A436" s="54" t="s">
        <v>669</v>
      </c>
      <c r="B436" s="54" t="s">
        <v>670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671</v>
      </c>
      <c r="B437" s="54" t="s">
        <v>672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6.93</v>
      </c>
      <c r="J437" s="32">
        <v>132</v>
      </c>
      <c r="K437" s="32" t="s">
        <v>109</v>
      </c>
      <c r="L437" s="32" t="s">
        <v>112</v>
      </c>
      <c r="M437" s="33" t="s">
        <v>104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61" t="s">
        <v>71</v>
      </c>
      <c r="Q438" s="562"/>
      <c r="R438" s="562"/>
      <c r="S438" s="562"/>
      <c r="T438" s="562"/>
      <c r="U438" s="562"/>
      <c r="V438" s="563"/>
      <c r="W438" s="37" t="s">
        <v>72</v>
      </c>
      <c r="X438" s="543">
        <f>IFERROR(X435/H435,"0")+IFERROR(X436/H436,"0")+IFERROR(X437/H437,"0")</f>
        <v>74.242424242424235</v>
      </c>
      <c r="Y438" s="543">
        <f>IFERROR(Y435/H435,"0")+IFERROR(Y436/H436,"0")+IFERROR(Y437/H437,"0")</f>
        <v>75</v>
      </c>
      <c r="Z438" s="543">
        <f>IFERROR(IF(Z435="",0,Z435),"0")+IFERROR(IF(Z436="",0,Z436),"0")+IFERROR(IF(Z437="",0,Z437),"0")</f>
        <v>0.89700000000000002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1" t="s">
        <v>71</v>
      </c>
      <c r="Q439" s="562"/>
      <c r="R439" s="562"/>
      <c r="S439" s="562"/>
      <c r="T439" s="562"/>
      <c r="U439" s="562"/>
      <c r="V439" s="563"/>
      <c r="W439" s="37" t="s">
        <v>69</v>
      </c>
      <c r="X439" s="543">
        <f>IFERROR(SUM(X435:X437),"0")</f>
        <v>392</v>
      </c>
      <c r="Y439" s="543">
        <f>IFERROR(SUM(Y435:Y437),"0")</f>
        <v>396</v>
      </c>
      <c r="Z439" s="37"/>
      <c r="AA439" s="544"/>
      <c r="AB439" s="544"/>
      <c r="AC439" s="544"/>
    </row>
    <row r="440" spans="1:68" ht="14.25" customHeight="1" x14ac:dyDescent="0.25">
      <c r="A440" s="557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5.64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675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5.64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105</v>
      </c>
      <c r="Y442" s="542">
        <f t="shared" si="48"/>
        <v>105.60000000000001</v>
      </c>
      <c r="Z442" s="36">
        <f>IFERROR(IF(Y442=0,"",ROUNDUP(Y442/H442,0)*0.01196),"")</f>
        <v>0.2392</v>
      </c>
      <c r="AA442" s="56"/>
      <c r="AB442" s="57"/>
      <c r="AC442" s="491" t="s">
        <v>678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112.15909090909089</v>
      </c>
      <c r="BN442" s="64">
        <f t="shared" si="50"/>
        <v>112.80000000000001</v>
      </c>
      <c r="BO442" s="64">
        <f t="shared" si="51"/>
        <v>0.19121503496503497</v>
      </c>
      <c r="BP442" s="64">
        <f t="shared" si="52"/>
        <v>0.19230769230769232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5.64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681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682</v>
      </c>
      <c r="B444" s="54" t="s">
        <v>683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6.93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684</v>
      </c>
      <c r="B445" s="54" t="s">
        <v>685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6.69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6.69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3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61" t="s">
        <v>71</v>
      </c>
      <c r="Q447" s="562"/>
      <c r="R447" s="562"/>
      <c r="S447" s="562"/>
      <c r="T447" s="562"/>
      <c r="U447" s="562"/>
      <c r="V447" s="563"/>
      <c r="W447" s="37" t="s">
        <v>72</v>
      </c>
      <c r="X447" s="543">
        <f>IFERROR(X441/H441,"0")+IFERROR(X442/H442,"0")+IFERROR(X443/H443,"0")+IFERROR(X444/H444,"0")+IFERROR(X445/H445,"0")+IFERROR(X446/H446,"0")</f>
        <v>19.886363636363637</v>
      </c>
      <c r="Y447" s="543">
        <f>IFERROR(Y441/H441,"0")+IFERROR(Y442/H442,"0")+IFERROR(Y443/H443,"0")+IFERROR(Y444/H444,"0")+IFERROR(Y445/H445,"0")+IFERROR(Y446/H446,"0")</f>
        <v>20</v>
      </c>
      <c r="Z447" s="543">
        <f>IFERROR(IF(Z441="",0,Z441),"0")+IFERROR(IF(Z442="",0,Z442),"0")+IFERROR(IF(Z443="",0,Z443),"0")+IFERROR(IF(Z444="",0,Z444),"0")+IFERROR(IF(Z445="",0,Z445),"0")+IFERROR(IF(Z446="",0,Z446),"0")</f>
        <v>0.2392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1" t="s">
        <v>71</v>
      </c>
      <c r="Q448" s="562"/>
      <c r="R448" s="562"/>
      <c r="S448" s="562"/>
      <c r="T448" s="562"/>
      <c r="U448" s="562"/>
      <c r="V448" s="563"/>
      <c r="W448" s="37" t="s">
        <v>69</v>
      </c>
      <c r="X448" s="543">
        <f>IFERROR(SUM(X441:X446),"0")</f>
        <v>105</v>
      </c>
      <c r="Y448" s="543">
        <f>IFERROR(SUM(Y441:Y446),"0")</f>
        <v>105.60000000000001</v>
      </c>
      <c r="Z448" s="37"/>
      <c r="AA448" s="544"/>
      <c r="AB448" s="544"/>
      <c r="AC448" s="544"/>
    </row>
    <row r="449" spans="1:68" ht="14.25" customHeight="1" x14ac:dyDescent="0.25">
      <c r="A449" s="557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customHeight="1" x14ac:dyDescent="0.25">
      <c r="A450" s="54" t="s">
        <v>688</v>
      </c>
      <c r="B450" s="54" t="s">
        <v>689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8.3010000000000002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691</v>
      </c>
      <c r="B451" s="54" t="s">
        <v>692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8.3010000000000002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694</v>
      </c>
      <c r="B452" s="54" t="s">
        <v>695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61" t="s">
        <v>71</v>
      </c>
      <c r="Q453" s="562"/>
      <c r="R453" s="562"/>
      <c r="S453" s="562"/>
      <c r="T453" s="562"/>
      <c r="U453" s="562"/>
      <c r="V453" s="563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1" t="s">
        <v>71</v>
      </c>
      <c r="Q454" s="562"/>
      <c r="R454" s="562"/>
      <c r="S454" s="562"/>
      <c r="T454" s="562"/>
      <c r="U454" s="562"/>
      <c r="V454" s="563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9" t="s">
        <v>697</v>
      </c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0"/>
      <c r="P455" s="640"/>
      <c r="Q455" s="640"/>
      <c r="R455" s="640"/>
      <c r="S455" s="640"/>
      <c r="T455" s="640"/>
      <c r="U455" s="640"/>
      <c r="V455" s="640"/>
      <c r="W455" s="640"/>
      <c r="X455" s="640"/>
      <c r="Y455" s="640"/>
      <c r="Z455" s="640"/>
      <c r="AA455" s="48"/>
      <c r="AB455" s="48"/>
      <c r="AC455" s="48"/>
    </row>
    <row r="456" spans="1:68" ht="16.5" customHeight="1" x14ac:dyDescent="0.25">
      <c r="A456" s="558" t="s">
        <v>697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customHeight="1" x14ac:dyDescent="0.25">
      <c r="A457" s="557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customHeight="1" x14ac:dyDescent="0.25">
      <c r="A458" s="54" t="s">
        <v>698</v>
      </c>
      <c r="B458" s="54" t="s">
        <v>699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11.234999999999999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12.435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12.435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707</v>
      </c>
      <c r="B461" s="54" t="s">
        <v>708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4.21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61" t="s">
        <v>71</v>
      </c>
      <c r="Q462" s="562"/>
      <c r="R462" s="562"/>
      <c r="S462" s="562"/>
      <c r="T462" s="562"/>
      <c r="U462" s="562"/>
      <c r="V462" s="563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1" t="s">
        <v>71</v>
      </c>
      <c r="Q463" s="562"/>
      <c r="R463" s="562"/>
      <c r="S463" s="562"/>
      <c r="T463" s="562"/>
      <c r="U463" s="562"/>
      <c r="V463" s="563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7" t="s">
        <v>135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customHeight="1" x14ac:dyDescent="0.25">
      <c r="A465" s="54" t="s">
        <v>709</v>
      </c>
      <c r="B465" s="54" t="s">
        <v>710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12.435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712</v>
      </c>
      <c r="B466" s="54" t="s">
        <v>713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11.234999999999999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4.21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61" t="s">
        <v>71</v>
      </c>
      <c r="Q468" s="562"/>
      <c r="R468" s="562"/>
      <c r="S468" s="562"/>
      <c r="T468" s="562"/>
      <c r="U468" s="562"/>
      <c r="V468" s="563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1" t="s">
        <v>71</v>
      </c>
      <c r="Q469" s="562"/>
      <c r="R469" s="562"/>
      <c r="S469" s="562"/>
      <c r="T469" s="562"/>
      <c r="U469" s="562"/>
      <c r="V469" s="563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7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customHeight="1" x14ac:dyDescent="0.25">
      <c r="A471" s="54" t="s">
        <v>718</v>
      </c>
      <c r="B471" s="54" t="s">
        <v>719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4.47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621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721</v>
      </c>
      <c r="B472" s="54" t="s">
        <v>722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4.47</v>
      </c>
      <c r="J472" s="32">
        <v>132</v>
      </c>
      <c r="K472" s="32" t="s">
        <v>109</v>
      </c>
      <c r="L472" s="32" t="s">
        <v>112</v>
      </c>
      <c r="M472" s="33" t="s">
        <v>68</v>
      </c>
      <c r="N472" s="33"/>
      <c r="O472" s="32">
        <v>40</v>
      </c>
      <c r="P472" s="75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61" t="s">
        <v>71</v>
      </c>
      <c r="Q473" s="562"/>
      <c r="R473" s="562"/>
      <c r="S473" s="562"/>
      <c r="T473" s="562"/>
      <c r="U473" s="562"/>
      <c r="V473" s="563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1" t="s">
        <v>71</v>
      </c>
      <c r="Q474" s="562"/>
      <c r="R474" s="562"/>
      <c r="S474" s="562"/>
      <c r="T474" s="562"/>
      <c r="U474" s="562"/>
      <c r="V474" s="563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7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customHeight="1" x14ac:dyDescent="0.25">
      <c r="A476" s="54" t="s">
        <v>724</v>
      </c>
      <c r="B476" s="54" t="s">
        <v>725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9.5190000000000001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61" t="s">
        <v>71</v>
      </c>
      <c r="Q477" s="562"/>
      <c r="R477" s="562"/>
      <c r="S477" s="562"/>
      <c r="T477" s="562"/>
      <c r="U477" s="562"/>
      <c r="V477" s="563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1" t="s">
        <v>71</v>
      </c>
      <c r="Q478" s="562"/>
      <c r="R478" s="562"/>
      <c r="S478" s="562"/>
      <c r="T478" s="562"/>
      <c r="U478" s="562"/>
      <c r="V478" s="563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7" t="s">
        <v>165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customHeight="1" x14ac:dyDescent="0.25">
      <c r="A480" s="54" t="s">
        <v>727</v>
      </c>
      <c r="B480" s="54" t="s">
        <v>728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9.4350000000000005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730</v>
      </c>
      <c r="B481" s="54" t="s">
        <v>731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9.4350000000000005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61" t="s">
        <v>71</v>
      </c>
      <c r="Q482" s="562"/>
      <c r="R482" s="562"/>
      <c r="S482" s="562"/>
      <c r="T482" s="562"/>
      <c r="U482" s="562"/>
      <c r="V482" s="563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1" t="s">
        <v>71</v>
      </c>
      <c r="Q483" s="562"/>
      <c r="R483" s="562"/>
      <c r="S483" s="562"/>
      <c r="T483" s="562"/>
      <c r="U483" s="562"/>
      <c r="V483" s="563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733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customHeight="1" x14ac:dyDescent="0.25">
      <c r="A485" s="557" t="s">
        <v>135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customHeight="1" x14ac:dyDescent="0.25">
      <c r="A486" s="54" t="s">
        <v>734</v>
      </c>
      <c r="B486" s="54" t="s">
        <v>735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12.435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61" t="s">
        <v>71</v>
      </c>
      <c r="Q487" s="562"/>
      <c r="R487" s="562"/>
      <c r="S487" s="562"/>
      <c r="T487" s="562"/>
      <c r="U487" s="562"/>
      <c r="V487" s="563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1" t="s">
        <v>71</v>
      </c>
      <c r="Q488" s="562"/>
      <c r="R488" s="562"/>
      <c r="S488" s="562"/>
      <c r="T488" s="562"/>
      <c r="U488" s="562"/>
      <c r="V488" s="563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33" t="s">
        <v>737</v>
      </c>
      <c r="Q489" s="634"/>
      <c r="R489" s="634"/>
      <c r="S489" s="634"/>
      <c r="T489" s="634"/>
      <c r="U489" s="634"/>
      <c r="V489" s="635"/>
      <c r="W489" s="37" t="s">
        <v>69</v>
      </c>
      <c r="X489" s="543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11703</v>
      </c>
      <c r="Y489" s="543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11870.35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33" t="s">
        <v>738</v>
      </c>
      <c r="Q490" s="634"/>
      <c r="R490" s="634"/>
      <c r="S490" s="634"/>
      <c r="T490" s="634"/>
      <c r="U490" s="634"/>
      <c r="V490" s="635"/>
      <c r="W490" s="37" t="s">
        <v>69</v>
      </c>
      <c r="X490" s="543">
        <f>IFERROR(SUM(BM22:BM486),"0")</f>
        <v>12283.689622471275</v>
      </c>
      <c r="Y490" s="543">
        <f>IFERROR(SUM(BN22:BN486),"0")</f>
        <v>12460.179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33" t="s">
        <v>739</v>
      </c>
      <c r="Q491" s="634"/>
      <c r="R491" s="634"/>
      <c r="S491" s="634"/>
      <c r="T491" s="634"/>
      <c r="U491" s="634"/>
      <c r="V491" s="635"/>
      <c r="W491" s="37" t="s">
        <v>740</v>
      </c>
      <c r="X491" s="38">
        <f>ROUNDUP(SUM(BO22:BO486),0)</f>
        <v>20</v>
      </c>
      <c r="Y491" s="38">
        <f>ROUNDUP(SUM(BP22:BP486),0)</f>
        <v>20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33" t="s">
        <v>741</v>
      </c>
      <c r="Q492" s="634"/>
      <c r="R492" s="634"/>
      <c r="S492" s="634"/>
      <c r="T492" s="634"/>
      <c r="U492" s="634"/>
      <c r="V492" s="635"/>
      <c r="W492" s="37" t="s">
        <v>69</v>
      </c>
      <c r="X492" s="543">
        <f>GrossWeightTotal+PalletQtyTotal*25</f>
        <v>12783.689622471275</v>
      </c>
      <c r="Y492" s="543">
        <f>GrossWeightTotalR+PalletQtyTotalR*25</f>
        <v>12960.179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33" t="s">
        <v>742</v>
      </c>
      <c r="Q493" s="634"/>
      <c r="R493" s="634"/>
      <c r="S493" s="634"/>
      <c r="T493" s="634"/>
      <c r="U493" s="634"/>
      <c r="V493" s="635"/>
      <c r="W493" s="37" t="s">
        <v>740</v>
      </c>
      <c r="X493" s="543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1756.4091131275216</v>
      </c>
      <c r="Y493" s="543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1783</v>
      </c>
      <c r="Z493" s="37"/>
      <c r="AA493" s="544"/>
      <c r="AB493" s="544"/>
      <c r="AC493" s="544"/>
    </row>
    <row r="494" spans="1:68" ht="14.25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33" t="s">
        <v>743</v>
      </c>
      <c r="Q494" s="634"/>
      <c r="R494" s="634"/>
      <c r="S494" s="634"/>
      <c r="T494" s="634"/>
      <c r="U494" s="634"/>
      <c r="V494" s="635"/>
      <c r="W494" s="39" t="s">
        <v>744</v>
      </c>
      <c r="X494" s="37"/>
      <c r="Y494" s="37"/>
      <c r="Z494" s="37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22.470409999999998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1" t="s">
        <v>97</v>
      </c>
      <c r="D496" s="662"/>
      <c r="E496" s="662"/>
      <c r="F496" s="662"/>
      <c r="G496" s="662"/>
      <c r="H496" s="625"/>
      <c r="I496" s="591" t="s">
        <v>257</v>
      </c>
      <c r="J496" s="662"/>
      <c r="K496" s="662"/>
      <c r="L496" s="662"/>
      <c r="M496" s="662"/>
      <c r="N496" s="662"/>
      <c r="O496" s="662"/>
      <c r="P496" s="662"/>
      <c r="Q496" s="662"/>
      <c r="R496" s="625"/>
      <c r="S496" s="591" t="s">
        <v>535</v>
      </c>
      <c r="T496" s="625"/>
      <c r="U496" s="591" t="s">
        <v>586</v>
      </c>
      <c r="V496" s="662"/>
      <c r="W496" s="625"/>
      <c r="X496" s="538" t="s">
        <v>637</v>
      </c>
      <c r="Y496" s="591" t="s">
        <v>697</v>
      </c>
      <c r="Z496" s="625"/>
      <c r="AB496" s="52"/>
      <c r="AC496" s="52"/>
      <c r="AF496" s="539"/>
    </row>
    <row r="497" spans="1:32" ht="14.25" customHeight="1" thickTop="1" x14ac:dyDescent="0.2">
      <c r="A497" s="838" t="s">
        <v>746</v>
      </c>
      <c r="B497" s="591" t="s">
        <v>63</v>
      </c>
      <c r="C497" s="591" t="s">
        <v>98</v>
      </c>
      <c r="D497" s="591" t="s">
        <v>116</v>
      </c>
      <c r="E497" s="591" t="s">
        <v>172</v>
      </c>
      <c r="F497" s="591" t="s">
        <v>191</v>
      </c>
      <c r="G497" s="591" t="s">
        <v>222</v>
      </c>
      <c r="H497" s="591" t="s">
        <v>97</v>
      </c>
      <c r="I497" s="591" t="s">
        <v>258</v>
      </c>
      <c r="J497" s="591" t="s">
        <v>299</v>
      </c>
      <c r="K497" s="591" t="s">
        <v>359</v>
      </c>
      <c r="L497" s="591" t="s">
        <v>401</v>
      </c>
      <c r="M497" s="591" t="s">
        <v>417</v>
      </c>
      <c r="N497" s="539"/>
      <c r="O497" s="591" t="s">
        <v>428</v>
      </c>
      <c r="P497" s="591" t="s">
        <v>437</v>
      </c>
      <c r="Q497" s="591" t="s">
        <v>447</v>
      </c>
      <c r="R497" s="591" t="s">
        <v>525</v>
      </c>
      <c r="S497" s="591" t="s">
        <v>536</v>
      </c>
      <c r="T497" s="591" t="s">
        <v>570</v>
      </c>
      <c r="U497" s="591" t="s">
        <v>587</v>
      </c>
      <c r="V497" s="591" t="s">
        <v>618</v>
      </c>
      <c r="W497" s="591" t="s">
        <v>633</v>
      </c>
      <c r="X497" s="591" t="s">
        <v>637</v>
      </c>
      <c r="Y497" s="591" t="s">
        <v>697</v>
      </c>
      <c r="Z497" s="591" t="s">
        <v>733</v>
      </c>
      <c r="AB497" s="52"/>
      <c r="AC497" s="52"/>
      <c r="AF497" s="539"/>
    </row>
    <row r="498" spans="1:32" ht="13.5" customHeight="1" thickBot="1" x14ac:dyDescent="0.25">
      <c r="A498" s="839"/>
      <c r="B498" s="592"/>
      <c r="C498" s="592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39"/>
      <c r="O498" s="592"/>
      <c r="P498" s="592"/>
      <c r="Q498" s="592"/>
      <c r="R498" s="592"/>
      <c r="S498" s="592"/>
      <c r="T498" s="592"/>
      <c r="U498" s="592"/>
      <c r="V498" s="592"/>
      <c r="W498" s="592"/>
      <c r="X498" s="592"/>
      <c r="Y498" s="592"/>
      <c r="Z498" s="592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582.5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304.8</v>
      </c>
      <c r="E499" s="46">
        <f>IFERROR(Y86*1,"0")+IFERROR(Y87*1,"0")+IFERROR(Y88*1,"0")+IFERROR(Y92*1,"0")+IFERROR(Y93*1,"0")+IFERROR(Y94*1,"0")+IFERROR(Y95*1,"0")</f>
        <v>592.20000000000005</v>
      </c>
      <c r="F499" s="46">
        <f>IFERROR(Y100*1,"0")+IFERROR(Y101*1,"0")+IFERROR(Y102*1,"0")+IFERROR(Y103*1,"0")+IFERROR(Y107*1,"0")+IFERROR(Y108*1,"0")+IFERROR(Y109*1,"0")+IFERROR(Y113*1,"0")+IFERROR(Y114*1,"0")+IFERROR(Y115*1,"0")+IFERROR(Y116*1,"0")+IFERROR(Y120*1,"0")</f>
        <v>798.59999999999991</v>
      </c>
      <c r="G499" s="46">
        <f>IFERROR(Y125*1,"0")+IFERROR(Y126*1,"0")+IFERROR(Y130*1,"0")+IFERROR(Y131*1,"0")+IFERROR(Y135*1,"0")+IFERROR(Y136*1,"0")</f>
        <v>0</v>
      </c>
      <c r="H499" s="46">
        <f>IFERROR(Y141*1,"0")+IFERROR(Y142*1,"0")+IFERROR(Y143*1,"0")+IFERROR(Y147*1,"0")+IFERROR(Y148*1,"0")+IFERROR(Y149*1,"0")+IFERROR(Y153*1,"0")</f>
        <v>0</v>
      </c>
      <c r="I499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526.38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1692.9000000000003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209.8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634.63</v>
      </c>
      <c r="R499" s="46">
        <f>IFERROR(Y335*1,"0")+IFERROR(Y336*1,"0")+IFERROR(Y337*1,"0")</f>
        <v>8.1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4161</v>
      </c>
      <c r="T499" s="46">
        <f>IFERROR(Y368*1,"0")+IFERROR(Y369*1,"0")+IFERROR(Y373*1,"0")+IFERROR(Y374*1,"0")+IFERROR(Y378*1,"0")+IFERROR(Y379*1,"0")</f>
        <v>654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1705.44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4jpAM7Sjk9RSWNcBloJ8dqpCJdyfYjSxj1lY3CWabEtPzg3L+tWajwkCzUJYgal49VBVSGEcsI/pq0O8Lk3oSQ==" saltValue="oQOZhR+kzCeVlsirVXABH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X17:X18"/>
    <mergeCell ref="D408:E408"/>
    <mergeCell ref="P216:V216"/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P69:V69"/>
    <mergeCell ref="A21:Z21"/>
    <mergeCell ref="P438:V438"/>
    <mergeCell ref="A355:O356"/>
    <mergeCell ref="A129:Z129"/>
    <mergeCell ref="D192:E192"/>
    <mergeCell ref="P356:V356"/>
    <mergeCell ref="A468:O469"/>
    <mergeCell ref="P363:T363"/>
    <mergeCell ref="D344:E344"/>
    <mergeCell ref="D42:E42"/>
    <mergeCell ref="D471:E471"/>
    <mergeCell ref="D17:E18"/>
    <mergeCell ref="V12:W12"/>
    <mergeCell ref="D191:E191"/>
    <mergeCell ref="D458:E458"/>
    <mergeCell ref="P122:V122"/>
    <mergeCell ref="P368:T368"/>
    <mergeCell ref="A362:Z362"/>
    <mergeCell ref="A245:Z245"/>
    <mergeCell ref="A489:O494"/>
    <mergeCell ref="P43:V43"/>
    <mergeCell ref="P285:V285"/>
    <mergeCell ref="A39:Z39"/>
    <mergeCell ref="P60:T60"/>
    <mergeCell ref="D291:E291"/>
    <mergeCell ref="D266:E266"/>
    <mergeCell ref="P149:T149"/>
    <mergeCell ref="D95:E95"/>
    <mergeCell ref="U17:V17"/>
    <mergeCell ref="P410:T410"/>
    <mergeCell ref="P385:T385"/>
    <mergeCell ref="Y17:Y18"/>
    <mergeCell ref="A484:Z484"/>
    <mergeCell ref="A479:Z479"/>
    <mergeCell ref="P373:T373"/>
    <mergeCell ref="P307:T307"/>
    <mergeCell ref="A487:O488"/>
    <mergeCell ref="A33:Z33"/>
    <mergeCell ref="T497:T498"/>
    <mergeCell ref="D196:E196"/>
    <mergeCell ref="V497:V498"/>
    <mergeCell ref="A440:Z440"/>
    <mergeCell ref="P145:V145"/>
    <mergeCell ref="P23:V23"/>
    <mergeCell ref="P381:V381"/>
    <mergeCell ref="A206:Z206"/>
    <mergeCell ref="A262:Z262"/>
    <mergeCell ref="A333:Z333"/>
    <mergeCell ref="D54:E54"/>
    <mergeCell ref="P160:V160"/>
    <mergeCell ref="Q497:Q498"/>
    <mergeCell ref="G497:G498"/>
    <mergeCell ref="I497:I498"/>
    <mergeCell ref="P444:T444"/>
    <mergeCell ref="D250:E250"/>
    <mergeCell ref="P202:T202"/>
    <mergeCell ref="A188:O189"/>
    <mergeCell ref="A497:A498"/>
    <mergeCell ref="D170:E170"/>
    <mergeCell ref="P132:V132"/>
    <mergeCell ref="P72:T72"/>
    <mergeCell ref="A31:O32"/>
    <mergeCell ref="Q5:R5"/>
    <mergeCell ref="N17:N18"/>
    <mergeCell ref="D242:E242"/>
    <mergeCell ref="P199:T199"/>
    <mergeCell ref="D120:E120"/>
    <mergeCell ref="F17:F18"/>
    <mergeCell ref="P297:T297"/>
    <mergeCell ref="P435:T435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D336:E336"/>
    <mergeCell ref="P293:T293"/>
    <mergeCell ref="D407:E407"/>
    <mergeCell ref="AD17:AF18"/>
    <mergeCell ref="D101:E101"/>
    <mergeCell ref="P117:V117"/>
    <mergeCell ref="D76:E76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279:E279"/>
    <mergeCell ref="A254:Z254"/>
    <mergeCell ref="P181:T181"/>
    <mergeCell ref="D29:E29"/>
    <mergeCell ref="I496:R496"/>
    <mergeCell ref="W497:W498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P312:V312"/>
    <mergeCell ref="P371:V371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P492:V492"/>
    <mergeCell ref="S496:T496"/>
    <mergeCell ref="P415:T415"/>
    <mergeCell ref="P286:V286"/>
    <mergeCell ref="M17:M18"/>
    <mergeCell ref="O17:O18"/>
    <mergeCell ref="P336:T336"/>
    <mergeCell ref="A453:O454"/>
    <mergeCell ref="P494:V494"/>
    <mergeCell ref="P430:T430"/>
    <mergeCell ref="P350:V350"/>
    <mergeCell ref="P102:T102"/>
    <mergeCell ref="P189:V189"/>
    <mergeCell ref="A185:Z185"/>
    <mergeCell ref="P196:T196"/>
    <mergeCell ref="D177:E177"/>
    <mergeCell ref="P281:V281"/>
    <mergeCell ref="P354:T354"/>
    <mergeCell ref="D226:E226"/>
    <mergeCell ref="D164:E164"/>
    <mergeCell ref="A106:Z106"/>
    <mergeCell ref="P62:T62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149:E149"/>
    <mergeCell ref="A127:O128"/>
    <mergeCell ref="D385:E385"/>
    <mergeCell ref="P301:T301"/>
    <mergeCell ref="D257:E257"/>
    <mergeCell ref="P214:T214"/>
    <mergeCell ref="D86:E86"/>
    <mergeCell ref="D213:E213"/>
    <mergeCell ref="A457:Z457"/>
    <mergeCell ref="A110:O111"/>
    <mergeCell ref="D321:E321"/>
    <mergeCell ref="P107:T107"/>
    <mergeCell ref="P101:T101"/>
    <mergeCell ref="P63:V63"/>
    <mergeCell ref="A9:C9"/>
    <mergeCell ref="D373:E373"/>
    <mergeCell ref="D202:E202"/>
    <mergeCell ref="C496:H496"/>
    <mergeCell ref="P348:T34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P474:V474"/>
    <mergeCell ref="Q13:R13"/>
    <mergeCell ref="P268:V268"/>
    <mergeCell ref="P97:V97"/>
    <mergeCell ref="P339:V339"/>
    <mergeCell ref="P201:T201"/>
    <mergeCell ref="A35:O36"/>
    <mergeCell ref="D22:E22"/>
    <mergeCell ref="P34:T34"/>
    <mergeCell ref="P465:T465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6:M6"/>
    <mergeCell ref="P461:T461"/>
    <mergeCell ref="A306:Z306"/>
    <mergeCell ref="P175:T175"/>
    <mergeCell ref="A85:Z85"/>
    <mergeCell ref="P331:V331"/>
    <mergeCell ref="A278:Z278"/>
    <mergeCell ref="P460:T460"/>
    <mergeCell ref="D143:E143"/>
    <mergeCell ref="D441:E441"/>
    <mergeCell ref="P398:T398"/>
    <mergeCell ref="P227:T227"/>
    <mergeCell ref="D368:E368"/>
    <mergeCell ref="P177:T177"/>
    <mergeCell ref="A294:O295"/>
    <mergeCell ref="P335:T335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A283:Z283"/>
    <mergeCell ref="D446:E446"/>
    <mergeCell ref="A277:Z277"/>
    <mergeCell ref="P44:V44"/>
    <mergeCell ref="D481:E481"/>
    <mergeCell ref="D256:E256"/>
    <mergeCell ref="P226:T226"/>
    <mergeCell ref="D207:E207"/>
    <mergeCell ref="P164:T164"/>
    <mergeCell ref="A150:O151"/>
    <mergeCell ref="P93:T93"/>
    <mergeCell ref="D299:E299"/>
    <mergeCell ref="V6:W9"/>
    <mergeCell ref="D199:E199"/>
    <mergeCell ref="P109:T109"/>
    <mergeCell ref="A59:Z59"/>
    <mergeCell ref="D435:E435"/>
    <mergeCell ref="A404:O405"/>
    <mergeCell ref="P274:T274"/>
    <mergeCell ref="P345:T345"/>
    <mergeCell ref="D186:E186"/>
    <mergeCell ref="P22:T22"/>
    <mergeCell ref="Z17:Z18"/>
    <mergeCell ref="P405:V405"/>
    <mergeCell ref="A401:Z401"/>
    <mergeCell ref="P57:V57"/>
    <mergeCell ref="G17:G18"/>
    <mergeCell ref="D159:E159"/>
    <mergeCell ref="P121:V121"/>
    <mergeCell ref="D80:E80"/>
    <mergeCell ref="A296:Z296"/>
    <mergeCell ref="P130:T130"/>
    <mergeCell ref="A271:Z271"/>
    <mergeCell ref="D136:E136"/>
    <mergeCell ref="P240:V240"/>
    <mergeCell ref="P46:T46"/>
    <mergeCell ref="AA17:AA18"/>
    <mergeCell ref="A377:Z377"/>
    <mergeCell ref="AC17:AC18"/>
    <mergeCell ref="H10:M10"/>
    <mergeCell ref="P279:T279"/>
    <mergeCell ref="A420:Z420"/>
    <mergeCell ref="P472:T472"/>
    <mergeCell ref="D393:E393"/>
    <mergeCell ref="A224:Z224"/>
    <mergeCell ref="P108:T108"/>
    <mergeCell ref="A104:O105"/>
    <mergeCell ref="A235:O236"/>
    <mergeCell ref="P343:T343"/>
    <mergeCell ref="A288:Z288"/>
    <mergeCell ref="D153:E153"/>
    <mergeCell ref="P256:T256"/>
    <mergeCell ref="A462:O463"/>
    <mergeCell ref="AB17:AB18"/>
    <mergeCell ref="D459:E459"/>
    <mergeCell ref="D225:E225"/>
    <mergeCell ref="P409:T409"/>
    <mergeCell ref="A399:O400"/>
    <mergeCell ref="D461:E461"/>
    <mergeCell ref="P61:T61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P212:T212"/>
    <mergeCell ref="P482:V482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P321:T321"/>
    <mergeCell ref="P125:T1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386:E386"/>
    <mergeCell ref="D215:E215"/>
    <mergeCell ref="P194:V194"/>
    <mergeCell ref="A364:O365"/>
    <mergeCell ref="A447:O448"/>
    <mergeCell ref="P200:T200"/>
    <mergeCell ref="P436:T436"/>
    <mergeCell ref="A251:O252"/>
    <mergeCell ref="P292:T292"/>
    <mergeCell ref="A360:O361"/>
    <mergeCell ref="D102:E102"/>
    <mergeCell ref="J9:M9"/>
    <mergeCell ref="A418:Z418"/>
    <mergeCell ref="D348:E348"/>
    <mergeCell ref="P141:T141"/>
    <mergeCell ref="P454:V454"/>
    <mergeCell ref="D62:E62"/>
    <mergeCell ref="D56:E56"/>
    <mergeCell ref="P233:T233"/>
    <mergeCell ref="D347:E347"/>
    <mergeCell ref="D176:E176"/>
    <mergeCell ref="P155:V155"/>
    <mergeCell ref="A154:O155"/>
    <mergeCell ref="D114:E114"/>
    <mergeCell ref="P143:T143"/>
    <mergeCell ref="P248:T248"/>
    <mergeCell ref="P441:T441"/>
    <mergeCell ref="D51:E51"/>
    <mergeCell ref="D349:E349"/>
    <mergeCell ref="A38:Z38"/>
    <mergeCell ref="P207:T207"/>
    <mergeCell ref="A372:Z372"/>
    <mergeCell ref="P299:T299"/>
    <mergeCell ref="P172:V172"/>
    <mergeCell ref="P150:V150"/>
    <mergeCell ref="P26:T26"/>
    <mergeCell ref="P324:T324"/>
    <mergeCell ref="P153:T153"/>
    <mergeCell ref="P338:V338"/>
    <mergeCell ref="P313:V313"/>
    <mergeCell ref="P58:V58"/>
    <mergeCell ref="A13:M13"/>
    <mergeCell ref="A119:Z119"/>
    <mergeCell ref="P244:V244"/>
    <mergeCell ref="P115:T115"/>
    <mergeCell ref="D61:E61"/>
    <mergeCell ref="A15:M15"/>
    <mergeCell ref="P238:T238"/>
    <mergeCell ref="P229:T229"/>
    <mergeCell ref="D125:E125"/>
    <mergeCell ref="P221:V221"/>
    <mergeCell ref="P326:V326"/>
    <mergeCell ref="D203:E203"/>
    <mergeCell ref="P232:T232"/>
    <mergeCell ref="P330:T330"/>
    <mergeCell ref="P159:T159"/>
    <mergeCell ref="D267:E267"/>
    <mergeCell ref="H17:H18"/>
    <mergeCell ref="A146:Z146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P151:V151"/>
    <mergeCell ref="D130:E130"/>
    <mergeCell ref="P451:T451"/>
    <mergeCell ref="D335:E335"/>
    <mergeCell ref="A470:Z470"/>
    <mergeCell ref="A375:O376"/>
    <mergeCell ref="D201:E201"/>
    <mergeCell ref="A204:O205"/>
    <mergeCell ref="P87:T87"/>
    <mergeCell ref="D424:E424"/>
    <mergeCell ref="P322:T322"/>
    <mergeCell ref="A285:O286"/>
    <mergeCell ref="P211:T211"/>
    <mergeCell ref="P309:T309"/>
    <mergeCell ref="P88:T88"/>
    <mergeCell ref="A367:Z367"/>
    <mergeCell ref="A14:M14"/>
    <mergeCell ref="T5:U5"/>
    <mergeCell ref="P76:T76"/>
    <mergeCell ref="V5:W5"/>
    <mergeCell ref="P374:T374"/>
    <mergeCell ref="D246:E246"/>
    <mergeCell ref="P294:V294"/>
    <mergeCell ref="P203:T203"/>
    <mergeCell ref="D46:E46"/>
    <mergeCell ref="D40:E40"/>
    <mergeCell ref="D233:E233"/>
    <mergeCell ref="Q8:R8"/>
    <mergeCell ref="P311:T311"/>
    <mergeCell ref="P267:T267"/>
    <mergeCell ref="D248:E248"/>
    <mergeCell ref="D219:E219"/>
    <mergeCell ref="P83:V83"/>
    <mergeCell ref="A82:O83"/>
    <mergeCell ref="A79:Z79"/>
    <mergeCell ref="T6:U9"/>
    <mergeCell ref="P319:V319"/>
    <mergeCell ref="Q10:R10"/>
    <mergeCell ref="D41:E41"/>
    <mergeCell ref="P318:V318"/>
    <mergeCell ref="D497:D498"/>
    <mergeCell ref="D480:E480"/>
    <mergeCell ref="D280:E280"/>
    <mergeCell ref="F497:F498"/>
    <mergeCell ref="A160:O161"/>
    <mergeCell ref="P163:T163"/>
    <mergeCell ref="D109:E109"/>
    <mergeCell ref="D467:E467"/>
    <mergeCell ref="P424:T424"/>
    <mergeCell ref="D345:E345"/>
    <mergeCell ref="D409:E409"/>
    <mergeCell ref="D444:E444"/>
    <mergeCell ref="P425:T425"/>
    <mergeCell ref="D346:E346"/>
    <mergeCell ref="A419:Z419"/>
    <mergeCell ref="P446:T446"/>
    <mergeCell ref="C497:C498"/>
    <mergeCell ref="E497:E498"/>
    <mergeCell ref="D476:E476"/>
    <mergeCell ref="P393:T393"/>
    <mergeCell ref="D374:E374"/>
    <mergeCell ref="A340:Z340"/>
    <mergeCell ref="D425:E425"/>
    <mergeCell ref="D359:E359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330:E330"/>
    <mergeCell ref="P304:V304"/>
    <mergeCell ref="A98:Z98"/>
    <mergeCell ref="A396:Z396"/>
    <mergeCell ref="P110:V110"/>
    <mergeCell ref="A162:Z162"/>
    <mergeCell ref="A338:O339"/>
    <mergeCell ref="P208:T208"/>
    <mergeCell ref="P450:T450"/>
    <mergeCell ref="A132:O133"/>
    <mergeCell ref="A325:O326"/>
    <mergeCell ref="D116:E116"/>
    <mergeCell ref="D9:E9"/>
    <mergeCell ref="P197:T197"/>
    <mergeCell ref="F9:G9"/>
    <mergeCell ref="P53:T53"/>
    <mergeCell ref="D167:E167"/>
    <mergeCell ref="P422:T422"/>
    <mergeCell ref="P289:T289"/>
    <mergeCell ref="D403:E403"/>
    <mergeCell ref="D232:E232"/>
    <mergeCell ref="D52:E52"/>
    <mergeCell ref="D27:E27"/>
    <mergeCell ref="P15:T16"/>
    <mergeCell ref="A275:O276"/>
    <mergeCell ref="P219:T219"/>
    <mergeCell ref="P272:T272"/>
    <mergeCell ref="P210:T210"/>
    <mergeCell ref="D398:E398"/>
    <mergeCell ref="P308:T308"/>
    <mergeCell ref="A69:O70"/>
    <mergeCell ref="D264:E264"/>
    <mergeCell ref="D93:E93"/>
    <mergeCell ref="D391:E391"/>
    <mergeCell ref="D220:E220"/>
    <mergeCell ref="P370:V370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Q12:R12"/>
    <mergeCell ref="P169:T169"/>
    <mergeCell ref="P467:T467"/>
    <mergeCell ref="P442:T442"/>
    <mergeCell ref="P489:V489"/>
    <mergeCell ref="D388:E388"/>
    <mergeCell ref="P183:V183"/>
    <mergeCell ref="P246:T246"/>
    <mergeCell ref="A43:O44"/>
    <mergeCell ref="P133:V133"/>
    <mergeCell ref="D390:E390"/>
    <mergeCell ref="A123:Z123"/>
    <mergeCell ref="D460:E460"/>
    <mergeCell ref="P439:V439"/>
    <mergeCell ref="A438:O439"/>
    <mergeCell ref="P433:V433"/>
    <mergeCell ref="P427:T427"/>
    <mergeCell ref="A394:O395"/>
    <mergeCell ref="A195:Z195"/>
    <mergeCell ref="D328:E328"/>
    <mergeCell ref="A253:Z253"/>
    <mergeCell ref="A12:M12"/>
    <mergeCell ref="P355:V355"/>
    <mergeCell ref="A180:Z180"/>
    <mergeCell ref="Q9:R9"/>
    <mergeCell ref="D451:E451"/>
    <mergeCell ref="D255:E255"/>
    <mergeCell ref="P36:V36"/>
    <mergeCell ref="P478:V478"/>
    <mergeCell ref="O497:O498"/>
    <mergeCell ref="D322:E322"/>
    <mergeCell ref="Q11:R11"/>
    <mergeCell ref="A6:C6"/>
    <mergeCell ref="D309:E309"/>
    <mergeCell ref="U496:W496"/>
    <mergeCell ref="D113:E113"/>
    <mergeCell ref="P167:T167"/>
    <mergeCell ref="P142:T142"/>
    <mergeCell ref="D148:E148"/>
    <mergeCell ref="D88:E8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52:T52"/>
    <mergeCell ref="D108:E108"/>
    <mergeCell ref="P481:T481"/>
    <mergeCell ref="I17:I18"/>
    <mergeCell ref="D141:E141"/>
    <mergeCell ref="D135:E135"/>
    <mergeCell ref="D72:E72"/>
    <mergeCell ref="P295:V295"/>
    <mergeCell ref="P178:V178"/>
    <mergeCell ref="P276:V276"/>
    <mergeCell ref="D421:E421"/>
    <mergeCell ref="P463:V463"/>
    <mergeCell ref="P480:T480"/>
    <mergeCell ref="P280:T280"/>
    <mergeCell ref="D343:E343"/>
    <mergeCell ref="P397:T397"/>
    <mergeCell ref="P74:T74"/>
    <mergeCell ref="P243:V243"/>
    <mergeCell ref="A190:Z190"/>
    <mergeCell ref="A19:Z19"/>
    <mergeCell ref="P310:T310"/>
    <mergeCell ref="A37:Z37"/>
    <mergeCell ref="D68:E68"/>
    <mergeCell ref="P51:T51"/>
    <mergeCell ref="D1:F1"/>
    <mergeCell ref="P466:T466"/>
    <mergeCell ref="A71:Z71"/>
    <mergeCell ref="P488:V488"/>
    <mergeCell ref="P282:V282"/>
    <mergeCell ref="P111:V111"/>
    <mergeCell ref="J17:J18"/>
    <mergeCell ref="L17:L18"/>
    <mergeCell ref="A184:Z184"/>
    <mergeCell ref="P48:V48"/>
    <mergeCell ref="P426:T426"/>
    <mergeCell ref="P255:T255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301:E301"/>
    <mergeCell ref="D87:E87"/>
    <mergeCell ref="P116:T116"/>
    <mergeCell ref="P103:T103"/>
    <mergeCell ref="P230:T230"/>
    <mergeCell ref="D211:E211"/>
    <mergeCell ref="A47:O48"/>
    <mergeCell ref="X497:X498"/>
    <mergeCell ref="D354:E354"/>
    <mergeCell ref="A475:Z475"/>
    <mergeCell ref="A96:O97"/>
    <mergeCell ref="P269:V269"/>
    <mergeCell ref="A45:Z45"/>
    <mergeCell ref="P462:V462"/>
    <mergeCell ref="A287:Z287"/>
    <mergeCell ref="P168:T168"/>
    <mergeCell ref="P490:V490"/>
    <mergeCell ref="P497:P498"/>
    <mergeCell ref="A402:Z402"/>
    <mergeCell ref="D229:E229"/>
    <mergeCell ref="R497:R498"/>
    <mergeCell ref="P131:T131"/>
    <mergeCell ref="P187:T187"/>
    <mergeCell ref="A117:O118"/>
    <mergeCell ref="P429:T429"/>
    <mergeCell ref="P258:T258"/>
    <mergeCell ref="D369:E369"/>
    <mergeCell ref="P423:T423"/>
    <mergeCell ref="A304:O305"/>
    <mergeCell ref="A182:O183"/>
    <mergeCell ref="H1:Q1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P171:T171"/>
    <mergeCell ref="A239:O240"/>
    <mergeCell ref="P242:T242"/>
    <mergeCell ref="D92:E92"/>
    <mergeCell ref="D353:E353"/>
    <mergeCell ref="D55:E55"/>
    <mergeCell ref="D30:E30"/>
    <mergeCell ref="D67:E67"/>
    <mergeCell ref="A140:Z140"/>
    <mergeCell ref="D5:E5"/>
    <mergeCell ref="D303:E303"/>
    <mergeCell ref="P42:T42"/>
    <mergeCell ref="D290:E290"/>
    <mergeCell ref="D94:E94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265:T265"/>
    <mergeCell ref="P94:T94"/>
    <mergeCell ref="D379:E379"/>
    <mergeCell ref="D208:E208"/>
    <mergeCell ref="D8:M8"/>
    <mergeCell ref="D300:E300"/>
    <mergeCell ref="P329:T329"/>
    <mergeCell ref="P251:V251"/>
    <mergeCell ref="P118:V118"/>
    <mergeCell ref="P416:V416"/>
    <mergeCell ref="A241:Z241"/>
    <mergeCell ref="P266:T266"/>
    <mergeCell ref="P95:T95"/>
    <mergeCell ref="H497:H498"/>
    <mergeCell ref="A473:O474"/>
    <mergeCell ref="D289:E28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P161:V161"/>
    <mergeCell ref="A449:Z449"/>
    <mergeCell ref="P234:T234"/>
    <mergeCell ref="P325:V325"/>
    <mergeCell ref="P154:V154"/>
    <mergeCell ref="D378:E378"/>
    <mergeCell ref="P458:T458"/>
    <mergeCell ref="P487:V487"/>
    <mergeCell ref="P182:V182"/>
    <mergeCell ref="P477:V477"/>
    <mergeCell ref="P81:T81"/>
    <mergeCell ref="P56:T56"/>
    <mergeCell ref="V10:W10"/>
    <mergeCell ref="P379:T379"/>
    <mergeCell ref="A124:Z124"/>
    <mergeCell ref="D431:E431"/>
    <mergeCell ref="P170:T170"/>
    <mergeCell ref="P316:T316"/>
    <mergeCell ref="D66:E66"/>
    <mergeCell ref="D126:E126"/>
    <mergeCell ref="P443:T443"/>
    <mergeCell ref="D197:E197"/>
    <mergeCell ref="D53:E53"/>
    <mergeCell ref="A84:Z84"/>
    <mergeCell ref="P96:V96"/>
    <mergeCell ref="A50:Z50"/>
    <mergeCell ref="W17:W18"/>
    <mergeCell ref="P90:V90"/>
    <mergeCell ref="D142:E142"/>
    <mergeCell ref="P476:T476"/>
    <mergeCell ref="P407:T407"/>
    <mergeCell ref="P471:T471"/>
    <mergeCell ref="P259:T259"/>
    <mergeCell ref="D486:E486"/>
    <mergeCell ref="A216:O217"/>
    <mergeCell ref="P86:T86"/>
    <mergeCell ref="P328:T328"/>
    <mergeCell ref="P213:T213"/>
    <mergeCell ref="A281:O282"/>
    <mergeCell ref="P249:T249"/>
    <mergeCell ref="D363:E363"/>
    <mergeCell ref="R1:T1"/>
    <mergeCell ref="P28:T28"/>
    <mergeCell ref="P392:T392"/>
    <mergeCell ref="P386:T386"/>
    <mergeCell ref="D307:E307"/>
    <mergeCell ref="P215:T215"/>
    <mergeCell ref="P165:T165"/>
    <mergeCell ref="P400:V400"/>
    <mergeCell ref="A89:O90"/>
    <mergeCell ref="D73:E73"/>
    <mergeCell ref="P77:V77"/>
    <mergeCell ref="P30:T30"/>
    <mergeCell ref="P375:V375"/>
    <mergeCell ref="P179:V179"/>
    <mergeCell ref="P290:T290"/>
    <mergeCell ref="P452:T452"/>
    <mergeCell ref="D472:E472"/>
    <mergeCell ref="A352:Z352"/>
    <mergeCell ref="D410:E410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D297:E297"/>
    <mergeCell ref="A350:O351"/>
    <mergeCell ref="P391:T391"/>
    <mergeCell ref="P220:T220"/>
    <mergeCell ref="A65:Z65"/>
    <mergeCell ref="D238:E238"/>
    <mergeCell ref="D426:E426"/>
    <mergeCell ref="P448:V448"/>
    <mergeCell ref="A63:O64"/>
    <mergeCell ref="B17:B18"/>
    <mergeCell ref="A77:O78"/>
    <mergeCell ref="D60:E60"/>
    <mergeCell ref="P73:T73"/>
    <mergeCell ref="D187:E187"/>
    <mergeCell ref="P437:T437"/>
    <mergeCell ref="P315:T315"/>
    <mergeCell ref="P231:T231"/>
    <mergeCell ref="A432:O433"/>
    <mergeCell ref="D423:E423"/>
    <mergeCell ref="P302:T302"/>
    <mergeCell ref="D131:E131"/>
    <mergeCell ref="D258:E258"/>
    <mergeCell ref="P235:V235"/>
    <mergeCell ref="P148:T148"/>
    <mergeCell ref="P388:T38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3 X80 X86 X88 X92 X100 X102 X107 X109 X113 X115 X163 X165:X166 X168:X169 X192 X196:X197 X199:X201 X203 X209:X210 X212:X215 X220 X225 X273:X274 X315:X317 X324 X335 X343:X346 X353 X378:X379 X421:X423 X426 X435 X437 X441:X443 X471:X47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pu6ioSBFf0filI1nqIRCSU2aQrXXFllcqagbMFvz91hFf+zDMdPk7epTqJLojgaqELbNg9rCSKxubDrp+D+GMA==" saltValue="HZNptR49ZTL5aJqOB0uiD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2025-11-05T08:52:19Z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