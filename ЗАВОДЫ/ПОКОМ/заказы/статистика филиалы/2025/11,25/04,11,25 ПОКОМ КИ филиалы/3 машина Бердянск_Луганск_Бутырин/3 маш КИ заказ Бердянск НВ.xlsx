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9897BB1-9CD1-4985-9AC0-6BAB0774553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M499" i="1" s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499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Y178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Y173" i="1" s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8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3" i="1" s="1"/>
  <c r="BO22" i="1"/>
  <c r="BM22" i="1"/>
  <c r="X490" i="1" s="1"/>
  <c r="Y22" i="1"/>
  <c r="P22" i="1"/>
  <c r="H10" i="1"/>
  <c r="A9" i="1"/>
  <c r="D7" i="1"/>
  <c r="Q6" i="1"/>
  <c r="P2" i="1"/>
  <c r="BP28" i="1" l="1"/>
  <c r="BN28" i="1"/>
  <c r="Z28" i="1"/>
  <c r="Y47" i="1"/>
  <c r="BP46" i="1"/>
  <c r="BN46" i="1"/>
  <c r="Z46" i="1"/>
  <c r="Z47" i="1" s="1"/>
  <c r="D499" i="1"/>
  <c r="Y58" i="1"/>
  <c r="BP51" i="1"/>
  <c r="BN51" i="1"/>
  <c r="Z51" i="1"/>
  <c r="BP55" i="1"/>
  <c r="BN55" i="1"/>
  <c r="Z55" i="1"/>
  <c r="BP67" i="1"/>
  <c r="BN67" i="1"/>
  <c r="Z67" i="1"/>
  <c r="Z69" i="1" s="1"/>
  <c r="BP75" i="1"/>
  <c r="BN75" i="1"/>
  <c r="Z75" i="1"/>
  <c r="BP88" i="1"/>
  <c r="BN88" i="1"/>
  <c r="Z88" i="1"/>
  <c r="Y90" i="1"/>
  <c r="Y97" i="1"/>
  <c r="BP92" i="1"/>
  <c r="BN92" i="1"/>
  <c r="Z92" i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Z127" i="1" s="1"/>
  <c r="Y128" i="1"/>
  <c r="Y133" i="1"/>
  <c r="BP130" i="1"/>
  <c r="BN130" i="1"/>
  <c r="Z130" i="1"/>
  <c r="Z132" i="1" s="1"/>
  <c r="BP143" i="1"/>
  <c r="BN143" i="1"/>
  <c r="Z143" i="1"/>
  <c r="Y145" i="1"/>
  <c r="Y150" i="1"/>
  <c r="BP147" i="1"/>
  <c r="BN147" i="1"/>
  <c r="Z147" i="1"/>
  <c r="BP166" i="1"/>
  <c r="BN166" i="1"/>
  <c r="Z166" i="1"/>
  <c r="BP170" i="1"/>
  <c r="BN170" i="1"/>
  <c r="Z170" i="1"/>
  <c r="BP187" i="1"/>
  <c r="BN187" i="1"/>
  <c r="Z187" i="1"/>
  <c r="Z188" i="1" s="1"/>
  <c r="J499" i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Y221" i="1"/>
  <c r="F10" i="1"/>
  <c r="J9" i="1"/>
  <c r="F9" i="1"/>
  <c r="A10" i="1"/>
  <c r="BP42" i="1"/>
  <c r="BN42" i="1"/>
  <c r="Z42" i="1"/>
  <c r="Y44" i="1"/>
  <c r="Y48" i="1"/>
  <c r="H9" i="1"/>
  <c r="Y23" i="1"/>
  <c r="BP22" i="1"/>
  <c r="BN22" i="1"/>
  <c r="Z22" i="1"/>
  <c r="Z23" i="1" s="1"/>
  <c r="B499" i="1"/>
  <c r="X491" i="1"/>
  <c r="X492" i="1" s="1"/>
  <c r="Y24" i="1"/>
  <c r="Y31" i="1"/>
  <c r="BP26" i="1"/>
  <c r="BN26" i="1"/>
  <c r="Z26" i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Z43" i="1" s="1"/>
  <c r="BP53" i="1"/>
  <c r="BN53" i="1"/>
  <c r="Z53" i="1"/>
  <c r="Y57" i="1"/>
  <c r="Z63" i="1"/>
  <c r="BP61" i="1"/>
  <c r="BN61" i="1"/>
  <c r="Z61" i="1"/>
  <c r="Y70" i="1"/>
  <c r="Y69" i="1"/>
  <c r="Z77" i="1"/>
  <c r="BP73" i="1"/>
  <c r="BN73" i="1"/>
  <c r="Z73" i="1"/>
  <c r="Y77" i="1"/>
  <c r="BP81" i="1"/>
  <c r="BN81" i="1"/>
  <c r="Z81" i="1"/>
  <c r="Z82" i="1" s="1"/>
  <c r="Y83" i="1"/>
  <c r="E499" i="1"/>
  <c r="Y89" i="1"/>
  <c r="BP86" i="1"/>
  <c r="BN86" i="1"/>
  <c r="Z86" i="1"/>
  <c r="Z89" i="1" s="1"/>
  <c r="BP94" i="1"/>
  <c r="BN94" i="1"/>
  <c r="Z94" i="1"/>
  <c r="F499" i="1"/>
  <c r="BP103" i="1"/>
  <c r="BN103" i="1"/>
  <c r="Z103" i="1"/>
  <c r="Y105" i="1"/>
  <c r="Y110" i="1"/>
  <c r="BP107" i="1"/>
  <c r="BN107" i="1"/>
  <c r="Z107" i="1"/>
  <c r="Z110" i="1" s="1"/>
  <c r="BP115" i="1"/>
  <c r="BN115" i="1"/>
  <c r="Z115" i="1"/>
  <c r="Y132" i="1"/>
  <c r="BP136" i="1"/>
  <c r="BN136" i="1"/>
  <c r="Z136" i="1"/>
  <c r="Z137" i="1" s="1"/>
  <c r="Y138" i="1"/>
  <c r="H499" i="1"/>
  <c r="Y144" i="1"/>
  <c r="BP141" i="1"/>
  <c r="BN141" i="1"/>
  <c r="Z141" i="1"/>
  <c r="Z144" i="1" s="1"/>
  <c r="BP149" i="1"/>
  <c r="BN149" i="1"/>
  <c r="Z149" i="1"/>
  <c r="Y151" i="1"/>
  <c r="BP164" i="1"/>
  <c r="BN164" i="1"/>
  <c r="Z164" i="1"/>
  <c r="Z172" i="1" s="1"/>
  <c r="BP168" i="1"/>
  <c r="BN168" i="1"/>
  <c r="Z168" i="1"/>
  <c r="Y172" i="1"/>
  <c r="BP176" i="1"/>
  <c r="BN176" i="1"/>
  <c r="Z176" i="1"/>
  <c r="Z178" i="1" s="1"/>
  <c r="Y188" i="1"/>
  <c r="Y193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Y236" i="1"/>
  <c r="Y240" i="1"/>
  <c r="Y244" i="1"/>
  <c r="Y252" i="1"/>
  <c r="Y261" i="1"/>
  <c r="Y268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BP374" i="1"/>
  <c r="BN374" i="1"/>
  <c r="Z374" i="1"/>
  <c r="Z375" i="1" s="1"/>
  <c r="Y376" i="1"/>
  <c r="Y381" i="1"/>
  <c r="BP378" i="1"/>
  <c r="BN378" i="1"/>
  <c r="Z378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Z453" i="1"/>
  <c r="BP451" i="1"/>
  <c r="BN451" i="1"/>
  <c r="Z451" i="1"/>
  <c r="Y453" i="1"/>
  <c r="S499" i="1"/>
  <c r="X489" i="1"/>
  <c r="Y104" i="1"/>
  <c r="G499" i="1"/>
  <c r="Y127" i="1"/>
  <c r="I499" i="1"/>
  <c r="Y161" i="1"/>
  <c r="K499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Z251" i="1" s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4" i="1"/>
  <c r="Z266" i="1"/>
  <c r="BN266" i="1"/>
  <c r="Y269" i="1"/>
  <c r="Y276" i="1"/>
  <c r="Z273" i="1"/>
  <c r="Z275" i="1" s="1"/>
  <c r="BN273" i="1"/>
  <c r="Y275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17" i="1"/>
  <c r="BN317" i="1"/>
  <c r="Z317" i="1"/>
  <c r="Y319" i="1"/>
  <c r="Y325" i="1"/>
  <c r="BP321" i="1"/>
  <c r="BN321" i="1"/>
  <c r="Z321" i="1"/>
  <c r="Z325" i="1" s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Y339" i="1"/>
  <c r="Y350" i="1"/>
  <c r="BP343" i="1"/>
  <c r="BN343" i="1"/>
  <c r="Z343" i="1"/>
  <c r="Z350" i="1" s="1"/>
  <c r="BP347" i="1"/>
  <c r="BN347" i="1"/>
  <c r="Z347" i="1"/>
  <c r="Y355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5" i="1"/>
  <c r="Y380" i="1"/>
  <c r="BP386" i="1"/>
  <c r="BN386" i="1"/>
  <c r="Z386" i="1"/>
  <c r="Z394" i="1" s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P499" i="1"/>
  <c r="Y281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Z447" i="1" s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Z468" i="1" l="1"/>
  <c r="Z268" i="1"/>
  <c r="Z260" i="1"/>
  <c r="Z338" i="1"/>
  <c r="Z318" i="1"/>
  <c r="Z312" i="1"/>
  <c r="Z204" i="1"/>
  <c r="Z31" i="1"/>
  <c r="Y489" i="1"/>
  <c r="Y490" i="1"/>
  <c r="Y493" i="1"/>
  <c r="Z117" i="1"/>
  <c r="Z96" i="1"/>
  <c r="Z57" i="1"/>
  <c r="Z432" i="1"/>
  <c r="Z438" i="1"/>
  <c r="Y491" i="1"/>
  <c r="Z216" i="1"/>
  <c r="Z150" i="1"/>
  <c r="Z494" i="1" s="1"/>
  <c r="Y492" i="1" l="1"/>
</calcChain>
</file>

<file path=xl/sharedStrings.xml><?xml version="1.0" encoding="utf-8"?>
<sst xmlns="http://schemas.openxmlformats.org/spreadsheetml/2006/main" count="2204" uniqueCount="763">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</sst>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45964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14" t="s">
        <v>16</v>
      </c>
      <c r="U6" s="706"/>
      <c r="V6" s="757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18</v>
      </c>
      <c r="B8" s="562"/>
      <c r="C8" s="563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0">
        <v>0.41666666666666669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0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3"/>
      <c r="P9" s="26" t="s">
        <v>21</v>
      </c>
      <c r="Q9" s="657"/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0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1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5"/>
      <c r="R10" s="716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9"/>
      <c r="R11" s="660"/>
      <c r="U11" s="24" t="s">
        <v>27</v>
      </c>
      <c r="V11" s="795" t="s">
        <v>28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6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7" t="s">
        <v>51</v>
      </c>
      <c r="V17" s="635"/>
      <c r="W17" s="581" t="s">
        <v>52</v>
      </c>
      <c r="X17" s="581" t="s">
        <v>53</v>
      </c>
      <c r="Y17" s="860" t="s">
        <v>54</v>
      </c>
      <c r="Z17" s="769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7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17</v>
      </c>
      <c r="Y42" s="542">
        <f>IFERROR(IF(X42="",0,CEILING((X42/$H42),1)*$H42),"")</f>
        <v>18.5</v>
      </c>
      <c r="Z42" s="36">
        <f>IFERROR(IF(Y42=0,"",ROUNDUP(Y42/H42,0)*0.00902),"")</f>
        <v>4.5100000000000001E-2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17.964864864864865</v>
      </c>
      <c r="BN42" s="64">
        <f>IFERROR(Y42*I42/H42,"0")</f>
        <v>19.55</v>
      </c>
      <c r="BO42" s="64">
        <f>IFERROR(1/J42*(X42/H42),"0")</f>
        <v>3.4807534807534811E-2</v>
      </c>
      <c r="BP42" s="64">
        <f>IFERROR(1/J42*(Y42/H42),"0")</f>
        <v>3.787878787878788E-2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3">
        <f>IFERROR(X40/H40,"0")+IFERROR(X41/H41,"0")+IFERROR(X42/H42,"0")</f>
        <v>4.5945945945945947</v>
      </c>
      <c r="Y43" s="543">
        <f>IFERROR(Y40/H40,"0")+IFERROR(Y41/H41,"0")+IFERROR(Y42/H42,"0")</f>
        <v>5</v>
      </c>
      <c r="Z43" s="543">
        <f>IFERROR(IF(Z40="",0,Z40),"0")+IFERROR(IF(Z41="",0,Z41),"0")+IFERROR(IF(Z42="",0,Z42),"0")</f>
        <v>4.5100000000000001E-2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3">
        <f>IFERROR(SUM(X40:X42),"0")</f>
        <v>17</v>
      </c>
      <c r="Y44" s="543">
        <f>IFERROR(SUM(Y40:Y42),"0")</f>
        <v>18.5</v>
      </c>
      <c r="Z44" s="37"/>
      <c r="AA44" s="544"/>
      <c r="AB44" s="544"/>
      <c r="AC44" s="544"/>
    </row>
    <row r="45" spans="1:68" ht="14.25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8</v>
      </c>
      <c r="Y54" s="542">
        <f t="shared" si="0"/>
        <v>8</v>
      </c>
      <c r="Z54" s="36">
        <f>IFERROR(IF(Y54=0,"",ROUNDUP(Y54/H54,0)*0.00902),"")</f>
        <v>1.804E-2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8.42</v>
      </c>
      <c r="BN54" s="64">
        <f t="shared" si="2"/>
        <v>8.42</v>
      </c>
      <c r="BO54" s="64">
        <f t="shared" si="3"/>
        <v>1.5151515151515152E-2</v>
      </c>
      <c r="BP54" s="64">
        <f t="shared" si="4"/>
        <v>1.5151515151515152E-2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3">
        <f>IFERROR(X51/H51,"0")+IFERROR(X52/H52,"0")+IFERROR(X53/H53,"0")+IFERROR(X54/H54,"0")+IFERROR(X55/H55,"0")+IFERROR(X56/H56,"0")</f>
        <v>2</v>
      </c>
      <c r="Y57" s="543">
        <f>IFERROR(Y51/H51,"0")+IFERROR(Y52/H52,"0")+IFERROR(Y53/H53,"0")+IFERROR(Y54/H54,"0")+IFERROR(Y55/H55,"0")+IFERROR(Y56/H56,"0")</f>
        <v>2</v>
      </c>
      <c r="Z57" s="543">
        <f>IFERROR(IF(Z51="",0,Z51),"0")+IFERROR(IF(Z52="",0,Z52),"0")+IFERROR(IF(Z53="",0,Z53),"0")+IFERROR(IF(Z54="",0,Z54),"0")+IFERROR(IF(Z55="",0,Z55),"0")+IFERROR(IF(Z56="",0,Z56),"0")</f>
        <v>1.804E-2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3">
        <f>IFERROR(SUM(X51:X56),"0")</f>
        <v>8</v>
      </c>
      <c r="Y58" s="543">
        <f>IFERROR(SUM(Y51:Y56),"0")</f>
        <v>8</v>
      </c>
      <c r="Z58" s="37"/>
      <c r="AA58" s="544"/>
      <c r="AB58" s="544"/>
      <c r="AC58" s="544"/>
    </row>
    <row r="59" spans="1:68" ht="14.25" customHeight="1" x14ac:dyDescent="0.25">
      <c r="A59" s="557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151</v>
      </c>
      <c r="B72" s="54" t="s">
        <v>152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154</v>
      </c>
      <c r="B73" s="54" t="s">
        <v>155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157</v>
      </c>
      <c r="B74" s="54" t="s">
        <v>158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156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161</v>
      </c>
      <c r="B76" s="54" t="s">
        <v>162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48"/>
      <c r="R76" s="548"/>
      <c r="S76" s="548"/>
      <c r="T76" s="549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163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customHeight="1" x14ac:dyDescent="0.25">
      <c r="A79" s="557" t="s">
        <v>164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165</v>
      </c>
      <c r="B80" s="54" t="s">
        <v>166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/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168</v>
      </c>
      <c r="B81" s="54" t="s">
        <v>169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48"/>
      <c r="R81" s="548"/>
      <c r="S81" s="548"/>
      <c r="T81" s="549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170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customHeight="1" x14ac:dyDescent="0.25">
      <c r="A84" s="558" t="s">
        <v>171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99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172</v>
      </c>
      <c r="B86" s="54" t="s">
        <v>173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174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177</v>
      </c>
      <c r="B88" s="54" t="s">
        <v>178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/>
      <c r="M88" s="33" t="s">
        <v>84</v>
      </c>
      <c r="N88" s="33"/>
      <c r="O88" s="32">
        <v>50</v>
      </c>
      <c r="P88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48"/>
      <c r="R88" s="548"/>
      <c r="S88" s="548"/>
      <c r="T88" s="549"/>
      <c r="U88" s="34"/>
      <c r="V88" s="34"/>
      <c r="W88" s="35" t="s">
        <v>69</v>
      </c>
      <c r="X88" s="541">
        <v>0</v>
      </c>
      <c r="Y88" s="5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174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3">
        <f>IFERROR(X86/H86,"0")+IFERROR(X87/H87,"0")+IFERROR(X88/H88,"0")</f>
        <v>0</v>
      </c>
      <c r="Y89" s="543">
        <f>IFERROR(Y86/H86,"0")+IFERROR(Y87/H87,"0")+IFERROR(Y88/H88,"0")</f>
        <v>0</v>
      </c>
      <c r="Z89" s="543">
        <f>IFERROR(IF(Z86="",0,Z86),"0")+IFERROR(IF(Z87="",0,Z87),"0")+IFERROR(IF(Z88="",0,Z88),"0")</f>
        <v>0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3">
        <f>IFERROR(SUM(X86:X88),"0")</f>
        <v>0</v>
      </c>
      <c r="Y90" s="543">
        <f>IFERROR(SUM(Y86:Y88),"0")</f>
        <v>0</v>
      </c>
      <c r="Z90" s="37"/>
      <c r="AA90" s="544"/>
      <c r="AB90" s="544"/>
      <c r="AC90" s="544"/>
    </row>
    <row r="91" spans="1:68" ht="14.25" customHeight="1" x14ac:dyDescent="0.25">
      <c r="A91" s="557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179</v>
      </c>
      <c r="B92" s="54" t="s">
        <v>180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14</v>
      </c>
      <c r="Y92" s="542">
        <f>IFERROR(IF(X92="",0,CEILING((X92/$H92),1)*$H92),"")</f>
        <v>16.2</v>
      </c>
      <c r="Z92" s="36">
        <f>IFERROR(IF(Y92=0,"",ROUNDUP(Y92/H92,0)*0.01898),"")</f>
        <v>3.7960000000000001E-2</v>
      </c>
      <c r="AA92" s="56"/>
      <c r="AB92" s="57"/>
      <c r="AC92" s="135" t="s">
        <v>181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14.897037037037038</v>
      </c>
      <c r="BN92" s="64">
        <f>IFERROR(Y92*I92/H92,"0")</f>
        <v>17.238</v>
      </c>
      <c r="BO92" s="64">
        <f>IFERROR(1/J92*(X92/H92),"0")</f>
        <v>2.7006172839506175E-2</v>
      </c>
      <c r="BP92" s="64">
        <f>IFERROR(1/J92*(Y92/H92),"0")</f>
        <v>3.125E-2</v>
      </c>
    </row>
    <row r="93" spans="1:68" ht="27" customHeight="1" x14ac:dyDescent="0.25">
      <c r="A93" s="54" t="s">
        <v>182</v>
      </c>
      <c r="B93" s="54" t="s">
        <v>183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185</v>
      </c>
      <c r="B94" s="54" t="s">
        <v>186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187</v>
      </c>
      <c r="B95" s="54" t="s">
        <v>188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48"/>
      <c r="R95" s="548"/>
      <c r="S95" s="548"/>
      <c r="T95" s="549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3">
        <f>IFERROR(X92/H92,"0")+IFERROR(X93/H93,"0")+IFERROR(X94/H94,"0")+IFERROR(X95/H95,"0")</f>
        <v>1.7283950617283952</v>
      </c>
      <c r="Y96" s="543">
        <f>IFERROR(Y92/H92,"0")+IFERROR(Y93/H93,"0")+IFERROR(Y94/H94,"0")+IFERROR(Y95/H95,"0")</f>
        <v>2</v>
      </c>
      <c r="Z96" s="543">
        <f>IFERROR(IF(Z92="",0,Z92),"0")+IFERROR(IF(Z93="",0,Z93),"0")+IFERROR(IF(Z94="",0,Z94),"0")+IFERROR(IF(Z95="",0,Z95),"0")</f>
        <v>3.7960000000000001E-2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3">
        <f>IFERROR(SUM(X92:X95),"0")</f>
        <v>14</v>
      </c>
      <c r="Y97" s="543">
        <f>IFERROR(SUM(Y92:Y95),"0")</f>
        <v>16.2</v>
      </c>
      <c r="Z97" s="37"/>
      <c r="AA97" s="544"/>
      <c r="AB97" s="544"/>
      <c r="AC97" s="544"/>
    </row>
    <row r="98" spans="1:68" ht="16.5" customHeight="1" x14ac:dyDescent="0.25">
      <c r="A98" s="558" t="s">
        <v>190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99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74</v>
      </c>
      <c r="Y100" s="542">
        <f>IFERROR(IF(X100="",0,CEILING((X100/$H100),1)*$H100),"")</f>
        <v>75.600000000000009</v>
      </c>
      <c r="Z100" s="36">
        <f>IFERROR(IF(Y100=0,"",ROUNDUP(Y100/H100,0)*0.01898),"")</f>
        <v>0.13286000000000001</v>
      </c>
      <c r="AA100" s="56"/>
      <c r="AB100" s="57"/>
      <c r="AC100" s="143" t="s">
        <v>193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76.980555555555554</v>
      </c>
      <c r="BN100" s="64">
        <f>IFERROR(Y100*I100/H100,"0")</f>
        <v>78.64500000000001</v>
      </c>
      <c r="BO100" s="64">
        <f>IFERROR(1/J100*(X100/H100),"0")</f>
        <v>0.10706018518518517</v>
      </c>
      <c r="BP100" s="64">
        <f>IFERROR(1/J100*(Y100/H100),"0")</f>
        <v>0.109375</v>
      </c>
    </row>
    <row r="101" spans="1:68" ht="37.5" customHeight="1" x14ac:dyDescent="0.25">
      <c r="A101" s="54" t="s">
        <v>194</v>
      </c>
      <c r="B101" s="54" t="s">
        <v>195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/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196</v>
      </c>
      <c r="B102" s="54" t="s">
        <v>197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198</v>
      </c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7</v>
      </c>
      <c r="Y102" s="542">
        <f>IFERROR(IF(X102="",0,CEILING((X102/$H102),1)*$H102),"")</f>
        <v>9</v>
      </c>
      <c r="Z102" s="36">
        <f>IFERROR(IF(Y102=0,"",ROUNDUP(Y102/H102,0)*0.00902),"")</f>
        <v>1.804E-2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7.3266666666666662</v>
      </c>
      <c r="BN102" s="64">
        <f>IFERROR(Y102*I102/H102,"0")</f>
        <v>9.42</v>
      </c>
      <c r="BO102" s="64">
        <f>IFERROR(1/J102*(X102/H102),"0")</f>
        <v>1.1784511784511785E-2</v>
      </c>
      <c r="BP102" s="64">
        <f>IFERROR(1/J102*(Y102/H102),"0")</f>
        <v>1.5151515151515152E-2</v>
      </c>
    </row>
    <row r="103" spans="1:68" ht="37.5" customHeight="1" x14ac:dyDescent="0.25">
      <c r="A103" s="54" t="s">
        <v>199</v>
      </c>
      <c r="B103" s="54" t="s">
        <v>200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48"/>
      <c r="R103" s="548"/>
      <c r="S103" s="548"/>
      <c r="T103" s="549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3">
        <f>IFERROR(X100/H100,"0")+IFERROR(X101/H101,"0")+IFERROR(X102/H102,"0")+IFERROR(X103/H103,"0")</f>
        <v>8.4074074074074066</v>
      </c>
      <c r="Y104" s="543">
        <f>IFERROR(Y100/H100,"0")+IFERROR(Y101/H101,"0")+IFERROR(Y102/H102,"0")+IFERROR(Y103/H103,"0")</f>
        <v>9</v>
      </c>
      <c r="Z104" s="543">
        <f>IFERROR(IF(Z100="",0,Z100),"0")+IFERROR(IF(Z101="",0,Z101),"0")+IFERROR(IF(Z102="",0,Z102),"0")+IFERROR(IF(Z103="",0,Z103),"0")</f>
        <v>0.15090000000000001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3">
        <f>IFERROR(SUM(X100:X103),"0")</f>
        <v>81</v>
      </c>
      <c r="Y105" s="543">
        <f>IFERROR(SUM(Y100:Y103),"0")</f>
        <v>84.600000000000009</v>
      </c>
      <c r="Z105" s="37"/>
      <c r="AA105" s="544"/>
      <c r="AB105" s="544"/>
      <c r="AC105" s="544"/>
    </row>
    <row r="106" spans="1:68" ht="14.25" customHeight="1" x14ac:dyDescent="0.25">
      <c r="A106" s="557" t="s">
        <v>134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201</v>
      </c>
      <c r="B107" s="54" t="s">
        <v>202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203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5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203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206</v>
      </c>
      <c r="B109" s="54" t="s">
        <v>207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22</v>
      </c>
      <c r="Y109" s="542">
        <f>IFERROR(IF(X109="",0,CEILING((X109/$H109),1)*$H109),"")</f>
        <v>24</v>
      </c>
      <c r="Z109" s="36">
        <f>IFERROR(IF(Y109=0,"",ROUNDUP(Y109/H109,0)*0.00651),"")</f>
        <v>6.5100000000000005E-2</v>
      </c>
      <c r="AA109" s="56"/>
      <c r="AB109" s="57"/>
      <c r="AC109" s="155" t="s">
        <v>203</v>
      </c>
      <c r="AG109" s="64"/>
      <c r="AJ109" s="68"/>
      <c r="AK109" s="68">
        <v>0</v>
      </c>
      <c r="BB109" s="156" t="s">
        <v>1</v>
      </c>
      <c r="BM109" s="64">
        <f>IFERROR(X109*I109/H109,"0")</f>
        <v>23.650000000000002</v>
      </c>
      <c r="BN109" s="64">
        <f>IFERROR(Y109*I109/H109,"0")</f>
        <v>25.8</v>
      </c>
      <c r="BO109" s="64">
        <f>IFERROR(1/J109*(X109/H109),"0")</f>
        <v>5.0366300366300375E-2</v>
      </c>
      <c r="BP109" s="64">
        <f>IFERROR(1/J109*(Y109/H109),"0")</f>
        <v>5.4945054945054951E-2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3">
        <f>IFERROR(X107/H107,"0")+IFERROR(X108/H108,"0")+IFERROR(X109/H109,"0")</f>
        <v>9.1666666666666679</v>
      </c>
      <c r="Y110" s="543">
        <f>IFERROR(Y107/H107,"0")+IFERROR(Y108/H108,"0")+IFERROR(Y109/H109,"0")</f>
        <v>10</v>
      </c>
      <c r="Z110" s="543">
        <f>IFERROR(IF(Z107="",0,Z107),"0")+IFERROR(IF(Z108="",0,Z108),"0")+IFERROR(IF(Z109="",0,Z109),"0")</f>
        <v>6.5100000000000005E-2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3">
        <f>IFERROR(SUM(X107:X109),"0")</f>
        <v>22</v>
      </c>
      <c r="Y111" s="543">
        <f>IFERROR(SUM(Y107:Y109),"0")</f>
        <v>24</v>
      </c>
      <c r="Z111" s="37"/>
      <c r="AA111" s="544"/>
      <c r="AB111" s="544"/>
      <c r="AC111" s="544"/>
    </row>
    <row r="112" spans="1:68" ht="14.25" customHeight="1" x14ac:dyDescent="0.25">
      <c r="A112" s="557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208</v>
      </c>
      <c r="B113" s="54" t="s">
        <v>209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210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210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213</v>
      </c>
      <c r="B115" s="54" t="s">
        <v>214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215</v>
      </c>
      <c r="M115" s="33" t="s">
        <v>84</v>
      </c>
      <c r="N115" s="33"/>
      <c r="O115" s="32">
        <v>45</v>
      </c>
      <c r="P115" s="7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210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3">
        <f>IFERROR(X113/H113,"0")+IFERROR(X114/H114,"0")+IFERROR(X115/H115,"0")+IFERROR(X116/H116,"0")</f>
        <v>0</v>
      </c>
      <c r="Y117" s="543">
        <f>IFERROR(Y113/H113,"0")+IFERROR(Y114/H114,"0")+IFERROR(Y115/H115,"0")+IFERROR(Y116/H116,"0")</f>
        <v>0</v>
      </c>
      <c r="Z117" s="543">
        <f>IFERROR(IF(Z113="",0,Z113),"0")+IFERROR(IF(Z114="",0,Z114),"0")+IFERROR(IF(Z115="",0,Z115),"0")+IFERROR(IF(Z116="",0,Z116),"0")</f>
        <v>0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3">
        <f>IFERROR(SUM(X113:X116),"0")</f>
        <v>0</v>
      </c>
      <c r="Y118" s="543">
        <f>IFERROR(SUM(Y113:Y116),"0")</f>
        <v>0</v>
      </c>
      <c r="Z118" s="37"/>
      <c r="AA118" s="544"/>
      <c r="AB118" s="544"/>
      <c r="AC118" s="544"/>
    </row>
    <row r="119" spans="1:68" ht="14.25" customHeight="1" x14ac:dyDescent="0.25">
      <c r="A119" s="557" t="s">
        <v>164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customHeight="1" x14ac:dyDescent="0.25">
      <c r="A123" s="558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99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customHeight="1" x14ac:dyDescent="0.25">
      <c r="A129" s="557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/>
      <c r="M131" s="33" t="s">
        <v>94</v>
      </c>
      <c r="N131" s="33"/>
      <c r="O131" s="32">
        <v>90</v>
      </c>
      <c r="P131" s="6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customHeight="1" x14ac:dyDescent="0.25">
      <c r="A139" s="558" t="s">
        <v>97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48"/>
      <c r="R143" s="548"/>
      <c r="S143" s="548"/>
      <c r="T143" s="549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2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7" t="s">
        <v>255</v>
      </c>
      <c r="Q153" s="548"/>
      <c r="R153" s="548"/>
      <c r="S153" s="548"/>
      <c r="T153" s="549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257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134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48"/>
      <c r="R159" s="548"/>
      <c r="S159" s="548"/>
      <c r="T159" s="549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198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84</v>
      </c>
      <c r="Y163" s="542">
        <f t="shared" ref="Y163:Y171" si="5">IFERROR(IF(X163="",0,CEILING((X163/$H163),1)*$H163),"")</f>
        <v>84</v>
      </c>
      <c r="Z163" s="36">
        <f>IFERROR(IF(Y163=0,"",ROUNDUP(Y163/H163,0)*0.00902),"")</f>
        <v>0.1804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89.399999999999991</v>
      </c>
      <c r="BN163" s="64">
        <f t="shared" ref="BN163:BN171" si="7">IFERROR(Y163*I163/H163,"0")</f>
        <v>89.399999999999991</v>
      </c>
      <c r="BO163" s="64">
        <f t="shared" ref="BO163:BO171" si="8">IFERROR(1/J163*(X163/H163),"0")</f>
        <v>0.15151515151515152</v>
      </c>
      <c r="BP163" s="64">
        <f t="shared" ref="BP163:BP171" si="9">IFERROR(1/J163*(Y163/H163),"0")</f>
        <v>0.15151515151515152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198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24</v>
      </c>
      <c r="Y165" s="542">
        <f t="shared" si="5"/>
        <v>25.200000000000003</v>
      </c>
      <c r="Z165" s="36">
        <f>IFERROR(IF(Y165=0,"",ROUNDUP(Y165/H165,0)*0.00902),"")</f>
        <v>5.4120000000000001E-2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25.2</v>
      </c>
      <c r="BN165" s="64">
        <f t="shared" si="7"/>
        <v>26.460000000000004</v>
      </c>
      <c r="BO165" s="64">
        <f t="shared" si="8"/>
        <v>4.3290043290043295E-2</v>
      </c>
      <c r="BP165" s="64">
        <f t="shared" si="9"/>
        <v>4.5454545454545456E-2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46</v>
      </c>
      <c r="Y166" s="542">
        <f t="shared" si="5"/>
        <v>46.2</v>
      </c>
      <c r="Z166" s="36">
        <f>IFERROR(IF(Y166=0,"",ROUNDUP(Y166/H166,0)*0.00502),"")</f>
        <v>0.11044000000000001</v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48.847619047619048</v>
      </c>
      <c r="BN166" s="64">
        <f t="shared" si="7"/>
        <v>49.06</v>
      </c>
      <c r="BO166" s="64">
        <f t="shared" si="8"/>
        <v>9.361009361009362E-2</v>
      </c>
      <c r="BP166" s="64">
        <f t="shared" si="9"/>
        <v>9.401709401709403E-2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18</v>
      </c>
      <c r="Y168" s="542">
        <f t="shared" si="5"/>
        <v>18</v>
      </c>
      <c r="Z168" s="36">
        <f>IFERROR(IF(Y168=0,"",ROUNDUP(Y168/H168,0)*0.00502),"")</f>
        <v>5.0200000000000002E-2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19.3</v>
      </c>
      <c r="BN168" s="64">
        <f t="shared" si="7"/>
        <v>19.3</v>
      </c>
      <c r="BO168" s="64">
        <f t="shared" si="8"/>
        <v>4.2735042735042736E-2</v>
      </c>
      <c r="BP168" s="64">
        <f t="shared" si="9"/>
        <v>4.2735042735042736E-2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18</v>
      </c>
      <c r="Y169" s="542">
        <f t="shared" si="5"/>
        <v>18.900000000000002</v>
      </c>
      <c r="Z169" s="36">
        <f>IFERROR(IF(Y169=0,"",ROUNDUP(Y169/H169,0)*0.00502),"")</f>
        <v>4.5179999999999998E-2</v>
      </c>
      <c r="AA169" s="56"/>
      <c r="AB169" s="57"/>
      <c r="AC169" s="207" t="s">
        <v>270</v>
      </c>
      <c r="AG169" s="64"/>
      <c r="AJ169" s="68"/>
      <c r="AK169" s="68">
        <v>0</v>
      </c>
      <c r="BB169" s="208" t="s">
        <v>1</v>
      </c>
      <c r="BM169" s="64">
        <f t="shared" si="6"/>
        <v>18.857142857142858</v>
      </c>
      <c r="BN169" s="64">
        <f t="shared" si="7"/>
        <v>19.8</v>
      </c>
      <c r="BO169" s="64">
        <f t="shared" si="8"/>
        <v>3.6630036630036632E-2</v>
      </c>
      <c r="BP169" s="64">
        <f t="shared" si="9"/>
        <v>3.8461538461538464E-2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66.19047619047619</v>
      </c>
      <c r="Y172" s="543">
        <f>IFERROR(Y163/H163,"0")+IFERROR(Y164/H164,"0")+IFERROR(Y165/H165,"0")+IFERROR(Y166/H166,"0")+IFERROR(Y167/H167,"0")+IFERROR(Y168/H168,"0")+IFERROR(Y169/H169,"0")+IFERROR(Y170/H170,"0")+IFERROR(Y171/H171,"0")</f>
        <v>67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0.44034000000000006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3">
        <f>IFERROR(SUM(X163:X171),"0")</f>
        <v>190</v>
      </c>
      <c r="Y173" s="543">
        <f>IFERROR(SUM(Y163:Y171),"0")</f>
        <v>192.3</v>
      </c>
      <c r="Z173" s="37"/>
      <c r="AA173" s="544"/>
      <c r="AB173" s="544"/>
      <c r="AC173" s="544"/>
    </row>
    <row r="174" spans="1:68" ht="14.25" customHeight="1" x14ac:dyDescent="0.25">
      <c r="A174" s="557" t="s">
        <v>91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7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8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99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134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198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198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180</v>
      </c>
      <c r="Y197" s="542">
        <f t="shared" si="10"/>
        <v>183.60000000000002</v>
      </c>
      <c r="Z197" s="36">
        <f>IFERROR(IF(Y197=0,"",ROUNDUP(Y197/H197,0)*0.00902),"")</f>
        <v>0.30668000000000001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187</v>
      </c>
      <c r="BN197" s="64">
        <f t="shared" si="12"/>
        <v>190.74</v>
      </c>
      <c r="BO197" s="64">
        <f t="shared" si="13"/>
        <v>0.25252525252525249</v>
      </c>
      <c r="BP197" s="64">
        <f t="shared" si="14"/>
        <v>0.25757575757575757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198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195</v>
      </c>
      <c r="Y199" s="542">
        <f t="shared" si="10"/>
        <v>199.8</v>
      </c>
      <c r="Z199" s="36">
        <f>IFERROR(IF(Y199=0,"",ROUNDUP(Y199/H199,0)*0.00902),"")</f>
        <v>0.33374000000000004</v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202.58333333333331</v>
      </c>
      <c r="BN199" s="64">
        <f t="shared" si="12"/>
        <v>207.57000000000002</v>
      </c>
      <c r="BO199" s="64">
        <f t="shared" si="13"/>
        <v>0.27356902356902357</v>
      </c>
      <c r="BP199" s="64">
        <f t="shared" si="14"/>
        <v>0.28030303030303033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69.444444444444429</v>
      </c>
      <c r="Y204" s="543">
        <f>IFERROR(Y196/H196,"0")+IFERROR(Y197/H197,"0")+IFERROR(Y198/H198,"0")+IFERROR(Y199/H199,"0")+IFERROR(Y200/H200,"0")+IFERROR(Y201/H201,"0")+IFERROR(Y202/H202,"0")+IFERROR(Y203/H203,"0")</f>
        <v>71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0.64041999999999999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3">
        <f>IFERROR(SUM(X196:X203),"0")</f>
        <v>375</v>
      </c>
      <c r="Y205" s="543">
        <f>IFERROR(SUM(Y196:Y203),"0")</f>
        <v>383.40000000000003</v>
      </c>
      <c r="Z205" s="37"/>
      <c r="AA205" s="544"/>
      <c r="AB205" s="544"/>
      <c r="AC205" s="544"/>
    </row>
    <row r="206" spans="1:68" ht="14.25" customHeight="1" x14ac:dyDescent="0.25">
      <c r="A206" s="557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30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31.922222222222224</v>
      </c>
      <c r="BN207" s="64">
        <f t="shared" ref="BN207:BN215" si="17">IFERROR(Y207*I207/H207,"0")</f>
        <v>34.475999999999999</v>
      </c>
      <c r="BO207" s="64">
        <f t="shared" ref="BO207:BO215" si="18">IFERROR(1/J207*(X207/H207),"0")</f>
        <v>5.7870370370370371E-2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30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31.855555555555561</v>
      </c>
      <c r="BN208" s="64">
        <f t="shared" si="17"/>
        <v>34.404000000000003</v>
      </c>
      <c r="BO208" s="64">
        <f t="shared" si="18"/>
        <v>5.7870370370370371E-2</v>
      </c>
      <c r="BP208" s="64">
        <f t="shared" si="19"/>
        <v>6.25E-2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5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/>
      <c r="AK209" s="68">
        <v>0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215</v>
      </c>
      <c r="M210" s="33" t="s">
        <v>77</v>
      </c>
      <c r="N210" s="33"/>
      <c r="O210" s="32">
        <v>40</v>
      </c>
      <c r="P21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57</v>
      </c>
      <c r="Y210" s="542">
        <f t="shared" si="15"/>
        <v>57.599999999999994</v>
      </c>
      <c r="Z210" s="36">
        <f t="shared" ref="Z210:Z215" si="20">IFERROR(IF(Y210=0,"",ROUNDUP(Y210/H210,0)*0.00651),"")</f>
        <v>0.15623999999999999</v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63.412500000000001</v>
      </c>
      <c r="BN210" s="64">
        <f t="shared" si="17"/>
        <v>64.079999999999984</v>
      </c>
      <c r="BO210" s="64">
        <f t="shared" si="18"/>
        <v>0.1304945054945055</v>
      </c>
      <c r="BP210" s="64">
        <f t="shared" si="19"/>
        <v>0.13186813186813187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215</v>
      </c>
      <c r="M212" s="33" t="s">
        <v>77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79</v>
      </c>
      <c r="Y212" s="542">
        <f t="shared" si="15"/>
        <v>79.2</v>
      </c>
      <c r="Z212" s="36">
        <f t="shared" si="20"/>
        <v>0.21482999999999999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87.295000000000002</v>
      </c>
      <c r="BN212" s="64">
        <f t="shared" si="17"/>
        <v>87.51600000000002</v>
      </c>
      <c r="BO212" s="64">
        <f t="shared" si="18"/>
        <v>0.18086080586080591</v>
      </c>
      <c r="BP212" s="64">
        <f t="shared" si="19"/>
        <v>0.18131868131868134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215</v>
      </c>
      <c r="M213" s="33" t="s">
        <v>77</v>
      </c>
      <c r="N213" s="33"/>
      <c r="O213" s="32">
        <v>45</v>
      </c>
      <c r="P213" s="5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215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56</v>
      </c>
      <c r="Y214" s="542">
        <f t="shared" si="15"/>
        <v>57.599999999999994</v>
      </c>
      <c r="Z214" s="36">
        <f t="shared" si="20"/>
        <v>0.15623999999999999</v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61.88</v>
      </c>
      <c r="BN214" s="64">
        <f t="shared" si="17"/>
        <v>63.648000000000003</v>
      </c>
      <c r="BO214" s="64">
        <f t="shared" si="18"/>
        <v>0.12820512820512822</v>
      </c>
      <c r="BP214" s="64">
        <f t="shared" si="19"/>
        <v>0.13186813186813187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215</v>
      </c>
      <c r="M215" s="33" t="s">
        <v>77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30</v>
      </c>
      <c r="Y215" s="542">
        <f t="shared" si="15"/>
        <v>31.2</v>
      </c>
      <c r="Z215" s="36">
        <f t="shared" si="20"/>
        <v>8.4629999999999997E-2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33.225000000000001</v>
      </c>
      <c r="BN215" s="64">
        <f t="shared" si="17"/>
        <v>34.554000000000002</v>
      </c>
      <c r="BO215" s="64">
        <f t="shared" si="18"/>
        <v>6.8681318681318687E-2</v>
      </c>
      <c r="BP215" s="64">
        <f t="shared" si="19"/>
        <v>7.1428571428571438E-2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99.907407407407419</v>
      </c>
      <c r="Y216" s="543">
        <f>IFERROR(Y207/H207,"0")+IFERROR(Y208/H208,"0")+IFERROR(Y209/H209,"0")+IFERROR(Y210/H210,"0")+IFERROR(Y211/H211,"0")+IFERROR(Y212/H212,"0")+IFERROR(Y213/H213,"0")+IFERROR(Y214/H214,"0")+IFERROR(Y215/H215,"0")</f>
        <v>102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0.7637799999999999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3">
        <f>IFERROR(SUM(X207:X215),"0")</f>
        <v>282</v>
      </c>
      <c r="Y217" s="543">
        <f>IFERROR(SUM(Y207:Y215),"0")</f>
        <v>290.39999999999998</v>
      </c>
      <c r="Z217" s="37"/>
      <c r="AA217" s="544"/>
      <c r="AB217" s="544"/>
      <c r="AC217" s="544"/>
    </row>
    <row r="218" spans="1:68" ht="14.25" customHeight="1" x14ac:dyDescent="0.25">
      <c r="A218" s="557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8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99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7" t="s">
        <v>134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7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2</v>
      </c>
      <c r="Y248" s="542">
        <f>IFERROR(IF(X248="",0,CEILING((X248/$H248),1)*$H248),"")</f>
        <v>2.7</v>
      </c>
      <c r="Z248" s="36">
        <f>IFERROR(IF(Y248=0,"",ROUNDUP(Y248/H248,0)*0.0059),"")</f>
        <v>1.77E-2</v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2.4222222222222225</v>
      </c>
      <c r="BN248" s="64">
        <f>IFERROR(Y248*I248/H248,"0")</f>
        <v>3.2700000000000005</v>
      </c>
      <c r="BO248" s="64">
        <f>IFERROR(1/J248*(X248/H248),"0")</f>
        <v>1.0288065843621399E-2</v>
      </c>
      <c r="BP248" s="64">
        <f>IFERROR(1/J248*(Y248/H248),"0")</f>
        <v>1.3888888888888888E-2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1">
        <v>2</v>
      </c>
      <c r="Y250" s="542">
        <f>IFERROR(IF(X250="",0,CEILING((X250/$H250),1)*$H250),"")</f>
        <v>2.9699999999999998</v>
      </c>
      <c r="Z250" s="36">
        <f>IFERROR(IF(Y250=0,"",ROUNDUP(Y250/H250,0)*0.0059),"")</f>
        <v>1.77E-2</v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2.3838383838383836</v>
      </c>
      <c r="BN250" s="64">
        <f>IFERROR(Y250*I250/H250,"0")</f>
        <v>3.5399999999999996</v>
      </c>
      <c r="BO250" s="64">
        <f>IFERROR(1/J250*(X250/H250),"0")</f>
        <v>9.3527871305649091E-3</v>
      </c>
      <c r="BP250" s="64">
        <f>IFERROR(1/J250*(Y250/H250),"0")</f>
        <v>1.3888888888888886E-2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3">
        <f>IFERROR(X246/H246,"0")+IFERROR(X247/H247,"0")+IFERROR(X248/H248,"0")+IFERROR(X249/H249,"0")+IFERROR(X250/H250,"0")</f>
        <v>4.2424242424242422</v>
      </c>
      <c r="Y251" s="543">
        <f>IFERROR(Y246/H246,"0")+IFERROR(Y247/H247,"0")+IFERROR(Y248/H248,"0")+IFERROR(Y249/H249,"0")+IFERROR(Y250/H250,"0")</f>
        <v>6</v>
      </c>
      <c r="Z251" s="543">
        <f>IFERROR(IF(Z246="",0,Z246),"0")+IFERROR(IF(Z247="",0,Z247),"0")+IFERROR(IF(Z248="",0,Z248),"0")+IFERROR(IF(Z249="",0,Z249),"0")+IFERROR(IF(Z250="",0,Z250),"0")</f>
        <v>3.5400000000000001E-2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3">
        <f>IFERROR(SUM(X246:X250),"0")</f>
        <v>4</v>
      </c>
      <c r="Y252" s="543">
        <f>IFERROR(SUM(Y246:Y250),"0")</f>
        <v>5.67</v>
      </c>
      <c r="Z252" s="37"/>
      <c r="AA252" s="544"/>
      <c r="AB252" s="544"/>
      <c r="AC252" s="544"/>
    </row>
    <row r="253" spans="1:68" ht="16.5" customHeight="1" x14ac:dyDescent="0.25">
      <c r="A253" s="558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99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99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215</v>
      </c>
      <c r="M273" s="33" t="s">
        <v>84</v>
      </c>
      <c r="N273" s="33"/>
      <c r="O273" s="32">
        <v>40</v>
      </c>
      <c r="P273" s="6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215</v>
      </c>
      <c r="M274" s="33" t="s">
        <v>77</v>
      </c>
      <c r="N274" s="33"/>
      <c r="O274" s="32">
        <v>45</v>
      </c>
      <c r="P274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8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7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8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71</v>
      </c>
      <c r="Q294" s="562"/>
      <c r="R294" s="562"/>
      <c r="S294" s="562"/>
      <c r="T294" s="562"/>
      <c r="U294" s="562"/>
      <c r="V294" s="563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4</v>
      </c>
      <c r="Y303" s="542">
        <f t="shared" si="26"/>
        <v>5.4</v>
      </c>
      <c r="Z303" s="36">
        <f>IFERROR(IF(Y303=0,"",ROUNDUP(Y303/H303,0)*0.00651),"")</f>
        <v>1.9529999999999999E-2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4.5066666666666668</v>
      </c>
      <c r="BN303" s="64">
        <f t="shared" si="28"/>
        <v>6.0839999999999996</v>
      </c>
      <c r="BO303" s="64">
        <f t="shared" si="29"/>
        <v>1.2210012210012212E-2</v>
      </c>
      <c r="BP303" s="64">
        <f t="shared" si="30"/>
        <v>1.6483516483516484E-2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71</v>
      </c>
      <c r="Q304" s="562"/>
      <c r="R304" s="562"/>
      <c r="S304" s="562"/>
      <c r="T304" s="562"/>
      <c r="U304" s="562"/>
      <c r="V304" s="563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2.2222222222222223</v>
      </c>
      <c r="Y304" s="543">
        <f>IFERROR(Y297/H297,"0")+IFERROR(Y298/H298,"0")+IFERROR(Y299/H299,"0")+IFERROR(Y300/H300,"0")+IFERROR(Y301/H301,"0")+IFERROR(Y302/H302,"0")+IFERROR(Y303/H303,"0")</f>
        <v>3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1.9529999999999999E-2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69</v>
      </c>
      <c r="X305" s="543">
        <f>IFERROR(SUM(X297:X303),"0")</f>
        <v>4</v>
      </c>
      <c r="Y305" s="543">
        <f>IFERROR(SUM(Y297:Y303),"0")</f>
        <v>5.4</v>
      </c>
      <c r="Z305" s="37"/>
      <c r="AA305" s="544"/>
      <c r="AB305" s="544"/>
      <c r="AC305" s="544"/>
    </row>
    <row r="306" spans="1:68" ht="14.25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71</v>
      </c>
      <c r="Q312" s="562"/>
      <c r="R312" s="562"/>
      <c r="S312" s="562"/>
      <c r="T312" s="562"/>
      <c r="U312" s="562"/>
      <c r="V312" s="563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164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49</v>
      </c>
      <c r="Y316" s="542">
        <f>IFERROR(IF(X316="",0,CEILING((X316/$H316),1)*$H316),"")</f>
        <v>54.6</v>
      </c>
      <c r="Z316" s="36">
        <f>IFERROR(IF(Y316=0,"",ROUNDUP(Y316/H316,0)*0.01898),"")</f>
        <v>0.13286000000000001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52.260384615384623</v>
      </c>
      <c r="BN316" s="64">
        <f>IFERROR(Y316*I316/H316,"0")</f>
        <v>58.233000000000011</v>
      </c>
      <c r="BO316" s="64">
        <f>IFERROR(1/J316*(X316/H316),"0")</f>
        <v>9.815705128205128E-2</v>
      </c>
      <c r="BP316" s="64">
        <f>IFERROR(1/J316*(Y316/H316),"0")</f>
        <v>0.109375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71</v>
      </c>
      <c r="Q318" s="562"/>
      <c r="R318" s="562"/>
      <c r="S318" s="562"/>
      <c r="T318" s="562"/>
      <c r="U318" s="562"/>
      <c r="V318" s="563"/>
      <c r="W318" s="37" t="s">
        <v>72</v>
      </c>
      <c r="X318" s="543">
        <f>IFERROR(X315/H315,"0")+IFERROR(X316/H316,"0")+IFERROR(X317/H317,"0")</f>
        <v>6.2820512820512819</v>
      </c>
      <c r="Y318" s="543">
        <f>IFERROR(Y315/H315,"0")+IFERROR(Y316/H316,"0")+IFERROR(Y317/H317,"0")</f>
        <v>7</v>
      </c>
      <c r="Z318" s="543">
        <f>IFERROR(IF(Z315="",0,Z315),"0")+IFERROR(IF(Z316="",0,Z316),"0")+IFERROR(IF(Z317="",0,Z317),"0")</f>
        <v>0.13286000000000001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69</v>
      </c>
      <c r="X319" s="543">
        <f>IFERROR(SUM(X315:X317),"0")</f>
        <v>49</v>
      </c>
      <c r="Y319" s="543">
        <f>IFERROR(SUM(Y315:Y317),"0")</f>
        <v>54.6</v>
      </c>
      <c r="Z319" s="37"/>
      <c r="AA319" s="544"/>
      <c r="AB319" s="544"/>
      <c r="AC319" s="544"/>
    </row>
    <row r="320" spans="1:68" ht="14.25" customHeight="1" x14ac:dyDescent="0.25">
      <c r="A320" s="557" t="s">
        <v>91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510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11</v>
      </c>
      <c r="Y322" s="542">
        <f>IFERROR(IF(X322="",0,CEILING((X322/$H322),1)*$H322),"")</f>
        <v>12.16</v>
      </c>
      <c r="Z322" s="36">
        <f>IFERROR(IF(Y322=0,"",ROUNDUP(Y322/H322,0)*0.00902),"")</f>
        <v>3.6080000000000001E-2</v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11.904605263157894</v>
      </c>
      <c r="BN322" s="64">
        <f>IFERROR(Y322*I322/H322,"0")</f>
        <v>13.16</v>
      </c>
      <c r="BO322" s="64">
        <f>IFERROR(1/J322*(X322/H322),"0")</f>
        <v>2.7412280701754384E-2</v>
      </c>
      <c r="BP322" s="64">
        <f>IFERROR(1/J322*(Y322/H322),"0")</f>
        <v>3.0303030303030304E-2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71</v>
      </c>
      <c r="Q325" s="562"/>
      <c r="R325" s="562"/>
      <c r="S325" s="562"/>
      <c r="T325" s="562"/>
      <c r="U325" s="562"/>
      <c r="V325" s="563"/>
      <c r="W325" s="37" t="s">
        <v>72</v>
      </c>
      <c r="X325" s="543">
        <f>IFERROR(X321/H321,"0")+IFERROR(X322/H322,"0")+IFERROR(X323/H323,"0")+IFERROR(X324/H324,"0")</f>
        <v>3.6184210526315788</v>
      </c>
      <c r="Y325" s="543">
        <f>IFERROR(Y321/H321,"0")+IFERROR(Y322/H322,"0")+IFERROR(Y323/H323,"0")+IFERROR(Y324/H324,"0")</f>
        <v>4</v>
      </c>
      <c r="Z325" s="543">
        <f>IFERROR(IF(Z321="",0,Z321),"0")+IFERROR(IF(Z322="",0,Z322),"0")+IFERROR(IF(Z323="",0,Z323),"0")+IFERROR(IF(Z324="",0,Z324),"0")</f>
        <v>3.6080000000000001E-2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69</v>
      </c>
      <c r="X326" s="543">
        <f>IFERROR(SUM(X321:X324),"0")</f>
        <v>11</v>
      </c>
      <c r="Y326" s="543">
        <f>IFERROR(SUM(Y321:Y324),"0")</f>
        <v>12.16</v>
      </c>
      <c r="Z326" s="37"/>
      <c r="AA326" s="544"/>
      <c r="AB326" s="544"/>
      <c r="AC326" s="544"/>
    </row>
    <row r="327" spans="1:68" ht="14.25" customHeight="1" x14ac:dyDescent="0.25">
      <c r="A327" s="557" t="s">
        <v>516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71</v>
      </c>
      <c r="Q331" s="562"/>
      <c r="R331" s="562"/>
      <c r="S331" s="562"/>
      <c r="T331" s="562"/>
      <c r="U331" s="562"/>
      <c r="V331" s="563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8" t="s">
        <v>525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71</v>
      </c>
      <c r="Q338" s="562"/>
      <c r="R338" s="562"/>
      <c r="S338" s="562"/>
      <c r="T338" s="562"/>
      <c r="U338" s="562"/>
      <c r="V338" s="563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9" t="s">
        <v>535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536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99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747</v>
      </c>
      <c r="Y343" s="542">
        <f t="shared" ref="Y343:Y349" si="31">IFERROR(IF(X343="",0,CEILING((X343/$H343),1)*$H343),"")</f>
        <v>750</v>
      </c>
      <c r="Z343" s="36">
        <f>IFERROR(IF(Y343=0,"",ROUNDUP(Y343/H343,0)*0.02175),"")</f>
        <v>1.0874999999999999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770.904</v>
      </c>
      <c r="BN343" s="64">
        <f t="shared" ref="BN343:BN349" si="33">IFERROR(Y343*I343/H343,"0")</f>
        <v>774</v>
      </c>
      <c r="BO343" s="64">
        <f t="shared" ref="BO343:BO349" si="34">IFERROR(1/J343*(X343/H343),"0")</f>
        <v>1.0374999999999999</v>
      </c>
      <c r="BP343" s="64">
        <f t="shared" ref="BP343:BP349" si="35">IFERROR(1/J343*(Y343/H343),"0")</f>
        <v>1.0416666666666665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707</v>
      </c>
      <c r="Y344" s="542">
        <f t="shared" si="31"/>
        <v>720</v>
      </c>
      <c r="Z344" s="36">
        <f>IFERROR(IF(Y344=0,"",ROUNDUP(Y344/H344,0)*0.02175),"")</f>
        <v>1.044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729.62400000000002</v>
      </c>
      <c r="BN344" s="64">
        <f t="shared" si="33"/>
        <v>743.04000000000008</v>
      </c>
      <c r="BO344" s="64">
        <f t="shared" si="34"/>
        <v>0.9819444444444444</v>
      </c>
      <c r="BP344" s="64">
        <f t="shared" si="35"/>
        <v>1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290</v>
      </c>
      <c r="Y345" s="542">
        <f t="shared" si="31"/>
        <v>300</v>
      </c>
      <c r="Z345" s="36">
        <f>IFERROR(IF(Y345=0,"",ROUNDUP(Y345/H345,0)*0.02175),"")</f>
        <v>0.43499999999999994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299.27999999999997</v>
      </c>
      <c r="BN345" s="64">
        <f t="shared" si="33"/>
        <v>309.60000000000002</v>
      </c>
      <c r="BO345" s="64">
        <f t="shared" si="34"/>
        <v>0.40277777777777773</v>
      </c>
      <c r="BP345" s="64">
        <f t="shared" si="35"/>
        <v>0.41666666666666663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342</v>
      </c>
      <c r="Y346" s="542">
        <f t="shared" si="31"/>
        <v>345</v>
      </c>
      <c r="Z346" s="36">
        <f>IFERROR(IF(Y346=0,"",ROUNDUP(Y346/H346,0)*0.02175),"")</f>
        <v>0.50024999999999997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352.94400000000002</v>
      </c>
      <c r="BN346" s="64">
        <f t="shared" si="33"/>
        <v>356.04</v>
      </c>
      <c r="BO346" s="64">
        <f t="shared" si="34"/>
        <v>0.47499999999999998</v>
      </c>
      <c r="BP346" s="64">
        <f t="shared" si="35"/>
        <v>0.47916666666666663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71</v>
      </c>
      <c r="Q350" s="562"/>
      <c r="R350" s="562"/>
      <c r="S350" s="562"/>
      <c r="T350" s="562"/>
      <c r="U350" s="562"/>
      <c r="V350" s="563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139.06666666666666</v>
      </c>
      <c r="Y350" s="543">
        <f>IFERROR(Y343/H343,"0")+IFERROR(Y344/H344,"0")+IFERROR(Y345/H345,"0")+IFERROR(Y346/H346,"0")+IFERROR(Y347/H347,"0")+IFERROR(Y348/H348,"0")+IFERROR(Y349/H349,"0")</f>
        <v>141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3.0667499999999999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69</v>
      </c>
      <c r="X351" s="543">
        <f>IFERROR(SUM(X343:X349),"0")</f>
        <v>2086</v>
      </c>
      <c r="Y351" s="543">
        <f>IFERROR(SUM(Y343:Y349),"0")</f>
        <v>2115</v>
      </c>
      <c r="Z351" s="37"/>
      <c r="AA351" s="544"/>
      <c r="AB351" s="544"/>
      <c r="AC351" s="544"/>
    </row>
    <row r="352" spans="1:68" ht="14.25" customHeight="1" x14ac:dyDescent="0.25">
      <c r="A352" s="557" t="s">
        <v>134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494</v>
      </c>
      <c r="Y353" s="542">
        <f>IFERROR(IF(X353="",0,CEILING((X353/$H353),1)*$H353),"")</f>
        <v>495</v>
      </c>
      <c r="Z353" s="36">
        <f>IFERROR(IF(Y353=0,"",ROUNDUP(Y353/H353,0)*0.02175),"")</f>
        <v>0.71775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509.80799999999999</v>
      </c>
      <c r="BN353" s="64">
        <f>IFERROR(Y353*I353/H353,"0")</f>
        <v>510.84000000000003</v>
      </c>
      <c r="BO353" s="64">
        <f>IFERROR(1/J353*(X353/H353),"0")</f>
        <v>0.68611111111111101</v>
      </c>
      <c r="BP353" s="64">
        <f>IFERROR(1/J353*(Y353/H353),"0")</f>
        <v>0.6875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71</v>
      </c>
      <c r="Q355" s="562"/>
      <c r="R355" s="562"/>
      <c r="S355" s="562"/>
      <c r="T355" s="562"/>
      <c r="U355" s="562"/>
      <c r="V355" s="563"/>
      <c r="W355" s="37" t="s">
        <v>72</v>
      </c>
      <c r="X355" s="543">
        <f>IFERROR(X353/H353,"0")+IFERROR(X354/H354,"0")</f>
        <v>32.93333333333333</v>
      </c>
      <c r="Y355" s="543">
        <f>IFERROR(Y353/H353,"0")+IFERROR(Y354/H354,"0")</f>
        <v>33</v>
      </c>
      <c r="Z355" s="543">
        <f>IFERROR(IF(Z353="",0,Z353),"0")+IFERROR(IF(Z354="",0,Z354),"0")</f>
        <v>0.71775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69</v>
      </c>
      <c r="X356" s="543">
        <f>IFERROR(SUM(X353:X354),"0")</f>
        <v>494</v>
      </c>
      <c r="Y356" s="543">
        <f>IFERROR(SUM(Y353:Y354),"0")</f>
        <v>495</v>
      </c>
      <c r="Z356" s="37"/>
      <c r="AA356" s="544"/>
      <c r="AB356" s="544"/>
      <c r="AC356" s="544"/>
    </row>
    <row r="357" spans="1:68" ht="14.25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71</v>
      </c>
      <c r="Q360" s="562"/>
      <c r="R360" s="562"/>
      <c r="S360" s="562"/>
      <c r="T360" s="562"/>
      <c r="U360" s="562"/>
      <c r="V360" s="563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7" t="s">
        <v>164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71</v>
      </c>
      <c r="Q364" s="562"/>
      <c r="R364" s="562"/>
      <c r="S364" s="562"/>
      <c r="T364" s="562"/>
      <c r="U364" s="562"/>
      <c r="V364" s="563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8" t="s">
        <v>570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99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71</v>
      </c>
      <c r="Q370" s="562"/>
      <c r="R370" s="562"/>
      <c r="S370" s="562"/>
      <c r="T370" s="562"/>
      <c r="U370" s="562"/>
      <c r="V370" s="563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71</v>
      </c>
      <c r="Q375" s="562"/>
      <c r="R375" s="562"/>
      <c r="S375" s="562"/>
      <c r="T375" s="562"/>
      <c r="U375" s="562"/>
      <c r="V375" s="563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48</v>
      </c>
      <c r="Y379" s="542">
        <f>IFERROR(IF(X379="",0,CEILING((X379/$H379),1)*$H379),"")</f>
        <v>48</v>
      </c>
      <c r="Z379" s="36">
        <f>IFERROR(IF(Y379=0,"",ROUNDUP(Y379/H379,0)*0.00651),"")</f>
        <v>0.13020000000000001</v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53.280000000000008</v>
      </c>
      <c r="BN379" s="64">
        <f>IFERROR(Y379*I379/H379,"0")</f>
        <v>53.280000000000008</v>
      </c>
      <c r="BO379" s="64">
        <f>IFERROR(1/J379*(X379/H379),"0")</f>
        <v>0.1098901098901099</v>
      </c>
      <c r="BP379" s="64">
        <f>IFERROR(1/J379*(Y379/H379),"0")</f>
        <v>0.1098901098901099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71</v>
      </c>
      <c r="Q380" s="562"/>
      <c r="R380" s="562"/>
      <c r="S380" s="562"/>
      <c r="T380" s="562"/>
      <c r="U380" s="562"/>
      <c r="V380" s="563"/>
      <c r="W380" s="37" t="s">
        <v>72</v>
      </c>
      <c r="X380" s="543">
        <f>IFERROR(X378/H378,"0")+IFERROR(X379/H379,"0")</f>
        <v>20</v>
      </c>
      <c r="Y380" s="543">
        <f>IFERROR(Y378/H378,"0")+IFERROR(Y379/H379,"0")</f>
        <v>20</v>
      </c>
      <c r="Z380" s="543">
        <f>IFERROR(IF(Z378="",0,Z378),"0")+IFERROR(IF(Z379="",0,Z379),"0")</f>
        <v>0.13020000000000001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69</v>
      </c>
      <c r="X381" s="543">
        <f>IFERROR(SUM(X378:X379),"0")</f>
        <v>48</v>
      </c>
      <c r="Y381" s="543">
        <f>IFERROR(SUM(Y378:Y379),"0")</f>
        <v>48</v>
      </c>
      <c r="Z381" s="37"/>
      <c r="AA381" s="544"/>
      <c r="AB381" s="544"/>
      <c r="AC381" s="544"/>
    </row>
    <row r="382" spans="1:68" ht="27.75" customHeight="1" x14ac:dyDescent="0.2">
      <c r="A382" s="639" t="s">
        <v>586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587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 t="s">
        <v>198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41</v>
      </c>
      <c r="Y385" s="542">
        <f t="shared" ref="Y385:Y393" si="36">IFERROR(IF(X385="",0,CEILING((X385/$H385),1)*$H385),"")</f>
        <v>43.2</v>
      </c>
      <c r="Z385" s="36">
        <f>IFERROR(IF(Y385=0,"",ROUNDUP(Y385/H385,0)*0.00902),"")</f>
        <v>7.2160000000000002E-2</v>
      </c>
      <c r="AA385" s="56"/>
      <c r="AB385" s="57"/>
      <c r="AC385" s="427" t="s">
        <v>590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42.594444444444449</v>
      </c>
      <c r="BN385" s="64">
        <f t="shared" ref="BN385:BN393" si="38">IFERROR(Y385*I385/H385,"0")</f>
        <v>44.88</v>
      </c>
      <c r="BO385" s="64">
        <f t="shared" ref="BO385:BO393" si="39">IFERROR(1/J385*(X385/H385),"0")</f>
        <v>5.7519640852974181E-2</v>
      </c>
      <c r="BP385" s="64">
        <f t="shared" ref="BP385:BP393" si="40">IFERROR(1/J385*(Y385/H385),"0")</f>
        <v>6.0606060606060608E-2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71</v>
      </c>
      <c r="Q394" s="562"/>
      <c r="R394" s="562"/>
      <c r="S394" s="562"/>
      <c r="T394" s="562"/>
      <c r="U394" s="562"/>
      <c r="V394" s="563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7.5925925925925917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7.2160000000000002E-2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69</v>
      </c>
      <c r="X395" s="543">
        <f>IFERROR(SUM(X385:X393),"0")</f>
        <v>41</v>
      </c>
      <c r="Y395" s="543">
        <f>IFERROR(SUM(Y385:Y393),"0")</f>
        <v>43.2</v>
      </c>
      <c r="Z395" s="37"/>
      <c r="AA395" s="544"/>
      <c r="AB395" s="544"/>
      <c r="AC395" s="544"/>
    </row>
    <row r="396" spans="1:68" ht="14.25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71</v>
      </c>
      <c r="Q399" s="562"/>
      <c r="R399" s="562"/>
      <c r="S399" s="562"/>
      <c r="T399" s="562"/>
      <c r="U399" s="562"/>
      <c r="V399" s="563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618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134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71</v>
      </c>
      <c r="Q404" s="562"/>
      <c r="R404" s="562"/>
      <c r="S404" s="562"/>
      <c r="T404" s="562"/>
      <c r="U404" s="562"/>
      <c r="V404" s="563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 t="s">
        <v>198</v>
      </c>
      <c r="M407" s="33" t="s">
        <v>104</v>
      </c>
      <c r="N407" s="33"/>
      <c r="O407" s="32">
        <v>50</v>
      </c>
      <c r="P407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71</v>
      </c>
      <c r="Q411" s="562"/>
      <c r="R411" s="562"/>
      <c r="S411" s="562"/>
      <c r="T411" s="562"/>
      <c r="U411" s="562"/>
      <c r="V411" s="563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71</v>
      </c>
      <c r="Q416" s="562"/>
      <c r="R416" s="562"/>
      <c r="S416" s="562"/>
      <c r="T416" s="562"/>
      <c r="U416" s="562"/>
      <c r="V416" s="563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9" t="s">
        <v>637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637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51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54.47727272727272</v>
      </c>
      <c r="BN421" s="64">
        <f t="shared" ref="BN421:BN431" si="45">IFERROR(Y421*I421/H421,"0")</f>
        <v>56.400000000000006</v>
      </c>
      <c r="BO421" s="64">
        <f t="shared" ref="BO421:BO431" si="46">IFERROR(1/J421*(X421/H421),"0")</f>
        <v>9.2875874125874128E-2</v>
      </c>
      <c r="BP421" s="64">
        <f t="shared" ref="BP421:BP431" si="47">IFERROR(1/J421*(Y421/H421),"0")</f>
        <v>9.6153846153846159E-2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5</v>
      </c>
      <c r="Y422" s="542">
        <f t="shared" si="42"/>
        <v>5.28</v>
      </c>
      <c r="Z422" s="36">
        <f t="shared" si="43"/>
        <v>1.196E-2</v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5.3409090909090908</v>
      </c>
      <c r="BN422" s="64">
        <f t="shared" si="45"/>
        <v>5.64</v>
      </c>
      <c r="BO422" s="64">
        <f t="shared" si="46"/>
        <v>9.1054778554778559E-3</v>
      </c>
      <c r="BP422" s="64">
        <f t="shared" si="47"/>
        <v>9.6153846153846159E-3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7</v>
      </c>
      <c r="Y423" s="542">
        <f t="shared" si="42"/>
        <v>10.56</v>
      </c>
      <c r="Z423" s="36">
        <f t="shared" si="43"/>
        <v>2.392E-2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7.4772727272727266</v>
      </c>
      <c r="BN423" s="64">
        <f t="shared" si="45"/>
        <v>11.28</v>
      </c>
      <c r="BO423" s="64">
        <f t="shared" si="46"/>
        <v>1.2747668997668998E-2</v>
      </c>
      <c r="BP423" s="64">
        <f t="shared" si="47"/>
        <v>1.9230769230769232E-2</v>
      </c>
    </row>
    <row r="424" spans="1:68" ht="27" customHeight="1" x14ac:dyDescent="0.25">
      <c r="A424" s="54" t="s">
        <v>646</v>
      </c>
      <c r="B424" s="54" t="s">
        <v>647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71</v>
      </c>
      <c r="Q432" s="562"/>
      <c r="R432" s="562"/>
      <c r="S432" s="562"/>
      <c r="T432" s="562"/>
      <c r="U432" s="562"/>
      <c r="V432" s="563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11.931818181818182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0.15548000000000001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69</v>
      </c>
      <c r="X433" s="543">
        <f>IFERROR(SUM(X421:X431),"0")</f>
        <v>63</v>
      </c>
      <c r="Y433" s="543">
        <f>IFERROR(SUM(Y421:Y431),"0")</f>
        <v>68.64</v>
      </c>
      <c r="Z433" s="37"/>
      <c r="AA433" s="544"/>
      <c r="AB433" s="544"/>
      <c r="AC433" s="544"/>
    </row>
    <row r="434" spans="1:68" ht="14.25" customHeight="1" x14ac:dyDescent="0.25">
      <c r="A434" s="557" t="s">
        <v>134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127</v>
      </c>
      <c r="Y435" s="542">
        <f>IFERROR(IF(X435="",0,CEILING((X435/$H435),1)*$H435),"")</f>
        <v>132</v>
      </c>
      <c r="Z435" s="36">
        <f>IFERROR(IF(Y435=0,"",ROUNDUP(Y435/H435,0)*0.01196),"")</f>
        <v>0.29899999999999999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135.65909090909091</v>
      </c>
      <c r="BN435" s="64">
        <f>IFERROR(Y435*I435/H435,"0")</f>
        <v>140.99999999999997</v>
      </c>
      <c r="BO435" s="64">
        <f>IFERROR(1/J435*(X435/H435),"0")</f>
        <v>0.23127913752913754</v>
      </c>
      <c r="BP435" s="64">
        <f>IFERROR(1/J435*(Y435/H435),"0")</f>
        <v>0.24038461538461539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71</v>
      </c>
      <c r="Q438" s="562"/>
      <c r="R438" s="562"/>
      <c r="S438" s="562"/>
      <c r="T438" s="562"/>
      <c r="U438" s="562"/>
      <c r="V438" s="563"/>
      <c r="W438" s="37" t="s">
        <v>72</v>
      </c>
      <c r="X438" s="543">
        <f>IFERROR(X435/H435,"0")+IFERROR(X436/H436,"0")+IFERROR(X437/H437,"0")</f>
        <v>24.053030303030301</v>
      </c>
      <c r="Y438" s="543">
        <f>IFERROR(Y435/H435,"0")+IFERROR(Y436/H436,"0")+IFERROR(Y437/H437,"0")</f>
        <v>25</v>
      </c>
      <c r="Z438" s="543">
        <f>IFERROR(IF(Z435="",0,Z435),"0")+IFERROR(IF(Z436="",0,Z436),"0")+IFERROR(IF(Z437="",0,Z437),"0")</f>
        <v>0.29899999999999999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69</v>
      </c>
      <c r="X439" s="543">
        <f>IFERROR(SUM(X435:X437),"0")</f>
        <v>127</v>
      </c>
      <c r="Y439" s="543">
        <f>IFERROR(SUM(Y435:Y437),"0")</f>
        <v>132</v>
      </c>
      <c r="Z439" s="37"/>
      <c r="AA439" s="544"/>
      <c r="AB439" s="544"/>
      <c r="AC439" s="544"/>
    </row>
    <row r="440" spans="1:68" ht="14.25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55</v>
      </c>
      <c r="Y441" s="542">
        <f t="shared" ref="Y441:Y446" si="48">IFERROR(IF(X441="",0,CEILING((X441/$H441),1)*$H441),"")</f>
        <v>58.080000000000005</v>
      </c>
      <c r="Z441" s="36">
        <f>IFERROR(IF(Y441=0,"",ROUNDUP(Y441/H441,0)*0.01196),"")</f>
        <v>0.13156000000000001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58.749999999999993</v>
      </c>
      <c r="BN441" s="64">
        <f t="shared" ref="BN441:BN446" si="50">IFERROR(Y441*I441/H441,"0")</f>
        <v>62.040000000000006</v>
      </c>
      <c r="BO441" s="64">
        <f t="shared" ref="BO441:BO446" si="51">IFERROR(1/J441*(X441/H441),"0")</f>
        <v>0.10016025641025642</v>
      </c>
      <c r="BP441" s="64">
        <f t="shared" ref="BP441:BP446" si="52">IFERROR(1/J441*(Y441/H441),"0")</f>
        <v>0.10576923076923078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23</v>
      </c>
      <c r="Y442" s="542">
        <f t="shared" si="48"/>
        <v>26.400000000000002</v>
      </c>
      <c r="Z442" s="36">
        <f>IFERROR(IF(Y442=0,"",ROUNDUP(Y442/H442,0)*0.01196),"")</f>
        <v>5.9799999999999999E-2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24.568181818181817</v>
      </c>
      <c r="BN442" s="64">
        <f t="shared" si="50"/>
        <v>28.200000000000003</v>
      </c>
      <c r="BO442" s="64">
        <f t="shared" si="51"/>
        <v>4.1885198135198129E-2</v>
      </c>
      <c r="BP442" s="64">
        <f t="shared" si="52"/>
        <v>4.807692307692308E-2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96</v>
      </c>
      <c r="Y443" s="542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102.54545454545453</v>
      </c>
      <c r="BN443" s="64">
        <f t="shared" si="50"/>
        <v>107.16</v>
      </c>
      <c r="BO443" s="64">
        <f t="shared" si="51"/>
        <v>0.17482517482517482</v>
      </c>
      <c r="BP443" s="64">
        <f t="shared" si="52"/>
        <v>0.18269230769230771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71</v>
      </c>
      <c r="Q447" s="562"/>
      <c r="R447" s="562"/>
      <c r="S447" s="562"/>
      <c r="T447" s="562"/>
      <c r="U447" s="562"/>
      <c r="V447" s="563"/>
      <c r="W447" s="37" t="s">
        <v>72</v>
      </c>
      <c r="X447" s="543">
        <f>IFERROR(X441/H441,"0")+IFERROR(X442/H442,"0")+IFERROR(X443/H443,"0")+IFERROR(X444/H444,"0")+IFERROR(X445/H445,"0")+IFERROR(X446/H446,"0")</f>
        <v>32.954545454545453</v>
      </c>
      <c r="Y447" s="543">
        <f>IFERROR(Y441/H441,"0")+IFERROR(Y442/H442,"0")+IFERROR(Y443/H443,"0")+IFERROR(Y444/H444,"0")+IFERROR(Y445/H445,"0")+IFERROR(Y446/H446,"0")</f>
        <v>35</v>
      </c>
      <c r="Z447" s="543">
        <f>IFERROR(IF(Z441="",0,Z441),"0")+IFERROR(IF(Z442="",0,Z442),"0")+IFERROR(IF(Z443="",0,Z443),"0")+IFERROR(IF(Z444="",0,Z444),"0")+IFERROR(IF(Z445="",0,Z445),"0")+IFERROR(IF(Z446="",0,Z446),"0")</f>
        <v>0.41859999999999997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69</v>
      </c>
      <c r="X448" s="543">
        <f>IFERROR(SUM(X441:X446),"0")</f>
        <v>174</v>
      </c>
      <c r="Y448" s="543">
        <f>IFERROR(SUM(Y441:Y446),"0")</f>
        <v>184.8</v>
      </c>
      <c r="Z448" s="37"/>
      <c r="AA448" s="544"/>
      <c r="AB448" s="544"/>
      <c r="AC448" s="544"/>
    </row>
    <row r="449" spans="1:68" ht="14.25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71</v>
      </c>
      <c r="Q453" s="562"/>
      <c r="R453" s="562"/>
      <c r="S453" s="562"/>
      <c r="T453" s="562"/>
      <c r="U453" s="562"/>
      <c r="V453" s="563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697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697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71</v>
      </c>
      <c r="Q462" s="562"/>
      <c r="R462" s="562"/>
      <c r="S462" s="562"/>
      <c r="T462" s="562"/>
      <c r="U462" s="562"/>
      <c r="V462" s="563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134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71</v>
      </c>
      <c r="Q468" s="562"/>
      <c r="R468" s="562"/>
      <c r="S468" s="562"/>
      <c r="T468" s="562"/>
      <c r="U468" s="562"/>
      <c r="V468" s="563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71</v>
      </c>
      <c r="Q473" s="562"/>
      <c r="R473" s="562"/>
      <c r="S473" s="562"/>
      <c r="T473" s="562"/>
      <c r="U473" s="562"/>
      <c r="V473" s="563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71</v>
      </c>
      <c r="Q477" s="562"/>
      <c r="R477" s="562"/>
      <c r="S477" s="562"/>
      <c r="T477" s="562"/>
      <c r="U477" s="562"/>
      <c r="V477" s="563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7" t="s">
        <v>164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71</v>
      </c>
      <c r="Q482" s="562"/>
      <c r="R482" s="562"/>
      <c r="S482" s="562"/>
      <c r="T482" s="562"/>
      <c r="U482" s="562"/>
      <c r="V482" s="563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134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71</v>
      </c>
      <c r="Q487" s="562"/>
      <c r="R487" s="562"/>
      <c r="S487" s="562"/>
      <c r="T487" s="562"/>
      <c r="U487" s="562"/>
      <c r="V487" s="563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737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4090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4181.87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738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4270.7478405538932</v>
      </c>
      <c r="Y490" s="543">
        <f>IFERROR(SUM(BN22:BN486),"0")</f>
        <v>4367.768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739</v>
      </c>
      <c r="Q491" s="634"/>
      <c r="R491" s="634"/>
      <c r="S491" s="634"/>
      <c r="T491" s="634"/>
      <c r="U491" s="634"/>
      <c r="V491" s="635"/>
      <c r="W491" s="37" t="s">
        <v>740</v>
      </c>
      <c r="X491" s="38">
        <f>ROUNDUP(SUM(BO22:BO486),0)</f>
        <v>7</v>
      </c>
      <c r="Y491" s="38">
        <f>ROUNDUP(SUM(BP22:BP486),0)</f>
        <v>7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741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4445.7478405538932</v>
      </c>
      <c r="Y492" s="543">
        <f>GrossWeightTotalR+PalletQtyTotalR*25</f>
        <v>4542.768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742</v>
      </c>
      <c r="Q493" s="634"/>
      <c r="R493" s="634"/>
      <c r="S493" s="634"/>
      <c r="T493" s="634"/>
      <c r="U493" s="634"/>
      <c r="V493" s="635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546.33649710404097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563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743</v>
      </c>
      <c r="Q494" s="634"/>
      <c r="R494" s="634"/>
      <c r="S494" s="634"/>
      <c r="T494" s="634"/>
      <c r="U494" s="634"/>
      <c r="V494" s="635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7.2454500000000008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1" t="s">
        <v>97</v>
      </c>
      <c r="D496" s="662"/>
      <c r="E496" s="662"/>
      <c r="F496" s="662"/>
      <c r="G496" s="662"/>
      <c r="H496" s="625"/>
      <c r="I496" s="591" t="s">
        <v>257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535</v>
      </c>
      <c r="T496" s="625"/>
      <c r="U496" s="591" t="s">
        <v>586</v>
      </c>
      <c r="V496" s="662"/>
      <c r="W496" s="625"/>
      <c r="X496" s="538" t="s">
        <v>637</v>
      </c>
      <c r="Y496" s="591" t="s">
        <v>697</v>
      </c>
      <c r="Z496" s="625"/>
      <c r="AB496" s="52"/>
      <c r="AC496" s="52"/>
      <c r="AF496" s="539"/>
    </row>
    <row r="497" spans="1:32" ht="14.25" customHeight="1" thickTop="1" x14ac:dyDescent="0.2">
      <c r="A497" s="838" t="s">
        <v>746</v>
      </c>
      <c r="B497" s="591" t="s">
        <v>63</v>
      </c>
      <c r="C497" s="591" t="s">
        <v>98</v>
      </c>
      <c r="D497" s="591" t="s">
        <v>115</v>
      </c>
      <c r="E497" s="591" t="s">
        <v>171</v>
      </c>
      <c r="F497" s="591" t="s">
        <v>190</v>
      </c>
      <c r="G497" s="591" t="s">
        <v>222</v>
      </c>
      <c r="H497" s="591" t="s">
        <v>97</v>
      </c>
      <c r="I497" s="591" t="s">
        <v>258</v>
      </c>
      <c r="J497" s="591" t="s">
        <v>299</v>
      </c>
      <c r="K497" s="591" t="s">
        <v>359</v>
      </c>
      <c r="L497" s="591" t="s">
        <v>401</v>
      </c>
      <c r="M497" s="591" t="s">
        <v>417</v>
      </c>
      <c r="N497" s="539"/>
      <c r="O497" s="591" t="s">
        <v>428</v>
      </c>
      <c r="P497" s="591" t="s">
        <v>437</v>
      </c>
      <c r="Q497" s="591" t="s">
        <v>447</v>
      </c>
      <c r="R497" s="591" t="s">
        <v>525</v>
      </c>
      <c r="S497" s="591" t="s">
        <v>536</v>
      </c>
      <c r="T497" s="591" t="s">
        <v>570</v>
      </c>
      <c r="U497" s="591" t="s">
        <v>587</v>
      </c>
      <c r="V497" s="591" t="s">
        <v>618</v>
      </c>
      <c r="W497" s="591" t="s">
        <v>633</v>
      </c>
      <c r="X497" s="591" t="s">
        <v>637</v>
      </c>
      <c r="Y497" s="591" t="s">
        <v>697</v>
      </c>
      <c r="Z497" s="591" t="s">
        <v>733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18.5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8</v>
      </c>
      <c r="E499" s="46">
        <f>IFERROR(Y86*1,"0")+IFERROR(Y87*1,"0")+IFERROR(Y88*1,"0")+IFERROR(Y92*1,"0")+IFERROR(Y93*1,"0")+IFERROR(Y94*1,"0")+IFERROR(Y95*1,"0")</f>
        <v>16.2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108.60000000000001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192.3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673.80000000000007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5.67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72.16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2610</v>
      </c>
      <c r="T499" s="46">
        <f>IFERROR(Y368*1,"0")+IFERROR(Y369*1,"0")+IFERROR(Y373*1,"0")+IFERROR(Y374*1,"0")+IFERROR(Y378*1,"0")+IFERROR(Y379*1,"0")</f>
        <v>48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43.2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385.43999999999994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OlZBsEal2vLwSHvebtYdDKINUoUHeo178dFbjSvFb84xA0/ZUE/ocrglOdT6RFgC+p418dqpnUaXPLeZZX8o5A==" saltValue="tXrrMobuiHc+/BmZ9aI7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6 X92 X100 X102 X113 X115 X163 X165:X166 X196:X197 X199 X210 X212:X215 X273:X274 X316 X343:X346 X353 X378 X385 X407 X423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BamL7fBCPsbgWht1f4yXwsXoimXuAn4MCCG/WP5hnL+JfvqevjRuCfpym0YAKPdWCo+jRnM0M15IQSeUP8k+g==" saltValue="jKxAaqDxbOrAldYxYuvu5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2025-11-05T08:50:23Z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