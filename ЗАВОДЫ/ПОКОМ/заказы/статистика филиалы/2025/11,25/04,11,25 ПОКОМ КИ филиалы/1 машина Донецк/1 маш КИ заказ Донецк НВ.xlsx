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BA926BC-3386-47A2-A159-F8AFF5B620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N75" i="1"/>
  <c r="BM75" i="1"/>
  <c r="Z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Z172" i="1" s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Z275" i="1"/>
  <c r="BP273" i="1"/>
  <c r="BN273" i="1"/>
  <c r="Z273" i="1"/>
  <c r="Y275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7" i="1" s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Z325" i="1" s="1"/>
  <c r="BP324" i="1"/>
  <c r="BN324" i="1"/>
  <c r="Z324" i="1"/>
  <c r="Y326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04" i="1"/>
  <c r="Z294" i="1"/>
  <c r="Z318" i="1"/>
  <c r="Z312" i="1"/>
  <c r="Z69" i="1"/>
  <c r="Z494" i="1" s="1"/>
  <c r="Y489" i="1"/>
  <c r="Z89" i="1"/>
  <c r="Z447" i="1"/>
  <c r="Z432" i="1"/>
  <c r="Z338" i="1"/>
  <c r="Z216" i="1"/>
  <c r="Z268" i="1"/>
  <c r="Z260" i="1"/>
  <c r="Z251" i="1"/>
  <c r="Z144" i="1"/>
  <c r="Z110" i="1"/>
</calcChain>
</file>

<file path=xl/sharedStrings.xml><?xml version="1.0" encoding="utf-8"?>
<sst xmlns="http://schemas.openxmlformats.org/spreadsheetml/2006/main" count="2280" uniqueCount="763">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</sst>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1" t="s">
        <v>8</v>
      </c>
      <c r="B5" s="634"/>
      <c r="C5" s="635"/>
      <c r="D5" s="618"/>
      <c r="E5" s="619"/>
      <c r="F5" s="828" t="s">
        <v>9</v>
      </c>
      <c r="G5" s="635"/>
      <c r="H5" s="618"/>
      <c r="I5" s="771"/>
      <c r="J5" s="771"/>
      <c r="K5" s="771"/>
      <c r="L5" s="771"/>
      <c r="M5" s="619"/>
      <c r="N5" s="58"/>
      <c r="P5" s="24" t="s">
        <v>10</v>
      </c>
      <c r="Q5" s="841">
        <v>45964</v>
      </c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5" customFormat="1" ht="24" customHeight="1" x14ac:dyDescent="0.2">
      <c r="A6" s="661" t="s">
        <v>13</v>
      </c>
      <c r="B6" s="634"/>
      <c r="C6" s="635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14" t="s">
        <v>16</v>
      </c>
      <c r="U6" s="706"/>
      <c r="V6" s="757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4"/>
      <c r="U7" s="706"/>
      <c r="V7" s="758"/>
      <c r="W7" s="759"/>
      <c r="AB7" s="51"/>
      <c r="AC7" s="51"/>
      <c r="AD7" s="51"/>
      <c r="AE7" s="51"/>
    </row>
    <row r="8" spans="1:32" s="535" customFormat="1" ht="25.5" customHeight="1" x14ac:dyDescent="0.2">
      <c r="A8" s="862" t="s">
        <v>18</v>
      </c>
      <c r="B8" s="562"/>
      <c r="C8" s="563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0">
        <v>0.41666666666666669</v>
      </c>
      <c r="R8" s="599"/>
      <c r="T8" s="554"/>
      <c r="U8" s="706"/>
      <c r="V8" s="758"/>
      <c r="W8" s="759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0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3"/>
      <c r="P9" s="26" t="s">
        <v>21</v>
      </c>
      <c r="Q9" s="657"/>
      <c r="R9" s="658"/>
      <c r="T9" s="554"/>
      <c r="U9" s="706"/>
      <c r="V9" s="760"/>
      <c r="W9" s="76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0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1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5"/>
      <c r="R10" s="716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9"/>
      <c r="R11" s="660"/>
      <c r="U11" s="24" t="s">
        <v>27</v>
      </c>
      <c r="V11" s="795" t="s">
        <v>28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0"/>
      <c r="R12" s="599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9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91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6" t="s">
        <v>38</v>
      </c>
      <c r="D17" s="581" t="s">
        <v>39</v>
      </c>
      <c r="E17" s="645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4"/>
      <c r="R17" s="644"/>
      <c r="S17" s="644"/>
      <c r="T17" s="645"/>
      <c r="U17" s="857" t="s">
        <v>51</v>
      </c>
      <c r="V17" s="635"/>
      <c r="W17" s="581" t="s">
        <v>52</v>
      </c>
      <c r="X17" s="581" t="s">
        <v>53</v>
      </c>
      <c r="Y17" s="860" t="s">
        <v>54</v>
      </c>
      <c r="Z17" s="769" t="s">
        <v>55</v>
      </c>
      <c r="AA17" s="749" t="s">
        <v>56</v>
      </c>
      <c r="AB17" s="749" t="s">
        <v>57</v>
      </c>
      <c r="AC17" s="749" t="s">
        <v>58</v>
      </c>
      <c r="AD17" s="749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61</v>
      </c>
      <c r="V18" s="67" t="s">
        <v>62</v>
      </c>
      <c r="W18" s="582"/>
      <c r="X18" s="582"/>
      <c r="Y18" s="861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7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58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customHeight="1" x14ac:dyDescent="0.25">
      <c r="A39" s="557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133</v>
      </c>
      <c r="Y40" s="542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138.35694444444442</v>
      </c>
      <c r="BN40" s="64">
        <f>IFERROR(Y40*I40/H40,"0")</f>
        <v>146.05499999999998</v>
      </c>
      <c r="BO40" s="64">
        <f>IFERROR(1/J40*(X40/H40),"0")</f>
        <v>0.19241898148148148</v>
      </c>
      <c r="BP40" s="64">
        <f>IFERROR(1/J40*(Y40/H40),"0")</f>
        <v>0.203125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3">
        <f>IFERROR(X40/H40,"0")+IFERROR(X41/H41,"0")+IFERROR(X42/H42,"0")</f>
        <v>12.314814814814815</v>
      </c>
      <c r="Y43" s="543">
        <f>IFERROR(Y40/H40,"0")+IFERROR(Y41/H41,"0")+IFERROR(Y42/H42,"0")</f>
        <v>13</v>
      </c>
      <c r="Z43" s="543">
        <f>IFERROR(IF(Z40="",0,Z40),"0")+IFERROR(IF(Z41="",0,Z41),"0")+IFERROR(IF(Z42="",0,Z42),"0")</f>
        <v>0.24674000000000001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3">
        <f>IFERROR(SUM(X40:X42),"0")</f>
        <v>133</v>
      </c>
      <c r="Y44" s="543">
        <f>IFERROR(SUM(Y40:Y42),"0")</f>
        <v>140.4</v>
      </c>
      <c r="Z44" s="37"/>
      <c r="AA44" s="544"/>
      <c r="AB44" s="544"/>
      <c r="AC44" s="544"/>
    </row>
    <row r="45" spans="1:68" ht="14.25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customHeight="1" x14ac:dyDescent="0.25">
      <c r="A50" s="557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225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234.06249999999997</v>
      </c>
      <c r="BN52" s="64">
        <f t="shared" si="2"/>
        <v>235.93499999999997</v>
      </c>
      <c r="BO52" s="64">
        <f t="shared" si="3"/>
        <v>0.32552083333333331</v>
      </c>
      <c r="BP52" s="64">
        <f t="shared" si="4"/>
        <v>0.328125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44</v>
      </c>
      <c r="Y54" s="542">
        <f t="shared" si="0"/>
        <v>44</v>
      </c>
      <c r="Z54" s="36">
        <f>IFERROR(IF(Y54=0,"",ROUNDUP(Y54/H54,0)*0.00902),"")</f>
        <v>9.9220000000000003E-2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46.31</v>
      </c>
      <c r="BN54" s="64">
        <f t="shared" si="2"/>
        <v>46.31</v>
      </c>
      <c r="BO54" s="64">
        <f t="shared" si="3"/>
        <v>8.3333333333333343E-2</v>
      </c>
      <c r="BP54" s="64">
        <f t="shared" si="4"/>
        <v>8.3333333333333343E-2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3">
        <f>IFERROR(X51/H51,"0")+IFERROR(X52/H52,"0")+IFERROR(X53/H53,"0")+IFERROR(X54/H54,"0")+IFERROR(X55/H55,"0")+IFERROR(X56/H56,"0")</f>
        <v>31.833333333333332</v>
      </c>
      <c r="Y57" s="543">
        <f>IFERROR(Y51/H51,"0")+IFERROR(Y52/H52,"0")+IFERROR(Y53/H53,"0")+IFERROR(Y54/H54,"0")+IFERROR(Y55/H55,"0")+IFERROR(Y56/H56,"0")</f>
        <v>32</v>
      </c>
      <c r="Z57" s="543">
        <f>IFERROR(IF(Z51="",0,Z51),"0")+IFERROR(IF(Z52="",0,Z52),"0")+IFERROR(IF(Z53="",0,Z53),"0")+IFERROR(IF(Z54="",0,Z54),"0")+IFERROR(IF(Z55="",0,Z55),"0")+IFERROR(IF(Z56="",0,Z56),"0")</f>
        <v>0.49780000000000002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3">
        <f>IFERROR(SUM(X51:X56),"0")</f>
        <v>269</v>
      </c>
      <c r="Y58" s="543">
        <f>IFERROR(SUM(Y51:Y56),"0")</f>
        <v>270.8</v>
      </c>
      <c r="Z58" s="37"/>
      <c r="AA58" s="544"/>
      <c r="AB58" s="544"/>
      <c r="AC58" s="544"/>
    </row>
    <row r="59" spans="1:68" ht="14.25" customHeight="1" x14ac:dyDescent="0.25">
      <c r="A59" s="557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16.5" customHeight="1" x14ac:dyDescent="0.25">
      <c r="A72" s="54" t="s">
        <v>152</v>
      </c>
      <c r="B72" s="54" t="s">
        <v>153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70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48"/>
      <c r="R76" s="548"/>
      <c r="S76" s="548"/>
      <c r="T76" s="549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1" t="s">
        <v>71</v>
      </c>
      <c r="Q78" s="562"/>
      <c r="R78" s="562"/>
      <c r="S78" s="562"/>
      <c r="T78" s="562"/>
      <c r="U78" s="562"/>
      <c r="V78" s="563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customHeight="1" x14ac:dyDescent="0.25">
      <c r="A79" s="557" t="s">
        <v>165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7"/>
      <c r="AB79" s="537"/>
      <c r="AC79" s="537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23</v>
      </c>
      <c r="Y80" s="542">
        <f>IFERROR(IF(X80="",0,CEILING((X80/$H80),1)*$H80),"")</f>
        <v>23.4</v>
      </c>
      <c r="Z80" s="36">
        <f>IFERROR(IF(Y80=0,"",ROUNDUP(Y80/H80,0)*0.01898),"")</f>
        <v>5.6940000000000004E-2</v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24.282692307692304</v>
      </c>
      <c r="BN80" s="64">
        <f>IFERROR(Y80*I80/H80,"0")</f>
        <v>24.704999999999998</v>
      </c>
      <c r="BO80" s="64">
        <f>IFERROR(1/J80*(X80/H80),"0")</f>
        <v>4.6073717948717952E-2</v>
      </c>
      <c r="BP80" s="64">
        <f>IFERROR(1/J80*(Y80/H80),"0")</f>
        <v>4.6875E-2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48"/>
      <c r="R81" s="548"/>
      <c r="S81" s="548"/>
      <c r="T81" s="549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72</v>
      </c>
      <c r="X82" s="543">
        <f>IFERROR(X80/H80,"0")+IFERROR(X81/H81,"0")</f>
        <v>2.9487179487179489</v>
      </c>
      <c r="Y82" s="543">
        <f>IFERROR(Y80/H80,"0")+IFERROR(Y81/H81,"0")</f>
        <v>3</v>
      </c>
      <c r="Z82" s="543">
        <f>IFERROR(IF(Z80="",0,Z80),"0")+IFERROR(IF(Z81="",0,Z81),"0")</f>
        <v>5.6940000000000004E-2</v>
      </c>
      <c r="AA82" s="544"/>
      <c r="AB82" s="544"/>
      <c r="AC82" s="544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1" t="s">
        <v>71</v>
      </c>
      <c r="Q83" s="562"/>
      <c r="R83" s="562"/>
      <c r="S83" s="562"/>
      <c r="T83" s="562"/>
      <c r="U83" s="562"/>
      <c r="V83" s="563"/>
      <c r="W83" s="37" t="s">
        <v>69</v>
      </c>
      <c r="X83" s="543">
        <f>IFERROR(SUM(X80:X81),"0")</f>
        <v>23</v>
      </c>
      <c r="Y83" s="543">
        <f>IFERROR(SUM(Y80:Y81),"0")</f>
        <v>23.4</v>
      </c>
      <c r="Z83" s="37"/>
      <c r="AA83" s="544"/>
      <c r="AB83" s="544"/>
      <c r="AC83" s="544"/>
    </row>
    <row r="84" spans="1:68" ht="16.5" customHeight="1" x14ac:dyDescent="0.25">
      <c r="A84" s="558" t="s">
        <v>172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6"/>
      <c r="AB84" s="536"/>
      <c r="AC84" s="536"/>
    </row>
    <row r="85" spans="1:68" ht="14.25" customHeight="1" x14ac:dyDescent="0.25">
      <c r="A85" s="557" t="s">
        <v>99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426</v>
      </c>
      <c r="Y86" s="542">
        <f>IFERROR(IF(X86="",0,CEILING((X86/$H86),1)*$H86),"")</f>
        <v>432</v>
      </c>
      <c r="Z86" s="36">
        <f>IFERROR(IF(Y86=0,"",ROUNDUP(Y86/H86,0)*0.01898),"")</f>
        <v>0.75919999999999999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443.15833333333325</v>
      </c>
      <c r="BN86" s="64">
        <f>IFERROR(Y86*I86/H86,"0")</f>
        <v>449.39999999999992</v>
      </c>
      <c r="BO86" s="64">
        <f>IFERROR(1/J86*(X86/H86),"0")</f>
        <v>0.61631944444444442</v>
      </c>
      <c r="BP86" s="64">
        <f>IFERROR(1/J86*(Y86/H86),"0")</f>
        <v>0.625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 t="s">
        <v>110</v>
      </c>
      <c r="M87" s="33" t="s">
        <v>77</v>
      </c>
      <c r="N87" s="33"/>
      <c r="O87" s="32">
        <v>50</v>
      </c>
      <c r="P87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 t="s">
        <v>106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48"/>
      <c r="R88" s="548"/>
      <c r="S88" s="548"/>
      <c r="T88" s="549"/>
      <c r="U88" s="34"/>
      <c r="V88" s="34"/>
      <c r="W88" s="35" t="s">
        <v>69</v>
      </c>
      <c r="X88" s="541">
        <v>39</v>
      </c>
      <c r="Y88" s="542">
        <f>IFERROR(IF(X88="",0,CEILING((X88/$H88),1)*$H88),"")</f>
        <v>40.5</v>
      </c>
      <c r="Z88" s="36">
        <f>IFERROR(IF(Y88=0,"",ROUNDUP(Y88/H88,0)*0.00902),"")</f>
        <v>8.1180000000000002E-2</v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40.82</v>
      </c>
      <c r="BN88" s="64">
        <f>IFERROR(Y88*I88/H88,"0")</f>
        <v>42.39</v>
      </c>
      <c r="BO88" s="64">
        <f>IFERROR(1/J88*(X88/H88),"0")</f>
        <v>6.5656565656565649E-2</v>
      </c>
      <c r="BP88" s="64">
        <f>IFERROR(1/J88*(Y88/H88),"0")</f>
        <v>6.8181818181818177E-2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72</v>
      </c>
      <c r="X89" s="543">
        <f>IFERROR(X86/H86,"0")+IFERROR(X87/H87,"0")+IFERROR(X88/H88,"0")</f>
        <v>48.111111111111107</v>
      </c>
      <c r="Y89" s="543">
        <f>IFERROR(Y86/H86,"0")+IFERROR(Y87/H87,"0")+IFERROR(Y88/H88,"0")</f>
        <v>49</v>
      </c>
      <c r="Z89" s="543">
        <f>IFERROR(IF(Z86="",0,Z86),"0")+IFERROR(IF(Z87="",0,Z87),"0")+IFERROR(IF(Z88="",0,Z88),"0")</f>
        <v>0.84038000000000002</v>
      </c>
      <c r="AA89" s="544"/>
      <c r="AB89" s="544"/>
      <c r="AC89" s="544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1" t="s">
        <v>71</v>
      </c>
      <c r="Q90" s="562"/>
      <c r="R90" s="562"/>
      <c r="S90" s="562"/>
      <c r="T90" s="562"/>
      <c r="U90" s="562"/>
      <c r="V90" s="563"/>
      <c r="W90" s="37" t="s">
        <v>69</v>
      </c>
      <c r="X90" s="543">
        <f>IFERROR(SUM(X86:X88),"0")</f>
        <v>465</v>
      </c>
      <c r="Y90" s="543">
        <f>IFERROR(SUM(Y86:Y88),"0")</f>
        <v>472.5</v>
      </c>
      <c r="Z90" s="37"/>
      <c r="AA90" s="544"/>
      <c r="AB90" s="544"/>
      <c r="AC90" s="544"/>
    </row>
    <row r="91" spans="1:68" ht="14.25" customHeight="1" x14ac:dyDescent="0.25">
      <c r="A91" s="557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48</v>
      </c>
      <c r="Y92" s="542">
        <f>IFERROR(IF(X92="",0,CEILING((X92/$H92),1)*$H92),"")</f>
        <v>48.599999999999994</v>
      </c>
      <c r="Z92" s="36">
        <f>IFERROR(IF(Y92=0,"",ROUNDUP(Y92/H92,0)*0.01898),"")</f>
        <v>0.11388000000000001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51.075555555555553</v>
      </c>
      <c r="BN92" s="64">
        <f>IFERROR(Y92*I92/H92,"0")</f>
        <v>51.713999999999992</v>
      </c>
      <c r="BO92" s="64">
        <f>IFERROR(1/J92*(X92/H92),"0")</f>
        <v>9.2592592592592601E-2</v>
      </c>
      <c r="BP92" s="64">
        <f>IFERROR(1/J92*(Y92/H92),"0")</f>
        <v>9.375E-2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48"/>
      <c r="R94" s="548"/>
      <c r="S94" s="548"/>
      <c r="T94" s="549"/>
      <c r="U94" s="34"/>
      <c r="V94" s="34"/>
      <c r="W94" s="35" t="s">
        <v>69</v>
      </c>
      <c r="X94" s="541">
        <v>110</v>
      </c>
      <c r="Y94" s="542">
        <f>IFERROR(IF(X94="",0,CEILING((X94/$H94),1)*$H94),"")</f>
        <v>110.7</v>
      </c>
      <c r="Z94" s="36">
        <f>IFERROR(IF(Y94=0,"",ROUNDUP(Y94/H94,0)*0.00651),"")</f>
        <v>0.26690999999999998</v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120.26666666666665</v>
      </c>
      <c r="BN94" s="64">
        <f>IFERROR(Y94*I94/H94,"0")</f>
        <v>121.032</v>
      </c>
      <c r="BO94" s="64">
        <f>IFERROR(1/J94*(X94/H94),"0")</f>
        <v>0.22385022385022388</v>
      </c>
      <c r="BP94" s="64">
        <f>IFERROR(1/J94*(Y94/H94),"0")</f>
        <v>0.22527472527472528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48"/>
      <c r="R95" s="548"/>
      <c r="S95" s="548"/>
      <c r="T95" s="549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72</v>
      </c>
      <c r="X96" s="543">
        <f>IFERROR(X92/H92,"0")+IFERROR(X93/H93,"0")+IFERROR(X94/H94,"0")+IFERROR(X95/H95,"0")</f>
        <v>46.666666666666664</v>
      </c>
      <c r="Y96" s="543">
        <f>IFERROR(Y92/H92,"0")+IFERROR(Y93/H93,"0")+IFERROR(Y94/H94,"0")+IFERROR(Y95/H95,"0")</f>
        <v>47</v>
      </c>
      <c r="Z96" s="543">
        <f>IFERROR(IF(Z92="",0,Z92),"0")+IFERROR(IF(Z93="",0,Z93),"0")+IFERROR(IF(Z94="",0,Z94),"0")+IFERROR(IF(Z95="",0,Z95),"0")</f>
        <v>0.38078999999999996</v>
      </c>
      <c r="AA96" s="544"/>
      <c r="AB96" s="544"/>
      <c r="AC96" s="544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1" t="s">
        <v>71</v>
      </c>
      <c r="Q97" s="562"/>
      <c r="R97" s="562"/>
      <c r="S97" s="562"/>
      <c r="T97" s="562"/>
      <c r="U97" s="562"/>
      <c r="V97" s="563"/>
      <c r="W97" s="37" t="s">
        <v>69</v>
      </c>
      <c r="X97" s="543">
        <f>IFERROR(SUM(X92:X95),"0")</f>
        <v>158</v>
      </c>
      <c r="Y97" s="543">
        <f>IFERROR(SUM(Y92:Y95),"0")</f>
        <v>159.30000000000001</v>
      </c>
      <c r="Z97" s="37"/>
      <c r="AA97" s="544"/>
      <c r="AB97" s="544"/>
      <c r="AC97" s="544"/>
    </row>
    <row r="98" spans="1:68" ht="16.5" customHeight="1" x14ac:dyDescent="0.25">
      <c r="A98" s="558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6"/>
      <c r="AB98" s="536"/>
      <c r="AC98" s="536"/>
    </row>
    <row r="99" spans="1:68" ht="14.25" customHeight="1" x14ac:dyDescent="0.25">
      <c r="A99" s="557" t="s">
        <v>99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7"/>
      <c r="AB99" s="537"/>
      <c r="AC99" s="537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48"/>
      <c r="R103" s="548"/>
      <c r="S103" s="548"/>
      <c r="T103" s="549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1" t="s">
        <v>71</v>
      </c>
      <c r="Q105" s="562"/>
      <c r="R105" s="562"/>
      <c r="S105" s="562"/>
      <c r="T105" s="562"/>
      <c r="U105" s="562"/>
      <c r="V105" s="563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customHeight="1" x14ac:dyDescent="0.25">
      <c r="A106" s="557" t="s">
        <v>135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7"/>
      <c r="AB106" s="537"/>
      <c r="AC106" s="537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5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104</v>
      </c>
      <c r="N109" s="33"/>
      <c r="O109" s="32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1">
        <v>20</v>
      </c>
      <c r="Y109" s="542">
        <f>IFERROR(IF(X109="",0,CEILING((X109/$H109),1)*$H109),"")</f>
        <v>21.599999999999998</v>
      </c>
      <c r="Z109" s="36">
        <f>IFERROR(IF(Y109=0,"",ROUNDUP(Y109/H109,0)*0.00651),"")</f>
        <v>5.8590000000000003E-2</v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21.5</v>
      </c>
      <c r="BN109" s="64">
        <f>IFERROR(Y109*I109/H109,"0")</f>
        <v>23.22</v>
      </c>
      <c r="BO109" s="64">
        <f>IFERROR(1/J109*(X109/H109),"0")</f>
        <v>4.5787545787545791E-2</v>
      </c>
      <c r="BP109" s="64">
        <f>IFERROR(1/J109*(Y109/H109),"0")</f>
        <v>4.9450549450549455E-2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72</v>
      </c>
      <c r="X110" s="543">
        <f>IFERROR(X107/H107,"0")+IFERROR(X108/H108,"0")+IFERROR(X109/H109,"0")</f>
        <v>8.3333333333333339</v>
      </c>
      <c r="Y110" s="543">
        <f>IFERROR(Y107/H107,"0")+IFERROR(Y108/H108,"0")+IFERROR(Y109/H109,"0")</f>
        <v>9</v>
      </c>
      <c r="Z110" s="543">
        <f>IFERROR(IF(Z107="",0,Z107),"0")+IFERROR(IF(Z108="",0,Z108),"0")+IFERROR(IF(Z109="",0,Z109),"0")</f>
        <v>5.8590000000000003E-2</v>
      </c>
      <c r="AA110" s="544"/>
      <c r="AB110" s="544"/>
      <c r="AC110" s="544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1" t="s">
        <v>71</v>
      </c>
      <c r="Q111" s="562"/>
      <c r="R111" s="562"/>
      <c r="S111" s="562"/>
      <c r="T111" s="562"/>
      <c r="U111" s="562"/>
      <c r="V111" s="563"/>
      <c r="W111" s="37" t="s">
        <v>69</v>
      </c>
      <c r="X111" s="543">
        <f>IFERROR(SUM(X107:X109),"0")</f>
        <v>20</v>
      </c>
      <c r="Y111" s="543">
        <f>IFERROR(SUM(Y107:Y109),"0")</f>
        <v>21.599999999999998</v>
      </c>
      <c r="Z111" s="37"/>
      <c r="AA111" s="544"/>
      <c r="AB111" s="544"/>
      <c r="AC111" s="544"/>
    </row>
    <row r="112" spans="1:68" ht="14.25" customHeight="1" x14ac:dyDescent="0.25">
      <c r="A112" s="557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419</v>
      </c>
      <c r="Y115" s="542">
        <f>IFERROR(IF(X115="",0,CEILING((X115/$H115),1)*$H115),"")</f>
        <v>421.20000000000005</v>
      </c>
      <c r="Z115" s="36">
        <f>IFERROR(IF(Y115=0,"",ROUNDUP(Y115/H115,0)*0.00651),"")</f>
        <v>1.01556</v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458.10666666666663</v>
      </c>
      <c r="BN115" s="64">
        <f>IFERROR(Y115*I115/H115,"0")</f>
        <v>460.51200000000006</v>
      </c>
      <c r="BO115" s="64">
        <f>IFERROR(1/J115*(X115/H115),"0")</f>
        <v>0.8526658526658526</v>
      </c>
      <c r="BP115" s="64">
        <f>IFERROR(1/J115*(Y115/H115),"0")</f>
        <v>0.85714285714285721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72</v>
      </c>
      <c r="X117" s="543">
        <f>IFERROR(X113/H113,"0")+IFERROR(X114/H114,"0")+IFERROR(X115/H115,"0")+IFERROR(X116/H116,"0")</f>
        <v>155.18518518518516</v>
      </c>
      <c r="Y117" s="543">
        <f>IFERROR(Y113/H113,"0")+IFERROR(Y114/H114,"0")+IFERROR(Y115/H115,"0")+IFERROR(Y116/H116,"0")</f>
        <v>156</v>
      </c>
      <c r="Z117" s="543">
        <f>IFERROR(IF(Z113="",0,Z113),"0")+IFERROR(IF(Z114="",0,Z114),"0")+IFERROR(IF(Z115="",0,Z115),"0")+IFERROR(IF(Z116="",0,Z116),"0")</f>
        <v>1.01556</v>
      </c>
      <c r="AA117" s="544"/>
      <c r="AB117" s="544"/>
      <c r="AC117" s="544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1" t="s">
        <v>71</v>
      </c>
      <c r="Q118" s="562"/>
      <c r="R118" s="562"/>
      <c r="S118" s="562"/>
      <c r="T118" s="562"/>
      <c r="U118" s="562"/>
      <c r="V118" s="563"/>
      <c r="W118" s="37" t="s">
        <v>69</v>
      </c>
      <c r="X118" s="543">
        <f>IFERROR(SUM(X113:X116),"0")</f>
        <v>419</v>
      </c>
      <c r="Y118" s="543">
        <f>IFERROR(SUM(Y113:Y116),"0")</f>
        <v>421.20000000000005</v>
      </c>
      <c r="Z118" s="37"/>
      <c r="AA118" s="544"/>
      <c r="AB118" s="544"/>
      <c r="AC118" s="544"/>
    </row>
    <row r="119" spans="1:68" ht="14.25" customHeight="1" x14ac:dyDescent="0.25">
      <c r="A119" s="557" t="s">
        <v>165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7"/>
      <c r="AB119" s="537"/>
      <c r="AC119" s="537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1" t="s">
        <v>71</v>
      </c>
      <c r="Q122" s="562"/>
      <c r="R122" s="562"/>
      <c r="S122" s="562"/>
      <c r="T122" s="562"/>
      <c r="U122" s="562"/>
      <c r="V122" s="563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customHeight="1" x14ac:dyDescent="0.25">
      <c r="A123" s="558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6"/>
      <c r="AB123" s="536"/>
      <c r="AC123" s="536"/>
    </row>
    <row r="124" spans="1:68" ht="14.25" customHeight="1" x14ac:dyDescent="0.25">
      <c r="A124" s="557" t="s">
        <v>99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7"/>
      <c r="AB124" s="537"/>
      <c r="AC124" s="537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48"/>
      <c r="R126" s="548"/>
      <c r="S126" s="548"/>
      <c r="T126" s="549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1" t="s">
        <v>71</v>
      </c>
      <c r="Q128" s="562"/>
      <c r="R128" s="562"/>
      <c r="S128" s="562"/>
      <c r="T128" s="562"/>
      <c r="U128" s="562"/>
      <c r="V128" s="563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customHeight="1" x14ac:dyDescent="0.25">
      <c r="A129" s="557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7"/>
      <c r="AB129" s="537"/>
      <c r="AC129" s="537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1" t="s">
        <v>71</v>
      </c>
      <c r="Q133" s="562"/>
      <c r="R133" s="562"/>
      <c r="S133" s="562"/>
      <c r="T133" s="562"/>
      <c r="U133" s="562"/>
      <c r="V133" s="563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customHeight="1" x14ac:dyDescent="0.25">
      <c r="A134" s="557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7"/>
      <c r="AB134" s="537"/>
      <c r="AC134" s="537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1" t="s">
        <v>71</v>
      </c>
      <c r="Q138" s="562"/>
      <c r="R138" s="562"/>
      <c r="S138" s="562"/>
      <c r="T138" s="562"/>
      <c r="U138" s="562"/>
      <c r="V138" s="563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customHeight="1" x14ac:dyDescent="0.25">
      <c r="A139" s="558" t="s">
        <v>97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6"/>
      <c r="AB139" s="536"/>
      <c r="AC139" s="536"/>
    </row>
    <row r="140" spans="1:68" ht="14.25" customHeight="1" x14ac:dyDescent="0.25">
      <c r="A140" s="557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7"/>
      <c r="AB140" s="537"/>
      <c r="AC140" s="537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48"/>
      <c r="R143" s="548"/>
      <c r="S143" s="548"/>
      <c r="T143" s="549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1" t="s">
        <v>71</v>
      </c>
      <c r="Q145" s="562"/>
      <c r="R145" s="562"/>
      <c r="S145" s="562"/>
      <c r="T145" s="562"/>
      <c r="U145" s="562"/>
      <c r="V145" s="563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customHeight="1" x14ac:dyDescent="0.25">
      <c r="A146" s="557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7"/>
      <c r="AB146" s="537"/>
      <c r="AC146" s="537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2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1" t="s">
        <v>71</v>
      </c>
      <c r="Q151" s="562"/>
      <c r="R151" s="562"/>
      <c r="S151" s="562"/>
      <c r="T151" s="562"/>
      <c r="U151" s="562"/>
      <c r="V151" s="563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customHeight="1" x14ac:dyDescent="0.25">
      <c r="A152" s="557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7"/>
      <c r="AB152" s="537"/>
      <c r="AC152" s="537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7" t="s">
        <v>255</v>
      </c>
      <c r="Q153" s="548"/>
      <c r="R153" s="548"/>
      <c r="S153" s="548"/>
      <c r="T153" s="549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1" t="s">
        <v>71</v>
      </c>
      <c r="Q155" s="562"/>
      <c r="R155" s="562"/>
      <c r="S155" s="562"/>
      <c r="T155" s="562"/>
      <c r="U155" s="562"/>
      <c r="V155" s="563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customHeight="1" x14ac:dyDescent="0.2">
      <c r="A156" s="639" t="s">
        <v>257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customHeight="1" x14ac:dyDescent="0.25">
      <c r="A157" s="558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6"/>
      <c r="AB157" s="536"/>
      <c r="AC157" s="536"/>
    </row>
    <row r="158" spans="1:68" ht="14.25" customHeight="1" x14ac:dyDescent="0.25">
      <c r="A158" s="557" t="s">
        <v>135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7"/>
      <c r="AB158" s="537"/>
      <c r="AC158" s="537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48"/>
      <c r="R159" s="548"/>
      <c r="S159" s="548"/>
      <c r="T159" s="549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1" t="s">
        <v>71</v>
      </c>
      <c r="Q161" s="562"/>
      <c r="R161" s="562"/>
      <c r="S161" s="562"/>
      <c r="T161" s="562"/>
      <c r="U161" s="562"/>
      <c r="V161" s="563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customHeight="1" x14ac:dyDescent="0.25">
      <c r="A162" s="557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5</v>
      </c>
      <c r="Y163" s="542">
        <f t="shared" ref="Y163:Y171" si="5">IFERROR(IF(X163="",0,CEILING((X163/$H163),1)*$H163),"")</f>
        <v>8.4</v>
      </c>
      <c r="Z163" s="36">
        <f>IFERROR(IF(Y163=0,"",ROUNDUP(Y163/H163,0)*0.00902),"")</f>
        <v>1.804E-2</v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5.3214285714285703</v>
      </c>
      <c r="BN163" s="64">
        <f t="shared" ref="BN163:BN171" si="7">IFERROR(Y163*I163/H163,"0")</f>
        <v>8.94</v>
      </c>
      <c r="BO163" s="64">
        <f t="shared" ref="BO163:BO171" si="8">IFERROR(1/J163*(X163/H163),"0")</f>
        <v>9.0187590187590181E-3</v>
      </c>
      <c r="BP163" s="64">
        <f t="shared" ref="BP163:BP171" si="9">IFERROR(1/J163*(Y163/H163),"0")</f>
        <v>1.5151515151515152E-2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32</v>
      </c>
      <c r="Y165" s="542">
        <f t="shared" si="5"/>
        <v>33.6</v>
      </c>
      <c r="Z165" s="36">
        <f>IFERROR(IF(Y165=0,"",ROUNDUP(Y165/H165,0)*0.00902),"")</f>
        <v>7.2160000000000002E-2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33.6</v>
      </c>
      <c r="BN165" s="64">
        <f t="shared" si="7"/>
        <v>35.28</v>
      </c>
      <c r="BO165" s="64">
        <f t="shared" si="8"/>
        <v>5.772005772005772E-2</v>
      </c>
      <c r="BP165" s="64">
        <f t="shared" si="9"/>
        <v>6.0606060606060608E-2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3</v>
      </c>
      <c r="Y168" s="542">
        <f t="shared" si="5"/>
        <v>3.6</v>
      </c>
      <c r="Z168" s="36">
        <f>IFERROR(IF(Y168=0,"",ROUNDUP(Y168/H168,0)*0.00502),"")</f>
        <v>1.004E-2</v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3.2166666666666668</v>
      </c>
      <c r="BN168" s="64">
        <f t="shared" si="7"/>
        <v>3.8599999999999994</v>
      </c>
      <c r="BO168" s="64">
        <f t="shared" si="8"/>
        <v>7.1225071225071226E-3</v>
      </c>
      <c r="BP168" s="64">
        <f t="shared" si="9"/>
        <v>8.5470085470085479E-3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159</v>
      </c>
      <c r="Y169" s="542">
        <f t="shared" si="5"/>
        <v>159.6</v>
      </c>
      <c r="Z169" s="36">
        <f>IFERROR(IF(Y169=0,"",ROUNDUP(Y169/H169,0)*0.00502),"")</f>
        <v>0.38152000000000003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166.57142857142858</v>
      </c>
      <c r="BN169" s="64">
        <f t="shared" si="7"/>
        <v>167.2</v>
      </c>
      <c r="BO169" s="64">
        <f t="shared" si="8"/>
        <v>0.32356532356532358</v>
      </c>
      <c r="BP169" s="64">
        <f t="shared" si="9"/>
        <v>0.3247863247863248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86.190476190476176</v>
      </c>
      <c r="Y172" s="543">
        <f>IFERROR(Y163/H163,"0")+IFERROR(Y164/H164,"0")+IFERROR(Y165/H165,"0")+IFERROR(Y166/H166,"0")+IFERROR(Y167/H167,"0")+IFERROR(Y168/H168,"0")+IFERROR(Y169/H169,"0")+IFERROR(Y170/H170,"0")+IFERROR(Y171/H171,"0")</f>
        <v>88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0.48176000000000002</v>
      </c>
      <c r="AA172" s="544"/>
      <c r="AB172" s="544"/>
      <c r="AC172" s="544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3">
        <f>IFERROR(SUM(X163:X171),"0")</f>
        <v>199</v>
      </c>
      <c r="Y173" s="543">
        <f>IFERROR(SUM(Y163:Y171),"0")</f>
        <v>205.2</v>
      </c>
      <c r="Z173" s="37"/>
      <c r="AA173" s="544"/>
      <c r="AB173" s="544"/>
      <c r="AC173" s="544"/>
    </row>
    <row r="174" spans="1:68" ht="14.25" customHeight="1" x14ac:dyDescent="0.25">
      <c r="A174" s="557" t="s">
        <v>91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7"/>
      <c r="AB174" s="537"/>
      <c r="AC174" s="537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7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7"/>
      <c r="AB180" s="537"/>
      <c r="AC180" s="537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8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6"/>
      <c r="AB184" s="536"/>
      <c r="AC184" s="536"/>
    </row>
    <row r="185" spans="1:68" ht="14.25" customHeight="1" x14ac:dyDescent="0.25">
      <c r="A185" s="557" t="s">
        <v>99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7"/>
      <c r="AB185" s="537"/>
      <c r="AC185" s="537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188</v>
      </c>
      <c r="M187" s="33" t="s">
        <v>104</v>
      </c>
      <c r="N187" s="33"/>
      <c r="O187" s="32">
        <v>55</v>
      </c>
      <c r="P187" s="6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7" t="s">
        <v>135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7"/>
      <c r="AB190" s="537"/>
      <c r="AC190" s="537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7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271</v>
      </c>
      <c r="Y196" s="542">
        <f t="shared" ref="Y196:Y203" si="10">IFERROR(IF(X196="",0,CEILING((X196/$H196),1)*$H196),"")</f>
        <v>275.40000000000003</v>
      </c>
      <c r="Z196" s="36">
        <f>IFERROR(IF(Y196=0,"",ROUNDUP(Y196/H196,0)*0.00902),"")</f>
        <v>0.46001999999999998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281.53888888888889</v>
      </c>
      <c r="BN196" s="64">
        <f t="shared" ref="BN196:BN203" si="12">IFERROR(Y196*I196/H196,"0")</f>
        <v>286.11000000000007</v>
      </c>
      <c r="BO196" s="64">
        <f t="shared" ref="BO196:BO203" si="13">IFERROR(1/J196*(X196/H196),"0")</f>
        <v>0.38019079685746354</v>
      </c>
      <c r="BP196" s="64">
        <f t="shared" ref="BP196:BP203" si="14">IFERROR(1/J196*(Y196/H196),"0")</f>
        <v>0.38636363636363635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34</v>
      </c>
      <c r="Y200" s="542">
        <f t="shared" si="10"/>
        <v>34.200000000000003</v>
      </c>
      <c r="Z200" s="36">
        <f>IFERROR(IF(Y200=0,"",ROUNDUP(Y200/H200,0)*0.00502),"")</f>
        <v>9.5380000000000006E-2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36.455555555555556</v>
      </c>
      <c r="BN200" s="64">
        <f t="shared" si="12"/>
        <v>36.67</v>
      </c>
      <c r="BO200" s="64">
        <f t="shared" si="13"/>
        <v>8.0721747388414061E-2</v>
      </c>
      <c r="BP200" s="64">
        <f t="shared" si="14"/>
        <v>8.11965811965812E-2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14</v>
      </c>
      <c r="Y201" s="542">
        <f t="shared" si="10"/>
        <v>14.4</v>
      </c>
      <c r="Z201" s="36">
        <f>IFERROR(IF(Y201=0,"",ROUNDUP(Y201/H201,0)*0.00502),"")</f>
        <v>4.0160000000000001E-2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14.777777777777777</v>
      </c>
      <c r="BN201" s="64">
        <f t="shared" si="12"/>
        <v>15.2</v>
      </c>
      <c r="BO201" s="64">
        <f t="shared" si="13"/>
        <v>3.3238366571699908E-2</v>
      </c>
      <c r="BP201" s="64">
        <f t="shared" si="14"/>
        <v>3.4188034188034191E-2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1">
        <v>2</v>
      </c>
      <c r="Y203" s="542">
        <f t="shared" si="10"/>
        <v>3.6</v>
      </c>
      <c r="Z203" s="36">
        <f>IFERROR(IF(Y203=0,"",ROUNDUP(Y203/H203,0)*0.00502),"")</f>
        <v>1.004E-2</v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2.1111111111111112</v>
      </c>
      <c r="BN203" s="64">
        <f t="shared" si="12"/>
        <v>3.8</v>
      </c>
      <c r="BO203" s="64">
        <f t="shared" si="13"/>
        <v>4.7483380816714157E-3</v>
      </c>
      <c r="BP203" s="64">
        <f t="shared" si="14"/>
        <v>8.5470085470085479E-3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77.962962962962962</v>
      </c>
      <c r="Y204" s="543">
        <f>IFERROR(Y196/H196,"0")+IFERROR(Y197/H197,"0")+IFERROR(Y198/H198,"0")+IFERROR(Y199/H199,"0")+IFERROR(Y200/H200,"0")+IFERROR(Y201/H201,"0")+IFERROR(Y202/H202,"0")+IFERROR(Y203/H203,"0")</f>
        <v>80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0.60560000000000003</v>
      </c>
      <c r="AA204" s="544"/>
      <c r="AB204" s="544"/>
      <c r="AC204" s="544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3">
        <f>IFERROR(SUM(X196:X203),"0")</f>
        <v>321</v>
      </c>
      <c r="Y205" s="543">
        <f>IFERROR(SUM(Y196:Y203),"0")</f>
        <v>327.60000000000002</v>
      </c>
      <c r="Z205" s="37"/>
      <c r="AA205" s="544"/>
      <c r="AB205" s="544"/>
      <c r="AC205" s="544"/>
    </row>
    <row r="206" spans="1:68" ht="14.25" customHeight="1" x14ac:dyDescent="0.25">
      <c r="A206" s="557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50</v>
      </c>
      <c r="Y207" s="542">
        <f t="shared" ref="Y207:Y215" si="15">IFERROR(IF(X207="",0,CEILING((X207/$H207),1)*$H207),"")</f>
        <v>56.699999999999996</v>
      </c>
      <c r="Z207" s="36">
        <f>IFERROR(IF(Y207=0,"",ROUNDUP(Y207/H207,0)*0.01898),"")</f>
        <v>0.13286000000000001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53.203703703703702</v>
      </c>
      <c r="BN207" s="64">
        <f t="shared" ref="BN207:BN215" si="17">IFERROR(Y207*I207/H207,"0")</f>
        <v>60.332999999999991</v>
      </c>
      <c r="BO207" s="64">
        <f t="shared" ref="BO207:BO215" si="18">IFERROR(1/J207*(X207/H207),"0")</f>
        <v>9.6450617283950615E-2</v>
      </c>
      <c r="BP207" s="64">
        <f t="shared" ref="BP207:BP215" si="19">IFERROR(1/J207*(Y207/H207),"0")</f>
        <v>0.109375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50</v>
      </c>
      <c r="Y208" s="542">
        <f t="shared" si="15"/>
        <v>56.699999999999996</v>
      </c>
      <c r="Z208" s="36">
        <f>IFERROR(IF(Y208=0,"",ROUNDUP(Y208/H208,0)*0.01898),"")</f>
        <v>0.13286000000000001</v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53.092592592592602</v>
      </c>
      <c r="BN208" s="64">
        <f t="shared" si="17"/>
        <v>60.207000000000008</v>
      </c>
      <c r="BO208" s="64">
        <f t="shared" si="18"/>
        <v>9.6450617283950615E-2</v>
      </c>
      <c r="BP208" s="64">
        <f t="shared" si="19"/>
        <v>0.109375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214</v>
      </c>
      <c r="Y209" s="542">
        <f t="shared" si="15"/>
        <v>217.49999999999997</v>
      </c>
      <c r="Z209" s="36">
        <f>IFERROR(IF(Y209=0,"",ROUNDUP(Y209/H209,0)*0.01898),"")</f>
        <v>0.47450000000000003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226.76620689655175</v>
      </c>
      <c r="BN209" s="64">
        <f t="shared" si="17"/>
        <v>230.47499999999999</v>
      </c>
      <c r="BO209" s="64">
        <f t="shared" si="18"/>
        <v>0.38433908045977017</v>
      </c>
      <c r="BP209" s="64">
        <f t="shared" si="19"/>
        <v>0.390625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105</v>
      </c>
      <c r="Y210" s="542">
        <f t="shared" si="15"/>
        <v>105.6</v>
      </c>
      <c r="Z210" s="36">
        <f t="shared" ref="Z210:Z215" si="20">IFERROR(IF(Y210=0,"",ROUNDUP(Y210/H210,0)*0.00651),"")</f>
        <v>0.28644000000000003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116.81249999999999</v>
      </c>
      <c r="BN210" s="64">
        <f t="shared" si="17"/>
        <v>117.48</v>
      </c>
      <c r="BO210" s="64">
        <f t="shared" si="18"/>
        <v>0.24038461538461539</v>
      </c>
      <c r="BP210" s="64">
        <f t="shared" si="19"/>
        <v>0.24175824175824179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318</v>
      </c>
      <c r="Y212" s="542">
        <f t="shared" si="15"/>
        <v>319.2</v>
      </c>
      <c r="Z212" s="36">
        <f t="shared" si="20"/>
        <v>0.86582999999999999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351.39000000000004</v>
      </c>
      <c r="BN212" s="64">
        <f t="shared" si="17"/>
        <v>352.71600000000001</v>
      </c>
      <c r="BO212" s="64">
        <f t="shared" si="18"/>
        <v>0.7280219780219781</v>
      </c>
      <c r="BP212" s="64">
        <f t="shared" si="19"/>
        <v>0.73076923076923084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331</v>
      </c>
      <c r="Y213" s="542">
        <f t="shared" si="15"/>
        <v>331.2</v>
      </c>
      <c r="Z213" s="36">
        <f t="shared" si="20"/>
        <v>0.89838000000000007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365.755</v>
      </c>
      <c r="BN213" s="64">
        <f t="shared" si="17"/>
        <v>365.976</v>
      </c>
      <c r="BO213" s="64">
        <f t="shared" si="18"/>
        <v>0.75778388278388298</v>
      </c>
      <c r="BP213" s="64">
        <f t="shared" si="19"/>
        <v>0.75824175824175832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148</v>
      </c>
      <c r="Y214" s="542">
        <f t="shared" si="15"/>
        <v>148.79999999999998</v>
      </c>
      <c r="Z214" s="36">
        <f t="shared" si="20"/>
        <v>0.40362000000000003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163.54000000000002</v>
      </c>
      <c r="BN214" s="64">
        <f t="shared" si="17"/>
        <v>164.42400000000001</v>
      </c>
      <c r="BO214" s="64">
        <f t="shared" si="18"/>
        <v>0.3388278388278389</v>
      </c>
      <c r="BP214" s="64">
        <f t="shared" si="19"/>
        <v>0.34065934065934067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1">
        <v>19</v>
      </c>
      <c r="Y215" s="542">
        <f t="shared" si="15"/>
        <v>19.2</v>
      </c>
      <c r="Z215" s="36">
        <f t="shared" si="20"/>
        <v>5.2080000000000001E-2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21.0425</v>
      </c>
      <c r="BN215" s="64">
        <f t="shared" si="17"/>
        <v>21.263999999999999</v>
      </c>
      <c r="BO215" s="64">
        <f t="shared" si="18"/>
        <v>4.3498168498168503E-2</v>
      </c>
      <c r="BP215" s="64">
        <f t="shared" si="19"/>
        <v>4.3956043956043959E-2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420.69338016177102</v>
      </c>
      <c r="Y216" s="543">
        <f>IFERROR(Y207/H207,"0")+IFERROR(Y208/H208,"0")+IFERROR(Y209/H209,"0")+IFERROR(Y210/H210,"0")+IFERROR(Y211/H211,"0")+IFERROR(Y212/H212,"0")+IFERROR(Y213/H213,"0")+IFERROR(Y214/H214,"0")+IFERROR(Y215/H215,"0")</f>
        <v>424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3.2465700000000002</v>
      </c>
      <c r="AA216" s="544"/>
      <c r="AB216" s="544"/>
      <c r="AC216" s="544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3">
        <f>IFERROR(SUM(X207:X215),"0")</f>
        <v>1235</v>
      </c>
      <c r="Y217" s="543">
        <f>IFERROR(SUM(Y207:Y215),"0")</f>
        <v>1254.9000000000001</v>
      </c>
      <c r="Z217" s="37"/>
      <c r="AA217" s="544"/>
      <c r="AB217" s="544"/>
      <c r="AC217" s="544"/>
    </row>
    <row r="218" spans="1:68" ht="14.25" customHeight="1" x14ac:dyDescent="0.25">
      <c r="A218" s="557" t="s">
        <v>165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29</v>
      </c>
      <c r="Y219" s="542">
        <f>IFERROR(IF(X219="",0,CEILING((X219/$H219),1)*$H219),"")</f>
        <v>31.2</v>
      </c>
      <c r="Z219" s="36">
        <f>IFERROR(IF(Y219=0,"",ROUNDUP(Y219/H219,0)*0.00651),"")</f>
        <v>8.4629999999999997E-2</v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32.045000000000002</v>
      </c>
      <c r="BN219" s="64">
        <f>IFERROR(Y219*I219/H219,"0")</f>
        <v>34.476000000000006</v>
      </c>
      <c r="BO219" s="64">
        <f>IFERROR(1/J219*(X219/H219),"0")</f>
        <v>6.6391941391941406E-2</v>
      </c>
      <c r="BP219" s="64">
        <f>IFERROR(1/J219*(Y219/H219),"0")</f>
        <v>7.1428571428571438E-2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1">
        <v>15</v>
      </c>
      <c r="Y220" s="542">
        <f>IFERROR(IF(X220="",0,CEILING((X220/$H220),1)*$H220),"")</f>
        <v>16.8</v>
      </c>
      <c r="Z220" s="36">
        <f>IFERROR(IF(Y220=0,"",ROUNDUP(Y220/H220,0)*0.00651),"")</f>
        <v>4.5569999999999999E-2</v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16.575000000000003</v>
      </c>
      <c r="BN220" s="64">
        <f>IFERROR(Y220*I220/H220,"0")</f>
        <v>18.564000000000004</v>
      </c>
      <c r="BO220" s="64">
        <f>IFERROR(1/J220*(X220/H220),"0")</f>
        <v>3.4340659340659344E-2</v>
      </c>
      <c r="BP220" s="64">
        <f>IFERROR(1/J220*(Y220/H220),"0")</f>
        <v>3.8461538461538471E-2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3">
        <f>IFERROR(X219/H219,"0")+IFERROR(X220/H220,"0")</f>
        <v>18.333333333333336</v>
      </c>
      <c r="Y221" s="543">
        <f>IFERROR(Y219/H219,"0")+IFERROR(Y220/H220,"0")</f>
        <v>20</v>
      </c>
      <c r="Z221" s="543">
        <f>IFERROR(IF(Z219="",0,Z219),"0")+IFERROR(IF(Z220="",0,Z220),"0")</f>
        <v>0.13019999999999998</v>
      </c>
      <c r="AA221" s="544"/>
      <c r="AB221" s="544"/>
      <c r="AC221" s="544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3">
        <f>IFERROR(SUM(X219:X220),"0")</f>
        <v>44</v>
      </c>
      <c r="Y222" s="543">
        <f>IFERROR(SUM(Y219:Y220),"0")</f>
        <v>48</v>
      </c>
      <c r="Z222" s="37"/>
      <c r="AA222" s="544"/>
      <c r="AB222" s="544"/>
      <c r="AC222" s="544"/>
    </row>
    <row r="223" spans="1:68" ht="16.5" customHeight="1" x14ac:dyDescent="0.25">
      <c r="A223" s="558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6"/>
      <c r="AB223" s="536"/>
      <c r="AC223" s="536"/>
    </row>
    <row r="224" spans="1:68" ht="14.25" customHeight="1" x14ac:dyDescent="0.25">
      <c r="A224" s="557" t="s">
        <v>99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7"/>
      <c r="AB224" s="537"/>
      <c r="AC224" s="537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7" t="s">
        <v>135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7"/>
      <c r="AB237" s="537"/>
      <c r="AC237" s="537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7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7"/>
      <c r="AB241" s="537"/>
      <c r="AC241" s="537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7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7"/>
      <c r="AB245" s="537"/>
      <c r="AC245" s="537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8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6"/>
      <c r="AB253" s="536"/>
      <c r="AC253" s="536"/>
    </row>
    <row r="254" spans="1:68" ht="14.25" customHeight="1" x14ac:dyDescent="0.25">
      <c r="A254" s="557" t="s">
        <v>99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7"/>
      <c r="AB254" s="537"/>
      <c r="AC254" s="537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8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6"/>
      <c r="AB262" s="536"/>
      <c r="AC262" s="536"/>
    </row>
    <row r="263" spans="1:68" ht="14.25" customHeight="1" x14ac:dyDescent="0.25">
      <c r="A263" s="557" t="s">
        <v>99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7"/>
      <c r="AB263" s="537"/>
      <c r="AC263" s="537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8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6"/>
      <c r="AB270" s="536"/>
      <c r="AC270" s="536"/>
    </row>
    <row r="271" spans="1:68" ht="14.25" customHeight="1" x14ac:dyDescent="0.25">
      <c r="A271" s="557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7"/>
      <c r="AB271" s="537"/>
      <c r="AC271" s="537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6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8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6"/>
      <c r="AB277" s="536"/>
      <c r="AC277" s="536"/>
    </row>
    <row r="278" spans="1:68" ht="14.25" customHeight="1" x14ac:dyDescent="0.25">
      <c r="A278" s="557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7"/>
      <c r="AB278" s="537"/>
      <c r="AC278" s="537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7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7"/>
      <c r="AB283" s="537"/>
      <c r="AC283" s="537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1" t="s">
        <v>71</v>
      </c>
      <c r="Q285" s="562"/>
      <c r="R285" s="562"/>
      <c r="S285" s="562"/>
      <c r="T285" s="562"/>
      <c r="U285" s="562"/>
      <c r="V285" s="563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customHeight="1" x14ac:dyDescent="0.25">
      <c r="A288" s="557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8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61" t="s">
        <v>71</v>
      </c>
      <c r="Q294" s="562"/>
      <c r="R294" s="562"/>
      <c r="S294" s="562"/>
      <c r="T294" s="562"/>
      <c r="U294" s="562"/>
      <c r="V294" s="563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1" t="s">
        <v>71</v>
      </c>
      <c r="Q295" s="562"/>
      <c r="R295" s="562"/>
      <c r="S295" s="562"/>
      <c r="T295" s="562"/>
      <c r="U295" s="562"/>
      <c r="V295" s="563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61" t="s">
        <v>71</v>
      </c>
      <c r="Q304" s="562"/>
      <c r="R304" s="562"/>
      <c r="S304" s="562"/>
      <c r="T304" s="562"/>
      <c r="U304" s="562"/>
      <c r="V304" s="563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1" t="s">
        <v>71</v>
      </c>
      <c r="Q305" s="562"/>
      <c r="R305" s="562"/>
      <c r="S305" s="562"/>
      <c r="T305" s="562"/>
      <c r="U305" s="562"/>
      <c r="V305" s="563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61" t="s">
        <v>71</v>
      </c>
      <c r="Q312" s="562"/>
      <c r="R312" s="562"/>
      <c r="S312" s="562"/>
      <c r="T312" s="562"/>
      <c r="U312" s="562"/>
      <c r="V312" s="563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319</v>
      </c>
      <c r="Y316" s="542">
        <f>IFERROR(IF(X316="",0,CEILING((X316/$H316),1)*$H316),"")</f>
        <v>319.8</v>
      </c>
      <c r="Z316" s="36">
        <f>IFERROR(IF(Y316=0,"",ROUNDUP(Y316/H316,0)*0.01898),"")</f>
        <v>0.77817999999999998</v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340.22576923076929</v>
      </c>
      <c r="BN316" s="64">
        <f>IFERROR(Y316*I316/H316,"0")</f>
        <v>341.07900000000006</v>
      </c>
      <c r="BO316" s="64">
        <f>IFERROR(1/J316*(X316/H316),"0")</f>
        <v>0.6390224358974359</v>
      </c>
      <c r="BP316" s="64">
        <f>IFERROR(1/J316*(Y316/H316),"0")</f>
        <v>0.640625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61" t="s">
        <v>71</v>
      </c>
      <c r="Q318" s="562"/>
      <c r="R318" s="562"/>
      <c r="S318" s="562"/>
      <c r="T318" s="562"/>
      <c r="U318" s="562"/>
      <c r="V318" s="563"/>
      <c r="W318" s="37" t="s">
        <v>72</v>
      </c>
      <c r="X318" s="543">
        <f>IFERROR(X315/H315,"0")+IFERROR(X316/H316,"0")+IFERROR(X317/H317,"0")</f>
        <v>40.897435897435898</v>
      </c>
      <c r="Y318" s="543">
        <f>IFERROR(Y315/H315,"0")+IFERROR(Y316/H316,"0")+IFERROR(Y317/H317,"0")</f>
        <v>41</v>
      </c>
      <c r="Z318" s="543">
        <f>IFERROR(IF(Z315="",0,Z315),"0")+IFERROR(IF(Z316="",0,Z316),"0")+IFERROR(IF(Z317="",0,Z317),"0")</f>
        <v>0.77817999999999998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69</v>
      </c>
      <c r="X319" s="543">
        <f>IFERROR(SUM(X315:X317),"0")</f>
        <v>319</v>
      </c>
      <c r="Y319" s="543">
        <f>IFERROR(SUM(Y315:Y317),"0")</f>
        <v>319.8</v>
      </c>
      <c r="Z319" s="37"/>
      <c r="AA319" s="544"/>
      <c r="AB319" s="544"/>
      <c r="AC319" s="544"/>
    </row>
    <row r="320" spans="1:68" ht="14.25" customHeight="1" x14ac:dyDescent="0.25">
      <c r="A320" s="557" t="s">
        <v>91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510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2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2.3176470588235296</v>
      </c>
      <c r="BN323" s="64">
        <f>IFERROR(Y323*I323/H323,"0")</f>
        <v>2.9550000000000001</v>
      </c>
      <c r="BO323" s="64">
        <f>IFERROR(1/J323*(X323/H323),"0")</f>
        <v>4.3094160741219576E-3</v>
      </c>
      <c r="BP323" s="64">
        <f>IFERROR(1/J323*(Y323/H323),"0")</f>
        <v>5.4945054945054949E-3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61" t="s">
        <v>71</v>
      </c>
      <c r="Q325" s="562"/>
      <c r="R325" s="562"/>
      <c r="S325" s="562"/>
      <c r="T325" s="562"/>
      <c r="U325" s="562"/>
      <c r="V325" s="563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69</v>
      </c>
      <c r="X326" s="543">
        <f>IFERROR(SUM(X321:X324),"0")</f>
        <v>2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customHeight="1" x14ac:dyDescent="0.25">
      <c r="A327" s="557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4</v>
      </c>
      <c r="Y328" s="542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4.4800000000000004</v>
      </c>
      <c r="BN328" s="64">
        <f>IFERROR(Y328*I328/H328,"0")</f>
        <v>4.4800000000000004</v>
      </c>
      <c r="BO328" s="64">
        <f>IFERROR(1/J328*(X328/H328),"0")</f>
        <v>8.4033613445378148E-3</v>
      </c>
      <c r="BP328" s="64">
        <f>IFERROR(1/J328*(Y328/H328),"0")</f>
        <v>8.4033613445378148E-3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61" t="s">
        <v>71</v>
      </c>
      <c r="Q331" s="562"/>
      <c r="R331" s="562"/>
      <c r="S331" s="562"/>
      <c r="T331" s="562"/>
      <c r="U331" s="562"/>
      <c r="V331" s="563"/>
      <c r="W331" s="37" t="s">
        <v>72</v>
      </c>
      <c r="X331" s="543">
        <f>IFERROR(X328/H328,"0")+IFERROR(X329/H329,"0")+IFERROR(X330/H330,"0")</f>
        <v>2</v>
      </c>
      <c r="Y331" s="543">
        <f>IFERROR(Y328/H328,"0")+IFERROR(Y329/H329,"0")+IFERROR(Y330/H330,"0")</f>
        <v>2</v>
      </c>
      <c r="Z331" s="543">
        <f>IFERROR(IF(Z328="",0,Z328),"0")+IFERROR(IF(Z329="",0,Z329),"0")+IFERROR(IF(Z330="",0,Z330),"0")</f>
        <v>9.4800000000000006E-3</v>
      </c>
      <c r="AA331" s="544"/>
      <c r="AB331" s="544"/>
      <c r="AC331" s="544"/>
    </row>
    <row r="332" spans="1:68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69</v>
      </c>
      <c r="X332" s="543">
        <f>IFERROR(SUM(X328:X330),"0")</f>
        <v>4</v>
      </c>
      <c r="Y332" s="543">
        <f>IFERROR(SUM(Y328:Y330),"0")</f>
        <v>4</v>
      </c>
      <c r="Z332" s="37"/>
      <c r="AA332" s="544"/>
      <c r="AB332" s="544"/>
      <c r="AC332" s="544"/>
    </row>
    <row r="333" spans="1:68" ht="16.5" customHeight="1" x14ac:dyDescent="0.25">
      <c r="A333" s="558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61" t="s">
        <v>71</v>
      </c>
      <c r="Q338" s="562"/>
      <c r="R338" s="562"/>
      <c r="S338" s="562"/>
      <c r="T338" s="562"/>
      <c r="U338" s="562"/>
      <c r="V338" s="563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9" t="s">
        <v>535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customHeight="1" x14ac:dyDescent="0.25">
      <c r="A341" s="558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customHeight="1" x14ac:dyDescent="0.25">
      <c r="A342" s="557" t="s">
        <v>99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1707</v>
      </c>
      <c r="Y343" s="542">
        <f t="shared" ref="Y343:Y349" si="31">IFERROR(IF(X343="",0,CEILING((X343/$H343),1)*$H343),"")</f>
        <v>1710</v>
      </c>
      <c r="Z343" s="36">
        <f>IFERROR(IF(Y343=0,"",ROUNDUP(Y343/H343,0)*0.02175),"")</f>
        <v>2.4794999999999998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1761.624</v>
      </c>
      <c r="BN343" s="64">
        <f t="shared" ref="BN343:BN349" si="33">IFERROR(Y343*I343/H343,"0")</f>
        <v>1764.72</v>
      </c>
      <c r="BO343" s="64">
        <f t="shared" ref="BO343:BO349" si="34">IFERROR(1/J343*(X343/H343),"0")</f>
        <v>2.3708333333333331</v>
      </c>
      <c r="BP343" s="64">
        <f t="shared" ref="BP343:BP349" si="35">IFERROR(1/J343*(Y343/H343),"0")</f>
        <v>2.375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565</v>
      </c>
      <c r="Y344" s="542">
        <f t="shared" si="31"/>
        <v>570</v>
      </c>
      <c r="Z344" s="36">
        <f>IFERROR(IF(Y344=0,"",ROUNDUP(Y344/H344,0)*0.02175),"")</f>
        <v>0.8264999999999999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583.08000000000004</v>
      </c>
      <c r="BN344" s="64">
        <f t="shared" si="33"/>
        <v>588.24</v>
      </c>
      <c r="BO344" s="64">
        <f t="shared" si="34"/>
        <v>0.7847222222222221</v>
      </c>
      <c r="BP344" s="64">
        <f t="shared" si="35"/>
        <v>0.79166666666666663</v>
      </c>
    </row>
    <row r="345" spans="1:68" ht="27" customHeight="1" x14ac:dyDescent="0.25">
      <c r="A345" s="54" t="s">
        <v>543</v>
      </c>
      <c r="B345" s="54" t="s">
        <v>544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158</v>
      </c>
      <c r="Y345" s="542">
        <f t="shared" si="31"/>
        <v>165</v>
      </c>
      <c r="Z345" s="36">
        <f>IFERROR(IF(Y345=0,"",ROUNDUP(Y345/H345,0)*0.02175),"")</f>
        <v>0.23924999999999999</v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163.05600000000001</v>
      </c>
      <c r="BN345" s="64">
        <f t="shared" si="33"/>
        <v>170.28000000000003</v>
      </c>
      <c r="BO345" s="64">
        <f t="shared" si="34"/>
        <v>0.21944444444444444</v>
      </c>
      <c r="BP345" s="64">
        <f t="shared" si="35"/>
        <v>0.22916666666666666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502</v>
      </c>
      <c r="Y346" s="542">
        <f t="shared" si="31"/>
        <v>510</v>
      </c>
      <c r="Z346" s="36">
        <f>IFERROR(IF(Y346=0,"",ROUNDUP(Y346/H346,0)*0.02175),"")</f>
        <v>0.73949999999999994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518.06399999999996</v>
      </c>
      <c r="BN346" s="64">
        <f t="shared" si="33"/>
        <v>526.32000000000005</v>
      </c>
      <c r="BO346" s="64">
        <f t="shared" si="34"/>
        <v>0.69722222222222219</v>
      </c>
      <c r="BP346" s="64">
        <f t="shared" si="35"/>
        <v>0.70833333333333326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61" t="s">
        <v>71</v>
      </c>
      <c r="Q350" s="562"/>
      <c r="R350" s="562"/>
      <c r="S350" s="562"/>
      <c r="T350" s="562"/>
      <c r="U350" s="562"/>
      <c r="V350" s="563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195.46666666666667</v>
      </c>
      <c r="Y350" s="543">
        <f>IFERROR(Y343/H343,"0")+IFERROR(Y344/H344,"0")+IFERROR(Y345/H345,"0")+IFERROR(Y346/H346,"0")+IFERROR(Y347/H347,"0")+IFERROR(Y348/H348,"0")+IFERROR(Y349/H349,"0")</f>
        <v>197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4.2847499999999998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69</v>
      </c>
      <c r="X351" s="543">
        <f>IFERROR(SUM(X343:X349),"0")</f>
        <v>2932</v>
      </c>
      <c r="Y351" s="543">
        <f>IFERROR(SUM(Y343:Y349),"0")</f>
        <v>2955</v>
      </c>
      <c r="Z351" s="37"/>
      <c r="AA351" s="544"/>
      <c r="AB351" s="544"/>
      <c r="AC351" s="544"/>
    </row>
    <row r="352" spans="1:68" ht="14.25" customHeight="1" x14ac:dyDescent="0.25">
      <c r="A352" s="557" t="s">
        <v>135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61" t="s">
        <v>71</v>
      </c>
      <c r="Q355" s="562"/>
      <c r="R355" s="562"/>
      <c r="S355" s="562"/>
      <c r="T355" s="562"/>
      <c r="U355" s="562"/>
      <c r="V355" s="563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61" t="s">
        <v>71</v>
      </c>
      <c r="Q360" s="562"/>
      <c r="R360" s="562"/>
      <c r="S360" s="562"/>
      <c r="T360" s="562"/>
      <c r="U360" s="562"/>
      <c r="V360" s="563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61" t="s">
        <v>71</v>
      </c>
      <c r="Q364" s="562"/>
      <c r="R364" s="562"/>
      <c r="S364" s="562"/>
      <c r="T364" s="562"/>
      <c r="U364" s="562"/>
      <c r="V364" s="563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8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customHeight="1" x14ac:dyDescent="0.25">
      <c r="A367" s="557" t="s">
        <v>99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61" t="s">
        <v>71</v>
      </c>
      <c r="Q370" s="562"/>
      <c r="R370" s="562"/>
      <c r="S370" s="562"/>
      <c r="T370" s="562"/>
      <c r="U370" s="562"/>
      <c r="V370" s="563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61" t="s">
        <v>71</v>
      </c>
      <c r="Q375" s="562"/>
      <c r="R375" s="562"/>
      <c r="S375" s="562"/>
      <c r="T375" s="562"/>
      <c r="U375" s="562"/>
      <c r="V375" s="563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3002</v>
      </c>
      <c r="Y378" s="542">
        <f>IFERROR(IF(X378="",0,CEILING((X378/$H378),1)*$H378),"")</f>
        <v>3006</v>
      </c>
      <c r="Z378" s="36">
        <f>IFERROR(IF(Y378=0,"",ROUNDUP(Y378/H378,0)*0.01898),"")</f>
        <v>6.3393199999999998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3175.1153333333332</v>
      </c>
      <c r="BN378" s="64">
        <f>IFERROR(Y378*I378/H378,"0")</f>
        <v>3179.346</v>
      </c>
      <c r="BO378" s="64">
        <f>IFERROR(1/J378*(X378/H378),"0")</f>
        <v>5.2118055555555554</v>
      </c>
      <c r="BP378" s="64">
        <f>IFERROR(1/J378*(Y378/H378),"0")</f>
        <v>5.21875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80</v>
      </c>
      <c r="Y379" s="542">
        <f>IFERROR(IF(X379="",0,CEILING((X379/$H379),1)*$H379),"")</f>
        <v>81.599999999999994</v>
      </c>
      <c r="Z379" s="36">
        <f>IFERROR(IF(Y379=0,"",ROUNDUP(Y379/H379,0)*0.00651),"")</f>
        <v>0.22134000000000001</v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88.800000000000011</v>
      </c>
      <c r="BN379" s="64">
        <f>IFERROR(Y379*I379/H379,"0")</f>
        <v>90.575999999999993</v>
      </c>
      <c r="BO379" s="64">
        <f>IFERROR(1/J379*(X379/H379),"0")</f>
        <v>0.18315018315018317</v>
      </c>
      <c r="BP379" s="64">
        <f>IFERROR(1/J379*(Y379/H379),"0")</f>
        <v>0.18681318681318682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61" t="s">
        <v>71</v>
      </c>
      <c r="Q380" s="562"/>
      <c r="R380" s="562"/>
      <c r="S380" s="562"/>
      <c r="T380" s="562"/>
      <c r="U380" s="562"/>
      <c r="V380" s="563"/>
      <c r="W380" s="37" t="s">
        <v>72</v>
      </c>
      <c r="X380" s="543">
        <f>IFERROR(X378/H378,"0")+IFERROR(X379/H379,"0")</f>
        <v>366.88888888888886</v>
      </c>
      <c r="Y380" s="543">
        <f>IFERROR(Y378/H378,"0")+IFERROR(Y379/H379,"0")</f>
        <v>368</v>
      </c>
      <c r="Z380" s="543">
        <f>IFERROR(IF(Z378="",0,Z378),"0")+IFERROR(IF(Z379="",0,Z379),"0")</f>
        <v>6.5606599999999995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69</v>
      </c>
      <c r="X381" s="543">
        <f>IFERROR(SUM(X378:X379),"0")</f>
        <v>3082</v>
      </c>
      <c r="Y381" s="543">
        <f>IFERROR(SUM(Y378:Y379),"0")</f>
        <v>3087.6</v>
      </c>
      <c r="Z381" s="37"/>
      <c r="AA381" s="544"/>
      <c r="AB381" s="544"/>
      <c r="AC381" s="544"/>
    </row>
    <row r="382" spans="1:68" ht="27.75" customHeight="1" x14ac:dyDescent="0.2">
      <c r="A382" s="639" t="s">
        <v>586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customHeight="1" x14ac:dyDescent="0.25">
      <c r="A383" s="558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6</v>
      </c>
      <c r="Y385" s="542">
        <f t="shared" ref="Y385:Y393" si="36">IFERROR(IF(X385="",0,CEILING((X385/$H385),1)*$H385),"")</f>
        <v>10.8</v>
      </c>
      <c r="Z385" s="36">
        <f>IFERROR(IF(Y385=0,"",ROUNDUP(Y385/H385,0)*0.00902),"")</f>
        <v>1.804E-2</v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6.2333333333333334</v>
      </c>
      <c r="BN385" s="64">
        <f t="shared" ref="BN385:BN393" si="38">IFERROR(Y385*I385/H385,"0")</f>
        <v>11.22</v>
      </c>
      <c r="BO385" s="64">
        <f t="shared" ref="BO385:BO393" si="39">IFERROR(1/J385*(X385/H385),"0")</f>
        <v>8.4175084175084156E-3</v>
      </c>
      <c r="BP385" s="64">
        <f t="shared" ref="BP385:BP393" si="40">IFERROR(1/J385*(Y385/H385),"0")</f>
        <v>1.5151515151515152E-2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61" t="s">
        <v>71</v>
      </c>
      <c r="Q394" s="562"/>
      <c r="R394" s="562"/>
      <c r="S394" s="562"/>
      <c r="T394" s="562"/>
      <c r="U394" s="562"/>
      <c r="V394" s="563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1.1111111111111109</v>
      </c>
      <c r="Y394" s="543">
        <f>IFERROR(Y385/H385,"0")+IFERROR(Y386/H386,"0")+IFERROR(Y387/H387,"0")+IFERROR(Y388/H388,"0")+IFERROR(Y389/H389,"0")+IFERROR(Y390/H390,"0")+IFERROR(Y391/H391,"0")+IFERROR(Y392/H392,"0")+IFERROR(Y393/H393,"0")</f>
        <v>2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1.804E-2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69</v>
      </c>
      <c r="X395" s="543">
        <f>IFERROR(SUM(X385:X393),"0")</f>
        <v>6</v>
      </c>
      <c r="Y395" s="543">
        <f>IFERROR(SUM(Y385:Y393),"0")</f>
        <v>10.8</v>
      </c>
      <c r="Z395" s="37"/>
      <c r="AA395" s="544"/>
      <c r="AB395" s="544"/>
      <c r="AC395" s="544"/>
    </row>
    <row r="396" spans="1:68" ht="14.25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61" t="s">
        <v>71</v>
      </c>
      <c r="Q399" s="562"/>
      <c r="R399" s="562"/>
      <c r="S399" s="562"/>
      <c r="T399" s="562"/>
      <c r="U399" s="562"/>
      <c r="V399" s="563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customHeight="1" x14ac:dyDescent="0.25">
      <c r="A402" s="557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61" t="s">
        <v>71</v>
      </c>
      <c r="Q404" s="562"/>
      <c r="R404" s="562"/>
      <c r="S404" s="562"/>
      <c r="T404" s="562"/>
      <c r="U404" s="562"/>
      <c r="V404" s="563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61" t="s">
        <v>71</v>
      </c>
      <c r="Q411" s="562"/>
      <c r="R411" s="562"/>
      <c r="S411" s="562"/>
      <c r="T411" s="562"/>
      <c r="U411" s="562"/>
      <c r="V411" s="563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61" t="s">
        <v>71</v>
      </c>
      <c r="Q416" s="562"/>
      <c r="R416" s="562"/>
      <c r="S416" s="562"/>
      <c r="T416" s="562"/>
      <c r="U416" s="562"/>
      <c r="V416" s="563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9" t="s">
        <v>637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customHeight="1" x14ac:dyDescent="0.25">
      <c r="A419" s="558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customHeight="1" x14ac:dyDescent="0.25">
      <c r="A420" s="557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2380</v>
      </c>
      <c r="Y423" s="542">
        <f t="shared" si="42"/>
        <v>2381.2800000000002</v>
      </c>
      <c r="Z423" s="36">
        <f t="shared" si="43"/>
        <v>5.3939599999999999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2542.272727272727</v>
      </c>
      <c r="BN423" s="64">
        <f t="shared" si="45"/>
        <v>2543.64</v>
      </c>
      <c r="BO423" s="64">
        <f t="shared" si="46"/>
        <v>4.3342074592074598</v>
      </c>
      <c r="BP423" s="64">
        <f t="shared" si="47"/>
        <v>4.3365384615384617</v>
      </c>
    </row>
    <row r="424" spans="1:68" ht="27" customHeight="1" x14ac:dyDescent="0.25">
      <c r="A424" s="54" t="s">
        <v>646</v>
      </c>
      <c r="B424" s="54" t="s">
        <v>647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2113</v>
      </c>
      <c r="Y426" s="542">
        <f t="shared" si="42"/>
        <v>2117.2800000000002</v>
      </c>
      <c r="Z426" s="36">
        <f t="shared" si="43"/>
        <v>4.79596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2257.0681818181815</v>
      </c>
      <c r="BN426" s="64">
        <f t="shared" si="45"/>
        <v>2261.6400000000003</v>
      </c>
      <c r="BO426" s="64">
        <f t="shared" si="46"/>
        <v>3.8479749417249418</v>
      </c>
      <c r="BP426" s="64">
        <f t="shared" si="47"/>
        <v>3.8557692307692308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10</v>
      </c>
      <c r="Y428" s="542">
        <f t="shared" si="42"/>
        <v>14.399999999999999</v>
      </c>
      <c r="Z428" s="36">
        <f>IFERROR(IF(Y428=0,"",ROUNDUP(Y428/H428,0)*0.00902),"")</f>
        <v>2.7060000000000001E-2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14.4375</v>
      </c>
      <c r="BN428" s="64">
        <f t="shared" si="45"/>
        <v>20.79</v>
      </c>
      <c r="BO428" s="64">
        <f t="shared" si="46"/>
        <v>1.5782828282828284E-2</v>
      </c>
      <c r="BP428" s="64">
        <f t="shared" si="47"/>
        <v>2.2727272727272728E-2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61" t="s">
        <v>71</v>
      </c>
      <c r="Q432" s="562"/>
      <c r="R432" s="562"/>
      <c r="S432" s="562"/>
      <c r="T432" s="562"/>
      <c r="U432" s="562"/>
      <c r="V432" s="563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853.03030303030312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855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10.216980000000001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69</v>
      </c>
      <c r="X433" s="543">
        <f>IFERROR(SUM(X421:X431),"0")</f>
        <v>4503</v>
      </c>
      <c r="Y433" s="543">
        <f>IFERROR(SUM(Y421:Y431),"0")</f>
        <v>4512.96</v>
      </c>
      <c r="Z433" s="37"/>
      <c r="AA433" s="544"/>
      <c r="AB433" s="544"/>
      <c r="AC433" s="544"/>
    </row>
    <row r="434" spans="1:68" ht="14.25" customHeight="1" x14ac:dyDescent="0.25">
      <c r="A434" s="557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1503</v>
      </c>
      <c r="Y435" s="542">
        <f>IFERROR(IF(X435="",0,CEILING((X435/$H435),1)*$H435),"")</f>
        <v>1504.8000000000002</v>
      </c>
      <c r="Z435" s="36">
        <f>IFERROR(IF(Y435=0,"",ROUNDUP(Y435/H435,0)*0.01196),"")</f>
        <v>3.4085999999999999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1605.4772727272727</v>
      </c>
      <c r="BN435" s="64">
        <f>IFERROR(Y435*I435/H435,"0")</f>
        <v>1607.3999999999999</v>
      </c>
      <c r="BO435" s="64">
        <f>IFERROR(1/J435*(X435/H435),"0")</f>
        <v>2.7371066433566433</v>
      </c>
      <c r="BP435" s="64">
        <f>IFERROR(1/J435*(Y435/H435),"0")</f>
        <v>2.7403846153846154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5</v>
      </c>
      <c r="Y437" s="542">
        <f>IFERROR(IF(X437="",0,CEILING((X437/$H437),1)*$H437),"")</f>
        <v>9.6</v>
      </c>
      <c r="Z437" s="36">
        <f>IFERROR(IF(Y437=0,"",ROUNDUP(Y437/H437,0)*0.00902),"")</f>
        <v>1.804E-2</v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7.21875</v>
      </c>
      <c r="BN437" s="64">
        <f>IFERROR(Y437*I437/H437,"0")</f>
        <v>13.86</v>
      </c>
      <c r="BO437" s="64">
        <f>IFERROR(1/J437*(X437/H437),"0")</f>
        <v>7.8914141414141419E-3</v>
      </c>
      <c r="BP437" s="64">
        <f>IFERROR(1/J437*(Y437/H437),"0")</f>
        <v>1.5151515151515152E-2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61" t="s">
        <v>71</v>
      </c>
      <c r="Q438" s="562"/>
      <c r="R438" s="562"/>
      <c r="S438" s="562"/>
      <c r="T438" s="562"/>
      <c r="U438" s="562"/>
      <c r="V438" s="563"/>
      <c r="W438" s="37" t="s">
        <v>72</v>
      </c>
      <c r="X438" s="543">
        <f>IFERROR(X435/H435,"0")+IFERROR(X436/H436,"0")+IFERROR(X437/H437,"0")</f>
        <v>285.70075757575756</v>
      </c>
      <c r="Y438" s="543">
        <f>IFERROR(Y435/H435,"0")+IFERROR(Y436/H436,"0")+IFERROR(Y437/H437,"0")</f>
        <v>287</v>
      </c>
      <c r="Z438" s="543">
        <f>IFERROR(IF(Z435="",0,Z435),"0")+IFERROR(IF(Z436="",0,Z436),"0")+IFERROR(IF(Z437="",0,Z437),"0")</f>
        <v>3.4266399999999999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69</v>
      </c>
      <c r="X439" s="543">
        <f>IFERROR(SUM(X435:X437),"0")</f>
        <v>1508</v>
      </c>
      <c r="Y439" s="543">
        <f>IFERROR(SUM(Y435:Y437),"0")</f>
        <v>1514.4</v>
      </c>
      <c r="Z439" s="37"/>
      <c r="AA439" s="544"/>
      <c r="AB439" s="544"/>
      <c r="AC439" s="544"/>
    </row>
    <row r="440" spans="1:68" ht="14.25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248</v>
      </c>
      <c r="Y441" s="542">
        <f t="shared" ref="Y441:Y446" si="48">IFERROR(IF(X441="",0,CEILING((X441/$H441),1)*$H441),"")</f>
        <v>248.16000000000003</v>
      </c>
      <c r="Z441" s="36">
        <f>IFERROR(IF(Y441=0,"",ROUNDUP(Y441/H441,0)*0.01196),"")</f>
        <v>0.56211999999999995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264.90909090909088</v>
      </c>
      <c r="BN441" s="64">
        <f t="shared" ref="BN441:BN446" si="50">IFERROR(Y441*I441/H441,"0")</f>
        <v>265.08</v>
      </c>
      <c r="BO441" s="64">
        <f t="shared" ref="BO441:BO446" si="51">IFERROR(1/J441*(X441/H441),"0")</f>
        <v>0.45163170163170163</v>
      </c>
      <c r="BP441" s="64">
        <f t="shared" ref="BP441:BP446" si="52">IFERROR(1/J441*(Y441/H441),"0")</f>
        <v>0.45192307692307693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109</v>
      </c>
      <c r="Y442" s="542">
        <f t="shared" si="48"/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116.43181818181817</v>
      </c>
      <c r="BN442" s="64">
        <f t="shared" si="50"/>
        <v>118.44</v>
      </c>
      <c r="BO442" s="64">
        <f t="shared" si="51"/>
        <v>0.19849941724941728</v>
      </c>
      <c r="BP442" s="64">
        <f t="shared" si="52"/>
        <v>0.20192307692307693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1267</v>
      </c>
      <c r="Y443" s="542">
        <f t="shared" si="48"/>
        <v>1267.2</v>
      </c>
      <c r="Z443" s="36">
        <f>IFERROR(IF(Y443=0,"",ROUNDUP(Y443/H443,0)*0.01196),"")</f>
        <v>2.8704000000000001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1353.3863636363635</v>
      </c>
      <c r="BN443" s="64">
        <f t="shared" si="50"/>
        <v>1353.6</v>
      </c>
      <c r="BO443" s="64">
        <f t="shared" si="51"/>
        <v>2.3073280885780885</v>
      </c>
      <c r="BP443" s="64">
        <f t="shared" si="52"/>
        <v>2.3076923076923079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61" t="s">
        <v>71</v>
      </c>
      <c r="Q447" s="562"/>
      <c r="R447" s="562"/>
      <c r="S447" s="562"/>
      <c r="T447" s="562"/>
      <c r="U447" s="562"/>
      <c r="V447" s="563"/>
      <c r="W447" s="37" t="s">
        <v>72</v>
      </c>
      <c r="X447" s="543">
        <f>IFERROR(X441/H441,"0")+IFERROR(X442/H442,"0")+IFERROR(X443/H443,"0")+IFERROR(X444/H444,"0")+IFERROR(X445/H445,"0")+IFERROR(X446/H446,"0")</f>
        <v>307.57575757575756</v>
      </c>
      <c r="Y447" s="543">
        <f>IFERROR(Y441/H441,"0")+IFERROR(Y442/H442,"0")+IFERROR(Y443/H443,"0")+IFERROR(Y444/H444,"0")+IFERROR(Y445/H445,"0")+IFERROR(Y446/H446,"0")</f>
        <v>308</v>
      </c>
      <c r="Z447" s="543">
        <f>IFERROR(IF(Z441="",0,Z441),"0")+IFERROR(IF(Z442="",0,Z442),"0")+IFERROR(IF(Z443="",0,Z443),"0")+IFERROR(IF(Z444="",0,Z444),"0")+IFERROR(IF(Z445="",0,Z445),"0")+IFERROR(IF(Z446="",0,Z446),"0")</f>
        <v>3.6836799999999998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69</v>
      </c>
      <c r="X448" s="543">
        <f>IFERROR(SUM(X441:X446),"0")</f>
        <v>1624</v>
      </c>
      <c r="Y448" s="543">
        <f>IFERROR(SUM(Y441:Y446),"0")</f>
        <v>1626.24</v>
      </c>
      <c r="Z448" s="37"/>
      <c r="AA448" s="544"/>
      <c r="AB448" s="544"/>
      <c r="AC448" s="544"/>
    </row>
    <row r="449" spans="1:68" ht="14.25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61" t="s">
        <v>71</v>
      </c>
      <c r="Q453" s="562"/>
      <c r="R453" s="562"/>
      <c r="S453" s="562"/>
      <c r="T453" s="562"/>
      <c r="U453" s="562"/>
      <c r="V453" s="563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9" t="s">
        <v>697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customHeight="1" x14ac:dyDescent="0.25">
      <c r="A456" s="558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customHeight="1" x14ac:dyDescent="0.25">
      <c r="A457" s="557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61" t="s">
        <v>71</v>
      </c>
      <c r="Q462" s="562"/>
      <c r="R462" s="562"/>
      <c r="S462" s="562"/>
      <c r="T462" s="562"/>
      <c r="U462" s="562"/>
      <c r="V462" s="563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7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61" t="s">
        <v>71</v>
      </c>
      <c r="Q468" s="562"/>
      <c r="R468" s="562"/>
      <c r="S468" s="562"/>
      <c r="T468" s="562"/>
      <c r="U468" s="562"/>
      <c r="V468" s="563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61" t="s">
        <v>71</v>
      </c>
      <c r="Q473" s="562"/>
      <c r="R473" s="562"/>
      <c r="S473" s="562"/>
      <c r="T473" s="562"/>
      <c r="U473" s="562"/>
      <c r="V473" s="563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61" t="s">
        <v>71</v>
      </c>
      <c r="Q477" s="562"/>
      <c r="R477" s="562"/>
      <c r="S477" s="562"/>
      <c r="T477" s="562"/>
      <c r="U477" s="562"/>
      <c r="V477" s="563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61" t="s">
        <v>71</v>
      </c>
      <c r="Q482" s="562"/>
      <c r="R482" s="562"/>
      <c r="S482" s="562"/>
      <c r="T482" s="562"/>
      <c r="U482" s="562"/>
      <c r="V482" s="563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customHeight="1" x14ac:dyDescent="0.25">
      <c r="A485" s="557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61" t="s">
        <v>71</v>
      </c>
      <c r="Q487" s="562"/>
      <c r="R487" s="562"/>
      <c r="S487" s="562"/>
      <c r="T487" s="562"/>
      <c r="U487" s="562"/>
      <c r="V487" s="563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33" t="s">
        <v>737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17266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17378.25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33" t="s">
        <v>738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18325.952506811784</v>
      </c>
      <c r="Y490" s="543">
        <f>IFERROR(SUM(BN22:BN486),"0")</f>
        <v>18447.914000000001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33" t="s">
        <v>739</v>
      </c>
      <c r="Q491" s="634"/>
      <c r="R491" s="634"/>
      <c r="S491" s="634"/>
      <c r="T491" s="634"/>
      <c r="U491" s="634"/>
      <c r="V491" s="635"/>
      <c r="W491" s="37" t="s">
        <v>740</v>
      </c>
      <c r="X491" s="38">
        <f>ROUNDUP(SUM(BO22:BO486),0)</f>
        <v>31</v>
      </c>
      <c r="Y491" s="38">
        <f>ROUNDUP(SUM(BP22:BP486),0)</f>
        <v>31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33" t="s">
        <v>741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19100.952506811784</v>
      </c>
      <c r="Y492" s="543">
        <f>GrossWeightTotalR+PalletQtyTotalR*25</f>
        <v>19222.914000000001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33" t="s">
        <v>742</v>
      </c>
      <c r="Q493" s="634"/>
      <c r="R493" s="634"/>
      <c r="S493" s="634"/>
      <c r="T493" s="634"/>
      <c r="U493" s="634"/>
      <c r="V493" s="635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2962.0285495131166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2982</v>
      </c>
      <c r="Z493" s="37"/>
      <c r="AA493" s="544"/>
      <c r="AB493" s="544"/>
      <c r="AC493" s="544"/>
    </row>
    <row r="494" spans="1:68" ht="14.25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33" t="s">
        <v>743</v>
      </c>
      <c r="Q494" s="634"/>
      <c r="R494" s="634"/>
      <c r="S494" s="634"/>
      <c r="T494" s="634"/>
      <c r="U494" s="634"/>
      <c r="V494" s="635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36.545850000000002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1" t="s">
        <v>97</v>
      </c>
      <c r="D496" s="662"/>
      <c r="E496" s="662"/>
      <c r="F496" s="662"/>
      <c r="G496" s="662"/>
      <c r="H496" s="625"/>
      <c r="I496" s="591" t="s">
        <v>257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535</v>
      </c>
      <c r="T496" s="625"/>
      <c r="U496" s="591" t="s">
        <v>586</v>
      </c>
      <c r="V496" s="662"/>
      <c r="W496" s="625"/>
      <c r="X496" s="538" t="s">
        <v>637</v>
      </c>
      <c r="Y496" s="591" t="s">
        <v>697</v>
      </c>
      <c r="Z496" s="625"/>
      <c r="AB496" s="52"/>
      <c r="AC496" s="52"/>
      <c r="AF496" s="539"/>
    </row>
    <row r="497" spans="1:32" ht="14.25" customHeight="1" thickTop="1" x14ac:dyDescent="0.2">
      <c r="A497" s="838" t="s">
        <v>746</v>
      </c>
      <c r="B497" s="591" t="s">
        <v>63</v>
      </c>
      <c r="C497" s="591" t="s">
        <v>98</v>
      </c>
      <c r="D497" s="591" t="s">
        <v>116</v>
      </c>
      <c r="E497" s="591" t="s">
        <v>172</v>
      </c>
      <c r="F497" s="591" t="s">
        <v>192</v>
      </c>
      <c r="G497" s="591" t="s">
        <v>222</v>
      </c>
      <c r="H497" s="591" t="s">
        <v>97</v>
      </c>
      <c r="I497" s="591" t="s">
        <v>258</v>
      </c>
      <c r="J497" s="591" t="s">
        <v>299</v>
      </c>
      <c r="K497" s="591" t="s">
        <v>359</v>
      </c>
      <c r="L497" s="591" t="s">
        <v>401</v>
      </c>
      <c r="M497" s="591" t="s">
        <v>417</v>
      </c>
      <c r="N497" s="539"/>
      <c r="O497" s="591" t="s">
        <v>428</v>
      </c>
      <c r="P497" s="591" t="s">
        <v>437</v>
      </c>
      <c r="Q497" s="591" t="s">
        <v>447</v>
      </c>
      <c r="R497" s="591" t="s">
        <v>525</v>
      </c>
      <c r="S497" s="591" t="s">
        <v>536</v>
      </c>
      <c r="T497" s="591" t="s">
        <v>570</v>
      </c>
      <c r="U497" s="591" t="s">
        <v>587</v>
      </c>
      <c r="V497" s="591" t="s">
        <v>618</v>
      </c>
      <c r="W497" s="591" t="s">
        <v>633</v>
      </c>
      <c r="X497" s="591" t="s">
        <v>637</v>
      </c>
      <c r="Y497" s="591" t="s">
        <v>697</v>
      </c>
      <c r="Z497" s="591" t="s">
        <v>733</v>
      </c>
      <c r="AB497" s="52"/>
      <c r="AC497" s="52"/>
      <c r="AF497" s="539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9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140.4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294.2</v>
      </c>
      <c r="E499" s="46">
        <f>IFERROR(Y86*1,"0")+IFERROR(Y87*1,"0")+IFERROR(Y88*1,"0")+IFERROR(Y92*1,"0")+IFERROR(Y93*1,"0")+IFERROR(Y94*1,"0")+IFERROR(Y95*1,"0")</f>
        <v>631.80000000000007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442.80000000000007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205.2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1630.5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326.35000000000002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2955</v>
      </c>
      <c r="T499" s="46">
        <f>IFERROR(Y368*1,"0")+IFERROR(Y369*1,"0")+IFERROR(Y373*1,"0")+IFERROR(Y374*1,"0")+IFERROR(Y378*1,"0")+IFERROR(Y379*1,"0")</f>
        <v>3087.6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7653.6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fQsOPo4h3kX2pJo8lgpt83Nj2yLVQQRdWyZHWYTN2WnKowaMr3wQMOVJsf/VuxCgeCkJPKZthkBiIG7SDKBAHA==" saltValue="kSROw9WuGirGycFK/6ri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2:E42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484:Z484"/>
    <mergeCell ref="A479:Z479"/>
    <mergeCell ref="P373:T373"/>
    <mergeCell ref="P307:T307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P22:T22"/>
    <mergeCell ref="Z17:Z18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P326:V326"/>
    <mergeCell ref="D203:E203"/>
    <mergeCell ref="P232:T232"/>
    <mergeCell ref="P330:T330"/>
    <mergeCell ref="P159:T159"/>
    <mergeCell ref="D267:E267"/>
    <mergeCell ref="H17:H18"/>
    <mergeCell ref="A146:Z14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480:T480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P96:V96"/>
    <mergeCell ref="A50:Z50"/>
    <mergeCell ref="W17:W18"/>
    <mergeCell ref="P90:V90"/>
    <mergeCell ref="D142:E142"/>
    <mergeCell ref="P476:T476"/>
    <mergeCell ref="P407:T407"/>
    <mergeCell ref="P471:T471"/>
    <mergeCell ref="P259:T259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80 X86:X88 X92 X94:X95 X100:X102 X107 X113 X115 X125:X126 X131 X165:X166 X169 X187 X196:X201 X203 X207:X210 X212:X215 X233 X255 X257 X273:X274 X298 X307 X316 X323:X324 X336:X337 X343:X346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5VDicZkzvYHvYAtlFbjH9qeJ7IJj+Ik8ijkZPJI+KgxrDgFPryw+VbNUSLgVU8ERB1zs5LQvLn6/8ee3IP7RcQ==" saltValue="D2H8JS9KmjawUyz+kjgZ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