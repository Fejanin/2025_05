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05CC1C7-3401-4DD5-80B4-9E6BA50414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37" i="1" l="1"/>
  <c r="Y31" i="1"/>
  <c r="Y493" i="1" s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Z172" i="1" s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Z318" i="1" s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12" i="1"/>
  <c r="Y489" i="1"/>
  <c r="Z89" i="1"/>
  <c r="Z438" i="1"/>
  <c r="Z447" i="1"/>
  <c r="Z432" i="1"/>
  <c r="Z350" i="1"/>
  <c r="Z325" i="1"/>
  <c r="Z338" i="1"/>
  <c r="Z216" i="1"/>
  <c r="Z77" i="1"/>
  <c r="Z63" i="1"/>
  <c r="Z494" i="1" s="1"/>
  <c r="X492" i="1"/>
  <c r="Z268" i="1"/>
  <c r="Z260" i="1"/>
  <c r="Z251" i="1"/>
  <c r="Z144" i="1"/>
  <c r="Z110" i="1"/>
</calcChain>
</file>

<file path=xl/sharedStrings.xml><?xml version="1.0" encoding="utf-8"?>
<sst xmlns="http://schemas.openxmlformats.org/spreadsheetml/2006/main" count="2320" uniqueCount="763">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</sst>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Z495" sqref="Z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45964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0.41666666666666669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20</v>
      </c>
      <c r="Y52" s="542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20.805555555555554</v>
      </c>
      <c r="BN52" s="64">
        <f t="shared" si="2"/>
        <v>22.47</v>
      </c>
      <c r="BO52" s="64">
        <f t="shared" si="3"/>
        <v>2.8935185185185182E-2</v>
      </c>
      <c r="BP52" s="64">
        <f t="shared" si="4"/>
        <v>3.125E-2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1.8518518518518516</v>
      </c>
      <c r="Y57" s="543">
        <f>IFERROR(Y51/H51,"0")+IFERROR(Y52/H52,"0")+IFERROR(Y53/H53,"0")+IFERROR(Y54/H54,"0")+IFERROR(Y55/H55,"0")+IFERROR(Y56/H56,"0")</f>
        <v>2</v>
      </c>
      <c r="Z57" s="543">
        <f>IFERROR(IF(Z51="",0,Z51),"0")+IFERROR(IF(Z52="",0,Z52),"0")+IFERROR(IF(Z53="",0,Z53),"0")+IFERROR(IF(Z54="",0,Z54),"0")+IFERROR(IF(Z55="",0,Z55),"0")+IFERROR(IF(Z56="",0,Z56),"0")</f>
        <v>3.7960000000000001E-2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20</v>
      </c>
      <c r="Y58" s="543">
        <f>IFERROR(SUM(Y51:Y56),"0")</f>
        <v>21.6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 t="s">
        <v>103</v>
      </c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106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50</v>
      </c>
      <c r="Y86" s="542">
        <f>IFERROR(IF(X86="",0,CEILING((X86/$H86),1)*$H86),"")</f>
        <v>54</v>
      </c>
      <c r="Z86" s="36">
        <f>IFERROR(IF(Y86=0,"",ROUNDUP(Y86/H86,0)*0.01898),"")</f>
        <v>9.4899999999999998E-2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52.013888888888886</v>
      </c>
      <c r="BN86" s="64">
        <f>IFERROR(Y86*I86/H86,"0")</f>
        <v>56.17499999999999</v>
      </c>
      <c r="BO86" s="64">
        <f>IFERROR(1/J86*(X86/H86),"0")</f>
        <v>7.2337962962962965E-2</v>
      </c>
      <c r="BP86" s="64">
        <f>IFERROR(1/J86*(Y86/H86),"0")</f>
        <v>7.8125E-2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4.6296296296296298</v>
      </c>
      <c r="Y89" s="543">
        <f>IFERROR(Y86/H86,"0")+IFERROR(Y87/H87,"0")+IFERROR(Y88/H88,"0")</f>
        <v>5</v>
      </c>
      <c r="Z89" s="543">
        <f>IFERROR(IF(Z86="",0,Z86),"0")+IFERROR(IF(Z87="",0,Z87),"0")+IFERROR(IF(Z88="",0,Z88),"0")</f>
        <v>9.4899999999999998E-2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50</v>
      </c>
      <c r="Y90" s="543">
        <f>IFERROR(SUM(Y86:Y88),"0")</f>
        <v>54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150</v>
      </c>
      <c r="Y92" s="542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159.61111111111111</v>
      </c>
      <c r="BN92" s="64">
        <f>IFERROR(Y92*I92/H92,"0")</f>
        <v>163.761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18.518518518518519</v>
      </c>
      <c r="Y96" s="543">
        <f>IFERROR(Y92/H92,"0")+IFERROR(Y93/H93,"0")+IFERROR(Y94/H94,"0")+IFERROR(Y95/H95,"0")</f>
        <v>19</v>
      </c>
      <c r="Z96" s="543">
        <f>IFERROR(IF(Z92="",0,Z92),"0")+IFERROR(IF(Z93="",0,Z93),"0")+IFERROR(IF(Z94="",0,Z94),"0")+IFERROR(IF(Z95="",0,Z95),"0")</f>
        <v>0.36062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150</v>
      </c>
      <c r="Y97" s="543">
        <f>IFERROR(SUM(Y92:Y95),"0")</f>
        <v>153.9</v>
      </c>
      <c r="Z97" s="37"/>
      <c r="AA97" s="544"/>
      <c r="AB97" s="544"/>
      <c r="AC97" s="544"/>
    </row>
    <row r="98" spans="1:68" ht="16.5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0</v>
      </c>
      <c r="Y104" s="543">
        <f>IFERROR(Y100/H100,"0")+IFERROR(Y101/H101,"0")+IFERROR(Y102/H102,"0")+IFERROR(Y103/H103,"0")</f>
        <v>0</v>
      </c>
      <c r="Z104" s="543">
        <f>IFERROR(IF(Z100="",0,Z100),"0")+IFERROR(IF(Z101="",0,Z101),"0")+IFERROR(IF(Z102="",0,Z102),"0")+IFERROR(IF(Z103="",0,Z103),"0")</f>
        <v>0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0</v>
      </c>
      <c r="Y105" s="543">
        <f>IFERROR(SUM(Y100:Y103),"0")</f>
        <v>0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 t="s">
        <v>188</v>
      </c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 t="s">
        <v>106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250</v>
      </c>
      <c r="Y113" s="542">
        <f>IFERROR(IF(X113="",0,CEILING((X113/$H113),1)*$H113),"")</f>
        <v>251.1</v>
      </c>
      <c r="Z113" s="36">
        <f>IFERROR(IF(Y113=0,"",ROUNDUP(Y113/H113,0)*0.01898),"")</f>
        <v>0.58838000000000001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265.83333333333337</v>
      </c>
      <c r="BN113" s="64">
        <f>IFERROR(Y113*I113/H113,"0")</f>
        <v>267.00299999999999</v>
      </c>
      <c r="BO113" s="64">
        <f>IFERROR(1/J113*(X113/H113),"0")</f>
        <v>0.48225308641975312</v>
      </c>
      <c r="BP113" s="64">
        <f>IFERROR(1/J113*(Y113/H113),"0")</f>
        <v>0.484375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30.8641975308642</v>
      </c>
      <c r="Y117" s="543">
        <f>IFERROR(Y113/H113,"0")+IFERROR(Y114/H114,"0")+IFERROR(Y115/H115,"0")+IFERROR(Y116/H116,"0")</f>
        <v>31</v>
      </c>
      <c r="Z117" s="543">
        <f>IFERROR(IF(Z113="",0,Z113),"0")+IFERROR(IF(Z114="",0,Z114),"0")+IFERROR(IF(Z115="",0,Z115),"0")+IFERROR(IF(Z116="",0,Z116),"0")</f>
        <v>0.58838000000000001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250</v>
      </c>
      <c r="Y118" s="543">
        <f>IFERROR(SUM(Y113:Y116),"0")</f>
        <v>251.1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255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257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100</v>
      </c>
      <c r="Y163" s="542">
        <f t="shared" ref="Y163:Y171" si="5">IFERROR(IF(X163="",0,CEILING((X163/$H163),1)*$H163),"")</f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106.42857142857143</v>
      </c>
      <c r="BN163" s="64">
        <f t="shared" ref="BN163:BN171" si="7">IFERROR(Y163*I163/H163,"0")</f>
        <v>107.28</v>
      </c>
      <c r="BO163" s="64">
        <f t="shared" ref="BO163:BO171" si="8">IFERROR(1/J163*(X163/H163),"0")</f>
        <v>0.18037518037518038</v>
      </c>
      <c r="BP163" s="64">
        <f t="shared" ref="BP163:BP171" si="9">IFERROR(1/J163*(Y163/H163),"0")</f>
        <v>0.18181818181818182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20</v>
      </c>
      <c r="Y164" s="542">
        <f t="shared" si="5"/>
        <v>21</v>
      </c>
      <c r="Z164" s="36">
        <f>IFERROR(IF(Y164=0,"",ROUNDUP(Y164/H164,0)*0.00902),"")</f>
        <v>4.5100000000000001E-2</v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21.285714285714281</v>
      </c>
      <c r="BN164" s="64">
        <f t="shared" si="7"/>
        <v>22.349999999999998</v>
      </c>
      <c r="BO164" s="64">
        <f t="shared" si="8"/>
        <v>3.6075036075036072E-2</v>
      </c>
      <c r="BP164" s="64">
        <f t="shared" si="9"/>
        <v>3.787878787878788E-2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50</v>
      </c>
      <c r="Y165" s="542">
        <f t="shared" si="5"/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52.5</v>
      </c>
      <c r="BN165" s="64">
        <f t="shared" si="7"/>
        <v>52.920000000000009</v>
      </c>
      <c r="BO165" s="64">
        <f t="shared" si="8"/>
        <v>9.0187590187590191E-2</v>
      </c>
      <c r="BP165" s="64">
        <f t="shared" si="9"/>
        <v>9.0909090909090912E-2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8.3999999999999986</v>
      </c>
      <c r="Y169" s="542">
        <f t="shared" si="5"/>
        <v>8.4</v>
      </c>
      <c r="Z169" s="36">
        <f>IFERROR(IF(Y169=0,"",ROUNDUP(Y169/H169,0)*0.00502),"")</f>
        <v>2.0080000000000001E-2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8.7999999999999989</v>
      </c>
      <c r="BN169" s="64">
        <f t="shared" si="7"/>
        <v>8.8000000000000007</v>
      </c>
      <c r="BO169" s="64">
        <f t="shared" si="8"/>
        <v>1.7094017094017092E-2</v>
      </c>
      <c r="BP169" s="64">
        <f t="shared" si="9"/>
        <v>1.7094017094017096E-2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44.476190476190482</v>
      </c>
      <c r="Y172" s="543">
        <f>IFERROR(Y163/H163,"0")+IFERROR(Y164/H164,"0")+IFERROR(Y165/H165,"0")+IFERROR(Y166/H166,"0")+IFERROR(Y167/H167,"0")+IFERROR(Y168/H168,"0")+IFERROR(Y169/H169,"0")+IFERROR(Y170/H170,"0")+IFERROR(Y171/H171,"0")</f>
        <v>45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0.38990000000000002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178.4</v>
      </c>
      <c r="Y173" s="543">
        <f>IFERROR(SUM(Y163:Y171),"0")</f>
        <v>180.60000000000002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188</v>
      </c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300</v>
      </c>
      <c r="Y196" s="542">
        <f t="shared" ref="Y196:Y203" si="10">IFERROR(IF(X196="",0,CEILING((X196/$H196),1)*$H196),"")</f>
        <v>302.40000000000003</v>
      </c>
      <c r="Z196" s="36">
        <f>IFERROR(IF(Y196=0,"",ROUNDUP(Y196/H196,0)*0.00902),"")</f>
        <v>0.50512000000000001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311.66666666666663</v>
      </c>
      <c r="BN196" s="64">
        <f t="shared" ref="BN196:BN203" si="12">IFERROR(Y196*I196/H196,"0")</f>
        <v>314.16000000000003</v>
      </c>
      <c r="BO196" s="64">
        <f t="shared" ref="BO196:BO203" si="13">IFERROR(1/J196*(X196/H196),"0")</f>
        <v>0.42087542087542085</v>
      </c>
      <c r="BP196" s="64">
        <f t="shared" ref="BP196:BP203" si="14">IFERROR(1/J196*(Y196/H196),"0")</f>
        <v>0.42424242424242425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103.88888888888889</v>
      </c>
      <c r="BN197" s="64">
        <f t="shared" si="12"/>
        <v>106.59000000000002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207.77777777777777</v>
      </c>
      <c r="BN198" s="64">
        <f t="shared" si="12"/>
        <v>213.18000000000004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120</v>
      </c>
      <c r="Y199" s="542">
        <f t="shared" si="10"/>
        <v>124.2</v>
      </c>
      <c r="Z199" s="36">
        <f>IFERROR(IF(Y199=0,"",ROUNDUP(Y199/H199,0)*0.00902),"")</f>
        <v>0.20746000000000001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124.66666666666667</v>
      </c>
      <c r="BN199" s="64">
        <f t="shared" si="12"/>
        <v>129.03</v>
      </c>
      <c r="BO199" s="64">
        <f t="shared" si="13"/>
        <v>0.16835016835016836</v>
      </c>
      <c r="BP199" s="64">
        <f t="shared" si="14"/>
        <v>0.17424242424242425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133.33333333333334</v>
      </c>
      <c r="Y204" s="543">
        <f>IFERROR(Y196/H196,"0")+IFERROR(Y197/H197,"0")+IFERROR(Y198/H198,"0")+IFERROR(Y199/H199,"0")+IFERROR(Y200/H200,"0")+IFERROR(Y201/H201,"0")+IFERROR(Y202/H202,"0")+IFERROR(Y203/H203,"0")</f>
        <v>136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1.22672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720</v>
      </c>
      <c r="Y205" s="543">
        <f>IFERROR(SUM(Y196:Y203),"0")</f>
        <v>734.40000000000009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50</v>
      </c>
      <c r="Y207" s="542">
        <f t="shared" ref="Y207:Y215" si="15">IFERROR(IF(X207="",0,CEILING((X207/$H207),1)*$H207),"")</f>
        <v>56.699999999999996</v>
      </c>
      <c r="Z207" s="36">
        <f>IFERROR(IF(Y207=0,"",ROUNDUP(Y207/H207,0)*0.01898),"")</f>
        <v>0.13286000000000001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53.203703703703702</v>
      </c>
      <c r="BN207" s="64">
        <f t="shared" ref="BN207:BN215" si="17">IFERROR(Y207*I207/H207,"0")</f>
        <v>60.332999999999991</v>
      </c>
      <c r="BO207" s="64">
        <f t="shared" ref="BO207:BO215" si="18">IFERROR(1/J207*(X207/H207),"0")</f>
        <v>9.6450617283950615E-2</v>
      </c>
      <c r="BP207" s="64">
        <f t="shared" ref="BP207:BP215" si="19">IFERROR(1/J207*(Y207/H207),"0")</f>
        <v>0.109375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30</v>
      </c>
      <c r="Y209" s="542">
        <f t="shared" si="15"/>
        <v>34.799999999999997</v>
      </c>
      <c r="Z209" s="36">
        <f>IFERROR(IF(Y209=0,"",ROUNDUP(Y209/H209,0)*0.01898),"")</f>
        <v>7.5920000000000001E-2</v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31.789655172413795</v>
      </c>
      <c r="BN209" s="64">
        <f t="shared" si="17"/>
        <v>36.875999999999998</v>
      </c>
      <c r="BO209" s="64">
        <f t="shared" si="18"/>
        <v>5.387931034482759E-2</v>
      </c>
      <c r="BP209" s="64">
        <f t="shared" si="19"/>
        <v>6.25E-2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288</v>
      </c>
      <c r="Y210" s="542">
        <f t="shared" si="15"/>
        <v>288</v>
      </c>
      <c r="Z210" s="36">
        <f t="shared" ref="Z210:Z215" si="20">IFERROR(IF(Y210=0,"",ROUNDUP(Y210/H210,0)*0.00651),"")</f>
        <v>0.78120000000000001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320.40000000000003</v>
      </c>
      <c r="BN210" s="64">
        <f t="shared" si="17"/>
        <v>320.40000000000003</v>
      </c>
      <c r="BO210" s="64">
        <f t="shared" si="18"/>
        <v>0.65934065934065944</v>
      </c>
      <c r="BP210" s="64">
        <f t="shared" si="19"/>
        <v>0.65934065934065944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192</v>
      </c>
      <c r="Y212" s="542">
        <f t="shared" si="15"/>
        <v>192</v>
      </c>
      <c r="Z212" s="36">
        <f t="shared" si="20"/>
        <v>0.52080000000000004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212.16000000000003</v>
      </c>
      <c r="BN212" s="64">
        <f t="shared" si="17"/>
        <v>212.16000000000003</v>
      </c>
      <c r="BO212" s="64">
        <f t="shared" si="18"/>
        <v>0.43956043956043961</v>
      </c>
      <c r="BP212" s="64">
        <f t="shared" si="19"/>
        <v>0.43956043956043961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168</v>
      </c>
      <c r="Y213" s="542">
        <f t="shared" si="15"/>
        <v>168</v>
      </c>
      <c r="Z213" s="36">
        <f t="shared" si="20"/>
        <v>0.45569999999999999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185.64000000000001</v>
      </c>
      <c r="BN213" s="64">
        <f t="shared" si="17"/>
        <v>185.64000000000001</v>
      </c>
      <c r="BO213" s="64">
        <f t="shared" si="18"/>
        <v>0.38461538461538464</v>
      </c>
      <c r="BP213" s="64">
        <f t="shared" si="19"/>
        <v>0.38461538461538464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240</v>
      </c>
      <c r="Y214" s="542">
        <f t="shared" si="15"/>
        <v>240</v>
      </c>
      <c r="Z214" s="36">
        <f t="shared" si="20"/>
        <v>0.65100000000000002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265.20000000000005</v>
      </c>
      <c r="BN214" s="64">
        <f t="shared" si="17"/>
        <v>265.20000000000005</v>
      </c>
      <c r="BO214" s="64">
        <f t="shared" si="18"/>
        <v>0.5494505494505495</v>
      </c>
      <c r="BP214" s="64">
        <f t="shared" si="19"/>
        <v>0.5494505494505495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288</v>
      </c>
      <c r="Y215" s="542">
        <f t="shared" si="15"/>
        <v>288</v>
      </c>
      <c r="Z215" s="36">
        <f t="shared" si="20"/>
        <v>0.78120000000000001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318.96000000000004</v>
      </c>
      <c r="BN215" s="64">
        <f t="shared" si="17"/>
        <v>318.96000000000004</v>
      </c>
      <c r="BO215" s="64">
        <f t="shared" si="18"/>
        <v>0.65934065934065944</v>
      </c>
      <c r="BP215" s="64">
        <f t="shared" si="19"/>
        <v>0.65934065934065944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499.62111536824182</v>
      </c>
      <c r="Y216" s="543">
        <f>IFERROR(Y207/H207,"0")+IFERROR(Y208/H208,"0")+IFERROR(Y209/H209,"0")+IFERROR(Y210/H210,"0")+IFERROR(Y211/H211,"0")+IFERROR(Y212/H212,"0")+IFERROR(Y213/H213,"0")+IFERROR(Y214/H214,"0")+IFERROR(Y215/H215,"0")</f>
        <v>501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3.3986800000000001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1256</v>
      </c>
      <c r="Y217" s="543">
        <f>IFERROR(SUM(Y207:Y215),"0")</f>
        <v>1267.5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188</v>
      </c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188</v>
      </c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24</v>
      </c>
      <c r="Y220" s="542">
        <f>IFERROR(IF(X220="",0,CEILING((X220/$H220),1)*$H220),"")</f>
        <v>24</v>
      </c>
      <c r="Z220" s="36">
        <f>IFERROR(IF(Y220=0,"",ROUNDUP(Y220/H220,0)*0.00651),"")</f>
        <v>6.5100000000000005E-2</v>
      </c>
      <c r="AA220" s="56"/>
      <c r="AB220" s="57"/>
      <c r="AC220" s="265" t="s">
        <v>358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26.520000000000003</v>
      </c>
      <c r="BN220" s="64">
        <f>IFERROR(Y220*I220/H220,"0")</f>
        <v>26.520000000000003</v>
      </c>
      <c r="BO220" s="64">
        <f>IFERROR(1/J220*(X220/H220),"0")</f>
        <v>5.4945054945054951E-2</v>
      </c>
      <c r="BP220" s="64">
        <f>IFERROR(1/J220*(Y220/H220),"0")</f>
        <v>5.4945054945054951E-2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20</v>
      </c>
      <c r="Y221" s="543">
        <f>IFERROR(Y219/H219,"0")+IFERROR(Y220/H220,"0")</f>
        <v>20</v>
      </c>
      <c r="Z221" s="543">
        <f>IFERROR(IF(Z219="",0,Z219),"0")+IFERROR(IF(Z220="",0,Z220),"0")</f>
        <v>0.13020000000000001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48</v>
      </c>
      <c r="Y222" s="543">
        <f>IFERROR(SUM(Y219:Y220),"0")</f>
        <v>48</v>
      </c>
      <c r="Z222" s="37"/>
      <c r="AA222" s="544"/>
      <c r="AB222" s="544"/>
      <c r="AC222" s="544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30</v>
      </c>
      <c r="Y297" s="542">
        <f t="shared" ref="Y297:Y303" si="26">IFERROR(IF(X297="",0,CEILING((X297/$H297),1)*$H297),"")</f>
        <v>33.6</v>
      </c>
      <c r="Z297" s="36">
        <f>IFERROR(IF(Y297=0,"",ROUNDUP(Y297/H297,0)*0.00902),"")</f>
        <v>7.2160000000000002E-2</v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31.928571428571427</v>
      </c>
      <c r="BN297" s="64">
        <f t="shared" ref="BN297:BN303" si="28">IFERROR(Y297*I297/H297,"0")</f>
        <v>35.76</v>
      </c>
      <c r="BO297" s="64">
        <f t="shared" ref="BO297:BO303" si="29">IFERROR(1/J297*(X297/H297),"0")</f>
        <v>5.4112554112554112E-2</v>
      </c>
      <c r="BP297" s="64">
        <f t="shared" ref="BP297:BP303" si="30">IFERROR(1/J297*(Y297/H297),"0")</f>
        <v>6.0606060606060608E-2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7.1428571428571423</v>
      </c>
      <c r="Y304" s="543">
        <f>IFERROR(Y297/H297,"0")+IFERROR(Y298/H298,"0")+IFERROR(Y299/H299,"0")+IFERROR(Y300/H300,"0")+IFERROR(Y301/H301,"0")+IFERROR(Y302/H302,"0")+IFERROR(Y303/H303,"0")</f>
        <v>8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7.2160000000000002E-2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30</v>
      </c>
      <c r="Y305" s="543">
        <f>IFERROR(SUM(Y297:Y303),"0")</f>
        <v>33.6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 t="s">
        <v>188</v>
      </c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106</v>
      </c>
      <c r="AK311" s="68">
        <v>37.799999999999997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40</v>
      </c>
      <c r="Y315" s="542">
        <f>IFERROR(IF(X315="",0,CEILING((X315/$H315),1)*$H315),"")</f>
        <v>42</v>
      </c>
      <c r="Z315" s="36">
        <f>IFERROR(IF(Y315=0,"",ROUNDUP(Y315/H315,0)*0.01898),"")</f>
        <v>9.4899999999999998E-2</v>
      </c>
      <c r="AA315" s="56"/>
      <c r="AB315" s="57"/>
      <c r="AC315" s="365" t="s">
        <v>498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42.471428571428568</v>
      </c>
      <c r="BN315" s="64">
        <f>IFERROR(Y315*I315/H315,"0")</f>
        <v>44.594999999999999</v>
      </c>
      <c r="BO315" s="64">
        <f>IFERROR(1/J315*(X315/H315),"0")</f>
        <v>7.4404761904761904E-2</v>
      </c>
      <c r="BP315" s="64">
        <f>IFERROR(1/J315*(Y315/H315),"0")</f>
        <v>7.8125E-2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4.7619047619047619</v>
      </c>
      <c r="Y318" s="543">
        <f>IFERROR(Y315/H315,"0")+IFERROR(Y316/H316,"0")+IFERROR(Y317/H317,"0")</f>
        <v>5</v>
      </c>
      <c r="Z318" s="543">
        <f>IFERROR(IF(Z315="",0,Z315),"0")+IFERROR(IF(Z316="",0,Z316),"0")+IFERROR(IF(Z317="",0,Z317),"0")</f>
        <v>9.4899999999999998E-2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40</v>
      </c>
      <c r="Y319" s="543">
        <f>IFERROR(SUM(Y315:Y317),"0")</f>
        <v>42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510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188</v>
      </c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188</v>
      </c>
      <c r="M330" s="33" t="s">
        <v>519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535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3000</v>
      </c>
      <c r="Y343" s="542">
        <f t="shared" ref="Y343:Y349" si="31">IFERROR(IF(X343="",0,CEILING((X343/$H343),1)*$H343),"")</f>
        <v>3000</v>
      </c>
      <c r="Z343" s="36">
        <f>IFERROR(IF(Y343=0,"",ROUNDUP(Y343/H343,0)*0.02175),"")</f>
        <v>4.3499999999999996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3096</v>
      </c>
      <c r="BN343" s="64">
        <f t="shared" ref="BN343:BN349" si="33">IFERROR(Y343*I343/H343,"0")</f>
        <v>3096</v>
      </c>
      <c r="BO343" s="64">
        <f t="shared" ref="BO343:BO349" si="34">IFERROR(1/J343*(X343/H343),"0")</f>
        <v>4.1666666666666661</v>
      </c>
      <c r="BP343" s="64">
        <f t="shared" ref="BP343:BP349" si="35">IFERROR(1/J343*(Y343/H343),"0")</f>
        <v>4.1666666666666661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500</v>
      </c>
      <c r="Y344" s="542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516</v>
      </c>
      <c r="BN344" s="64">
        <f t="shared" si="33"/>
        <v>526.32000000000005</v>
      </c>
      <c r="BO344" s="64">
        <f t="shared" si="34"/>
        <v>0.69444444444444442</v>
      </c>
      <c r="BP344" s="64">
        <f t="shared" si="35"/>
        <v>0.70833333333333326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2000</v>
      </c>
      <c r="Y346" s="542">
        <f t="shared" si="31"/>
        <v>2010</v>
      </c>
      <c r="Z346" s="36">
        <f>IFERROR(IF(Y346=0,"",ROUNDUP(Y346/H346,0)*0.02175),"")</f>
        <v>2.9144999999999999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2064</v>
      </c>
      <c r="BN346" s="64">
        <f t="shared" si="33"/>
        <v>2074.3200000000002</v>
      </c>
      <c r="BO346" s="64">
        <f t="shared" si="34"/>
        <v>2.7777777777777777</v>
      </c>
      <c r="BP346" s="64">
        <f t="shared" si="35"/>
        <v>2.7916666666666665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366.66666666666669</v>
      </c>
      <c r="Y350" s="543">
        <f>IFERROR(Y343/H343,"0")+IFERROR(Y344/H344,"0")+IFERROR(Y345/H345,"0")+IFERROR(Y346/H346,"0")+IFERROR(Y347/H347,"0")+IFERROR(Y348/H348,"0")+IFERROR(Y349/H349,"0")</f>
        <v>368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8.0039999999999996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5500</v>
      </c>
      <c r="Y351" s="543">
        <f>IFERROR(SUM(Y343:Y349),"0")</f>
        <v>5520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3500</v>
      </c>
      <c r="Y353" s="542">
        <f>IFERROR(IF(X353="",0,CEILING((X353/$H353),1)*$H353),"")</f>
        <v>3510</v>
      </c>
      <c r="Z353" s="36">
        <f>IFERROR(IF(Y353=0,"",ROUNDUP(Y353/H353,0)*0.02175),"")</f>
        <v>5.0894999999999992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3612</v>
      </c>
      <c r="BN353" s="64">
        <f>IFERROR(Y353*I353/H353,"0")</f>
        <v>3622.32</v>
      </c>
      <c r="BO353" s="64">
        <f>IFERROR(1/J353*(X353/H353),"0")</f>
        <v>4.8611111111111107</v>
      </c>
      <c r="BP353" s="64">
        <f>IFERROR(1/J353*(Y353/H353),"0")</f>
        <v>4.875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233.33333333333334</v>
      </c>
      <c r="Y355" s="543">
        <f>IFERROR(Y353/H353,"0")+IFERROR(Y354/H354,"0")</f>
        <v>234</v>
      </c>
      <c r="Z355" s="543">
        <f>IFERROR(IF(Z353="",0,Z353),"0")+IFERROR(IF(Z354="",0,Z354),"0")</f>
        <v>5.0894999999999992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3500</v>
      </c>
      <c r="Y356" s="543">
        <f>IFERROR(SUM(Y353:Y354),"0")</f>
        <v>3510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150</v>
      </c>
      <c r="Y359" s="542">
        <f>IFERROR(IF(X359="",0,CEILING((X359/$H359),1)*$H359),"")</f>
        <v>153</v>
      </c>
      <c r="Z359" s="36">
        <f>IFERROR(IF(Y359=0,"",ROUNDUP(Y359/H359,0)*0.01898),"")</f>
        <v>0.32266</v>
      </c>
      <c r="AA359" s="56"/>
      <c r="AB359" s="57"/>
      <c r="AC359" s="411" t="s">
        <v>566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158.64999999999998</v>
      </c>
      <c r="BN359" s="64">
        <f>IFERROR(Y359*I359/H359,"0")</f>
        <v>161.82299999999998</v>
      </c>
      <c r="BO359" s="64">
        <f>IFERROR(1/J359*(X359/H359),"0")</f>
        <v>0.26041666666666669</v>
      </c>
      <c r="BP359" s="64">
        <f>IFERROR(1/J359*(Y359/H359),"0")</f>
        <v>0.265625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16.666666666666668</v>
      </c>
      <c r="Y360" s="543">
        <f>IFERROR(Y358/H358,"0")+IFERROR(Y359/H359,"0")</f>
        <v>17</v>
      </c>
      <c r="Z360" s="543">
        <f>IFERROR(IF(Z358="",0,Z358),"0")+IFERROR(IF(Z359="",0,Z359),"0")</f>
        <v>0.32266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150</v>
      </c>
      <c r="Y361" s="543">
        <f>IFERROR(SUM(Y358:Y359),"0")</f>
        <v>153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250</v>
      </c>
      <c r="Y363" s="542">
        <f>IFERROR(IF(X363="",0,CEILING((X363/$H363),1)*$H363),"")</f>
        <v>252</v>
      </c>
      <c r="Z363" s="36">
        <f>IFERROR(IF(Y363=0,"",ROUNDUP(Y363/H363,0)*0.01898),"")</f>
        <v>0.53144000000000002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264.41666666666669</v>
      </c>
      <c r="BN363" s="64">
        <f>IFERROR(Y363*I363/H363,"0")</f>
        <v>266.53199999999998</v>
      </c>
      <c r="BO363" s="64">
        <f>IFERROR(1/J363*(X363/H363),"0")</f>
        <v>0.43402777777777779</v>
      </c>
      <c r="BP363" s="64">
        <f>IFERROR(1/J363*(Y363/H363),"0")</f>
        <v>0.4375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27.777777777777779</v>
      </c>
      <c r="Y364" s="543">
        <f>IFERROR(Y363/H363,"0")</f>
        <v>28</v>
      </c>
      <c r="Z364" s="543">
        <f>IFERROR(IF(Z363="",0,Z363),"0")</f>
        <v>0.53144000000000002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250</v>
      </c>
      <c r="Y365" s="543">
        <f>IFERROR(SUM(Y363:Y363),"0")</f>
        <v>252</v>
      </c>
      <c r="Z365" s="37"/>
      <c r="AA365" s="544"/>
      <c r="AB365" s="544"/>
      <c r="AC365" s="544"/>
    </row>
    <row r="366" spans="1:68" ht="16.5" customHeight="1" x14ac:dyDescent="0.25">
      <c r="A366" s="558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200</v>
      </c>
      <c r="Y378" s="542">
        <f>IFERROR(IF(X378="",0,CEILING((X378/$H378),1)*$H378),"")</f>
        <v>207</v>
      </c>
      <c r="Z378" s="36">
        <f>IFERROR(IF(Y378=0,"",ROUNDUP(Y378/H378,0)*0.01898),"")</f>
        <v>0.43653999999999998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211.53333333333333</v>
      </c>
      <c r="BN378" s="64">
        <f>IFERROR(Y378*I378/H378,"0")</f>
        <v>218.93700000000001</v>
      </c>
      <c r="BO378" s="64">
        <f>IFERROR(1/J378*(X378/H378),"0")</f>
        <v>0.34722222222222221</v>
      </c>
      <c r="BP378" s="64">
        <f>IFERROR(1/J378*(Y378/H378),"0")</f>
        <v>0.359375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22.222222222222221</v>
      </c>
      <c r="Y380" s="543">
        <f>IFERROR(Y378/H378,"0")+IFERROR(Y379/H379,"0")</f>
        <v>23</v>
      </c>
      <c r="Z380" s="543">
        <f>IFERROR(IF(Z378="",0,Z378),"0")+IFERROR(IF(Z379="",0,Z379),"0")</f>
        <v>0.43653999999999998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200</v>
      </c>
      <c r="Y381" s="543">
        <f>IFERROR(SUM(Y378:Y379),"0")</f>
        <v>207</v>
      </c>
      <c r="Z381" s="37"/>
      <c r="AA381" s="544"/>
      <c r="AB381" s="544"/>
      <c r="AC381" s="544"/>
    </row>
    <row r="382" spans="1:68" ht="27.75" customHeight="1" x14ac:dyDescent="0.2">
      <c r="A382" s="639" t="s">
        <v>586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8.3999999999999986</v>
      </c>
      <c r="Y390" s="542">
        <f t="shared" si="36"/>
        <v>8.4</v>
      </c>
      <c r="Z390" s="36">
        <f t="shared" si="41"/>
        <v>2.0080000000000001E-2</v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8.9199999999999982</v>
      </c>
      <c r="BN390" s="64">
        <f t="shared" si="38"/>
        <v>8.92</v>
      </c>
      <c r="BO390" s="64">
        <f t="shared" si="39"/>
        <v>1.7094017094017092E-2</v>
      </c>
      <c r="BP390" s="64">
        <f t="shared" si="40"/>
        <v>1.7094017094017096E-2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273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8.3999999999999986</v>
      </c>
      <c r="Y393" s="542">
        <f t="shared" si="36"/>
        <v>8.4</v>
      </c>
      <c r="Z393" s="36">
        <f t="shared" si="41"/>
        <v>2.0080000000000001E-2</v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8.9199999999999982</v>
      </c>
      <c r="BN393" s="64">
        <f t="shared" si="38"/>
        <v>8.92</v>
      </c>
      <c r="BO393" s="64">
        <f t="shared" si="39"/>
        <v>1.7094017094017092E-2</v>
      </c>
      <c r="BP393" s="64">
        <f t="shared" si="40"/>
        <v>1.7094017094017096E-2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7.9999999999999982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4.0160000000000001E-2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16.799999999999997</v>
      </c>
      <c r="Y395" s="543">
        <f>IFERROR(SUM(Y385:Y393),"0")</f>
        <v>16.8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130</v>
      </c>
      <c r="Y407" s="542">
        <f>IFERROR(IF(X407="",0,CEILING((X407/$H407),1)*$H407),"")</f>
        <v>135</v>
      </c>
      <c r="Z407" s="36">
        <f>IFERROR(IF(Y407=0,"",ROUNDUP(Y407/H407,0)*0.00902),"")</f>
        <v>0.22550000000000001</v>
      </c>
      <c r="AA407" s="56"/>
      <c r="AB407" s="57"/>
      <c r="AC407" s="451" t="s">
        <v>624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135.05555555555557</v>
      </c>
      <c r="BN407" s="64">
        <f>IFERROR(Y407*I407/H407,"0")</f>
        <v>140.25</v>
      </c>
      <c r="BO407" s="64">
        <f>IFERROR(1/J407*(X407/H407),"0")</f>
        <v>0.18237934904601572</v>
      </c>
      <c r="BP407" s="64">
        <f>IFERROR(1/J407*(Y407/H407),"0")</f>
        <v>0.18939393939393939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24.074074074074073</v>
      </c>
      <c r="Y411" s="543">
        <f>IFERROR(Y407/H407,"0")+IFERROR(Y408/H408,"0")+IFERROR(Y409/H409,"0")+IFERROR(Y410/H410,"0")</f>
        <v>25</v>
      </c>
      <c r="Z411" s="543">
        <f>IFERROR(IF(Z407="",0,Z407),"0")+IFERROR(IF(Z408="",0,Z408),"0")+IFERROR(IF(Z409="",0,Z409),"0")+IFERROR(IF(Z410="",0,Z410),"0")</f>
        <v>0.22550000000000001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130</v>
      </c>
      <c r="Y412" s="543">
        <f>IFERROR(SUM(Y407:Y410),"0")</f>
        <v>135</v>
      </c>
      <c r="Z412" s="37"/>
      <c r="AA412" s="544"/>
      <c r="AB412" s="544"/>
      <c r="AC412" s="544"/>
    </row>
    <row r="413" spans="1:68" ht="16.5" customHeight="1" x14ac:dyDescent="0.25">
      <c r="A413" s="558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637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50</v>
      </c>
      <c r="Y423" s="542">
        <f t="shared" si="42"/>
        <v>52.800000000000004</v>
      </c>
      <c r="Z423" s="36">
        <f t="shared" si="43"/>
        <v>0.1196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53.409090909090907</v>
      </c>
      <c r="BN423" s="64">
        <f t="shared" si="45"/>
        <v>56.400000000000006</v>
      </c>
      <c r="BO423" s="64">
        <f t="shared" si="46"/>
        <v>9.1054778554778545E-2</v>
      </c>
      <c r="BP423" s="64">
        <f t="shared" si="47"/>
        <v>9.6153846153846159E-2</v>
      </c>
    </row>
    <row r="424" spans="1:68" ht="27" customHeight="1" x14ac:dyDescent="0.25">
      <c r="A424" s="54" t="s">
        <v>646</v>
      </c>
      <c r="B424" s="54" t="s">
        <v>647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106.81818181818181</v>
      </c>
      <c r="BN426" s="64">
        <f t="shared" si="45"/>
        <v>107.16</v>
      </c>
      <c r="BO426" s="64">
        <f t="shared" si="46"/>
        <v>0.18210955710955709</v>
      </c>
      <c r="BP426" s="64">
        <f t="shared" si="47"/>
        <v>0.18269230769230771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28.409090909090907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0.34683999999999998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150</v>
      </c>
      <c r="Y433" s="543">
        <f>IFERROR(SUM(Y421:Y431),"0")</f>
        <v>153.12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213.63636363636363</v>
      </c>
      <c r="BN435" s="64">
        <f>IFERROR(Y435*I435/H435,"0")</f>
        <v>214.32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50</v>
      </c>
      <c r="Y442" s="542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53.409090909090907</v>
      </c>
      <c r="BN442" s="64">
        <f t="shared" si="50"/>
        <v>56.400000000000006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50</v>
      </c>
      <c r="Y443" s="542">
        <f t="shared" si="48"/>
        <v>52.800000000000004</v>
      </c>
      <c r="Z443" s="36">
        <f>IFERROR(IF(Y443=0,"",ROUNDUP(Y443/H443,0)*0.01196),"")</f>
        <v>0.1196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53.409090909090907</v>
      </c>
      <c r="BN443" s="64">
        <f t="shared" si="50"/>
        <v>56.400000000000006</v>
      </c>
      <c r="BO443" s="64">
        <f t="shared" si="51"/>
        <v>9.1054778554778545E-2</v>
      </c>
      <c r="BP443" s="64">
        <f t="shared" si="52"/>
        <v>9.6153846153846159E-2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18.939393939393938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100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697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50</v>
      </c>
      <c r="Y471" s="542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720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53.214285714285715</v>
      </c>
      <c r="BN471" s="64">
        <f>IFERROR(Y471*I471/H471,"0")</f>
        <v>53.64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50</v>
      </c>
      <c r="Y472" s="542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723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53.214285714285715</v>
      </c>
      <c r="BN472" s="64">
        <f>IFERROR(Y472*I472/H472,"0")</f>
        <v>53.64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23.80952380952381</v>
      </c>
      <c r="Y473" s="543">
        <f>IFERROR(Y471/H471,"0")+IFERROR(Y472/H472,"0")</f>
        <v>24</v>
      </c>
      <c r="Z473" s="543">
        <f>IFERROR(IF(Z471="",0,Z471),"0")+IFERROR(IF(Z472="",0,Z472),"0")</f>
        <v>0.21648000000000001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100</v>
      </c>
      <c r="Y474" s="543">
        <f>IFERROR(SUM(Y471:Y472),"0")</f>
        <v>100.80000000000001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700</v>
      </c>
      <c r="Y476" s="542">
        <f>IFERROR(IF(X476="",0,CEILING((X476/$H476),1)*$H476),"")</f>
        <v>702</v>
      </c>
      <c r="Z476" s="36">
        <f>IFERROR(IF(Y476=0,"",ROUNDUP(Y476/H476,0)*0.01898),"")</f>
        <v>1.48044</v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740.36666666666667</v>
      </c>
      <c r="BN476" s="64">
        <f>IFERROR(Y476*I476/H476,"0")</f>
        <v>742.48199999999997</v>
      </c>
      <c r="BO476" s="64">
        <f>IFERROR(1/J476*(X476/H476),"0")</f>
        <v>1.2152777777777777</v>
      </c>
      <c r="BP476" s="64">
        <f>IFERROR(1/J476*(Y476/H476),"0")</f>
        <v>1.21875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77.777777777777771</v>
      </c>
      <c r="Y477" s="543">
        <f>IFERROR(Y476/H476,"0")</f>
        <v>78</v>
      </c>
      <c r="Z477" s="543">
        <f>IFERROR(IF(Z476="",0,Z476),"0")</f>
        <v>1.48044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700</v>
      </c>
      <c r="Y478" s="543">
        <f>IFERROR(SUM(Y476:Y476),"0")</f>
        <v>702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737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13739.199999999999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13842.66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738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14353.044145311902</v>
      </c>
      <c r="Y490" s="543">
        <f>IFERROR(SUM(BN22:BN486),"0")</f>
        <v>14461.466999999995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739</v>
      </c>
      <c r="Q491" s="634"/>
      <c r="R491" s="634"/>
      <c r="S491" s="634"/>
      <c r="T491" s="634"/>
      <c r="U491" s="634"/>
      <c r="V491" s="635"/>
      <c r="W491" s="37" t="s">
        <v>740</v>
      </c>
      <c r="X491" s="38">
        <f>ROUNDUP(SUM(BO22:BO486),0)</f>
        <v>22</v>
      </c>
      <c r="Y491" s="38">
        <f>ROUNDUP(SUM(BP22:BP486),0)</f>
        <v>22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741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14903.044145311902</v>
      </c>
      <c r="Y492" s="543">
        <f>GrossWeightTotalR+PalletQtyTotalR*25</f>
        <v>15011.466999999995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742</v>
      </c>
      <c r="Q493" s="634"/>
      <c r="R493" s="634"/>
      <c r="S493" s="634"/>
      <c r="T493" s="634"/>
      <c r="U493" s="634"/>
      <c r="V493" s="635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1650.7549136687071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1664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743</v>
      </c>
      <c r="Q494" s="634"/>
      <c r="R494" s="634"/>
      <c r="S494" s="634"/>
      <c r="T494" s="634"/>
      <c r="U494" s="634"/>
      <c r="V494" s="635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23.781660000000006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257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535</v>
      </c>
      <c r="T496" s="625"/>
      <c r="U496" s="591" t="s">
        <v>586</v>
      </c>
      <c r="V496" s="662"/>
      <c r="W496" s="625"/>
      <c r="X496" s="538" t="s">
        <v>637</v>
      </c>
      <c r="Y496" s="591" t="s">
        <v>697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746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192</v>
      </c>
      <c r="G497" s="591" t="s">
        <v>222</v>
      </c>
      <c r="H497" s="591" t="s">
        <v>97</v>
      </c>
      <c r="I497" s="591" t="s">
        <v>258</v>
      </c>
      <c r="J497" s="591" t="s">
        <v>299</v>
      </c>
      <c r="K497" s="591" t="s">
        <v>359</v>
      </c>
      <c r="L497" s="591" t="s">
        <v>401</v>
      </c>
      <c r="M497" s="591" t="s">
        <v>417</v>
      </c>
      <c r="N497" s="539"/>
      <c r="O497" s="591" t="s">
        <v>428</v>
      </c>
      <c r="P497" s="591" t="s">
        <v>437</v>
      </c>
      <c r="Q497" s="591" t="s">
        <v>447</v>
      </c>
      <c r="R497" s="591" t="s">
        <v>525</v>
      </c>
      <c r="S497" s="591" t="s">
        <v>536</v>
      </c>
      <c r="T497" s="591" t="s">
        <v>570</v>
      </c>
      <c r="U497" s="591" t="s">
        <v>587</v>
      </c>
      <c r="V497" s="591" t="s">
        <v>618</v>
      </c>
      <c r="W497" s="591" t="s">
        <v>633</v>
      </c>
      <c r="X497" s="591" t="s">
        <v>637</v>
      </c>
      <c r="Y497" s="591" t="s">
        <v>697</v>
      </c>
      <c r="Z497" s="591" t="s">
        <v>733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21.6</v>
      </c>
      <c r="E499" s="46">
        <f>IFERROR(Y86*1,"0")+IFERROR(Y87*1,"0")+IFERROR(Y88*1,"0")+IFERROR(Y92*1,"0")+IFERROR(Y93*1,"0")+IFERROR(Y94*1,"0")+IFERROR(Y95*1,"0")</f>
        <v>207.9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251.1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180.60000000000002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2049.9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75.599999999999994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9435</v>
      </c>
      <c r="T499" s="46">
        <f>IFERROR(Y368*1,"0")+IFERROR(Y369*1,"0")+IFERROR(Y373*1,"0")+IFERROR(Y374*1,"0")+IFERROR(Y378*1,"0")+IFERROR(Y379*1,"0")</f>
        <v>207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16.8</v>
      </c>
      <c r="V499" s="46">
        <f>IFERROR(Y403*1,"0")+IFERROR(Y407*1,"0")+IFERROR(Y408*1,"0")+IFERROR(Y409*1,"0")+IFERROR(Y410*1,"0")</f>
        <v>135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459.36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802.8</v>
      </c>
      <c r="Z499" s="46">
        <f>IFERROR(Y486*1,"0")</f>
        <v>0</v>
      </c>
      <c r="AB499" s="52"/>
      <c r="AC499" s="52"/>
      <c r="AF499" s="539"/>
    </row>
  </sheetData>
  <sheetProtection algorithmName="SHA-512" hashValue="jvTGo2qo9L4Ot53H2J1g3cBRl9arfau0GATkaKE/M5pLjuiainQBp1OWgB7Wrh0vJ5K+MARfaD1w6Mlv7P4PBQ==" saltValue="aYT3HwGydbAoz6Iuk7oa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3 X80 X86 X88 X92 X94:X95 X100:X102 X107 X109 X113 X115 X125:X126 X131 X163 X165:X166 X168:X169 X192 X196:X201 X203 X207:X210 X212:X215 X219:X220 X225 X255 X273:X274 X298 X301 X307 X311 X315:X317 X323:X324 X328 X330 X335:X337 X343:X346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sRp/n+oviwMke+dKjfI7BGEsVYjaphPWQJ9Lrd2d+ITkX/SsPz2vwcHbbi1PzZoytYvaNsOxzoA4zgCfCU1Zag==" saltValue="WD1jdDQVsFvCQy9uAeMR0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2025-11-05T06:46:31Z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