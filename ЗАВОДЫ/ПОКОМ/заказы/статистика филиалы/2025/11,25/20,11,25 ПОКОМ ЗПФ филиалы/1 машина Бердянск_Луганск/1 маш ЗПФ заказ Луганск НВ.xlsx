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CA35521A-951A-4300-A432-6522ACC5B43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Y197" i="1"/>
  <c r="X197" i="1"/>
  <c r="Z196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Y196" i="1" s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Y189" i="1" s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P169" i="1"/>
  <c r="BO169" i="1"/>
  <c r="BN169" i="1"/>
  <c r="BM169" i="1"/>
  <c r="Z169" i="1"/>
  <c r="Z171" i="1" s="1"/>
  <c r="Y169" i="1"/>
  <c r="P169" i="1"/>
  <c r="BO168" i="1"/>
  <c r="BM168" i="1"/>
  <c r="Z168" i="1"/>
  <c r="Y168" i="1"/>
  <c r="P168" i="1"/>
  <c r="Y164" i="1"/>
  <c r="X164" i="1"/>
  <c r="Z163" i="1"/>
  <c r="X163" i="1"/>
  <c r="BO162" i="1"/>
  <c r="BM162" i="1"/>
  <c r="Z162" i="1"/>
  <c r="Y162" i="1"/>
  <c r="P162" i="1"/>
  <c r="BP161" i="1"/>
  <c r="BO161" i="1"/>
  <c r="BN161" i="1"/>
  <c r="BM161" i="1"/>
  <c r="Z161" i="1"/>
  <c r="Y161" i="1"/>
  <c r="Y163" i="1" s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P134" i="1"/>
  <c r="X131" i="1"/>
  <c r="X130" i="1"/>
  <c r="BO129" i="1"/>
  <c r="BM129" i="1"/>
  <c r="Z129" i="1"/>
  <c r="Y129" i="1"/>
  <c r="BP129" i="1" s="1"/>
  <c r="P129" i="1"/>
  <c r="BP128" i="1"/>
  <c r="BO128" i="1"/>
  <c r="BN128" i="1"/>
  <c r="BM128" i="1"/>
  <c r="Z128" i="1"/>
  <c r="Z130" i="1" s="1"/>
  <c r="Y128" i="1"/>
  <c r="Y130" i="1" s="1"/>
  <c r="P128" i="1"/>
  <c r="X125" i="1"/>
  <c r="X124" i="1"/>
  <c r="BP123" i="1"/>
  <c r="BO123" i="1"/>
  <c r="BN123" i="1"/>
  <c r="BM123" i="1"/>
  <c r="Z123" i="1"/>
  <c r="Y123" i="1"/>
  <c r="P123" i="1"/>
  <c r="BO122" i="1"/>
  <c r="BM122" i="1"/>
  <c r="Z122" i="1"/>
  <c r="Z124" i="1" s="1"/>
  <c r="Y122" i="1"/>
  <c r="Y125" i="1" s="1"/>
  <c r="P122" i="1"/>
  <c r="X119" i="1"/>
  <c r="Z118" i="1"/>
  <c r="X118" i="1"/>
  <c r="BO117" i="1"/>
  <c r="BM117" i="1"/>
  <c r="Z117" i="1"/>
  <c r="Y117" i="1"/>
  <c r="Y118" i="1" s="1"/>
  <c r="P117" i="1"/>
  <c r="X115" i="1"/>
  <c r="X114" i="1"/>
  <c r="BO113" i="1"/>
  <c r="BM113" i="1"/>
  <c r="Z113" i="1"/>
  <c r="Y113" i="1"/>
  <c r="BP113" i="1" s="1"/>
  <c r="P113" i="1"/>
  <c r="BP112" i="1"/>
  <c r="BO112" i="1"/>
  <c r="BN112" i="1"/>
  <c r="BM112" i="1"/>
  <c r="Z112" i="1"/>
  <c r="Z114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Z279" i="1" s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X277" i="1" l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09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5" i="1" l="1"/>
  <c r="Y274" i="1"/>
  <c r="Y276" i="1"/>
  <c r="Y277" i="1" l="1"/>
  <c r="A287" i="1" s="1"/>
  <c r="C287" i="1" l="1"/>
  <c r="B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<sst xmlns="http://schemas.openxmlformats.org/spreadsheetml/2006/main" count="1229" uniqueCount="396">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</sst>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51" t="s">
        <v>7</v>
      </c>
      <c r="B5" s="319"/>
      <c r="C5" s="320"/>
      <c r="D5" s="326"/>
      <c r="E5" s="327"/>
      <c r="F5" s="439" t="s">
        <v>8</v>
      </c>
      <c r="G5" s="320"/>
      <c r="H5" s="326"/>
      <c r="I5" s="411"/>
      <c r="J5" s="411"/>
      <c r="K5" s="411"/>
      <c r="L5" s="411"/>
      <c r="M5" s="327"/>
      <c r="N5" s="61"/>
      <c r="P5" s="24" t="s">
        <v>9</v>
      </c>
      <c r="Q5" s="446">
        <v>45985</v>
      </c>
      <c r="R5" s="349"/>
      <c r="T5" s="371" t="s">
        <v>10</v>
      </c>
      <c r="U5" s="372"/>
      <c r="V5" s="373" t="s">
        <v>11</v>
      </c>
      <c r="W5" s="349"/>
      <c r="AB5" s="51"/>
      <c r="AC5" s="51"/>
      <c r="AD5" s="51"/>
      <c r="AE5" s="51"/>
    </row>
    <row r="6" spans="1:32" s="265" customFormat="1" ht="24" customHeight="1" x14ac:dyDescent="0.2">
      <c r="A6" s="351" t="s">
        <v>12</v>
      </c>
      <c r="B6" s="319"/>
      <c r="C6" s="320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7" t="s">
        <v>15</v>
      </c>
      <c r="U6" s="372"/>
      <c r="V6" s="399" t="s">
        <v>16</v>
      </c>
      <c r="W6" s="29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2"/>
      <c r="U7" s="372"/>
      <c r="V7" s="400"/>
      <c r="W7" s="401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9"/>
      <c r="C8" s="280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4">
        <v>0.41666666666666669</v>
      </c>
      <c r="R8" s="308"/>
      <c r="T8" s="282"/>
      <c r="U8" s="372"/>
      <c r="V8" s="400"/>
      <c r="W8" s="401"/>
      <c r="AB8" s="51"/>
      <c r="AC8" s="51"/>
      <c r="AD8" s="51"/>
      <c r="AE8" s="51"/>
    </row>
    <row r="9" spans="1:32" s="265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20</v>
      </c>
      <c r="Q9" s="346"/>
      <c r="R9" s="347"/>
      <c r="T9" s="282"/>
      <c r="U9" s="372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4" t="str">
        <f>IFERROR(VLOOKUP($D$10,Proxy,2,FALSE),"")</f>
        <v/>
      </c>
      <c r="I10" s="282"/>
      <c r="J10" s="282"/>
      <c r="K10" s="282"/>
      <c r="L10" s="282"/>
      <c r="M10" s="282"/>
      <c r="N10" s="264"/>
      <c r="P10" s="26" t="s">
        <v>21</v>
      </c>
      <c r="Q10" s="378"/>
      <c r="R10" s="379"/>
      <c r="U10" s="24" t="s">
        <v>22</v>
      </c>
      <c r="V10" s="298" t="s">
        <v>23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19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70" t="s">
        <v>28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29</v>
      </c>
      <c r="Q12" s="354"/>
      <c r="R12" s="308"/>
      <c r="S12" s="23"/>
      <c r="U12" s="24"/>
      <c r="V12" s="290"/>
      <c r="W12" s="282"/>
      <c r="AB12" s="51"/>
      <c r="AC12" s="51"/>
      <c r="AD12" s="51"/>
      <c r="AE12" s="51"/>
    </row>
    <row r="13" spans="1:32" s="265" customFormat="1" ht="23.25" customHeight="1" x14ac:dyDescent="0.2">
      <c r="A13" s="370" t="s">
        <v>30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31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70" t="s">
        <v>32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6" t="s">
        <v>33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35</v>
      </c>
      <c r="B17" s="294" t="s">
        <v>36</v>
      </c>
      <c r="C17" s="358" t="s">
        <v>37</v>
      </c>
      <c r="D17" s="294" t="s">
        <v>38</v>
      </c>
      <c r="E17" s="336"/>
      <c r="F17" s="294" t="s">
        <v>39</v>
      </c>
      <c r="G17" s="294" t="s">
        <v>40</v>
      </c>
      <c r="H17" s="294" t="s">
        <v>41</v>
      </c>
      <c r="I17" s="294" t="s">
        <v>42</v>
      </c>
      <c r="J17" s="294" t="s">
        <v>43</v>
      </c>
      <c r="K17" s="294" t="s">
        <v>44</v>
      </c>
      <c r="L17" s="294" t="s">
        <v>45</v>
      </c>
      <c r="M17" s="294" t="s">
        <v>46</v>
      </c>
      <c r="N17" s="294" t="s">
        <v>47</v>
      </c>
      <c r="O17" s="294" t="s">
        <v>48</v>
      </c>
      <c r="P17" s="294" t="s">
        <v>49</v>
      </c>
      <c r="Q17" s="335"/>
      <c r="R17" s="335"/>
      <c r="S17" s="335"/>
      <c r="T17" s="336"/>
      <c r="U17" s="453" t="s">
        <v>50</v>
      </c>
      <c r="V17" s="320"/>
      <c r="W17" s="294" t="s">
        <v>51</v>
      </c>
      <c r="X17" s="294" t="s">
        <v>52</v>
      </c>
      <c r="Y17" s="454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5"/>
      <c r="X18" s="295"/>
      <c r="Y18" s="455"/>
      <c r="Z18" s="410"/>
      <c r="AA18" s="396"/>
      <c r="AB18" s="396"/>
      <c r="AC18" s="396"/>
      <c r="AD18" s="436"/>
      <c r="AE18" s="437"/>
      <c r="AF18" s="438"/>
      <c r="AG18" s="69"/>
      <c r="BD18" s="68"/>
    </row>
    <row r="19" spans="1:68" ht="27.75" customHeight="1" x14ac:dyDescent="0.2">
      <c r="A19" s="321" t="s">
        <v>62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1" t="s">
        <v>62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3"/>
      <c r="AB20" s="263"/>
      <c r="AC20" s="263"/>
    </row>
    <row r="21" spans="1:68" ht="14.25" customHeight="1" x14ac:dyDescent="0.25">
      <c r="A21" s="304" t="s">
        <v>63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7"/>
      <c r="P23" s="278" t="s">
        <v>72</v>
      </c>
      <c r="Q23" s="279"/>
      <c r="R23" s="279"/>
      <c r="S23" s="279"/>
      <c r="T23" s="279"/>
      <c r="U23" s="279"/>
      <c r="V23" s="280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7"/>
      <c r="P24" s="278" t="s">
        <v>72</v>
      </c>
      <c r="Q24" s="279"/>
      <c r="R24" s="279"/>
      <c r="S24" s="279"/>
      <c r="T24" s="279"/>
      <c r="U24" s="279"/>
      <c r="V24" s="280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74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1" t="s">
        <v>75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63"/>
      <c r="AB26" s="263"/>
      <c r="AC26" s="263"/>
    </row>
    <row r="27" spans="1:68" ht="14.25" customHeight="1" x14ac:dyDescent="0.25">
      <c r="A27" s="304" t="s">
        <v>76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69</v>
      </c>
      <c r="X28" s="268">
        <v>196</v>
      </c>
      <c r="Y28" s="269">
        <f>IFERROR(IF(X28="","",X28),"")</f>
        <v>196</v>
      </c>
      <c r="Z28" s="36">
        <f>IFERROR(IF(X28="","",X28*0.00941),"")</f>
        <v>1.84436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376.6728</v>
      </c>
      <c r="BN28" s="67">
        <f>IFERROR(Y28*I28,"0")</f>
        <v>376.6728</v>
      </c>
      <c r="BO28" s="67">
        <f>IFERROR(X28/J28,"0")</f>
        <v>1.4</v>
      </c>
      <c r="BP28" s="67">
        <f>IFERROR(Y28/J28,"0")</f>
        <v>1.4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6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7"/>
      <c r="P30" s="278" t="s">
        <v>72</v>
      </c>
      <c r="Q30" s="279"/>
      <c r="R30" s="279"/>
      <c r="S30" s="279"/>
      <c r="T30" s="279"/>
      <c r="U30" s="279"/>
      <c r="V30" s="280"/>
      <c r="W30" s="37" t="s">
        <v>69</v>
      </c>
      <c r="X30" s="270">
        <f>IFERROR(SUM(X28:X29),"0")</f>
        <v>224</v>
      </c>
      <c r="Y30" s="270">
        <f>IFERROR(SUM(Y28:Y29),"0")</f>
        <v>224</v>
      </c>
      <c r="Z30" s="270">
        <f>IFERROR(IF(Z28="",0,Z28),"0")+IFERROR(IF(Z29="",0,Z29),"0")</f>
        <v>2.1078399999999999</v>
      </c>
      <c r="AA30" s="271"/>
      <c r="AB30" s="271"/>
      <c r="AC30" s="271"/>
    </row>
    <row r="31" spans="1:68" x14ac:dyDescent="0.2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7"/>
      <c r="P31" s="278" t="s">
        <v>72</v>
      </c>
      <c r="Q31" s="279"/>
      <c r="R31" s="279"/>
      <c r="S31" s="279"/>
      <c r="T31" s="279"/>
      <c r="U31" s="279"/>
      <c r="V31" s="280"/>
      <c r="W31" s="37" t="s">
        <v>73</v>
      </c>
      <c r="X31" s="270">
        <f>IFERROR(SUMPRODUCT(X28:X29*H28:H29),"0")</f>
        <v>336</v>
      </c>
      <c r="Y31" s="270">
        <f>IFERROR(SUMPRODUCT(Y28:Y29*H28:H29),"0")</f>
        <v>336</v>
      </c>
      <c r="Z31" s="37"/>
      <c r="AA31" s="271"/>
      <c r="AB31" s="271"/>
      <c r="AC31" s="271"/>
    </row>
    <row r="32" spans="1:68" ht="16.5" customHeight="1" x14ac:dyDescent="0.25">
      <c r="A32" s="281" t="s">
        <v>86</v>
      </c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63"/>
      <c r="AB32" s="263"/>
      <c r="AC32" s="263"/>
    </row>
    <row r="33" spans="1:68" ht="14.25" customHeight="1" x14ac:dyDescent="0.25">
      <c r="A33" s="304" t="s">
        <v>63</v>
      </c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69</v>
      </c>
      <c r="X34" s="268">
        <v>12</v>
      </c>
      <c r="Y34" s="269">
        <f>IFERROR(IF(X34="","",X34),"")</f>
        <v>12</v>
      </c>
      <c r="Z34" s="36">
        <f>IFERROR(IF(X34="","",X34*0.0155),"")</f>
        <v>0.186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70.44</v>
      </c>
      <c r="BN34" s="67">
        <f>IFERROR(Y34*I34,"0")</f>
        <v>70.44</v>
      </c>
      <c r="BO34" s="67">
        <f>IFERROR(X34/J34,"0")</f>
        <v>0.14285714285714285</v>
      </c>
      <c r="BP34" s="67">
        <f>IFERROR(Y34/J34,"0")</f>
        <v>0.14285714285714285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69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6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7"/>
      <c r="P37" s="278" t="s">
        <v>72</v>
      </c>
      <c r="Q37" s="279"/>
      <c r="R37" s="279"/>
      <c r="S37" s="279"/>
      <c r="T37" s="279"/>
      <c r="U37" s="279"/>
      <c r="V37" s="280"/>
      <c r="W37" s="37" t="s">
        <v>69</v>
      </c>
      <c r="X37" s="270">
        <f>IFERROR(SUM(X34:X36),"0")</f>
        <v>24</v>
      </c>
      <c r="Y37" s="270">
        <f>IFERROR(SUM(Y34:Y36),"0")</f>
        <v>24</v>
      </c>
      <c r="Z37" s="270">
        <f>IFERROR(IF(Z34="",0,Z34),"0")+IFERROR(IF(Z35="",0,Z35),"0")+IFERROR(IF(Z36="",0,Z36),"0")</f>
        <v>0.372</v>
      </c>
      <c r="AA37" s="271"/>
      <c r="AB37" s="271"/>
      <c r="AC37" s="271"/>
    </row>
    <row r="38" spans="1:68" x14ac:dyDescent="0.2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7"/>
      <c r="P38" s="278" t="s">
        <v>72</v>
      </c>
      <c r="Q38" s="279"/>
      <c r="R38" s="279"/>
      <c r="S38" s="279"/>
      <c r="T38" s="279"/>
      <c r="U38" s="279"/>
      <c r="V38" s="280"/>
      <c r="W38" s="37" t="s">
        <v>73</v>
      </c>
      <c r="X38" s="270">
        <f>IFERROR(SUMPRODUCT(X34:X36*H34:H36),"0")</f>
        <v>134.39999999999998</v>
      </c>
      <c r="Y38" s="270">
        <f>IFERROR(SUMPRODUCT(Y34:Y36*H34:H36),"0")</f>
        <v>134.39999999999998</v>
      </c>
      <c r="Z38" s="37"/>
      <c r="AA38" s="271"/>
      <c r="AB38" s="271"/>
      <c r="AC38" s="271"/>
    </row>
    <row r="39" spans="1:68" ht="16.5" customHeight="1" x14ac:dyDescent="0.25">
      <c r="A39" s="281" t="s">
        <v>96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63"/>
      <c r="AB39" s="263"/>
      <c r="AC39" s="263"/>
    </row>
    <row r="40" spans="1:68" ht="14.25" customHeight="1" x14ac:dyDescent="0.25">
      <c r="A40" s="304" t="s">
        <v>63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69</v>
      </c>
      <c r="X41" s="268">
        <v>24</v>
      </c>
      <c r="Y41" s="269">
        <f>IFERROR(IF(X41="","",X41),"")</f>
        <v>24</v>
      </c>
      <c r="Z41" s="36">
        <f>IFERROR(IF(X41="","",X41*0.0155),"")</f>
        <v>0.372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175.2</v>
      </c>
      <c r="BN41" s="67">
        <f>IFERROR(Y41*I41,"0")</f>
        <v>175.2</v>
      </c>
      <c r="BO41" s="67">
        <f>IFERROR(X41/J41,"0")</f>
        <v>0.2857142857142857</v>
      </c>
      <c r="BP41" s="67">
        <f>IFERROR(Y41/J41,"0")</f>
        <v>0.2857142857142857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69</v>
      </c>
      <c r="X42" s="268">
        <v>12</v>
      </c>
      <c r="Y42" s="269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69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6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7"/>
      <c r="P45" s="278" t="s">
        <v>72</v>
      </c>
      <c r="Q45" s="279"/>
      <c r="R45" s="279"/>
      <c r="S45" s="279"/>
      <c r="T45" s="279"/>
      <c r="U45" s="279"/>
      <c r="V45" s="280"/>
      <c r="W45" s="37" t="s">
        <v>69</v>
      </c>
      <c r="X45" s="270">
        <f>IFERROR(SUM(X41:X44),"0")</f>
        <v>48</v>
      </c>
      <c r="Y45" s="270">
        <f>IFERROR(SUM(Y41:Y44),"0")</f>
        <v>48</v>
      </c>
      <c r="Z45" s="270">
        <f>IFERROR(IF(Z41="",0,Z41),"0")+IFERROR(IF(Z42="",0,Z42),"0")+IFERROR(IF(Z43="",0,Z43),"0")+IFERROR(IF(Z44="",0,Z44),"0")</f>
        <v>0.74399999999999999</v>
      </c>
      <c r="AA45" s="271"/>
      <c r="AB45" s="271"/>
      <c r="AC45" s="271"/>
    </row>
    <row r="46" spans="1:68" x14ac:dyDescent="0.2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7"/>
      <c r="P46" s="278" t="s">
        <v>72</v>
      </c>
      <c r="Q46" s="279"/>
      <c r="R46" s="279"/>
      <c r="S46" s="279"/>
      <c r="T46" s="279"/>
      <c r="U46" s="279"/>
      <c r="V46" s="280"/>
      <c r="W46" s="37" t="s">
        <v>73</v>
      </c>
      <c r="X46" s="270">
        <f>IFERROR(SUMPRODUCT(X41:X44*H41:H44),"0")</f>
        <v>336</v>
      </c>
      <c r="Y46" s="270">
        <f>IFERROR(SUMPRODUCT(Y41:Y44*H41:H44),"0")</f>
        <v>336</v>
      </c>
      <c r="Z46" s="37"/>
      <c r="AA46" s="271"/>
      <c r="AB46" s="271"/>
      <c r="AC46" s="271"/>
    </row>
    <row r="47" spans="1:68" ht="16.5" customHeight="1" x14ac:dyDescent="0.25">
      <c r="A47" s="281" t="s">
        <v>107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63"/>
      <c r="AB47" s="263"/>
      <c r="AC47" s="263"/>
    </row>
    <row r="48" spans="1:68" ht="14.25" customHeight="1" x14ac:dyDescent="0.25">
      <c r="A48" s="304" t="s">
        <v>63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62"/>
      <c r="AB48" s="262"/>
      <c r="AC48" s="262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7"/>
      <c r="P50" s="278" t="s">
        <v>72</v>
      </c>
      <c r="Q50" s="279"/>
      <c r="R50" s="279"/>
      <c r="S50" s="279"/>
      <c r="T50" s="279"/>
      <c r="U50" s="279"/>
      <c r="V50" s="280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7"/>
      <c r="P51" s="278" t="s">
        <v>72</v>
      </c>
      <c r="Q51" s="279"/>
      <c r="R51" s="279"/>
      <c r="S51" s="279"/>
      <c r="T51" s="279"/>
      <c r="U51" s="279"/>
      <c r="V51" s="280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76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62"/>
      <c r="AB52" s="262"/>
      <c r="AC52" s="262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7"/>
      <c r="P54" s="278" t="s">
        <v>72</v>
      </c>
      <c r="Q54" s="279"/>
      <c r="R54" s="279"/>
      <c r="S54" s="279"/>
      <c r="T54" s="279"/>
      <c r="U54" s="279"/>
      <c r="V54" s="280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7"/>
      <c r="P55" s="278" t="s">
        <v>72</v>
      </c>
      <c r="Q55" s="279"/>
      <c r="R55" s="279"/>
      <c r="S55" s="279"/>
      <c r="T55" s="279"/>
      <c r="U55" s="279"/>
      <c r="V55" s="280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114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62"/>
      <c r="AB56" s="262"/>
      <c r="AC56" s="262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7"/>
      <c r="P59" s="278" t="s">
        <v>72</v>
      </c>
      <c r="Q59" s="279"/>
      <c r="R59" s="279"/>
      <c r="S59" s="279"/>
      <c r="T59" s="279"/>
      <c r="U59" s="279"/>
      <c r="V59" s="280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7"/>
      <c r="P60" s="278" t="s">
        <v>72</v>
      </c>
      <c r="Q60" s="279"/>
      <c r="R60" s="279"/>
      <c r="S60" s="279"/>
      <c r="T60" s="279"/>
      <c r="U60" s="279"/>
      <c r="V60" s="280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120</v>
      </c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62"/>
      <c r="AB61" s="262"/>
      <c r="AC61" s="262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7"/>
      <c r="P65" s="278" t="s">
        <v>72</v>
      </c>
      <c r="Q65" s="279"/>
      <c r="R65" s="279"/>
      <c r="S65" s="279"/>
      <c r="T65" s="279"/>
      <c r="U65" s="279"/>
      <c r="V65" s="280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7"/>
      <c r="P66" s="278" t="s">
        <v>72</v>
      </c>
      <c r="Q66" s="279"/>
      <c r="R66" s="279"/>
      <c r="S66" s="279"/>
      <c r="T66" s="279"/>
      <c r="U66" s="279"/>
      <c r="V66" s="280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1" t="s">
        <v>128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3"/>
      <c r="AB67" s="263"/>
      <c r="AC67" s="263"/>
    </row>
    <row r="68" spans="1:68" ht="14.25" customHeight="1" x14ac:dyDescent="0.25">
      <c r="A68" s="304" t="s">
        <v>63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62"/>
      <c r="AB68" s="262"/>
      <c r="AC68" s="262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69</v>
      </c>
      <c r="X70" s="268">
        <v>144</v>
      </c>
      <c r="Y70" s="269">
        <f>IFERROR(IF(X70="","",X70),"")</f>
        <v>144</v>
      </c>
      <c r="Z70" s="36">
        <f>IFERROR(IF(X70="","",X70*0.00866),"")</f>
        <v>1.2470399999999999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750.70079999999996</v>
      </c>
      <c r="BN70" s="67">
        <f>IFERROR(Y70*I70,"0")</f>
        <v>750.70079999999996</v>
      </c>
      <c r="BO70" s="67">
        <f>IFERROR(X70/J70,"0")</f>
        <v>1</v>
      </c>
      <c r="BP70" s="67">
        <f>IFERROR(Y70/J70,"0")</f>
        <v>1</v>
      </c>
    </row>
    <row r="71" spans="1:68" x14ac:dyDescent="0.2">
      <c r="A71" s="286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7"/>
      <c r="P71" s="278" t="s">
        <v>72</v>
      </c>
      <c r="Q71" s="279"/>
      <c r="R71" s="279"/>
      <c r="S71" s="279"/>
      <c r="T71" s="279"/>
      <c r="U71" s="279"/>
      <c r="V71" s="280"/>
      <c r="W71" s="37" t="s">
        <v>69</v>
      </c>
      <c r="X71" s="270">
        <f>IFERROR(SUM(X69:X70),"0")</f>
        <v>144</v>
      </c>
      <c r="Y71" s="270">
        <f>IFERROR(SUM(Y69:Y70),"0")</f>
        <v>144</v>
      </c>
      <c r="Z71" s="270">
        <f>IFERROR(IF(Z69="",0,Z69),"0")+IFERROR(IF(Z70="",0,Z70),"0")</f>
        <v>1.2470399999999999</v>
      </c>
      <c r="AA71" s="271"/>
      <c r="AB71" s="271"/>
      <c r="AC71" s="271"/>
    </row>
    <row r="72" spans="1:68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7"/>
      <c r="P72" s="278" t="s">
        <v>72</v>
      </c>
      <c r="Q72" s="279"/>
      <c r="R72" s="279"/>
      <c r="S72" s="279"/>
      <c r="T72" s="279"/>
      <c r="U72" s="279"/>
      <c r="V72" s="280"/>
      <c r="W72" s="37" t="s">
        <v>73</v>
      </c>
      <c r="X72" s="270">
        <f>IFERROR(SUMPRODUCT(X69:X70*H69:H70),"0")</f>
        <v>720</v>
      </c>
      <c r="Y72" s="270">
        <f>IFERROR(SUMPRODUCT(Y69:Y70*H69:H70),"0")</f>
        <v>720</v>
      </c>
      <c r="Z72" s="37"/>
      <c r="AA72" s="271"/>
      <c r="AB72" s="271"/>
      <c r="AC72" s="271"/>
    </row>
    <row r="73" spans="1:68" ht="16.5" customHeight="1" x14ac:dyDescent="0.25">
      <c r="A73" s="281" t="s">
        <v>135</v>
      </c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63"/>
      <c r="AB73" s="263"/>
      <c r="AC73" s="263"/>
    </row>
    <row r="74" spans="1:68" ht="14.25" customHeight="1" x14ac:dyDescent="0.25">
      <c r="A74" s="304" t="s">
        <v>120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62"/>
      <c r="AB74" s="262"/>
      <c r="AC74" s="262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7"/>
      <c r="P76" s="278" t="s">
        <v>72</v>
      </c>
      <c r="Q76" s="279"/>
      <c r="R76" s="279"/>
      <c r="S76" s="279"/>
      <c r="T76" s="279"/>
      <c r="U76" s="279"/>
      <c r="V76" s="280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7"/>
      <c r="P77" s="278" t="s">
        <v>72</v>
      </c>
      <c r="Q77" s="279"/>
      <c r="R77" s="279"/>
      <c r="S77" s="279"/>
      <c r="T77" s="279"/>
      <c r="U77" s="279"/>
      <c r="V77" s="280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1" t="s">
        <v>139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3"/>
      <c r="AB78" s="263"/>
      <c r="AC78" s="263"/>
    </row>
    <row r="79" spans="1:68" ht="14.25" customHeight="1" x14ac:dyDescent="0.25">
      <c r="A79" s="304" t="s">
        <v>140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69</v>
      </c>
      <c r="X80" s="268">
        <v>70</v>
      </c>
      <c r="Y80" s="269">
        <f>IFERROR(IF(X80="","",X80),"")</f>
        <v>70</v>
      </c>
      <c r="Z80" s="36">
        <f>IFERROR(IF(X80="","",X80*0.01788),"")</f>
        <v>1.2516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301.25200000000001</v>
      </c>
      <c r="BN80" s="67">
        <f>IFERROR(Y80*I80,"0")</f>
        <v>301.25200000000001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69</v>
      </c>
      <c r="X81" s="268">
        <v>28</v>
      </c>
      <c r="Y81" s="269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6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7"/>
      <c r="P82" s="278" t="s">
        <v>72</v>
      </c>
      <c r="Q82" s="279"/>
      <c r="R82" s="279"/>
      <c r="S82" s="279"/>
      <c r="T82" s="279"/>
      <c r="U82" s="279"/>
      <c r="V82" s="280"/>
      <c r="W82" s="37" t="s">
        <v>69</v>
      </c>
      <c r="X82" s="270">
        <f>IFERROR(SUM(X80:X81),"0")</f>
        <v>98</v>
      </c>
      <c r="Y82" s="270">
        <f>IFERROR(SUM(Y80:Y81),"0")</f>
        <v>98</v>
      </c>
      <c r="Z82" s="270">
        <f>IFERROR(IF(Z80="",0,Z80),"0")+IFERROR(IF(Z81="",0,Z81),"0")</f>
        <v>1.75224</v>
      </c>
      <c r="AA82" s="271"/>
      <c r="AB82" s="271"/>
      <c r="AC82" s="271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7"/>
      <c r="P83" s="278" t="s">
        <v>72</v>
      </c>
      <c r="Q83" s="279"/>
      <c r="R83" s="279"/>
      <c r="S83" s="279"/>
      <c r="T83" s="279"/>
      <c r="U83" s="279"/>
      <c r="V83" s="280"/>
      <c r="W83" s="37" t="s">
        <v>73</v>
      </c>
      <c r="X83" s="270">
        <f>IFERROR(SUMPRODUCT(X80:X81*H80:H81),"0")</f>
        <v>352.8</v>
      </c>
      <c r="Y83" s="270">
        <f>IFERROR(SUMPRODUCT(Y80:Y81*H80:H81),"0")</f>
        <v>352.8</v>
      </c>
      <c r="Z83" s="37"/>
      <c r="AA83" s="271"/>
      <c r="AB83" s="271"/>
      <c r="AC83" s="271"/>
    </row>
    <row r="84" spans="1:68" ht="16.5" customHeight="1" x14ac:dyDescent="0.25">
      <c r="A84" s="281" t="s">
        <v>147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3"/>
      <c r="AB84" s="263"/>
      <c r="AC84" s="263"/>
    </row>
    <row r="85" spans="1:68" ht="14.25" customHeight="1" x14ac:dyDescent="0.25">
      <c r="A85" s="304" t="s">
        <v>120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69</v>
      </c>
      <c r="X87" s="268">
        <v>42</v>
      </c>
      <c r="Y87" s="269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69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69</v>
      </c>
      <c r="X89" s="268">
        <v>70</v>
      </c>
      <c r="Y89" s="269">
        <f t="shared" si="0"/>
        <v>70</v>
      </c>
      <c r="Z89" s="36">
        <f t="shared" si="1"/>
        <v>1.2516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69</v>
      </c>
      <c r="X90" s="268">
        <v>28</v>
      </c>
      <c r="Y90" s="269">
        <f t="shared" si="0"/>
        <v>28</v>
      </c>
      <c r="Z90" s="36">
        <f t="shared" si="1"/>
        <v>0.50063999999999997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124.56640000000002</v>
      </c>
      <c r="BN90" s="67">
        <f t="shared" si="3"/>
        <v>124.56640000000002</v>
      </c>
      <c r="BO90" s="67">
        <f t="shared" si="4"/>
        <v>0.4</v>
      </c>
      <c r="BP90" s="67">
        <f t="shared" si="5"/>
        <v>0.4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7"/>
      <c r="P92" s="278" t="s">
        <v>72</v>
      </c>
      <c r="Q92" s="279"/>
      <c r="R92" s="279"/>
      <c r="S92" s="279"/>
      <c r="T92" s="279"/>
      <c r="U92" s="279"/>
      <c r="V92" s="280"/>
      <c r="W92" s="37" t="s">
        <v>69</v>
      </c>
      <c r="X92" s="270">
        <f>IFERROR(SUM(X86:X91),"0")</f>
        <v>168</v>
      </c>
      <c r="Y92" s="270">
        <f>IFERROR(SUM(Y86:Y91),"0")</f>
        <v>168</v>
      </c>
      <c r="Z92" s="270">
        <f>IFERROR(IF(Z86="",0,Z86),"0")+IFERROR(IF(Z87="",0,Z87),"0")+IFERROR(IF(Z88="",0,Z88),"0")+IFERROR(IF(Z89="",0,Z89),"0")+IFERROR(IF(Z90="",0,Z90),"0")+IFERROR(IF(Z91="",0,Z91),"0")</f>
        <v>3.0038399999999998</v>
      </c>
      <c r="AA92" s="271"/>
      <c r="AB92" s="271"/>
      <c r="AC92" s="271"/>
    </row>
    <row r="93" spans="1:68" x14ac:dyDescent="0.2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7"/>
      <c r="P93" s="278" t="s">
        <v>72</v>
      </c>
      <c r="Q93" s="279"/>
      <c r="R93" s="279"/>
      <c r="S93" s="279"/>
      <c r="T93" s="279"/>
      <c r="U93" s="279"/>
      <c r="V93" s="280"/>
      <c r="W93" s="37" t="s">
        <v>73</v>
      </c>
      <c r="X93" s="270">
        <f>IFERROR(SUMPRODUCT(X86:X91*H86:H91),"0")</f>
        <v>529.19999999999993</v>
      </c>
      <c r="Y93" s="270">
        <f>IFERROR(SUMPRODUCT(Y86:Y91*H86:H91),"0")</f>
        <v>529.19999999999993</v>
      </c>
      <c r="Z93" s="37"/>
      <c r="AA93" s="271"/>
      <c r="AB93" s="271"/>
      <c r="AC93" s="271"/>
    </row>
    <row r="94" spans="1:68" ht="16.5" customHeight="1" x14ac:dyDescent="0.25">
      <c r="A94" s="281" t="s">
        <v>162</v>
      </c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63"/>
      <c r="AB94" s="263"/>
      <c r="AC94" s="263"/>
    </row>
    <row r="95" spans="1:68" ht="14.25" customHeight="1" x14ac:dyDescent="0.25">
      <c r="A95" s="304" t="s">
        <v>114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2"/>
      <c r="AB95" s="262"/>
      <c r="AC95" s="262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28</v>
      </c>
      <c r="Y97" s="269">
        <f>IFERROR(IF(X97="","",X97),"")</f>
        <v>28</v>
      </c>
      <c r="Z97" s="36">
        <f>IFERROR(IF(X97="","",X97*0.01788),"")</f>
        <v>0.50063999999999997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118.83199999999999</v>
      </c>
      <c r="BN97" s="67">
        <f>IFERROR(Y97*I97,"0")</f>
        <v>118.83199999999999</v>
      </c>
      <c r="BO97" s="67">
        <f>IFERROR(X97/J97,"0")</f>
        <v>0.4</v>
      </c>
      <c r="BP97" s="67">
        <f>IFERROR(Y97/J97,"0")</f>
        <v>0.4</v>
      </c>
    </row>
    <row r="98" spans="1:68" x14ac:dyDescent="0.2">
      <c r="A98" s="286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7"/>
      <c r="P98" s="278" t="s">
        <v>72</v>
      </c>
      <c r="Q98" s="279"/>
      <c r="R98" s="279"/>
      <c r="S98" s="279"/>
      <c r="T98" s="279"/>
      <c r="U98" s="279"/>
      <c r="V98" s="280"/>
      <c r="W98" s="37" t="s">
        <v>69</v>
      </c>
      <c r="X98" s="270">
        <f>IFERROR(SUM(X96:X97),"0")</f>
        <v>28</v>
      </c>
      <c r="Y98" s="270">
        <f>IFERROR(SUM(Y96:Y97),"0")</f>
        <v>28</v>
      </c>
      <c r="Z98" s="270">
        <f>IFERROR(IF(Z96="",0,Z96),"0")+IFERROR(IF(Z97="",0,Z97),"0")</f>
        <v>0.50063999999999997</v>
      </c>
      <c r="AA98" s="271"/>
      <c r="AB98" s="271"/>
      <c r="AC98" s="271"/>
    </row>
    <row r="99" spans="1:68" x14ac:dyDescent="0.2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7"/>
      <c r="P99" s="278" t="s">
        <v>72</v>
      </c>
      <c r="Q99" s="279"/>
      <c r="R99" s="279"/>
      <c r="S99" s="279"/>
      <c r="T99" s="279"/>
      <c r="U99" s="279"/>
      <c r="V99" s="280"/>
      <c r="W99" s="37" t="s">
        <v>73</v>
      </c>
      <c r="X99" s="270">
        <f>IFERROR(SUMPRODUCT(X96:X97*H96:H97),"0")</f>
        <v>100.8</v>
      </c>
      <c r="Y99" s="270">
        <f>IFERROR(SUMPRODUCT(Y96:Y97*H96:H97),"0")</f>
        <v>100.8</v>
      </c>
      <c r="Z99" s="37"/>
      <c r="AA99" s="271"/>
      <c r="AB99" s="271"/>
      <c r="AC99" s="271"/>
    </row>
    <row r="100" spans="1:68" ht="16.5" customHeight="1" x14ac:dyDescent="0.25">
      <c r="A100" s="281" t="s">
        <v>168</v>
      </c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63"/>
      <c r="AB100" s="263"/>
      <c r="AC100" s="263"/>
    </row>
    <row r="101" spans="1:68" ht="14.25" customHeight="1" x14ac:dyDescent="0.25">
      <c r="A101" s="304" t="s">
        <v>63</v>
      </c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62"/>
      <c r="AB101" s="262"/>
      <c r="AC101" s="262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69</v>
      </c>
      <c r="X103" s="268">
        <v>12</v>
      </c>
      <c r="Y103" s="269">
        <f t="shared" si="6"/>
        <v>12</v>
      </c>
      <c r="Z103" s="36">
        <f t="shared" si="7"/>
        <v>0.186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80.635199999999998</v>
      </c>
      <c r="BN103" s="67">
        <f t="shared" si="9"/>
        <v>80.635199999999998</v>
      </c>
      <c r="BO103" s="67">
        <f t="shared" si="10"/>
        <v>0.14285714285714285</v>
      </c>
      <c r="BP103" s="67">
        <f t="shared" si="11"/>
        <v>0.14285714285714285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69</v>
      </c>
      <c r="X104" s="268">
        <v>60</v>
      </c>
      <c r="Y104" s="269">
        <f t="shared" si="6"/>
        <v>60</v>
      </c>
      <c r="Z104" s="36">
        <f t="shared" si="7"/>
        <v>0.92999999999999994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438</v>
      </c>
      <c r="BN104" s="67">
        <f t="shared" si="9"/>
        <v>438</v>
      </c>
      <c r="BO104" s="67">
        <f t="shared" si="10"/>
        <v>0.7142857142857143</v>
      </c>
      <c r="BP104" s="67">
        <f t="shared" si="11"/>
        <v>0.7142857142857143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69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96</v>
      </c>
      <c r="Y107" s="269">
        <f t="shared" si="6"/>
        <v>96</v>
      </c>
      <c r="Z107" s="36">
        <f t="shared" si="7"/>
        <v>1.488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700.8</v>
      </c>
      <c r="BN107" s="67">
        <f t="shared" si="9"/>
        <v>700.8</v>
      </c>
      <c r="BO107" s="67">
        <f t="shared" si="10"/>
        <v>1.1428571428571428</v>
      </c>
      <c r="BP107" s="67">
        <f t="shared" si="11"/>
        <v>1.1428571428571428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7"/>
      <c r="P109" s="278" t="s">
        <v>72</v>
      </c>
      <c r="Q109" s="279"/>
      <c r="R109" s="279"/>
      <c r="S109" s="279"/>
      <c r="T109" s="279"/>
      <c r="U109" s="279"/>
      <c r="V109" s="280"/>
      <c r="W109" s="37" t="s">
        <v>69</v>
      </c>
      <c r="X109" s="270">
        <f>IFERROR(SUM(X102:X108),"0")</f>
        <v>192</v>
      </c>
      <c r="Y109" s="270">
        <f>IFERROR(SUM(Y102:Y108),"0")</f>
        <v>192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2.976</v>
      </c>
      <c r="AA109" s="271"/>
      <c r="AB109" s="271"/>
      <c r="AC109" s="271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7"/>
      <c r="P110" s="278" t="s">
        <v>72</v>
      </c>
      <c r="Q110" s="279"/>
      <c r="R110" s="279"/>
      <c r="S110" s="279"/>
      <c r="T110" s="279"/>
      <c r="U110" s="279"/>
      <c r="V110" s="280"/>
      <c r="W110" s="37" t="s">
        <v>73</v>
      </c>
      <c r="X110" s="270">
        <f>IFERROR(SUMPRODUCT(X102:X108*H102:H108),"0")</f>
        <v>1329.6</v>
      </c>
      <c r="Y110" s="270">
        <f>IFERROR(SUMPRODUCT(Y102:Y108*H102:H108),"0")</f>
        <v>1329.6</v>
      </c>
      <c r="Z110" s="37"/>
      <c r="AA110" s="271"/>
      <c r="AB110" s="271"/>
      <c r="AC110" s="271"/>
    </row>
    <row r="111" spans="1:68" ht="14.25" customHeight="1" x14ac:dyDescent="0.25">
      <c r="A111" s="304" t="s">
        <v>120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2"/>
      <c r="AB111" s="262"/>
      <c r="AC111" s="262"/>
    </row>
    <row r="112" spans="1:68" ht="27" customHeight="1" x14ac:dyDescent="0.25">
      <c r="A112" s="54" t="s">
        <v>186</v>
      </c>
      <c r="B112" s="54" t="s">
        <v>187</v>
      </c>
      <c r="C112" s="31">
        <v>4301135670</v>
      </c>
      <c r="D112" s="272">
        <v>4620207490983</v>
      </c>
      <c r="E112" s="273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8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189</v>
      </c>
      <c r="B113" s="54" t="s">
        <v>190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191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7"/>
      <c r="P114" s="278" t="s">
        <v>72</v>
      </c>
      <c r="Q114" s="279"/>
      <c r="R114" s="279"/>
      <c r="S114" s="279"/>
      <c r="T114" s="279"/>
      <c r="U114" s="279"/>
      <c r="V114" s="280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x14ac:dyDescent="0.2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7"/>
      <c r="P115" s="278" t="s">
        <v>72</v>
      </c>
      <c r="Q115" s="279"/>
      <c r="R115" s="279"/>
      <c r="S115" s="279"/>
      <c r="T115" s="279"/>
      <c r="U115" s="279"/>
      <c r="V115" s="280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192</v>
      </c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62"/>
      <c r="AB116" s="262"/>
      <c r="AC116" s="262"/>
    </row>
    <row r="117" spans="1:68" ht="27" customHeight="1" x14ac:dyDescent="0.25">
      <c r="A117" s="54" t="s">
        <v>193</v>
      </c>
      <c r="B117" s="54" t="s">
        <v>194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7"/>
      <c r="P118" s="278" t="s">
        <v>72</v>
      </c>
      <c r="Q118" s="279"/>
      <c r="R118" s="279"/>
      <c r="S118" s="279"/>
      <c r="T118" s="279"/>
      <c r="U118" s="279"/>
      <c r="V118" s="280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7"/>
      <c r="P119" s="278" t="s">
        <v>72</v>
      </c>
      <c r="Q119" s="279"/>
      <c r="R119" s="279"/>
      <c r="S119" s="279"/>
      <c r="T119" s="279"/>
      <c r="U119" s="279"/>
      <c r="V119" s="280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1" t="s">
        <v>196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63"/>
      <c r="AB120" s="263"/>
      <c r="AC120" s="263"/>
    </row>
    <row r="121" spans="1:68" ht="14.25" customHeight="1" x14ac:dyDescent="0.25">
      <c r="A121" s="304" t="s">
        <v>120</v>
      </c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62"/>
      <c r="AB121" s="262"/>
      <c r="AC121" s="262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69</v>
      </c>
      <c r="X122" s="268">
        <v>252</v>
      </c>
      <c r="Y122" s="269">
        <f>IFERROR(IF(X122="","",X122),"")</f>
        <v>252</v>
      </c>
      <c r="Z122" s="36">
        <f>IFERROR(IF(X122="","",X122*0.01788),"")</f>
        <v>4.5057600000000004</v>
      </c>
      <c r="AA122" s="56"/>
      <c r="AB122" s="57"/>
      <c r="AC122" s="152" t="s">
        <v>199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933.30719999999997</v>
      </c>
      <c r="BN122" s="67">
        <f>IFERROR(Y122*I122,"0")</f>
        <v>933.30719999999997</v>
      </c>
      <c r="BO122" s="67">
        <f>IFERROR(X122/J122,"0")</f>
        <v>3.6</v>
      </c>
      <c r="BP122" s="67">
        <f>IFERROR(Y122/J122,"0")</f>
        <v>3.6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202</v>
      </c>
      <c r="M123" s="33" t="s">
        <v>68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69</v>
      </c>
      <c r="X123" s="268">
        <v>140</v>
      </c>
      <c r="Y123" s="269">
        <f>IFERROR(IF(X123="","",X123),"")</f>
        <v>140</v>
      </c>
      <c r="Z123" s="36">
        <f>IFERROR(IF(X123="","",X123*0.01788),"")</f>
        <v>2.5032000000000001</v>
      </c>
      <c r="AA123" s="56"/>
      <c r="AB123" s="57"/>
      <c r="AC123" s="154" t="s">
        <v>138</v>
      </c>
      <c r="AG123" s="67"/>
      <c r="AJ123" s="71" t="s">
        <v>203</v>
      </c>
      <c r="AK123" s="71">
        <v>70</v>
      </c>
      <c r="BB123" s="155" t="s">
        <v>83</v>
      </c>
      <c r="BM123" s="67">
        <f>IFERROR(X123*I123,"0")</f>
        <v>518.50400000000002</v>
      </c>
      <c r="BN123" s="67">
        <f>IFERROR(Y123*I123,"0")</f>
        <v>518.50400000000002</v>
      </c>
      <c r="BO123" s="67">
        <f>IFERROR(X123/J123,"0")</f>
        <v>2</v>
      </c>
      <c r="BP123" s="67">
        <f>IFERROR(Y123/J123,"0")</f>
        <v>2</v>
      </c>
    </row>
    <row r="124" spans="1:68" x14ac:dyDescent="0.2">
      <c r="A124" s="286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7"/>
      <c r="P124" s="278" t="s">
        <v>72</v>
      </c>
      <c r="Q124" s="279"/>
      <c r="R124" s="279"/>
      <c r="S124" s="279"/>
      <c r="T124" s="279"/>
      <c r="U124" s="279"/>
      <c r="V124" s="280"/>
      <c r="W124" s="37" t="s">
        <v>69</v>
      </c>
      <c r="X124" s="270">
        <f>IFERROR(SUM(X122:X123),"0")</f>
        <v>392</v>
      </c>
      <c r="Y124" s="270">
        <f>IFERROR(SUM(Y122:Y123),"0")</f>
        <v>392</v>
      </c>
      <c r="Z124" s="270">
        <f>IFERROR(IF(Z122="",0,Z122),"0")+IFERROR(IF(Z123="",0,Z123),"0")</f>
        <v>7.0089600000000001</v>
      </c>
      <c r="AA124" s="271"/>
      <c r="AB124" s="271"/>
      <c r="AC124" s="271"/>
    </row>
    <row r="125" spans="1:68" x14ac:dyDescent="0.2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7"/>
      <c r="P125" s="278" t="s">
        <v>72</v>
      </c>
      <c r="Q125" s="279"/>
      <c r="R125" s="279"/>
      <c r="S125" s="279"/>
      <c r="T125" s="279"/>
      <c r="U125" s="279"/>
      <c r="V125" s="280"/>
      <c r="W125" s="37" t="s">
        <v>73</v>
      </c>
      <c r="X125" s="270">
        <f>IFERROR(SUMPRODUCT(X122:X123*H122:H123),"0")</f>
        <v>1176</v>
      </c>
      <c r="Y125" s="270">
        <f>IFERROR(SUMPRODUCT(Y122:Y123*H122:H123),"0")</f>
        <v>1176</v>
      </c>
      <c r="Z125" s="37"/>
      <c r="AA125" s="271"/>
      <c r="AB125" s="271"/>
      <c r="AC125" s="271"/>
    </row>
    <row r="126" spans="1:68" ht="16.5" customHeight="1" x14ac:dyDescent="0.25">
      <c r="A126" s="281" t="s">
        <v>204</v>
      </c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63"/>
      <c r="AB126" s="263"/>
      <c r="AC126" s="263"/>
    </row>
    <row r="127" spans="1:68" ht="14.25" customHeight="1" x14ac:dyDescent="0.25">
      <c r="A127" s="304" t="s">
        <v>120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69</v>
      </c>
      <c r="X129" s="268">
        <v>14</v>
      </c>
      <c r="Y129" s="269">
        <f>IFERROR(IF(X129="","",X129),"")</f>
        <v>14</v>
      </c>
      <c r="Z129" s="36">
        <f>IFERROR(IF(X129="","",X129*0.01788),"")</f>
        <v>0.25031999999999999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51.850399999999993</v>
      </c>
      <c r="BN129" s="67">
        <f>IFERROR(Y129*I129,"0")</f>
        <v>51.850399999999993</v>
      </c>
      <c r="BO129" s="67">
        <f>IFERROR(X129/J129,"0")</f>
        <v>0.2</v>
      </c>
      <c r="BP129" s="67">
        <f>IFERROR(Y129/J129,"0")</f>
        <v>0.2</v>
      </c>
    </row>
    <row r="130" spans="1:68" x14ac:dyDescent="0.2">
      <c r="A130" s="286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7"/>
      <c r="P130" s="278" t="s">
        <v>72</v>
      </c>
      <c r="Q130" s="279"/>
      <c r="R130" s="279"/>
      <c r="S130" s="279"/>
      <c r="T130" s="279"/>
      <c r="U130" s="279"/>
      <c r="V130" s="280"/>
      <c r="W130" s="37" t="s">
        <v>69</v>
      </c>
      <c r="X130" s="270">
        <f>IFERROR(SUM(X128:X129),"0")</f>
        <v>28</v>
      </c>
      <c r="Y130" s="270">
        <f>IFERROR(SUM(Y128:Y129),"0")</f>
        <v>28</v>
      </c>
      <c r="Z130" s="270">
        <f>IFERROR(IF(Z128="",0,Z128),"0")+IFERROR(IF(Z129="",0,Z129),"0")</f>
        <v>0.50063999999999997</v>
      </c>
      <c r="AA130" s="271"/>
      <c r="AB130" s="271"/>
      <c r="AC130" s="271"/>
    </row>
    <row r="131" spans="1:68" x14ac:dyDescent="0.2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7"/>
      <c r="P131" s="278" t="s">
        <v>72</v>
      </c>
      <c r="Q131" s="279"/>
      <c r="R131" s="279"/>
      <c r="S131" s="279"/>
      <c r="T131" s="279"/>
      <c r="U131" s="279"/>
      <c r="V131" s="280"/>
      <c r="W131" s="37" t="s">
        <v>73</v>
      </c>
      <c r="X131" s="270">
        <f>IFERROR(SUMPRODUCT(X128:X129*H128:H129),"0")</f>
        <v>84</v>
      </c>
      <c r="Y131" s="270">
        <f>IFERROR(SUMPRODUCT(Y128:Y129*H128:H129),"0")</f>
        <v>84</v>
      </c>
      <c r="Z131" s="37"/>
      <c r="AA131" s="271"/>
      <c r="AB131" s="271"/>
      <c r="AC131" s="271"/>
    </row>
    <row r="132" spans="1:68" ht="16.5" customHeight="1" x14ac:dyDescent="0.25">
      <c r="A132" s="281" t="s">
        <v>211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3"/>
      <c r="AB132" s="263"/>
      <c r="AC132" s="263"/>
    </row>
    <row r="133" spans="1:68" ht="14.25" customHeight="1" x14ac:dyDescent="0.25">
      <c r="A133" s="304" t="s">
        <v>120</v>
      </c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199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199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7"/>
      <c r="P136" s="278" t="s">
        <v>72</v>
      </c>
      <c r="Q136" s="279"/>
      <c r="R136" s="279"/>
      <c r="S136" s="279"/>
      <c r="T136" s="279"/>
      <c r="U136" s="279"/>
      <c r="V136" s="280"/>
      <c r="W136" s="37" t="s">
        <v>69</v>
      </c>
      <c r="X136" s="270">
        <f>IFERROR(SUM(X134:X135),"0")</f>
        <v>14</v>
      </c>
      <c r="Y136" s="270">
        <f>IFERROR(SUM(Y134:Y135),"0")</f>
        <v>14</v>
      </c>
      <c r="Z136" s="270">
        <f>IFERROR(IF(Z134="",0,Z134),"0")+IFERROR(IF(Z135="",0,Z135),"0")</f>
        <v>0.25031999999999999</v>
      </c>
      <c r="AA136" s="271"/>
      <c r="AB136" s="271"/>
      <c r="AC136" s="271"/>
    </row>
    <row r="137" spans="1:68" x14ac:dyDescent="0.2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7"/>
      <c r="P137" s="278" t="s">
        <v>72</v>
      </c>
      <c r="Q137" s="279"/>
      <c r="R137" s="279"/>
      <c r="S137" s="279"/>
      <c r="T137" s="279"/>
      <c r="U137" s="279"/>
      <c r="V137" s="280"/>
      <c r="W137" s="37" t="s">
        <v>73</v>
      </c>
      <c r="X137" s="270">
        <f>IFERROR(SUMPRODUCT(X134:X135*H134:H135),"0")</f>
        <v>33.6</v>
      </c>
      <c r="Y137" s="270">
        <f>IFERROR(SUMPRODUCT(Y134:Y135*H134:H135),"0")</f>
        <v>33.6</v>
      </c>
      <c r="Z137" s="37"/>
      <c r="AA137" s="271"/>
      <c r="AB137" s="271"/>
      <c r="AC137" s="271"/>
    </row>
    <row r="138" spans="1:68" ht="16.5" customHeight="1" x14ac:dyDescent="0.25">
      <c r="A138" s="281" t="s">
        <v>216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3"/>
      <c r="AB138" s="263"/>
      <c r="AC138" s="263"/>
    </row>
    <row r="139" spans="1:68" ht="14.25" customHeight="1" x14ac:dyDescent="0.25">
      <c r="A139" s="304" t="s">
        <v>120</v>
      </c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6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7"/>
      <c r="P141" s="278" t="s">
        <v>72</v>
      </c>
      <c r="Q141" s="279"/>
      <c r="R141" s="279"/>
      <c r="S141" s="279"/>
      <c r="T141" s="279"/>
      <c r="U141" s="279"/>
      <c r="V141" s="280"/>
      <c r="W141" s="37" t="s">
        <v>69</v>
      </c>
      <c r="X141" s="270">
        <f>IFERROR(SUM(X140:X140),"0")</f>
        <v>14</v>
      </c>
      <c r="Y141" s="270">
        <f>IFERROR(SUM(Y140:Y140),"0")</f>
        <v>14</v>
      </c>
      <c r="Z141" s="270">
        <f>IFERROR(IF(Z140="",0,Z140),"0")</f>
        <v>0.25031999999999999</v>
      </c>
      <c r="AA141" s="271"/>
      <c r="AB141" s="271"/>
      <c r="AC141" s="271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7"/>
      <c r="P142" s="278" t="s">
        <v>72</v>
      </c>
      <c r="Q142" s="279"/>
      <c r="R142" s="279"/>
      <c r="S142" s="279"/>
      <c r="T142" s="279"/>
      <c r="U142" s="279"/>
      <c r="V142" s="280"/>
      <c r="W142" s="37" t="s">
        <v>73</v>
      </c>
      <c r="X142" s="270">
        <f>IFERROR(SUMPRODUCT(X140:X140*H140:H140),"0")</f>
        <v>42</v>
      </c>
      <c r="Y142" s="270">
        <f>IFERROR(SUMPRODUCT(Y140:Y140*H140:H140),"0")</f>
        <v>42</v>
      </c>
      <c r="Z142" s="37"/>
      <c r="AA142" s="271"/>
      <c r="AB142" s="271"/>
      <c r="AC142" s="271"/>
    </row>
    <row r="143" spans="1:68" ht="16.5" customHeight="1" x14ac:dyDescent="0.25">
      <c r="A143" s="281" t="s">
        <v>220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3"/>
      <c r="AB143" s="263"/>
      <c r="AC143" s="263"/>
    </row>
    <row r="144" spans="1:68" ht="14.25" customHeight="1" x14ac:dyDescent="0.25">
      <c r="A144" s="304" t="s">
        <v>120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7"/>
      <c r="P146" s="278" t="s">
        <v>72</v>
      </c>
      <c r="Q146" s="279"/>
      <c r="R146" s="279"/>
      <c r="S146" s="279"/>
      <c r="T146" s="279"/>
      <c r="U146" s="279"/>
      <c r="V146" s="280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7"/>
      <c r="P147" s="278" t="s">
        <v>72</v>
      </c>
      <c r="Q147" s="279"/>
      <c r="R147" s="279"/>
      <c r="S147" s="279"/>
      <c r="T147" s="279"/>
      <c r="U147" s="279"/>
      <c r="V147" s="280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1" t="s">
        <v>223</v>
      </c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63"/>
      <c r="AB148" s="263"/>
      <c r="AC148" s="263"/>
    </row>
    <row r="149" spans="1:68" ht="14.25" customHeight="1" x14ac:dyDescent="0.25">
      <c r="A149" s="304" t="s">
        <v>192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69</v>
      </c>
      <c r="X150" s="268">
        <v>18</v>
      </c>
      <c r="Y150" s="269">
        <f>IFERROR(IF(X150="","",X150),"")</f>
        <v>18</v>
      </c>
      <c r="Z150" s="36">
        <f>IFERROR(IF(X150="","",X150*0.01157),"")</f>
        <v>0.20826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38.160000000000004</v>
      </c>
      <c r="BN150" s="67">
        <f>IFERROR(Y150*I150,"0")</f>
        <v>38.160000000000004</v>
      </c>
      <c r="BO150" s="67">
        <f>IFERROR(X150/J150,"0")</f>
        <v>0.25</v>
      </c>
      <c r="BP150" s="67">
        <f>IFERROR(Y150/J150,"0")</f>
        <v>0.25</v>
      </c>
    </row>
    <row r="151" spans="1:68" x14ac:dyDescent="0.2">
      <c r="A151" s="286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7"/>
      <c r="P151" s="278" t="s">
        <v>72</v>
      </c>
      <c r="Q151" s="279"/>
      <c r="R151" s="279"/>
      <c r="S151" s="279"/>
      <c r="T151" s="279"/>
      <c r="U151" s="279"/>
      <c r="V151" s="280"/>
      <c r="W151" s="37" t="s">
        <v>69</v>
      </c>
      <c r="X151" s="270">
        <f>IFERROR(SUM(X150:X150),"0")</f>
        <v>18</v>
      </c>
      <c r="Y151" s="270">
        <f>IFERROR(SUM(Y150:Y150),"0")</f>
        <v>18</v>
      </c>
      <c r="Z151" s="270">
        <f>IFERROR(IF(Z150="",0,Z150),"0")</f>
        <v>0.20826</v>
      </c>
      <c r="AA151" s="271"/>
      <c r="AB151" s="271"/>
      <c r="AC151" s="271"/>
    </row>
    <row r="152" spans="1:68" x14ac:dyDescent="0.2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7"/>
      <c r="P152" s="278" t="s">
        <v>72</v>
      </c>
      <c r="Q152" s="279"/>
      <c r="R152" s="279"/>
      <c r="S152" s="279"/>
      <c r="T152" s="279"/>
      <c r="U152" s="279"/>
      <c r="V152" s="280"/>
      <c r="W152" s="37" t="s">
        <v>73</v>
      </c>
      <c r="X152" s="270">
        <f>IFERROR(SUMPRODUCT(X150:X150*H150:H150),"0")</f>
        <v>28.8</v>
      </c>
      <c r="Y152" s="270">
        <f>IFERROR(SUMPRODUCT(Y150:Y150*H150:H150),"0")</f>
        <v>28.8</v>
      </c>
      <c r="Z152" s="37"/>
      <c r="AA152" s="271"/>
      <c r="AB152" s="271"/>
      <c r="AC152" s="271"/>
    </row>
    <row r="153" spans="1:68" ht="16.5" customHeight="1" x14ac:dyDescent="0.25">
      <c r="A153" s="281" t="s">
        <v>228</v>
      </c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63"/>
      <c r="AB153" s="263"/>
      <c r="AC153" s="263"/>
    </row>
    <row r="154" spans="1:68" ht="14.25" customHeight="1" x14ac:dyDescent="0.25">
      <c r="A154" s="304" t="s">
        <v>120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69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6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7"/>
      <c r="P156" s="278" t="s">
        <v>72</v>
      </c>
      <c r="Q156" s="279"/>
      <c r="R156" s="279"/>
      <c r="S156" s="279"/>
      <c r="T156" s="279"/>
      <c r="U156" s="279"/>
      <c r="V156" s="280"/>
      <c r="W156" s="37" t="s">
        <v>69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x14ac:dyDescent="0.2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7"/>
      <c r="P157" s="278" t="s">
        <v>72</v>
      </c>
      <c r="Q157" s="279"/>
      <c r="R157" s="279"/>
      <c r="S157" s="279"/>
      <c r="T157" s="279"/>
      <c r="U157" s="279"/>
      <c r="V157" s="280"/>
      <c r="W157" s="37" t="s">
        <v>73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customHeight="1" x14ac:dyDescent="0.2">
      <c r="A158" s="321" t="s">
        <v>232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1" t="s">
        <v>233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3"/>
      <c r="AB159" s="263"/>
      <c r="AC159" s="263"/>
    </row>
    <row r="160" spans="1:68" ht="14.25" customHeight="1" x14ac:dyDescent="0.25">
      <c r="A160" s="304" t="s">
        <v>63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69</v>
      </c>
      <c r="X162" s="268">
        <v>72</v>
      </c>
      <c r="Y162" s="269">
        <f>IFERROR(IF(X162="","",X162),"")</f>
        <v>72</v>
      </c>
      <c r="Z162" s="36">
        <f>IFERROR(IF(X162="","",X162*0.00866),"")</f>
        <v>0.62351999999999996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375.35039999999998</v>
      </c>
      <c r="BN162" s="67">
        <f>IFERROR(Y162*I162,"0")</f>
        <v>375.35039999999998</v>
      </c>
      <c r="BO162" s="67">
        <f>IFERROR(X162/J162,"0")</f>
        <v>0.5</v>
      </c>
      <c r="BP162" s="67">
        <f>IFERROR(Y162/J162,"0")</f>
        <v>0.5</v>
      </c>
    </row>
    <row r="163" spans="1:68" x14ac:dyDescent="0.2">
      <c r="A163" s="286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7"/>
      <c r="P163" s="278" t="s">
        <v>72</v>
      </c>
      <c r="Q163" s="279"/>
      <c r="R163" s="279"/>
      <c r="S163" s="279"/>
      <c r="T163" s="279"/>
      <c r="U163" s="279"/>
      <c r="V163" s="280"/>
      <c r="W163" s="37" t="s">
        <v>69</v>
      </c>
      <c r="X163" s="270">
        <f>IFERROR(SUM(X161:X162),"0")</f>
        <v>72</v>
      </c>
      <c r="Y163" s="270">
        <f>IFERROR(SUM(Y161:Y162),"0")</f>
        <v>72</v>
      </c>
      <c r="Z163" s="270">
        <f>IFERROR(IF(Z161="",0,Z161),"0")+IFERROR(IF(Z162="",0,Z162),"0")</f>
        <v>0.62351999999999996</v>
      </c>
      <c r="AA163" s="271"/>
      <c r="AB163" s="271"/>
      <c r="AC163" s="271"/>
    </row>
    <row r="164" spans="1:68" x14ac:dyDescent="0.2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7"/>
      <c r="P164" s="278" t="s">
        <v>72</v>
      </c>
      <c r="Q164" s="279"/>
      <c r="R164" s="279"/>
      <c r="S164" s="279"/>
      <c r="T164" s="279"/>
      <c r="U164" s="279"/>
      <c r="V164" s="280"/>
      <c r="W164" s="37" t="s">
        <v>73</v>
      </c>
      <c r="X164" s="270">
        <f>IFERROR(SUMPRODUCT(X161:X162*H161:H162),"0")</f>
        <v>360</v>
      </c>
      <c r="Y164" s="270">
        <f>IFERROR(SUMPRODUCT(Y161:Y162*H161:H162),"0")</f>
        <v>360</v>
      </c>
      <c r="Z164" s="37"/>
      <c r="AA164" s="271"/>
      <c r="AB164" s="271"/>
      <c r="AC164" s="271"/>
    </row>
    <row r="165" spans="1:68" ht="27.75" customHeight="1" x14ac:dyDescent="0.2">
      <c r="A165" s="321" t="s">
        <v>240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1" t="s">
        <v>241</v>
      </c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63"/>
      <c r="AB166" s="263"/>
      <c r="AC166" s="263"/>
    </row>
    <row r="167" spans="1:68" ht="14.25" customHeight="1" x14ac:dyDescent="0.25">
      <c r="A167" s="304" t="s">
        <v>76</v>
      </c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69</v>
      </c>
      <c r="X168" s="268">
        <v>14</v>
      </c>
      <c r="Y168" s="269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69</v>
      </c>
      <c r="X169" s="268">
        <v>28</v>
      </c>
      <c r="Y169" s="269">
        <f>IFERROR(IF(X169="","",X169),"")</f>
        <v>28</v>
      </c>
      <c r="Z169" s="36">
        <f>IFERROR(IF(X169="","",X169*0.01788),"")</f>
        <v>0.50063999999999997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94.864000000000004</v>
      </c>
      <c r="BN169" s="67">
        <f>IFERROR(Y169*I169,"0")</f>
        <v>94.864000000000004</v>
      </c>
      <c r="BO169" s="67">
        <f>IFERROR(X169/J169,"0")</f>
        <v>0.4</v>
      </c>
      <c r="BP169" s="67">
        <f>IFERROR(Y169/J169,"0")</f>
        <v>0.4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69</v>
      </c>
      <c r="X170" s="268">
        <v>28</v>
      </c>
      <c r="Y170" s="269">
        <f>IFERROR(IF(X170="","",X170),"")</f>
        <v>28</v>
      </c>
      <c r="Z170" s="36">
        <f>IFERROR(IF(X170="","",X170*0.01788),"")</f>
        <v>0.50063999999999997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104.608</v>
      </c>
      <c r="BN170" s="67">
        <f>IFERROR(Y170*I170,"0")</f>
        <v>104.608</v>
      </c>
      <c r="BO170" s="67">
        <f>IFERROR(X170/J170,"0")</f>
        <v>0.4</v>
      </c>
      <c r="BP170" s="67">
        <f>IFERROR(Y170/J170,"0")</f>
        <v>0.4</v>
      </c>
    </row>
    <row r="171" spans="1:68" x14ac:dyDescent="0.2">
      <c r="A171" s="286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7"/>
      <c r="P171" s="278" t="s">
        <v>72</v>
      </c>
      <c r="Q171" s="279"/>
      <c r="R171" s="279"/>
      <c r="S171" s="279"/>
      <c r="T171" s="279"/>
      <c r="U171" s="279"/>
      <c r="V171" s="280"/>
      <c r="W171" s="37" t="s">
        <v>69</v>
      </c>
      <c r="X171" s="270">
        <f>IFERROR(SUM(X168:X170),"0")</f>
        <v>70</v>
      </c>
      <c r="Y171" s="270">
        <f>IFERROR(SUM(Y168:Y170),"0")</f>
        <v>70</v>
      </c>
      <c r="Z171" s="270">
        <f>IFERROR(IF(Z168="",0,Z168),"0")+IFERROR(IF(Z169="",0,Z169),"0")+IFERROR(IF(Z170="",0,Z170),"0")</f>
        <v>1.2515999999999998</v>
      </c>
      <c r="AA171" s="271"/>
      <c r="AB171" s="271"/>
      <c r="AC171" s="271"/>
    </row>
    <row r="172" spans="1:68" x14ac:dyDescent="0.2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7"/>
      <c r="P172" s="278" t="s">
        <v>72</v>
      </c>
      <c r="Q172" s="279"/>
      <c r="R172" s="279"/>
      <c r="S172" s="279"/>
      <c r="T172" s="279"/>
      <c r="U172" s="279"/>
      <c r="V172" s="280"/>
      <c r="W172" s="37" t="s">
        <v>73</v>
      </c>
      <c r="X172" s="270">
        <f>IFERROR(SUMPRODUCT(X168:X170*H168:H170),"0")</f>
        <v>210</v>
      </c>
      <c r="Y172" s="270">
        <f>IFERROR(SUMPRODUCT(Y168:Y170*H168:H170),"0")</f>
        <v>210</v>
      </c>
      <c r="Z172" s="37"/>
      <c r="AA172" s="271"/>
      <c r="AB172" s="271"/>
      <c r="AC172" s="271"/>
    </row>
    <row r="173" spans="1:68" ht="14.25" customHeight="1" x14ac:dyDescent="0.25">
      <c r="A173" s="304" t="s">
        <v>251</v>
      </c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62"/>
      <c r="AB173" s="262"/>
      <c r="AC173" s="262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52" t="s">
        <v>256</v>
      </c>
      <c r="Q174" s="284"/>
      <c r="R174" s="284"/>
      <c r="S174" s="284"/>
      <c r="T174" s="285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7"/>
      <c r="P175" s="278" t="s">
        <v>72</v>
      </c>
      <c r="Q175" s="279"/>
      <c r="R175" s="279"/>
      <c r="S175" s="279"/>
      <c r="T175" s="279"/>
      <c r="U175" s="279"/>
      <c r="V175" s="280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7"/>
      <c r="P176" s="278" t="s">
        <v>72</v>
      </c>
      <c r="Q176" s="279"/>
      <c r="R176" s="279"/>
      <c r="S176" s="279"/>
      <c r="T176" s="279"/>
      <c r="U176" s="279"/>
      <c r="V176" s="280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259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1" t="s">
        <v>260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3"/>
      <c r="AB178" s="263"/>
      <c r="AC178" s="263"/>
    </row>
    <row r="179" spans="1:68" ht="14.25" customHeight="1" x14ac:dyDescent="0.25">
      <c r="A179" s="304" t="s">
        <v>76</v>
      </c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7"/>
      <c r="P181" s="278" t="s">
        <v>72</v>
      </c>
      <c r="Q181" s="279"/>
      <c r="R181" s="279"/>
      <c r="S181" s="279"/>
      <c r="T181" s="279"/>
      <c r="U181" s="279"/>
      <c r="V181" s="280"/>
      <c r="W181" s="37" t="s">
        <v>69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7"/>
      <c r="P182" s="278" t="s">
        <v>72</v>
      </c>
      <c r="Q182" s="279"/>
      <c r="R182" s="279"/>
      <c r="S182" s="279"/>
      <c r="T182" s="279"/>
      <c r="U182" s="279"/>
      <c r="V182" s="280"/>
      <c r="W182" s="37" t="s">
        <v>73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customHeight="1" x14ac:dyDescent="0.25">
      <c r="A183" s="304" t="s">
        <v>120</v>
      </c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62"/>
      <c r="AB183" s="262"/>
      <c r="AC183" s="262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69</v>
      </c>
      <c r="X184" s="268">
        <v>14</v>
      </c>
      <c r="Y184" s="269">
        <f>IFERROR(IF(X184="","",X184),"")</f>
        <v>14</v>
      </c>
      <c r="Z184" s="36">
        <f>IFERROR(IF(X184="","",X184*0.01788),"")</f>
        <v>0.25031999999999999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43.450400000000002</v>
      </c>
      <c r="BN184" s="67">
        <f>IFERROR(Y184*I184,"0")</f>
        <v>43.450400000000002</v>
      </c>
      <c r="BO184" s="67">
        <f>IFERROR(X184/J184,"0")</f>
        <v>0.2</v>
      </c>
      <c r="BP184" s="67">
        <f>IFERROR(Y184/J184,"0")</f>
        <v>0.2</v>
      </c>
    </row>
    <row r="185" spans="1:68" ht="27" customHeight="1" x14ac:dyDescent="0.25">
      <c r="A185" s="54" t="s">
        <v>267</v>
      </c>
      <c r="B185" s="54" t="s">
        <v>268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67" t="s">
        <v>269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71</v>
      </c>
      <c r="AK187" s="71">
        <v>1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7"/>
      <c r="P188" s="278" t="s">
        <v>72</v>
      </c>
      <c r="Q188" s="279"/>
      <c r="R188" s="279"/>
      <c r="S188" s="279"/>
      <c r="T188" s="279"/>
      <c r="U188" s="279"/>
      <c r="V188" s="280"/>
      <c r="W188" s="37" t="s">
        <v>69</v>
      </c>
      <c r="X188" s="270">
        <f>IFERROR(SUM(X184:X187),"0")</f>
        <v>14</v>
      </c>
      <c r="Y188" s="270">
        <f>IFERROR(SUM(Y184:Y187),"0")</f>
        <v>14</v>
      </c>
      <c r="Z188" s="270">
        <f>IFERROR(IF(Z184="",0,Z184),"0")+IFERROR(IF(Z185="",0,Z185),"0")+IFERROR(IF(Z186="",0,Z186),"0")+IFERROR(IF(Z187="",0,Z187),"0")</f>
        <v>0.25031999999999999</v>
      </c>
      <c r="AA188" s="271"/>
      <c r="AB188" s="271"/>
      <c r="AC188" s="271"/>
    </row>
    <row r="189" spans="1:68" x14ac:dyDescent="0.2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7"/>
      <c r="P189" s="278" t="s">
        <v>72</v>
      </c>
      <c r="Q189" s="279"/>
      <c r="R189" s="279"/>
      <c r="S189" s="279"/>
      <c r="T189" s="279"/>
      <c r="U189" s="279"/>
      <c r="V189" s="280"/>
      <c r="W189" s="37" t="s">
        <v>73</v>
      </c>
      <c r="X189" s="270">
        <f>IFERROR(SUMPRODUCT(X184:X187*H184:H187),"0")</f>
        <v>33.6</v>
      </c>
      <c r="Y189" s="270">
        <f>IFERROR(SUMPRODUCT(Y184:Y187*H184:H187),"0")</f>
        <v>33.6</v>
      </c>
      <c r="Z189" s="37"/>
      <c r="AA189" s="271"/>
      <c r="AB189" s="271"/>
      <c r="AC189" s="271"/>
    </row>
    <row r="190" spans="1:68" ht="16.5" customHeight="1" x14ac:dyDescent="0.25">
      <c r="A190" s="281" t="s">
        <v>276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3"/>
      <c r="AB190" s="263"/>
      <c r="AC190" s="263"/>
    </row>
    <row r="191" spans="1:68" ht="14.25" customHeight="1" x14ac:dyDescent="0.25">
      <c r="A191" s="304" t="s">
        <v>63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customHeight="1" x14ac:dyDescent="0.25">
      <c r="A194" s="54" t="s">
        <v>282</v>
      </c>
      <c r="B194" s="54" t="s">
        <v>283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7"/>
      <c r="P196" s="278" t="s">
        <v>72</v>
      </c>
      <c r="Q196" s="279"/>
      <c r="R196" s="279"/>
      <c r="S196" s="279"/>
      <c r="T196" s="279"/>
      <c r="U196" s="279"/>
      <c r="V196" s="280"/>
      <c r="W196" s="37" t="s">
        <v>69</v>
      </c>
      <c r="X196" s="270">
        <f>IFERROR(SUM(X192:X195),"0")</f>
        <v>12</v>
      </c>
      <c r="Y196" s="270">
        <f>IFERROR(SUM(Y192:Y195),"0")</f>
        <v>12</v>
      </c>
      <c r="Z196" s="270">
        <f>IFERROR(IF(Z192="",0,Z192),"0")+IFERROR(IF(Z193="",0,Z193),"0")+IFERROR(IF(Z194="",0,Z194),"0")+IFERROR(IF(Z195="",0,Z195),"0")</f>
        <v>0.186</v>
      </c>
      <c r="AA196" s="271"/>
      <c r="AB196" s="271"/>
      <c r="AC196" s="271"/>
    </row>
    <row r="197" spans="1:68" x14ac:dyDescent="0.2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7"/>
      <c r="P197" s="278" t="s">
        <v>72</v>
      </c>
      <c r="Q197" s="279"/>
      <c r="R197" s="279"/>
      <c r="S197" s="279"/>
      <c r="T197" s="279"/>
      <c r="U197" s="279"/>
      <c r="V197" s="280"/>
      <c r="W197" s="37" t="s">
        <v>73</v>
      </c>
      <c r="X197" s="270">
        <f>IFERROR(SUMPRODUCT(X192:X195*H192:H195),"0")</f>
        <v>86.4</v>
      </c>
      <c r="Y197" s="270">
        <f>IFERROR(SUMPRODUCT(Y192:Y195*H192:H195),"0")</f>
        <v>86.4</v>
      </c>
      <c r="Z197" s="37"/>
      <c r="AA197" s="271"/>
      <c r="AB197" s="271"/>
      <c r="AC197" s="271"/>
    </row>
    <row r="198" spans="1:68" ht="16.5" customHeight="1" x14ac:dyDescent="0.25">
      <c r="A198" s="281" t="s">
        <v>286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63"/>
      <c r="AB198" s="263"/>
      <c r="AC198" s="263"/>
    </row>
    <row r="199" spans="1:68" ht="14.25" customHeight="1" x14ac:dyDescent="0.25">
      <c r="A199" s="304" t="s">
        <v>63</v>
      </c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7"/>
      <c r="P201" s="278" t="s">
        <v>72</v>
      </c>
      <c r="Q201" s="279"/>
      <c r="R201" s="279"/>
      <c r="S201" s="279"/>
      <c r="T201" s="279"/>
      <c r="U201" s="279"/>
      <c r="V201" s="280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7"/>
      <c r="P202" s="278" t="s">
        <v>72</v>
      </c>
      <c r="Q202" s="279"/>
      <c r="R202" s="279"/>
      <c r="S202" s="279"/>
      <c r="T202" s="279"/>
      <c r="U202" s="279"/>
      <c r="V202" s="280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81" t="s">
        <v>290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3"/>
      <c r="AB203" s="263"/>
      <c r="AC203" s="263"/>
    </row>
    <row r="204" spans="1:68" ht="14.25" customHeight="1" x14ac:dyDescent="0.25">
      <c r="A204" s="304" t="s">
        <v>63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7"/>
      <c r="P206" s="278" t="s">
        <v>72</v>
      </c>
      <c r="Q206" s="279"/>
      <c r="R206" s="279"/>
      <c r="S206" s="279"/>
      <c r="T206" s="279"/>
      <c r="U206" s="279"/>
      <c r="V206" s="280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7"/>
      <c r="P207" s="278" t="s">
        <v>72</v>
      </c>
      <c r="Q207" s="279"/>
      <c r="R207" s="279"/>
      <c r="S207" s="279"/>
      <c r="T207" s="279"/>
      <c r="U207" s="279"/>
      <c r="V207" s="280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120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8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7"/>
      <c r="P212" s="278" t="s">
        <v>72</v>
      </c>
      <c r="Q212" s="279"/>
      <c r="R212" s="279"/>
      <c r="S212" s="279"/>
      <c r="T212" s="279"/>
      <c r="U212" s="279"/>
      <c r="V212" s="280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7"/>
      <c r="P213" s="278" t="s">
        <v>72</v>
      </c>
      <c r="Q213" s="279"/>
      <c r="R213" s="279"/>
      <c r="S213" s="279"/>
      <c r="T213" s="279"/>
      <c r="U213" s="279"/>
      <c r="V213" s="280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1" t="s">
        <v>301</v>
      </c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63"/>
      <c r="AB214" s="263"/>
      <c r="AC214" s="263"/>
    </row>
    <row r="215" spans="1:68" ht="14.25" customHeight="1" x14ac:dyDescent="0.25">
      <c r="A215" s="304" t="s">
        <v>63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2"/>
      <c r="AB215" s="262"/>
      <c r="AC215" s="262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7"/>
      <c r="P218" s="278" t="s">
        <v>72</v>
      </c>
      <c r="Q218" s="279"/>
      <c r="R218" s="279"/>
      <c r="S218" s="279"/>
      <c r="T218" s="279"/>
      <c r="U218" s="279"/>
      <c r="V218" s="280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7"/>
      <c r="P219" s="278" t="s">
        <v>72</v>
      </c>
      <c r="Q219" s="279"/>
      <c r="R219" s="279"/>
      <c r="S219" s="279"/>
      <c r="T219" s="279"/>
      <c r="U219" s="279"/>
      <c r="V219" s="280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307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1" t="s">
        <v>308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3"/>
      <c r="AB221" s="263"/>
      <c r="AC221" s="263"/>
    </row>
    <row r="222" spans="1:68" ht="14.25" customHeight="1" x14ac:dyDescent="0.25">
      <c r="A222" s="304" t="s">
        <v>63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7"/>
      <c r="P224" s="278" t="s">
        <v>72</v>
      </c>
      <c r="Q224" s="279"/>
      <c r="R224" s="279"/>
      <c r="S224" s="279"/>
      <c r="T224" s="279"/>
      <c r="U224" s="279"/>
      <c r="V224" s="280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7"/>
      <c r="P225" s="278" t="s">
        <v>72</v>
      </c>
      <c r="Q225" s="279"/>
      <c r="R225" s="279"/>
      <c r="S225" s="279"/>
      <c r="T225" s="279"/>
      <c r="U225" s="279"/>
      <c r="V225" s="280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312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1" t="s">
        <v>313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3"/>
      <c r="AB227" s="263"/>
      <c r="AC227" s="263"/>
    </row>
    <row r="228" spans="1:68" ht="14.25" customHeight="1" x14ac:dyDescent="0.25">
      <c r="A228" s="304" t="s">
        <v>63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239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7"/>
      <c r="P230" s="278" t="s">
        <v>72</v>
      </c>
      <c r="Q230" s="279"/>
      <c r="R230" s="279"/>
      <c r="S230" s="279"/>
      <c r="T230" s="279"/>
      <c r="U230" s="279"/>
      <c r="V230" s="280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7"/>
      <c r="P231" s="278" t="s">
        <v>72</v>
      </c>
      <c r="Q231" s="279"/>
      <c r="R231" s="279"/>
      <c r="S231" s="279"/>
      <c r="T231" s="279"/>
      <c r="U231" s="279"/>
      <c r="V231" s="280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1" t="s">
        <v>316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1" t="s">
        <v>317</v>
      </c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63"/>
      <c r="AB233" s="263"/>
      <c r="AC233" s="263"/>
    </row>
    <row r="234" spans="1:68" ht="14.25" customHeight="1" x14ac:dyDescent="0.25">
      <c r="A234" s="304" t="s">
        <v>318</v>
      </c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62"/>
      <c r="AB234" s="262"/>
      <c r="AC234" s="262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7"/>
      <c r="P236" s="278" t="s">
        <v>72</v>
      </c>
      <c r="Q236" s="279"/>
      <c r="R236" s="279"/>
      <c r="S236" s="279"/>
      <c r="T236" s="279"/>
      <c r="U236" s="279"/>
      <c r="V236" s="280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7"/>
      <c r="P237" s="278" t="s">
        <v>72</v>
      </c>
      <c r="Q237" s="279"/>
      <c r="R237" s="279"/>
      <c r="S237" s="279"/>
      <c r="T237" s="279"/>
      <c r="U237" s="279"/>
      <c r="V237" s="280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120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7"/>
      <c r="P240" s="278" t="s">
        <v>72</v>
      </c>
      <c r="Q240" s="279"/>
      <c r="R240" s="279"/>
      <c r="S240" s="279"/>
      <c r="T240" s="279"/>
      <c r="U240" s="279"/>
      <c r="V240" s="280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7"/>
      <c r="P241" s="278" t="s">
        <v>72</v>
      </c>
      <c r="Q241" s="279"/>
      <c r="R241" s="279"/>
      <c r="S241" s="279"/>
      <c r="T241" s="279"/>
      <c r="U241" s="279"/>
      <c r="V241" s="280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324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1" t="s">
        <v>324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3"/>
      <c r="AB243" s="263"/>
      <c r="AC243" s="263"/>
    </row>
    <row r="244" spans="1:68" ht="14.25" customHeight="1" x14ac:dyDescent="0.25">
      <c r="A244" s="304" t="s">
        <v>63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62"/>
      <c r="AB244" s="262"/>
      <c r="AC244" s="262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69</v>
      </c>
      <c r="X246" s="268">
        <v>12</v>
      </c>
      <c r="Y246" s="269">
        <f>IFERROR(IF(X246="","",X246),"")</f>
        <v>12</v>
      </c>
      <c r="Z246" s="36">
        <f>IFERROR(IF(X246="","",X246*0.0155),"")</f>
        <v>0.186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87.36</v>
      </c>
      <c r="BN246" s="67">
        <f>IFERROR(Y246*I246,"0")</f>
        <v>87.36</v>
      </c>
      <c r="BO246" s="67">
        <f>IFERROR(X246/J246,"0")</f>
        <v>0.14285714285714285</v>
      </c>
      <c r="BP246" s="67">
        <f>IFERROR(Y246/J246,"0")</f>
        <v>0.14285714285714285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7"/>
      <c r="P248" s="278" t="s">
        <v>72</v>
      </c>
      <c r="Q248" s="279"/>
      <c r="R248" s="279"/>
      <c r="S248" s="279"/>
      <c r="T248" s="279"/>
      <c r="U248" s="279"/>
      <c r="V248" s="280"/>
      <c r="W248" s="37" t="s">
        <v>69</v>
      </c>
      <c r="X248" s="270">
        <f>IFERROR(SUM(X245:X247),"0")</f>
        <v>12</v>
      </c>
      <c r="Y248" s="270">
        <f>IFERROR(SUM(Y245:Y247),"0")</f>
        <v>12</v>
      </c>
      <c r="Z248" s="270">
        <f>IFERROR(IF(Z245="",0,Z245),"0")+IFERROR(IF(Z246="",0,Z246),"0")+IFERROR(IF(Z247="",0,Z247),"0")</f>
        <v>0.186</v>
      </c>
      <c r="AA248" s="271"/>
      <c r="AB248" s="271"/>
      <c r="AC248" s="271"/>
    </row>
    <row r="249" spans="1:68" x14ac:dyDescent="0.2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7"/>
      <c r="P249" s="278" t="s">
        <v>72</v>
      </c>
      <c r="Q249" s="279"/>
      <c r="R249" s="279"/>
      <c r="S249" s="279"/>
      <c r="T249" s="279"/>
      <c r="U249" s="279"/>
      <c r="V249" s="280"/>
      <c r="W249" s="37" t="s">
        <v>73</v>
      </c>
      <c r="X249" s="270">
        <f>IFERROR(SUMPRODUCT(X245:X247*H245:H247),"0")</f>
        <v>84</v>
      </c>
      <c r="Y249" s="270">
        <f>IFERROR(SUMPRODUCT(Y245:Y247*H245:H247),"0")</f>
        <v>84</v>
      </c>
      <c r="Z249" s="37"/>
      <c r="AA249" s="271"/>
      <c r="AB249" s="271"/>
      <c r="AC249" s="271"/>
    </row>
    <row r="250" spans="1:68" ht="14.25" customHeight="1" x14ac:dyDescent="0.25">
      <c r="A250" s="304" t="s">
        <v>76</v>
      </c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69</v>
      </c>
      <c r="X251" s="268">
        <v>24</v>
      </c>
      <c r="Y251" s="269">
        <f>IFERROR(IF(X251="","",X251),"")</f>
        <v>24</v>
      </c>
      <c r="Z251" s="36">
        <f>IFERROR(IF(X251="","",X251*0.0155),"")</f>
        <v>0.372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150.24</v>
      </c>
      <c r="BN251" s="67">
        <f>IFERROR(Y251*I251,"0")</f>
        <v>150.24</v>
      </c>
      <c r="BO251" s="67">
        <f>IFERROR(X251/J251,"0")</f>
        <v>0.2857142857142857</v>
      </c>
      <c r="BP251" s="67">
        <f>IFERROR(Y251/J251,"0")</f>
        <v>0.2857142857142857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9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7"/>
      <c r="P253" s="278" t="s">
        <v>72</v>
      </c>
      <c r="Q253" s="279"/>
      <c r="R253" s="279"/>
      <c r="S253" s="279"/>
      <c r="T253" s="279"/>
      <c r="U253" s="279"/>
      <c r="V253" s="280"/>
      <c r="W253" s="37" t="s">
        <v>69</v>
      </c>
      <c r="X253" s="270">
        <f>IFERROR(SUM(X251:X252),"0")</f>
        <v>24</v>
      </c>
      <c r="Y253" s="270">
        <f>IFERROR(SUM(Y251:Y252),"0")</f>
        <v>24</v>
      </c>
      <c r="Z253" s="270">
        <f>IFERROR(IF(Z251="",0,Z251),"0")+IFERROR(IF(Z252="",0,Z252),"0")</f>
        <v>0.372</v>
      </c>
      <c r="AA253" s="271"/>
      <c r="AB253" s="271"/>
      <c r="AC253" s="271"/>
    </row>
    <row r="254" spans="1:68" x14ac:dyDescent="0.2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7"/>
      <c r="P254" s="278" t="s">
        <v>72</v>
      </c>
      <c r="Q254" s="279"/>
      <c r="R254" s="279"/>
      <c r="S254" s="279"/>
      <c r="T254" s="279"/>
      <c r="U254" s="279"/>
      <c r="V254" s="280"/>
      <c r="W254" s="37" t="s">
        <v>73</v>
      </c>
      <c r="X254" s="270">
        <f>IFERROR(SUMPRODUCT(X251:X252*H251:H252),"0")</f>
        <v>144</v>
      </c>
      <c r="Y254" s="270">
        <f>IFERROR(SUMPRODUCT(Y251:Y252*H251:H252),"0")</f>
        <v>144</v>
      </c>
      <c r="Z254" s="37"/>
      <c r="AA254" s="271"/>
      <c r="AB254" s="271"/>
      <c r="AC254" s="271"/>
    </row>
    <row r="255" spans="1:68" ht="14.25" customHeight="1" x14ac:dyDescent="0.25">
      <c r="A255" s="304" t="s">
        <v>114</v>
      </c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69</v>
      </c>
      <c r="X256" s="268">
        <v>70</v>
      </c>
      <c r="Y256" s="269">
        <f>IFERROR(IF(X256="","",X256),"")</f>
        <v>70</v>
      </c>
      <c r="Z256" s="36">
        <f>IFERROR(IF(X256="","",X256*0.00936),"")</f>
        <v>0.6552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202.34200000000001</v>
      </c>
      <c r="BN256" s="67">
        <f>IFERROR(Y256*I256,"0")</f>
        <v>202.34200000000001</v>
      </c>
      <c r="BO256" s="67">
        <f>IFERROR(X256/J256,"0")</f>
        <v>0.55555555555555558</v>
      </c>
      <c r="BP256" s="67">
        <f>IFERROR(Y256/J256,"0")</f>
        <v>0.55555555555555558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7"/>
      <c r="P259" s="278" t="s">
        <v>72</v>
      </c>
      <c r="Q259" s="279"/>
      <c r="R259" s="279"/>
      <c r="S259" s="279"/>
      <c r="T259" s="279"/>
      <c r="U259" s="279"/>
      <c r="V259" s="280"/>
      <c r="W259" s="37" t="s">
        <v>69</v>
      </c>
      <c r="X259" s="270">
        <f>IFERROR(SUM(X256:X258),"0")</f>
        <v>70</v>
      </c>
      <c r="Y259" s="270">
        <f>IFERROR(SUM(Y256:Y258),"0")</f>
        <v>70</v>
      </c>
      <c r="Z259" s="270">
        <f>IFERROR(IF(Z256="",0,Z256),"0")+IFERROR(IF(Z257="",0,Z257),"0")+IFERROR(IF(Z258="",0,Z258),"0")</f>
        <v>0.6552</v>
      </c>
      <c r="AA259" s="271"/>
      <c r="AB259" s="271"/>
      <c r="AC259" s="271"/>
    </row>
    <row r="260" spans="1:68" x14ac:dyDescent="0.2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7"/>
      <c r="P260" s="278" t="s">
        <v>72</v>
      </c>
      <c r="Q260" s="279"/>
      <c r="R260" s="279"/>
      <c r="S260" s="279"/>
      <c r="T260" s="279"/>
      <c r="U260" s="279"/>
      <c r="V260" s="280"/>
      <c r="W260" s="37" t="s">
        <v>73</v>
      </c>
      <c r="X260" s="270">
        <f>IFERROR(SUMPRODUCT(X256:X258*H256:H258),"0")</f>
        <v>189</v>
      </c>
      <c r="Y260" s="270">
        <f>IFERROR(SUMPRODUCT(Y256:Y258*H256:H258),"0")</f>
        <v>189</v>
      </c>
      <c r="Z260" s="37"/>
      <c r="AA260" s="271"/>
      <c r="AB260" s="271"/>
      <c r="AC260" s="271"/>
    </row>
    <row r="261" spans="1:68" ht="14.25" customHeight="1" x14ac:dyDescent="0.25">
      <c r="A261" s="304" t="s">
        <v>120</v>
      </c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62"/>
      <c r="AB261" s="262"/>
      <c r="AC261" s="262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42</v>
      </c>
      <c r="Y263" s="269">
        <f t="shared" si="12"/>
        <v>42</v>
      </c>
      <c r="Z263" s="36">
        <f>IFERROR(IF(X263="","",X263*0.00936),"")</f>
        <v>0.39312000000000002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163.464</v>
      </c>
      <c r="BN263" s="67">
        <f t="shared" si="14"/>
        <v>163.464</v>
      </c>
      <c r="BO263" s="67">
        <f t="shared" si="15"/>
        <v>0.33333333333333331</v>
      </c>
      <c r="BP263" s="67">
        <f t="shared" si="16"/>
        <v>0.33333333333333331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70</v>
      </c>
      <c r="Y265" s="269">
        <f t="shared" si="12"/>
        <v>70</v>
      </c>
      <c r="Z265" s="36">
        <f t="shared" ref="Z265:Z270" si="17">IFERROR(IF(X265="","",X265*0.00936),"")</f>
        <v>0.6552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223.44</v>
      </c>
      <c r="BN265" s="67">
        <f t="shared" si="14"/>
        <v>223.44</v>
      </c>
      <c r="BO265" s="67">
        <f t="shared" si="15"/>
        <v>0.55555555555555558</v>
      </c>
      <c r="BP265" s="67">
        <f t="shared" si="16"/>
        <v>0.55555555555555558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202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203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7"/>
      <c r="P272" s="278" t="s">
        <v>72</v>
      </c>
      <c r="Q272" s="279"/>
      <c r="R272" s="279"/>
      <c r="S272" s="279"/>
      <c r="T272" s="279"/>
      <c r="U272" s="279"/>
      <c r="V272" s="280"/>
      <c r="W272" s="37" t="s">
        <v>69</v>
      </c>
      <c r="X272" s="270">
        <f>IFERROR(SUM(X262:X271),"0")</f>
        <v>124</v>
      </c>
      <c r="Y272" s="270">
        <f>IFERROR(SUM(Y262:Y271),"0")</f>
        <v>124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1.2343200000000001</v>
      </c>
      <c r="AA272" s="271"/>
      <c r="AB272" s="271"/>
      <c r="AC272" s="271"/>
    </row>
    <row r="273" spans="1:32" x14ac:dyDescent="0.2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7"/>
      <c r="P273" s="278" t="s">
        <v>72</v>
      </c>
      <c r="Q273" s="279"/>
      <c r="R273" s="279"/>
      <c r="S273" s="279"/>
      <c r="T273" s="279"/>
      <c r="U273" s="279"/>
      <c r="V273" s="280"/>
      <c r="W273" s="37" t="s">
        <v>73</v>
      </c>
      <c r="X273" s="270">
        <f>IFERROR(SUMPRODUCT(X262:X271*H262:H271),"0")</f>
        <v>431.4</v>
      </c>
      <c r="Y273" s="270">
        <f>IFERROR(SUMPRODUCT(Y262:Y271*H262:H271),"0")</f>
        <v>431.4</v>
      </c>
      <c r="Z273" s="37"/>
      <c r="AA273" s="271"/>
      <c r="AB273" s="271"/>
      <c r="AC273" s="271"/>
    </row>
    <row r="274" spans="1:32" ht="15" customHeight="1" x14ac:dyDescent="0.2">
      <c r="A274" s="44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372"/>
      <c r="P274" s="318" t="s">
        <v>367</v>
      </c>
      <c r="Q274" s="319"/>
      <c r="R274" s="319"/>
      <c r="S274" s="319"/>
      <c r="T274" s="319"/>
      <c r="U274" s="319"/>
      <c r="V274" s="320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6780.2400000000007</v>
      </c>
      <c r="Y274" s="270">
        <f>IFERROR(Y24+Y31+Y38+Y46+Y51+Y55+Y60+Y66+Y72+Y77+Y83+Y93+Y99+Y110+Y115+Y119+Y125+Y131+Y137+Y142+Y147+Y152+Y157+Y164+Y172+Y176+Y182+Y189+Y197+Y202+Y207+Y213+Y219+Y225+Y231+Y237+Y241+Y249+Y254+Y260+Y273,"0")</f>
        <v>6780.2400000000007</v>
      </c>
      <c r="Z274" s="37"/>
      <c r="AA274" s="271"/>
      <c r="AB274" s="271"/>
      <c r="AC274" s="271"/>
    </row>
    <row r="275" spans="1:32" x14ac:dyDescent="0.2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372"/>
      <c r="P275" s="318" t="s">
        <v>368</v>
      </c>
      <c r="Q275" s="319"/>
      <c r="R275" s="319"/>
      <c r="S275" s="319"/>
      <c r="T275" s="319"/>
      <c r="U275" s="319"/>
      <c r="V275" s="320"/>
      <c r="W275" s="37" t="s">
        <v>73</v>
      </c>
      <c r="X275" s="270">
        <f>IFERROR(SUM(BM22:BM271),"0")</f>
        <v>7616.2147999999997</v>
      </c>
      <c r="Y275" s="270">
        <f>IFERROR(SUM(BN22:BN271),"0")</f>
        <v>7616.2147999999997</v>
      </c>
      <c r="Z275" s="37"/>
      <c r="AA275" s="271"/>
      <c r="AB275" s="271"/>
      <c r="AC275" s="271"/>
    </row>
    <row r="276" spans="1:32" x14ac:dyDescent="0.2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372"/>
      <c r="P276" s="318" t="s">
        <v>369</v>
      </c>
      <c r="Q276" s="319"/>
      <c r="R276" s="319"/>
      <c r="S276" s="319"/>
      <c r="T276" s="319"/>
      <c r="U276" s="319"/>
      <c r="V276" s="320"/>
      <c r="W276" s="37" t="s">
        <v>370</v>
      </c>
      <c r="X276" s="38">
        <f>ROUNDUP(SUM(BO22:BO271),0)</f>
        <v>21</v>
      </c>
      <c r="Y276" s="38">
        <f>ROUNDUP(SUM(BP22:BP271),0)</f>
        <v>21</v>
      </c>
      <c r="Z276" s="37"/>
      <c r="AA276" s="271"/>
      <c r="AB276" s="271"/>
      <c r="AC276" s="271"/>
    </row>
    <row r="277" spans="1:32" x14ac:dyDescent="0.2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372"/>
      <c r="P277" s="318" t="s">
        <v>371</v>
      </c>
      <c r="Q277" s="319"/>
      <c r="R277" s="319"/>
      <c r="S277" s="319"/>
      <c r="T277" s="319"/>
      <c r="U277" s="319"/>
      <c r="V277" s="320"/>
      <c r="W277" s="37" t="s">
        <v>73</v>
      </c>
      <c r="X277" s="270">
        <f>GrossWeightTotal+PalletQtyTotal*25</f>
        <v>8141.2147999999997</v>
      </c>
      <c r="Y277" s="270">
        <f>GrossWeightTotalR+PalletQtyTotalR*25</f>
        <v>8141.2147999999997</v>
      </c>
      <c r="Z277" s="37"/>
      <c r="AA277" s="271"/>
      <c r="AB277" s="271"/>
      <c r="AC277" s="271"/>
    </row>
    <row r="278" spans="1:32" x14ac:dyDescent="0.2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372"/>
      <c r="P278" s="318" t="s">
        <v>372</v>
      </c>
      <c r="Q278" s="319"/>
      <c r="R278" s="319"/>
      <c r="S278" s="319"/>
      <c r="T278" s="319"/>
      <c r="U278" s="319"/>
      <c r="V278" s="320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1804</v>
      </c>
      <c r="Y278" s="270">
        <f>IFERROR(Y23+Y30+Y37+Y45+Y50+Y54+Y59+Y65+Y71+Y76+Y82+Y92+Y98+Y109+Y114+Y118+Y124+Y130+Y136+Y141+Y146+Y151+Y156+Y163+Y171+Y175+Y181+Y188+Y196+Y201+Y206+Y212+Y218+Y224+Y230+Y236+Y240+Y248+Y253+Y259+Y272,"0")</f>
        <v>1804</v>
      </c>
      <c r="Z278" s="37"/>
      <c r="AA278" s="271"/>
      <c r="AB278" s="271"/>
      <c r="AC278" s="271"/>
    </row>
    <row r="279" spans="1:32" ht="14.25" customHeight="1" x14ac:dyDescent="0.2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372"/>
      <c r="P279" s="318" t="s">
        <v>373</v>
      </c>
      <c r="Q279" s="319"/>
      <c r="R279" s="319"/>
      <c r="S279" s="319"/>
      <c r="T279" s="319"/>
      <c r="U279" s="319"/>
      <c r="V279" s="320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25.931379999999997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4" t="s">
        <v>74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0" t="s">
        <v>232</v>
      </c>
      <c r="V281" s="260" t="s">
        <v>240</v>
      </c>
      <c r="W281" s="274" t="s">
        <v>259</v>
      </c>
      <c r="X281" s="309"/>
      <c r="Y281" s="309"/>
      <c r="Z281" s="309"/>
      <c r="AA281" s="310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301" t="s">
        <v>376</v>
      </c>
      <c r="B282" s="274" t="s">
        <v>62</v>
      </c>
      <c r="C282" s="274" t="s">
        <v>75</v>
      </c>
      <c r="D282" s="274" t="s">
        <v>86</v>
      </c>
      <c r="E282" s="274" t="s">
        <v>96</v>
      </c>
      <c r="F282" s="274" t="s">
        <v>107</v>
      </c>
      <c r="G282" s="274" t="s">
        <v>128</v>
      </c>
      <c r="H282" s="274" t="s">
        <v>135</v>
      </c>
      <c r="I282" s="274" t="s">
        <v>139</v>
      </c>
      <c r="J282" s="274" t="s">
        <v>147</v>
      </c>
      <c r="K282" s="274" t="s">
        <v>162</v>
      </c>
      <c r="L282" s="274" t="s">
        <v>168</v>
      </c>
      <c r="M282" s="274" t="s">
        <v>196</v>
      </c>
      <c r="N282" s="261"/>
      <c r="O282" s="274" t="s">
        <v>204</v>
      </c>
      <c r="P282" s="274" t="s">
        <v>211</v>
      </c>
      <c r="Q282" s="274" t="s">
        <v>216</v>
      </c>
      <c r="R282" s="274" t="s">
        <v>220</v>
      </c>
      <c r="S282" s="274" t="s">
        <v>223</v>
      </c>
      <c r="T282" s="274" t="s">
        <v>228</v>
      </c>
      <c r="U282" s="274" t="s">
        <v>233</v>
      </c>
      <c r="V282" s="274" t="s">
        <v>241</v>
      </c>
      <c r="W282" s="274" t="s">
        <v>260</v>
      </c>
      <c r="X282" s="274" t="s">
        <v>276</v>
      </c>
      <c r="Y282" s="274" t="s">
        <v>286</v>
      </c>
      <c r="Z282" s="274" t="s">
        <v>290</v>
      </c>
      <c r="AA282" s="274" t="s">
        <v>301</v>
      </c>
      <c r="AB282" s="274" t="s">
        <v>308</v>
      </c>
      <c r="AC282" s="274" t="s">
        <v>313</v>
      </c>
      <c r="AD282" s="274" t="s">
        <v>317</v>
      </c>
      <c r="AE282" s="274" t="s">
        <v>324</v>
      </c>
      <c r="AF282" s="261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1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336</v>
      </c>
      <c r="D284" s="46">
        <f>IFERROR(X34*H34,"0")+IFERROR(X35*H35,"0")+IFERROR(X36*H36,"0")</f>
        <v>134.39999999999998</v>
      </c>
      <c r="E284" s="46">
        <f>IFERROR(X41*H41,"0")+IFERROR(X42*H42,"0")+IFERROR(X43*H43,"0")+IFERROR(X44*H44,"0")</f>
        <v>336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720</v>
      </c>
      <c r="H284" s="46">
        <f>IFERROR(X75*H75,"0")</f>
        <v>0</v>
      </c>
      <c r="I284" s="46">
        <f>IFERROR(X80*H80,"0")+IFERROR(X81*H81,"0")</f>
        <v>352.8</v>
      </c>
      <c r="J284" s="46">
        <f>IFERROR(X86*H86,"0")+IFERROR(X87*H87,"0")+IFERROR(X88*H88,"0")+IFERROR(X89*H89,"0")+IFERROR(X90*H90,"0")+IFERROR(X91*H91,"0")</f>
        <v>529.19999999999993</v>
      </c>
      <c r="K284" s="46">
        <f>IFERROR(X96*H96,"0")+IFERROR(X97*H97,"0")</f>
        <v>100.8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1329.6</v>
      </c>
      <c r="M284" s="46">
        <f>IFERROR(X122*H122,"0")+IFERROR(X123*H123,"0")</f>
        <v>1176</v>
      </c>
      <c r="N284" s="261"/>
      <c r="O284" s="46">
        <f>IFERROR(X128*H128,"0")+IFERROR(X129*H129,"0")</f>
        <v>84</v>
      </c>
      <c r="P284" s="46">
        <f>IFERROR(X134*H134,"0")+IFERROR(X135*H135,"0")</f>
        <v>33.6</v>
      </c>
      <c r="Q284" s="46">
        <f>IFERROR(X140*H140,"0")</f>
        <v>42</v>
      </c>
      <c r="R284" s="46">
        <f>IFERROR(X145*H145,"0")</f>
        <v>0</v>
      </c>
      <c r="S284" s="46">
        <f>IFERROR(X150*H150,"0")</f>
        <v>28.8</v>
      </c>
      <c r="T284" s="46">
        <f>IFERROR(X155*H155,"0")</f>
        <v>0</v>
      </c>
      <c r="U284" s="46">
        <f>IFERROR(X161*H161,"0")+IFERROR(X162*H162,"0")</f>
        <v>360</v>
      </c>
      <c r="V284" s="46">
        <f>IFERROR(X168*H168,"0")+IFERROR(X169*H169,"0")+IFERROR(X170*H170,"0")+IFERROR(X174*H174,"0")</f>
        <v>210</v>
      </c>
      <c r="W284" s="46">
        <f>IFERROR(X180*H180,"0")+IFERROR(X184*H184,"0")+IFERROR(X185*H185,"0")+IFERROR(X186*H186,"0")+IFERROR(X187*H187,"0")</f>
        <v>72.240000000000009</v>
      </c>
      <c r="X284" s="46">
        <f>IFERROR(X192*H192,"0")+IFERROR(X193*H193,"0")+IFERROR(X194*H194,"0")+IFERROR(X195*H195,"0")</f>
        <v>86.4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848.4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3050.4</v>
      </c>
      <c r="B287" s="60">
        <f>SUMPRODUCT(--(BB:BB="ПГП"),--(W:W="кор"),H:H,Y:Y)+SUMPRODUCT(--(BB:BB="ПГП"),--(W:W="кг"),Y:Y)</f>
        <v>3729.84</v>
      </c>
      <c r="C287" s="60">
        <f>SUMPRODUCT(--(BB:BB="КИЗ"),--(W:W="кор"),H:H,Y:Y)+SUMPRODUCT(--(BB:BB="КИЗ"),--(W:W="кг"),Y:Y)</f>
        <v>0</v>
      </c>
    </row>
  </sheetData>
  <sheetProtection algorithmName="SHA-512" hashValue="Q0pB6qcIrpuR9rS++yZKh4OU8lxppT/JGVr0NNSh4QT+l/ckCxOf3zS7MM1AIDohhkw6t/9//SE1AjPkx1uMVg==" saltValue="fOXDAs31qw9yxL/TvtcTj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282:D283"/>
    <mergeCell ref="D262:E262"/>
    <mergeCell ref="A39:Z39"/>
    <mergeCell ref="D239:E239"/>
    <mergeCell ref="P174:T174"/>
    <mergeCell ref="D266:E266"/>
    <mergeCell ref="U17:V17"/>
    <mergeCell ref="Y17:Y18"/>
    <mergeCell ref="D57:E57"/>
    <mergeCell ref="J282:J283"/>
    <mergeCell ref="L282:L283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D10:E10"/>
    <mergeCell ref="A23:O24"/>
    <mergeCell ref="P64:T64"/>
    <mergeCell ref="F10:G10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D170:E170"/>
    <mergeCell ref="N17:N18"/>
    <mergeCell ref="D49:E49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V282:V283"/>
    <mergeCell ref="P62:T62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200:E200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D269:E269"/>
    <mergeCell ref="P275:V275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270:T270"/>
    <mergeCell ref="P107:T107"/>
    <mergeCell ref="D150:E150"/>
    <mergeCell ref="P50:V50"/>
    <mergeCell ref="A233:Z233"/>
    <mergeCell ref="D271:E271"/>
    <mergeCell ref="P249:V249"/>
    <mergeCell ref="P172:V172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Z282:Z283"/>
    <mergeCell ref="D185:E185"/>
    <mergeCell ref="D41:E4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79:Z79"/>
    <mergeCell ref="A82:O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A5:C5"/>
    <mergeCell ref="P51:V51"/>
    <mergeCell ref="A17:A18"/>
    <mergeCell ref="K17:K18"/>
    <mergeCell ref="P195:T195"/>
    <mergeCell ref="C17:C18"/>
    <mergeCell ref="D103:E103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72:V72"/>
    <mergeCell ref="P122:T122"/>
    <mergeCell ref="P43:T43"/>
    <mergeCell ref="P65:V65"/>
    <mergeCell ref="P136:V136"/>
    <mergeCell ref="A126:Z126"/>
    <mergeCell ref="A12:M12"/>
    <mergeCell ref="A19:Z19"/>
    <mergeCell ref="Q9:R9"/>
    <mergeCell ref="R282:R283"/>
    <mergeCell ref="A32:Z32"/>
    <mergeCell ref="P278:V278"/>
    <mergeCell ref="A37:O38"/>
    <mergeCell ref="A159:Z159"/>
    <mergeCell ref="Q11:R11"/>
    <mergeCell ref="P205:T205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64:E264"/>
    <mergeCell ref="D251:E251"/>
    <mergeCell ref="A173:Z173"/>
    <mergeCell ref="P17:T18"/>
    <mergeCell ref="P129:T129"/>
    <mergeCell ref="P63:T63"/>
    <mergeCell ref="A148:Z148"/>
    <mergeCell ref="S282:S283"/>
    <mergeCell ref="U282:U283"/>
    <mergeCell ref="P194:T194"/>
    <mergeCell ref="A166:Z166"/>
    <mergeCell ref="D229:E229"/>
    <mergeCell ref="D108:E108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A95:Z95"/>
    <mergeCell ref="A68:Z68"/>
    <mergeCell ref="B282:B283"/>
    <mergeCell ref="P93:V93"/>
    <mergeCell ref="P164:V164"/>
    <mergeCell ref="D145:E145"/>
    <mergeCell ref="D210:E210"/>
    <mergeCell ref="D87:E87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242:Z242"/>
    <mergeCell ref="P268:T268"/>
    <mergeCell ref="A234:Z234"/>
    <mergeCell ref="A244:Z244"/>
    <mergeCell ref="A100:Z100"/>
    <mergeCell ref="A165:Z165"/>
    <mergeCell ref="P125:V125"/>
    <mergeCell ref="P192:T192"/>
    <mergeCell ref="P277:V277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P209:T20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105 X108 X113 X117 X128 X134 X161 X174 X185 X187 X192:X195 X205 X209:X211 X216:X217 X223 X229 X235 X239 X245 X247 X252 X258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1 X96:X97 X102:X104 X106:X107 X112 X122 X129 X135 X140 X145 X150 X155 X162 X168:X170 X180 X184 X186 X200 X246 X251 X256:X257 X263:X265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 X266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/eGL3CPNUpWmP+FkxMeuK4vNReOQtyCufcVfaVovovX6svTIbuDR4sFdednw6jMmB4ee9J8nM7gmNSTbu5qZtQ==" saltValue="6lbT8R9TL6NepVRof8DH1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2025-11-21T09:14:21Z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