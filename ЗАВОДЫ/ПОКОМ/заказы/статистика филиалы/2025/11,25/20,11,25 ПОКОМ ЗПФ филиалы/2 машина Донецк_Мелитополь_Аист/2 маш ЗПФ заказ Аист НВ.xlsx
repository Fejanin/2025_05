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Аист ЗПФ на погрузку с филиалами 24,11,25\"/>
    </mc:Choice>
  </mc:AlternateContent>
  <xr:revisionPtr revIDLastSave="0" documentId="13_ncr:1_{801FF437-64EB-4BE9-A46D-B46815C3B47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Z112" i="1"/>
  <c r="Z114" i="1" s="1"/>
  <c r="Y112" i="1"/>
  <c r="Y115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BM29" i="1"/>
  <c r="Z29" i="1"/>
  <c r="Y29" i="1"/>
  <c r="BP29" i="1" s="1"/>
  <c r="P29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6" i="1" l="1"/>
  <c r="X277" i="1" s="1"/>
  <c r="BP28" i="1"/>
  <c r="Y31" i="1"/>
  <c r="Y274" i="1" s="1"/>
  <c r="Y38" i="1"/>
  <c r="Y45" i="1"/>
  <c r="Y278" i="1" s="1"/>
  <c r="Y60" i="1"/>
  <c r="Y66" i="1"/>
  <c r="Y71" i="1"/>
  <c r="Y83" i="1"/>
  <c r="Y92" i="1"/>
  <c r="Y99" i="1"/>
  <c r="Y110" i="1"/>
  <c r="Y114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C287" i="1" l="1"/>
  <c r="Y277" i="1"/>
  <c r="B287" i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<sst xmlns="http://schemas.openxmlformats.org/spreadsheetml/2006/main" count="1229" uniqueCount="396">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</sst>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0" fillId="0" borderId="25" xfId="0" applyBorder="1" applyProtection="1">
      <protection hidden="1"/>
    </xf>
    <xf numFmtId="0" fontId="10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5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172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42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59" fillId="0" borderId="43" xfId="0" applyFont="1" applyBorder="1" applyAlignment="1">
      <alignment horizontal="left" vertical="center" wrapText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32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12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23" fillId="0" borderId="43" xfId="0" applyFont="1" applyBorder="1" applyAlignment="1">
      <alignment horizontal="left" vertical="center" wrapText="1"/>
    </xf>
    <xf numFmtId="0" fontId="202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127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6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430" t="s">
        <v>0</v>
      </c>
      <c r="E1" s="292"/>
      <c r="F1" s="292"/>
      <c r="G1" s="12" t="s">
        <v>1</v>
      </c>
      <c r="H1" s="430" t="s">
        <v>2</v>
      </c>
      <c r="I1" s="292"/>
      <c r="J1" s="292"/>
      <c r="K1" s="292"/>
      <c r="L1" s="292"/>
      <c r="M1" s="292"/>
      <c r="N1" s="292"/>
      <c r="O1" s="292"/>
      <c r="P1" s="292"/>
      <c r="Q1" s="292"/>
      <c r="R1" s="445" t="s">
        <v>3</v>
      </c>
      <c r="S1" s="292"/>
      <c r="T1" s="29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7"/>
      <c r="R2" s="277"/>
      <c r="S2" s="277"/>
      <c r="T2" s="277"/>
      <c r="U2" s="277"/>
      <c r="V2" s="277"/>
      <c r="W2" s="277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7"/>
      <c r="Q3" s="277"/>
      <c r="R3" s="277"/>
      <c r="S3" s="277"/>
      <c r="T3" s="277"/>
      <c r="U3" s="277"/>
      <c r="V3" s="277"/>
      <c r="W3" s="277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403" t="s">
        <v>7</v>
      </c>
      <c r="B5" s="364"/>
      <c r="C5" s="297"/>
      <c r="D5" s="395"/>
      <c r="E5" s="397"/>
      <c r="F5" s="308" t="s">
        <v>8</v>
      </c>
      <c r="G5" s="297"/>
      <c r="H5" s="395"/>
      <c r="I5" s="396"/>
      <c r="J5" s="396"/>
      <c r="K5" s="396"/>
      <c r="L5" s="396"/>
      <c r="M5" s="397"/>
      <c r="N5" s="61"/>
      <c r="P5" s="24" t="s">
        <v>9</v>
      </c>
      <c r="Q5" s="332">
        <v>45985</v>
      </c>
      <c r="R5" s="333"/>
      <c r="T5" s="387" t="s">
        <v>10</v>
      </c>
      <c r="U5" s="331"/>
      <c r="V5" s="388" t="s">
        <v>11</v>
      </c>
      <c r="W5" s="333"/>
      <c r="AB5" s="51"/>
      <c r="AC5" s="51"/>
      <c r="AD5" s="51"/>
      <c r="AE5" s="51"/>
    </row>
    <row r="6" spans="1:32" s="265" customFormat="1" ht="24" customHeight="1" x14ac:dyDescent="0.2">
      <c r="A6" s="403" t="s">
        <v>12</v>
      </c>
      <c r="B6" s="364"/>
      <c r="C6" s="297"/>
      <c r="D6" s="358" t="s">
        <v>13</v>
      </c>
      <c r="E6" s="359"/>
      <c r="F6" s="359"/>
      <c r="G6" s="359"/>
      <c r="H6" s="359"/>
      <c r="I6" s="359"/>
      <c r="J6" s="359"/>
      <c r="K6" s="359"/>
      <c r="L6" s="359"/>
      <c r="M6" s="333"/>
      <c r="N6" s="62"/>
      <c r="P6" s="24" t="s">
        <v>14</v>
      </c>
      <c r="Q6" s="334" t="str">
        <f>IF(Q5=0," ",CHOOSE(WEEKDAY(Q5,2),"Понедельник","Вторник","Среда","Четверг","Пятница","Суббота","Воскресенье"))</f>
        <v>Понедельник</v>
      </c>
      <c r="R6" s="279"/>
      <c r="T6" s="380" t="s">
        <v>15</v>
      </c>
      <c r="U6" s="331"/>
      <c r="V6" s="348" t="s">
        <v>16</v>
      </c>
      <c r="W6" s="34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435" t="str">
        <f>IFERROR(VLOOKUP(DeliveryAddress,Table,3,0),1)</f>
        <v>1</v>
      </c>
      <c r="E7" s="436"/>
      <c r="F7" s="436"/>
      <c r="G7" s="436"/>
      <c r="H7" s="436"/>
      <c r="I7" s="436"/>
      <c r="J7" s="436"/>
      <c r="K7" s="436"/>
      <c r="L7" s="436"/>
      <c r="M7" s="390"/>
      <c r="N7" s="63"/>
      <c r="P7" s="24"/>
      <c r="Q7" s="42"/>
      <c r="R7" s="42"/>
      <c r="T7" s="277"/>
      <c r="U7" s="331"/>
      <c r="V7" s="350"/>
      <c r="W7" s="351"/>
      <c r="AB7" s="51"/>
      <c r="AC7" s="51"/>
      <c r="AD7" s="51"/>
      <c r="AE7" s="51"/>
    </row>
    <row r="8" spans="1:32" s="265" customFormat="1" ht="25.5" customHeight="1" x14ac:dyDescent="0.2">
      <c r="A8" s="272" t="s">
        <v>17</v>
      </c>
      <c r="B8" s="273"/>
      <c r="C8" s="274"/>
      <c r="D8" s="440" t="s">
        <v>18</v>
      </c>
      <c r="E8" s="441"/>
      <c r="F8" s="441"/>
      <c r="G8" s="441"/>
      <c r="H8" s="441"/>
      <c r="I8" s="441"/>
      <c r="J8" s="441"/>
      <c r="K8" s="441"/>
      <c r="L8" s="441"/>
      <c r="M8" s="442"/>
      <c r="N8" s="64"/>
      <c r="P8" s="24" t="s">
        <v>19</v>
      </c>
      <c r="Q8" s="389">
        <v>0.41666666666666669</v>
      </c>
      <c r="R8" s="390"/>
      <c r="T8" s="277"/>
      <c r="U8" s="331"/>
      <c r="V8" s="350"/>
      <c r="W8" s="351"/>
      <c r="AB8" s="51"/>
      <c r="AC8" s="51"/>
      <c r="AD8" s="51"/>
      <c r="AE8" s="51"/>
    </row>
    <row r="9" spans="1:32" s="265" customFormat="1" ht="39.950000000000003" customHeight="1" x14ac:dyDescent="0.2">
      <c r="A9" s="2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7"/>
      <c r="C9" s="277"/>
      <c r="D9" s="317"/>
      <c r="E9" s="318"/>
      <c r="F9" s="2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7"/>
      <c r="H9" s="386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266"/>
      <c r="P9" s="26" t="s">
        <v>20</v>
      </c>
      <c r="Q9" s="410"/>
      <c r="R9" s="313"/>
      <c r="T9" s="277"/>
      <c r="U9" s="331"/>
      <c r="V9" s="352"/>
      <c r="W9" s="35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2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7"/>
      <c r="C10" s="277"/>
      <c r="D10" s="317"/>
      <c r="E10" s="318"/>
      <c r="F10" s="2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7"/>
      <c r="H10" s="394" t="str">
        <f>IFERROR(VLOOKUP($D$10,Proxy,2,FALSE),"")</f>
        <v/>
      </c>
      <c r="I10" s="277"/>
      <c r="J10" s="277"/>
      <c r="K10" s="277"/>
      <c r="L10" s="277"/>
      <c r="M10" s="277"/>
      <c r="N10" s="264"/>
      <c r="P10" s="26" t="s">
        <v>21</v>
      </c>
      <c r="Q10" s="381"/>
      <c r="R10" s="382"/>
      <c r="U10" s="24" t="s">
        <v>22</v>
      </c>
      <c r="V10" s="450" t="s">
        <v>23</v>
      </c>
      <c r="W10" s="34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11"/>
      <c r="R11" s="333"/>
      <c r="U11" s="24" t="s">
        <v>26</v>
      </c>
      <c r="V11" s="312" t="s">
        <v>27</v>
      </c>
      <c r="W11" s="313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83" t="s">
        <v>28</v>
      </c>
      <c r="B12" s="364"/>
      <c r="C12" s="364"/>
      <c r="D12" s="364"/>
      <c r="E12" s="364"/>
      <c r="F12" s="364"/>
      <c r="G12" s="364"/>
      <c r="H12" s="364"/>
      <c r="I12" s="364"/>
      <c r="J12" s="364"/>
      <c r="K12" s="364"/>
      <c r="L12" s="364"/>
      <c r="M12" s="297"/>
      <c r="N12" s="65"/>
      <c r="P12" s="24" t="s">
        <v>29</v>
      </c>
      <c r="Q12" s="389"/>
      <c r="R12" s="390"/>
      <c r="S12" s="23"/>
      <c r="U12" s="24"/>
      <c r="V12" s="292"/>
      <c r="W12" s="277"/>
      <c r="AB12" s="51"/>
      <c r="AC12" s="51"/>
      <c r="AD12" s="51"/>
      <c r="AE12" s="51"/>
    </row>
    <row r="13" spans="1:32" s="265" customFormat="1" ht="23.25" customHeight="1" x14ac:dyDescent="0.2">
      <c r="A13" s="383" t="s">
        <v>30</v>
      </c>
      <c r="B13" s="364"/>
      <c r="C13" s="364"/>
      <c r="D13" s="364"/>
      <c r="E13" s="364"/>
      <c r="F13" s="364"/>
      <c r="G13" s="364"/>
      <c r="H13" s="364"/>
      <c r="I13" s="364"/>
      <c r="J13" s="364"/>
      <c r="K13" s="364"/>
      <c r="L13" s="364"/>
      <c r="M13" s="297"/>
      <c r="N13" s="65"/>
      <c r="O13" s="26"/>
      <c r="P13" s="26" t="s">
        <v>31</v>
      </c>
      <c r="Q13" s="312"/>
      <c r="R13" s="31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83" t="s">
        <v>32</v>
      </c>
      <c r="B14" s="364"/>
      <c r="C14" s="364"/>
      <c r="D14" s="364"/>
      <c r="E14" s="364"/>
      <c r="F14" s="364"/>
      <c r="G14" s="364"/>
      <c r="H14" s="364"/>
      <c r="I14" s="364"/>
      <c r="J14" s="364"/>
      <c r="K14" s="364"/>
      <c r="L14" s="364"/>
      <c r="M14" s="29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4" t="s">
        <v>33</v>
      </c>
      <c r="B15" s="364"/>
      <c r="C15" s="364"/>
      <c r="D15" s="364"/>
      <c r="E15" s="364"/>
      <c r="F15" s="364"/>
      <c r="G15" s="364"/>
      <c r="H15" s="364"/>
      <c r="I15" s="364"/>
      <c r="J15" s="364"/>
      <c r="K15" s="364"/>
      <c r="L15" s="364"/>
      <c r="M15" s="297"/>
      <c r="N15" s="66"/>
      <c r="P15" s="401" t="s">
        <v>34</v>
      </c>
      <c r="Q15" s="292"/>
      <c r="R15" s="292"/>
      <c r="S15" s="292"/>
      <c r="T15" s="29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02"/>
      <c r="Q16" s="402"/>
      <c r="R16" s="402"/>
      <c r="S16" s="402"/>
      <c r="T16" s="4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2" t="s">
        <v>35</v>
      </c>
      <c r="B17" s="282" t="s">
        <v>36</v>
      </c>
      <c r="C17" s="405" t="s">
        <v>37</v>
      </c>
      <c r="D17" s="282" t="s">
        <v>38</v>
      </c>
      <c r="E17" s="283"/>
      <c r="F17" s="282" t="s">
        <v>39</v>
      </c>
      <c r="G17" s="282" t="s">
        <v>40</v>
      </c>
      <c r="H17" s="282" t="s">
        <v>41</v>
      </c>
      <c r="I17" s="282" t="s">
        <v>42</v>
      </c>
      <c r="J17" s="282" t="s">
        <v>43</v>
      </c>
      <c r="K17" s="282" t="s">
        <v>44</v>
      </c>
      <c r="L17" s="282" t="s">
        <v>45</v>
      </c>
      <c r="M17" s="282" t="s">
        <v>46</v>
      </c>
      <c r="N17" s="282" t="s">
        <v>47</v>
      </c>
      <c r="O17" s="282" t="s">
        <v>48</v>
      </c>
      <c r="P17" s="282" t="s">
        <v>49</v>
      </c>
      <c r="Q17" s="417"/>
      <c r="R17" s="417"/>
      <c r="S17" s="417"/>
      <c r="T17" s="283"/>
      <c r="U17" s="296" t="s">
        <v>50</v>
      </c>
      <c r="V17" s="297"/>
      <c r="W17" s="282" t="s">
        <v>51</v>
      </c>
      <c r="X17" s="282" t="s">
        <v>52</v>
      </c>
      <c r="Y17" s="298" t="s">
        <v>53</v>
      </c>
      <c r="Z17" s="356" t="s">
        <v>54</v>
      </c>
      <c r="AA17" s="300" t="s">
        <v>55</v>
      </c>
      <c r="AB17" s="300" t="s">
        <v>56</v>
      </c>
      <c r="AC17" s="300" t="s">
        <v>57</v>
      </c>
      <c r="AD17" s="300" t="s">
        <v>58</v>
      </c>
      <c r="AE17" s="301"/>
      <c r="AF17" s="302"/>
      <c r="AG17" s="69"/>
      <c r="BD17" s="68" t="s">
        <v>59</v>
      </c>
    </row>
    <row r="18" spans="1:68" ht="14.25" customHeight="1" x14ac:dyDescent="0.2">
      <c r="A18" s="288"/>
      <c r="B18" s="288"/>
      <c r="C18" s="288"/>
      <c r="D18" s="284"/>
      <c r="E18" s="285"/>
      <c r="F18" s="288"/>
      <c r="G18" s="288"/>
      <c r="H18" s="288"/>
      <c r="I18" s="288"/>
      <c r="J18" s="288"/>
      <c r="K18" s="288"/>
      <c r="L18" s="288"/>
      <c r="M18" s="288"/>
      <c r="N18" s="288"/>
      <c r="O18" s="288"/>
      <c r="P18" s="284"/>
      <c r="Q18" s="418"/>
      <c r="R18" s="418"/>
      <c r="S18" s="418"/>
      <c r="T18" s="285"/>
      <c r="U18" s="70" t="s">
        <v>60</v>
      </c>
      <c r="V18" s="70" t="s">
        <v>61</v>
      </c>
      <c r="W18" s="288"/>
      <c r="X18" s="288"/>
      <c r="Y18" s="299"/>
      <c r="Z18" s="357"/>
      <c r="AA18" s="345"/>
      <c r="AB18" s="345"/>
      <c r="AC18" s="345"/>
      <c r="AD18" s="303"/>
      <c r="AE18" s="304"/>
      <c r="AF18" s="305"/>
      <c r="AG18" s="69"/>
      <c r="BD18" s="68"/>
    </row>
    <row r="19" spans="1:68" ht="27.75" customHeight="1" x14ac:dyDescent="0.2">
      <c r="A19" s="309" t="s">
        <v>62</v>
      </c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48"/>
      <c r="AB19" s="48"/>
      <c r="AC19" s="48"/>
    </row>
    <row r="20" spans="1:68" ht="16.5" customHeight="1" x14ac:dyDescent="0.25">
      <c r="A20" s="276" t="s">
        <v>62</v>
      </c>
      <c r="B20" s="277"/>
      <c r="C20" s="277"/>
      <c r="D20" s="277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63"/>
      <c r="AB20" s="263"/>
      <c r="AC20" s="263"/>
    </row>
    <row r="21" spans="1:68" ht="14.25" customHeight="1" x14ac:dyDescent="0.25">
      <c r="A21" s="280" t="s">
        <v>63</v>
      </c>
      <c r="B21" s="277"/>
      <c r="C21" s="277"/>
      <c r="D21" s="277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62"/>
      <c r="AB21" s="262"/>
      <c r="AC21" s="26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8">
        <v>4607111035752</v>
      </c>
      <c r="E22" s="279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54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90"/>
      <c r="R22" s="290"/>
      <c r="S22" s="290"/>
      <c r="T22" s="291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77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87"/>
      <c r="P23" s="275" t="s">
        <v>72</v>
      </c>
      <c r="Q23" s="273"/>
      <c r="R23" s="273"/>
      <c r="S23" s="273"/>
      <c r="T23" s="273"/>
      <c r="U23" s="273"/>
      <c r="V23" s="274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77"/>
      <c r="B24" s="277"/>
      <c r="C24" s="277"/>
      <c r="D24" s="277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87"/>
      <c r="P24" s="275" t="s">
        <v>72</v>
      </c>
      <c r="Q24" s="273"/>
      <c r="R24" s="273"/>
      <c r="S24" s="273"/>
      <c r="T24" s="273"/>
      <c r="U24" s="273"/>
      <c r="V24" s="274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09" t="s">
        <v>74</v>
      </c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48"/>
      <c r="AB25" s="48"/>
      <c r="AC25" s="48"/>
    </row>
    <row r="26" spans="1:68" ht="16.5" customHeight="1" x14ac:dyDescent="0.25">
      <c r="A26" s="276" t="s">
        <v>75</v>
      </c>
      <c r="B26" s="277"/>
      <c r="C26" s="277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63"/>
      <c r="AB26" s="263"/>
      <c r="AC26" s="263"/>
    </row>
    <row r="27" spans="1:68" ht="14.25" customHeight="1" x14ac:dyDescent="0.25">
      <c r="A27" s="280" t="s">
        <v>76</v>
      </c>
      <c r="B27" s="277"/>
      <c r="C27" s="277"/>
      <c r="D27" s="277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8">
        <v>4607111036537</v>
      </c>
      <c r="E28" s="279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44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90"/>
      <c r="R28" s="290"/>
      <c r="S28" s="290"/>
      <c r="T28" s="291"/>
      <c r="U28" s="34"/>
      <c r="V28" s="34"/>
      <c r="W28" s="35" t="s">
        <v>69</v>
      </c>
      <c r="X28" s="268">
        <v>56</v>
      </c>
      <c r="Y28" s="269">
        <f>IFERROR(IF(X28="","",X28),"")</f>
        <v>56</v>
      </c>
      <c r="Z28" s="36">
        <f>IFERROR(IF(X28="","",X28*0.00941),"")</f>
        <v>0.52695999999999998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107.6208</v>
      </c>
      <c r="BN28" s="67">
        <f>IFERROR(Y28*I28,"0")</f>
        <v>107.6208</v>
      </c>
      <c r="BO28" s="67">
        <f>IFERROR(X28/J28,"0")</f>
        <v>0.4</v>
      </c>
      <c r="BP28" s="67">
        <f>IFERROR(Y28/J28,"0")</f>
        <v>0.4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8">
        <v>4607111036605</v>
      </c>
      <c r="E29" s="279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43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90"/>
      <c r="R29" s="290"/>
      <c r="S29" s="290"/>
      <c r="T29" s="291"/>
      <c r="U29" s="34"/>
      <c r="V29" s="34"/>
      <c r="W29" s="35" t="s">
        <v>69</v>
      </c>
      <c r="X29" s="268">
        <v>56</v>
      </c>
      <c r="Y29" s="269">
        <f>IFERROR(IF(X29="","",X29),"")</f>
        <v>56</v>
      </c>
      <c r="Z29" s="36">
        <f>IFERROR(IF(X29="","",X29*0.00941),"")</f>
        <v>0.52695999999999998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107.6208</v>
      </c>
      <c r="BN29" s="67">
        <f>IFERROR(Y29*I29,"0")</f>
        <v>107.6208</v>
      </c>
      <c r="BO29" s="67">
        <f>IFERROR(X29/J29,"0")</f>
        <v>0.4</v>
      </c>
      <c r="BP29" s="67">
        <f>IFERROR(Y29/J29,"0")</f>
        <v>0.4</v>
      </c>
    </row>
    <row r="30" spans="1:68" x14ac:dyDescent="0.2">
      <c r="A30" s="286"/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87"/>
      <c r="P30" s="275" t="s">
        <v>72</v>
      </c>
      <c r="Q30" s="273"/>
      <c r="R30" s="273"/>
      <c r="S30" s="273"/>
      <c r="T30" s="273"/>
      <c r="U30" s="273"/>
      <c r="V30" s="274"/>
      <c r="W30" s="37" t="s">
        <v>69</v>
      </c>
      <c r="X30" s="270">
        <f>IFERROR(SUM(X28:X29),"0")</f>
        <v>112</v>
      </c>
      <c r="Y30" s="270">
        <f>IFERROR(SUM(Y28:Y29),"0")</f>
        <v>112</v>
      </c>
      <c r="Z30" s="270">
        <f>IFERROR(IF(Z28="",0,Z28),"0")+IFERROR(IF(Z29="",0,Z29),"0")</f>
        <v>1.05392</v>
      </c>
      <c r="AA30" s="271"/>
      <c r="AB30" s="271"/>
      <c r="AC30" s="271"/>
    </row>
    <row r="31" spans="1:68" x14ac:dyDescent="0.2">
      <c r="A31" s="277"/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87"/>
      <c r="P31" s="275" t="s">
        <v>72</v>
      </c>
      <c r="Q31" s="273"/>
      <c r="R31" s="273"/>
      <c r="S31" s="273"/>
      <c r="T31" s="273"/>
      <c r="U31" s="273"/>
      <c r="V31" s="274"/>
      <c r="W31" s="37" t="s">
        <v>73</v>
      </c>
      <c r="X31" s="270">
        <f>IFERROR(SUMPRODUCT(X28:X29*H28:H29),"0")</f>
        <v>168</v>
      </c>
      <c r="Y31" s="270">
        <f>IFERROR(SUMPRODUCT(Y28:Y29*H28:H29),"0")</f>
        <v>168</v>
      </c>
      <c r="Z31" s="37"/>
      <c r="AA31" s="271"/>
      <c r="AB31" s="271"/>
      <c r="AC31" s="271"/>
    </row>
    <row r="32" spans="1:68" ht="16.5" customHeight="1" x14ac:dyDescent="0.25">
      <c r="A32" s="276" t="s">
        <v>86</v>
      </c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63"/>
      <c r="AB32" s="263"/>
      <c r="AC32" s="263"/>
    </row>
    <row r="33" spans="1:68" ht="14.25" customHeight="1" x14ac:dyDescent="0.25">
      <c r="A33" s="280" t="s">
        <v>63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8">
        <v>4620207490075</v>
      </c>
      <c r="E34" s="279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33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90"/>
      <c r="R34" s="290"/>
      <c r="S34" s="290"/>
      <c r="T34" s="291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8">
        <v>4620207490174</v>
      </c>
      <c r="E35" s="279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90"/>
      <c r="R35" s="290"/>
      <c r="S35" s="290"/>
      <c r="T35" s="291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8">
        <v>4620207490044</v>
      </c>
      <c r="E36" s="279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6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90"/>
      <c r="R36" s="290"/>
      <c r="S36" s="290"/>
      <c r="T36" s="291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77"/>
      <c r="C37" s="277"/>
      <c r="D37" s="277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87"/>
      <c r="P37" s="275" t="s">
        <v>72</v>
      </c>
      <c r="Q37" s="273"/>
      <c r="R37" s="273"/>
      <c r="S37" s="273"/>
      <c r="T37" s="273"/>
      <c r="U37" s="273"/>
      <c r="V37" s="274"/>
      <c r="W37" s="37" t="s">
        <v>69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x14ac:dyDescent="0.2">
      <c r="A38" s="277"/>
      <c r="B38" s="277"/>
      <c r="C38" s="277"/>
      <c r="D38" s="277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87"/>
      <c r="P38" s="275" t="s">
        <v>72</v>
      </c>
      <c r="Q38" s="273"/>
      <c r="R38" s="273"/>
      <c r="S38" s="273"/>
      <c r="T38" s="273"/>
      <c r="U38" s="273"/>
      <c r="V38" s="274"/>
      <c r="W38" s="37" t="s">
        <v>73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customHeight="1" x14ac:dyDescent="0.25">
      <c r="A39" s="276" t="s">
        <v>96</v>
      </c>
      <c r="B39" s="27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63"/>
      <c r="AB39" s="263"/>
      <c r="AC39" s="263"/>
    </row>
    <row r="40" spans="1:68" ht="14.25" customHeight="1" x14ac:dyDescent="0.25">
      <c r="A40" s="280" t="s">
        <v>63</v>
      </c>
      <c r="B40" s="277"/>
      <c r="C40" s="277"/>
      <c r="D40" s="277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8">
        <v>4607111039385</v>
      </c>
      <c r="E41" s="279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33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90"/>
      <c r="R41" s="290"/>
      <c r="S41" s="290"/>
      <c r="T41" s="291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8">
        <v>4607111038982</v>
      </c>
      <c r="E42" s="279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43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90"/>
      <c r="R42" s="290"/>
      <c r="S42" s="290"/>
      <c r="T42" s="291"/>
      <c r="U42" s="34"/>
      <c r="V42" s="34"/>
      <c r="W42" s="35" t="s">
        <v>69</v>
      </c>
      <c r="X42" s="268">
        <v>36</v>
      </c>
      <c r="Y42" s="269">
        <f>IFERROR(IF(X42="","",X42),"")</f>
        <v>36</v>
      </c>
      <c r="Z42" s="36">
        <f>IFERROR(IF(X42="","",X42*0.0155),"")</f>
        <v>0.55800000000000005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262.29599999999999</v>
      </c>
      <c r="BN42" s="67">
        <f>IFERROR(Y42*I42,"0")</f>
        <v>262.29599999999999</v>
      </c>
      <c r="BO42" s="67">
        <f>IFERROR(X42/J42,"0")</f>
        <v>0.42857142857142855</v>
      </c>
      <c r="BP42" s="67">
        <f>IFERROR(Y42/J42,"0")</f>
        <v>0.42857142857142855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8">
        <v>4607111039354</v>
      </c>
      <c r="E43" s="279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40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90"/>
      <c r="R43" s="290"/>
      <c r="S43" s="290"/>
      <c r="T43" s="291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8">
        <v>4607111039330</v>
      </c>
      <c r="E44" s="279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44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90"/>
      <c r="R44" s="290"/>
      <c r="S44" s="290"/>
      <c r="T44" s="291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77"/>
      <c r="C45" s="277"/>
      <c r="D45" s="277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87"/>
      <c r="P45" s="275" t="s">
        <v>72</v>
      </c>
      <c r="Q45" s="273"/>
      <c r="R45" s="273"/>
      <c r="S45" s="273"/>
      <c r="T45" s="273"/>
      <c r="U45" s="273"/>
      <c r="V45" s="274"/>
      <c r="W45" s="37" t="s">
        <v>69</v>
      </c>
      <c r="X45" s="270">
        <f>IFERROR(SUM(X41:X44),"0")</f>
        <v>36</v>
      </c>
      <c r="Y45" s="270">
        <f>IFERROR(SUM(Y41:Y44),"0")</f>
        <v>36</v>
      </c>
      <c r="Z45" s="270">
        <f>IFERROR(IF(Z41="",0,Z41),"0")+IFERROR(IF(Z42="",0,Z42),"0")+IFERROR(IF(Z43="",0,Z43),"0")+IFERROR(IF(Z44="",0,Z44),"0")</f>
        <v>0.55800000000000005</v>
      </c>
      <c r="AA45" s="271"/>
      <c r="AB45" s="271"/>
      <c r="AC45" s="271"/>
    </row>
    <row r="46" spans="1:68" x14ac:dyDescent="0.2">
      <c r="A46" s="277"/>
      <c r="B46" s="277"/>
      <c r="C46" s="277"/>
      <c r="D46" s="277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87"/>
      <c r="P46" s="275" t="s">
        <v>72</v>
      </c>
      <c r="Q46" s="273"/>
      <c r="R46" s="273"/>
      <c r="S46" s="273"/>
      <c r="T46" s="273"/>
      <c r="U46" s="273"/>
      <c r="V46" s="274"/>
      <c r="W46" s="37" t="s">
        <v>73</v>
      </c>
      <c r="X46" s="270">
        <f>IFERROR(SUMPRODUCT(X41:X44*H41:H44),"0")</f>
        <v>252</v>
      </c>
      <c r="Y46" s="270">
        <f>IFERROR(SUMPRODUCT(Y41:Y44*H41:H44),"0")</f>
        <v>252</v>
      </c>
      <c r="Z46" s="37"/>
      <c r="AA46" s="271"/>
      <c r="AB46" s="271"/>
      <c r="AC46" s="271"/>
    </row>
    <row r="47" spans="1:68" ht="16.5" customHeight="1" x14ac:dyDescent="0.25">
      <c r="A47" s="276" t="s">
        <v>107</v>
      </c>
      <c r="B47" s="27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63"/>
      <c r="AB47" s="263"/>
      <c r="AC47" s="263"/>
    </row>
    <row r="48" spans="1:68" ht="14.25" customHeight="1" x14ac:dyDescent="0.25">
      <c r="A48" s="280" t="s">
        <v>63</v>
      </c>
      <c r="B48" s="277"/>
      <c r="C48" s="277"/>
      <c r="D48" s="277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8">
        <v>4620207490822</v>
      </c>
      <c r="E49" s="279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6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90"/>
      <c r="R49" s="290"/>
      <c r="S49" s="290"/>
      <c r="T49" s="291"/>
      <c r="U49" s="34"/>
      <c r="V49" s="34"/>
      <c r="W49" s="35" t="s">
        <v>69</v>
      </c>
      <c r="X49" s="268">
        <v>12</v>
      </c>
      <c r="Y49" s="269">
        <f>IFERROR(IF(X49="","",X49),"")</f>
        <v>12</v>
      </c>
      <c r="Z49" s="36">
        <f>IFERROR(IF(X49="","",X49*0.00866),"")</f>
        <v>0.10391999999999998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43.68</v>
      </c>
      <c r="BN49" s="67">
        <f>IFERROR(Y49*I49,"0")</f>
        <v>43.68</v>
      </c>
      <c r="BO49" s="67">
        <f>IFERROR(X49/J49,"0")</f>
        <v>8.3333333333333329E-2</v>
      </c>
      <c r="BP49" s="67">
        <f>IFERROR(Y49/J49,"0")</f>
        <v>8.3333333333333329E-2</v>
      </c>
    </row>
    <row r="50" spans="1:68" x14ac:dyDescent="0.2">
      <c r="A50" s="286"/>
      <c r="B50" s="277"/>
      <c r="C50" s="277"/>
      <c r="D50" s="277"/>
      <c r="E50" s="277"/>
      <c r="F50" s="277"/>
      <c r="G50" s="277"/>
      <c r="H50" s="277"/>
      <c r="I50" s="277"/>
      <c r="J50" s="277"/>
      <c r="K50" s="277"/>
      <c r="L50" s="277"/>
      <c r="M50" s="277"/>
      <c r="N50" s="277"/>
      <c r="O50" s="287"/>
      <c r="P50" s="275" t="s">
        <v>72</v>
      </c>
      <c r="Q50" s="273"/>
      <c r="R50" s="273"/>
      <c r="S50" s="273"/>
      <c r="T50" s="273"/>
      <c r="U50" s="273"/>
      <c r="V50" s="274"/>
      <c r="W50" s="37" t="s">
        <v>69</v>
      </c>
      <c r="X50" s="270">
        <f>IFERROR(SUM(X49:X49),"0")</f>
        <v>12</v>
      </c>
      <c r="Y50" s="270">
        <f>IFERROR(SUM(Y49:Y49),"0")</f>
        <v>12</v>
      </c>
      <c r="Z50" s="270">
        <f>IFERROR(IF(Z49="",0,Z49),"0")</f>
        <v>0.10391999999999998</v>
      </c>
      <c r="AA50" s="271"/>
      <c r="AB50" s="271"/>
      <c r="AC50" s="271"/>
    </row>
    <row r="51" spans="1:68" x14ac:dyDescent="0.2">
      <c r="A51" s="277"/>
      <c r="B51" s="277"/>
      <c r="C51" s="277"/>
      <c r="D51" s="277"/>
      <c r="E51" s="277"/>
      <c r="F51" s="277"/>
      <c r="G51" s="277"/>
      <c r="H51" s="277"/>
      <c r="I51" s="277"/>
      <c r="J51" s="277"/>
      <c r="K51" s="277"/>
      <c r="L51" s="277"/>
      <c r="M51" s="277"/>
      <c r="N51" s="277"/>
      <c r="O51" s="287"/>
      <c r="P51" s="275" t="s">
        <v>72</v>
      </c>
      <c r="Q51" s="273"/>
      <c r="R51" s="273"/>
      <c r="S51" s="273"/>
      <c r="T51" s="273"/>
      <c r="U51" s="273"/>
      <c r="V51" s="274"/>
      <c r="W51" s="37" t="s">
        <v>73</v>
      </c>
      <c r="X51" s="270">
        <f>IFERROR(SUMPRODUCT(X49:X49*H49:H49),"0")</f>
        <v>41.28</v>
      </c>
      <c r="Y51" s="270">
        <f>IFERROR(SUMPRODUCT(Y49:Y49*H49:H49),"0")</f>
        <v>41.28</v>
      </c>
      <c r="Z51" s="37"/>
      <c r="AA51" s="271"/>
      <c r="AB51" s="271"/>
      <c r="AC51" s="271"/>
    </row>
    <row r="52" spans="1:68" ht="14.25" customHeight="1" x14ac:dyDescent="0.25">
      <c r="A52" s="280" t="s">
        <v>76</v>
      </c>
      <c r="B52" s="277"/>
      <c r="C52" s="277"/>
      <c r="D52" s="277"/>
      <c r="E52" s="277"/>
      <c r="F52" s="277"/>
      <c r="G52" s="277"/>
      <c r="H52" s="277"/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62"/>
      <c r="AB52" s="262"/>
      <c r="AC52" s="262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8">
        <v>4607111039712</v>
      </c>
      <c r="E53" s="279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9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90"/>
      <c r="R53" s="290"/>
      <c r="S53" s="290"/>
      <c r="T53" s="291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77"/>
      <c r="C54" s="277"/>
      <c r="D54" s="277"/>
      <c r="E54" s="277"/>
      <c r="F54" s="277"/>
      <c r="G54" s="277"/>
      <c r="H54" s="277"/>
      <c r="I54" s="277"/>
      <c r="J54" s="277"/>
      <c r="K54" s="277"/>
      <c r="L54" s="277"/>
      <c r="M54" s="277"/>
      <c r="N54" s="277"/>
      <c r="O54" s="287"/>
      <c r="P54" s="275" t="s">
        <v>72</v>
      </c>
      <c r="Q54" s="273"/>
      <c r="R54" s="273"/>
      <c r="S54" s="273"/>
      <c r="T54" s="273"/>
      <c r="U54" s="273"/>
      <c r="V54" s="274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77"/>
      <c r="B55" s="277"/>
      <c r="C55" s="277"/>
      <c r="D55" s="277"/>
      <c r="E55" s="277"/>
      <c r="F55" s="277"/>
      <c r="G55" s="277"/>
      <c r="H55" s="277"/>
      <c r="I55" s="277"/>
      <c r="J55" s="277"/>
      <c r="K55" s="277"/>
      <c r="L55" s="277"/>
      <c r="M55" s="277"/>
      <c r="N55" s="277"/>
      <c r="O55" s="287"/>
      <c r="P55" s="275" t="s">
        <v>72</v>
      </c>
      <c r="Q55" s="273"/>
      <c r="R55" s="273"/>
      <c r="S55" s="273"/>
      <c r="T55" s="273"/>
      <c r="U55" s="273"/>
      <c r="V55" s="274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280" t="s">
        <v>114</v>
      </c>
      <c r="B56" s="277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62"/>
      <c r="AB56" s="262"/>
      <c r="AC56" s="262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8">
        <v>4607111037008</v>
      </c>
      <c r="E57" s="279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31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90"/>
      <c r="R57" s="290"/>
      <c r="S57" s="290"/>
      <c r="T57" s="291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8">
        <v>4607111037398</v>
      </c>
      <c r="E58" s="279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28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90"/>
      <c r="R58" s="290"/>
      <c r="S58" s="290"/>
      <c r="T58" s="291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77"/>
      <c r="C59" s="277"/>
      <c r="D59" s="277"/>
      <c r="E59" s="277"/>
      <c r="F59" s="277"/>
      <c r="G59" s="277"/>
      <c r="H59" s="277"/>
      <c r="I59" s="277"/>
      <c r="J59" s="277"/>
      <c r="K59" s="277"/>
      <c r="L59" s="277"/>
      <c r="M59" s="277"/>
      <c r="N59" s="277"/>
      <c r="O59" s="287"/>
      <c r="P59" s="275" t="s">
        <v>72</v>
      </c>
      <c r="Q59" s="273"/>
      <c r="R59" s="273"/>
      <c r="S59" s="273"/>
      <c r="T59" s="273"/>
      <c r="U59" s="273"/>
      <c r="V59" s="274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77"/>
      <c r="B60" s="277"/>
      <c r="C60" s="277"/>
      <c r="D60" s="277"/>
      <c r="E60" s="277"/>
      <c r="F60" s="277"/>
      <c r="G60" s="277"/>
      <c r="H60" s="277"/>
      <c r="I60" s="277"/>
      <c r="J60" s="277"/>
      <c r="K60" s="277"/>
      <c r="L60" s="277"/>
      <c r="M60" s="277"/>
      <c r="N60" s="277"/>
      <c r="O60" s="287"/>
      <c r="P60" s="275" t="s">
        <v>72</v>
      </c>
      <c r="Q60" s="273"/>
      <c r="R60" s="273"/>
      <c r="S60" s="273"/>
      <c r="T60" s="273"/>
      <c r="U60" s="273"/>
      <c r="V60" s="274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280" t="s">
        <v>120</v>
      </c>
      <c r="B61" s="277"/>
      <c r="C61" s="277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62"/>
      <c r="AB61" s="262"/>
      <c r="AC61" s="262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8">
        <v>4607111039705</v>
      </c>
      <c r="E62" s="279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32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90"/>
      <c r="R62" s="290"/>
      <c r="S62" s="290"/>
      <c r="T62" s="291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125</v>
      </c>
      <c r="B63" s="54" t="s">
        <v>126</v>
      </c>
      <c r="C63" s="31">
        <v>4301135665</v>
      </c>
      <c r="D63" s="278">
        <v>4607111039729</v>
      </c>
      <c r="E63" s="279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42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90"/>
      <c r="R63" s="290"/>
      <c r="S63" s="290"/>
      <c r="T63" s="291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128</v>
      </c>
      <c r="B64" s="54" t="s">
        <v>129</v>
      </c>
      <c r="C64" s="31">
        <v>4301135702</v>
      </c>
      <c r="D64" s="278">
        <v>4620207490228</v>
      </c>
      <c r="E64" s="279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31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90"/>
      <c r="R64" s="290"/>
      <c r="S64" s="290"/>
      <c r="T64" s="291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77"/>
      <c r="C65" s="277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87"/>
      <c r="P65" s="275" t="s">
        <v>72</v>
      </c>
      <c r="Q65" s="273"/>
      <c r="R65" s="273"/>
      <c r="S65" s="273"/>
      <c r="T65" s="273"/>
      <c r="U65" s="273"/>
      <c r="V65" s="274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77"/>
      <c r="B66" s="277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87"/>
      <c r="P66" s="275" t="s">
        <v>72</v>
      </c>
      <c r="Q66" s="273"/>
      <c r="R66" s="273"/>
      <c r="S66" s="273"/>
      <c r="T66" s="273"/>
      <c r="U66" s="273"/>
      <c r="V66" s="274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76" t="s">
        <v>130</v>
      </c>
      <c r="B67" s="27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63"/>
      <c r="AB67" s="263"/>
      <c r="AC67" s="263"/>
    </row>
    <row r="68" spans="1:68" ht="14.25" customHeight="1" x14ac:dyDescent="0.25">
      <c r="A68" s="280" t="s">
        <v>63</v>
      </c>
      <c r="B68" s="277"/>
      <c r="C68" s="277"/>
      <c r="D68" s="277"/>
      <c r="E68" s="277"/>
      <c r="F68" s="277"/>
      <c r="G68" s="277"/>
      <c r="H68" s="277"/>
      <c r="I68" s="277"/>
      <c r="J68" s="277"/>
      <c r="K68" s="277"/>
      <c r="L68" s="277"/>
      <c r="M68" s="277"/>
      <c r="N68" s="277"/>
      <c r="O68" s="277"/>
      <c r="P68" s="277"/>
      <c r="Q68" s="277"/>
      <c r="R68" s="277"/>
      <c r="S68" s="277"/>
      <c r="T68" s="277"/>
      <c r="U68" s="277"/>
      <c r="V68" s="277"/>
      <c r="W68" s="277"/>
      <c r="X68" s="277"/>
      <c r="Y68" s="277"/>
      <c r="Z68" s="277"/>
      <c r="AA68" s="262"/>
      <c r="AB68" s="262"/>
      <c r="AC68" s="262"/>
    </row>
    <row r="69" spans="1:68" ht="27" customHeight="1" x14ac:dyDescent="0.25">
      <c r="A69" s="54" t="s">
        <v>131</v>
      </c>
      <c r="B69" s="54" t="s">
        <v>132</v>
      </c>
      <c r="C69" s="31">
        <v>4301070977</v>
      </c>
      <c r="D69" s="278">
        <v>4607111037411</v>
      </c>
      <c r="E69" s="279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9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90"/>
      <c r="R69" s="290"/>
      <c r="S69" s="290"/>
      <c r="T69" s="291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135</v>
      </c>
      <c r="B70" s="54" t="s">
        <v>136</v>
      </c>
      <c r="C70" s="31">
        <v>4301070981</v>
      </c>
      <c r="D70" s="278">
        <v>4607111036728</v>
      </c>
      <c r="E70" s="279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3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90"/>
      <c r="R70" s="290"/>
      <c r="S70" s="290"/>
      <c r="T70" s="291"/>
      <c r="U70" s="34"/>
      <c r="V70" s="34"/>
      <c r="W70" s="35" t="s">
        <v>69</v>
      </c>
      <c r="X70" s="268">
        <v>0</v>
      </c>
      <c r="Y70" s="269">
        <f>IFERROR(IF(X70="","",X70),"")</f>
        <v>0</v>
      </c>
      <c r="Z70" s="36">
        <f>IFERROR(IF(X70="","",X70*0.00866),"")</f>
        <v>0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x14ac:dyDescent="0.2">
      <c r="A71" s="286"/>
      <c r="B71" s="277"/>
      <c r="C71" s="277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87"/>
      <c r="P71" s="275" t="s">
        <v>72</v>
      </c>
      <c r="Q71" s="273"/>
      <c r="R71" s="273"/>
      <c r="S71" s="273"/>
      <c r="T71" s="273"/>
      <c r="U71" s="273"/>
      <c r="V71" s="274"/>
      <c r="W71" s="37" t="s">
        <v>69</v>
      </c>
      <c r="X71" s="270">
        <f>IFERROR(SUM(X69:X70),"0")</f>
        <v>0</v>
      </c>
      <c r="Y71" s="270">
        <f>IFERROR(SUM(Y69:Y70),"0")</f>
        <v>0</v>
      </c>
      <c r="Z71" s="270">
        <f>IFERROR(IF(Z69="",0,Z69),"0")+IFERROR(IF(Z70="",0,Z70),"0")</f>
        <v>0</v>
      </c>
      <c r="AA71" s="271"/>
      <c r="AB71" s="271"/>
      <c r="AC71" s="271"/>
    </row>
    <row r="72" spans="1:68" x14ac:dyDescent="0.2">
      <c r="A72" s="277"/>
      <c r="B72" s="277"/>
      <c r="C72" s="277"/>
      <c r="D72" s="277"/>
      <c r="E72" s="277"/>
      <c r="F72" s="277"/>
      <c r="G72" s="277"/>
      <c r="H72" s="277"/>
      <c r="I72" s="277"/>
      <c r="J72" s="277"/>
      <c r="K72" s="277"/>
      <c r="L72" s="277"/>
      <c r="M72" s="277"/>
      <c r="N72" s="277"/>
      <c r="O72" s="287"/>
      <c r="P72" s="275" t="s">
        <v>72</v>
      </c>
      <c r="Q72" s="273"/>
      <c r="R72" s="273"/>
      <c r="S72" s="273"/>
      <c r="T72" s="273"/>
      <c r="U72" s="273"/>
      <c r="V72" s="274"/>
      <c r="W72" s="37" t="s">
        <v>73</v>
      </c>
      <c r="X72" s="270">
        <f>IFERROR(SUMPRODUCT(X69:X70*H69:H70),"0")</f>
        <v>0</v>
      </c>
      <c r="Y72" s="270">
        <f>IFERROR(SUMPRODUCT(Y69:Y70*H69:H70),"0")</f>
        <v>0</v>
      </c>
      <c r="Z72" s="37"/>
      <c r="AA72" s="271"/>
      <c r="AB72" s="271"/>
      <c r="AC72" s="271"/>
    </row>
    <row r="73" spans="1:68" ht="16.5" customHeight="1" x14ac:dyDescent="0.25">
      <c r="A73" s="276" t="s">
        <v>137</v>
      </c>
      <c r="B73" s="277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7"/>
      <c r="P73" s="277"/>
      <c r="Q73" s="277"/>
      <c r="R73" s="277"/>
      <c r="S73" s="277"/>
      <c r="T73" s="277"/>
      <c r="U73" s="277"/>
      <c r="V73" s="277"/>
      <c r="W73" s="277"/>
      <c r="X73" s="277"/>
      <c r="Y73" s="277"/>
      <c r="Z73" s="277"/>
      <c r="AA73" s="263"/>
      <c r="AB73" s="263"/>
      <c r="AC73" s="263"/>
    </row>
    <row r="74" spans="1:68" ht="14.25" customHeight="1" x14ac:dyDescent="0.25">
      <c r="A74" s="280" t="s">
        <v>120</v>
      </c>
      <c r="B74" s="277"/>
      <c r="C74" s="277"/>
      <c r="D74" s="277"/>
      <c r="E74" s="277"/>
      <c r="F74" s="277"/>
      <c r="G74" s="277"/>
      <c r="H74" s="277"/>
      <c r="I74" s="277"/>
      <c r="J74" s="277"/>
      <c r="K74" s="277"/>
      <c r="L74" s="277"/>
      <c r="M74" s="277"/>
      <c r="N74" s="277"/>
      <c r="O74" s="277"/>
      <c r="P74" s="277"/>
      <c r="Q74" s="277"/>
      <c r="R74" s="277"/>
      <c r="S74" s="277"/>
      <c r="T74" s="277"/>
      <c r="U74" s="277"/>
      <c r="V74" s="277"/>
      <c r="W74" s="277"/>
      <c r="X74" s="277"/>
      <c r="Y74" s="277"/>
      <c r="Z74" s="277"/>
      <c r="AA74" s="262"/>
      <c r="AB74" s="262"/>
      <c r="AC74" s="262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78">
        <v>4607111033659</v>
      </c>
      <c r="E75" s="279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31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90"/>
      <c r="R75" s="290"/>
      <c r="S75" s="290"/>
      <c r="T75" s="291"/>
      <c r="U75" s="34"/>
      <c r="V75" s="34"/>
      <c r="W75" s="35" t="s">
        <v>69</v>
      </c>
      <c r="X75" s="268">
        <v>42</v>
      </c>
      <c r="Y75" s="269">
        <f>IFERROR(IF(X75="","",X75),"")</f>
        <v>42</v>
      </c>
      <c r="Z75" s="36">
        <f>IFERROR(IF(X75="","",X75*0.01788),"")</f>
        <v>0.75095999999999996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180.75120000000001</v>
      </c>
      <c r="BN75" s="67">
        <f>IFERROR(Y75*I75,"0")</f>
        <v>180.75120000000001</v>
      </c>
      <c r="BO75" s="67">
        <f>IFERROR(X75/J75,"0")</f>
        <v>0.6</v>
      </c>
      <c r="BP75" s="67">
        <f>IFERROR(Y75/J75,"0")</f>
        <v>0.6</v>
      </c>
    </row>
    <row r="76" spans="1:68" x14ac:dyDescent="0.2">
      <c r="A76" s="286"/>
      <c r="B76" s="27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87"/>
      <c r="P76" s="275" t="s">
        <v>72</v>
      </c>
      <c r="Q76" s="273"/>
      <c r="R76" s="273"/>
      <c r="S76" s="273"/>
      <c r="T76" s="273"/>
      <c r="U76" s="273"/>
      <c r="V76" s="274"/>
      <c r="W76" s="37" t="s">
        <v>69</v>
      </c>
      <c r="X76" s="270">
        <f>IFERROR(SUM(X75:X75),"0")</f>
        <v>42</v>
      </c>
      <c r="Y76" s="270">
        <f>IFERROR(SUM(Y75:Y75),"0")</f>
        <v>42</v>
      </c>
      <c r="Z76" s="270">
        <f>IFERROR(IF(Z75="",0,Z75),"0")</f>
        <v>0.75095999999999996</v>
      </c>
      <c r="AA76" s="271"/>
      <c r="AB76" s="271"/>
      <c r="AC76" s="271"/>
    </row>
    <row r="77" spans="1:68" x14ac:dyDescent="0.2">
      <c r="A77" s="277"/>
      <c r="B77" s="277"/>
      <c r="C77" s="277"/>
      <c r="D77" s="277"/>
      <c r="E77" s="277"/>
      <c r="F77" s="277"/>
      <c r="G77" s="277"/>
      <c r="H77" s="277"/>
      <c r="I77" s="277"/>
      <c r="J77" s="277"/>
      <c r="K77" s="277"/>
      <c r="L77" s="277"/>
      <c r="M77" s="277"/>
      <c r="N77" s="277"/>
      <c r="O77" s="287"/>
      <c r="P77" s="275" t="s">
        <v>72</v>
      </c>
      <c r="Q77" s="273"/>
      <c r="R77" s="273"/>
      <c r="S77" s="273"/>
      <c r="T77" s="273"/>
      <c r="U77" s="273"/>
      <c r="V77" s="274"/>
      <c r="W77" s="37" t="s">
        <v>73</v>
      </c>
      <c r="X77" s="270">
        <f>IFERROR(SUMPRODUCT(X75:X75*H75:H75),"0")</f>
        <v>151.20000000000002</v>
      </c>
      <c r="Y77" s="270">
        <f>IFERROR(SUMPRODUCT(Y75:Y75*H75:H75),"0")</f>
        <v>151.20000000000002</v>
      </c>
      <c r="Z77" s="37"/>
      <c r="AA77" s="271"/>
      <c r="AB77" s="271"/>
      <c r="AC77" s="271"/>
    </row>
    <row r="78" spans="1:68" ht="16.5" customHeight="1" x14ac:dyDescent="0.25">
      <c r="A78" s="276" t="s">
        <v>141</v>
      </c>
      <c r="B78" s="277"/>
      <c r="C78" s="277"/>
      <c r="D78" s="277"/>
      <c r="E78" s="277"/>
      <c r="F78" s="277"/>
      <c r="G78" s="277"/>
      <c r="H78" s="277"/>
      <c r="I78" s="277"/>
      <c r="J78" s="277"/>
      <c r="K78" s="277"/>
      <c r="L78" s="277"/>
      <c r="M78" s="277"/>
      <c r="N78" s="277"/>
      <c r="O78" s="277"/>
      <c r="P78" s="277"/>
      <c r="Q78" s="277"/>
      <c r="R78" s="277"/>
      <c r="S78" s="277"/>
      <c r="T78" s="277"/>
      <c r="U78" s="277"/>
      <c r="V78" s="277"/>
      <c r="W78" s="277"/>
      <c r="X78" s="277"/>
      <c r="Y78" s="277"/>
      <c r="Z78" s="277"/>
      <c r="AA78" s="263"/>
      <c r="AB78" s="263"/>
      <c r="AC78" s="263"/>
    </row>
    <row r="79" spans="1:68" ht="14.25" customHeight="1" x14ac:dyDescent="0.25">
      <c r="A79" s="280" t="s">
        <v>142</v>
      </c>
      <c r="B79" s="277"/>
      <c r="C79" s="277"/>
      <c r="D79" s="277"/>
      <c r="E79" s="277"/>
      <c r="F79" s="277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277"/>
      <c r="T79" s="277"/>
      <c r="U79" s="277"/>
      <c r="V79" s="277"/>
      <c r="W79" s="277"/>
      <c r="X79" s="277"/>
      <c r="Y79" s="277"/>
      <c r="Z79" s="277"/>
      <c r="AA79" s="262"/>
      <c r="AB79" s="262"/>
      <c r="AC79" s="262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78">
        <v>4607111034120</v>
      </c>
      <c r="E80" s="279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34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90"/>
      <c r="R80" s="290"/>
      <c r="S80" s="290"/>
      <c r="T80" s="291"/>
      <c r="U80" s="34"/>
      <c r="V80" s="34"/>
      <c r="W80" s="35" t="s">
        <v>69</v>
      </c>
      <c r="X80" s="268">
        <v>112</v>
      </c>
      <c r="Y80" s="269">
        <f>IFERROR(IF(X80="","",X80),"")</f>
        <v>112</v>
      </c>
      <c r="Z80" s="36">
        <f>IFERROR(IF(X80="","",X80*0.01788),"")</f>
        <v>2.0025599999999999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482.00320000000005</v>
      </c>
      <c r="BN80" s="67">
        <f>IFERROR(Y80*I80,"0")</f>
        <v>482.00320000000005</v>
      </c>
      <c r="BO80" s="67">
        <f>IFERROR(X80/J80,"0")</f>
        <v>1.6</v>
      </c>
      <c r="BP80" s="67">
        <f>IFERROR(Y80/J80,"0")</f>
        <v>1.6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78">
        <v>4607111034137</v>
      </c>
      <c r="E81" s="279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44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90"/>
      <c r="R81" s="290"/>
      <c r="S81" s="290"/>
      <c r="T81" s="291"/>
      <c r="U81" s="34"/>
      <c r="V81" s="34"/>
      <c r="W81" s="35" t="s">
        <v>69</v>
      </c>
      <c r="X81" s="268">
        <v>70</v>
      </c>
      <c r="Y81" s="269">
        <f>IFERROR(IF(X81="","",X81),"")</f>
        <v>70</v>
      </c>
      <c r="Z81" s="36">
        <f>IFERROR(IF(X81="","",X81*0.01788),"")</f>
        <v>1.2516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301.25200000000001</v>
      </c>
      <c r="BN81" s="67">
        <f>IFERROR(Y81*I81,"0")</f>
        <v>301.25200000000001</v>
      </c>
      <c r="BO81" s="67">
        <f>IFERROR(X81/J81,"0")</f>
        <v>1</v>
      </c>
      <c r="BP81" s="67">
        <f>IFERROR(Y81/J81,"0")</f>
        <v>1</v>
      </c>
    </row>
    <row r="82" spans="1:68" x14ac:dyDescent="0.2">
      <c r="A82" s="286"/>
      <c r="B82" s="277"/>
      <c r="C82" s="277"/>
      <c r="D82" s="277"/>
      <c r="E82" s="277"/>
      <c r="F82" s="277"/>
      <c r="G82" s="277"/>
      <c r="H82" s="277"/>
      <c r="I82" s="277"/>
      <c r="J82" s="277"/>
      <c r="K82" s="277"/>
      <c r="L82" s="277"/>
      <c r="M82" s="277"/>
      <c r="N82" s="277"/>
      <c r="O82" s="287"/>
      <c r="P82" s="275" t="s">
        <v>72</v>
      </c>
      <c r="Q82" s="273"/>
      <c r="R82" s="273"/>
      <c r="S82" s="273"/>
      <c r="T82" s="273"/>
      <c r="U82" s="273"/>
      <c r="V82" s="274"/>
      <c r="W82" s="37" t="s">
        <v>69</v>
      </c>
      <c r="X82" s="270">
        <f>IFERROR(SUM(X80:X81),"0")</f>
        <v>182</v>
      </c>
      <c r="Y82" s="270">
        <f>IFERROR(SUM(Y80:Y81),"0")</f>
        <v>182</v>
      </c>
      <c r="Z82" s="270">
        <f>IFERROR(IF(Z80="",0,Z80),"0")+IFERROR(IF(Z81="",0,Z81),"0")</f>
        <v>3.2541599999999997</v>
      </c>
      <c r="AA82" s="271"/>
      <c r="AB82" s="271"/>
      <c r="AC82" s="271"/>
    </row>
    <row r="83" spans="1:68" x14ac:dyDescent="0.2">
      <c r="A83" s="277"/>
      <c r="B83" s="277"/>
      <c r="C83" s="277"/>
      <c r="D83" s="277"/>
      <c r="E83" s="277"/>
      <c r="F83" s="277"/>
      <c r="G83" s="277"/>
      <c r="H83" s="277"/>
      <c r="I83" s="277"/>
      <c r="J83" s="277"/>
      <c r="K83" s="277"/>
      <c r="L83" s="277"/>
      <c r="M83" s="277"/>
      <c r="N83" s="277"/>
      <c r="O83" s="287"/>
      <c r="P83" s="275" t="s">
        <v>72</v>
      </c>
      <c r="Q83" s="273"/>
      <c r="R83" s="273"/>
      <c r="S83" s="273"/>
      <c r="T83" s="273"/>
      <c r="U83" s="273"/>
      <c r="V83" s="274"/>
      <c r="W83" s="37" t="s">
        <v>73</v>
      </c>
      <c r="X83" s="270">
        <f>IFERROR(SUMPRODUCT(X80:X81*H80:H81),"0")</f>
        <v>655.20000000000005</v>
      </c>
      <c r="Y83" s="270">
        <f>IFERROR(SUMPRODUCT(Y80:Y81*H80:H81),"0")</f>
        <v>655.20000000000005</v>
      </c>
      <c r="Z83" s="37"/>
      <c r="AA83" s="271"/>
      <c r="AB83" s="271"/>
      <c r="AC83" s="271"/>
    </row>
    <row r="84" spans="1:68" ht="16.5" customHeight="1" x14ac:dyDescent="0.25">
      <c r="A84" s="276" t="s">
        <v>149</v>
      </c>
      <c r="B84" s="277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63"/>
      <c r="AB84" s="263"/>
      <c r="AC84" s="263"/>
    </row>
    <row r="85" spans="1:68" ht="14.25" customHeight="1" x14ac:dyDescent="0.25">
      <c r="A85" s="280" t="s">
        <v>120</v>
      </c>
      <c r="B85" s="27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62"/>
      <c r="AB85" s="262"/>
      <c r="AC85" s="262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78">
        <v>4620207491027</v>
      </c>
      <c r="E86" s="279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45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90"/>
      <c r="R86" s="290"/>
      <c r="S86" s="290"/>
      <c r="T86" s="291"/>
      <c r="U86" s="34"/>
      <c r="V86" s="34"/>
      <c r="W86" s="35" t="s">
        <v>69</v>
      </c>
      <c r="X86" s="268">
        <v>28</v>
      </c>
      <c r="Y86" s="269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152</v>
      </c>
      <c r="B87" s="54" t="s">
        <v>153</v>
      </c>
      <c r="C87" s="31">
        <v>4301135793</v>
      </c>
      <c r="D87" s="278">
        <v>4620207491003</v>
      </c>
      <c r="E87" s="279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90"/>
      <c r="R87" s="290"/>
      <c r="S87" s="290"/>
      <c r="T87" s="291"/>
      <c r="U87" s="34"/>
      <c r="V87" s="34"/>
      <c r="W87" s="35" t="s">
        <v>69</v>
      </c>
      <c r="X87" s="268">
        <v>56</v>
      </c>
      <c r="Y87" s="269">
        <f t="shared" si="0"/>
        <v>56</v>
      </c>
      <c r="Z87" s="36">
        <f t="shared" si="1"/>
        <v>1.0012799999999999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200.6816</v>
      </c>
      <c r="BN87" s="67">
        <f t="shared" si="3"/>
        <v>200.6816</v>
      </c>
      <c r="BO87" s="67">
        <f t="shared" si="4"/>
        <v>0.8</v>
      </c>
      <c r="BP87" s="67">
        <f t="shared" si="5"/>
        <v>0.8</v>
      </c>
    </row>
    <row r="88" spans="1:68" ht="27" customHeight="1" x14ac:dyDescent="0.25">
      <c r="A88" s="54" t="s">
        <v>154</v>
      </c>
      <c r="B88" s="54" t="s">
        <v>155</v>
      </c>
      <c r="C88" s="31">
        <v>4301135768</v>
      </c>
      <c r="D88" s="278">
        <v>4620207491034</v>
      </c>
      <c r="E88" s="279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90"/>
      <c r="R88" s="290"/>
      <c r="S88" s="290"/>
      <c r="T88" s="291"/>
      <c r="U88" s="34"/>
      <c r="V88" s="34"/>
      <c r="W88" s="35" t="s">
        <v>69</v>
      </c>
      <c r="X88" s="268">
        <v>28</v>
      </c>
      <c r="Y88" s="269">
        <f t="shared" si="0"/>
        <v>28</v>
      </c>
      <c r="Z88" s="36">
        <f t="shared" si="1"/>
        <v>0.50063999999999997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100.3408</v>
      </c>
      <c r="BN88" s="67">
        <f t="shared" si="3"/>
        <v>100.3408</v>
      </c>
      <c r="BO88" s="67">
        <f t="shared" si="4"/>
        <v>0.4</v>
      </c>
      <c r="BP88" s="67">
        <f t="shared" si="5"/>
        <v>0.4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78">
        <v>4620207491010</v>
      </c>
      <c r="E89" s="279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90"/>
      <c r="R89" s="290"/>
      <c r="S89" s="290"/>
      <c r="T89" s="291"/>
      <c r="U89" s="34"/>
      <c r="V89" s="34"/>
      <c r="W89" s="35" t="s">
        <v>69</v>
      </c>
      <c r="X89" s="268">
        <v>70</v>
      </c>
      <c r="Y89" s="269">
        <f t="shared" si="0"/>
        <v>70</v>
      </c>
      <c r="Z89" s="36">
        <f t="shared" si="1"/>
        <v>1.2516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250.852</v>
      </c>
      <c r="BN89" s="67">
        <f t="shared" si="3"/>
        <v>250.852</v>
      </c>
      <c r="BO89" s="67">
        <f t="shared" si="4"/>
        <v>1</v>
      </c>
      <c r="BP89" s="67">
        <f t="shared" si="5"/>
        <v>1</v>
      </c>
    </row>
    <row r="90" spans="1:68" ht="27" customHeight="1" x14ac:dyDescent="0.25">
      <c r="A90" s="54" t="s">
        <v>159</v>
      </c>
      <c r="B90" s="54" t="s">
        <v>160</v>
      </c>
      <c r="C90" s="31">
        <v>4301135571</v>
      </c>
      <c r="D90" s="278">
        <v>4607111035028</v>
      </c>
      <c r="E90" s="279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7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90"/>
      <c r="R90" s="290"/>
      <c r="S90" s="290"/>
      <c r="T90" s="291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161</v>
      </c>
      <c r="B91" s="54" t="s">
        <v>162</v>
      </c>
      <c r="C91" s="31">
        <v>4301135285</v>
      </c>
      <c r="D91" s="278">
        <v>4607111036407</v>
      </c>
      <c r="E91" s="279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90"/>
      <c r="R91" s="290"/>
      <c r="S91" s="290"/>
      <c r="T91" s="291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77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87"/>
      <c r="P92" s="275" t="s">
        <v>72</v>
      </c>
      <c r="Q92" s="273"/>
      <c r="R92" s="273"/>
      <c r="S92" s="273"/>
      <c r="T92" s="273"/>
      <c r="U92" s="273"/>
      <c r="V92" s="274"/>
      <c r="W92" s="37" t="s">
        <v>69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3.2541599999999997</v>
      </c>
      <c r="AA92" s="271"/>
      <c r="AB92" s="271"/>
      <c r="AC92" s="271"/>
    </row>
    <row r="93" spans="1:68" x14ac:dyDescent="0.2">
      <c r="A93" s="277"/>
      <c r="B93" s="27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87"/>
      <c r="P93" s="275" t="s">
        <v>72</v>
      </c>
      <c r="Q93" s="273"/>
      <c r="R93" s="273"/>
      <c r="S93" s="273"/>
      <c r="T93" s="273"/>
      <c r="U93" s="273"/>
      <c r="V93" s="274"/>
      <c r="W93" s="37" t="s">
        <v>73</v>
      </c>
      <c r="X93" s="270">
        <f>IFERROR(SUMPRODUCT(X86:X91*H86:H91),"0")</f>
        <v>524.16</v>
      </c>
      <c r="Y93" s="270">
        <f>IFERROR(SUMPRODUCT(Y86:Y91*H86:H91),"0")</f>
        <v>524.16</v>
      </c>
      <c r="Z93" s="37"/>
      <c r="AA93" s="271"/>
      <c r="AB93" s="271"/>
      <c r="AC93" s="271"/>
    </row>
    <row r="94" spans="1:68" ht="16.5" customHeight="1" x14ac:dyDescent="0.25">
      <c r="A94" s="276" t="s">
        <v>164</v>
      </c>
      <c r="B94" s="277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77"/>
      <c r="Y94" s="277"/>
      <c r="Z94" s="277"/>
      <c r="AA94" s="263"/>
      <c r="AB94" s="263"/>
      <c r="AC94" s="263"/>
    </row>
    <row r="95" spans="1:68" ht="14.25" customHeight="1" x14ac:dyDescent="0.25">
      <c r="A95" s="280" t="s">
        <v>114</v>
      </c>
      <c r="B95" s="277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  <c r="W95" s="277"/>
      <c r="X95" s="277"/>
      <c r="Y95" s="277"/>
      <c r="Z95" s="277"/>
      <c r="AA95" s="262"/>
      <c r="AB95" s="262"/>
      <c r="AC95" s="262"/>
    </row>
    <row r="96" spans="1:68" ht="27" customHeight="1" x14ac:dyDescent="0.25">
      <c r="A96" s="54" t="s">
        <v>165</v>
      </c>
      <c r="B96" s="54" t="s">
        <v>166</v>
      </c>
      <c r="C96" s="31">
        <v>4301136070</v>
      </c>
      <c r="D96" s="278">
        <v>4607025784012</v>
      </c>
      <c r="E96" s="279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6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90"/>
      <c r="R96" s="290"/>
      <c r="S96" s="290"/>
      <c r="T96" s="291"/>
      <c r="U96" s="34"/>
      <c r="V96" s="34"/>
      <c r="W96" s="35" t="s">
        <v>69</v>
      </c>
      <c r="X96" s="268">
        <v>14</v>
      </c>
      <c r="Y96" s="269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168</v>
      </c>
      <c r="B97" s="54" t="s">
        <v>169</v>
      </c>
      <c r="C97" s="31">
        <v>4301136079</v>
      </c>
      <c r="D97" s="278">
        <v>4607025784319</v>
      </c>
      <c r="E97" s="279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42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90"/>
      <c r="R97" s="290"/>
      <c r="S97" s="290"/>
      <c r="T97" s="291"/>
      <c r="U97" s="34"/>
      <c r="V97" s="34"/>
      <c r="W97" s="35" t="s">
        <v>69</v>
      </c>
      <c r="X97" s="268">
        <v>42</v>
      </c>
      <c r="Y97" s="269">
        <f>IFERROR(IF(X97="","",X97),"")</f>
        <v>42</v>
      </c>
      <c r="Z97" s="36">
        <f>IFERROR(IF(X97="","",X97*0.01788),"")</f>
        <v>0.75095999999999996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178.24799999999999</v>
      </c>
      <c r="BN97" s="67">
        <f>IFERROR(Y97*I97,"0")</f>
        <v>178.24799999999999</v>
      </c>
      <c r="BO97" s="67">
        <f>IFERROR(X97/J97,"0")</f>
        <v>0.6</v>
      </c>
      <c r="BP97" s="67">
        <f>IFERROR(Y97/J97,"0")</f>
        <v>0.6</v>
      </c>
    </row>
    <row r="98" spans="1:68" x14ac:dyDescent="0.2">
      <c r="A98" s="286"/>
      <c r="B98" s="277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87"/>
      <c r="P98" s="275" t="s">
        <v>72</v>
      </c>
      <c r="Q98" s="273"/>
      <c r="R98" s="273"/>
      <c r="S98" s="273"/>
      <c r="T98" s="273"/>
      <c r="U98" s="273"/>
      <c r="V98" s="274"/>
      <c r="W98" s="37" t="s">
        <v>69</v>
      </c>
      <c r="X98" s="270">
        <f>IFERROR(SUM(X96:X97),"0")</f>
        <v>56</v>
      </c>
      <c r="Y98" s="270">
        <f>IFERROR(SUM(Y96:Y97),"0")</f>
        <v>56</v>
      </c>
      <c r="Z98" s="270">
        <f>IFERROR(IF(Z96="",0,Z96),"0")+IFERROR(IF(Z97="",0,Z97),"0")</f>
        <v>0.8819999999999999</v>
      </c>
      <c r="AA98" s="271"/>
      <c r="AB98" s="271"/>
      <c r="AC98" s="271"/>
    </row>
    <row r="99" spans="1:68" x14ac:dyDescent="0.2">
      <c r="A99" s="277"/>
      <c r="B99" s="277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87"/>
      <c r="P99" s="275" t="s">
        <v>72</v>
      </c>
      <c r="Q99" s="273"/>
      <c r="R99" s="273"/>
      <c r="S99" s="273"/>
      <c r="T99" s="273"/>
      <c r="U99" s="273"/>
      <c r="V99" s="274"/>
      <c r="W99" s="37" t="s">
        <v>73</v>
      </c>
      <c r="X99" s="270">
        <f>IFERROR(SUMPRODUCT(X96:X97*H96:H97),"0")</f>
        <v>181.44000000000003</v>
      </c>
      <c r="Y99" s="270">
        <f>IFERROR(SUMPRODUCT(Y96:Y97*H96:H97),"0")</f>
        <v>181.44000000000003</v>
      </c>
      <c r="Z99" s="37"/>
      <c r="AA99" s="271"/>
      <c r="AB99" s="271"/>
      <c r="AC99" s="271"/>
    </row>
    <row r="100" spans="1:68" ht="16.5" customHeight="1" x14ac:dyDescent="0.25">
      <c r="A100" s="276" t="s">
        <v>170</v>
      </c>
      <c r="B100" s="277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  <c r="W100" s="277"/>
      <c r="X100" s="277"/>
      <c r="Y100" s="277"/>
      <c r="Z100" s="277"/>
      <c r="AA100" s="263"/>
      <c r="AB100" s="263"/>
      <c r="AC100" s="263"/>
    </row>
    <row r="101" spans="1:68" ht="14.25" customHeight="1" x14ac:dyDescent="0.25">
      <c r="A101" s="280" t="s">
        <v>63</v>
      </c>
      <c r="B101" s="277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62"/>
      <c r="AB101" s="262"/>
      <c r="AC101" s="262"/>
    </row>
    <row r="102" spans="1:68" ht="27" customHeight="1" x14ac:dyDescent="0.25">
      <c r="A102" s="54" t="s">
        <v>171</v>
      </c>
      <c r="B102" s="54" t="s">
        <v>172</v>
      </c>
      <c r="C102" s="31">
        <v>4301071074</v>
      </c>
      <c r="D102" s="278">
        <v>4620207491157</v>
      </c>
      <c r="E102" s="279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32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90"/>
      <c r="R102" s="290"/>
      <c r="S102" s="290"/>
      <c r="T102" s="291"/>
      <c r="U102" s="34"/>
      <c r="V102" s="34"/>
      <c r="W102" s="35" t="s">
        <v>69</v>
      </c>
      <c r="X102" s="268">
        <v>0</v>
      </c>
      <c r="Y102" s="269">
        <f t="shared" ref="Y102:Y108" si="6">IFERROR(IF(X102="","",X102),"")</f>
        <v>0</v>
      </c>
      <c r="Z102" s="36">
        <f t="shared" ref="Z102:Z108" si="7">IFERROR(IF(X102="","",X102*0.0155),"")</f>
        <v>0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0</v>
      </c>
      <c r="BN102" s="67">
        <f t="shared" ref="BN102:BN108" si="9">IFERROR(Y102*I102,"0")</f>
        <v>0</v>
      </c>
      <c r="BO102" s="67">
        <f t="shared" ref="BO102:BO108" si="10">IFERROR(X102/J102,"0")</f>
        <v>0</v>
      </c>
      <c r="BP102" s="67">
        <f t="shared" ref="BP102:BP108" si="11">IFERROR(Y102/J102,"0")</f>
        <v>0</v>
      </c>
    </row>
    <row r="103" spans="1:68" ht="27" customHeight="1" x14ac:dyDescent="0.25">
      <c r="A103" s="54" t="s">
        <v>174</v>
      </c>
      <c r="B103" s="54" t="s">
        <v>175</v>
      </c>
      <c r="C103" s="31">
        <v>4301071051</v>
      </c>
      <c r="D103" s="278">
        <v>4607111039262</v>
      </c>
      <c r="E103" s="279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90"/>
      <c r="R103" s="290"/>
      <c r="S103" s="290"/>
      <c r="T103" s="291"/>
      <c r="U103" s="34"/>
      <c r="V103" s="34"/>
      <c r="W103" s="35" t="s">
        <v>69</v>
      </c>
      <c r="X103" s="268">
        <v>0</v>
      </c>
      <c r="Y103" s="269">
        <f t="shared" si="6"/>
        <v>0</v>
      </c>
      <c r="Z103" s="36">
        <f t="shared" si="7"/>
        <v>0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customHeight="1" x14ac:dyDescent="0.25">
      <c r="A104" s="54" t="s">
        <v>176</v>
      </c>
      <c r="B104" s="54" t="s">
        <v>177</v>
      </c>
      <c r="C104" s="31">
        <v>4301071038</v>
      </c>
      <c r="D104" s="278">
        <v>4607111039248</v>
      </c>
      <c r="E104" s="279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44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90"/>
      <c r="R104" s="290"/>
      <c r="S104" s="290"/>
      <c r="T104" s="291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customHeight="1" x14ac:dyDescent="0.25">
      <c r="A105" s="54" t="s">
        <v>178</v>
      </c>
      <c r="B105" s="54" t="s">
        <v>179</v>
      </c>
      <c r="C105" s="31">
        <v>4301070979</v>
      </c>
      <c r="D105" s="278">
        <v>4607111037145</v>
      </c>
      <c r="E105" s="279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33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90"/>
      <c r="R105" s="290"/>
      <c r="S105" s="290"/>
      <c r="T105" s="291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181</v>
      </c>
      <c r="B106" s="54" t="s">
        <v>182</v>
      </c>
      <c r="C106" s="31">
        <v>4301071049</v>
      </c>
      <c r="D106" s="278">
        <v>4607111039293</v>
      </c>
      <c r="E106" s="279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34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90"/>
      <c r="R106" s="290"/>
      <c r="S106" s="290"/>
      <c r="T106" s="291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183</v>
      </c>
      <c r="B107" s="54" t="s">
        <v>184</v>
      </c>
      <c r="C107" s="31">
        <v>4301071039</v>
      </c>
      <c r="D107" s="278">
        <v>4607111039279</v>
      </c>
      <c r="E107" s="279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36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90"/>
      <c r="R107" s="290"/>
      <c r="S107" s="290"/>
      <c r="T107" s="291"/>
      <c r="U107" s="34"/>
      <c r="V107" s="34"/>
      <c r="W107" s="35" t="s">
        <v>69</v>
      </c>
      <c r="X107" s="268">
        <v>48</v>
      </c>
      <c r="Y107" s="269">
        <f t="shared" si="6"/>
        <v>48</v>
      </c>
      <c r="Z107" s="36">
        <f t="shared" si="7"/>
        <v>0.74399999999999999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350.4</v>
      </c>
      <c r="BN107" s="67">
        <f t="shared" si="9"/>
        <v>350.4</v>
      </c>
      <c r="BO107" s="67">
        <f t="shared" si="10"/>
        <v>0.5714285714285714</v>
      </c>
      <c r="BP107" s="67">
        <f t="shared" si="11"/>
        <v>0.5714285714285714</v>
      </c>
    </row>
    <row r="108" spans="1:68" ht="27" customHeight="1" x14ac:dyDescent="0.25">
      <c r="A108" s="54" t="s">
        <v>185</v>
      </c>
      <c r="B108" s="54" t="s">
        <v>186</v>
      </c>
      <c r="C108" s="31">
        <v>4301070978</v>
      </c>
      <c r="D108" s="278">
        <v>4607111037435</v>
      </c>
      <c r="E108" s="279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90"/>
      <c r="R108" s="290"/>
      <c r="S108" s="290"/>
      <c r="T108" s="291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77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87"/>
      <c r="P109" s="275" t="s">
        <v>72</v>
      </c>
      <c r="Q109" s="273"/>
      <c r="R109" s="273"/>
      <c r="S109" s="273"/>
      <c r="T109" s="273"/>
      <c r="U109" s="273"/>
      <c r="V109" s="274"/>
      <c r="W109" s="37" t="s">
        <v>69</v>
      </c>
      <c r="X109" s="270">
        <f>IFERROR(SUM(X102:X108),"0")</f>
        <v>96</v>
      </c>
      <c r="Y109" s="270">
        <f>IFERROR(SUM(Y102:Y108),"0")</f>
        <v>96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1.488</v>
      </c>
      <c r="AA109" s="271"/>
      <c r="AB109" s="271"/>
      <c r="AC109" s="271"/>
    </row>
    <row r="110" spans="1:68" x14ac:dyDescent="0.2">
      <c r="A110" s="277"/>
      <c r="B110" s="27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87"/>
      <c r="P110" s="275" t="s">
        <v>72</v>
      </c>
      <c r="Q110" s="273"/>
      <c r="R110" s="273"/>
      <c r="S110" s="273"/>
      <c r="T110" s="273"/>
      <c r="U110" s="273"/>
      <c r="V110" s="274"/>
      <c r="W110" s="37" t="s">
        <v>73</v>
      </c>
      <c r="X110" s="270">
        <f>IFERROR(SUMPRODUCT(X102:X108*H102:H108),"0")</f>
        <v>672</v>
      </c>
      <c r="Y110" s="270">
        <f>IFERROR(SUMPRODUCT(Y102:Y108*H102:H108),"0")</f>
        <v>672</v>
      </c>
      <c r="Z110" s="37"/>
      <c r="AA110" s="271"/>
      <c r="AB110" s="271"/>
      <c r="AC110" s="271"/>
    </row>
    <row r="111" spans="1:68" ht="14.25" customHeight="1" x14ac:dyDescent="0.25">
      <c r="A111" s="280" t="s">
        <v>120</v>
      </c>
      <c r="B111" s="277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  <c r="W111" s="277"/>
      <c r="X111" s="277"/>
      <c r="Y111" s="277"/>
      <c r="Z111" s="277"/>
      <c r="AA111" s="262"/>
      <c r="AB111" s="262"/>
      <c r="AC111" s="262"/>
    </row>
    <row r="112" spans="1:68" ht="27" customHeight="1" x14ac:dyDescent="0.25">
      <c r="A112" s="54" t="s">
        <v>188</v>
      </c>
      <c r="B112" s="54" t="s">
        <v>189</v>
      </c>
      <c r="C112" s="31">
        <v>4301135670</v>
      </c>
      <c r="D112" s="278">
        <v>4620207490983</v>
      </c>
      <c r="E112" s="279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335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90"/>
      <c r="R112" s="290"/>
      <c r="S112" s="290"/>
      <c r="T112" s="291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190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191</v>
      </c>
      <c r="B113" s="54" t="s">
        <v>192</v>
      </c>
      <c r="C113" s="31">
        <v>4301135826</v>
      </c>
      <c r="D113" s="278">
        <v>4620207490983</v>
      </c>
      <c r="E113" s="279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43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90"/>
      <c r="R113" s="290"/>
      <c r="S113" s="290"/>
      <c r="T113" s="291"/>
      <c r="U113" s="34"/>
      <c r="V113" s="34"/>
      <c r="W113" s="35" t="s">
        <v>69</v>
      </c>
      <c r="X113" s="268">
        <v>28</v>
      </c>
      <c r="Y113" s="269">
        <f>IFERROR(IF(X113="","",X113),"")</f>
        <v>28</v>
      </c>
      <c r="Z113" s="36">
        <f>IFERROR(IF(X113="","",X113*0.01788),"")</f>
        <v>0.50063999999999997</v>
      </c>
      <c r="AA113" s="56"/>
      <c r="AB113" s="57"/>
      <c r="AC113" s="148" t="s">
        <v>193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93.620800000000003</v>
      </c>
      <c r="BN113" s="67">
        <f>IFERROR(Y113*I113,"0")</f>
        <v>93.620800000000003</v>
      </c>
      <c r="BO113" s="67">
        <f>IFERROR(X113/J113,"0")</f>
        <v>0.4</v>
      </c>
      <c r="BP113" s="67">
        <f>IFERROR(Y113/J113,"0")</f>
        <v>0.4</v>
      </c>
    </row>
    <row r="114" spans="1:68" x14ac:dyDescent="0.2">
      <c r="A114" s="286"/>
      <c r="B114" s="277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87"/>
      <c r="P114" s="275" t="s">
        <v>72</v>
      </c>
      <c r="Q114" s="273"/>
      <c r="R114" s="273"/>
      <c r="S114" s="273"/>
      <c r="T114" s="273"/>
      <c r="U114" s="273"/>
      <c r="V114" s="274"/>
      <c r="W114" s="37" t="s">
        <v>69</v>
      </c>
      <c r="X114" s="270">
        <f>IFERROR(SUM(X112:X113),"0")</f>
        <v>28</v>
      </c>
      <c r="Y114" s="270">
        <f>IFERROR(SUM(Y112:Y113),"0")</f>
        <v>28</v>
      </c>
      <c r="Z114" s="270">
        <f>IFERROR(IF(Z112="",0,Z112),"0")+IFERROR(IF(Z113="",0,Z113),"0")</f>
        <v>0.50063999999999997</v>
      </c>
      <c r="AA114" s="271"/>
      <c r="AB114" s="271"/>
      <c r="AC114" s="271"/>
    </row>
    <row r="115" spans="1:68" x14ac:dyDescent="0.2">
      <c r="A115" s="277"/>
      <c r="B115" s="277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87"/>
      <c r="P115" s="275" t="s">
        <v>72</v>
      </c>
      <c r="Q115" s="273"/>
      <c r="R115" s="273"/>
      <c r="S115" s="273"/>
      <c r="T115" s="273"/>
      <c r="U115" s="273"/>
      <c r="V115" s="274"/>
      <c r="W115" s="37" t="s">
        <v>73</v>
      </c>
      <c r="X115" s="270">
        <f>IFERROR(SUMPRODUCT(X112:X113*H112:H113),"0")</f>
        <v>73.92</v>
      </c>
      <c r="Y115" s="270">
        <f>IFERROR(SUMPRODUCT(Y112:Y113*H112:H113),"0")</f>
        <v>73.92</v>
      </c>
      <c r="Z115" s="37"/>
      <c r="AA115" s="271"/>
      <c r="AB115" s="271"/>
      <c r="AC115" s="271"/>
    </row>
    <row r="116" spans="1:68" ht="14.25" customHeight="1" x14ac:dyDescent="0.25">
      <c r="A116" s="280" t="s">
        <v>194</v>
      </c>
      <c r="B116" s="277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  <c r="W116" s="277"/>
      <c r="X116" s="277"/>
      <c r="Y116" s="277"/>
      <c r="Z116" s="277"/>
      <c r="AA116" s="262"/>
      <c r="AB116" s="262"/>
      <c r="AC116" s="262"/>
    </row>
    <row r="117" spans="1:68" ht="27" customHeight="1" x14ac:dyDescent="0.25">
      <c r="A117" s="54" t="s">
        <v>195</v>
      </c>
      <c r="B117" s="54" t="s">
        <v>196</v>
      </c>
      <c r="C117" s="31">
        <v>4301071094</v>
      </c>
      <c r="D117" s="278">
        <v>4620207491140</v>
      </c>
      <c r="E117" s="279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41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90"/>
      <c r="R117" s="290"/>
      <c r="S117" s="290"/>
      <c r="T117" s="291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7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87"/>
      <c r="P118" s="275" t="s">
        <v>72</v>
      </c>
      <c r="Q118" s="273"/>
      <c r="R118" s="273"/>
      <c r="S118" s="273"/>
      <c r="T118" s="273"/>
      <c r="U118" s="273"/>
      <c r="V118" s="274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77"/>
      <c r="B119" s="277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87"/>
      <c r="P119" s="275" t="s">
        <v>72</v>
      </c>
      <c r="Q119" s="273"/>
      <c r="R119" s="273"/>
      <c r="S119" s="273"/>
      <c r="T119" s="273"/>
      <c r="U119" s="273"/>
      <c r="V119" s="274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76" t="s">
        <v>198</v>
      </c>
      <c r="B120" s="277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  <c r="W120" s="277"/>
      <c r="X120" s="277"/>
      <c r="Y120" s="277"/>
      <c r="Z120" s="277"/>
      <c r="AA120" s="263"/>
      <c r="AB120" s="263"/>
      <c r="AC120" s="263"/>
    </row>
    <row r="121" spans="1:68" ht="14.25" customHeight="1" x14ac:dyDescent="0.25">
      <c r="A121" s="280" t="s">
        <v>120</v>
      </c>
      <c r="B121" s="277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62"/>
      <c r="AB121" s="262"/>
      <c r="AC121" s="262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78">
        <v>4607111034014</v>
      </c>
      <c r="E122" s="279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4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90"/>
      <c r="R122" s="290"/>
      <c r="S122" s="290"/>
      <c r="T122" s="291"/>
      <c r="U122" s="34"/>
      <c r="V122" s="34"/>
      <c r="W122" s="35" t="s">
        <v>69</v>
      </c>
      <c r="X122" s="268">
        <v>70</v>
      </c>
      <c r="Y122" s="269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201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78">
        <v>4607111033994</v>
      </c>
      <c r="E123" s="279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123</v>
      </c>
      <c r="M123" s="33" t="s">
        <v>68</v>
      </c>
      <c r="N123" s="33"/>
      <c r="O123" s="32">
        <v>180</v>
      </c>
      <c r="P123" s="31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90"/>
      <c r="R123" s="290"/>
      <c r="S123" s="290"/>
      <c r="T123" s="291"/>
      <c r="U123" s="34"/>
      <c r="V123" s="34"/>
      <c r="W123" s="35" t="s">
        <v>69</v>
      </c>
      <c r="X123" s="268">
        <v>70</v>
      </c>
      <c r="Y123" s="269">
        <f>IFERROR(IF(X123="","",X123),"")</f>
        <v>70</v>
      </c>
      <c r="Z123" s="36">
        <f>IFERROR(IF(X123="","",X123*0.01788),"")</f>
        <v>1.2516</v>
      </c>
      <c r="AA123" s="56"/>
      <c r="AB123" s="57"/>
      <c r="AC123" s="154" t="s">
        <v>140</v>
      </c>
      <c r="AG123" s="67"/>
      <c r="AJ123" s="71" t="s">
        <v>124</v>
      </c>
      <c r="AK123" s="71">
        <v>70</v>
      </c>
      <c r="BB123" s="155" t="s">
        <v>83</v>
      </c>
      <c r="BM123" s="67">
        <f>IFERROR(X123*I123,"0")</f>
        <v>259.25200000000001</v>
      </c>
      <c r="BN123" s="67">
        <f>IFERROR(Y123*I123,"0")</f>
        <v>259.25200000000001</v>
      </c>
      <c r="BO123" s="67">
        <f>IFERROR(X123/J123,"0")</f>
        <v>1</v>
      </c>
      <c r="BP123" s="67">
        <f>IFERROR(Y123/J123,"0")</f>
        <v>1</v>
      </c>
    </row>
    <row r="124" spans="1:68" x14ac:dyDescent="0.2">
      <c r="A124" s="286"/>
      <c r="B124" s="277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87"/>
      <c r="P124" s="275" t="s">
        <v>72</v>
      </c>
      <c r="Q124" s="273"/>
      <c r="R124" s="273"/>
      <c r="S124" s="273"/>
      <c r="T124" s="273"/>
      <c r="U124" s="273"/>
      <c r="V124" s="274"/>
      <c r="W124" s="37" t="s">
        <v>69</v>
      </c>
      <c r="X124" s="270">
        <f>IFERROR(SUM(X122:X123),"0")</f>
        <v>140</v>
      </c>
      <c r="Y124" s="270">
        <f>IFERROR(SUM(Y122:Y123),"0")</f>
        <v>140</v>
      </c>
      <c r="Z124" s="270">
        <f>IFERROR(IF(Z122="",0,Z122),"0")+IFERROR(IF(Z123="",0,Z123),"0")</f>
        <v>2.5032000000000001</v>
      </c>
      <c r="AA124" s="271"/>
      <c r="AB124" s="271"/>
      <c r="AC124" s="271"/>
    </row>
    <row r="125" spans="1:68" x14ac:dyDescent="0.2">
      <c r="A125" s="277"/>
      <c r="B125" s="277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87"/>
      <c r="P125" s="275" t="s">
        <v>72</v>
      </c>
      <c r="Q125" s="273"/>
      <c r="R125" s="273"/>
      <c r="S125" s="273"/>
      <c r="T125" s="273"/>
      <c r="U125" s="273"/>
      <c r="V125" s="274"/>
      <c r="W125" s="37" t="s">
        <v>73</v>
      </c>
      <c r="X125" s="270">
        <f>IFERROR(SUMPRODUCT(X122:X123*H122:H123),"0")</f>
        <v>420</v>
      </c>
      <c r="Y125" s="270">
        <f>IFERROR(SUMPRODUCT(Y122:Y123*H122:H123),"0")</f>
        <v>420</v>
      </c>
      <c r="Z125" s="37"/>
      <c r="AA125" s="271"/>
      <c r="AB125" s="271"/>
      <c r="AC125" s="271"/>
    </row>
    <row r="126" spans="1:68" ht="16.5" customHeight="1" x14ac:dyDescent="0.25">
      <c r="A126" s="276" t="s">
        <v>204</v>
      </c>
      <c r="B126" s="277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63"/>
      <c r="AB126" s="263"/>
      <c r="AC126" s="263"/>
    </row>
    <row r="127" spans="1:68" ht="14.25" customHeight="1" x14ac:dyDescent="0.25">
      <c r="A127" s="280" t="s">
        <v>120</v>
      </c>
      <c r="B127" s="277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  <c r="W127" s="277"/>
      <c r="X127" s="277"/>
      <c r="Y127" s="277"/>
      <c r="Z127" s="277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8">
        <v>4607111039095</v>
      </c>
      <c r="E128" s="279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32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90"/>
      <c r="R128" s="290"/>
      <c r="S128" s="290"/>
      <c r="T128" s="291"/>
      <c r="U128" s="34"/>
      <c r="V128" s="34"/>
      <c r="W128" s="35" t="s">
        <v>69</v>
      </c>
      <c r="X128" s="268">
        <v>42</v>
      </c>
      <c r="Y128" s="269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157.416</v>
      </c>
      <c r="BN128" s="67">
        <f>IFERROR(Y128*I128,"0")</f>
        <v>157.416</v>
      </c>
      <c r="BO128" s="67">
        <f>IFERROR(X128/J128,"0")</f>
        <v>0.6</v>
      </c>
      <c r="BP128" s="67">
        <f>IFERROR(Y128/J128,"0")</f>
        <v>0.6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8">
        <v>4607111034199</v>
      </c>
      <c r="E129" s="279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41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90"/>
      <c r="R129" s="290"/>
      <c r="S129" s="290"/>
      <c r="T129" s="291"/>
      <c r="U129" s="34"/>
      <c r="V129" s="34"/>
      <c r="W129" s="35" t="s">
        <v>69</v>
      </c>
      <c r="X129" s="268">
        <v>42</v>
      </c>
      <c r="Y129" s="269">
        <f>IFERROR(IF(X129="","",X129),"")</f>
        <v>42</v>
      </c>
      <c r="Z129" s="36">
        <f>IFERROR(IF(X129="","",X129*0.01788),"")</f>
        <v>0.75095999999999996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155.55119999999999</v>
      </c>
      <c r="BN129" s="67">
        <f>IFERROR(Y129*I129,"0")</f>
        <v>155.55119999999999</v>
      </c>
      <c r="BO129" s="67">
        <f>IFERROR(X129/J129,"0")</f>
        <v>0.6</v>
      </c>
      <c r="BP129" s="67">
        <f>IFERROR(Y129/J129,"0")</f>
        <v>0.6</v>
      </c>
    </row>
    <row r="130" spans="1:68" x14ac:dyDescent="0.2">
      <c r="A130" s="286"/>
      <c r="B130" s="277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87"/>
      <c r="P130" s="275" t="s">
        <v>72</v>
      </c>
      <c r="Q130" s="273"/>
      <c r="R130" s="273"/>
      <c r="S130" s="273"/>
      <c r="T130" s="273"/>
      <c r="U130" s="273"/>
      <c r="V130" s="274"/>
      <c r="W130" s="37" t="s">
        <v>69</v>
      </c>
      <c r="X130" s="270">
        <f>IFERROR(SUM(X128:X129),"0")</f>
        <v>84</v>
      </c>
      <c r="Y130" s="270">
        <f>IFERROR(SUM(Y128:Y129),"0")</f>
        <v>84</v>
      </c>
      <c r="Z130" s="270">
        <f>IFERROR(IF(Z128="",0,Z128),"0")+IFERROR(IF(Z129="",0,Z129),"0")</f>
        <v>1.5019199999999999</v>
      </c>
      <c r="AA130" s="271"/>
      <c r="AB130" s="271"/>
      <c r="AC130" s="271"/>
    </row>
    <row r="131" spans="1:68" x14ac:dyDescent="0.2">
      <c r="A131" s="277"/>
      <c r="B131" s="277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87"/>
      <c r="P131" s="275" t="s">
        <v>72</v>
      </c>
      <c r="Q131" s="273"/>
      <c r="R131" s="273"/>
      <c r="S131" s="273"/>
      <c r="T131" s="273"/>
      <c r="U131" s="273"/>
      <c r="V131" s="274"/>
      <c r="W131" s="37" t="s">
        <v>73</v>
      </c>
      <c r="X131" s="270">
        <f>IFERROR(SUMPRODUCT(X128:X129*H128:H129),"0")</f>
        <v>252</v>
      </c>
      <c r="Y131" s="270">
        <f>IFERROR(SUMPRODUCT(Y128:Y129*H128:H129),"0")</f>
        <v>252</v>
      </c>
      <c r="Z131" s="37"/>
      <c r="AA131" s="271"/>
      <c r="AB131" s="271"/>
      <c r="AC131" s="271"/>
    </row>
    <row r="132" spans="1:68" ht="16.5" customHeight="1" x14ac:dyDescent="0.25">
      <c r="A132" s="276" t="s">
        <v>211</v>
      </c>
      <c r="B132" s="277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  <c r="W132" s="277"/>
      <c r="X132" s="277"/>
      <c r="Y132" s="277"/>
      <c r="Z132" s="277"/>
      <c r="AA132" s="263"/>
      <c r="AB132" s="263"/>
      <c r="AC132" s="263"/>
    </row>
    <row r="133" spans="1:68" ht="14.25" customHeight="1" x14ac:dyDescent="0.25">
      <c r="A133" s="280" t="s">
        <v>120</v>
      </c>
      <c r="B133" s="277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  <c r="W133" s="277"/>
      <c r="X133" s="277"/>
      <c r="Y133" s="277"/>
      <c r="Z133" s="277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8">
        <v>4620207490914</v>
      </c>
      <c r="E134" s="279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32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90"/>
      <c r="R134" s="290"/>
      <c r="S134" s="290"/>
      <c r="T134" s="291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201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8">
        <v>4620207490853</v>
      </c>
      <c r="E135" s="279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32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90"/>
      <c r="R135" s="290"/>
      <c r="S135" s="290"/>
      <c r="T135" s="291"/>
      <c r="U135" s="34"/>
      <c r="V135" s="34"/>
      <c r="W135" s="35" t="s">
        <v>69</v>
      </c>
      <c r="X135" s="268">
        <v>42</v>
      </c>
      <c r="Y135" s="269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62" t="s">
        <v>201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112.56</v>
      </c>
      <c r="BN135" s="67">
        <f>IFERROR(Y135*I135,"0")</f>
        <v>112.56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286"/>
      <c r="B136" s="277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87"/>
      <c r="P136" s="275" t="s">
        <v>72</v>
      </c>
      <c r="Q136" s="273"/>
      <c r="R136" s="273"/>
      <c r="S136" s="273"/>
      <c r="T136" s="273"/>
      <c r="U136" s="273"/>
      <c r="V136" s="274"/>
      <c r="W136" s="37" t="s">
        <v>69</v>
      </c>
      <c r="X136" s="270">
        <f>IFERROR(SUM(X134:X135),"0")</f>
        <v>56</v>
      </c>
      <c r="Y136" s="270">
        <f>IFERROR(SUM(Y134:Y135),"0")</f>
        <v>56</v>
      </c>
      <c r="Z136" s="270">
        <f>IFERROR(IF(Z134="",0,Z134),"0")+IFERROR(IF(Z135="",0,Z135),"0")</f>
        <v>1.0012799999999999</v>
      </c>
      <c r="AA136" s="271"/>
      <c r="AB136" s="271"/>
      <c r="AC136" s="271"/>
    </row>
    <row r="137" spans="1:68" x14ac:dyDescent="0.2">
      <c r="A137" s="277"/>
      <c r="B137" s="277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87"/>
      <c r="P137" s="275" t="s">
        <v>72</v>
      </c>
      <c r="Q137" s="273"/>
      <c r="R137" s="273"/>
      <c r="S137" s="273"/>
      <c r="T137" s="273"/>
      <c r="U137" s="273"/>
      <c r="V137" s="274"/>
      <c r="W137" s="37" t="s">
        <v>73</v>
      </c>
      <c r="X137" s="270">
        <f>IFERROR(SUMPRODUCT(X134:X135*H134:H135),"0")</f>
        <v>134.4</v>
      </c>
      <c r="Y137" s="270">
        <f>IFERROR(SUMPRODUCT(Y134:Y135*H134:H135),"0")</f>
        <v>134.4</v>
      </c>
      <c r="Z137" s="37"/>
      <c r="AA137" s="271"/>
      <c r="AB137" s="271"/>
      <c r="AC137" s="271"/>
    </row>
    <row r="138" spans="1:68" ht="16.5" customHeight="1" x14ac:dyDescent="0.25">
      <c r="A138" s="276" t="s">
        <v>216</v>
      </c>
      <c r="B138" s="277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  <c r="W138" s="277"/>
      <c r="X138" s="277"/>
      <c r="Y138" s="277"/>
      <c r="Z138" s="277"/>
      <c r="AA138" s="263"/>
      <c r="AB138" s="263"/>
      <c r="AC138" s="263"/>
    </row>
    <row r="139" spans="1:68" ht="14.25" customHeight="1" x14ac:dyDescent="0.25">
      <c r="A139" s="280" t="s">
        <v>120</v>
      </c>
      <c r="B139" s="277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  <c r="W139" s="277"/>
      <c r="X139" s="277"/>
      <c r="Y139" s="277"/>
      <c r="Z139" s="277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8">
        <v>4607111035806</v>
      </c>
      <c r="E140" s="279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9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90"/>
      <c r="R140" s="290"/>
      <c r="S140" s="290"/>
      <c r="T140" s="291"/>
      <c r="U140" s="34"/>
      <c r="V140" s="34"/>
      <c r="W140" s="35" t="s">
        <v>69</v>
      </c>
      <c r="X140" s="268">
        <v>28</v>
      </c>
      <c r="Y140" s="269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6"/>
      <c r="B141" s="277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87"/>
      <c r="P141" s="275" t="s">
        <v>72</v>
      </c>
      <c r="Q141" s="273"/>
      <c r="R141" s="273"/>
      <c r="S141" s="273"/>
      <c r="T141" s="273"/>
      <c r="U141" s="273"/>
      <c r="V141" s="274"/>
      <c r="W141" s="37" t="s">
        <v>69</v>
      </c>
      <c r="X141" s="270">
        <f>IFERROR(SUM(X140:X140),"0")</f>
        <v>28</v>
      </c>
      <c r="Y141" s="270">
        <f>IFERROR(SUM(Y140:Y140),"0")</f>
        <v>28</v>
      </c>
      <c r="Z141" s="270">
        <f>IFERROR(IF(Z140="",0,Z140),"0")</f>
        <v>0.50063999999999997</v>
      </c>
      <c r="AA141" s="271"/>
      <c r="AB141" s="271"/>
      <c r="AC141" s="271"/>
    </row>
    <row r="142" spans="1:68" x14ac:dyDescent="0.2">
      <c r="A142" s="277"/>
      <c r="B142" s="277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87"/>
      <c r="P142" s="275" t="s">
        <v>72</v>
      </c>
      <c r="Q142" s="273"/>
      <c r="R142" s="273"/>
      <c r="S142" s="273"/>
      <c r="T142" s="273"/>
      <c r="U142" s="273"/>
      <c r="V142" s="274"/>
      <c r="W142" s="37" t="s">
        <v>73</v>
      </c>
      <c r="X142" s="270">
        <f>IFERROR(SUMPRODUCT(X140:X140*H140:H140),"0")</f>
        <v>84</v>
      </c>
      <c r="Y142" s="270">
        <f>IFERROR(SUMPRODUCT(Y140:Y140*H140:H140),"0")</f>
        <v>84</v>
      </c>
      <c r="Z142" s="37"/>
      <c r="AA142" s="271"/>
      <c r="AB142" s="271"/>
      <c r="AC142" s="271"/>
    </row>
    <row r="143" spans="1:68" ht="16.5" customHeight="1" x14ac:dyDescent="0.25">
      <c r="A143" s="276" t="s">
        <v>220</v>
      </c>
      <c r="B143" s="277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  <c r="W143" s="277"/>
      <c r="X143" s="277"/>
      <c r="Y143" s="277"/>
      <c r="Z143" s="277"/>
      <c r="AA143" s="263"/>
      <c r="AB143" s="263"/>
      <c r="AC143" s="263"/>
    </row>
    <row r="144" spans="1:68" ht="14.25" customHeight="1" x14ac:dyDescent="0.25">
      <c r="A144" s="280" t="s">
        <v>120</v>
      </c>
      <c r="B144" s="277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  <c r="W144" s="277"/>
      <c r="X144" s="277"/>
      <c r="Y144" s="277"/>
      <c r="Z144" s="277"/>
      <c r="AA144" s="262"/>
      <c r="AB144" s="262"/>
      <c r="AC144" s="262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8">
        <v>4607111039613</v>
      </c>
      <c r="E145" s="279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45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90"/>
      <c r="R145" s="290"/>
      <c r="S145" s="290"/>
      <c r="T145" s="291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77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87"/>
      <c r="P146" s="275" t="s">
        <v>72</v>
      </c>
      <c r="Q146" s="273"/>
      <c r="R146" s="273"/>
      <c r="S146" s="273"/>
      <c r="T146" s="273"/>
      <c r="U146" s="273"/>
      <c r="V146" s="274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77"/>
      <c r="B147" s="277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87"/>
      <c r="P147" s="275" t="s">
        <v>72</v>
      </c>
      <c r="Q147" s="273"/>
      <c r="R147" s="273"/>
      <c r="S147" s="273"/>
      <c r="T147" s="273"/>
      <c r="U147" s="273"/>
      <c r="V147" s="274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76" t="s">
        <v>223</v>
      </c>
      <c r="B148" s="277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  <c r="W148" s="277"/>
      <c r="X148" s="277"/>
      <c r="Y148" s="277"/>
      <c r="Z148" s="277"/>
      <c r="AA148" s="263"/>
      <c r="AB148" s="263"/>
      <c r="AC148" s="263"/>
    </row>
    <row r="149" spans="1:68" ht="14.25" customHeight="1" x14ac:dyDescent="0.25">
      <c r="A149" s="280" t="s">
        <v>194</v>
      </c>
      <c r="B149" s="277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  <c r="W149" s="277"/>
      <c r="X149" s="277"/>
      <c r="Y149" s="277"/>
      <c r="Z149" s="277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8">
        <v>4607111035646</v>
      </c>
      <c r="E150" s="279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44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90"/>
      <c r="R150" s="290"/>
      <c r="S150" s="290"/>
      <c r="T150" s="291"/>
      <c r="U150" s="34"/>
      <c r="V150" s="34"/>
      <c r="W150" s="35" t="s">
        <v>69</v>
      </c>
      <c r="X150" s="268">
        <v>24</v>
      </c>
      <c r="Y150" s="269">
        <f>IFERROR(IF(X150="","",X150),"")</f>
        <v>24</v>
      </c>
      <c r="Z150" s="36">
        <f>IFERROR(IF(X150="","",X150*0.01157),"")</f>
        <v>0.27768000000000004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50.88</v>
      </c>
      <c r="BN150" s="67">
        <f>IFERROR(Y150*I150,"0")</f>
        <v>50.88</v>
      </c>
      <c r="BO150" s="67">
        <f>IFERROR(X150/J150,"0")</f>
        <v>0.33333333333333331</v>
      </c>
      <c r="BP150" s="67">
        <f>IFERROR(Y150/J150,"0")</f>
        <v>0.33333333333333331</v>
      </c>
    </row>
    <row r="151" spans="1:68" x14ac:dyDescent="0.2">
      <c r="A151" s="286"/>
      <c r="B151" s="277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87"/>
      <c r="P151" s="275" t="s">
        <v>72</v>
      </c>
      <c r="Q151" s="273"/>
      <c r="R151" s="273"/>
      <c r="S151" s="273"/>
      <c r="T151" s="273"/>
      <c r="U151" s="273"/>
      <c r="V151" s="274"/>
      <c r="W151" s="37" t="s">
        <v>69</v>
      </c>
      <c r="X151" s="270">
        <f>IFERROR(SUM(X150:X150),"0")</f>
        <v>24</v>
      </c>
      <c r="Y151" s="270">
        <f>IFERROR(SUM(Y150:Y150),"0")</f>
        <v>24</v>
      </c>
      <c r="Z151" s="270">
        <f>IFERROR(IF(Z150="",0,Z150),"0")</f>
        <v>0.27768000000000004</v>
      </c>
      <c r="AA151" s="271"/>
      <c r="AB151" s="271"/>
      <c r="AC151" s="271"/>
    </row>
    <row r="152" spans="1:68" x14ac:dyDescent="0.2">
      <c r="A152" s="277"/>
      <c r="B152" s="277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87"/>
      <c r="P152" s="275" t="s">
        <v>72</v>
      </c>
      <c r="Q152" s="273"/>
      <c r="R152" s="273"/>
      <c r="S152" s="273"/>
      <c r="T152" s="273"/>
      <c r="U152" s="273"/>
      <c r="V152" s="274"/>
      <c r="W152" s="37" t="s">
        <v>73</v>
      </c>
      <c r="X152" s="270">
        <f>IFERROR(SUMPRODUCT(X150:X150*H150:H150),"0")</f>
        <v>38.400000000000006</v>
      </c>
      <c r="Y152" s="270">
        <f>IFERROR(SUMPRODUCT(Y150:Y150*H150:H150),"0")</f>
        <v>38.400000000000006</v>
      </c>
      <c r="Z152" s="37"/>
      <c r="AA152" s="271"/>
      <c r="AB152" s="271"/>
      <c r="AC152" s="271"/>
    </row>
    <row r="153" spans="1:68" ht="16.5" customHeight="1" x14ac:dyDescent="0.25">
      <c r="A153" s="276" t="s">
        <v>228</v>
      </c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63"/>
      <c r="AB153" s="263"/>
      <c r="AC153" s="263"/>
    </row>
    <row r="154" spans="1:68" ht="14.25" customHeight="1" x14ac:dyDescent="0.25">
      <c r="A154" s="280" t="s">
        <v>120</v>
      </c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8">
        <v>4607111036568</v>
      </c>
      <c r="E155" s="279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45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90"/>
      <c r="R155" s="290"/>
      <c r="S155" s="290"/>
      <c r="T155" s="291"/>
      <c r="U155" s="34"/>
      <c r="V155" s="34"/>
      <c r="W155" s="35" t="s">
        <v>69</v>
      </c>
      <c r="X155" s="268">
        <v>84</v>
      </c>
      <c r="Y155" s="269">
        <f>IFERROR(IF(X155="","",X155),"")</f>
        <v>84</v>
      </c>
      <c r="Z155" s="36">
        <f>IFERROR(IF(X155="","",X155*0.00941),"")</f>
        <v>0.79044000000000003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176.55119999999999</v>
      </c>
      <c r="BN155" s="67">
        <f>IFERROR(Y155*I155,"0")</f>
        <v>176.55119999999999</v>
      </c>
      <c r="BO155" s="67">
        <f>IFERROR(X155/J155,"0")</f>
        <v>0.6</v>
      </c>
      <c r="BP155" s="67">
        <f>IFERROR(Y155/J155,"0")</f>
        <v>0.6</v>
      </c>
    </row>
    <row r="156" spans="1:68" x14ac:dyDescent="0.2">
      <c r="A156" s="286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87"/>
      <c r="P156" s="275" t="s">
        <v>72</v>
      </c>
      <c r="Q156" s="273"/>
      <c r="R156" s="273"/>
      <c r="S156" s="273"/>
      <c r="T156" s="273"/>
      <c r="U156" s="273"/>
      <c r="V156" s="274"/>
      <c r="W156" s="37" t="s">
        <v>69</v>
      </c>
      <c r="X156" s="270">
        <f>IFERROR(SUM(X155:X155),"0")</f>
        <v>84</v>
      </c>
      <c r="Y156" s="270">
        <f>IFERROR(SUM(Y155:Y155),"0")</f>
        <v>84</v>
      </c>
      <c r="Z156" s="270">
        <f>IFERROR(IF(Z155="",0,Z155),"0")</f>
        <v>0.79044000000000003</v>
      </c>
      <c r="AA156" s="271"/>
      <c r="AB156" s="271"/>
      <c r="AC156" s="271"/>
    </row>
    <row r="157" spans="1:68" x14ac:dyDescent="0.2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87"/>
      <c r="P157" s="275" t="s">
        <v>72</v>
      </c>
      <c r="Q157" s="273"/>
      <c r="R157" s="273"/>
      <c r="S157" s="273"/>
      <c r="T157" s="273"/>
      <c r="U157" s="273"/>
      <c r="V157" s="274"/>
      <c r="W157" s="37" t="s">
        <v>73</v>
      </c>
      <c r="X157" s="270">
        <f>IFERROR(SUMPRODUCT(X155:X155*H155:H155),"0")</f>
        <v>141.12</v>
      </c>
      <c r="Y157" s="270">
        <f>IFERROR(SUMPRODUCT(Y155:Y155*H155:H155),"0")</f>
        <v>141.12</v>
      </c>
      <c r="Z157" s="37"/>
      <c r="AA157" s="271"/>
      <c r="AB157" s="271"/>
      <c r="AC157" s="271"/>
    </row>
    <row r="158" spans="1:68" ht="27.75" customHeight="1" x14ac:dyDescent="0.2">
      <c r="A158" s="309" t="s">
        <v>232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48"/>
      <c r="AB158" s="48"/>
      <c r="AC158" s="48"/>
    </row>
    <row r="159" spans="1:68" ht="16.5" customHeight="1" x14ac:dyDescent="0.25">
      <c r="A159" s="276" t="s">
        <v>233</v>
      </c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  <c r="W159" s="277"/>
      <c r="X159" s="277"/>
      <c r="Y159" s="277"/>
      <c r="Z159" s="277"/>
      <c r="AA159" s="263"/>
      <c r="AB159" s="263"/>
      <c r="AC159" s="263"/>
    </row>
    <row r="160" spans="1:68" ht="14.25" customHeight="1" x14ac:dyDescent="0.25">
      <c r="A160" s="280" t="s">
        <v>63</v>
      </c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  <c r="W160" s="277"/>
      <c r="X160" s="277"/>
      <c r="Y160" s="277"/>
      <c r="Z160" s="277"/>
      <c r="AA160" s="262"/>
      <c r="AB160" s="262"/>
      <c r="AC160" s="262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8">
        <v>4607111036384</v>
      </c>
      <c r="E161" s="279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7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90"/>
      <c r="R161" s="290"/>
      <c r="S161" s="290"/>
      <c r="T161" s="291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8">
        <v>4607111036216</v>
      </c>
      <c r="E162" s="279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3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90"/>
      <c r="R162" s="290"/>
      <c r="S162" s="290"/>
      <c r="T162" s="291"/>
      <c r="U162" s="34"/>
      <c r="V162" s="34"/>
      <c r="W162" s="35" t="s">
        <v>69</v>
      </c>
      <c r="X162" s="268">
        <v>0</v>
      </c>
      <c r="Y162" s="269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6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87"/>
      <c r="P163" s="275" t="s">
        <v>72</v>
      </c>
      <c r="Q163" s="273"/>
      <c r="R163" s="273"/>
      <c r="S163" s="273"/>
      <c r="T163" s="273"/>
      <c r="U163" s="273"/>
      <c r="V163" s="274"/>
      <c r="W163" s="37" t="s">
        <v>69</v>
      </c>
      <c r="X163" s="270">
        <f>IFERROR(SUM(X161:X162),"0")</f>
        <v>0</v>
      </c>
      <c r="Y163" s="270">
        <f>IFERROR(SUM(Y161:Y162),"0")</f>
        <v>0</v>
      </c>
      <c r="Z163" s="270">
        <f>IFERROR(IF(Z161="",0,Z161),"0")+IFERROR(IF(Z162="",0,Z162),"0")</f>
        <v>0</v>
      </c>
      <c r="AA163" s="271"/>
      <c r="AB163" s="271"/>
      <c r="AC163" s="271"/>
    </row>
    <row r="164" spans="1:68" x14ac:dyDescent="0.2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87"/>
      <c r="P164" s="275" t="s">
        <v>72</v>
      </c>
      <c r="Q164" s="273"/>
      <c r="R164" s="273"/>
      <c r="S164" s="273"/>
      <c r="T164" s="273"/>
      <c r="U164" s="273"/>
      <c r="V164" s="274"/>
      <c r="W164" s="37" t="s">
        <v>73</v>
      </c>
      <c r="X164" s="270">
        <f>IFERROR(SUMPRODUCT(X161:X162*H161:H162),"0")</f>
        <v>0</v>
      </c>
      <c r="Y164" s="270">
        <f>IFERROR(SUMPRODUCT(Y161:Y162*H161:H162),"0")</f>
        <v>0</v>
      </c>
      <c r="Z164" s="37"/>
      <c r="AA164" s="271"/>
      <c r="AB164" s="271"/>
      <c r="AC164" s="271"/>
    </row>
    <row r="165" spans="1:68" ht="27.75" customHeight="1" x14ac:dyDescent="0.2">
      <c r="A165" s="309" t="s">
        <v>240</v>
      </c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48"/>
      <c r="AB165" s="48"/>
      <c r="AC165" s="48"/>
    </row>
    <row r="166" spans="1:68" ht="16.5" customHeight="1" x14ac:dyDescent="0.25">
      <c r="A166" s="276" t="s">
        <v>241</v>
      </c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  <c r="W166" s="277"/>
      <c r="X166" s="277"/>
      <c r="Y166" s="277"/>
      <c r="Z166" s="277"/>
      <c r="AA166" s="263"/>
      <c r="AB166" s="263"/>
      <c r="AC166" s="263"/>
    </row>
    <row r="167" spans="1:68" ht="14.25" customHeight="1" x14ac:dyDescent="0.25">
      <c r="A167" s="280" t="s">
        <v>76</v>
      </c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  <c r="W167" s="277"/>
      <c r="X167" s="277"/>
      <c r="Y167" s="277"/>
      <c r="Z167" s="277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8">
        <v>4607111035691</v>
      </c>
      <c r="E168" s="279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90"/>
      <c r="R168" s="290"/>
      <c r="S168" s="290"/>
      <c r="T168" s="291"/>
      <c r="U168" s="34"/>
      <c r="V168" s="34"/>
      <c r="W168" s="35" t="s">
        <v>69</v>
      </c>
      <c r="X168" s="268">
        <v>42</v>
      </c>
      <c r="Y168" s="269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8">
        <v>4607111035721</v>
      </c>
      <c r="E169" s="279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41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90"/>
      <c r="R169" s="290"/>
      <c r="S169" s="290"/>
      <c r="T169" s="291"/>
      <c r="U169" s="34"/>
      <c r="V169" s="34"/>
      <c r="W169" s="35" t="s">
        <v>69</v>
      </c>
      <c r="X169" s="268">
        <v>0</v>
      </c>
      <c r="Y169" s="269">
        <f>IFERROR(IF(X169="","",X169),"")</f>
        <v>0</v>
      </c>
      <c r="Z169" s="36">
        <f>IFERROR(IF(X169="","",X169*0.01788),"")</f>
        <v>0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0</v>
      </c>
      <c r="BN169" s="67">
        <f>IFERROR(Y169*I169,"0")</f>
        <v>0</v>
      </c>
      <c r="BO169" s="67">
        <f>IFERROR(X169/J169,"0")</f>
        <v>0</v>
      </c>
      <c r="BP169" s="67">
        <f>IFERROR(Y169/J169,"0")</f>
        <v>0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8">
        <v>4607111038487</v>
      </c>
      <c r="E170" s="279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45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90"/>
      <c r="R170" s="290"/>
      <c r="S170" s="290"/>
      <c r="T170" s="291"/>
      <c r="U170" s="34"/>
      <c r="V170" s="34"/>
      <c r="W170" s="35" t="s">
        <v>69</v>
      </c>
      <c r="X170" s="268">
        <v>0</v>
      </c>
      <c r="Y170" s="269">
        <f>IFERROR(IF(X170="","",X170),"")</f>
        <v>0</v>
      </c>
      <c r="Z170" s="36">
        <f>IFERROR(IF(X170="","",X170*0.01788),"")</f>
        <v>0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86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87"/>
      <c r="P171" s="275" t="s">
        <v>72</v>
      </c>
      <c r="Q171" s="273"/>
      <c r="R171" s="273"/>
      <c r="S171" s="273"/>
      <c r="T171" s="273"/>
      <c r="U171" s="273"/>
      <c r="V171" s="274"/>
      <c r="W171" s="37" t="s">
        <v>69</v>
      </c>
      <c r="X171" s="270">
        <f>IFERROR(SUM(X168:X170),"0")</f>
        <v>42</v>
      </c>
      <c r="Y171" s="270">
        <f>IFERROR(SUM(Y168:Y170),"0")</f>
        <v>42</v>
      </c>
      <c r="Z171" s="270">
        <f>IFERROR(IF(Z168="",0,Z168),"0")+IFERROR(IF(Z169="",0,Z169),"0")+IFERROR(IF(Z170="",0,Z170),"0")</f>
        <v>0.75095999999999996</v>
      </c>
      <c r="AA171" s="271"/>
      <c r="AB171" s="271"/>
      <c r="AC171" s="271"/>
    </row>
    <row r="172" spans="1:68" x14ac:dyDescent="0.2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87"/>
      <c r="P172" s="275" t="s">
        <v>72</v>
      </c>
      <c r="Q172" s="273"/>
      <c r="R172" s="273"/>
      <c r="S172" s="273"/>
      <c r="T172" s="273"/>
      <c r="U172" s="273"/>
      <c r="V172" s="274"/>
      <c r="W172" s="37" t="s">
        <v>73</v>
      </c>
      <c r="X172" s="270">
        <f>IFERROR(SUMPRODUCT(X168:X170*H168:H170),"0")</f>
        <v>126</v>
      </c>
      <c r="Y172" s="270">
        <f>IFERROR(SUMPRODUCT(Y168:Y170*H168:H170),"0")</f>
        <v>126</v>
      </c>
      <c r="Z172" s="37"/>
      <c r="AA172" s="271"/>
      <c r="AB172" s="271"/>
      <c r="AC172" s="271"/>
    </row>
    <row r="173" spans="1:68" ht="14.25" customHeight="1" x14ac:dyDescent="0.25">
      <c r="A173" s="280" t="s">
        <v>251</v>
      </c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  <c r="W173" s="277"/>
      <c r="X173" s="277"/>
      <c r="Y173" s="277"/>
      <c r="Z173" s="277"/>
      <c r="AA173" s="262"/>
      <c r="AB173" s="262"/>
      <c r="AC173" s="262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8">
        <v>4680115885875</v>
      </c>
      <c r="E174" s="279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295" t="s">
        <v>256</v>
      </c>
      <c r="Q174" s="290"/>
      <c r="R174" s="290"/>
      <c r="S174" s="290"/>
      <c r="T174" s="291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77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87"/>
      <c r="P175" s="275" t="s">
        <v>72</v>
      </c>
      <c r="Q175" s="273"/>
      <c r="R175" s="273"/>
      <c r="S175" s="273"/>
      <c r="T175" s="273"/>
      <c r="U175" s="273"/>
      <c r="V175" s="274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77"/>
      <c r="B176" s="277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87"/>
      <c r="P176" s="275" t="s">
        <v>72</v>
      </c>
      <c r="Q176" s="273"/>
      <c r="R176" s="273"/>
      <c r="S176" s="273"/>
      <c r="T176" s="273"/>
      <c r="U176" s="273"/>
      <c r="V176" s="274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09" t="s">
        <v>259</v>
      </c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48"/>
      <c r="AB177" s="48"/>
      <c r="AC177" s="48"/>
    </row>
    <row r="178" spans="1:68" ht="16.5" customHeight="1" x14ac:dyDescent="0.25">
      <c r="A178" s="276" t="s">
        <v>260</v>
      </c>
      <c r="B178" s="277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63"/>
      <c r="AB178" s="263"/>
      <c r="AC178" s="263"/>
    </row>
    <row r="179" spans="1:68" ht="14.25" customHeight="1" x14ac:dyDescent="0.25">
      <c r="A179" s="280" t="s">
        <v>76</v>
      </c>
      <c r="B179" s="277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8">
        <v>4620207491133</v>
      </c>
      <c r="E180" s="279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41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90"/>
      <c r="R180" s="290"/>
      <c r="S180" s="290"/>
      <c r="T180" s="291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6"/>
      <c r="B181" s="277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87"/>
      <c r="P181" s="275" t="s">
        <v>72</v>
      </c>
      <c r="Q181" s="273"/>
      <c r="R181" s="273"/>
      <c r="S181" s="273"/>
      <c r="T181" s="273"/>
      <c r="U181" s="273"/>
      <c r="V181" s="274"/>
      <c r="W181" s="37" t="s">
        <v>69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x14ac:dyDescent="0.2">
      <c r="A182" s="277"/>
      <c r="B182" s="277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87"/>
      <c r="P182" s="275" t="s">
        <v>72</v>
      </c>
      <c r="Q182" s="273"/>
      <c r="R182" s="273"/>
      <c r="S182" s="273"/>
      <c r="T182" s="273"/>
      <c r="U182" s="273"/>
      <c r="V182" s="274"/>
      <c r="W182" s="37" t="s">
        <v>73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customHeight="1" x14ac:dyDescent="0.25">
      <c r="A183" s="280" t="s">
        <v>120</v>
      </c>
      <c r="B183" s="277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8">
        <v>4620207490198</v>
      </c>
      <c r="E184" s="279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43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90"/>
      <c r="R184" s="290"/>
      <c r="S184" s="290"/>
      <c r="T184" s="291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4301135829</v>
      </c>
      <c r="D185" s="278">
        <v>4620207490235</v>
      </c>
      <c r="E185" s="279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407" t="s">
        <v>269</v>
      </c>
      <c r="Q185" s="290"/>
      <c r="R185" s="290"/>
      <c r="S185" s="290"/>
      <c r="T185" s="291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8">
        <v>4620207490259</v>
      </c>
      <c r="E186" s="279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31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90"/>
      <c r="R186" s="290"/>
      <c r="S186" s="290"/>
      <c r="T186" s="291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8">
        <v>4620207490143</v>
      </c>
      <c r="E187" s="279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80</v>
      </c>
      <c r="M187" s="33" t="s">
        <v>68</v>
      </c>
      <c r="N187" s="33"/>
      <c r="O187" s="32">
        <v>180</v>
      </c>
      <c r="P187" s="42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90"/>
      <c r="R187" s="290"/>
      <c r="S187" s="290"/>
      <c r="T187" s="291"/>
      <c r="U187" s="34"/>
      <c r="V187" s="34"/>
      <c r="W187" s="35" t="s">
        <v>69</v>
      </c>
      <c r="X187" s="268">
        <v>14</v>
      </c>
      <c r="Y187" s="269">
        <f>IFERROR(IF(X187="","",X187),"")</f>
        <v>14</v>
      </c>
      <c r="Z187" s="36">
        <f>IFERROR(IF(X187="","",X187*0.01788),"")</f>
        <v>0.25031999999999999</v>
      </c>
      <c r="AA187" s="56"/>
      <c r="AB187" s="57"/>
      <c r="AC187" s="192" t="s">
        <v>275</v>
      </c>
      <c r="AG187" s="67"/>
      <c r="AJ187" s="71" t="s">
        <v>82</v>
      </c>
      <c r="AK187" s="71">
        <v>14</v>
      </c>
      <c r="BB187" s="193" t="s">
        <v>83</v>
      </c>
      <c r="BM187" s="67">
        <f>IFERROR(X187*I187,"0")</f>
        <v>46.810400000000001</v>
      </c>
      <c r="BN187" s="67">
        <f>IFERROR(Y187*I187,"0")</f>
        <v>46.810400000000001</v>
      </c>
      <c r="BO187" s="67">
        <f>IFERROR(X187/J187,"0")</f>
        <v>0.2</v>
      </c>
      <c r="BP187" s="67">
        <f>IFERROR(Y187/J187,"0")</f>
        <v>0.2</v>
      </c>
    </row>
    <row r="188" spans="1:68" x14ac:dyDescent="0.2">
      <c r="A188" s="286"/>
      <c r="B188" s="277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87"/>
      <c r="P188" s="275" t="s">
        <v>72</v>
      </c>
      <c r="Q188" s="273"/>
      <c r="R188" s="273"/>
      <c r="S188" s="273"/>
      <c r="T188" s="273"/>
      <c r="U188" s="273"/>
      <c r="V188" s="274"/>
      <c r="W188" s="37" t="s">
        <v>69</v>
      </c>
      <c r="X188" s="270">
        <f>IFERROR(SUM(X184:X187),"0")</f>
        <v>14</v>
      </c>
      <c r="Y188" s="270">
        <f>IFERROR(SUM(Y184:Y187),"0")</f>
        <v>14</v>
      </c>
      <c r="Z188" s="270">
        <f>IFERROR(IF(Z184="",0,Z184),"0")+IFERROR(IF(Z185="",0,Z185),"0")+IFERROR(IF(Z186="",0,Z186),"0")+IFERROR(IF(Z187="",0,Z187),"0")</f>
        <v>0.25031999999999999</v>
      </c>
      <c r="AA188" s="271"/>
      <c r="AB188" s="271"/>
      <c r="AC188" s="271"/>
    </row>
    <row r="189" spans="1:68" x14ac:dyDescent="0.2">
      <c r="A189" s="277"/>
      <c r="B189" s="277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87"/>
      <c r="P189" s="275" t="s">
        <v>72</v>
      </c>
      <c r="Q189" s="273"/>
      <c r="R189" s="273"/>
      <c r="S189" s="273"/>
      <c r="T189" s="273"/>
      <c r="U189" s="273"/>
      <c r="V189" s="274"/>
      <c r="W189" s="37" t="s">
        <v>73</v>
      </c>
      <c r="X189" s="270">
        <f>IFERROR(SUMPRODUCT(X184:X187*H184:H187),"0")</f>
        <v>36.96</v>
      </c>
      <c r="Y189" s="270">
        <f>IFERROR(SUMPRODUCT(Y184:Y187*H184:H187),"0")</f>
        <v>36.96</v>
      </c>
      <c r="Z189" s="37"/>
      <c r="AA189" s="271"/>
      <c r="AB189" s="271"/>
      <c r="AC189" s="271"/>
    </row>
    <row r="190" spans="1:68" ht="16.5" customHeight="1" x14ac:dyDescent="0.25">
      <c r="A190" s="276" t="s">
        <v>276</v>
      </c>
      <c r="B190" s="277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63"/>
      <c r="AB190" s="263"/>
      <c r="AC190" s="263"/>
    </row>
    <row r="191" spans="1:68" ht="14.25" customHeight="1" x14ac:dyDescent="0.25">
      <c r="A191" s="280" t="s">
        <v>63</v>
      </c>
      <c r="B191" s="277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62"/>
      <c r="AB191" s="262"/>
      <c r="AC191" s="262"/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8">
        <v>4607111035103</v>
      </c>
      <c r="E192" s="279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429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90"/>
      <c r="R192" s="290"/>
      <c r="S192" s="290"/>
      <c r="T192" s="291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8">
        <v>4607111035929</v>
      </c>
      <c r="E193" s="279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355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90"/>
      <c r="R193" s="290"/>
      <c r="S193" s="290"/>
      <c r="T193" s="291"/>
      <c r="U193" s="34"/>
      <c r="V193" s="34"/>
      <c r="W193" s="35" t="s">
        <v>69</v>
      </c>
      <c r="X193" s="268">
        <v>0</v>
      </c>
      <c r="Y193" s="269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4301071106</v>
      </c>
      <c r="D194" s="278">
        <v>4607111035882</v>
      </c>
      <c r="E194" s="279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421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90"/>
      <c r="R194" s="290"/>
      <c r="S194" s="290"/>
      <c r="T194" s="291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78">
        <v>4607111035110</v>
      </c>
      <c r="E195" s="279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404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90"/>
      <c r="R195" s="290"/>
      <c r="S195" s="290"/>
      <c r="T195" s="291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77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87"/>
      <c r="P196" s="275" t="s">
        <v>72</v>
      </c>
      <c r="Q196" s="273"/>
      <c r="R196" s="273"/>
      <c r="S196" s="273"/>
      <c r="T196" s="273"/>
      <c r="U196" s="273"/>
      <c r="V196" s="274"/>
      <c r="W196" s="37" t="s">
        <v>69</v>
      </c>
      <c r="X196" s="270">
        <f>IFERROR(SUM(X192:X195),"0")</f>
        <v>0</v>
      </c>
      <c r="Y196" s="270">
        <f>IFERROR(SUM(Y192:Y195),"0")</f>
        <v>0</v>
      </c>
      <c r="Z196" s="270">
        <f>IFERROR(IF(Z192="",0,Z192),"0")+IFERROR(IF(Z193="",0,Z193),"0")+IFERROR(IF(Z194="",0,Z194),"0")+IFERROR(IF(Z195="",0,Z195),"0")</f>
        <v>0</v>
      </c>
      <c r="AA196" s="271"/>
      <c r="AB196" s="271"/>
      <c r="AC196" s="271"/>
    </row>
    <row r="197" spans="1:68" x14ac:dyDescent="0.2">
      <c r="A197" s="277"/>
      <c r="B197" s="277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87"/>
      <c r="P197" s="275" t="s">
        <v>72</v>
      </c>
      <c r="Q197" s="273"/>
      <c r="R197" s="273"/>
      <c r="S197" s="273"/>
      <c r="T197" s="273"/>
      <c r="U197" s="273"/>
      <c r="V197" s="274"/>
      <c r="W197" s="37" t="s">
        <v>73</v>
      </c>
      <c r="X197" s="270">
        <f>IFERROR(SUMPRODUCT(X192:X195*H192:H195),"0")</f>
        <v>0</v>
      </c>
      <c r="Y197" s="270">
        <f>IFERROR(SUMPRODUCT(Y192:Y195*H192:H195),"0")</f>
        <v>0</v>
      </c>
      <c r="Z197" s="37"/>
      <c r="AA197" s="271"/>
      <c r="AB197" s="271"/>
      <c r="AC197" s="271"/>
    </row>
    <row r="198" spans="1:68" ht="16.5" customHeight="1" x14ac:dyDescent="0.25">
      <c r="A198" s="276" t="s">
        <v>286</v>
      </c>
      <c r="B198" s="277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  <c r="AA198" s="263"/>
      <c r="AB198" s="263"/>
      <c r="AC198" s="263"/>
    </row>
    <row r="199" spans="1:68" ht="14.25" customHeight="1" x14ac:dyDescent="0.25">
      <c r="A199" s="280" t="s">
        <v>63</v>
      </c>
      <c r="B199" s="277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8">
        <v>4620207491096</v>
      </c>
      <c r="E200" s="279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32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90"/>
      <c r="R200" s="290"/>
      <c r="S200" s="290"/>
      <c r="T200" s="291"/>
      <c r="U200" s="34"/>
      <c r="V200" s="34"/>
      <c r="W200" s="35" t="s">
        <v>69</v>
      </c>
      <c r="X200" s="268">
        <v>0</v>
      </c>
      <c r="Y200" s="269">
        <f>IFERROR(IF(X200="","",X200),"")</f>
        <v>0</v>
      </c>
      <c r="Z200" s="36">
        <f>IFERROR(IF(X200="","",X200*0.0155),"")</f>
        <v>0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86"/>
      <c r="B201" s="277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87"/>
      <c r="P201" s="275" t="s">
        <v>72</v>
      </c>
      <c r="Q201" s="273"/>
      <c r="R201" s="273"/>
      <c r="S201" s="273"/>
      <c r="T201" s="273"/>
      <c r="U201" s="273"/>
      <c r="V201" s="274"/>
      <c r="W201" s="37" t="s">
        <v>69</v>
      </c>
      <c r="X201" s="270">
        <f>IFERROR(SUM(X200:X200),"0")</f>
        <v>0</v>
      </c>
      <c r="Y201" s="270">
        <f>IFERROR(SUM(Y200:Y200),"0")</f>
        <v>0</v>
      </c>
      <c r="Z201" s="270">
        <f>IFERROR(IF(Z200="",0,Z200),"0")</f>
        <v>0</v>
      </c>
      <c r="AA201" s="271"/>
      <c r="AB201" s="271"/>
      <c r="AC201" s="271"/>
    </row>
    <row r="202" spans="1:68" x14ac:dyDescent="0.2">
      <c r="A202" s="277"/>
      <c r="B202" s="277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87"/>
      <c r="P202" s="275" t="s">
        <v>72</v>
      </c>
      <c r="Q202" s="273"/>
      <c r="R202" s="273"/>
      <c r="S202" s="273"/>
      <c r="T202" s="273"/>
      <c r="U202" s="273"/>
      <c r="V202" s="274"/>
      <c r="W202" s="37" t="s">
        <v>73</v>
      </c>
      <c r="X202" s="270">
        <f>IFERROR(SUMPRODUCT(X200:X200*H200:H200),"0")</f>
        <v>0</v>
      </c>
      <c r="Y202" s="270">
        <f>IFERROR(SUMPRODUCT(Y200:Y200*H200:H200),"0")</f>
        <v>0</v>
      </c>
      <c r="Z202" s="37"/>
      <c r="AA202" s="271"/>
      <c r="AB202" s="271"/>
      <c r="AC202" s="271"/>
    </row>
    <row r="203" spans="1:68" ht="16.5" customHeight="1" x14ac:dyDescent="0.25">
      <c r="A203" s="276" t="s">
        <v>290</v>
      </c>
      <c r="B203" s="277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63"/>
      <c r="AB203" s="263"/>
      <c r="AC203" s="263"/>
    </row>
    <row r="204" spans="1:68" ht="14.25" customHeight="1" x14ac:dyDescent="0.25">
      <c r="A204" s="280" t="s">
        <v>63</v>
      </c>
      <c r="B204" s="277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62"/>
      <c r="AB204" s="262"/>
      <c r="AC204" s="262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8">
        <v>4620207490709</v>
      </c>
      <c r="E205" s="279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41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90"/>
      <c r="R205" s="290"/>
      <c r="S205" s="290"/>
      <c r="T205" s="291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77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87"/>
      <c r="P206" s="275" t="s">
        <v>72</v>
      </c>
      <c r="Q206" s="273"/>
      <c r="R206" s="273"/>
      <c r="S206" s="273"/>
      <c r="T206" s="273"/>
      <c r="U206" s="273"/>
      <c r="V206" s="274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87"/>
      <c r="P207" s="275" t="s">
        <v>72</v>
      </c>
      <c r="Q207" s="273"/>
      <c r="R207" s="273"/>
      <c r="S207" s="273"/>
      <c r="T207" s="273"/>
      <c r="U207" s="273"/>
      <c r="V207" s="274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280" t="s">
        <v>120</v>
      </c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8">
        <v>4620207490570</v>
      </c>
      <c r="E209" s="279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434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8">
        <v>4620207490549</v>
      </c>
      <c r="E210" s="279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40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90"/>
      <c r="R210" s="290"/>
      <c r="S210" s="290"/>
      <c r="T210" s="291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8">
        <v>4620207490501</v>
      </c>
      <c r="E211" s="279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90"/>
      <c r="R211" s="290"/>
      <c r="S211" s="290"/>
      <c r="T211" s="291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87"/>
      <c r="P212" s="275" t="s">
        <v>72</v>
      </c>
      <c r="Q212" s="273"/>
      <c r="R212" s="273"/>
      <c r="S212" s="273"/>
      <c r="T212" s="273"/>
      <c r="U212" s="273"/>
      <c r="V212" s="274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87"/>
      <c r="P213" s="275" t="s">
        <v>72</v>
      </c>
      <c r="Q213" s="273"/>
      <c r="R213" s="273"/>
      <c r="S213" s="273"/>
      <c r="T213" s="273"/>
      <c r="U213" s="273"/>
      <c r="V213" s="274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76" t="s">
        <v>301</v>
      </c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63"/>
      <c r="AB214" s="263"/>
      <c r="AC214" s="263"/>
    </row>
    <row r="215" spans="1:68" ht="14.25" customHeight="1" x14ac:dyDescent="0.25">
      <c r="A215" s="280" t="s">
        <v>63</v>
      </c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62"/>
      <c r="AB215" s="262"/>
      <c r="AC215" s="262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8">
        <v>4607111039019</v>
      </c>
      <c r="E216" s="279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3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90"/>
      <c r="R216" s="290"/>
      <c r="S216" s="290"/>
      <c r="T216" s="291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8">
        <v>4607111038708</v>
      </c>
      <c r="E217" s="279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7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90"/>
      <c r="R217" s="290"/>
      <c r="S217" s="290"/>
      <c r="T217" s="291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87"/>
      <c r="P218" s="275" t="s">
        <v>72</v>
      </c>
      <c r="Q218" s="273"/>
      <c r="R218" s="273"/>
      <c r="S218" s="273"/>
      <c r="T218" s="273"/>
      <c r="U218" s="273"/>
      <c r="V218" s="274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87"/>
      <c r="P219" s="275" t="s">
        <v>72</v>
      </c>
      <c r="Q219" s="273"/>
      <c r="R219" s="273"/>
      <c r="S219" s="273"/>
      <c r="T219" s="273"/>
      <c r="U219" s="273"/>
      <c r="V219" s="274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09" t="s">
        <v>307</v>
      </c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48"/>
      <c r="AB220" s="48"/>
      <c r="AC220" s="48"/>
    </row>
    <row r="221" spans="1:68" ht="16.5" customHeight="1" x14ac:dyDescent="0.25">
      <c r="A221" s="276" t="s">
        <v>308</v>
      </c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63"/>
      <c r="AB221" s="263"/>
      <c r="AC221" s="263"/>
    </row>
    <row r="222" spans="1:68" ht="14.25" customHeight="1" x14ac:dyDescent="0.25">
      <c r="A222" s="280" t="s">
        <v>63</v>
      </c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62"/>
      <c r="AB222" s="262"/>
      <c r="AC222" s="262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8">
        <v>4607111036162</v>
      </c>
      <c r="E223" s="279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90"/>
      <c r="R223" s="290"/>
      <c r="S223" s="290"/>
      <c r="T223" s="291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87"/>
      <c r="P224" s="275" t="s">
        <v>72</v>
      </c>
      <c r="Q224" s="273"/>
      <c r="R224" s="273"/>
      <c r="S224" s="273"/>
      <c r="T224" s="273"/>
      <c r="U224" s="273"/>
      <c r="V224" s="274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87"/>
      <c r="P225" s="275" t="s">
        <v>72</v>
      </c>
      <c r="Q225" s="273"/>
      <c r="R225" s="273"/>
      <c r="S225" s="273"/>
      <c r="T225" s="273"/>
      <c r="U225" s="273"/>
      <c r="V225" s="274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09" t="s">
        <v>312</v>
      </c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48"/>
      <c r="AB226" s="48"/>
      <c r="AC226" s="48"/>
    </row>
    <row r="227" spans="1:68" ht="16.5" customHeight="1" x14ac:dyDescent="0.25">
      <c r="A227" s="276" t="s">
        <v>313</v>
      </c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63"/>
      <c r="AB227" s="263"/>
      <c r="AC227" s="263"/>
    </row>
    <row r="228" spans="1:68" ht="14.25" customHeight="1" x14ac:dyDescent="0.25">
      <c r="A228" s="280" t="s">
        <v>63</v>
      </c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8">
        <v>4607111035899</v>
      </c>
      <c r="E229" s="279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90"/>
      <c r="R229" s="290"/>
      <c r="S229" s="290"/>
      <c r="T229" s="291"/>
      <c r="U229" s="34"/>
      <c r="V229" s="34"/>
      <c r="W229" s="35" t="s">
        <v>69</v>
      </c>
      <c r="X229" s="268">
        <v>132</v>
      </c>
      <c r="Y229" s="269">
        <f>IFERROR(IF(X229="","",X229),"")</f>
        <v>132</v>
      </c>
      <c r="Z229" s="36">
        <f>IFERROR(IF(X229="","",X229*0.0155),"")</f>
        <v>2.0459999999999998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694.58399999999995</v>
      </c>
      <c r="BN229" s="67">
        <f>IFERROR(Y229*I229,"0")</f>
        <v>694.58399999999995</v>
      </c>
      <c r="BO229" s="67">
        <f>IFERROR(X229/J229,"0")</f>
        <v>1.5714285714285714</v>
      </c>
      <c r="BP229" s="67">
        <f>IFERROR(Y229/J229,"0")</f>
        <v>1.5714285714285714</v>
      </c>
    </row>
    <row r="230" spans="1:68" x14ac:dyDescent="0.2">
      <c r="A230" s="286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87"/>
      <c r="P230" s="275" t="s">
        <v>72</v>
      </c>
      <c r="Q230" s="273"/>
      <c r="R230" s="273"/>
      <c r="S230" s="273"/>
      <c r="T230" s="273"/>
      <c r="U230" s="273"/>
      <c r="V230" s="274"/>
      <c r="W230" s="37" t="s">
        <v>69</v>
      </c>
      <c r="X230" s="270">
        <f>IFERROR(SUM(X229:X229),"0")</f>
        <v>132</v>
      </c>
      <c r="Y230" s="270">
        <f>IFERROR(SUM(Y229:Y229),"0")</f>
        <v>132</v>
      </c>
      <c r="Z230" s="270">
        <f>IFERROR(IF(Z229="",0,Z229),"0")</f>
        <v>2.0459999999999998</v>
      </c>
      <c r="AA230" s="271"/>
      <c r="AB230" s="271"/>
      <c r="AC230" s="271"/>
    </row>
    <row r="231" spans="1:68" x14ac:dyDescent="0.2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87"/>
      <c r="P231" s="275" t="s">
        <v>72</v>
      </c>
      <c r="Q231" s="273"/>
      <c r="R231" s="273"/>
      <c r="S231" s="273"/>
      <c r="T231" s="273"/>
      <c r="U231" s="273"/>
      <c r="V231" s="274"/>
      <c r="W231" s="37" t="s">
        <v>73</v>
      </c>
      <c r="X231" s="270">
        <f>IFERROR(SUMPRODUCT(X229:X229*H229:H229),"0")</f>
        <v>660</v>
      </c>
      <c r="Y231" s="270">
        <f>IFERROR(SUMPRODUCT(Y229:Y229*H229:H229),"0")</f>
        <v>660</v>
      </c>
      <c r="Z231" s="37"/>
      <c r="AA231" s="271"/>
      <c r="AB231" s="271"/>
      <c r="AC231" s="271"/>
    </row>
    <row r="232" spans="1:68" ht="27.75" customHeight="1" x14ac:dyDescent="0.2">
      <c r="A232" s="309" t="s">
        <v>316</v>
      </c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48"/>
      <c r="AB232" s="48"/>
      <c r="AC232" s="48"/>
    </row>
    <row r="233" spans="1:68" ht="16.5" customHeight="1" x14ac:dyDescent="0.25">
      <c r="A233" s="276" t="s">
        <v>317</v>
      </c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63"/>
      <c r="AB233" s="263"/>
      <c r="AC233" s="263"/>
    </row>
    <row r="234" spans="1:68" ht="14.25" customHeight="1" x14ac:dyDescent="0.25">
      <c r="A234" s="280" t="s">
        <v>318</v>
      </c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62"/>
      <c r="AB234" s="262"/>
      <c r="AC234" s="262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8">
        <v>4607111039774</v>
      </c>
      <c r="E235" s="279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90"/>
      <c r="R235" s="290"/>
      <c r="S235" s="290"/>
      <c r="T235" s="291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87"/>
      <c r="P236" s="275" t="s">
        <v>72</v>
      </c>
      <c r="Q236" s="273"/>
      <c r="R236" s="273"/>
      <c r="S236" s="273"/>
      <c r="T236" s="273"/>
      <c r="U236" s="273"/>
      <c r="V236" s="274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87"/>
      <c r="P237" s="275" t="s">
        <v>72</v>
      </c>
      <c r="Q237" s="273"/>
      <c r="R237" s="273"/>
      <c r="S237" s="273"/>
      <c r="T237" s="273"/>
      <c r="U237" s="273"/>
      <c r="V237" s="274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280" t="s">
        <v>120</v>
      </c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  <c r="AA238" s="262"/>
      <c r="AB238" s="262"/>
      <c r="AC238" s="262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8">
        <v>4607111039361</v>
      </c>
      <c r="E239" s="279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4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90"/>
      <c r="R239" s="290"/>
      <c r="S239" s="290"/>
      <c r="T239" s="291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87"/>
      <c r="P240" s="275" t="s">
        <v>72</v>
      </c>
      <c r="Q240" s="273"/>
      <c r="R240" s="273"/>
      <c r="S240" s="273"/>
      <c r="T240" s="273"/>
      <c r="U240" s="273"/>
      <c r="V240" s="274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77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87"/>
      <c r="P241" s="275" t="s">
        <v>72</v>
      </c>
      <c r="Q241" s="273"/>
      <c r="R241" s="273"/>
      <c r="S241" s="273"/>
      <c r="T241" s="273"/>
      <c r="U241" s="273"/>
      <c r="V241" s="274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09" t="s">
        <v>324</v>
      </c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48"/>
      <c r="AB242" s="48"/>
      <c r="AC242" s="48"/>
    </row>
    <row r="243" spans="1:68" ht="16.5" customHeight="1" x14ac:dyDescent="0.25">
      <c r="A243" s="276" t="s">
        <v>324</v>
      </c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63"/>
      <c r="AB243" s="263"/>
      <c r="AC243" s="263"/>
    </row>
    <row r="244" spans="1:68" ht="14.25" customHeight="1" x14ac:dyDescent="0.25">
      <c r="A244" s="280" t="s">
        <v>63</v>
      </c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  <c r="AA244" s="262"/>
      <c r="AB244" s="262"/>
      <c r="AC244" s="262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8">
        <v>4640242181264</v>
      </c>
      <c r="E245" s="279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5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90"/>
      <c r="R245" s="290"/>
      <c r="S245" s="290"/>
      <c r="T245" s="291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8">
        <v>4640242181325</v>
      </c>
      <c r="E246" s="279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41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90"/>
      <c r="R246" s="290"/>
      <c r="S246" s="290"/>
      <c r="T246" s="291"/>
      <c r="U246" s="34"/>
      <c r="V246" s="34"/>
      <c r="W246" s="35" t="s">
        <v>69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8">
        <v>4640242180670</v>
      </c>
      <c r="E247" s="279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336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90"/>
      <c r="R247" s="290"/>
      <c r="S247" s="290"/>
      <c r="T247" s="291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87"/>
      <c r="P248" s="275" t="s">
        <v>72</v>
      </c>
      <c r="Q248" s="273"/>
      <c r="R248" s="273"/>
      <c r="S248" s="273"/>
      <c r="T248" s="273"/>
      <c r="U248" s="273"/>
      <c r="V248" s="274"/>
      <c r="W248" s="37" t="s">
        <v>69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87"/>
      <c r="P249" s="275" t="s">
        <v>72</v>
      </c>
      <c r="Q249" s="273"/>
      <c r="R249" s="273"/>
      <c r="S249" s="273"/>
      <c r="T249" s="273"/>
      <c r="U249" s="273"/>
      <c r="V249" s="274"/>
      <c r="W249" s="37" t="s">
        <v>73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280" t="s">
        <v>76</v>
      </c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8">
        <v>4640242180397</v>
      </c>
      <c r="E251" s="279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90"/>
      <c r="R251" s="290"/>
      <c r="S251" s="290"/>
      <c r="T251" s="291"/>
      <c r="U251" s="34"/>
      <c r="V251" s="34"/>
      <c r="W251" s="35" t="s">
        <v>69</v>
      </c>
      <c r="X251" s="268">
        <v>0</v>
      </c>
      <c r="Y251" s="269">
        <f>IFERROR(IF(X251="","",X251),"")</f>
        <v>0</v>
      </c>
      <c r="Z251" s="36">
        <f>IFERROR(IF(X251="","",X251*0.0155),"")</f>
        <v>0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8">
        <v>4640242181219</v>
      </c>
      <c r="E252" s="279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45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90"/>
      <c r="R252" s="290"/>
      <c r="S252" s="290"/>
      <c r="T252" s="291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87"/>
      <c r="P253" s="275" t="s">
        <v>72</v>
      </c>
      <c r="Q253" s="273"/>
      <c r="R253" s="273"/>
      <c r="S253" s="273"/>
      <c r="T253" s="273"/>
      <c r="U253" s="273"/>
      <c r="V253" s="274"/>
      <c r="W253" s="37" t="s">
        <v>69</v>
      </c>
      <c r="X253" s="270">
        <f>IFERROR(SUM(X251:X252),"0")</f>
        <v>0</v>
      </c>
      <c r="Y253" s="270">
        <f>IFERROR(SUM(Y251:Y252),"0")</f>
        <v>0</v>
      </c>
      <c r="Z253" s="270">
        <f>IFERROR(IF(Z251="",0,Z251),"0")+IFERROR(IF(Z252="",0,Z252),"0")</f>
        <v>0</v>
      </c>
      <c r="AA253" s="271"/>
      <c r="AB253" s="271"/>
      <c r="AC253" s="271"/>
    </row>
    <row r="254" spans="1:68" x14ac:dyDescent="0.2">
      <c r="A254" s="277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87"/>
      <c r="P254" s="275" t="s">
        <v>72</v>
      </c>
      <c r="Q254" s="273"/>
      <c r="R254" s="273"/>
      <c r="S254" s="273"/>
      <c r="T254" s="273"/>
      <c r="U254" s="273"/>
      <c r="V254" s="274"/>
      <c r="W254" s="37" t="s">
        <v>73</v>
      </c>
      <c r="X254" s="270">
        <f>IFERROR(SUMPRODUCT(X251:X252*H251:H252),"0")</f>
        <v>0</v>
      </c>
      <c r="Y254" s="270">
        <f>IFERROR(SUMPRODUCT(Y251:Y252*H251:H252),"0")</f>
        <v>0</v>
      </c>
      <c r="Z254" s="37"/>
      <c r="AA254" s="271"/>
      <c r="AB254" s="271"/>
      <c r="AC254" s="271"/>
    </row>
    <row r="255" spans="1:68" ht="14.25" customHeight="1" x14ac:dyDescent="0.25">
      <c r="A255" s="280" t="s">
        <v>114</v>
      </c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8">
        <v>4640242180304</v>
      </c>
      <c r="E256" s="279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36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90"/>
      <c r="R256" s="290"/>
      <c r="S256" s="290"/>
      <c r="T256" s="291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8">
        <v>4640242180236</v>
      </c>
      <c r="E257" s="279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34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90"/>
      <c r="R257" s="290"/>
      <c r="S257" s="290"/>
      <c r="T257" s="291"/>
      <c r="U257" s="34"/>
      <c r="V257" s="34"/>
      <c r="W257" s="35" t="s">
        <v>69</v>
      </c>
      <c r="X257" s="268">
        <v>0</v>
      </c>
      <c r="Y257" s="269">
        <f>IFERROR(IF(X257="","",X257),"")</f>
        <v>0</v>
      </c>
      <c r="Z257" s="36">
        <f>IFERROR(IF(X257="","",X257*0.0155),"")</f>
        <v>0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8">
        <v>4640242180410</v>
      </c>
      <c r="E258" s="279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42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90"/>
      <c r="R258" s="290"/>
      <c r="S258" s="290"/>
      <c r="T258" s="291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87"/>
      <c r="P259" s="275" t="s">
        <v>72</v>
      </c>
      <c r="Q259" s="273"/>
      <c r="R259" s="273"/>
      <c r="S259" s="273"/>
      <c r="T259" s="273"/>
      <c r="U259" s="273"/>
      <c r="V259" s="274"/>
      <c r="W259" s="37" t="s">
        <v>69</v>
      </c>
      <c r="X259" s="270">
        <f>IFERROR(SUM(X256:X258),"0")</f>
        <v>0</v>
      </c>
      <c r="Y259" s="270">
        <f>IFERROR(SUM(Y256:Y258),"0")</f>
        <v>0</v>
      </c>
      <c r="Z259" s="270">
        <f>IFERROR(IF(Z256="",0,Z256),"0")+IFERROR(IF(Z257="",0,Z257),"0")+IFERROR(IF(Z258="",0,Z258),"0")</f>
        <v>0</v>
      </c>
      <c r="AA259" s="271"/>
      <c r="AB259" s="271"/>
      <c r="AC259" s="271"/>
    </row>
    <row r="260" spans="1:68" x14ac:dyDescent="0.2">
      <c r="A260" s="277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87"/>
      <c r="P260" s="275" t="s">
        <v>72</v>
      </c>
      <c r="Q260" s="273"/>
      <c r="R260" s="273"/>
      <c r="S260" s="273"/>
      <c r="T260" s="273"/>
      <c r="U260" s="273"/>
      <c r="V260" s="274"/>
      <c r="W260" s="37" t="s">
        <v>73</v>
      </c>
      <c r="X260" s="270">
        <f>IFERROR(SUMPRODUCT(X256:X258*H256:H258),"0")</f>
        <v>0</v>
      </c>
      <c r="Y260" s="270">
        <f>IFERROR(SUMPRODUCT(Y256:Y258*H256:H258),"0")</f>
        <v>0</v>
      </c>
      <c r="Z260" s="37"/>
      <c r="AA260" s="271"/>
      <c r="AB260" s="271"/>
      <c r="AC260" s="271"/>
    </row>
    <row r="261" spans="1:68" ht="14.25" customHeight="1" x14ac:dyDescent="0.25">
      <c r="A261" s="280" t="s">
        <v>120</v>
      </c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  <c r="AA261" s="262"/>
      <c r="AB261" s="262"/>
      <c r="AC261" s="262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8">
        <v>4640242181554</v>
      </c>
      <c r="E262" s="279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32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90"/>
      <c r="R262" s="290"/>
      <c r="S262" s="290"/>
      <c r="T262" s="291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8">
        <v>4640242181561</v>
      </c>
      <c r="E263" s="279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32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90"/>
      <c r="R263" s="290"/>
      <c r="S263" s="290"/>
      <c r="T263" s="291"/>
      <c r="U263" s="34"/>
      <c r="V263" s="34"/>
      <c r="W263" s="35" t="s">
        <v>69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8">
        <v>4640242181424</v>
      </c>
      <c r="E264" s="279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9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90"/>
      <c r="R264" s="290"/>
      <c r="S264" s="290"/>
      <c r="T264" s="291"/>
      <c r="U264" s="34"/>
      <c r="V264" s="34"/>
      <c r="W264" s="35" t="s">
        <v>69</v>
      </c>
      <c r="X264" s="268">
        <v>0</v>
      </c>
      <c r="Y264" s="269">
        <f t="shared" si="12"/>
        <v>0</v>
      </c>
      <c r="Z264" s="36">
        <f>IFERROR(IF(X264="","",X264*0.0155),"")</f>
        <v>0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8">
        <v>4640242181523</v>
      </c>
      <c r="E265" s="279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43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90"/>
      <c r="R265" s="290"/>
      <c r="S265" s="290"/>
      <c r="T265" s="291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8">
        <v>4640242181486</v>
      </c>
      <c r="E266" s="279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90"/>
      <c r="R266" s="290"/>
      <c r="S266" s="290"/>
      <c r="T266" s="291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8">
        <v>4640242181493</v>
      </c>
      <c r="E267" s="279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7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90"/>
      <c r="R267" s="290"/>
      <c r="S267" s="290"/>
      <c r="T267" s="291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8">
        <v>4640242181509</v>
      </c>
      <c r="E268" s="279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42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90"/>
      <c r="R268" s="290"/>
      <c r="S268" s="290"/>
      <c r="T268" s="291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8">
        <v>4640242181240</v>
      </c>
      <c r="E269" s="279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34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90"/>
      <c r="R269" s="290"/>
      <c r="S269" s="290"/>
      <c r="T269" s="291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8">
        <v>4640242181318</v>
      </c>
      <c r="E270" s="279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36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90"/>
      <c r="R270" s="290"/>
      <c r="S270" s="290"/>
      <c r="T270" s="291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8">
        <v>4640242181387</v>
      </c>
      <c r="E271" s="279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43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90"/>
      <c r="R271" s="290"/>
      <c r="S271" s="290"/>
      <c r="T271" s="291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87"/>
      <c r="P272" s="275" t="s">
        <v>72</v>
      </c>
      <c r="Q272" s="273"/>
      <c r="R272" s="273"/>
      <c r="S272" s="273"/>
      <c r="T272" s="273"/>
      <c r="U272" s="273"/>
      <c r="V272" s="274"/>
      <c r="W272" s="37" t="s">
        <v>69</v>
      </c>
      <c r="X272" s="270">
        <f>IFERROR(SUM(X262:X271),"0")</f>
        <v>0</v>
      </c>
      <c r="Y272" s="270">
        <f>IFERROR(SUM(Y262:Y271),"0")</f>
        <v>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271"/>
      <c r="AB272" s="271"/>
      <c r="AC272" s="271"/>
    </row>
    <row r="273" spans="1:32" x14ac:dyDescent="0.2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87"/>
      <c r="P273" s="275" t="s">
        <v>72</v>
      </c>
      <c r="Q273" s="273"/>
      <c r="R273" s="273"/>
      <c r="S273" s="273"/>
      <c r="T273" s="273"/>
      <c r="U273" s="273"/>
      <c r="V273" s="274"/>
      <c r="W273" s="37" t="s">
        <v>73</v>
      </c>
      <c r="X273" s="270">
        <f>IFERROR(SUMPRODUCT(X262:X271*H262:H271),"0")</f>
        <v>0</v>
      </c>
      <c r="Y273" s="270">
        <f>IFERROR(SUMPRODUCT(Y262:Y271*H262:H271),"0")</f>
        <v>0</v>
      </c>
      <c r="Z273" s="37"/>
      <c r="AA273" s="271"/>
      <c r="AB273" s="271"/>
      <c r="AC273" s="271"/>
    </row>
    <row r="274" spans="1:32" ht="15" customHeight="1" x14ac:dyDescent="0.2">
      <c r="A274" s="330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331"/>
      <c r="P274" s="363" t="s">
        <v>367</v>
      </c>
      <c r="Q274" s="364"/>
      <c r="R274" s="364"/>
      <c r="S274" s="364"/>
      <c r="T274" s="364"/>
      <c r="U274" s="364"/>
      <c r="V274" s="297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4612.08</v>
      </c>
      <c r="Y274" s="270">
        <f>IFERROR(Y24+Y31+Y38+Y46+Y51+Y55+Y60+Y66+Y72+Y77+Y83+Y93+Y99+Y110+Y115+Y119+Y125+Y131+Y137+Y142+Y147+Y152+Y157+Y164+Y172+Y176+Y182+Y189+Y197+Y202+Y207+Y213+Y219+Y225+Y231+Y237+Y241+Y249+Y254+Y260+Y273,"0")</f>
        <v>4612.08</v>
      </c>
      <c r="Z274" s="37"/>
      <c r="AA274" s="271"/>
      <c r="AB274" s="271"/>
      <c r="AC274" s="271"/>
    </row>
    <row r="275" spans="1:32" x14ac:dyDescent="0.2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331"/>
      <c r="P275" s="363" t="s">
        <v>368</v>
      </c>
      <c r="Q275" s="364"/>
      <c r="R275" s="364"/>
      <c r="S275" s="364"/>
      <c r="T275" s="364"/>
      <c r="U275" s="364"/>
      <c r="V275" s="297"/>
      <c r="W275" s="37" t="s">
        <v>73</v>
      </c>
      <c r="X275" s="270">
        <f>IFERROR(SUM(BM22:BM271),"0")</f>
        <v>5341.3584000000001</v>
      </c>
      <c r="Y275" s="270">
        <f>IFERROR(SUM(BN22:BN271),"0")</f>
        <v>5341.3584000000001</v>
      </c>
      <c r="Z275" s="37"/>
      <c r="AA275" s="271"/>
      <c r="AB275" s="271"/>
      <c r="AC275" s="271"/>
    </row>
    <row r="276" spans="1:32" x14ac:dyDescent="0.2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331"/>
      <c r="P276" s="363" t="s">
        <v>369</v>
      </c>
      <c r="Q276" s="364"/>
      <c r="R276" s="364"/>
      <c r="S276" s="364"/>
      <c r="T276" s="364"/>
      <c r="U276" s="364"/>
      <c r="V276" s="297"/>
      <c r="W276" s="37" t="s">
        <v>370</v>
      </c>
      <c r="X276" s="38">
        <f>ROUNDUP(SUM(BO22:BO271),0)</f>
        <v>18</v>
      </c>
      <c r="Y276" s="38">
        <f>ROUNDUP(SUM(BP22:BP271),0)</f>
        <v>18</v>
      </c>
      <c r="Z276" s="37"/>
      <c r="AA276" s="271"/>
      <c r="AB276" s="271"/>
      <c r="AC276" s="271"/>
    </row>
    <row r="277" spans="1:32" x14ac:dyDescent="0.2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331"/>
      <c r="P277" s="363" t="s">
        <v>371</v>
      </c>
      <c r="Q277" s="364"/>
      <c r="R277" s="364"/>
      <c r="S277" s="364"/>
      <c r="T277" s="364"/>
      <c r="U277" s="364"/>
      <c r="V277" s="297"/>
      <c r="W277" s="37" t="s">
        <v>73</v>
      </c>
      <c r="X277" s="270">
        <f>GrossWeightTotal+PalletQtyTotal*25</f>
        <v>5791.3584000000001</v>
      </c>
      <c r="Y277" s="270">
        <f>GrossWeightTotalR+PalletQtyTotalR*25</f>
        <v>5791.3584000000001</v>
      </c>
      <c r="Z277" s="37"/>
      <c r="AA277" s="271"/>
      <c r="AB277" s="271"/>
      <c r="AC277" s="271"/>
    </row>
    <row r="278" spans="1:32" x14ac:dyDescent="0.2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331"/>
      <c r="P278" s="363" t="s">
        <v>372</v>
      </c>
      <c r="Q278" s="364"/>
      <c r="R278" s="364"/>
      <c r="S278" s="364"/>
      <c r="T278" s="364"/>
      <c r="U278" s="364"/>
      <c r="V278" s="297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1350</v>
      </c>
      <c r="Y278" s="270">
        <f>IFERROR(Y23+Y30+Y37+Y45+Y50+Y54+Y59+Y65+Y71+Y76+Y82+Y92+Y98+Y109+Y114+Y118+Y124+Y130+Y136+Y141+Y146+Y151+Y156+Y163+Y171+Y175+Y181+Y188+Y196+Y201+Y206+Y212+Y218+Y224+Y230+Y236+Y240+Y248+Y253+Y259+Y272,"0")</f>
        <v>1350</v>
      </c>
      <c r="Z278" s="37"/>
      <c r="AA278" s="271"/>
      <c r="AB278" s="271"/>
      <c r="AC278" s="271"/>
    </row>
    <row r="279" spans="1:32" ht="14.25" customHeight="1" x14ac:dyDescent="0.2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331"/>
      <c r="P279" s="363" t="s">
        <v>373</v>
      </c>
      <c r="Q279" s="364"/>
      <c r="R279" s="364"/>
      <c r="S279" s="364"/>
      <c r="T279" s="364"/>
      <c r="U279" s="364"/>
      <c r="V279" s="297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21.4682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93" t="s">
        <v>74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0" t="s">
        <v>232</v>
      </c>
      <c r="V281" s="260" t="s">
        <v>240</v>
      </c>
      <c r="W281" s="293" t="s">
        <v>259</v>
      </c>
      <c r="X281" s="306"/>
      <c r="Y281" s="306"/>
      <c r="Z281" s="306"/>
      <c r="AA281" s="307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456" t="s">
        <v>376</v>
      </c>
      <c r="B282" s="293" t="s">
        <v>62</v>
      </c>
      <c r="C282" s="293" t="s">
        <v>75</v>
      </c>
      <c r="D282" s="293" t="s">
        <v>86</v>
      </c>
      <c r="E282" s="293" t="s">
        <v>96</v>
      </c>
      <c r="F282" s="293" t="s">
        <v>107</v>
      </c>
      <c r="G282" s="293" t="s">
        <v>130</v>
      </c>
      <c r="H282" s="293" t="s">
        <v>137</v>
      </c>
      <c r="I282" s="293" t="s">
        <v>141</v>
      </c>
      <c r="J282" s="293" t="s">
        <v>149</v>
      </c>
      <c r="K282" s="293" t="s">
        <v>164</v>
      </c>
      <c r="L282" s="293" t="s">
        <v>170</v>
      </c>
      <c r="M282" s="293" t="s">
        <v>198</v>
      </c>
      <c r="N282" s="261"/>
      <c r="O282" s="293" t="s">
        <v>204</v>
      </c>
      <c r="P282" s="293" t="s">
        <v>211</v>
      </c>
      <c r="Q282" s="293" t="s">
        <v>216</v>
      </c>
      <c r="R282" s="293" t="s">
        <v>220</v>
      </c>
      <c r="S282" s="293" t="s">
        <v>223</v>
      </c>
      <c r="T282" s="293" t="s">
        <v>228</v>
      </c>
      <c r="U282" s="293" t="s">
        <v>233</v>
      </c>
      <c r="V282" s="293" t="s">
        <v>241</v>
      </c>
      <c r="W282" s="293" t="s">
        <v>260</v>
      </c>
      <c r="X282" s="293" t="s">
        <v>276</v>
      </c>
      <c r="Y282" s="293" t="s">
        <v>286</v>
      </c>
      <c r="Z282" s="293" t="s">
        <v>290</v>
      </c>
      <c r="AA282" s="293" t="s">
        <v>301</v>
      </c>
      <c r="AB282" s="293" t="s">
        <v>308</v>
      </c>
      <c r="AC282" s="293" t="s">
        <v>313</v>
      </c>
      <c r="AD282" s="293" t="s">
        <v>317</v>
      </c>
      <c r="AE282" s="293" t="s">
        <v>324</v>
      </c>
      <c r="AF282" s="261"/>
    </row>
    <row r="283" spans="1:32" ht="13.5" customHeight="1" thickBot="1" x14ac:dyDescent="0.25">
      <c r="A283" s="457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61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  <c r="AA283" s="294"/>
      <c r="AB283" s="294"/>
      <c r="AC283" s="294"/>
      <c r="AD283" s="294"/>
      <c r="AE283" s="294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168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252</v>
      </c>
      <c r="F284" s="46">
        <f>IFERROR(X49*H49,"0")+IFERROR(X53*H53,"0")+IFERROR(X57*H57,"0")+IFERROR(X58*H58,"0")+IFERROR(X62*H62,"0")+IFERROR(X63*H63,"0")+IFERROR(X64*H64,"0")</f>
        <v>41.28</v>
      </c>
      <c r="G284" s="46">
        <f>IFERROR(X69*H69,"0")+IFERROR(X70*H70,"0")</f>
        <v>0</v>
      </c>
      <c r="H284" s="46">
        <f>IFERROR(X75*H75,"0")</f>
        <v>151.20000000000002</v>
      </c>
      <c r="I284" s="46">
        <f>IFERROR(X80*H80,"0")+IFERROR(X81*H81,"0")</f>
        <v>655.20000000000005</v>
      </c>
      <c r="J284" s="46">
        <f>IFERROR(X86*H86,"0")+IFERROR(X87*H87,"0")+IFERROR(X88*H88,"0")+IFERROR(X89*H89,"0")+IFERROR(X90*H90,"0")+IFERROR(X91*H91,"0")</f>
        <v>524.16</v>
      </c>
      <c r="K284" s="46">
        <f>IFERROR(X96*H96,"0")+IFERROR(X97*H97,"0")</f>
        <v>181.44000000000003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745.92</v>
      </c>
      <c r="M284" s="46">
        <f>IFERROR(X122*H122,"0")+IFERROR(X123*H123,"0")</f>
        <v>420</v>
      </c>
      <c r="N284" s="261"/>
      <c r="O284" s="46">
        <f>IFERROR(X128*H128,"0")+IFERROR(X129*H129,"0")</f>
        <v>252</v>
      </c>
      <c r="P284" s="46">
        <f>IFERROR(X134*H134,"0")+IFERROR(X135*H135,"0")</f>
        <v>134.4</v>
      </c>
      <c r="Q284" s="46">
        <f>IFERROR(X140*H140,"0")</f>
        <v>84</v>
      </c>
      <c r="R284" s="46">
        <f>IFERROR(X145*H145,"0")</f>
        <v>0</v>
      </c>
      <c r="S284" s="46">
        <f>IFERROR(X150*H150,"0")</f>
        <v>38.400000000000006</v>
      </c>
      <c r="T284" s="46">
        <f>IFERROR(X155*H155,"0")</f>
        <v>141.12</v>
      </c>
      <c r="U284" s="46">
        <f>IFERROR(X161*H161,"0")+IFERROR(X162*H162,"0")</f>
        <v>0</v>
      </c>
      <c r="V284" s="46">
        <f>IFERROR(X168*H168,"0")+IFERROR(X169*H169,"0")+IFERROR(X170*H170,"0")+IFERROR(X174*H174,"0")</f>
        <v>126</v>
      </c>
      <c r="W284" s="46">
        <f>IFERROR(X180*H180,"0")+IFERROR(X184*H184,"0")+IFERROR(X185*H185,"0")+IFERROR(X186*H186,"0")+IFERROR(X187*H187,"0")</f>
        <v>36.96</v>
      </c>
      <c r="X284" s="46">
        <f>IFERROR(X192*H192,"0")+IFERROR(X193*H193,"0")+IFERROR(X194*H194,"0")+IFERROR(X195*H195,"0")</f>
        <v>0</v>
      </c>
      <c r="Y284" s="46">
        <f>IFERROR(X200*H200,"0")</f>
        <v>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660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1625.28</v>
      </c>
      <c r="B287" s="60">
        <f>SUMPRODUCT(--(BB:BB="ПГП"),--(W:W="кор"),H:H,Y:Y)+SUMPRODUCT(--(BB:BB="ПГП"),--(W:W="кг"),Y:Y)</f>
        <v>2986.8</v>
      </c>
      <c r="C287" s="60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D187:E187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51:E251"/>
    <mergeCell ref="A173:Z173"/>
    <mergeCell ref="P17:T18"/>
    <mergeCell ref="P129:T129"/>
    <mergeCell ref="P63:T63"/>
    <mergeCell ref="A148:Z148"/>
    <mergeCell ref="P194:T194"/>
    <mergeCell ref="A166:Z166"/>
    <mergeCell ref="D229:E229"/>
    <mergeCell ref="D108:E108"/>
    <mergeCell ref="A12:M12"/>
    <mergeCell ref="A19:Z19"/>
    <mergeCell ref="Q9:R9"/>
    <mergeCell ref="R282:R283"/>
    <mergeCell ref="A32:Z32"/>
    <mergeCell ref="P278:V278"/>
    <mergeCell ref="A37:O38"/>
    <mergeCell ref="A159:Z159"/>
    <mergeCell ref="Q11:R11"/>
    <mergeCell ref="P205:T205"/>
    <mergeCell ref="D264:E264"/>
    <mergeCell ref="S282:S283"/>
    <mergeCell ref="U282:U283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C17:C18"/>
    <mergeCell ref="D103:E103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72:V72"/>
    <mergeCell ref="P122:T122"/>
    <mergeCell ref="P43:T43"/>
    <mergeCell ref="P65:V65"/>
    <mergeCell ref="P136:V136"/>
    <mergeCell ref="A126:Z126"/>
    <mergeCell ref="A95:Z95"/>
    <mergeCell ref="A68:Z68"/>
    <mergeCell ref="P93:V93"/>
    <mergeCell ref="P164:V164"/>
    <mergeCell ref="D145:E145"/>
    <mergeCell ref="D210:E210"/>
    <mergeCell ref="D87:E87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5:C5"/>
    <mergeCell ref="P51:V51"/>
    <mergeCell ref="A17:A18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K17:K18"/>
    <mergeCell ref="P195:T195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D185:E185"/>
    <mergeCell ref="D41:E41"/>
    <mergeCell ref="A79:Z79"/>
    <mergeCell ref="A82:O83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107:T107"/>
    <mergeCell ref="D150:E150"/>
    <mergeCell ref="P50:V50"/>
    <mergeCell ref="A233:Z233"/>
    <mergeCell ref="P249:V249"/>
    <mergeCell ref="P172:V172"/>
    <mergeCell ref="A242:Z242"/>
    <mergeCell ref="A234:Z234"/>
    <mergeCell ref="A244:Z244"/>
    <mergeCell ref="A100:Z100"/>
    <mergeCell ref="A165:Z165"/>
    <mergeCell ref="P125:V125"/>
    <mergeCell ref="P192:T192"/>
    <mergeCell ref="P209:T209"/>
    <mergeCell ref="D174:E174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D269:E269"/>
    <mergeCell ref="P275:V275"/>
    <mergeCell ref="P270:T270"/>
    <mergeCell ref="D271:E271"/>
    <mergeCell ref="Z282:Z283"/>
    <mergeCell ref="B282:B283"/>
    <mergeCell ref="P268:T268"/>
    <mergeCell ref="P277:V277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V282:V283"/>
    <mergeCell ref="P62:T62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170:E170"/>
    <mergeCell ref="N17:N18"/>
    <mergeCell ref="D49:E49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D200:E200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D282:D283"/>
    <mergeCell ref="D262:E262"/>
    <mergeCell ref="A39:Z39"/>
    <mergeCell ref="D239:E239"/>
    <mergeCell ref="P174:T174"/>
    <mergeCell ref="D266:E266"/>
    <mergeCell ref="U17:V17"/>
    <mergeCell ref="Y17:Y18"/>
    <mergeCell ref="D57:E57"/>
    <mergeCell ref="J282:J283"/>
    <mergeCell ref="L282:L283"/>
    <mergeCell ref="A23:O24"/>
    <mergeCell ref="P64:T64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10:E10"/>
    <mergeCell ref="F10:G10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3 X117 X128 X134 X161 X174 X185 X192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12 X122 X129 X135 X140 X145 X150 X155 X162 X168:X170 X180 X184 X186:X187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3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2025-11-21T08:58:58Z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