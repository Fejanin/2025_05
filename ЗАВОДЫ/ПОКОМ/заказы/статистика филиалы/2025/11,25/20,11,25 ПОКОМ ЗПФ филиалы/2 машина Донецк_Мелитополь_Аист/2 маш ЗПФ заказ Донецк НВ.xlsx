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74830178-A3DA-41BA-A442-418F7E66B6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Z271" i="1" s="1"/>
  <c r="Y261" i="1"/>
  <c r="P261" i="1"/>
  <c r="X259" i="1"/>
  <c r="X258" i="1"/>
  <c r="BO257" i="1"/>
  <c r="BM257" i="1"/>
  <c r="Z257" i="1"/>
  <c r="Y257" i="1"/>
  <c r="P257" i="1"/>
  <c r="BP256" i="1"/>
  <c r="BO256" i="1"/>
  <c r="BN256" i="1"/>
  <c r="BM256" i="1"/>
  <c r="Z256" i="1"/>
  <c r="Z258" i="1" s="1"/>
  <c r="Y256" i="1"/>
  <c r="P256" i="1"/>
  <c r="BO255" i="1"/>
  <c r="BM255" i="1"/>
  <c r="Z255" i="1"/>
  <c r="Y255" i="1"/>
  <c r="P255" i="1"/>
  <c r="Y253" i="1"/>
  <c r="X253" i="1"/>
  <c r="Z252" i="1"/>
  <c r="X252" i="1"/>
  <c r="BO251" i="1"/>
  <c r="BM251" i="1"/>
  <c r="Z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BP244" i="1"/>
  <c r="BO244" i="1"/>
  <c r="BN244" i="1"/>
  <c r="BM244" i="1"/>
  <c r="Z244" i="1"/>
  <c r="Z247" i="1" s="1"/>
  <c r="Y244" i="1"/>
  <c r="Y248" i="1" s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Z217" i="1" s="1"/>
  <c r="Y215" i="1"/>
  <c r="P215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BO208" i="1"/>
  <c r="BM208" i="1"/>
  <c r="Z208" i="1"/>
  <c r="Y208" i="1"/>
  <c r="P208" i="1"/>
  <c r="Y206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Y196" i="1"/>
  <c r="X196" i="1"/>
  <c r="Z195" i="1"/>
  <c r="X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Y191" i="1"/>
  <c r="Y195" i="1" s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Z187" i="1" s="1"/>
  <c r="Y183" i="1"/>
  <c r="Y188" i="1" s="1"/>
  <c r="P183" i="1"/>
  <c r="X181" i="1"/>
  <c r="Y180" i="1"/>
  <c r="X180" i="1"/>
  <c r="BP179" i="1"/>
  <c r="BO179" i="1"/>
  <c r="BN179" i="1"/>
  <c r="BM179" i="1"/>
  <c r="Z179" i="1"/>
  <c r="Z180" i="1" s="1"/>
  <c r="Y179" i="1"/>
  <c r="Y181" i="1" s="1"/>
  <c r="P179" i="1"/>
  <c r="X175" i="1"/>
  <c r="Y174" i="1"/>
  <c r="X174" i="1"/>
  <c r="BP173" i="1"/>
  <c r="BO173" i="1"/>
  <c r="BN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P168" i="1"/>
  <c r="BO168" i="1"/>
  <c r="BN168" i="1"/>
  <c r="BM168" i="1"/>
  <c r="Z168" i="1"/>
  <c r="Z170" i="1" s="1"/>
  <c r="Y168" i="1"/>
  <c r="P168" i="1"/>
  <c r="BO167" i="1"/>
  <c r="BM167" i="1"/>
  <c r="Z167" i="1"/>
  <c r="Y167" i="1"/>
  <c r="P167" i="1"/>
  <c r="Y163" i="1"/>
  <c r="X163" i="1"/>
  <c r="Z162" i="1"/>
  <c r="X162" i="1"/>
  <c r="BO161" i="1"/>
  <c r="BM161" i="1"/>
  <c r="Z161" i="1"/>
  <c r="Y161" i="1"/>
  <c r="P161" i="1"/>
  <c r="BP160" i="1"/>
  <c r="BO160" i="1"/>
  <c r="BN160" i="1"/>
  <c r="BM160" i="1"/>
  <c r="Z160" i="1"/>
  <c r="Y160" i="1"/>
  <c r="Y162" i="1" s="1"/>
  <c r="P160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1" i="1"/>
  <c r="Y150" i="1"/>
  <c r="X150" i="1"/>
  <c r="BP149" i="1"/>
  <c r="BO149" i="1"/>
  <c r="BN149" i="1"/>
  <c r="BM149" i="1"/>
  <c r="Z149" i="1"/>
  <c r="Z150" i="1" s="1"/>
  <c r="Y149" i="1"/>
  <c r="Y151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X274" i="1" s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3" i="1" s="1"/>
  <c r="Y23" i="1"/>
  <c r="X23" i="1"/>
  <c r="X277" i="1" s="1"/>
  <c r="BP22" i="1"/>
  <c r="BO22" i="1"/>
  <c r="X275" i="1" s="1"/>
  <c r="BN22" i="1"/>
  <c r="BM22" i="1"/>
  <c r="Z22" i="1"/>
  <c r="Z23" i="1" s="1"/>
  <c r="Z278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6" i="1" l="1"/>
  <c r="Y31" i="1"/>
  <c r="Y273" i="1" s="1"/>
  <c r="Y38" i="1"/>
  <c r="Y45" i="1"/>
  <c r="Y277" i="1" s="1"/>
  <c r="Y60" i="1"/>
  <c r="Y66" i="1"/>
  <c r="Y71" i="1"/>
  <c r="Y83" i="1"/>
  <c r="Y92" i="1"/>
  <c r="Y99" i="1"/>
  <c r="Y110" i="1"/>
  <c r="Y114" i="1"/>
  <c r="Y118" i="1"/>
  <c r="Y123" i="1"/>
  <c r="Y130" i="1"/>
  <c r="Y136" i="1"/>
  <c r="BP133" i="1"/>
  <c r="Y170" i="1"/>
  <c r="BP167" i="1"/>
  <c r="BN167" i="1"/>
  <c r="BP169" i="1"/>
  <c r="BN169" i="1"/>
  <c r="Y200" i="1"/>
  <c r="BP199" i="1"/>
  <c r="BN199" i="1"/>
  <c r="Y211" i="1"/>
  <c r="BP208" i="1"/>
  <c r="BN208" i="1"/>
  <c r="BP210" i="1"/>
  <c r="BN210" i="1"/>
  <c r="Y258" i="1"/>
  <c r="BP255" i="1"/>
  <c r="BN255" i="1"/>
  <c r="BP257" i="1"/>
  <c r="BN257" i="1"/>
  <c r="H9" i="1"/>
  <c r="BN29" i="1"/>
  <c r="Y274" i="1" s="1"/>
  <c r="BN34" i="1"/>
  <c r="BP34" i="1"/>
  <c r="Y275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Y135" i="1"/>
  <c r="BP161" i="1"/>
  <c r="BN161" i="1"/>
  <c r="Y171" i="1"/>
  <c r="BP185" i="1"/>
  <c r="BN185" i="1"/>
  <c r="Y187" i="1"/>
  <c r="BP192" i="1"/>
  <c r="BN192" i="1"/>
  <c r="BP194" i="1"/>
  <c r="BN194" i="1"/>
  <c r="Y201" i="1"/>
  <c r="Y205" i="1"/>
  <c r="BP204" i="1"/>
  <c r="BN204" i="1"/>
  <c r="Y212" i="1"/>
  <c r="Y218" i="1"/>
  <c r="BP215" i="1"/>
  <c r="BN215" i="1"/>
  <c r="Y217" i="1"/>
  <c r="BP245" i="1"/>
  <c r="BN245" i="1"/>
  <c r="Y247" i="1"/>
  <c r="BP251" i="1"/>
  <c r="BN251" i="1"/>
  <c r="Y259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Y276" i="1" l="1"/>
  <c r="C286" i="1" s="1"/>
  <c r="A286" i="1"/>
  <c r="B286" i="1" l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<sst xmlns="http://schemas.openxmlformats.org/spreadsheetml/2006/main" count="1220" uniqueCount="393">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</sst>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topLeftCell="A268" zoomScaleNormal="100" zoomScaleSheetLayoutView="100" workbookViewId="0">
      <selection activeCell="AA279" sqref="AA279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19" t="s">
        <v>0</v>
      </c>
      <c r="E1" s="289"/>
      <c r="F1" s="289"/>
      <c r="G1" s="12" t="s">
        <v>1</v>
      </c>
      <c r="H1" s="319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6" t="s">
        <v>7</v>
      </c>
      <c r="B5" s="321"/>
      <c r="C5" s="322"/>
      <c r="D5" s="324"/>
      <c r="E5" s="325"/>
      <c r="F5" s="436" t="s">
        <v>8</v>
      </c>
      <c r="G5" s="322"/>
      <c r="H5" s="324"/>
      <c r="I5" s="404"/>
      <c r="J5" s="404"/>
      <c r="K5" s="404"/>
      <c r="L5" s="404"/>
      <c r="M5" s="325"/>
      <c r="N5" s="61"/>
      <c r="P5" s="24" t="s">
        <v>9</v>
      </c>
      <c r="Q5" s="442">
        <v>45985</v>
      </c>
      <c r="R5" s="345"/>
      <c r="T5" s="364" t="s">
        <v>10</v>
      </c>
      <c r="U5" s="293"/>
      <c r="V5" s="365" t="s">
        <v>11</v>
      </c>
      <c r="W5" s="345"/>
      <c r="AB5" s="51"/>
      <c r="AC5" s="51"/>
      <c r="AD5" s="51"/>
      <c r="AE5" s="51"/>
    </row>
    <row r="6" spans="1:32" s="263" customFormat="1" ht="24" customHeight="1" x14ac:dyDescent="0.2">
      <c r="A6" s="346" t="s">
        <v>12</v>
      </c>
      <c r="B6" s="321"/>
      <c r="C6" s="322"/>
      <c r="D6" s="405" t="s">
        <v>13</v>
      </c>
      <c r="E6" s="406"/>
      <c r="F6" s="406"/>
      <c r="G6" s="406"/>
      <c r="H6" s="406"/>
      <c r="I6" s="406"/>
      <c r="J6" s="406"/>
      <c r="K6" s="406"/>
      <c r="L6" s="406"/>
      <c r="M6" s="345"/>
      <c r="N6" s="62"/>
      <c r="P6" s="24" t="s">
        <v>14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68" t="s">
        <v>15</v>
      </c>
      <c r="U6" s="293"/>
      <c r="V6" s="391" t="s">
        <v>16</v>
      </c>
      <c r="W6" s="302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0"/>
      <c r="U7" s="293"/>
      <c r="V7" s="392"/>
      <c r="W7" s="393"/>
      <c r="AB7" s="51"/>
      <c r="AC7" s="51"/>
      <c r="AD7" s="51"/>
      <c r="AE7" s="51"/>
    </row>
    <row r="8" spans="1:32" s="263" customFormat="1" ht="25.5" customHeight="1" x14ac:dyDescent="0.2">
      <c r="A8" s="453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48">
        <v>0.41666666666666669</v>
      </c>
      <c r="R8" s="308"/>
      <c r="T8" s="280"/>
      <c r="U8" s="293"/>
      <c r="V8" s="392"/>
      <c r="W8" s="393"/>
      <c r="AB8" s="51"/>
      <c r="AC8" s="51"/>
      <c r="AD8" s="51"/>
      <c r="AE8" s="51"/>
    </row>
    <row r="9" spans="1:32" s="263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2"/>
      <c r="E9" s="275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4"/>
      <c r="P9" s="26" t="s">
        <v>20</v>
      </c>
      <c r="Q9" s="342"/>
      <c r="R9" s="343"/>
      <c r="T9" s="280"/>
      <c r="U9" s="293"/>
      <c r="V9" s="394"/>
      <c r="W9" s="395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2"/>
      <c r="E10" s="275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86" t="str">
        <f>IFERROR(VLOOKUP($D$10,Proxy,2,FALSE),"")</f>
        <v/>
      </c>
      <c r="I10" s="280"/>
      <c r="J10" s="280"/>
      <c r="K10" s="280"/>
      <c r="L10" s="280"/>
      <c r="M10" s="280"/>
      <c r="N10" s="262"/>
      <c r="P10" s="26" t="s">
        <v>21</v>
      </c>
      <c r="Q10" s="369"/>
      <c r="R10" s="370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411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63" t="s">
        <v>28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29</v>
      </c>
      <c r="Q12" s="348"/>
      <c r="R12" s="308"/>
      <c r="S12" s="23"/>
      <c r="U12" s="24"/>
      <c r="V12" s="289"/>
      <c r="W12" s="280"/>
      <c r="AB12" s="51"/>
      <c r="AC12" s="51"/>
      <c r="AD12" s="51"/>
      <c r="AE12" s="51"/>
    </row>
    <row r="13" spans="1:32" s="263" customFormat="1" ht="23.25" customHeight="1" x14ac:dyDescent="0.2">
      <c r="A13" s="363" t="s">
        <v>30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31</v>
      </c>
      <c r="Q13" s="411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63" t="s">
        <v>32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6" t="s">
        <v>33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7" t="s">
        <v>34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8"/>
      <c r="Q16" s="358"/>
      <c r="R16" s="358"/>
      <c r="S16" s="358"/>
      <c r="T16" s="3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5" t="s">
        <v>35</v>
      </c>
      <c r="B17" s="295" t="s">
        <v>36</v>
      </c>
      <c r="C17" s="351" t="s">
        <v>37</v>
      </c>
      <c r="D17" s="295" t="s">
        <v>38</v>
      </c>
      <c r="E17" s="335"/>
      <c r="F17" s="295" t="s">
        <v>39</v>
      </c>
      <c r="G17" s="295" t="s">
        <v>40</v>
      </c>
      <c r="H17" s="295" t="s">
        <v>41</v>
      </c>
      <c r="I17" s="295" t="s">
        <v>42</v>
      </c>
      <c r="J17" s="295" t="s">
        <v>43</v>
      </c>
      <c r="K17" s="295" t="s">
        <v>44</v>
      </c>
      <c r="L17" s="295" t="s">
        <v>45</v>
      </c>
      <c r="M17" s="295" t="s">
        <v>46</v>
      </c>
      <c r="N17" s="295" t="s">
        <v>47</v>
      </c>
      <c r="O17" s="295" t="s">
        <v>48</v>
      </c>
      <c r="P17" s="295" t="s">
        <v>49</v>
      </c>
      <c r="Q17" s="334"/>
      <c r="R17" s="334"/>
      <c r="S17" s="334"/>
      <c r="T17" s="335"/>
      <c r="U17" s="450" t="s">
        <v>50</v>
      </c>
      <c r="V17" s="322"/>
      <c r="W17" s="295" t="s">
        <v>51</v>
      </c>
      <c r="X17" s="295" t="s">
        <v>52</v>
      </c>
      <c r="Y17" s="451" t="s">
        <v>53</v>
      </c>
      <c r="Z17" s="402" t="s">
        <v>54</v>
      </c>
      <c r="AA17" s="387" t="s">
        <v>55</v>
      </c>
      <c r="AB17" s="387" t="s">
        <v>56</v>
      </c>
      <c r="AC17" s="387" t="s">
        <v>57</v>
      </c>
      <c r="AD17" s="387" t="s">
        <v>58</v>
      </c>
      <c r="AE17" s="431"/>
      <c r="AF17" s="432"/>
      <c r="AG17" s="69"/>
      <c r="BD17" s="68" t="s">
        <v>59</v>
      </c>
    </row>
    <row r="18" spans="1:68" ht="14.25" customHeight="1" x14ac:dyDescent="0.2">
      <c r="A18" s="296"/>
      <c r="B18" s="296"/>
      <c r="C18" s="296"/>
      <c r="D18" s="336"/>
      <c r="E18" s="338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6"/>
      <c r="X18" s="296"/>
      <c r="Y18" s="452"/>
      <c r="Z18" s="403"/>
      <c r="AA18" s="388"/>
      <c r="AB18" s="388"/>
      <c r="AC18" s="388"/>
      <c r="AD18" s="433"/>
      <c r="AE18" s="434"/>
      <c r="AF18" s="435"/>
      <c r="AG18" s="69"/>
      <c r="BD18" s="68"/>
    </row>
    <row r="19" spans="1:68" ht="27.75" customHeight="1" x14ac:dyDescent="0.2">
      <c r="A19" s="316" t="s">
        <v>62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48"/>
      <c r="AB19" s="48"/>
      <c r="AC19" s="48"/>
    </row>
    <row r="20" spans="1:68" ht="16.5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1"/>
      <c r="AB20" s="261"/>
      <c r="AC20" s="261"/>
    </row>
    <row r="21" spans="1:68" ht="14.25" customHeight="1" x14ac:dyDescent="0.25">
      <c r="A21" s="299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0"/>
      <c r="AB21" s="260"/>
      <c r="AC21" s="260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1"/>
      <c r="R22" s="271"/>
      <c r="S22" s="271"/>
      <c r="T22" s="272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5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6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6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customHeight="1" x14ac:dyDescent="0.2">
      <c r="A25" s="316" t="s">
        <v>74</v>
      </c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48"/>
      <c r="AB25" s="48"/>
      <c r="AC25" s="48"/>
    </row>
    <row r="26" spans="1:68" ht="16.5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1"/>
      <c r="AB26" s="261"/>
      <c r="AC26" s="261"/>
    </row>
    <row r="27" spans="1:68" ht="14.25" customHeight="1" x14ac:dyDescent="0.25">
      <c r="A27" s="299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1"/>
      <c r="R28" s="271"/>
      <c r="S28" s="271"/>
      <c r="T28" s="272"/>
      <c r="U28" s="34"/>
      <c r="V28" s="34"/>
      <c r="W28" s="35" t="s">
        <v>69</v>
      </c>
      <c r="X28" s="266">
        <v>28</v>
      </c>
      <c r="Y28" s="267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1"/>
      <c r="R29" s="271"/>
      <c r="S29" s="271"/>
      <c r="T29" s="272"/>
      <c r="U29" s="34"/>
      <c r="V29" s="34"/>
      <c r="W29" s="35" t="s">
        <v>69</v>
      </c>
      <c r="X29" s="266">
        <v>28</v>
      </c>
      <c r="Y29" s="267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5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6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68">
        <f>IFERROR(SUM(X28:X29),"0")</f>
        <v>56</v>
      </c>
      <c r="Y30" s="268">
        <f>IFERROR(SUM(Y28:Y29),"0")</f>
        <v>56</v>
      </c>
      <c r="Z30" s="268">
        <f>IFERROR(IF(Z28="",0,Z28),"0")+IFERROR(IF(Z29="",0,Z29),"0")</f>
        <v>0.52695999999999998</v>
      </c>
      <c r="AA30" s="269"/>
      <c r="AB30" s="269"/>
      <c r="AC30" s="269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6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68">
        <f>IFERROR(SUMPRODUCT(X28:X29*H28:H29),"0")</f>
        <v>84</v>
      </c>
      <c r="Y31" s="268">
        <f>IFERROR(SUMPRODUCT(Y28:Y29*H28:H29),"0")</f>
        <v>84</v>
      </c>
      <c r="Z31" s="37"/>
      <c r="AA31" s="269"/>
      <c r="AB31" s="269"/>
      <c r="AC31" s="269"/>
    </row>
    <row r="32" spans="1:68" ht="16.5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1"/>
      <c r="AB32" s="261"/>
      <c r="AC32" s="261"/>
    </row>
    <row r="33" spans="1:68" ht="14.25" customHeight="1" x14ac:dyDescent="0.25">
      <c r="A33" s="299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1"/>
      <c r="R34" s="271"/>
      <c r="S34" s="271"/>
      <c r="T34" s="272"/>
      <c r="U34" s="34"/>
      <c r="V34" s="34"/>
      <c r="W34" s="35" t="s">
        <v>69</v>
      </c>
      <c r="X34" s="266">
        <v>12</v>
      </c>
      <c r="Y34" s="267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1"/>
      <c r="R35" s="271"/>
      <c r="S35" s="271"/>
      <c r="T35" s="272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1"/>
      <c r="R36" s="271"/>
      <c r="S36" s="271"/>
      <c r="T36" s="272"/>
      <c r="U36" s="34"/>
      <c r="V36" s="34"/>
      <c r="W36" s="35" t="s">
        <v>69</v>
      </c>
      <c r="X36" s="266">
        <v>12</v>
      </c>
      <c r="Y36" s="267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5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6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68">
        <f>IFERROR(SUM(X34:X36),"0")</f>
        <v>36</v>
      </c>
      <c r="Y37" s="268">
        <f>IFERROR(SUM(Y34:Y36),"0")</f>
        <v>36</v>
      </c>
      <c r="Z37" s="268">
        <f>IFERROR(IF(Z34="",0,Z34),"0")+IFERROR(IF(Z35="",0,Z35),"0")+IFERROR(IF(Z36="",0,Z36),"0")</f>
        <v>0.55800000000000005</v>
      </c>
      <c r="AA37" s="269"/>
      <c r="AB37" s="269"/>
      <c r="AC37" s="269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6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68">
        <f>IFERROR(SUMPRODUCT(X34:X36*H34:H36),"0")</f>
        <v>201.59999999999997</v>
      </c>
      <c r="Y38" s="268">
        <f>IFERROR(SUMPRODUCT(Y34:Y36*H34:H36),"0")</f>
        <v>201.59999999999997</v>
      </c>
      <c r="Z38" s="37"/>
      <c r="AA38" s="269"/>
      <c r="AB38" s="269"/>
      <c r="AC38" s="269"/>
    </row>
    <row r="39" spans="1:68" ht="16.5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1"/>
      <c r="AB39" s="261"/>
      <c r="AC39" s="261"/>
    </row>
    <row r="40" spans="1:68" ht="14.25" customHeight="1" x14ac:dyDescent="0.25">
      <c r="A40" s="299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0"/>
      <c r="AB40" s="260"/>
      <c r="AC40" s="260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1"/>
      <c r="R41" s="271"/>
      <c r="S41" s="271"/>
      <c r="T41" s="272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1"/>
      <c r="R42" s="271"/>
      <c r="S42" s="271"/>
      <c r="T42" s="272"/>
      <c r="U42" s="34"/>
      <c r="V42" s="34"/>
      <c r="W42" s="35" t="s">
        <v>69</v>
      </c>
      <c r="X42" s="266">
        <v>12</v>
      </c>
      <c r="Y42" s="267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1"/>
      <c r="R43" s="271"/>
      <c r="S43" s="271"/>
      <c r="T43" s="272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1"/>
      <c r="R44" s="271"/>
      <c r="S44" s="271"/>
      <c r="T44" s="272"/>
      <c r="U44" s="34"/>
      <c r="V44" s="34"/>
      <c r="W44" s="35" t="s">
        <v>69</v>
      </c>
      <c r="X44" s="266">
        <v>0</v>
      </c>
      <c r="Y44" s="267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5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6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68">
        <f>IFERROR(SUM(X41:X44),"0")</f>
        <v>12</v>
      </c>
      <c r="Y45" s="268">
        <f>IFERROR(SUM(Y41:Y44),"0")</f>
        <v>12</v>
      </c>
      <c r="Z45" s="268">
        <f>IFERROR(IF(Z41="",0,Z41),"0")+IFERROR(IF(Z42="",0,Z42),"0")+IFERROR(IF(Z43="",0,Z43),"0")+IFERROR(IF(Z44="",0,Z44),"0")</f>
        <v>0.186</v>
      </c>
      <c r="AA45" s="269"/>
      <c r="AB45" s="269"/>
      <c r="AC45" s="269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6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68">
        <f>IFERROR(SUMPRODUCT(X41:X44*H41:H44),"0")</f>
        <v>84</v>
      </c>
      <c r="Y46" s="268">
        <f>IFERROR(SUMPRODUCT(Y41:Y44*H41:H44),"0")</f>
        <v>84</v>
      </c>
      <c r="Z46" s="37"/>
      <c r="AA46" s="269"/>
      <c r="AB46" s="269"/>
      <c r="AC46" s="269"/>
    </row>
    <row r="47" spans="1:68" ht="16.5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1"/>
      <c r="AB47" s="261"/>
      <c r="AC47" s="261"/>
    </row>
    <row r="48" spans="1:68" ht="14.25" customHeight="1" x14ac:dyDescent="0.25">
      <c r="A48" s="299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0"/>
      <c r="AB48" s="260"/>
      <c r="AC48" s="260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1"/>
      <c r="R49" s="271"/>
      <c r="S49" s="271"/>
      <c r="T49" s="272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5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6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6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customHeight="1" x14ac:dyDescent="0.25">
      <c r="A52" s="299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0"/>
      <c r="AB52" s="260"/>
      <c r="AC52" s="260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1"/>
      <c r="R53" s="271"/>
      <c r="S53" s="271"/>
      <c r="T53" s="272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5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6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6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customHeight="1" x14ac:dyDescent="0.25">
      <c r="A56" s="299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0"/>
      <c r="AB56" s="260"/>
      <c r="AC56" s="260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3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1"/>
      <c r="R57" s="271"/>
      <c r="S57" s="271"/>
      <c r="T57" s="272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1"/>
      <c r="R58" s="271"/>
      <c r="S58" s="271"/>
      <c r="T58" s="272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5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6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6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customHeight="1" x14ac:dyDescent="0.25">
      <c r="A61" s="299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0"/>
      <c r="AB61" s="260"/>
      <c r="AC61" s="260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1"/>
      <c r="R62" s="271"/>
      <c r="S62" s="271"/>
      <c r="T62" s="272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1"/>
      <c r="R63" s="271"/>
      <c r="S63" s="271"/>
      <c r="T63" s="272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5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6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6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1"/>
      <c r="AB67" s="261"/>
      <c r="AC67" s="261"/>
    </row>
    <row r="68" spans="1:68" ht="14.25" customHeight="1" x14ac:dyDescent="0.25">
      <c r="A68" s="299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0"/>
      <c r="AB68" s="260"/>
      <c r="AC68" s="260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1"/>
      <c r="R69" s="271"/>
      <c r="S69" s="271"/>
      <c r="T69" s="272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1"/>
      <c r="R70" s="271"/>
      <c r="S70" s="271"/>
      <c r="T70" s="272"/>
      <c r="U70" s="34"/>
      <c r="V70" s="34"/>
      <c r="W70" s="35" t="s">
        <v>69</v>
      </c>
      <c r="X70" s="266">
        <v>60</v>
      </c>
      <c r="Y70" s="267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5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6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68">
        <f>IFERROR(SUM(X69:X70),"0")</f>
        <v>60</v>
      </c>
      <c r="Y71" s="268">
        <f>IFERROR(SUM(Y69:Y70),"0")</f>
        <v>60</v>
      </c>
      <c r="Z71" s="268">
        <f>IFERROR(IF(Z69="",0,Z69),"0")+IFERROR(IF(Z70="",0,Z70),"0")</f>
        <v>0.51959999999999995</v>
      </c>
      <c r="AA71" s="269"/>
      <c r="AB71" s="269"/>
      <c r="AC71" s="269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6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68">
        <f>IFERROR(SUMPRODUCT(X69:X70*H69:H70),"0")</f>
        <v>300</v>
      </c>
      <c r="Y72" s="268">
        <f>IFERROR(SUMPRODUCT(Y69:Y70*H69:H70),"0")</f>
        <v>300</v>
      </c>
      <c r="Z72" s="37"/>
      <c r="AA72" s="269"/>
      <c r="AB72" s="269"/>
      <c r="AC72" s="269"/>
    </row>
    <row r="73" spans="1:68" ht="16.5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1"/>
      <c r="AB73" s="261"/>
      <c r="AC73" s="261"/>
    </row>
    <row r="74" spans="1:68" ht="14.25" customHeight="1" x14ac:dyDescent="0.25">
      <c r="A74" s="299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3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1"/>
      <c r="R75" s="271"/>
      <c r="S75" s="271"/>
      <c r="T75" s="272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5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6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6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1"/>
      <c r="AB78" s="261"/>
      <c r="AC78" s="261"/>
    </row>
    <row r="79" spans="1:68" ht="14.25" customHeight="1" x14ac:dyDescent="0.25">
      <c r="A79" s="299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1"/>
      <c r="R80" s="271"/>
      <c r="S80" s="271"/>
      <c r="T80" s="272"/>
      <c r="U80" s="34"/>
      <c r="V80" s="34"/>
      <c r="W80" s="35" t="s">
        <v>69</v>
      </c>
      <c r="X80" s="266">
        <v>70</v>
      </c>
      <c r="Y80" s="267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1"/>
      <c r="R81" s="271"/>
      <c r="S81" s="271"/>
      <c r="T81" s="272"/>
      <c r="U81" s="34"/>
      <c r="V81" s="34"/>
      <c r="W81" s="35" t="s">
        <v>69</v>
      </c>
      <c r="X81" s="266">
        <v>14</v>
      </c>
      <c r="Y81" s="267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5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6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68">
        <f>IFERROR(SUM(X80:X81),"0")</f>
        <v>84</v>
      </c>
      <c r="Y82" s="268">
        <f>IFERROR(SUM(Y80:Y81),"0")</f>
        <v>84</v>
      </c>
      <c r="Z82" s="268">
        <f>IFERROR(IF(Z80="",0,Z80),"0")+IFERROR(IF(Z81="",0,Z81),"0")</f>
        <v>1.5019200000000001</v>
      </c>
      <c r="AA82" s="269"/>
      <c r="AB82" s="269"/>
      <c r="AC82" s="269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6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68">
        <f>IFERROR(SUMPRODUCT(X80:X81*H80:H81),"0")</f>
        <v>302.39999999999998</v>
      </c>
      <c r="Y83" s="268">
        <f>IFERROR(SUMPRODUCT(Y80:Y81*H80:H81),"0")</f>
        <v>302.39999999999998</v>
      </c>
      <c r="Z83" s="37"/>
      <c r="AA83" s="269"/>
      <c r="AB83" s="269"/>
      <c r="AC83" s="269"/>
    </row>
    <row r="84" spans="1:68" ht="16.5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1"/>
      <c r="AB84" s="261"/>
      <c r="AC84" s="261"/>
    </row>
    <row r="85" spans="1:68" ht="14.25" customHeight="1" x14ac:dyDescent="0.25">
      <c r="A85" s="299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1"/>
      <c r="R86" s="271"/>
      <c r="S86" s="271"/>
      <c r="T86" s="272"/>
      <c r="U86" s="34"/>
      <c r="V86" s="34"/>
      <c r="W86" s="35" t="s">
        <v>69</v>
      </c>
      <c r="X86" s="266">
        <v>0</v>
      </c>
      <c r="Y86" s="267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1"/>
      <c r="R87" s="271"/>
      <c r="S87" s="271"/>
      <c r="T87" s="272"/>
      <c r="U87" s="34"/>
      <c r="V87" s="34"/>
      <c r="W87" s="35" t="s">
        <v>69</v>
      </c>
      <c r="X87" s="266">
        <v>28</v>
      </c>
      <c r="Y87" s="267">
        <f t="shared" si="0"/>
        <v>28</v>
      </c>
      <c r="Z87" s="36">
        <f t="shared" si="1"/>
        <v>0.50063999999999997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1"/>
      <c r="R88" s="271"/>
      <c r="S88" s="271"/>
      <c r="T88" s="272"/>
      <c r="U88" s="34"/>
      <c r="V88" s="34"/>
      <c r="W88" s="35" t="s">
        <v>69</v>
      </c>
      <c r="X88" s="266">
        <v>0</v>
      </c>
      <c r="Y88" s="267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1"/>
      <c r="R89" s="271"/>
      <c r="S89" s="271"/>
      <c r="T89" s="272"/>
      <c r="U89" s="34"/>
      <c r="V89" s="34"/>
      <c r="W89" s="35" t="s">
        <v>69</v>
      </c>
      <c r="X89" s="266">
        <v>0</v>
      </c>
      <c r="Y89" s="267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1"/>
      <c r="R90" s="271"/>
      <c r="S90" s="271"/>
      <c r="T90" s="272"/>
      <c r="U90" s="34"/>
      <c r="V90" s="34"/>
      <c r="W90" s="35" t="s">
        <v>69</v>
      </c>
      <c r="X90" s="266">
        <v>0</v>
      </c>
      <c r="Y90" s="267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1"/>
      <c r="R91" s="271"/>
      <c r="S91" s="271"/>
      <c r="T91" s="272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5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6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68">
        <f>IFERROR(SUM(X86:X91),"0")</f>
        <v>28</v>
      </c>
      <c r="Y92" s="268">
        <f>IFERROR(SUM(Y86:Y91),"0")</f>
        <v>28</v>
      </c>
      <c r="Z92" s="268">
        <f>IFERROR(IF(Z86="",0,Z86),"0")+IFERROR(IF(Z87="",0,Z87),"0")+IFERROR(IF(Z88="",0,Z88),"0")+IFERROR(IF(Z89="",0,Z89),"0")+IFERROR(IF(Z90="",0,Z90),"0")+IFERROR(IF(Z91="",0,Z91),"0")</f>
        <v>0.50063999999999997</v>
      </c>
      <c r="AA92" s="269"/>
      <c r="AB92" s="269"/>
      <c r="AC92" s="269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6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68">
        <f>IFERROR(SUMPRODUCT(X86:X91*H86:H91),"0")</f>
        <v>80.64</v>
      </c>
      <c r="Y93" s="268">
        <f>IFERROR(SUMPRODUCT(Y86:Y91*H86:H91),"0")</f>
        <v>80.64</v>
      </c>
      <c r="Z93" s="37"/>
      <c r="AA93" s="269"/>
      <c r="AB93" s="269"/>
      <c r="AC93" s="269"/>
    </row>
    <row r="94" spans="1:68" ht="16.5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1"/>
      <c r="AB94" s="261"/>
      <c r="AC94" s="261"/>
    </row>
    <row r="95" spans="1:68" ht="14.25" customHeight="1" x14ac:dyDescent="0.25">
      <c r="A95" s="299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0"/>
      <c r="AB95" s="260"/>
      <c r="AC95" s="260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1"/>
      <c r="R96" s="271"/>
      <c r="S96" s="271"/>
      <c r="T96" s="272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1"/>
      <c r="R97" s="271"/>
      <c r="S97" s="271"/>
      <c r="T97" s="272"/>
      <c r="U97" s="34"/>
      <c r="V97" s="34"/>
      <c r="W97" s="35" t="s">
        <v>69</v>
      </c>
      <c r="X97" s="266">
        <v>14</v>
      </c>
      <c r="Y97" s="267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5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6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68">
        <f>IFERROR(SUM(X96:X97),"0")</f>
        <v>14</v>
      </c>
      <c r="Y98" s="268">
        <f>IFERROR(SUM(Y96:Y97),"0")</f>
        <v>14</v>
      </c>
      <c r="Z98" s="268">
        <f>IFERROR(IF(Z96="",0,Z96),"0")+IFERROR(IF(Z97="",0,Z97),"0")</f>
        <v>0.25031999999999999</v>
      </c>
      <c r="AA98" s="269"/>
      <c r="AB98" s="269"/>
      <c r="AC98" s="269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6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68">
        <f>IFERROR(SUMPRODUCT(X96:X97*H96:H97),"0")</f>
        <v>50.4</v>
      </c>
      <c r="Y99" s="268">
        <f>IFERROR(SUMPRODUCT(Y96:Y97*H96:H97),"0")</f>
        <v>50.4</v>
      </c>
      <c r="Z99" s="37"/>
      <c r="AA99" s="269"/>
      <c r="AB99" s="269"/>
      <c r="AC99" s="269"/>
    </row>
    <row r="100" spans="1:68" ht="16.5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1"/>
      <c r="AB100" s="261"/>
      <c r="AC100" s="261"/>
    </row>
    <row r="101" spans="1:68" ht="14.25" customHeight="1" x14ac:dyDescent="0.25">
      <c r="A101" s="299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1"/>
      <c r="R102" s="271"/>
      <c r="S102" s="271"/>
      <c r="T102" s="272"/>
      <c r="U102" s="34"/>
      <c r="V102" s="34"/>
      <c r="W102" s="35" t="s">
        <v>69</v>
      </c>
      <c r="X102" s="266">
        <v>12</v>
      </c>
      <c r="Y102" s="267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1"/>
      <c r="R103" s="271"/>
      <c r="S103" s="271"/>
      <c r="T103" s="272"/>
      <c r="U103" s="34"/>
      <c r="V103" s="34"/>
      <c r="W103" s="35" t="s">
        <v>69</v>
      </c>
      <c r="X103" s="266">
        <v>0</v>
      </c>
      <c r="Y103" s="267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1"/>
      <c r="R104" s="271"/>
      <c r="S104" s="271"/>
      <c r="T104" s="272"/>
      <c r="U104" s="34"/>
      <c r="V104" s="34"/>
      <c r="W104" s="35" t="s">
        <v>69</v>
      </c>
      <c r="X104" s="266">
        <v>48</v>
      </c>
      <c r="Y104" s="267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1"/>
      <c r="R105" s="271"/>
      <c r="S105" s="271"/>
      <c r="T105" s="272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1"/>
      <c r="R106" s="271"/>
      <c r="S106" s="271"/>
      <c r="T106" s="272"/>
      <c r="U106" s="34"/>
      <c r="V106" s="34"/>
      <c r="W106" s="35" t="s">
        <v>69</v>
      </c>
      <c r="X106" s="266">
        <v>0</v>
      </c>
      <c r="Y106" s="267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1"/>
      <c r="R107" s="271"/>
      <c r="S107" s="271"/>
      <c r="T107" s="272"/>
      <c r="U107" s="34"/>
      <c r="V107" s="34"/>
      <c r="W107" s="35" t="s">
        <v>69</v>
      </c>
      <c r="X107" s="266">
        <v>72</v>
      </c>
      <c r="Y107" s="267">
        <f t="shared" si="6"/>
        <v>72</v>
      </c>
      <c r="Z107" s="36">
        <f t="shared" si="7"/>
        <v>1.1160000000000001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525.6</v>
      </c>
      <c r="BN107" s="67">
        <f t="shared" si="9"/>
        <v>525.6</v>
      </c>
      <c r="BO107" s="67">
        <f t="shared" si="10"/>
        <v>0.8571428571428571</v>
      </c>
      <c r="BP107" s="67">
        <f t="shared" si="11"/>
        <v>0.8571428571428571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8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1"/>
      <c r="R108" s="271"/>
      <c r="S108" s="271"/>
      <c r="T108" s="272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5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6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68">
        <f>IFERROR(SUM(X102:X108),"0")</f>
        <v>132</v>
      </c>
      <c r="Y109" s="268">
        <f>IFERROR(SUM(Y102:Y108),"0")</f>
        <v>132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2.0460000000000003</v>
      </c>
      <c r="AA109" s="269"/>
      <c r="AB109" s="269"/>
      <c r="AC109" s="269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6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68">
        <f>IFERROR(SUMPRODUCT(X102:X108*H102:H108),"0")</f>
        <v>924</v>
      </c>
      <c r="Y110" s="268">
        <f>IFERROR(SUMPRODUCT(Y102:Y108*H102:H108),"0")</f>
        <v>924</v>
      </c>
      <c r="Z110" s="37"/>
      <c r="AA110" s="269"/>
      <c r="AB110" s="269"/>
      <c r="AC110" s="269"/>
    </row>
    <row r="111" spans="1:68" ht="14.25" customHeight="1" x14ac:dyDescent="0.25">
      <c r="A111" s="299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0"/>
      <c r="AB111" s="260"/>
      <c r="AC111" s="260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1"/>
      <c r="R112" s="271"/>
      <c r="S112" s="271"/>
      <c r="T112" s="272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5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6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6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customHeight="1" x14ac:dyDescent="0.25">
      <c r="A115" s="299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0"/>
      <c r="AB115" s="260"/>
      <c r="AC115" s="260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1"/>
      <c r="R116" s="271"/>
      <c r="S116" s="271"/>
      <c r="T116" s="272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5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6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6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1"/>
      <c r="AB119" s="261"/>
      <c r="AC119" s="261"/>
    </row>
    <row r="120" spans="1:68" ht="14.25" customHeight="1" x14ac:dyDescent="0.25">
      <c r="A120" s="299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1"/>
      <c r="R121" s="271"/>
      <c r="S121" s="271"/>
      <c r="T121" s="272"/>
      <c r="U121" s="34"/>
      <c r="V121" s="34"/>
      <c r="W121" s="35" t="s">
        <v>69</v>
      </c>
      <c r="X121" s="266">
        <v>0</v>
      </c>
      <c r="Y121" s="267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1"/>
      <c r="R122" s="271"/>
      <c r="S122" s="271"/>
      <c r="T122" s="272"/>
      <c r="U122" s="34"/>
      <c r="V122" s="34"/>
      <c r="W122" s="35" t="s">
        <v>69</v>
      </c>
      <c r="X122" s="266">
        <v>56</v>
      </c>
      <c r="Y122" s="267">
        <f>IFERROR(IF(X122="","",X122),"")</f>
        <v>56</v>
      </c>
      <c r="Z122" s="36">
        <f>IFERROR(IF(X122="","",X122*0.01788),"")</f>
        <v>1.0012799999999999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207.40159999999997</v>
      </c>
      <c r="BN122" s="67">
        <f>IFERROR(Y122*I122,"0")</f>
        <v>207.40159999999997</v>
      </c>
      <c r="BO122" s="67">
        <f>IFERROR(X122/J122,"0")</f>
        <v>0.8</v>
      </c>
      <c r="BP122" s="67">
        <f>IFERROR(Y122/J122,"0")</f>
        <v>0.8</v>
      </c>
    </row>
    <row r="123" spans="1:68" x14ac:dyDescent="0.2">
      <c r="A123" s="285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6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68">
        <f>IFERROR(SUM(X121:X122),"0")</f>
        <v>56</v>
      </c>
      <c r="Y123" s="268">
        <f>IFERROR(SUM(Y121:Y122),"0")</f>
        <v>56</v>
      </c>
      <c r="Z123" s="268">
        <f>IFERROR(IF(Z121="",0,Z121),"0")+IFERROR(IF(Z122="",0,Z122),"0")</f>
        <v>1.0012799999999999</v>
      </c>
      <c r="AA123" s="269"/>
      <c r="AB123" s="269"/>
      <c r="AC123" s="269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6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68">
        <f>IFERROR(SUMPRODUCT(X121:X122*H121:H122),"0")</f>
        <v>168</v>
      </c>
      <c r="Y124" s="268">
        <f>IFERROR(SUMPRODUCT(Y121:Y122*H121:H122),"0")</f>
        <v>168</v>
      </c>
      <c r="Z124" s="37"/>
      <c r="AA124" s="269"/>
      <c r="AB124" s="269"/>
      <c r="AC124" s="269"/>
    </row>
    <row r="125" spans="1:68" ht="16.5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1"/>
      <c r="AB125" s="261"/>
      <c r="AC125" s="261"/>
    </row>
    <row r="126" spans="1:68" ht="14.25" customHeight="1" x14ac:dyDescent="0.25">
      <c r="A126" s="299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1"/>
      <c r="R127" s="271"/>
      <c r="S127" s="271"/>
      <c r="T127" s="272"/>
      <c r="U127" s="34"/>
      <c r="V127" s="34"/>
      <c r="W127" s="35" t="s">
        <v>69</v>
      </c>
      <c r="X127" s="266">
        <v>14</v>
      </c>
      <c r="Y127" s="267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1"/>
      <c r="R128" s="271"/>
      <c r="S128" s="271"/>
      <c r="T128" s="272"/>
      <c r="U128" s="34"/>
      <c r="V128" s="34"/>
      <c r="W128" s="35" t="s">
        <v>69</v>
      </c>
      <c r="X128" s="266">
        <v>42</v>
      </c>
      <c r="Y128" s="26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x14ac:dyDescent="0.2">
      <c r="A129" s="285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6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68">
        <f>IFERROR(SUM(X127:X128),"0")</f>
        <v>56</v>
      </c>
      <c r="Y129" s="268">
        <f>IFERROR(SUM(Y127:Y128),"0")</f>
        <v>56</v>
      </c>
      <c r="Z129" s="268">
        <f>IFERROR(IF(Z127="",0,Z127),"0")+IFERROR(IF(Z128="",0,Z128),"0")</f>
        <v>1.0012799999999999</v>
      </c>
      <c r="AA129" s="269"/>
      <c r="AB129" s="269"/>
      <c r="AC129" s="269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6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68">
        <f>IFERROR(SUMPRODUCT(X127:X128*H127:H128),"0")</f>
        <v>168</v>
      </c>
      <c r="Y130" s="268">
        <f>IFERROR(SUMPRODUCT(Y127:Y128*H127:H128),"0")</f>
        <v>168</v>
      </c>
      <c r="Z130" s="37"/>
      <c r="AA130" s="269"/>
      <c r="AB130" s="269"/>
      <c r="AC130" s="269"/>
    </row>
    <row r="131" spans="1:68" ht="16.5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1"/>
      <c r="AB131" s="261"/>
      <c r="AC131" s="261"/>
    </row>
    <row r="132" spans="1:68" ht="14.25" customHeight="1" x14ac:dyDescent="0.25">
      <c r="A132" s="299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1"/>
      <c r="R133" s="271"/>
      <c r="S133" s="271"/>
      <c r="T133" s="272"/>
      <c r="U133" s="34"/>
      <c r="V133" s="34"/>
      <c r="W133" s="35" t="s">
        <v>69</v>
      </c>
      <c r="X133" s="266">
        <v>28</v>
      </c>
      <c r="Y133" s="267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75.040000000000006</v>
      </c>
      <c r="BN133" s="67">
        <f>IFERROR(Y133*I133,"0")</f>
        <v>75.040000000000006</v>
      </c>
      <c r="BO133" s="67">
        <f>IFERROR(X133/J133,"0")</f>
        <v>0.4</v>
      </c>
      <c r="BP133" s="67">
        <f>IFERROR(Y133/J133,"0")</f>
        <v>0.4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1"/>
      <c r="R134" s="271"/>
      <c r="S134" s="271"/>
      <c r="T134" s="272"/>
      <c r="U134" s="34"/>
      <c r="V134" s="34"/>
      <c r="W134" s="35" t="s">
        <v>69</v>
      </c>
      <c r="X134" s="266">
        <v>42</v>
      </c>
      <c r="Y134" s="267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5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6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68">
        <f>IFERROR(SUM(X133:X134),"0")</f>
        <v>70</v>
      </c>
      <c r="Y135" s="268">
        <f>IFERROR(SUM(Y133:Y134),"0")</f>
        <v>70</v>
      </c>
      <c r="Z135" s="268">
        <f>IFERROR(IF(Z133="",0,Z133),"0")+IFERROR(IF(Z134="",0,Z134),"0")</f>
        <v>1.2515999999999998</v>
      </c>
      <c r="AA135" s="269"/>
      <c r="AB135" s="269"/>
      <c r="AC135" s="269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6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68">
        <f>IFERROR(SUMPRODUCT(X133:X134*H133:H134),"0")</f>
        <v>168</v>
      </c>
      <c r="Y136" s="268">
        <f>IFERROR(SUMPRODUCT(Y133:Y134*H133:H134),"0")</f>
        <v>168</v>
      </c>
      <c r="Z136" s="37"/>
      <c r="AA136" s="269"/>
      <c r="AB136" s="269"/>
      <c r="AC136" s="269"/>
    </row>
    <row r="137" spans="1:68" ht="16.5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1"/>
      <c r="AB137" s="261"/>
      <c r="AC137" s="261"/>
    </row>
    <row r="138" spans="1:68" ht="14.25" customHeight="1" x14ac:dyDescent="0.25">
      <c r="A138" s="299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5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6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6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1"/>
      <c r="AB142" s="261"/>
      <c r="AC142" s="261"/>
    </row>
    <row r="143" spans="1:68" ht="14.25" customHeight="1" x14ac:dyDescent="0.25">
      <c r="A143" s="299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0"/>
      <c r="AB143" s="260"/>
      <c r="AC143" s="260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1"/>
      <c r="R144" s="271"/>
      <c r="S144" s="271"/>
      <c r="T144" s="272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5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6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6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1"/>
      <c r="AB147" s="261"/>
      <c r="AC147" s="261"/>
    </row>
    <row r="148" spans="1:68" ht="14.25" customHeight="1" x14ac:dyDescent="0.25">
      <c r="A148" s="299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0"/>
      <c r="AB148" s="260"/>
      <c r="AC148" s="260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1"/>
      <c r="R149" s="271"/>
      <c r="S149" s="271"/>
      <c r="T149" s="272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5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6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6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1"/>
      <c r="AB152" s="261"/>
      <c r="AC152" s="261"/>
    </row>
    <row r="153" spans="1:68" ht="14.25" customHeight="1" x14ac:dyDescent="0.25">
      <c r="A153" s="299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1"/>
      <c r="R154" s="271"/>
      <c r="S154" s="271"/>
      <c r="T154" s="272"/>
      <c r="U154" s="34"/>
      <c r="V154" s="34"/>
      <c r="W154" s="35" t="s">
        <v>69</v>
      </c>
      <c r="X154" s="266">
        <v>42</v>
      </c>
      <c r="Y154" s="267">
        <f>IFERROR(IF(X154="","",X154),"")</f>
        <v>42</v>
      </c>
      <c r="Z154" s="36">
        <f>IFERROR(IF(X154="","",X154*0.00941),"")</f>
        <v>0.39522000000000002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88.275599999999997</v>
      </c>
      <c r="BN154" s="67">
        <f>IFERROR(Y154*I154,"0")</f>
        <v>88.275599999999997</v>
      </c>
      <c r="BO154" s="67">
        <f>IFERROR(X154/J154,"0")</f>
        <v>0.3</v>
      </c>
      <c r="BP154" s="67">
        <f>IFERROR(Y154/J154,"0")</f>
        <v>0.3</v>
      </c>
    </row>
    <row r="155" spans="1:68" x14ac:dyDescent="0.2">
      <c r="A155" s="285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6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68">
        <f>IFERROR(SUM(X154:X154),"0")</f>
        <v>42</v>
      </c>
      <c r="Y155" s="268">
        <f>IFERROR(SUM(Y154:Y154),"0")</f>
        <v>42</v>
      </c>
      <c r="Z155" s="268">
        <f>IFERROR(IF(Z154="",0,Z154),"0")</f>
        <v>0.39522000000000002</v>
      </c>
      <c r="AA155" s="269"/>
      <c r="AB155" s="269"/>
      <c r="AC155" s="269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6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68">
        <f>IFERROR(SUMPRODUCT(X154:X154*H154:H154),"0")</f>
        <v>70.56</v>
      </c>
      <c r="Y156" s="268">
        <f>IFERROR(SUMPRODUCT(Y154:Y154*H154:H154),"0")</f>
        <v>70.56</v>
      </c>
      <c r="Z156" s="37"/>
      <c r="AA156" s="269"/>
      <c r="AB156" s="269"/>
      <c r="AC156" s="269"/>
    </row>
    <row r="157" spans="1:68" ht="27.75" customHeight="1" x14ac:dyDescent="0.2">
      <c r="A157" s="316" t="s">
        <v>229</v>
      </c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48"/>
      <c r="AB157" s="48"/>
      <c r="AC157" s="48"/>
    </row>
    <row r="158" spans="1:68" ht="16.5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1"/>
      <c r="AB158" s="261"/>
      <c r="AC158" s="261"/>
    </row>
    <row r="159" spans="1:68" ht="14.25" customHeight="1" x14ac:dyDescent="0.25">
      <c r="A159" s="299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0"/>
      <c r="AB159" s="260"/>
      <c r="AC159" s="260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1"/>
      <c r="R160" s="271"/>
      <c r="S160" s="271"/>
      <c r="T160" s="272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1"/>
      <c r="R161" s="271"/>
      <c r="S161" s="271"/>
      <c r="T161" s="272"/>
      <c r="U161" s="34"/>
      <c r="V161" s="34"/>
      <c r="W161" s="35" t="s">
        <v>69</v>
      </c>
      <c r="X161" s="266">
        <v>12</v>
      </c>
      <c r="Y161" s="267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62.558399999999992</v>
      </c>
      <c r="BN161" s="67">
        <f>IFERROR(Y161*I161,"0")</f>
        <v>62.558399999999992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x14ac:dyDescent="0.2">
      <c r="A162" s="285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6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68">
        <f>IFERROR(SUM(X160:X161),"0")</f>
        <v>12</v>
      </c>
      <c r="Y162" s="268">
        <f>IFERROR(SUM(Y160:Y161),"0")</f>
        <v>12</v>
      </c>
      <c r="Z162" s="268">
        <f>IFERROR(IF(Z160="",0,Z160),"0")+IFERROR(IF(Z161="",0,Z161),"0")</f>
        <v>0.10391999999999998</v>
      </c>
      <c r="AA162" s="269"/>
      <c r="AB162" s="269"/>
      <c r="AC162" s="269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6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68">
        <f>IFERROR(SUMPRODUCT(X160:X161*H160:H161),"0")</f>
        <v>60</v>
      </c>
      <c r="Y163" s="268">
        <f>IFERROR(SUMPRODUCT(Y160:Y161*H160:H161),"0")</f>
        <v>60</v>
      </c>
      <c r="Z163" s="37"/>
      <c r="AA163" s="269"/>
      <c r="AB163" s="269"/>
      <c r="AC163" s="269"/>
    </row>
    <row r="164" spans="1:68" ht="27.75" customHeight="1" x14ac:dyDescent="0.2">
      <c r="A164" s="316" t="s">
        <v>237</v>
      </c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48"/>
      <c r="AB164" s="48"/>
      <c r="AC164" s="48"/>
    </row>
    <row r="165" spans="1:68" ht="16.5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1"/>
      <c r="AB165" s="261"/>
      <c r="AC165" s="261"/>
    </row>
    <row r="166" spans="1:68" ht="14.25" customHeight="1" x14ac:dyDescent="0.25">
      <c r="A166" s="299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1"/>
      <c r="R167" s="271"/>
      <c r="S167" s="271"/>
      <c r="T167" s="272"/>
      <c r="U167" s="34"/>
      <c r="V167" s="34"/>
      <c r="W167" s="35" t="s">
        <v>69</v>
      </c>
      <c r="X167" s="266">
        <v>42</v>
      </c>
      <c r="Y167" s="267">
        <f>IFERROR(IF(X167="","",X167),"")</f>
        <v>42</v>
      </c>
      <c r="Z167" s="36">
        <f>IFERROR(IF(X167="","",X167*0.01788),"")</f>
        <v>0.75095999999999996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142.29599999999999</v>
      </c>
      <c r="BN167" s="67">
        <f>IFERROR(Y167*I167,"0")</f>
        <v>142.29599999999999</v>
      </c>
      <c r="BO167" s="67">
        <f>IFERROR(X167/J167,"0")</f>
        <v>0.6</v>
      </c>
      <c r="BP167" s="67">
        <f>IFERROR(Y167/J167,"0")</f>
        <v>0.6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1"/>
      <c r="R168" s="271"/>
      <c r="S168" s="271"/>
      <c r="T168" s="272"/>
      <c r="U168" s="34"/>
      <c r="V168" s="34"/>
      <c r="W168" s="35" t="s">
        <v>69</v>
      </c>
      <c r="X168" s="266">
        <v>14</v>
      </c>
      <c r="Y168" s="267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1"/>
      <c r="R169" s="271"/>
      <c r="S169" s="271"/>
      <c r="T169" s="272"/>
      <c r="U169" s="34"/>
      <c r="V169" s="34"/>
      <c r="W169" s="35" t="s">
        <v>69</v>
      </c>
      <c r="X169" s="266">
        <v>14</v>
      </c>
      <c r="Y169" s="267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85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6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68">
        <f>IFERROR(SUM(X167:X169),"0")</f>
        <v>70</v>
      </c>
      <c r="Y170" s="268">
        <f>IFERROR(SUM(Y167:Y169),"0")</f>
        <v>70</v>
      </c>
      <c r="Z170" s="268">
        <f>IFERROR(IF(Z167="",0,Z167),"0")+IFERROR(IF(Z168="",0,Z168),"0")+IFERROR(IF(Z169="",0,Z169),"0")</f>
        <v>1.2515999999999998</v>
      </c>
      <c r="AA170" s="269"/>
      <c r="AB170" s="269"/>
      <c r="AC170" s="269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6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68">
        <f>IFERROR(SUMPRODUCT(X167:X169*H167:H169),"0")</f>
        <v>210</v>
      </c>
      <c r="Y171" s="268">
        <f>IFERROR(SUMPRODUCT(Y167:Y169*H167:H169),"0")</f>
        <v>210</v>
      </c>
      <c r="Z171" s="37"/>
      <c r="AA171" s="269"/>
      <c r="AB171" s="269"/>
      <c r="AC171" s="269"/>
    </row>
    <row r="172" spans="1:68" ht="14.25" customHeight="1" x14ac:dyDescent="0.25">
      <c r="A172" s="299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0"/>
      <c r="AB172" s="260"/>
      <c r="AC172" s="260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1"/>
      <c r="R173" s="271"/>
      <c r="S173" s="271"/>
      <c r="T173" s="272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5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6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6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customHeight="1" x14ac:dyDescent="0.2">
      <c r="A176" s="316" t="s">
        <v>256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48"/>
      <c r="AB176" s="48"/>
      <c r="AC176" s="48"/>
    </row>
    <row r="177" spans="1:68" ht="16.5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1"/>
      <c r="AB177" s="261"/>
      <c r="AC177" s="261"/>
    </row>
    <row r="178" spans="1:68" ht="14.25" customHeight="1" x14ac:dyDescent="0.25">
      <c r="A178" s="299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0"/>
      <c r="AB178" s="260"/>
      <c r="AC178" s="260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7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1"/>
      <c r="R179" s="271"/>
      <c r="S179" s="271"/>
      <c r="T179" s="272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5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6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6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customHeight="1" x14ac:dyDescent="0.25">
      <c r="A182" s="299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0"/>
      <c r="AB182" s="260"/>
      <c r="AC182" s="260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1"/>
      <c r="R183" s="271"/>
      <c r="S183" s="271"/>
      <c r="T183" s="272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71"/>
      <c r="R184" s="271"/>
      <c r="S184" s="271"/>
      <c r="T184" s="272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1"/>
      <c r="R185" s="271"/>
      <c r="S185" s="271"/>
      <c r="T185" s="272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3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1"/>
      <c r="R186" s="271"/>
      <c r="S186" s="271"/>
      <c r="T186" s="272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5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6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6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1"/>
      <c r="AB189" s="261"/>
      <c r="AC189" s="261"/>
    </row>
    <row r="190" spans="1:68" ht="14.25" customHeight="1" x14ac:dyDescent="0.25">
      <c r="A190" s="299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0"/>
      <c r="AB190" s="260"/>
      <c r="AC190" s="260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81">
        <v>4607111035103</v>
      </c>
      <c r="E191" s="282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1"/>
      <c r="R191" s="271"/>
      <c r="S191" s="271"/>
      <c r="T191" s="272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4301071109</v>
      </c>
      <c r="D192" s="281">
        <v>4607111035929</v>
      </c>
      <c r="E192" s="282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1"/>
      <c r="R192" s="271"/>
      <c r="S192" s="271"/>
      <c r="T192" s="272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4301071106</v>
      </c>
      <c r="D193" s="281">
        <v>4607111035882</v>
      </c>
      <c r="E193" s="282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1"/>
      <c r="R193" s="271"/>
      <c r="S193" s="271"/>
      <c r="T193" s="272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4301071105</v>
      </c>
      <c r="D194" s="281">
        <v>4607111035110</v>
      </c>
      <c r="E194" s="282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1"/>
      <c r="R194" s="271"/>
      <c r="S194" s="271"/>
      <c r="T194" s="272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6"/>
      <c r="P195" s="276" t="s">
        <v>72</v>
      </c>
      <c r="Q195" s="277"/>
      <c r="R195" s="277"/>
      <c r="S195" s="277"/>
      <c r="T195" s="277"/>
      <c r="U195" s="277"/>
      <c r="V195" s="278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x14ac:dyDescent="0.2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6"/>
      <c r="P196" s="276" t="s">
        <v>72</v>
      </c>
      <c r="Q196" s="277"/>
      <c r="R196" s="277"/>
      <c r="S196" s="277"/>
      <c r="T196" s="277"/>
      <c r="U196" s="277"/>
      <c r="V196" s="278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customHeight="1" x14ac:dyDescent="0.25">
      <c r="A197" s="279" t="s">
        <v>283</v>
      </c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61"/>
      <c r="AB197" s="261"/>
      <c r="AC197" s="261"/>
    </row>
    <row r="198" spans="1:68" ht="14.25" customHeight="1" x14ac:dyDescent="0.25">
      <c r="A198" s="299" t="s">
        <v>63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81">
        <v>4620207491096</v>
      </c>
      <c r="E199" s="282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1"/>
      <c r="R199" s="271"/>
      <c r="S199" s="271"/>
      <c r="T199" s="272"/>
      <c r="U199" s="34"/>
      <c r="V199" s="34"/>
      <c r="W199" s="35" t="s">
        <v>69</v>
      </c>
      <c r="X199" s="266">
        <v>72</v>
      </c>
      <c r="Y199" s="267">
        <f>IFERROR(IF(X199="","",X199),"")</f>
        <v>72</v>
      </c>
      <c r="Z199" s="36">
        <f>IFERROR(IF(X199="","",X199*0.0155),"")</f>
        <v>1.1160000000000001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376.56000000000006</v>
      </c>
      <c r="BN199" s="67">
        <f>IFERROR(Y199*I199,"0")</f>
        <v>376.56000000000006</v>
      </c>
      <c r="BO199" s="67">
        <f>IFERROR(X199/J199,"0")</f>
        <v>0.8571428571428571</v>
      </c>
      <c r="BP199" s="67">
        <f>IFERROR(Y199/J199,"0")</f>
        <v>0.8571428571428571</v>
      </c>
    </row>
    <row r="200" spans="1:68" x14ac:dyDescent="0.2">
      <c r="A200" s="285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6"/>
      <c r="P200" s="276" t="s">
        <v>72</v>
      </c>
      <c r="Q200" s="277"/>
      <c r="R200" s="277"/>
      <c r="S200" s="277"/>
      <c r="T200" s="277"/>
      <c r="U200" s="277"/>
      <c r="V200" s="278"/>
      <c r="W200" s="37" t="s">
        <v>69</v>
      </c>
      <c r="X200" s="268">
        <f>IFERROR(SUM(X199:X199),"0")</f>
        <v>72</v>
      </c>
      <c r="Y200" s="268">
        <f>IFERROR(SUM(Y199:Y199),"0")</f>
        <v>72</v>
      </c>
      <c r="Z200" s="268">
        <f>IFERROR(IF(Z199="",0,Z199),"0")</f>
        <v>1.1160000000000001</v>
      </c>
      <c r="AA200" s="269"/>
      <c r="AB200" s="269"/>
      <c r="AC200" s="269"/>
    </row>
    <row r="201" spans="1:68" x14ac:dyDescent="0.2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6"/>
      <c r="P201" s="276" t="s">
        <v>72</v>
      </c>
      <c r="Q201" s="277"/>
      <c r="R201" s="277"/>
      <c r="S201" s="277"/>
      <c r="T201" s="277"/>
      <c r="U201" s="277"/>
      <c r="V201" s="278"/>
      <c r="W201" s="37" t="s">
        <v>73</v>
      </c>
      <c r="X201" s="268">
        <f>IFERROR(SUMPRODUCT(X199:X199*H199:H199),"0")</f>
        <v>360</v>
      </c>
      <c r="Y201" s="268">
        <f>IFERROR(SUMPRODUCT(Y199:Y199*H199:H199),"0")</f>
        <v>360</v>
      </c>
      <c r="Z201" s="37"/>
      <c r="AA201" s="269"/>
      <c r="AB201" s="269"/>
      <c r="AC201" s="269"/>
    </row>
    <row r="202" spans="1:68" ht="16.5" customHeight="1" x14ac:dyDescent="0.25">
      <c r="A202" s="279" t="s">
        <v>287</v>
      </c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61"/>
      <c r="AB202" s="261"/>
      <c r="AC202" s="261"/>
    </row>
    <row r="203" spans="1:68" ht="14.25" customHeight="1" x14ac:dyDescent="0.25">
      <c r="A203" s="299" t="s">
        <v>63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0"/>
      <c r="AB203" s="260"/>
      <c r="AC203" s="260"/>
    </row>
    <row r="204" spans="1:68" ht="27" customHeight="1" x14ac:dyDescent="0.25">
      <c r="A204" s="54" t="s">
        <v>288</v>
      </c>
      <c r="B204" s="54" t="s">
        <v>289</v>
      </c>
      <c r="C204" s="31">
        <v>4301071093</v>
      </c>
      <c r="D204" s="281">
        <v>4620207490709</v>
      </c>
      <c r="E204" s="282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7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1"/>
      <c r="R204" s="271"/>
      <c r="S204" s="271"/>
      <c r="T204" s="272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5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6"/>
      <c r="P205" s="276" t="s">
        <v>72</v>
      </c>
      <c r="Q205" s="277"/>
      <c r="R205" s="277"/>
      <c r="S205" s="277"/>
      <c r="T205" s="277"/>
      <c r="U205" s="277"/>
      <c r="V205" s="278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x14ac:dyDescent="0.2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6"/>
      <c r="P206" s="276" t="s">
        <v>72</v>
      </c>
      <c r="Q206" s="277"/>
      <c r="R206" s="277"/>
      <c r="S206" s="277"/>
      <c r="T206" s="277"/>
      <c r="U206" s="277"/>
      <c r="V206" s="278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customHeight="1" x14ac:dyDescent="0.25">
      <c r="A207" s="299" t="s">
        <v>120</v>
      </c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60"/>
      <c r="AB207" s="260"/>
      <c r="AC207" s="260"/>
    </row>
    <row r="208" spans="1:68" ht="27" customHeight="1" x14ac:dyDescent="0.25">
      <c r="A208" s="54" t="s">
        <v>291</v>
      </c>
      <c r="B208" s="54" t="s">
        <v>292</v>
      </c>
      <c r="C208" s="31">
        <v>4301135692</v>
      </c>
      <c r="D208" s="281">
        <v>4620207490570</v>
      </c>
      <c r="E208" s="282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5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1"/>
      <c r="R208" s="271"/>
      <c r="S208" s="271"/>
      <c r="T208" s="272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294</v>
      </c>
      <c r="B209" s="54" t="s">
        <v>295</v>
      </c>
      <c r="C209" s="31">
        <v>4301135691</v>
      </c>
      <c r="D209" s="281">
        <v>4620207490549</v>
      </c>
      <c r="E209" s="282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4301135694</v>
      </c>
      <c r="D210" s="281">
        <v>4620207490501</v>
      </c>
      <c r="E210" s="282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5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6"/>
      <c r="P211" s="276" t="s">
        <v>72</v>
      </c>
      <c r="Q211" s="277"/>
      <c r="R211" s="277"/>
      <c r="S211" s="277"/>
      <c r="T211" s="277"/>
      <c r="U211" s="277"/>
      <c r="V211" s="278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x14ac:dyDescent="0.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6"/>
      <c r="P212" s="276" t="s">
        <v>72</v>
      </c>
      <c r="Q212" s="277"/>
      <c r="R212" s="277"/>
      <c r="S212" s="277"/>
      <c r="T212" s="277"/>
      <c r="U212" s="277"/>
      <c r="V212" s="278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customHeight="1" x14ac:dyDescent="0.25">
      <c r="A213" s="279" t="s">
        <v>298</v>
      </c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61"/>
      <c r="AB213" s="261"/>
      <c r="AC213" s="261"/>
    </row>
    <row r="214" spans="1:68" ht="14.25" customHeight="1" x14ac:dyDescent="0.25">
      <c r="A214" s="299" t="s">
        <v>63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0"/>
      <c r="AB214" s="260"/>
      <c r="AC214" s="260"/>
    </row>
    <row r="215" spans="1:68" ht="16.5" customHeight="1" x14ac:dyDescent="0.25">
      <c r="A215" s="54" t="s">
        <v>299</v>
      </c>
      <c r="B215" s="54" t="s">
        <v>300</v>
      </c>
      <c r="C215" s="31">
        <v>4301071099</v>
      </c>
      <c r="D215" s="281">
        <v>4607111039019</v>
      </c>
      <c r="E215" s="282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1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1"/>
      <c r="R215" s="271"/>
      <c r="S215" s="271"/>
      <c r="T215" s="272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customHeight="1" x14ac:dyDescent="0.25">
      <c r="A216" s="54" t="s">
        <v>302</v>
      </c>
      <c r="B216" s="54" t="s">
        <v>303</v>
      </c>
      <c r="C216" s="31">
        <v>4301071100</v>
      </c>
      <c r="D216" s="281">
        <v>4607111038708</v>
      </c>
      <c r="E216" s="282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1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1"/>
      <c r="R216" s="271"/>
      <c r="S216" s="271"/>
      <c r="T216" s="272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5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6"/>
      <c r="P217" s="276" t="s">
        <v>72</v>
      </c>
      <c r="Q217" s="277"/>
      <c r="R217" s="277"/>
      <c r="S217" s="277"/>
      <c r="T217" s="277"/>
      <c r="U217" s="277"/>
      <c r="V217" s="278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x14ac:dyDescent="0.2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6"/>
      <c r="P218" s="276" t="s">
        <v>72</v>
      </c>
      <c r="Q218" s="277"/>
      <c r="R218" s="277"/>
      <c r="S218" s="277"/>
      <c r="T218" s="277"/>
      <c r="U218" s="277"/>
      <c r="V218" s="278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customHeight="1" x14ac:dyDescent="0.2">
      <c r="A219" s="316" t="s">
        <v>304</v>
      </c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48"/>
      <c r="AB219" s="48"/>
      <c r="AC219" s="48"/>
    </row>
    <row r="220" spans="1:68" ht="16.5" customHeight="1" x14ac:dyDescent="0.25">
      <c r="A220" s="279" t="s">
        <v>305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61"/>
      <c r="AB220" s="261"/>
      <c r="AC220" s="261"/>
    </row>
    <row r="221" spans="1:68" ht="14.25" customHeight="1" x14ac:dyDescent="0.25">
      <c r="A221" s="299" t="s">
        <v>63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0"/>
      <c r="AB221" s="260"/>
      <c r="AC221" s="260"/>
    </row>
    <row r="222" spans="1:68" ht="27" customHeight="1" x14ac:dyDescent="0.25">
      <c r="A222" s="54" t="s">
        <v>306</v>
      </c>
      <c r="B222" s="54" t="s">
        <v>307</v>
      </c>
      <c r="C222" s="31">
        <v>4301071036</v>
      </c>
      <c r="D222" s="281">
        <v>4607111036162</v>
      </c>
      <c r="E222" s="282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1"/>
      <c r="R222" s="271"/>
      <c r="S222" s="271"/>
      <c r="T222" s="272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5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6"/>
      <c r="P223" s="276" t="s">
        <v>72</v>
      </c>
      <c r="Q223" s="277"/>
      <c r="R223" s="277"/>
      <c r="S223" s="277"/>
      <c r="T223" s="277"/>
      <c r="U223" s="277"/>
      <c r="V223" s="278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x14ac:dyDescent="0.2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6"/>
      <c r="P224" s="276" t="s">
        <v>72</v>
      </c>
      <c r="Q224" s="277"/>
      <c r="R224" s="277"/>
      <c r="S224" s="277"/>
      <c r="T224" s="277"/>
      <c r="U224" s="277"/>
      <c r="V224" s="278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customHeight="1" x14ac:dyDescent="0.2">
      <c r="A225" s="316" t="s">
        <v>309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48"/>
      <c r="AB225" s="48"/>
      <c r="AC225" s="48"/>
    </row>
    <row r="226" spans="1:68" ht="16.5" customHeight="1" x14ac:dyDescent="0.25">
      <c r="A226" s="279" t="s">
        <v>310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61"/>
      <c r="AB226" s="261"/>
      <c r="AC226" s="261"/>
    </row>
    <row r="227" spans="1:68" ht="14.25" customHeight="1" x14ac:dyDescent="0.25">
      <c r="A227" s="299" t="s">
        <v>63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0"/>
      <c r="AB227" s="260"/>
      <c r="AC227" s="260"/>
    </row>
    <row r="228" spans="1:68" ht="27" customHeight="1" x14ac:dyDescent="0.25">
      <c r="A228" s="54" t="s">
        <v>311</v>
      </c>
      <c r="B228" s="54" t="s">
        <v>312</v>
      </c>
      <c r="C228" s="31">
        <v>4301071029</v>
      </c>
      <c r="D228" s="281">
        <v>4607111035899</v>
      </c>
      <c r="E228" s="282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4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1"/>
      <c r="R228" s="271"/>
      <c r="S228" s="271"/>
      <c r="T228" s="272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5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6"/>
      <c r="P229" s="276" t="s">
        <v>72</v>
      </c>
      <c r="Q229" s="277"/>
      <c r="R229" s="277"/>
      <c r="S229" s="277"/>
      <c r="T229" s="277"/>
      <c r="U229" s="277"/>
      <c r="V229" s="278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x14ac:dyDescent="0.2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6"/>
      <c r="P230" s="276" t="s">
        <v>72</v>
      </c>
      <c r="Q230" s="277"/>
      <c r="R230" s="277"/>
      <c r="S230" s="277"/>
      <c r="T230" s="277"/>
      <c r="U230" s="277"/>
      <c r="V230" s="278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customHeight="1" x14ac:dyDescent="0.2">
      <c r="A231" s="316" t="s">
        <v>313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48"/>
      <c r="AB231" s="48"/>
      <c r="AC231" s="48"/>
    </row>
    <row r="232" spans="1:68" ht="16.5" customHeight="1" x14ac:dyDescent="0.25">
      <c r="A232" s="279" t="s">
        <v>314</v>
      </c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61"/>
      <c r="AB232" s="261"/>
      <c r="AC232" s="261"/>
    </row>
    <row r="233" spans="1:68" ht="14.25" customHeight="1" x14ac:dyDescent="0.25">
      <c r="A233" s="299" t="s">
        <v>315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0"/>
      <c r="AB233" s="260"/>
      <c r="AC233" s="260"/>
    </row>
    <row r="234" spans="1:68" ht="27" customHeight="1" x14ac:dyDescent="0.25">
      <c r="A234" s="54" t="s">
        <v>316</v>
      </c>
      <c r="B234" s="54" t="s">
        <v>317</v>
      </c>
      <c r="C234" s="31">
        <v>4301133004</v>
      </c>
      <c r="D234" s="281">
        <v>4607111039774</v>
      </c>
      <c r="E234" s="282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0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1"/>
      <c r="R234" s="271"/>
      <c r="S234" s="271"/>
      <c r="T234" s="272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5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6"/>
      <c r="P235" s="276" t="s">
        <v>72</v>
      </c>
      <c r="Q235" s="277"/>
      <c r="R235" s="277"/>
      <c r="S235" s="277"/>
      <c r="T235" s="277"/>
      <c r="U235" s="277"/>
      <c r="V235" s="278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x14ac:dyDescent="0.2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6"/>
      <c r="P236" s="276" t="s">
        <v>72</v>
      </c>
      <c r="Q236" s="277"/>
      <c r="R236" s="277"/>
      <c r="S236" s="277"/>
      <c r="T236" s="277"/>
      <c r="U236" s="277"/>
      <c r="V236" s="278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customHeight="1" x14ac:dyDescent="0.25">
      <c r="A237" s="299" t="s">
        <v>120</v>
      </c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60"/>
      <c r="AB237" s="260"/>
      <c r="AC237" s="260"/>
    </row>
    <row r="238" spans="1:68" ht="37.5" customHeight="1" x14ac:dyDescent="0.25">
      <c r="A238" s="54" t="s">
        <v>319</v>
      </c>
      <c r="B238" s="54" t="s">
        <v>320</v>
      </c>
      <c r="C238" s="31">
        <v>4301135400</v>
      </c>
      <c r="D238" s="281">
        <v>4607111039361</v>
      </c>
      <c r="E238" s="282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7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1"/>
      <c r="R238" s="271"/>
      <c r="S238" s="271"/>
      <c r="T238" s="272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85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6"/>
      <c r="P239" s="276" t="s">
        <v>72</v>
      </c>
      <c r="Q239" s="277"/>
      <c r="R239" s="277"/>
      <c r="S239" s="277"/>
      <c r="T239" s="277"/>
      <c r="U239" s="277"/>
      <c r="V239" s="278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x14ac:dyDescent="0.2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6"/>
      <c r="P240" s="276" t="s">
        <v>72</v>
      </c>
      <c r="Q240" s="277"/>
      <c r="R240" s="277"/>
      <c r="S240" s="277"/>
      <c r="T240" s="277"/>
      <c r="U240" s="277"/>
      <c r="V240" s="278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customHeight="1" x14ac:dyDescent="0.2">
      <c r="A241" s="316" t="s">
        <v>321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48"/>
      <c r="AB241" s="48"/>
      <c r="AC241" s="48"/>
    </row>
    <row r="242" spans="1:68" ht="16.5" customHeight="1" x14ac:dyDescent="0.25">
      <c r="A242" s="279" t="s">
        <v>321</v>
      </c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61"/>
      <c r="AB242" s="261"/>
      <c r="AC242" s="261"/>
    </row>
    <row r="243" spans="1:68" ht="14.25" customHeight="1" x14ac:dyDescent="0.25">
      <c r="A243" s="299" t="s">
        <v>63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0"/>
      <c r="AB243" s="260"/>
      <c r="AC243" s="260"/>
    </row>
    <row r="244" spans="1:68" ht="27" customHeight="1" x14ac:dyDescent="0.25">
      <c r="A244" s="54" t="s">
        <v>322</v>
      </c>
      <c r="B244" s="54" t="s">
        <v>323</v>
      </c>
      <c r="C244" s="31">
        <v>4301071014</v>
      </c>
      <c r="D244" s="281">
        <v>4640242181264</v>
      </c>
      <c r="E244" s="282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1"/>
      <c r="R244" s="271"/>
      <c r="S244" s="271"/>
      <c r="T244" s="272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325</v>
      </c>
      <c r="B245" s="54" t="s">
        <v>326</v>
      </c>
      <c r="C245" s="31">
        <v>4301071021</v>
      </c>
      <c r="D245" s="281">
        <v>4640242181325</v>
      </c>
      <c r="E245" s="282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1"/>
      <c r="R245" s="271"/>
      <c r="S245" s="271"/>
      <c r="T245" s="272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4301070993</v>
      </c>
      <c r="D246" s="281">
        <v>4640242180670</v>
      </c>
      <c r="E246" s="282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1"/>
      <c r="R246" s="271"/>
      <c r="S246" s="271"/>
      <c r="T246" s="272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5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6"/>
      <c r="P247" s="276" t="s">
        <v>72</v>
      </c>
      <c r="Q247" s="277"/>
      <c r="R247" s="277"/>
      <c r="S247" s="277"/>
      <c r="T247" s="277"/>
      <c r="U247" s="277"/>
      <c r="V247" s="278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x14ac:dyDescent="0.2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6"/>
      <c r="P248" s="276" t="s">
        <v>72</v>
      </c>
      <c r="Q248" s="277"/>
      <c r="R248" s="277"/>
      <c r="S248" s="277"/>
      <c r="T248" s="277"/>
      <c r="U248" s="277"/>
      <c r="V248" s="278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customHeight="1" x14ac:dyDescent="0.25">
      <c r="A249" s="299" t="s">
        <v>76</v>
      </c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1">
        <v>4640242180397</v>
      </c>
      <c r="E250" s="282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1"/>
      <c r="R250" s="271"/>
      <c r="S250" s="271"/>
      <c r="T250" s="272"/>
      <c r="U250" s="34"/>
      <c r="V250" s="34"/>
      <c r="W250" s="35" t="s">
        <v>69</v>
      </c>
      <c r="X250" s="266">
        <v>12</v>
      </c>
      <c r="Y250" s="267">
        <f>IFERROR(IF(X250="","",X250),"")</f>
        <v>12</v>
      </c>
      <c r="Z250" s="36">
        <f>IFERROR(IF(X250="","",X250*0.0155),"")</f>
        <v>0.186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75.12</v>
      </c>
      <c r="BN250" s="67">
        <f>IFERROR(Y250*I250,"0")</f>
        <v>75.12</v>
      </c>
      <c r="BO250" s="67">
        <f>IFERROR(X250/J250,"0")</f>
        <v>0.14285714285714285</v>
      </c>
      <c r="BP250" s="67">
        <f>IFERROR(Y250/J250,"0")</f>
        <v>0.14285714285714285</v>
      </c>
    </row>
    <row r="251" spans="1:68" ht="27" customHeight="1" x14ac:dyDescent="0.25">
      <c r="A251" s="54" t="s">
        <v>333</v>
      </c>
      <c r="B251" s="54" t="s">
        <v>334</v>
      </c>
      <c r="C251" s="31">
        <v>4301132104</v>
      </c>
      <c r="D251" s="281">
        <v>4640242181219</v>
      </c>
      <c r="E251" s="282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39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1"/>
      <c r="R251" s="271"/>
      <c r="S251" s="271"/>
      <c r="T251" s="272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5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6"/>
      <c r="P252" s="276" t="s">
        <v>72</v>
      </c>
      <c r="Q252" s="277"/>
      <c r="R252" s="277"/>
      <c r="S252" s="277"/>
      <c r="T252" s="277"/>
      <c r="U252" s="277"/>
      <c r="V252" s="278"/>
      <c r="W252" s="37" t="s">
        <v>69</v>
      </c>
      <c r="X252" s="268">
        <f>IFERROR(SUM(X250:X251),"0")</f>
        <v>12</v>
      </c>
      <c r="Y252" s="268">
        <f>IFERROR(SUM(Y250:Y251),"0")</f>
        <v>12</v>
      </c>
      <c r="Z252" s="268">
        <f>IFERROR(IF(Z250="",0,Z250),"0")+IFERROR(IF(Z251="",0,Z251),"0")</f>
        <v>0.186</v>
      </c>
      <c r="AA252" s="269"/>
      <c r="AB252" s="269"/>
      <c r="AC252" s="269"/>
    </row>
    <row r="253" spans="1:68" x14ac:dyDescent="0.2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6"/>
      <c r="P253" s="276" t="s">
        <v>72</v>
      </c>
      <c r="Q253" s="277"/>
      <c r="R253" s="277"/>
      <c r="S253" s="277"/>
      <c r="T253" s="277"/>
      <c r="U253" s="277"/>
      <c r="V253" s="278"/>
      <c r="W253" s="37" t="s">
        <v>73</v>
      </c>
      <c r="X253" s="268">
        <f>IFERROR(SUMPRODUCT(X250:X251*H250:H251),"0")</f>
        <v>72</v>
      </c>
      <c r="Y253" s="268">
        <f>IFERROR(SUMPRODUCT(Y250:Y251*H250:H251),"0")</f>
        <v>72</v>
      </c>
      <c r="Z253" s="37"/>
      <c r="AA253" s="269"/>
      <c r="AB253" s="269"/>
      <c r="AC253" s="269"/>
    </row>
    <row r="254" spans="1:68" ht="14.25" customHeight="1" x14ac:dyDescent="0.25">
      <c r="A254" s="299" t="s">
        <v>114</v>
      </c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60"/>
      <c r="AB254" s="260"/>
      <c r="AC254" s="260"/>
    </row>
    <row r="255" spans="1:68" ht="27" customHeight="1" x14ac:dyDescent="0.25">
      <c r="A255" s="54" t="s">
        <v>335</v>
      </c>
      <c r="B255" s="54" t="s">
        <v>336</v>
      </c>
      <c r="C255" s="31">
        <v>4301136051</v>
      </c>
      <c r="D255" s="281">
        <v>4640242180304</v>
      </c>
      <c r="E255" s="282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1"/>
      <c r="R255" s="271"/>
      <c r="S255" s="271"/>
      <c r="T255" s="272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81">
        <v>4640242180236</v>
      </c>
      <c r="E256" s="282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1"/>
      <c r="R256" s="271"/>
      <c r="S256" s="271"/>
      <c r="T256" s="272"/>
      <c r="U256" s="34"/>
      <c r="V256" s="34"/>
      <c r="W256" s="35" t="s">
        <v>69</v>
      </c>
      <c r="X256" s="266">
        <v>12</v>
      </c>
      <c r="Y256" s="267">
        <f>IFERROR(IF(X256="","",X256),"")</f>
        <v>12</v>
      </c>
      <c r="Z256" s="36">
        <f>IFERROR(IF(X256="","",X256*0.0155),"")</f>
        <v>0.186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62.820000000000007</v>
      </c>
      <c r="BN256" s="67">
        <f>IFERROR(Y256*I256,"0")</f>
        <v>62.820000000000007</v>
      </c>
      <c r="BO256" s="67">
        <f>IFERROR(X256/J256,"0")</f>
        <v>0.14285714285714285</v>
      </c>
      <c r="BP256" s="67">
        <f>IFERROR(Y256/J256,"0")</f>
        <v>0.14285714285714285</v>
      </c>
    </row>
    <row r="257" spans="1:68" ht="27" customHeight="1" x14ac:dyDescent="0.25">
      <c r="A257" s="54" t="s">
        <v>340</v>
      </c>
      <c r="B257" s="54" t="s">
        <v>341</v>
      </c>
      <c r="C257" s="31">
        <v>4301136052</v>
      </c>
      <c r="D257" s="281">
        <v>4640242180410</v>
      </c>
      <c r="E257" s="282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1"/>
      <c r="R257" s="271"/>
      <c r="S257" s="271"/>
      <c r="T257" s="272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5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6"/>
      <c r="P258" s="276" t="s">
        <v>72</v>
      </c>
      <c r="Q258" s="277"/>
      <c r="R258" s="277"/>
      <c r="S258" s="277"/>
      <c r="T258" s="277"/>
      <c r="U258" s="277"/>
      <c r="V258" s="278"/>
      <c r="W258" s="37" t="s">
        <v>69</v>
      </c>
      <c r="X258" s="268">
        <f>IFERROR(SUM(X255:X257),"0")</f>
        <v>12</v>
      </c>
      <c r="Y258" s="268">
        <f>IFERROR(SUM(Y255:Y257),"0")</f>
        <v>12</v>
      </c>
      <c r="Z258" s="268">
        <f>IFERROR(IF(Z255="",0,Z255),"0")+IFERROR(IF(Z256="",0,Z256),"0")+IFERROR(IF(Z257="",0,Z257),"0")</f>
        <v>0.186</v>
      </c>
      <c r="AA258" s="269"/>
      <c r="AB258" s="269"/>
      <c r="AC258" s="269"/>
    </row>
    <row r="259" spans="1:68" x14ac:dyDescent="0.2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6"/>
      <c r="P259" s="276" t="s">
        <v>72</v>
      </c>
      <c r="Q259" s="277"/>
      <c r="R259" s="277"/>
      <c r="S259" s="277"/>
      <c r="T259" s="277"/>
      <c r="U259" s="277"/>
      <c r="V259" s="278"/>
      <c r="W259" s="37" t="s">
        <v>73</v>
      </c>
      <c r="X259" s="268">
        <f>IFERROR(SUMPRODUCT(X255:X257*H255:H257),"0")</f>
        <v>60</v>
      </c>
      <c r="Y259" s="268">
        <f>IFERROR(SUMPRODUCT(Y255:Y257*H255:H257),"0")</f>
        <v>60</v>
      </c>
      <c r="Z259" s="37"/>
      <c r="AA259" s="269"/>
      <c r="AB259" s="269"/>
      <c r="AC259" s="269"/>
    </row>
    <row r="260" spans="1:68" ht="14.25" customHeight="1" x14ac:dyDescent="0.25">
      <c r="A260" s="299" t="s">
        <v>120</v>
      </c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60"/>
      <c r="AB260" s="260"/>
      <c r="AC260" s="260"/>
    </row>
    <row r="261" spans="1:68" ht="37.5" customHeight="1" x14ac:dyDescent="0.25">
      <c r="A261" s="54" t="s">
        <v>342</v>
      </c>
      <c r="B261" s="54" t="s">
        <v>343</v>
      </c>
      <c r="C261" s="31">
        <v>4301135504</v>
      </c>
      <c r="D261" s="281">
        <v>4640242181554</v>
      </c>
      <c r="E261" s="282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1"/>
      <c r="R261" s="271"/>
      <c r="S261" s="271"/>
      <c r="T261" s="272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1">
        <v>4640242181561</v>
      </c>
      <c r="E262" s="282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1"/>
      <c r="R262" s="271"/>
      <c r="S262" s="271"/>
      <c r="T262" s="272"/>
      <c r="U262" s="34"/>
      <c r="V262" s="34"/>
      <c r="W262" s="35" t="s">
        <v>69</v>
      </c>
      <c r="X262" s="266">
        <v>14</v>
      </c>
      <c r="Y262" s="267">
        <f t="shared" si="12"/>
        <v>14</v>
      </c>
      <c r="Z262" s="36">
        <f>IFERROR(IF(X262="","",X262*0.00936),"")</f>
        <v>0.13103999999999999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54.488</v>
      </c>
      <c r="BN262" s="67">
        <f t="shared" si="14"/>
        <v>54.488</v>
      </c>
      <c r="BO262" s="67">
        <f t="shared" si="15"/>
        <v>0.1111111111111111</v>
      </c>
      <c r="BP262" s="67">
        <f t="shared" si="16"/>
        <v>0.1111111111111111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81">
        <v>4640242181424</v>
      </c>
      <c r="E263" s="282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1"/>
      <c r="R263" s="271"/>
      <c r="S263" s="271"/>
      <c r="T263" s="272"/>
      <c r="U263" s="34"/>
      <c r="V263" s="34"/>
      <c r="W263" s="35" t="s">
        <v>69</v>
      </c>
      <c r="X263" s="266">
        <v>0</v>
      </c>
      <c r="Y263" s="267">
        <f t="shared" si="12"/>
        <v>0</v>
      </c>
      <c r="Z263" s="36">
        <f>IFERROR(IF(X263="","",X263*0.0155),"")</f>
        <v>0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1">
        <v>4640242181523</v>
      </c>
      <c r="E264" s="282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1"/>
      <c r="R264" s="271"/>
      <c r="S264" s="271"/>
      <c r="T264" s="272"/>
      <c r="U264" s="34"/>
      <c r="V264" s="34"/>
      <c r="W264" s="35" t="s">
        <v>69</v>
      </c>
      <c r="X264" s="266">
        <v>28</v>
      </c>
      <c r="Y264" s="267">
        <f t="shared" si="12"/>
        <v>28</v>
      </c>
      <c r="Z264" s="36">
        <f t="shared" ref="Z264:Z269" si="17">IFERROR(IF(X264="","",X264*0.00936),"")</f>
        <v>0.26207999999999998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89.376000000000005</v>
      </c>
      <c r="BN264" s="67">
        <f t="shared" si="14"/>
        <v>89.376000000000005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1">
        <v>4640242181486</v>
      </c>
      <c r="E265" s="282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1"/>
      <c r="R265" s="271"/>
      <c r="S265" s="271"/>
      <c r="T265" s="272"/>
      <c r="U265" s="34"/>
      <c r="V265" s="34"/>
      <c r="W265" s="35" t="s">
        <v>69</v>
      </c>
      <c r="X265" s="266">
        <v>14</v>
      </c>
      <c r="Y265" s="267">
        <f t="shared" si="12"/>
        <v>14</v>
      </c>
      <c r="Z265" s="36">
        <f t="shared" si="17"/>
        <v>0.13103999999999999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54.488</v>
      </c>
      <c r="BN265" s="67">
        <f t="shared" si="14"/>
        <v>54.488</v>
      </c>
      <c r="BO265" s="67">
        <f t="shared" si="15"/>
        <v>0.1111111111111111</v>
      </c>
      <c r="BP265" s="67">
        <f t="shared" si="16"/>
        <v>0.1111111111111111</v>
      </c>
    </row>
    <row r="266" spans="1:68" ht="37.5" customHeight="1" x14ac:dyDescent="0.25">
      <c r="A266" s="54" t="s">
        <v>354</v>
      </c>
      <c r="B266" s="54" t="s">
        <v>355</v>
      </c>
      <c r="C266" s="31">
        <v>4301135402</v>
      </c>
      <c r="D266" s="281">
        <v>4640242181493</v>
      </c>
      <c r="E266" s="282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1"/>
      <c r="R266" s="271"/>
      <c r="S266" s="271"/>
      <c r="T266" s="272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4301135403</v>
      </c>
      <c r="D267" s="281">
        <v>4640242181509</v>
      </c>
      <c r="E267" s="282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1"/>
      <c r="R267" s="271"/>
      <c r="S267" s="271"/>
      <c r="T267" s="272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customHeight="1" x14ac:dyDescent="0.25">
      <c r="A268" s="54" t="s">
        <v>358</v>
      </c>
      <c r="B268" s="54" t="s">
        <v>359</v>
      </c>
      <c r="C268" s="31">
        <v>4301135304</v>
      </c>
      <c r="D268" s="281">
        <v>4640242181240</v>
      </c>
      <c r="E268" s="282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1"/>
      <c r="R268" s="271"/>
      <c r="S268" s="271"/>
      <c r="T268" s="272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4301135610</v>
      </c>
      <c r="D269" s="281">
        <v>4640242181318</v>
      </c>
      <c r="E269" s="282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1"/>
      <c r="R269" s="271"/>
      <c r="S269" s="271"/>
      <c r="T269" s="272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4301135306</v>
      </c>
      <c r="D270" s="281">
        <v>4640242181387</v>
      </c>
      <c r="E270" s="282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1"/>
      <c r="R270" s="271"/>
      <c r="S270" s="271"/>
      <c r="T270" s="272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85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6"/>
      <c r="P271" s="276" t="s">
        <v>72</v>
      </c>
      <c r="Q271" s="277"/>
      <c r="R271" s="277"/>
      <c r="S271" s="277"/>
      <c r="T271" s="277"/>
      <c r="U271" s="277"/>
      <c r="V271" s="278"/>
      <c r="W271" s="37" t="s">
        <v>69</v>
      </c>
      <c r="X271" s="268">
        <f>IFERROR(SUM(X261:X270),"0")</f>
        <v>56</v>
      </c>
      <c r="Y271" s="268">
        <f>IFERROR(SUM(Y261:Y270),"0")</f>
        <v>56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0.52415999999999996</v>
      </c>
      <c r="AA271" s="269"/>
      <c r="AB271" s="269"/>
      <c r="AC271" s="269"/>
    </row>
    <row r="272" spans="1:68" x14ac:dyDescent="0.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6"/>
      <c r="P272" s="276" t="s">
        <v>72</v>
      </c>
      <c r="Q272" s="277"/>
      <c r="R272" s="277"/>
      <c r="S272" s="277"/>
      <c r="T272" s="277"/>
      <c r="U272" s="277"/>
      <c r="V272" s="278"/>
      <c r="W272" s="37" t="s">
        <v>73</v>
      </c>
      <c r="X272" s="268">
        <f>IFERROR(SUMPRODUCT(X261:X270*H261:H270),"0")</f>
        <v>187.60000000000002</v>
      </c>
      <c r="Y272" s="268">
        <f>IFERROR(SUMPRODUCT(Y261:Y270*H261:H270),"0")</f>
        <v>187.60000000000002</v>
      </c>
      <c r="Z272" s="37"/>
      <c r="AA272" s="269"/>
      <c r="AB272" s="269"/>
      <c r="AC272" s="269"/>
    </row>
    <row r="273" spans="1:32" ht="15" customHeight="1" x14ac:dyDescent="0.2">
      <c r="A273" s="292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93"/>
      <c r="P273" s="320" t="s">
        <v>364</v>
      </c>
      <c r="Q273" s="321"/>
      <c r="R273" s="321"/>
      <c r="S273" s="321"/>
      <c r="T273" s="321"/>
      <c r="U273" s="321"/>
      <c r="V273" s="322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3643.6</v>
      </c>
      <c r="Y273" s="268">
        <f>IFERROR(Y24+Y31+Y38+Y46+Y51+Y55+Y60+Y66+Y72+Y77+Y83+Y93+Y99+Y110+Y114+Y118+Y124+Y130+Y136+Y141+Y146+Y151+Y156+Y163+Y171+Y175+Y181+Y188+Y196+Y201+Y206+Y212+Y218+Y224+Y230+Y236+Y240+Y248+Y253+Y259+Y272,"0")</f>
        <v>3643.6</v>
      </c>
      <c r="Z273" s="37"/>
      <c r="AA273" s="269"/>
      <c r="AB273" s="269"/>
      <c r="AC273" s="269"/>
    </row>
    <row r="274" spans="1:32" x14ac:dyDescent="0.2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93"/>
      <c r="P274" s="320" t="s">
        <v>365</v>
      </c>
      <c r="Q274" s="321"/>
      <c r="R274" s="321"/>
      <c r="S274" s="321"/>
      <c r="T274" s="321"/>
      <c r="U274" s="321"/>
      <c r="V274" s="322"/>
      <c r="W274" s="37" t="s">
        <v>73</v>
      </c>
      <c r="X274" s="268">
        <f>IFERROR(SUM(BM22:BM270),"0")</f>
        <v>4024.6275999999989</v>
      </c>
      <c r="Y274" s="268">
        <f>IFERROR(SUM(BN22:BN270),"0")</f>
        <v>4024.6275999999989</v>
      </c>
      <c r="Z274" s="37"/>
      <c r="AA274" s="269"/>
      <c r="AB274" s="269"/>
      <c r="AC274" s="269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93"/>
      <c r="P275" s="320" t="s">
        <v>366</v>
      </c>
      <c r="Q275" s="321"/>
      <c r="R275" s="321"/>
      <c r="S275" s="321"/>
      <c r="T275" s="321"/>
      <c r="U275" s="321"/>
      <c r="V275" s="322"/>
      <c r="W275" s="37" t="s">
        <v>367</v>
      </c>
      <c r="X275" s="38">
        <f>ROUNDUP(SUM(BO22:BO270),0)</f>
        <v>11</v>
      </c>
      <c r="Y275" s="38">
        <f>ROUNDUP(SUM(BP22:BP270),0)</f>
        <v>11</v>
      </c>
      <c r="Z275" s="37"/>
      <c r="AA275" s="269"/>
      <c r="AB275" s="269"/>
      <c r="AC275" s="269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93"/>
      <c r="P276" s="320" t="s">
        <v>368</v>
      </c>
      <c r="Q276" s="321"/>
      <c r="R276" s="321"/>
      <c r="S276" s="321"/>
      <c r="T276" s="321"/>
      <c r="U276" s="321"/>
      <c r="V276" s="322"/>
      <c r="W276" s="37" t="s">
        <v>73</v>
      </c>
      <c r="X276" s="268">
        <f>GrossWeightTotal+PalletQtyTotal*25</f>
        <v>4299.6275999999989</v>
      </c>
      <c r="Y276" s="268">
        <f>GrossWeightTotalR+PalletQtyTotalR*25</f>
        <v>4299.6275999999989</v>
      </c>
      <c r="Z276" s="37"/>
      <c r="AA276" s="269"/>
      <c r="AB276" s="269"/>
      <c r="AC276" s="269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93"/>
      <c r="P277" s="320" t="s">
        <v>369</v>
      </c>
      <c r="Q277" s="321"/>
      <c r="R277" s="321"/>
      <c r="S277" s="321"/>
      <c r="T277" s="321"/>
      <c r="U277" s="321"/>
      <c r="V277" s="322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908</v>
      </c>
      <c r="Y277" s="268">
        <f>IFERROR(Y23+Y30+Y37+Y45+Y50+Y54+Y59+Y65+Y71+Y76+Y82+Y92+Y98+Y109+Y113+Y117+Y123+Y129+Y135+Y140+Y145+Y150+Y155+Y162+Y170+Y174+Y180+Y187+Y195+Y200+Y205+Y211+Y217+Y223+Y229+Y235+Y239+Y247+Y252+Y258+Y271,"0")</f>
        <v>908</v>
      </c>
      <c r="Z277" s="37"/>
      <c r="AA277" s="269"/>
      <c r="AB277" s="269"/>
      <c r="AC277" s="269"/>
    </row>
    <row r="278" spans="1:32" ht="14.25" customHeight="1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93"/>
      <c r="P278" s="320" t="s">
        <v>370</v>
      </c>
      <c r="Q278" s="321"/>
      <c r="R278" s="321"/>
      <c r="S278" s="321"/>
      <c r="T278" s="321"/>
      <c r="U278" s="321"/>
      <c r="V278" s="322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13.607140000000001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3" t="s">
        <v>74</v>
      </c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7"/>
      <c r="U280" s="258" t="s">
        <v>229</v>
      </c>
      <c r="V280" s="258" t="s">
        <v>237</v>
      </c>
      <c r="W280" s="283" t="s">
        <v>256</v>
      </c>
      <c r="X280" s="426"/>
      <c r="Y280" s="426"/>
      <c r="Z280" s="426"/>
      <c r="AA280" s="42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297" t="s">
        <v>373</v>
      </c>
      <c r="B281" s="283" t="s">
        <v>62</v>
      </c>
      <c r="C281" s="283" t="s">
        <v>75</v>
      </c>
      <c r="D281" s="283" t="s">
        <v>86</v>
      </c>
      <c r="E281" s="283" t="s">
        <v>96</v>
      </c>
      <c r="F281" s="283" t="s">
        <v>107</v>
      </c>
      <c r="G281" s="283" t="s">
        <v>128</v>
      </c>
      <c r="H281" s="283" t="s">
        <v>135</v>
      </c>
      <c r="I281" s="283" t="s">
        <v>139</v>
      </c>
      <c r="J281" s="283" t="s">
        <v>147</v>
      </c>
      <c r="K281" s="283" t="s">
        <v>162</v>
      </c>
      <c r="L281" s="283" t="s">
        <v>168</v>
      </c>
      <c r="M281" s="283" t="s">
        <v>193</v>
      </c>
      <c r="N281" s="259"/>
      <c r="O281" s="283" t="s">
        <v>201</v>
      </c>
      <c r="P281" s="283" t="s">
        <v>208</v>
      </c>
      <c r="Q281" s="283" t="s">
        <v>213</v>
      </c>
      <c r="R281" s="283" t="s">
        <v>217</v>
      </c>
      <c r="S281" s="283" t="s">
        <v>220</v>
      </c>
      <c r="T281" s="283" t="s">
        <v>225</v>
      </c>
      <c r="U281" s="283" t="s">
        <v>230</v>
      </c>
      <c r="V281" s="283" t="s">
        <v>238</v>
      </c>
      <c r="W281" s="283" t="s">
        <v>257</v>
      </c>
      <c r="X281" s="283" t="s">
        <v>273</v>
      </c>
      <c r="Y281" s="283" t="s">
        <v>283</v>
      </c>
      <c r="Z281" s="283" t="s">
        <v>287</v>
      </c>
      <c r="AA281" s="283" t="s">
        <v>298</v>
      </c>
      <c r="AB281" s="283" t="s">
        <v>305</v>
      </c>
      <c r="AC281" s="283" t="s">
        <v>310</v>
      </c>
      <c r="AD281" s="283" t="s">
        <v>314</v>
      </c>
      <c r="AE281" s="283" t="s">
        <v>321</v>
      </c>
      <c r="AF281" s="259"/>
    </row>
    <row r="282" spans="1:32" ht="13.5" customHeight="1" thickBot="1" x14ac:dyDescent="0.25">
      <c r="A282" s="298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59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84</v>
      </c>
      <c r="D283" s="46">
        <f>IFERROR(X34*H34,"0")+IFERROR(X35*H35,"0")+IFERROR(X36*H36,"0")</f>
        <v>201.59999999999997</v>
      </c>
      <c r="E283" s="46">
        <f>IFERROR(X41*H41,"0")+IFERROR(X42*H42,"0")+IFERROR(X43*H43,"0")+IFERROR(X44*H44,"0")</f>
        <v>84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300</v>
      </c>
      <c r="H283" s="46">
        <f>IFERROR(X75*H75,"0")</f>
        <v>50.4</v>
      </c>
      <c r="I283" s="46">
        <f>IFERROR(X80*H80,"0")+IFERROR(X81*H81,"0")</f>
        <v>302.39999999999998</v>
      </c>
      <c r="J283" s="46">
        <f>IFERROR(X86*H86,"0")+IFERROR(X87*H87,"0")+IFERROR(X88*H88,"0")+IFERROR(X89*H89,"0")+IFERROR(X90*H90,"0")+IFERROR(X91*H91,"0")</f>
        <v>80.64</v>
      </c>
      <c r="K283" s="46">
        <f>IFERROR(X96*H96,"0")+IFERROR(X97*H97,"0")</f>
        <v>50.4</v>
      </c>
      <c r="L283" s="46">
        <f>IFERROR(X102*H102,"0")+IFERROR(X103*H103,"0")+IFERROR(X104*H104,"0")+IFERROR(X105*H105,"0")+IFERROR(X106*H106,"0")+IFERROR(X107*H107,"0")+IFERROR(X108*H108,"0")+IFERROR(X112*H112,"0")+IFERROR(X116*H116,"0")</f>
        <v>924</v>
      </c>
      <c r="M283" s="46">
        <f>IFERROR(X121*H121,"0")+IFERROR(X122*H122,"0")</f>
        <v>168</v>
      </c>
      <c r="N283" s="259"/>
      <c r="O283" s="46">
        <f>IFERROR(X127*H127,"0")+IFERROR(X128*H128,"0")</f>
        <v>168</v>
      </c>
      <c r="P283" s="46">
        <f>IFERROR(X133*H133,"0")+IFERROR(X134*H134,"0")</f>
        <v>168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70.56</v>
      </c>
      <c r="U283" s="46">
        <f>IFERROR(X160*H160,"0")+IFERROR(X161*H161,"0")</f>
        <v>60</v>
      </c>
      <c r="V283" s="46">
        <f>IFERROR(X167*H167,"0")+IFERROR(X168*H168,"0")+IFERROR(X169*H169,"0")+IFERROR(X173*H173,"0")</f>
        <v>210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360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319.60000000000002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1929.6</v>
      </c>
      <c r="B286" s="60">
        <f>SUMPRODUCT(--(BB:BB="ПГП"),--(W:W="кор"),H:H,Y:Y)+SUMPRODUCT(--(BB:BB="ПГП"),--(W:W="кг"),Y:Y)</f>
        <v>1713.9999999999998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3">
    <mergeCell ref="X17:X18"/>
    <mergeCell ref="P58:T58"/>
    <mergeCell ref="D250:E250"/>
    <mergeCell ref="A52:Z52"/>
    <mergeCell ref="D44:E44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D268:E268"/>
    <mergeCell ref="P76:V76"/>
    <mergeCell ref="P140:V140"/>
    <mergeCell ref="D49:E49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D17:AF18"/>
    <mergeCell ref="W281:W282"/>
    <mergeCell ref="O281:O282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A254:Z254"/>
    <mergeCell ref="P121:T121"/>
    <mergeCell ref="D29:E29"/>
    <mergeCell ref="D216:E216"/>
    <mergeCell ref="D265:E265"/>
    <mergeCell ref="P195:V195"/>
    <mergeCell ref="A20:Z20"/>
    <mergeCell ref="A125:Z125"/>
    <mergeCell ref="P66:V66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M17:M18"/>
    <mergeCell ref="O17:O18"/>
    <mergeCell ref="P187:V187"/>
    <mergeCell ref="P258:V258"/>
    <mergeCell ref="P174:V174"/>
    <mergeCell ref="P223:V223"/>
    <mergeCell ref="P102:T102"/>
    <mergeCell ref="P183:T183"/>
    <mergeCell ref="P62:T62"/>
    <mergeCell ref="A71:O72"/>
    <mergeCell ref="P112:T112"/>
    <mergeCell ref="G281:G282"/>
    <mergeCell ref="P273:V273"/>
    <mergeCell ref="A113:O114"/>
    <mergeCell ref="Q13:R13"/>
    <mergeCell ref="A220:Z220"/>
    <mergeCell ref="P139:T139"/>
    <mergeCell ref="P41:T41"/>
    <mergeCell ref="D22:E22"/>
    <mergeCell ref="A157:Z157"/>
    <mergeCell ref="D149:E149"/>
    <mergeCell ref="P34:T34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AB17:AB18"/>
    <mergeCell ref="P271:V271"/>
    <mergeCell ref="E281:E282"/>
    <mergeCell ref="H5:M5"/>
    <mergeCell ref="P31:V31"/>
    <mergeCell ref="A27:Z27"/>
    <mergeCell ref="A56:Z56"/>
    <mergeCell ref="A214:Z214"/>
    <mergeCell ref="D6:M6"/>
    <mergeCell ref="A85:Z85"/>
    <mergeCell ref="P106:T106"/>
    <mergeCell ref="A223:O224"/>
    <mergeCell ref="D256:E256"/>
    <mergeCell ref="A150:O151"/>
    <mergeCell ref="P269:T269"/>
    <mergeCell ref="D222:E222"/>
    <mergeCell ref="P35:T35"/>
    <mergeCell ref="G17:G18"/>
    <mergeCell ref="A143:Z143"/>
    <mergeCell ref="P171:V171"/>
    <mergeCell ref="A232:Z232"/>
    <mergeCell ref="D80:E80"/>
    <mergeCell ref="A207:Z207"/>
    <mergeCell ref="A182:Z182"/>
    <mergeCell ref="AA17:AA18"/>
    <mergeCell ref="AC17:AC18"/>
    <mergeCell ref="P108:T108"/>
    <mergeCell ref="D89:E89"/>
    <mergeCell ref="P251:T251"/>
    <mergeCell ref="F281:F282"/>
    <mergeCell ref="A235:O236"/>
    <mergeCell ref="V6:W9"/>
    <mergeCell ref="D128:E128"/>
    <mergeCell ref="D199:E199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87:T87"/>
    <mergeCell ref="P151:V151"/>
    <mergeCell ref="A203:Z203"/>
    <mergeCell ref="S281:S282"/>
    <mergeCell ref="P245:T245"/>
    <mergeCell ref="P89:T89"/>
    <mergeCell ref="P88:T88"/>
    <mergeCell ref="A138:Z138"/>
    <mergeCell ref="A119:Z119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A147:Z147"/>
    <mergeCell ref="P150:V150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D62:E62"/>
    <mergeCell ref="A14:M14"/>
    <mergeCell ref="A111:Z111"/>
    <mergeCell ref="T5:U5"/>
    <mergeCell ref="V5:W5"/>
    <mergeCell ref="D246:E246"/>
    <mergeCell ref="A48:Z48"/>
    <mergeCell ref="P212:V212"/>
    <mergeCell ref="A142:Z142"/>
    <mergeCell ref="Q8:R8"/>
    <mergeCell ref="P69:T69"/>
    <mergeCell ref="D183:E183"/>
    <mergeCell ref="A65:O66"/>
    <mergeCell ref="D64:E64"/>
    <mergeCell ref="A40:Z40"/>
    <mergeCell ref="A67:Z67"/>
    <mergeCell ref="P30:V30"/>
    <mergeCell ref="P96:T96"/>
    <mergeCell ref="H17:H18"/>
    <mergeCell ref="P90:T90"/>
    <mergeCell ref="A50:O51"/>
    <mergeCell ref="H10:M10"/>
    <mergeCell ref="Z17:Z18"/>
    <mergeCell ref="A9:C9"/>
    <mergeCell ref="D58:E58"/>
    <mergeCell ref="X281:X282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P65:V65"/>
    <mergeCell ref="P136:V136"/>
    <mergeCell ref="A135:O136"/>
    <mergeCell ref="A126:Z126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03:E103"/>
    <mergeCell ref="D168:E168"/>
    <mergeCell ref="P53:T53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87:E87"/>
    <mergeCell ref="D209:E209"/>
    <mergeCell ref="P188:V188"/>
    <mergeCell ref="D7:M7"/>
    <mergeCell ref="P156:V156"/>
    <mergeCell ref="A152:Z152"/>
    <mergeCell ref="D144:E144"/>
    <mergeCell ref="P173:T173"/>
    <mergeCell ref="P29:T29"/>
    <mergeCell ref="D81:E81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D263:E263"/>
    <mergeCell ref="D238:E238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H9:I9"/>
    <mergeCell ref="P224:V224"/>
    <mergeCell ref="P24:V24"/>
    <mergeCell ref="P211:V211"/>
    <mergeCell ref="P259:V259"/>
    <mergeCell ref="A78:Z78"/>
    <mergeCell ref="D70:E70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A12:M12"/>
    <mergeCell ref="P200:V200"/>
    <mergeCell ref="A19:Z19"/>
    <mergeCell ref="A68:Z68"/>
    <mergeCell ref="A190:Z19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