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6C98DCD-0C24-45C2-A989-4B3BF83194E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U498" i="1" s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P347" i="1"/>
  <c r="BO347" i="1"/>
  <c r="BN347" i="1"/>
  <c r="BM347" i="1"/>
  <c r="Z347" i="1"/>
  <c r="Y347" i="1"/>
  <c r="P347" i="1"/>
  <c r="BO346" i="1"/>
  <c r="BM346" i="1"/>
  <c r="Y346" i="1"/>
  <c r="BP346" i="1" s="1"/>
  <c r="P346" i="1"/>
  <c r="BO345" i="1"/>
  <c r="BM345" i="1"/>
  <c r="Y345" i="1"/>
  <c r="BP345" i="1" s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R498" i="1" s="1"/>
  <c r="P334" i="1"/>
  <c r="X331" i="1"/>
  <c r="X330" i="1"/>
  <c r="BO329" i="1"/>
  <c r="BM329" i="1"/>
  <c r="Y329" i="1"/>
  <c r="BP329" i="1" s="1"/>
  <c r="P329" i="1"/>
  <c r="BP328" i="1"/>
  <c r="BO328" i="1"/>
  <c r="BN328" i="1"/>
  <c r="BM328" i="1"/>
  <c r="Z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P322" i="1"/>
  <c r="BO322" i="1"/>
  <c r="BN322" i="1"/>
  <c r="BM322" i="1"/>
  <c r="Z322" i="1"/>
  <c r="Y322" i="1"/>
  <c r="P322" i="1"/>
  <c r="BO321" i="1"/>
  <c r="BM321" i="1"/>
  <c r="Y321" i="1"/>
  <c r="BP321" i="1" s="1"/>
  <c r="BO320" i="1"/>
  <c r="BM320" i="1"/>
  <c r="Y320" i="1"/>
  <c r="Y325" i="1" s="1"/>
  <c r="P320" i="1"/>
  <c r="X318" i="1"/>
  <c r="X317" i="1"/>
  <c r="BO316" i="1"/>
  <c r="BM316" i="1"/>
  <c r="Y316" i="1"/>
  <c r="BP316" i="1" s="1"/>
  <c r="P316" i="1"/>
  <c r="BP315" i="1"/>
  <c r="BO315" i="1"/>
  <c r="BN315" i="1"/>
  <c r="BM315" i="1"/>
  <c r="Z315" i="1"/>
  <c r="Y315" i="1"/>
  <c r="P315" i="1"/>
  <c r="BO314" i="1"/>
  <c r="BM314" i="1"/>
  <c r="Y314" i="1"/>
  <c r="Y318" i="1" s="1"/>
  <c r="P314" i="1"/>
  <c r="X312" i="1"/>
  <c r="X311" i="1"/>
  <c r="BO310" i="1"/>
  <c r="BM310" i="1"/>
  <c r="Y310" i="1"/>
  <c r="BP310" i="1" s="1"/>
  <c r="P310" i="1"/>
  <c r="BP309" i="1"/>
  <c r="BO309" i="1"/>
  <c r="BN309" i="1"/>
  <c r="BM309" i="1"/>
  <c r="Z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Y312" i="1" s="1"/>
  <c r="P306" i="1"/>
  <c r="X304" i="1"/>
  <c r="X303" i="1"/>
  <c r="BO302" i="1"/>
  <c r="BM302" i="1"/>
  <c r="Y302" i="1"/>
  <c r="BP302" i="1" s="1"/>
  <c r="P302" i="1"/>
  <c r="BP301" i="1"/>
  <c r="BO301" i="1"/>
  <c r="BN301" i="1"/>
  <c r="BM301" i="1"/>
  <c r="Z301" i="1"/>
  <c r="Y301" i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P297" i="1"/>
  <c r="BO297" i="1"/>
  <c r="BN297" i="1"/>
  <c r="BM297" i="1"/>
  <c r="Z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P289" i="1"/>
  <c r="BO289" i="1"/>
  <c r="BN289" i="1"/>
  <c r="BM289" i="1"/>
  <c r="Z289" i="1"/>
  <c r="Y289" i="1"/>
  <c r="P289" i="1"/>
  <c r="BO288" i="1"/>
  <c r="BM288" i="1"/>
  <c r="Y288" i="1"/>
  <c r="Q498" i="1" s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Y281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Y274" i="1" s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M498" i="1" s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Y260" i="1" s="1"/>
  <c r="P254" i="1"/>
  <c r="X251" i="1"/>
  <c r="X250" i="1"/>
  <c r="BO249" i="1"/>
  <c r="BM249" i="1"/>
  <c r="Y249" i="1"/>
  <c r="BP249" i="1" s="1"/>
  <c r="P249" i="1"/>
  <c r="BP248" i="1"/>
  <c r="BO248" i="1"/>
  <c r="BN248" i="1"/>
  <c r="BM248" i="1"/>
  <c r="Z248" i="1"/>
  <c r="Y248" i="1"/>
  <c r="P248" i="1"/>
  <c r="BO247" i="1"/>
  <c r="BM247" i="1"/>
  <c r="Y247" i="1"/>
  <c r="BP247" i="1" s="1"/>
  <c r="P247" i="1"/>
  <c r="BP246" i="1"/>
  <c r="BO246" i="1"/>
  <c r="BN246" i="1"/>
  <c r="BM246" i="1"/>
  <c r="Z246" i="1"/>
  <c r="Y246" i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P196" i="1"/>
  <c r="BO195" i="1"/>
  <c r="BM195" i="1"/>
  <c r="Y195" i="1"/>
  <c r="Y204" i="1" s="1"/>
  <c r="P195" i="1"/>
  <c r="X193" i="1"/>
  <c r="X192" i="1"/>
  <c r="BO191" i="1"/>
  <c r="BM191" i="1"/>
  <c r="Y191" i="1"/>
  <c r="BP191" i="1" s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J498" i="1" s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X160" i="1"/>
  <c r="X159" i="1"/>
  <c r="BO158" i="1"/>
  <c r="BM158" i="1"/>
  <c r="Y158" i="1"/>
  <c r="I498" i="1" s="1"/>
  <c r="P158" i="1"/>
  <c r="X154" i="1"/>
  <c r="X153" i="1"/>
  <c r="BO152" i="1"/>
  <c r="BM152" i="1"/>
  <c r="Y152" i="1"/>
  <c r="Y153" i="1" s="1"/>
  <c r="X150" i="1"/>
  <c r="X149" i="1"/>
  <c r="BP148" i="1"/>
  <c r="BO148" i="1"/>
  <c r="BN148" i="1"/>
  <c r="BM148" i="1"/>
  <c r="Z148" i="1"/>
  <c r="Y148" i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BP141" i="1" s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G498" i="1" s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BP113" i="1" s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Y69" i="1"/>
  <c r="X69" i="1"/>
  <c r="BP68" i="1"/>
  <c r="BO68" i="1"/>
  <c r="BN68" i="1"/>
  <c r="BM68" i="1"/>
  <c r="Z68" i="1"/>
  <c r="Y68" i="1"/>
  <c r="P68" i="1"/>
  <c r="BO67" i="1"/>
  <c r="BM67" i="1"/>
  <c r="Y67" i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P54" i="1"/>
  <c r="BO54" i="1"/>
  <c r="BN54" i="1"/>
  <c r="BM54" i="1"/>
  <c r="Z54" i="1"/>
  <c r="Y54" i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N42" i="1"/>
  <c r="BM42" i="1"/>
  <c r="Z42" i="1"/>
  <c r="Y42" i="1"/>
  <c r="BP42" i="1" s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1" i="1" s="1"/>
  <c r="P26" i="1"/>
  <c r="X24" i="1"/>
  <c r="X488" i="1" s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Z27" i="1"/>
  <c r="Z31" i="1" s="1"/>
  <c r="BN27" i="1"/>
  <c r="Z29" i="1"/>
  <c r="BN29" i="1"/>
  <c r="Y32" i="1"/>
  <c r="C498" i="1"/>
  <c r="Y43" i="1"/>
  <c r="Z41" i="1"/>
  <c r="Z43" i="1" s="1"/>
  <c r="BN41" i="1"/>
  <c r="Y44" i="1"/>
  <c r="Y47" i="1"/>
  <c r="BP46" i="1"/>
  <c r="BN46" i="1"/>
  <c r="Z46" i="1"/>
  <c r="Z47" i="1" s="1"/>
  <c r="Y48" i="1"/>
  <c r="D498" i="1"/>
  <c r="Y58" i="1"/>
  <c r="BP51" i="1"/>
  <c r="BN51" i="1"/>
  <c r="Z51" i="1"/>
  <c r="BP55" i="1"/>
  <c r="BN55" i="1"/>
  <c r="Z55" i="1"/>
  <c r="Y64" i="1"/>
  <c r="BP67" i="1"/>
  <c r="BN67" i="1"/>
  <c r="Z67" i="1"/>
  <c r="Z69" i="1" s="1"/>
  <c r="Y76" i="1"/>
  <c r="F9" i="1"/>
  <c r="J9" i="1"/>
  <c r="Z22" i="1"/>
  <c r="Z23" i="1" s="1"/>
  <c r="BN22" i="1"/>
  <c r="BP22" i="1"/>
  <c r="Y23" i="1"/>
  <c r="BP53" i="1"/>
  <c r="BN53" i="1"/>
  <c r="Z53" i="1"/>
  <c r="Y57" i="1"/>
  <c r="BP61" i="1"/>
  <c r="BN61" i="1"/>
  <c r="Z61" i="1"/>
  <c r="Z63" i="1" s="1"/>
  <c r="BP73" i="1"/>
  <c r="BN73" i="1"/>
  <c r="Z73" i="1"/>
  <c r="Z76" i="1" s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2" i="1"/>
  <c r="Y178" i="1"/>
  <c r="Y182" i="1"/>
  <c r="Y187" i="1"/>
  <c r="Y193" i="1"/>
  <c r="Y203" i="1"/>
  <c r="BP214" i="1"/>
  <c r="BN214" i="1"/>
  <c r="Z214" i="1"/>
  <c r="Y221" i="1"/>
  <c r="BP218" i="1"/>
  <c r="BN218" i="1"/>
  <c r="Z218" i="1"/>
  <c r="Z220" i="1" s="1"/>
  <c r="BP227" i="1"/>
  <c r="BN227" i="1"/>
  <c r="Z227" i="1"/>
  <c r="BP231" i="1"/>
  <c r="BN231" i="1"/>
  <c r="Z231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Z95" i="1" s="1"/>
  <c r="BN92" i="1"/>
  <c r="Z94" i="1"/>
  <c r="BN94" i="1"/>
  <c r="Z99" i="1"/>
  <c r="Z103" i="1" s="1"/>
  <c r="BN99" i="1"/>
  <c r="BP99" i="1"/>
  <c r="Z101" i="1"/>
  <c r="BN101" i="1"/>
  <c r="Y104" i="1"/>
  <c r="Z107" i="1"/>
  <c r="Z109" i="1" s="1"/>
  <c r="BN107" i="1"/>
  <c r="Z113" i="1"/>
  <c r="Z116" i="1" s="1"/>
  <c r="BN113" i="1"/>
  <c r="Z115" i="1"/>
  <c r="BN115" i="1"/>
  <c r="Z119" i="1"/>
  <c r="Z120" i="1" s="1"/>
  <c r="BN119" i="1"/>
  <c r="BP119" i="1"/>
  <c r="Z124" i="1"/>
  <c r="Z126" i="1" s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4" i="1"/>
  <c r="Z177" i="1" s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Z192" i="1" s="1"/>
  <c r="BN191" i="1"/>
  <c r="Z195" i="1"/>
  <c r="Z203" i="1" s="1"/>
  <c r="BN195" i="1"/>
  <c r="BP195" i="1"/>
  <c r="Z197" i="1"/>
  <c r="BN197" i="1"/>
  <c r="Z199" i="1"/>
  <c r="BN199" i="1"/>
  <c r="Z201" i="1"/>
  <c r="BN201" i="1"/>
  <c r="Y215" i="1"/>
  <c r="Z207" i="1"/>
  <c r="Z215" i="1" s="1"/>
  <c r="BN207" i="1"/>
  <c r="Z209" i="1"/>
  <c r="BN209" i="1"/>
  <c r="BP210" i="1"/>
  <c r="BN210" i="1"/>
  <c r="BP212" i="1"/>
  <c r="BN212" i="1"/>
  <c r="Z212" i="1"/>
  <c r="Y220" i="1"/>
  <c r="Y235" i="1"/>
  <c r="BP225" i="1"/>
  <c r="BN225" i="1"/>
  <c r="Z225" i="1"/>
  <c r="Z234" i="1" s="1"/>
  <c r="BP229" i="1"/>
  <c r="BN229" i="1"/>
  <c r="Z229" i="1"/>
  <c r="K498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498" i="1"/>
  <c r="Z272" i="1"/>
  <c r="Z274" i="1" s="1"/>
  <c r="BN272" i="1"/>
  <c r="BP272" i="1"/>
  <c r="Y275" i="1"/>
  <c r="P498" i="1"/>
  <c r="Z279" i="1"/>
  <c r="Z280" i="1" s="1"/>
  <c r="BN279" i="1"/>
  <c r="BP279" i="1"/>
  <c r="Y280" i="1"/>
  <c r="Z283" i="1"/>
  <c r="Z284" i="1" s="1"/>
  <c r="BN283" i="1"/>
  <c r="BP283" i="1"/>
  <c r="Y284" i="1"/>
  <c r="Z288" i="1"/>
  <c r="BN288" i="1"/>
  <c r="BP288" i="1"/>
  <c r="Z290" i="1"/>
  <c r="BN290" i="1"/>
  <c r="Z292" i="1"/>
  <c r="BN292" i="1"/>
  <c r="Y293" i="1"/>
  <c r="Z296" i="1"/>
  <c r="BN296" i="1"/>
  <c r="BP296" i="1"/>
  <c r="Z298" i="1"/>
  <c r="BN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Y311" i="1"/>
  <c r="Z314" i="1"/>
  <c r="BN314" i="1"/>
  <c r="BP314" i="1"/>
  <c r="Z316" i="1"/>
  <c r="BN316" i="1"/>
  <c r="Y317" i="1"/>
  <c r="Z320" i="1"/>
  <c r="BN320" i="1"/>
  <c r="BP320" i="1"/>
  <c r="Z321" i="1"/>
  <c r="BN321" i="1"/>
  <c r="Z323" i="1"/>
  <c r="BN323" i="1"/>
  <c r="Y324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Z342" i="1"/>
  <c r="BN342" i="1"/>
  <c r="BP342" i="1"/>
  <c r="Z344" i="1"/>
  <c r="BN344" i="1"/>
  <c r="Z345" i="1"/>
  <c r="BN345" i="1"/>
  <c r="Y350" i="1"/>
  <c r="BP368" i="1"/>
  <c r="BN368" i="1"/>
  <c r="Z368" i="1"/>
  <c r="Z369" i="1" s="1"/>
  <c r="Y370" i="1"/>
  <c r="Y375" i="1"/>
  <c r="BP372" i="1"/>
  <c r="BN372" i="1"/>
  <c r="Z372" i="1"/>
  <c r="Z374" i="1" s="1"/>
  <c r="BP386" i="1"/>
  <c r="BN386" i="1"/>
  <c r="Z386" i="1"/>
  <c r="BP390" i="1"/>
  <c r="BN390" i="1"/>
  <c r="Z390" i="1"/>
  <c r="BP407" i="1"/>
  <c r="BN407" i="1"/>
  <c r="Z407" i="1"/>
  <c r="Z410" i="1" s="1"/>
  <c r="BP422" i="1"/>
  <c r="BN422" i="1"/>
  <c r="Z422" i="1"/>
  <c r="BP458" i="1"/>
  <c r="BN458" i="1"/>
  <c r="Z458" i="1"/>
  <c r="Z461" i="1" s="1"/>
  <c r="Y462" i="1"/>
  <c r="BP466" i="1"/>
  <c r="BN466" i="1"/>
  <c r="Z466" i="1"/>
  <c r="Y468" i="1"/>
  <c r="Y473" i="1"/>
  <c r="BP470" i="1"/>
  <c r="BN470" i="1"/>
  <c r="Z470" i="1"/>
  <c r="Z472" i="1" s="1"/>
  <c r="Y472" i="1"/>
  <c r="L498" i="1"/>
  <c r="Y267" i="1"/>
  <c r="Y294" i="1"/>
  <c r="Y338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46" i="1" l="1"/>
  <c r="Z431" i="1"/>
  <c r="Z393" i="1"/>
  <c r="Z349" i="1"/>
  <c r="Z337" i="1"/>
  <c r="Z330" i="1"/>
  <c r="Z324" i="1"/>
  <c r="Z317" i="1"/>
  <c r="Z311" i="1"/>
  <c r="Z303" i="1"/>
  <c r="Z293" i="1"/>
  <c r="Z267" i="1"/>
  <c r="Z259" i="1"/>
  <c r="Z250" i="1"/>
  <c r="Z171" i="1"/>
  <c r="Y490" i="1"/>
  <c r="Y492" i="1"/>
  <c r="Y489" i="1"/>
  <c r="Z57" i="1"/>
  <c r="Z493" i="1" s="1"/>
  <c r="Y488" i="1"/>
  <c r="Y491" i="1" l="1"/>
</calcChain>
</file>

<file path=xl/sharedStrings.xml><?xml version="1.0" encoding="utf-8"?>
<sst xmlns="http://schemas.openxmlformats.org/spreadsheetml/2006/main" count="2311" uniqueCount="762">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</sst>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5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0.41666666666666669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52</v>
      </c>
      <c r="Y91" s="540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55.171358024691358</v>
      </c>
      <c r="BN91" s="64">
        <f>IFERROR(Y91*I91/H91,"0")</f>
        <v>60.157999999999994</v>
      </c>
      <c r="BO91" s="64">
        <f>IFERROR(1/J91*(X91/H91),"0")</f>
        <v>0.10030864197530864</v>
      </c>
      <c r="BP91" s="64">
        <f>IFERROR(1/J91*(Y91/H91),"0")</f>
        <v>0.109375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6.4197530864197532</v>
      </c>
      <c r="Y95" s="541">
        <f>IFERROR(Y91/H91,"0")+IFERROR(Y92/H92,"0")+IFERROR(Y93/H93,"0")+IFERROR(Y94/H94,"0")</f>
        <v>7</v>
      </c>
      <c r="Z95" s="541">
        <f>IFERROR(IF(Z91="",0,Z91),"0")+IFERROR(IF(Z92="",0,Z92),"0")+IFERROR(IF(Z93="",0,Z93),"0")+IFERROR(IF(Z94="",0,Z94),"0")</f>
        <v>0.13286000000000001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52</v>
      </c>
      <c r="Y96" s="541">
        <f>IFERROR(SUM(Y91:Y94),"0")</f>
        <v>56.699999999999996</v>
      </c>
      <c r="Z96" s="37"/>
      <c r="AA96" s="542"/>
      <c r="AB96" s="542"/>
      <c r="AC96" s="542"/>
    </row>
    <row r="97" spans="1:68" ht="16.5" customHeight="1" x14ac:dyDescent="0.25">
      <c r="A97" s="552" t="s">
        <v>190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38</v>
      </c>
      <c r="Y112" s="540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40.289382716049381</v>
      </c>
      <c r="BN112" s="64">
        <f>IFERROR(Y112*I112/H112,"0")</f>
        <v>42.94</v>
      </c>
      <c r="BO112" s="64">
        <f>IFERROR(1/J112*(X112/H112),"0")</f>
        <v>7.3302469135802475E-2</v>
      </c>
      <c r="BP112" s="64">
        <f>IFERROR(1/J112*(Y112/H112),"0")</f>
        <v>7.8125E-2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4.6913580246913584</v>
      </c>
      <c r="Y116" s="541">
        <f>IFERROR(Y112/H112,"0")+IFERROR(Y113/H113,"0")+IFERROR(Y114/H114,"0")+IFERROR(Y115/H115,"0")</f>
        <v>5</v>
      </c>
      <c r="Z116" s="541">
        <f>IFERROR(IF(Z112="",0,Z112),"0")+IFERROR(IF(Z113="",0,Z113),"0")+IFERROR(IF(Z114="",0,Z114),"0")+IFERROR(IF(Z115="",0,Z115),"0")</f>
        <v>9.4899999999999998E-2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38</v>
      </c>
      <c r="Y117" s="541">
        <f>IFERROR(SUM(Y112:Y115),"0")</f>
        <v>40.5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220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252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255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256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260</v>
      </c>
      <c r="B162" s="54" t="s">
        <v>261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263</v>
      </c>
      <c r="B163" s="54" t="s">
        <v>264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266</v>
      </c>
      <c r="B164" s="54" t="s">
        <v>267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269</v>
      </c>
      <c r="B165" s="54" t="s">
        <v>270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294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297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86</v>
      </c>
      <c r="Y198" s="540">
        <f t="shared" si="10"/>
        <v>86.4</v>
      </c>
      <c r="Z198" s="36">
        <f>IFERROR(IF(Y198=0,"",ROUNDUP(Y198/H198,0)*0.00902),"")</f>
        <v>0.14432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89.025925925925918</v>
      </c>
      <c r="BN198" s="64">
        <f t="shared" si="12"/>
        <v>89.44</v>
      </c>
      <c r="BO198" s="64">
        <f t="shared" si="13"/>
        <v>0.12065095398428732</v>
      </c>
      <c r="BP198" s="64">
        <f t="shared" si="14"/>
        <v>0.12121212121212122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15.925925925925926</v>
      </c>
      <c r="Y203" s="541">
        <f>IFERROR(Y195/H195,"0")+IFERROR(Y196/H196,"0")+IFERROR(Y197/H197,"0")+IFERROR(Y198/H198,"0")+IFERROR(Y199/H199,"0")+IFERROR(Y200/H200,"0")+IFERROR(Y201/H201,"0")+IFERROR(Y202/H202,"0")</f>
        <v>16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0.14432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86</v>
      </c>
      <c r="Y204" s="541">
        <f>IFERROR(SUM(Y195:Y202),"0")</f>
        <v>86.4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47</v>
      </c>
      <c r="Y211" s="540">
        <f t="shared" si="15"/>
        <v>48</v>
      </c>
      <c r="Z211" s="36">
        <f t="shared" si="20"/>
        <v>0.13020000000000001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51.935000000000002</v>
      </c>
      <c r="BN211" s="64">
        <f t="shared" si="17"/>
        <v>53.040000000000006</v>
      </c>
      <c r="BO211" s="64">
        <f t="shared" si="18"/>
        <v>0.10760073260073262</v>
      </c>
      <c r="BP211" s="64">
        <f t="shared" si="19"/>
        <v>0.1098901098901099</v>
      </c>
    </row>
    <row r="212" spans="1:68" ht="27" customHeight="1" x14ac:dyDescent="0.25">
      <c r="A212" s="54" t="s">
        <v>344</v>
      </c>
      <c r="B212" s="54" t="s">
        <v>345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346</v>
      </c>
      <c r="B213" s="54" t="s">
        <v>347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50</v>
      </c>
      <c r="Y214" s="540">
        <f t="shared" si="15"/>
        <v>50.4</v>
      </c>
      <c r="Z214" s="36">
        <f t="shared" si="20"/>
        <v>0.13671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55.375000000000007</v>
      </c>
      <c r="BN214" s="64">
        <f t="shared" si="17"/>
        <v>55.818000000000005</v>
      </c>
      <c r="BO214" s="64">
        <f t="shared" si="18"/>
        <v>0.11446886446886449</v>
      </c>
      <c r="BP214" s="64">
        <f t="shared" si="19"/>
        <v>0.11538461538461539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40.416666666666671</v>
      </c>
      <c r="Y215" s="541">
        <f>IFERROR(Y206/H206,"0")+IFERROR(Y207/H207,"0")+IFERROR(Y208/H208,"0")+IFERROR(Y209/H209,"0")+IFERROR(Y210/H210,"0")+IFERROR(Y211/H211,"0")+IFERROR(Y212/H212,"0")+IFERROR(Y213/H213,"0")+IFERROR(Y214/H214,"0")</f>
        <v>41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0.26690999999999998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97</v>
      </c>
      <c r="Y216" s="541">
        <f>IFERROR(SUM(Y206:Y214),"0")</f>
        <v>98.4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32</v>
      </c>
      <c r="Y218" s="540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customHeight="1" x14ac:dyDescent="0.25">
      <c r="A219" s="54" t="s">
        <v>354</v>
      </c>
      <c r="B219" s="54" t="s">
        <v>355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13.333333333333334</v>
      </c>
      <c r="Y220" s="541">
        <f>IFERROR(Y218/H218,"0")+IFERROR(Y219/H219,"0")</f>
        <v>14.000000000000002</v>
      </c>
      <c r="Z220" s="541">
        <f>IFERROR(IF(Z218="",0,Z218),"0")+IFERROR(IF(Z219="",0,Z219),"0")</f>
        <v>9.1139999999999999E-2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32</v>
      </c>
      <c r="Y221" s="541">
        <f>IFERROR(SUM(Y218:Y219),"0")</f>
        <v>33.6</v>
      </c>
      <c r="Z221" s="37"/>
      <c r="AA221" s="542"/>
      <c r="AB221" s="542"/>
      <c r="AC221" s="542"/>
    </row>
    <row r="222" spans="1:68" ht="16.5" customHeight="1" x14ac:dyDescent="0.25">
      <c r="A222" s="552" t="s">
        <v>357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358</v>
      </c>
      <c r="B224" s="54" t="s">
        <v>359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361</v>
      </c>
      <c r="B225" s="54" t="s">
        <v>362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364</v>
      </c>
      <c r="B226" s="54" t="s">
        <v>365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367</v>
      </c>
      <c r="B227" s="54" t="s">
        <v>368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367</v>
      </c>
      <c r="B228" s="54" t="s">
        <v>369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370</v>
      </c>
      <c r="B229" s="54" t="s">
        <v>371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373</v>
      </c>
      <c r="B230" s="54" t="s">
        <v>374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377</v>
      </c>
      <c r="B233" s="54" t="s">
        <v>379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380</v>
      </c>
      <c r="B237" s="54" t="s">
        <v>381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383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384</v>
      </c>
      <c r="B241" s="54" t="s">
        <v>385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387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388</v>
      </c>
      <c r="B245" s="54" t="s">
        <v>389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391</v>
      </c>
      <c r="B246" s="54" t="s">
        <v>392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399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400</v>
      </c>
      <c r="B254" s="54" t="s">
        <v>401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403</v>
      </c>
      <c r="B255" s="54" t="s">
        <v>404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406</v>
      </c>
      <c r="B256" s="54" t="s">
        <v>407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409</v>
      </c>
      <c r="B257" s="54" t="s">
        <v>410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412</v>
      </c>
      <c r="B258" s="54" t="s">
        <v>413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415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416</v>
      </c>
      <c r="B263" s="54" t="s">
        <v>417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418</v>
      </c>
      <c r="B264" s="54" t="s">
        <v>419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421</v>
      </c>
      <c r="B265" s="54" t="s">
        <v>422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423</v>
      </c>
      <c r="B266" s="54" t="s">
        <v>424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426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427</v>
      </c>
      <c r="B271" s="54" t="s">
        <v>428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430</v>
      </c>
      <c r="B272" s="54" t="s">
        <v>431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433</v>
      </c>
      <c r="B273" s="54" t="s">
        <v>434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435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436</v>
      </c>
      <c r="B278" s="54" t="s">
        <v>437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439</v>
      </c>
      <c r="B279" s="54" t="s">
        <v>440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442</v>
      </c>
      <c r="B283" s="54" t="s">
        <v>443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445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446</v>
      </c>
      <c r="B288" s="54" t="s">
        <v>447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449</v>
      </c>
      <c r="B289" s="54" t="s">
        <v>450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455</v>
      </c>
      <c r="B291" s="54" t="s">
        <v>456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460</v>
      </c>
      <c r="B296" s="54" t="s">
        <v>461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463</v>
      </c>
      <c r="B297" s="54" t="s">
        <v>464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466</v>
      </c>
      <c r="B298" s="54" t="s">
        <v>467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479</v>
      </c>
      <c r="B306" s="54" t="s">
        <v>480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482</v>
      </c>
      <c r="B307" s="54" t="s">
        <v>483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485</v>
      </c>
      <c r="B308" s="54" t="s">
        <v>486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494</v>
      </c>
      <c r="B314" s="54" t="s">
        <v>495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77</v>
      </c>
      <c r="Y315" s="540">
        <f>IFERROR(IF(X315="",0,CEILING((X315/$H315),1)*$H315),"")</f>
        <v>78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81.876666666666679</v>
      </c>
      <c r="BN315" s="64">
        <f>IFERROR(Y315*I315/H315,"0")</f>
        <v>82.94</v>
      </c>
      <c r="BO315" s="64">
        <f>IFERROR(1/J315*(X315/H315),"0")</f>
        <v>0.15424679487179488</v>
      </c>
      <c r="BP315" s="64">
        <f>IFERROR(1/J315*(Y315/H315),"0")</f>
        <v>0.15625</v>
      </c>
    </row>
    <row r="316" spans="1:68" ht="16.5" customHeight="1" x14ac:dyDescent="0.25">
      <c r="A316" s="54" t="s">
        <v>500</v>
      </c>
      <c r="B316" s="54" t="s">
        <v>501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9.8717948717948723</v>
      </c>
      <c r="Y317" s="541">
        <f>IFERROR(Y314/H314,"0")+IFERROR(Y315/H315,"0")+IFERROR(Y316/H316,"0")</f>
        <v>10</v>
      </c>
      <c r="Z317" s="541">
        <f>IFERROR(IF(Z314="",0,Z314),"0")+IFERROR(IF(Z315="",0,Z315),"0")+IFERROR(IF(Z316="",0,Z316),"0")</f>
        <v>0.1898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77</v>
      </c>
      <c r="Y318" s="541">
        <f>IFERROR(SUM(Y314:Y316),"0")</f>
        <v>78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503</v>
      </c>
      <c r="B320" s="54" t="s">
        <v>504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506</v>
      </c>
      <c r="B321" s="54" t="s">
        <v>507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508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512</v>
      </c>
      <c r="B323" s="54" t="s">
        <v>513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514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515</v>
      </c>
      <c r="B327" s="54" t="s">
        <v>516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1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1.1200000000000001</v>
      </c>
      <c r="BN328" s="64">
        <f>IFERROR(Y328*I328/H328,"0")</f>
        <v>2.2400000000000002</v>
      </c>
      <c r="BO328" s="64">
        <f>IFERROR(1/J328*(X328/H328),"0")</f>
        <v>2.1008403361344537E-3</v>
      </c>
      <c r="BP328" s="64">
        <f>IFERROR(1/J328*(Y328/H328),"0")</f>
        <v>4.2016806722689074E-3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2</v>
      </c>
      <c r="Y329" s="540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1.5</v>
      </c>
      <c r="Y330" s="541">
        <f>IFERROR(Y327/H327,"0")+IFERROR(Y328/H328,"0")+IFERROR(Y329/H329,"0")</f>
        <v>2</v>
      </c>
      <c r="Z330" s="541">
        <f>IFERROR(IF(Z327="",0,Z327),"0")+IFERROR(IF(Z328="",0,Z328),"0")+IFERROR(IF(Z329="",0,Z329),"0")</f>
        <v>9.4800000000000006E-3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3</v>
      </c>
      <c r="Y331" s="541">
        <f>IFERROR(SUM(Y327:Y329),"0")</f>
        <v>4</v>
      </c>
      <c r="Z331" s="37"/>
      <c r="AA331" s="542"/>
      <c r="AB331" s="542"/>
      <c r="AC331" s="542"/>
    </row>
    <row r="332" spans="1:68" ht="16.5" customHeight="1" x14ac:dyDescent="0.25">
      <c r="A332" s="552" t="s">
        <v>523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524</v>
      </c>
      <c r="B334" s="54" t="s">
        <v>525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527</v>
      </c>
      <c r="B335" s="54" t="s">
        <v>528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530</v>
      </c>
      <c r="B336" s="54" t="s">
        <v>531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533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534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100</v>
      </c>
      <c r="Y342" s="540">
        <f t="shared" ref="Y342:Y348" si="31">IFERROR(IF(X342="",0,CEILING((X342/$H342),1)*$H342),"")</f>
        <v>105</v>
      </c>
      <c r="Z342" s="36">
        <f>IFERROR(IF(Y342=0,"",ROUNDUP(Y342/H342,0)*0.02175),"")</f>
        <v>0.15225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103.13333333333334</v>
      </c>
      <c r="BN342" s="64">
        <f t="shared" ref="BN342:BN348" si="33">IFERROR(Y342*I342/H342,"0")</f>
        <v>108.29</v>
      </c>
      <c r="BO342" s="64">
        <f t="shared" ref="BO342:BO348" si="34">IFERROR(1/J342*(X342/H342),"0")</f>
        <v>0.1388888888888889</v>
      </c>
      <c r="BP342" s="64">
        <f t="shared" ref="BP342:BP348" si="35">IFERROR(1/J342*(Y342/H342),"0")</f>
        <v>0.14583333333333331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135</v>
      </c>
      <c r="Y343" s="540">
        <f t="shared" si="31"/>
        <v>135</v>
      </c>
      <c r="Z343" s="36">
        <f>IFERROR(IF(Y343=0,"",ROUNDUP(Y343/H343,0)*0.02175),"")</f>
        <v>0.19574999999999998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139.23000000000002</v>
      </c>
      <c r="BN343" s="64">
        <f t="shared" si="33"/>
        <v>139.23000000000002</v>
      </c>
      <c r="BO343" s="64">
        <f t="shared" si="34"/>
        <v>0.1875</v>
      </c>
      <c r="BP343" s="64">
        <f t="shared" si="35"/>
        <v>0.1875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149</v>
      </c>
      <c r="Y344" s="540">
        <f t="shared" si="31"/>
        <v>150</v>
      </c>
      <c r="Z344" s="36">
        <f>IFERROR(IF(Y344=0,"",ROUNDUP(Y344/H344,0)*0.02175),"")</f>
        <v>0.21749999999999997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153.66866666666667</v>
      </c>
      <c r="BN344" s="64">
        <f t="shared" si="33"/>
        <v>154.69999999999999</v>
      </c>
      <c r="BO344" s="64">
        <f t="shared" si="34"/>
        <v>0.20694444444444443</v>
      </c>
      <c r="BP344" s="64">
        <f t="shared" si="35"/>
        <v>0.20833333333333331</v>
      </c>
    </row>
    <row r="345" spans="1:68" ht="27" customHeight="1" x14ac:dyDescent="0.25">
      <c r="A345" s="54" t="s">
        <v>544</v>
      </c>
      <c r="B345" s="54" t="s">
        <v>545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546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548</v>
      </c>
      <c r="B346" s="54" t="s">
        <v>549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551</v>
      </c>
      <c r="B347" s="54" t="s">
        <v>552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553</v>
      </c>
      <c r="B348" s="54" t="s">
        <v>554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25.6</v>
      </c>
      <c r="Y349" s="541">
        <f>IFERROR(Y342/H342,"0")+IFERROR(Y343/H343,"0")+IFERROR(Y344/H344,"0")+IFERROR(Y345/H345,"0")+IFERROR(Y346/H346,"0")+IFERROR(Y347/H347,"0")+IFERROR(Y348/H348,"0")</f>
        <v>26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0.56549999999999989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384</v>
      </c>
      <c r="Y350" s="541">
        <f>IFERROR(SUM(Y342:Y348),"0")</f>
        <v>390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77</v>
      </c>
      <c r="Y352" s="540">
        <f>IFERROR(IF(X352="",0,CEILING((X352/$H352),1)*$H352),"")</f>
        <v>90</v>
      </c>
      <c r="Z352" s="36">
        <f>IFERROR(IF(Y352=0,"",ROUNDUP(Y352/H352,0)*0.02175),"")</f>
        <v>0.1305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79.412666666666667</v>
      </c>
      <c r="BN352" s="64">
        <f>IFERROR(Y352*I352/H352,"0")</f>
        <v>92.82</v>
      </c>
      <c r="BO352" s="64">
        <f>IFERROR(1/J352*(X352/H352),"0")</f>
        <v>0.10694444444444445</v>
      </c>
      <c r="BP352" s="64">
        <f>IFERROR(1/J352*(Y352/H352),"0")</f>
        <v>0.125</v>
      </c>
    </row>
    <row r="353" spans="1:68" ht="16.5" customHeight="1" x14ac:dyDescent="0.25">
      <c r="A353" s="54" t="s">
        <v>558</v>
      </c>
      <c r="B353" s="54" t="s">
        <v>559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5.1333333333333337</v>
      </c>
      <c r="Y354" s="541">
        <f>IFERROR(Y352/H352,"0")+IFERROR(Y353/H353,"0")</f>
        <v>6</v>
      </c>
      <c r="Z354" s="541">
        <f>IFERROR(IF(Z352="",0,Z352),"0")+IFERROR(IF(Z353="",0,Z353),"0")</f>
        <v>0.1305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77</v>
      </c>
      <c r="Y355" s="541">
        <f>IFERROR(SUM(Y352:Y353),"0")</f>
        <v>90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560</v>
      </c>
      <c r="B357" s="54" t="s">
        <v>561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47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49.579777777777771</v>
      </c>
      <c r="BN358" s="64">
        <f>IFERROR(Y358*I358/H358,"0")</f>
        <v>56.963999999999992</v>
      </c>
      <c r="BO358" s="64">
        <f>IFERROR(1/J358*(X358/H358),"0")</f>
        <v>8.1597222222222224E-2</v>
      </c>
      <c r="BP358" s="64">
        <f>IFERROR(1/J358*(Y358/H358),"0")</f>
        <v>9.375E-2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5.2222222222222223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47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566</v>
      </c>
      <c r="B362" s="54" t="s">
        <v>567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569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570</v>
      </c>
      <c r="B367" s="54" t="s">
        <v>571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573</v>
      </c>
      <c r="B368" s="54" t="s">
        <v>574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575</v>
      </c>
      <c r="B372" s="54" t="s">
        <v>576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575</v>
      </c>
      <c r="B373" s="54" t="s">
        <v>578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47</v>
      </c>
      <c r="Y377" s="540">
        <f>IFERROR(IF(X377="",0,CEILING((X377/$H377),1)*$H377),"")</f>
        <v>54</v>
      </c>
      <c r="Z377" s="36">
        <f>IFERROR(IF(Y377=0,"",ROUNDUP(Y377/H377,0)*0.01898),"")</f>
        <v>0.11388000000000001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49.579777777777771</v>
      </c>
      <c r="BN377" s="64">
        <f>IFERROR(Y377*I377/H377,"0")</f>
        <v>56.963999999999992</v>
      </c>
      <c r="BO377" s="64">
        <f>IFERROR(1/J377*(X377/H377),"0")</f>
        <v>8.1597222222222224E-2</v>
      </c>
      <c r="BP377" s="64">
        <f>IFERROR(1/J377*(Y377/H377),"0")</f>
        <v>9.375E-2</v>
      </c>
    </row>
    <row r="378" spans="1:68" ht="27" customHeight="1" x14ac:dyDescent="0.25">
      <c r="A378" s="54" t="s">
        <v>583</v>
      </c>
      <c r="B378" s="54" t="s">
        <v>584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5.2222222222222223</v>
      </c>
      <c r="Y379" s="541">
        <f>IFERROR(Y377/H377,"0")+IFERROR(Y378/H378,"0")</f>
        <v>6</v>
      </c>
      <c r="Z379" s="541">
        <f>IFERROR(IF(Z377="",0,Z377),"0")+IFERROR(IF(Z378="",0,Z378),"0")</f>
        <v>0.11388000000000001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47</v>
      </c>
      <c r="Y380" s="541">
        <f>IFERROR(SUM(Y377:Y378),"0")</f>
        <v>54</v>
      </c>
      <c r="Z380" s="37"/>
      <c r="AA380" s="542"/>
      <c r="AB380" s="542"/>
      <c r="AC380" s="542"/>
    </row>
    <row r="381" spans="1:68" ht="27.75" customHeight="1" x14ac:dyDescent="0.2">
      <c r="A381" s="693" t="s">
        <v>585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586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587</v>
      </c>
      <c r="B384" s="54" t="s">
        <v>588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590</v>
      </c>
      <c r="B385" s="54" t="s">
        <v>591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593</v>
      </c>
      <c r="B386" s="54" t="s">
        <v>594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596</v>
      </c>
      <c r="B387" s="54" t="s">
        <v>597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598</v>
      </c>
      <c r="B388" s="54" t="s">
        <v>599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600</v>
      </c>
      <c r="B389" s="54" t="s">
        <v>601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603</v>
      </c>
      <c r="B390" s="54" t="s">
        <v>604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606</v>
      </c>
      <c r="B391" s="54" t="s">
        <v>607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609</v>
      </c>
      <c r="B392" s="54" t="s">
        <v>610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611</v>
      </c>
      <c r="B396" s="54" t="s">
        <v>612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614</v>
      </c>
      <c r="B397" s="54" t="s">
        <v>615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617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618</v>
      </c>
      <c r="B402" s="54" t="s">
        <v>619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21</v>
      </c>
      <c r="Y406" s="540">
        <f>IFERROR(IF(X406="",0,CEILING((X406/$H406),1)*$H406),"")</f>
        <v>21.6</v>
      </c>
      <c r="Z406" s="36">
        <f>IFERROR(IF(Y406=0,"",ROUNDUP(Y406/H406,0)*0.00902),"")</f>
        <v>3.6080000000000001E-2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21.738888888888887</v>
      </c>
      <c r="BN406" s="64">
        <f>IFERROR(Y406*I406/H406,"0")</f>
        <v>22.36</v>
      </c>
      <c r="BO406" s="64">
        <f>IFERROR(1/J406*(X406/H406),"0")</f>
        <v>2.9461279461279462E-2</v>
      </c>
      <c r="BP406" s="64">
        <f>IFERROR(1/J406*(Y406/H406),"0")</f>
        <v>3.0303030303030304E-2</v>
      </c>
    </row>
    <row r="407" spans="1:68" ht="27" customHeight="1" x14ac:dyDescent="0.25">
      <c r="A407" s="54" t="s">
        <v>624</v>
      </c>
      <c r="B407" s="54" t="s">
        <v>625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627</v>
      </c>
      <c r="B408" s="54" t="s">
        <v>628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630</v>
      </c>
      <c r="B409" s="54" t="s">
        <v>631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3.8888888888888888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3.6080000000000001E-2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21</v>
      </c>
      <c r="Y411" s="541">
        <f>IFERROR(SUM(Y406:Y409),"0")</f>
        <v>21.6</v>
      </c>
      <c r="Z411" s="37"/>
      <c r="AA411" s="542"/>
      <c r="AB411" s="542"/>
      <c r="AC411" s="542"/>
    </row>
    <row r="412" spans="1:68" ht="16.5" customHeight="1" x14ac:dyDescent="0.25">
      <c r="A412" s="552" t="s">
        <v>632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633</v>
      </c>
      <c r="B414" s="54" t="s">
        <v>634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636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636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7</v>
      </c>
      <c r="Y420" s="540">
        <f t="shared" ref="Y420:Y430" si="42">IFERROR(IF(X420="",0,CEILING((X420/$H420),1)*$H420),"")</f>
        <v>10.56</v>
      </c>
      <c r="Z420" s="36">
        <f t="shared" ref="Z420:Z425" si="43">IFERROR(IF(Y420=0,"",ROUNDUP(Y420/H420,0)*0.01196),"")</f>
        <v>2.392E-2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7.4640151515151505</v>
      </c>
      <c r="BN420" s="64">
        <f t="shared" ref="BN420:BN430" si="45">IFERROR(Y420*I420/H420,"0")</f>
        <v>11.26</v>
      </c>
      <c r="BO420" s="64">
        <f t="shared" ref="BO420:BO430" si="46">IFERROR(1/J420*(X420/H420),"0")</f>
        <v>1.2747668997668998E-2</v>
      </c>
      <c r="BP420" s="64">
        <f t="shared" ref="BP420:BP430" si="47">IFERROR(1/J420*(Y420/H420),"0")</f>
        <v>1.9230769230769232E-2</v>
      </c>
    </row>
    <row r="421" spans="1:68" ht="27" customHeight="1" x14ac:dyDescent="0.25">
      <c r="A421" s="54" t="s">
        <v>639</v>
      </c>
      <c r="B421" s="54" t="s">
        <v>640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56</v>
      </c>
      <c r="Y422" s="540">
        <f t="shared" si="42"/>
        <v>58.080000000000005</v>
      </c>
      <c r="Z422" s="36">
        <f t="shared" si="43"/>
        <v>0.13156000000000001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59.712121212121204</v>
      </c>
      <c r="BN422" s="64">
        <f t="shared" si="45"/>
        <v>61.93</v>
      </c>
      <c r="BO422" s="64">
        <f t="shared" si="46"/>
        <v>0.10198135198135198</v>
      </c>
      <c r="BP422" s="64">
        <f t="shared" si="47"/>
        <v>0.10576923076923078</v>
      </c>
    </row>
    <row r="423" spans="1:68" ht="27" customHeight="1" x14ac:dyDescent="0.25">
      <c r="A423" s="54" t="s">
        <v>645</v>
      </c>
      <c r="B423" s="54" t="s">
        <v>646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648</v>
      </c>
      <c r="B424" s="54" t="s">
        <v>649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79</v>
      </c>
      <c r="Y425" s="540">
        <f t="shared" si="42"/>
        <v>79.2</v>
      </c>
      <c r="Z425" s="36">
        <f t="shared" si="43"/>
        <v>0.1794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84.236742424242422</v>
      </c>
      <c r="BN425" s="64">
        <f t="shared" si="45"/>
        <v>84.45</v>
      </c>
      <c r="BO425" s="64">
        <f t="shared" si="46"/>
        <v>0.14386655011655011</v>
      </c>
      <c r="BP425" s="64">
        <f t="shared" si="47"/>
        <v>0.14423076923076925</v>
      </c>
    </row>
    <row r="426" spans="1:68" ht="27" customHeight="1" x14ac:dyDescent="0.25">
      <c r="A426" s="54" t="s">
        <v>654</v>
      </c>
      <c r="B426" s="54" t="s">
        <v>655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656</v>
      </c>
      <c r="B427" s="54" t="s">
        <v>657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658</v>
      </c>
      <c r="B428" s="54" t="s">
        <v>659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663</v>
      </c>
      <c r="B430" s="54" t="s">
        <v>664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26.893939393939391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0.33488000000000001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142</v>
      </c>
      <c r="Y432" s="541">
        <f>IFERROR(SUM(Y420:Y430),"0")</f>
        <v>147.84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665</v>
      </c>
      <c r="B434" s="54" t="s">
        <v>666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668</v>
      </c>
      <c r="B435" s="54" t="s">
        <v>669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670</v>
      </c>
      <c r="B436" s="54" t="s">
        <v>671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55</v>
      </c>
      <c r="Y440" s="540">
        <f t="shared" ref="Y440:Y445" si="48">IFERROR(IF(X440="",0,CEILING((X440/$H440),1)*$H440),"")</f>
        <v>58.080000000000005</v>
      </c>
      <c r="Z440" s="36">
        <f>IFERROR(IF(Y440=0,"",ROUNDUP(Y440/H440,0)*0.01196),"")</f>
        <v>0.13156000000000001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58.645833333333329</v>
      </c>
      <c r="BN440" s="64">
        <f t="shared" ref="BN440:BN445" si="50">IFERROR(Y440*I440/H440,"0")</f>
        <v>61.93</v>
      </c>
      <c r="BO440" s="64">
        <f t="shared" ref="BO440:BO445" si="51">IFERROR(1/J440*(X440/H440),"0")</f>
        <v>0.10016025641025642</v>
      </c>
      <c r="BP440" s="64">
        <f t="shared" ref="BP440:BP445" si="52">IFERROR(1/J440*(Y440/H440),"0")</f>
        <v>0.10576923076923078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73</v>
      </c>
      <c r="Y441" s="540">
        <f t="shared" si="48"/>
        <v>73.92</v>
      </c>
      <c r="Z441" s="36">
        <f>IFERROR(IF(Y441=0,"",ROUNDUP(Y441/H441,0)*0.01196),"")</f>
        <v>0.16744000000000001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77.839015151515156</v>
      </c>
      <c r="BN441" s="64">
        <f t="shared" si="50"/>
        <v>78.819999999999993</v>
      </c>
      <c r="BO441" s="64">
        <f t="shared" si="51"/>
        <v>0.13293997668997667</v>
      </c>
      <c r="BP441" s="64">
        <f t="shared" si="52"/>
        <v>0.13461538461538464</v>
      </c>
    </row>
    <row r="442" spans="1:68" ht="27" customHeight="1" x14ac:dyDescent="0.25">
      <c r="A442" s="54" t="s">
        <v>678</v>
      </c>
      <c r="B442" s="54" t="s">
        <v>679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681</v>
      </c>
      <c r="B443" s="54" t="s">
        <v>682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683</v>
      </c>
      <c r="B444" s="54" t="s">
        <v>684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685</v>
      </c>
      <c r="B445" s="54" t="s">
        <v>686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24.242424242424242</v>
      </c>
      <c r="Y446" s="541">
        <f>IFERROR(Y440/H440,"0")+IFERROR(Y441/H441,"0")+IFERROR(Y442/H442,"0")+IFERROR(Y443/H443,"0")+IFERROR(Y444/H444,"0")+IFERROR(Y445/H445,"0")</f>
        <v>25</v>
      </c>
      <c r="Z446" s="541">
        <f>IFERROR(IF(Z440="",0,Z440),"0")+IFERROR(IF(Z441="",0,Z441),"0")+IFERROR(IF(Z442="",0,Z442),"0")+IFERROR(IF(Z443="",0,Z443),"0")+IFERROR(IF(Z444="",0,Z444),"0")+IFERROR(IF(Z445="",0,Z445),"0")</f>
        <v>0.29900000000000004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128</v>
      </c>
      <c r="Y447" s="541">
        <f>IFERROR(SUM(Y440:Y445),"0")</f>
        <v>132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687</v>
      </c>
      <c r="B449" s="54" t="s">
        <v>688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690</v>
      </c>
      <c r="B450" s="54" t="s">
        <v>691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693</v>
      </c>
      <c r="B451" s="54" t="s">
        <v>694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696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696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697</v>
      </c>
      <c r="B457" s="54" t="s">
        <v>698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700</v>
      </c>
      <c r="B458" s="54" t="s">
        <v>701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703</v>
      </c>
      <c r="B459" s="54" t="s">
        <v>704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706</v>
      </c>
      <c r="B460" s="54" t="s">
        <v>707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708</v>
      </c>
      <c r="B464" s="54" t="s">
        <v>709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711</v>
      </c>
      <c r="B465" s="54" t="s">
        <v>712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714</v>
      </c>
      <c r="B466" s="54" t="s">
        <v>715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717</v>
      </c>
      <c r="B470" s="54" t="s">
        <v>718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720</v>
      </c>
      <c r="B471" s="54" t="s">
        <v>721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6</v>
      </c>
      <c r="Y475" s="540">
        <f>IFERROR(IF(X475="",0,CEILING((X475/$H475),1)*$H475),"")</f>
        <v>9</v>
      </c>
      <c r="Z475" s="36">
        <f>IFERROR(IF(Y475=0,"",ROUNDUP(Y475/H475,0)*0.01898),"")</f>
        <v>1.898E-2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6.3293333333333335</v>
      </c>
      <c r="BN475" s="64">
        <f>IFERROR(Y475*I475/H475,"0")</f>
        <v>9.4939999999999998</v>
      </c>
      <c r="BO475" s="64">
        <f>IFERROR(1/J475*(X475/H475),"0")</f>
        <v>1.0416666666666666E-2</v>
      </c>
      <c r="BP475" s="64">
        <f>IFERROR(1/J475*(Y475/H475),"0")</f>
        <v>1.5625E-2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0.66666666666666663</v>
      </c>
      <c r="Y476" s="541">
        <f>IFERROR(Y475/H475,"0")</f>
        <v>1</v>
      </c>
      <c r="Z476" s="541">
        <f>IFERROR(IF(Z475="",0,Z475),"0")</f>
        <v>1.898E-2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6</v>
      </c>
      <c r="Y477" s="541">
        <f>IFERROR(SUM(Y475:Y475),"0")</f>
        <v>9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726</v>
      </c>
      <c r="B479" s="54" t="s">
        <v>727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729</v>
      </c>
      <c r="B480" s="54" t="s">
        <v>730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732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733</v>
      </c>
      <c r="B485" s="54" t="s">
        <v>734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736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1246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1306.8400000000001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737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1312.3051717171718</v>
      </c>
      <c r="Y489" s="541">
        <f>IFERROR(SUM(BN22:BN485),"0")</f>
        <v>1376.3659999999998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738</v>
      </c>
      <c r="Q490" s="629"/>
      <c r="R490" s="629"/>
      <c r="S490" s="629"/>
      <c r="T490" s="629"/>
      <c r="U490" s="629"/>
      <c r="V490" s="630"/>
      <c r="W490" s="37" t="s">
        <v>739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740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1387.3051717171718</v>
      </c>
      <c r="Y491" s="541">
        <f>GrossWeightTotalR+PalletQtyTotalR*25</f>
        <v>1451.3659999999998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741</v>
      </c>
      <c r="Q492" s="629"/>
      <c r="R492" s="629"/>
      <c r="S492" s="629"/>
      <c r="T492" s="629"/>
      <c r="U492" s="629"/>
      <c r="V492" s="630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189.86186221186219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198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742</v>
      </c>
      <c r="Q493" s="629"/>
      <c r="R493" s="629"/>
      <c r="S493" s="629"/>
      <c r="T493" s="629"/>
      <c r="U493" s="629"/>
      <c r="V493" s="630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2.5610900000000001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255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533</v>
      </c>
      <c r="T495" s="594"/>
      <c r="U495" s="575" t="s">
        <v>585</v>
      </c>
      <c r="V495" s="593"/>
      <c r="W495" s="594"/>
      <c r="X495" s="536" t="s">
        <v>636</v>
      </c>
      <c r="Y495" s="575" t="s">
        <v>696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745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190</v>
      </c>
      <c r="G496" s="575" t="s">
        <v>220</v>
      </c>
      <c r="H496" s="575" t="s">
        <v>97</v>
      </c>
      <c r="I496" s="575" t="s">
        <v>256</v>
      </c>
      <c r="J496" s="575" t="s">
        <v>297</v>
      </c>
      <c r="K496" s="575" t="s">
        <v>357</v>
      </c>
      <c r="L496" s="575" t="s">
        <v>399</v>
      </c>
      <c r="M496" s="575" t="s">
        <v>415</v>
      </c>
      <c r="N496" s="537"/>
      <c r="O496" s="575" t="s">
        <v>426</v>
      </c>
      <c r="P496" s="575" t="s">
        <v>435</v>
      </c>
      <c r="Q496" s="575" t="s">
        <v>445</v>
      </c>
      <c r="R496" s="575" t="s">
        <v>523</v>
      </c>
      <c r="S496" s="575" t="s">
        <v>534</v>
      </c>
      <c r="T496" s="575" t="s">
        <v>569</v>
      </c>
      <c r="U496" s="575" t="s">
        <v>586</v>
      </c>
      <c r="V496" s="575" t="s">
        <v>617</v>
      </c>
      <c r="W496" s="575" t="s">
        <v>632</v>
      </c>
      <c r="X496" s="575" t="s">
        <v>636</v>
      </c>
      <c r="Y496" s="575" t="s">
        <v>696</v>
      </c>
      <c r="Z496" s="575" t="s">
        <v>732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8" s="46">
        <f>IFERROR(Y85*1,"0")+IFERROR(Y86*1,"0")+IFERROR(Y87*1,"0")+IFERROR(Y91*1,"0")+IFERROR(Y92*1,"0")+IFERROR(Y93*1,"0")+IFERROR(Y94*1,"0")</f>
        <v>56.699999999999996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218.4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534</v>
      </c>
      <c r="T498" s="46">
        <f>IFERROR(Y367*1,"0")+IFERROR(Y368*1,"0")+IFERROR(Y372*1,"0")+IFERROR(Y373*1,"0")+IFERROR(Y377*1,"0")+IFERROR(Y378*1,"0")</f>
        <v>54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21.6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279.84000000000003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2025-11-07T07:03:48Z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