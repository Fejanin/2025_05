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EC0F5C68-2DC7-465D-AD83-A9D90CC943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" i="1" l="1"/>
  <c r="S7" i="1" l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7" i="1"/>
  <c r="S49" i="1"/>
  <c r="S51" i="1"/>
  <c r="S52" i="1"/>
  <c r="S53" i="1"/>
  <c r="S54" i="1"/>
  <c r="S55" i="1"/>
  <c r="S57" i="1"/>
  <c r="S58" i="1"/>
  <c r="S59" i="1"/>
  <c r="S61" i="1"/>
  <c r="S62" i="1"/>
  <c r="S63" i="1"/>
  <c r="S64" i="1"/>
  <c r="S66" i="1"/>
  <c r="S67" i="1"/>
  <c r="S69" i="1"/>
  <c r="S72" i="1"/>
  <c r="S74" i="1"/>
  <c r="S75" i="1"/>
  <c r="S6" i="1"/>
  <c r="AH57" i="1" l="1"/>
  <c r="AJ54" i="1"/>
  <c r="AK54" i="1" s="1"/>
  <c r="AJ41" i="1"/>
  <c r="AK41" i="1" s="1"/>
  <c r="AH35" i="1"/>
  <c r="AJ15" i="1"/>
  <c r="AH54" i="1"/>
  <c r="P7" i="1"/>
  <c r="X7" i="1" s="1"/>
  <c r="P8" i="1"/>
  <c r="X8" i="1" s="1"/>
  <c r="P9" i="1"/>
  <c r="X9" i="1" s="1"/>
  <c r="P10" i="1"/>
  <c r="P11" i="1"/>
  <c r="X11" i="1" s="1"/>
  <c r="P13" i="1"/>
  <c r="P14" i="1"/>
  <c r="P15" i="1"/>
  <c r="X15" i="1" s="1"/>
  <c r="P16" i="1"/>
  <c r="P17" i="1"/>
  <c r="P18" i="1"/>
  <c r="P19" i="1"/>
  <c r="P20" i="1"/>
  <c r="P21" i="1"/>
  <c r="P22" i="1"/>
  <c r="P23" i="1"/>
  <c r="AH23" i="1" s="1"/>
  <c r="P24" i="1"/>
  <c r="X24" i="1" s="1"/>
  <c r="P25" i="1"/>
  <c r="AJ25" i="1" s="1"/>
  <c r="AK25" i="1" s="1"/>
  <c r="P26" i="1"/>
  <c r="X26" i="1" s="1"/>
  <c r="P27" i="1"/>
  <c r="AH27" i="1" s="1"/>
  <c r="P28" i="1"/>
  <c r="W28" i="1" s="1"/>
  <c r="P29" i="1"/>
  <c r="P30" i="1"/>
  <c r="P31" i="1"/>
  <c r="X31" i="1" s="1"/>
  <c r="P32" i="1"/>
  <c r="R32" i="1" s="1"/>
  <c r="S32" i="1" s="1"/>
  <c r="P33" i="1"/>
  <c r="P34" i="1"/>
  <c r="X34" i="1" s="1"/>
  <c r="P35" i="1"/>
  <c r="X35" i="1" s="1"/>
  <c r="P36" i="1"/>
  <c r="P37" i="1"/>
  <c r="X37" i="1" s="1"/>
  <c r="P38" i="1"/>
  <c r="P39" i="1"/>
  <c r="X39" i="1" s="1"/>
  <c r="P40" i="1"/>
  <c r="P41" i="1"/>
  <c r="X41" i="1" s="1"/>
  <c r="P42" i="1"/>
  <c r="P43" i="1"/>
  <c r="X43" i="1" s="1"/>
  <c r="P44" i="1"/>
  <c r="W44" i="1" s="1"/>
  <c r="P45" i="1"/>
  <c r="AJ45" i="1" s="1"/>
  <c r="P46" i="1"/>
  <c r="P47" i="1"/>
  <c r="AH47" i="1" s="1"/>
  <c r="P48" i="1"/>
  <c r="P49" i="1"/>
  <c r="AH49" i="1" s="1"/>
  <c r="P50" i="1"/>
  <c r="R50" i="1" s="1"/>
  <c r="S50" i="1" s="1"/>
  <c r="P51" i="1"/>
  <c r="AJ51" i="1" s="1"/>
  <c r="P52" i="1"/>
  <c r="P53" i="1"/>
  <c r="X53" i="1" s="1"/>
  <c r="P54" i="1"/>
  <c r="X54" i="1" s="1"/>
  <c r="P55" i="1"/>
  <c r="W55" i="1" s="1"/>
  <c r="P56" i="1"/>
  <c r="R56" i="1" s="1"/>
  <c r="S56" i="1" s="1"/>
  <c r="P57" i="1"/>
  <c r="P58" i="1"/>
  <c r="P59" i="1"/>
  <c r="P60" i="1"/>
  <c r="R60" i="1" s="1"/>
  <c r="S60" i="1" s="1"/>
  <c r="P61" i="1"/>
  <c r="AJ61" i="1" s="1"/>
  <c r="AK61" i="1" s="1"/>
  <c r="P62" i="1"/>
  <c r="W62" i="1" s="1"/>
  <c r="P63" i="1"/>
  <c r="W63" i="1" s="1"/>
  <c r="P64" i="1"/>
  <c r="P65" i="1"/>
  <c r="P66" i="1"/>
  <c r="P67" i="1"/>
  <c r="X67" i="1" s="1"/>
  <c r="P68" i="1"/>
  <c r="R68" i="1" s="1"/>
  <c r="S68" i="1" s="1"/>
  <c r="P69" i="1"/>
  <c r="AH69" i="1" s="1"/>
  <c r="P70" i="1"/>
  <c r="R70" i="1" s="1"/>
  <c r="S70" i="1" s="1"/>
  <c r="P71" i="1"/>
  <c r="P72" i="1"/>
  <c r="P74" i="1"/>
  <c r="W74" i="1" s="1"/>
  <c r="P75" i="1"/>
  <c r="X75" i="1" s="1"/>
  <c r="P6" i="1"/>
  <c r="AJ75" i="1"/>
  <c r="AN75" i="1" s="1"/>
  <c r="AH75" i="1"/>
  <c r="T75" i="1"/>
  <c r="L75" i="1"/>
  <c r="L74" i="1"/>
  <c r="F73" i="1"/>
  <c r="E73" i="1"/>
  <c r="L73" i="1" s="1"/>
  <c r="L72" i="1"/>
  <c r="L71" i="1"/>
  <c r="L70" i="1"/>
  <c r="AJ69" i="1"/>
  <c r="AK69" i="1" s="1"/>
  <c r="L69" i="1"/>
  <c r="L68" i="1"/>
  <c r="L67" i="1"/>
  <c r="L66" i="1"/>
  <c r="X65" i="1"/>
  <c r="L65" i="1"/>
  <c r="L64" i="1"/>
  <c r="L63" i="1"/>
  <c r="L62" i="1"/>
  <c r="AH61" i="1"/>
  <c r="L61" i="1"/>
  <c r="L60" i="1"/>
  <c r="X59" i="1"/>
  <c r="L59" i="1"/>
  <c r="L58" i="1"/>
  <c r="AJ57" i="1"/>
  <c r="AK57" i="1" s="1"/>
  <c r="X57" i="1"/>
  <c r="L57" i="1"/>
  <c r="L56" i="1"/>
  <c r="L55" i="1"/>
  <c r="L54" i="1"/>
  <c r="AJ53" i="1"/>
  <c r="AN53" i="1" s="1"/>
  <c r="AH53" i="1"/>
  <c r="T53" i="1"/>
  <c r="L53" i="1"/>
  <c r="L52" i="1"/>
  <c r="AH51" i="1"/>
  <c r="L51" i="1"/>
  <c r="L50" i="1"/>
  <c r="L49" i="1"/>
  <c r="L48" i="1"/>
  <c r="L47" i="1"/>
  <c r="L46" i="1"/>
  <c r="AH45" i="1"/>
  <c r="L45" i="1"/>
  <c r="L44" i="1"/>
  <c r="L43" i="1"/>
  <c r="L42" i="1"/>
  <c r="AH41" i="1"/>
  <c r="L41" i="1"/>
  <c r="L40" i="1"/>
  <c r="L39" i="1"/>
  <c r="L38" i="1"/>
  <c r="L37" i="1"/>
  <c r="L36" i="1"/>
  <c r="AJ35" i="1"/>
  <c r="AK35" i="1" s="1"/>
  <c r="L35" i="1"/>
  <c r="L34" i="1"/>
  <c r="L33" i="1"/>
  <c r="L32" i="1"/>
  <c r="L31" i="1"/>
  <c r="L30" i="1"/>
  <c r="L29" i="1"/>
  <c r="L28" i="1"/>
  <c r="AJ27" i="1"/>
  <c r="AK27" i="1" s="1"/>
  <c r="L27" i="1"/>
  <c r="L26" i="1"/>
  <c r="AH25" i="1"/>
  <c r="L25" i="1"/>
  <c r="L24" i="1"/>
  <c r="L23" i="1"/>
  <c r="L22" i="1"/>
  <c r="L21" i="1"/>
  <c r="L20" i="1"/>
  <c r="X19" i="1"/>
  <c r="L19" i="1"/>
  <c r="L18" i="1"/>
  <c r="L17" i="1"/>
  <c r="L16" i="1"/>
  <c r="AH15" i="1"/>
  <c r="L15" i="1"/>
  <c r="L14" i="1"/>
  <c r="X13" i="1"/>
  <c r="L13" i="1"/>
  <c r="F12" i="1"/>
  <c r="E12" i="1"/>
  <c r="L12" i="1" s="1"/>
  <c r="L11" i="1"/>
  <c r="L10" i="1"/>
  <c r="L9" i="1"/>
  <c r="L8" i="1"/>
  <c r="AJ7" i="1"/>
  <c r="AK7" i="1" s="1"/>
  <c r="AH7" i="1"/>
  <c r="L7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R71" i="1" l="1"/>
  <c r="S71" i="1" s="1"/>
  <c r="AJ71" i="1" s="1"/>
  <c r="R65" i="1"/>
  <c r="S65" i="1" s="1"/>
  <c r="AH65" i="1" s="1"/>
  <c r="X48" i="1"/>
  <c r="R48" i="1"/>
  <c r="S48" i="1" s="1"/>
  <c r="AJ48" i="1" s="1"/>
  <c r="AK48" i="1" s="1"/>
  <c r="X46" i="1"/>
  <c r="R46" i="1"/>
  <c r="S46" i="1" s="1"/>
  <c r="X49" i="1"/>
  <c r="X10" i="1"/>
  <c r="X23" i="1"/>
  <c r="X45" i="1"/>
  <c r="X47" i="1"/>
  <c r="AJ49" i="1"/>
  <c r="AN49" i="1" s="1"/>
  <c r="AH9" i="1"/>
  <c r="X17" i="1"/>
  <c r="X21" i="1"/>
  <c r="X25" i="1"/>
  <c r="X27" i="1"/>
  <c r="X29" i="1"/>
  <c r="X33" i="1"/>
  <c r="AJ47" i="1"/>
  <c r="AN47" i="1" s="1"/>
  <c r="X51" i="1"/>
  <c r="X61" i="1"/>
  <c r="X69" i="1"/>
  <c r="X71" i="1"/>
  <c r="P12" i="1"/>
  <c r="AJ33" i="1"/>
  <c r="AK33" i="1" s="1"/>
  <c r="AH33" i="1"/>
  <c r="AJ29" i="1"/>
  <c r="T29" i="1" s="1"/>
  <c r="W29" i="1" s="1"/>
  <c r="AH29" i="1"/>
  <c r="AH17" i="1"/>
  <c r="AJ17" i="1"/>
  <c r="T17" i="1" s="1"/>
  <c r="W17" i="1" s="1"/>
  <c r="AJ13" i="1"/>
  <c r="T13" i="1" s="1"/>
  <c r="W13" i="1" s="1"/>
  <c r="AH13" i="1"/>
  <c r="AJ23" i="1"/>
  <c r="AN23" i="1" s="1"/>
  <c r="X72" i="1"/>
  <c r="AH70" i="1"/>
  <c r="AJ70" i="1"/>
  <c r="AN70" i="1" s="1"/>
  <c r="X68" i="1"/>
  <c r="X66" i="1"/>
  <c r="X64" i="1"/>
  <c r="X60" i="1"/>
  <c r="X58" i="1"/>
  <c r="X56" i="1"/>
  <c r="X52" i="1"/>
  <c r="AH52" i="1"/>
  <c r="X50" i="1"/>
  <c r="X42" i="1"/>
  <c r="X40" i="1"/>
  <c r="X38" i="1"/>
  <c r="X36" i="1"/>
  <c r="AJ34" i="1"/>
  <c r="T34" i="1" s="1"/>
  <c r="W34" i="1" s="1"/>
  <c r="AH34" i="1"/>
  <c r="X32" i="1"/>
  <c r="X30" i="1"/>
  <c r="X22" i="1"/>
  <c r="X20" i="1"/>
  <c r="X18" i="1"/>
  <c r="X16" i="1"/>
  <c r="AH14" i="1"/>
  <c r="AJ14" i="1"/>
  <c r="AK14" i="1" s="1"/>
  <c r="AH10" i="1"/>
  <c r="AJ19" i="1"/>
  <c r="AH19" i="1"/>
  <c r="AH37" i="1"/>
  <c r="AJ37" i="1"/>
  <c r="AK37" i="1" s="1"/>
  <c r="X14" i="1"/>
  <c r="AN17" i="1"/>
  <c r="X70" i="1"/>
  <c r="AH67" i="1"/>
  <c r="AJ67" i="1"/>
  <c r="AK67" i="1" s="1"/>
  <c r="AJ59" i="1"/>
  <c r="AK59" i="1" s="1"/>
  <c r="AH59" i="1"/>
  <c r="AN51" i="1"/>
  <c r="T51" i="1"/>
  <c r="W51" i="1" s="1"/>
  <c r="AN45" i="1"/>
  <c r="T45" i="1"/>
  <c r="W45" i="1" s="1"/>
  <c r="AH21" i="1"/>
  <c r="AJ21" i="1"/>
  <c r="AK21" i="1" s="1"/>
  <c r="AJ31" i="1"/>
  <c r="AK31" i="1" s="1"/>
  <c r="AH31" i="1"/>
  <c r="AJ39" i="1"/>
  <c r="AK39" i="1" s="1"/>
  <c r="AH39" i="1"/>
  <c r="AJ43" i="1"/>
  <c r="AK43" i="1" s="1"/>
  <c r="AH43" i="1"/>
  <c r="AN15" i="1"/>
  <c r="T15" i="1"/>
  <c r="W15" i="1" s="1"/>
  <c r="AJ10" i="1"/>
  <c r="AN10" i="1" s="1"/>
  <c r="AJ52" i="1"/>
  <c r="AK52" i="1" s="1"/>
  <c r="T54" i="1"/>
  <c r="P73" i="1"/>
  <c r="AN54" i="1"/>
  <c r="X6" i="1"/>
  <c r="AJ6" i="1"/>
  <c r="AN6" i="1" s="1"/>
  <c r="AH6" i="1"/>
  <c r="E5" i="1"/>
  <c r="AK15" i="1"/>
  <c r="W24" i="1"/>
  <c r="AK51" i="1"/>
  <c r="W54" i="1"/>
  <c r="X62" i="1"/>
  <c r="F5" i="1"/>
  <c r="T7" i="1"/>
  <c r="W7" i="1" s="1"/>
  <c r="W11" i="1"/>
  <c r="T25" i="1"/>
  <c r="W25" i="1" s="1"/>
  <c r="T27" i="1"/>
  <c r="W27" i="1" s="1"/>
  <c r="X44" i="1"/>
  <c r="AK45" i="1"/>
  <c r="AK53" i="1"/>
  <c r="X74" i="1"/>
  <c r="AK75" i="1"/>
  <c r="L5" i="1"/>
  <c r="AN7" i="1"/>
  <c r="AN25" i="1"/>
  <c r="AN27" i="1"/>
  <c r="X28" i="1"/>
  <c r="W53" i="1"/>
  <c r="W75" i="1"/>
  <c r="T35" i="1"/>
  <c r="W35" i="1" s="1"/>
  <c r="AN35" i="1"/>
  <c r="T41" i="1"/>
  <c r="W41" i="1" s="1"/>
  <c r="AN41" i="1"/>
  <c r="X55" i="1"/>
  <c r="T57" i="1"/>
  <c r="W57" i="1" s="1"/>
  <c r="AN57" i="1"/>
  <c r="T61" i="1"/>
  <c r="W61" i="1" s="1"/>
  <c r="AN61" i="1"/>
  <c r="X63" i="1"/>
  <c r="T69" i="1"/>
  <c r="W69" i="1" s="1"/>
  <c r="AN69" i="1"/>
  <c r="T19" i="1" l="1"/>
  <c r="W19" i="1" s="1"/>
  <c r="AK19" i="1"/>
  <c r="T49" i="1"/>
  <c r="W49" i="1" s="1"/>
  <c r="AK71" i="1"/>
  <c r="T71" i="1"/>
  <c r="W71" i="1" s="1"/>
  <c r="AJ65" i="1"/>
  <c r="AK65" i="1" s="1"/>
  <c r="AH71" i="1"/>
  <c r="AN71" i="1"/>
  <c r="X73" i="1"/>
  <c r="R73" i="1"/>
  <c r="S73" i="1" s="1"/>
  <c r="X12" i="1"/>
  <c r="R12" i="1"/>
  <c r="AN33" i="1"/>
  <c r="AK29" i="1"/>
  <c r="AK13" i="1"/>
  <c r="AK47" i="1"/>
  <c r="AH48" i="1"/>
  <c r="AN29" i="1"/>
  <c r="AN39" i="1"/>
  <c r="T31" i="1"/>
  <c r="W31" i="1" s="1"/>
  <c r="AN48" i="1"/>
  <c r="AN13" i="1"/>
  <c r="T47" i="1"/>
  <c r="W47" i="1" s="1"/>
  <c r="T23" i="1"/>
  <c r="W23" i="1" s="1"/>
  <c r="AK10" i="1"/>
  <c r="AN43" i="1"/>
  <c r="AK49" i="1"/>
  <c r="T48" i="1"/>
  <c r="W48" i="1" s="1"/>
  <c r="AK17" i="1"/>
  <c r="T59" i="1"/>
  <c r="W59" i="1" s="1"/>
  <c r="T52" i="1"/>
  <c r="W52" i="1" s="1"/>
  <c r="AK34" i="1"/>
  <c r="AN34" i="1"/>
  <c r="AJ9" i="1"/>
  <c r="AN19" i="1"/>
  <c r="AN31" i="1"/>
  <c r="T37" i="1"/>
  <c r="W37" i="1" s="1"/>
  <c r="AN59" i="1"/>
  <c r="T33" i="1"/>
  <c r="W33" i="1" s="1"/>
  <c r="AK23" i="1"/>
  <c r="T10" i="1"/>
  <c r="W10" i="1" s="1"/>
  <c r="AN67" i="1"/>
  <c r="T43" i="1"/>
  <c r="W43" i="1" s="1"/>
  <c r="T39" i="1"/>
  <c r="W39" i="1" s="1"/>
  <c r="AK70" i="1"/>
  <c r="T14" i="1"/>
  <c r="W14" i="1" s="1"/>
  <c r="T70" i="1"/>
  <c r="W70" i="1" s="1"/>
  <c r="AJ26" i="1"/>
  <c r="AH26" i="1"/>
  <c r="AH16" i="1"/>
  <c r="AJ16" i="1"/>
  <c r="AJ18" i="1"/>
  <c r="AH18" i="1"/>
  <c r="AH20" i="1"/>
  <c r="AJ20" i="1"/>
  <c r="AH30" i="1"/>
  <c r="AJ30" i="1"/>
  <c r="AJ32" i="1"/>
  <c r="AH32" i="1"/>
  <c r="AJ36" i="1"/>
  <c r="AH36" i="1"/>
  <c r="AH38" i="1"/>
  <c r="AJ38" i="1"/>
  <c r="AJ40" i="1"/>
  <c r="AH40" i="1"/>
  <c r="AJ42" i="1"/>
  <c r="AH42" i="1"/>
  <c r="AH50" i="1"/>
  <c r="AJ50" i="1"/>
  <c r="AH56" i="1"/>
  <c r="AJ56" i="1"/>
  <c r="AH58" i="1"/>
  <c r="AJ58" i="1"/>
  <c r="AH60" i="1"/>
  <c r="AJ60" i="1"/>
  <c r="AJ64" i="1"/>
  <c r="AH64" i="1"/>
  <c r="AJ66" i="1"/>
  <c r="AH66" i="1"/>
  <c r="AH68" i="1"/>
  <c r="AJ68" i="1"/>
  <c r="AH72" i="1"/>
  <c r="AJ72" i="1"/>
  <c r="T67" i="1"/>
  <c r="W67" i="1" s="1"/>
  <c r="AN37" i="1"/>
  <c r="AN14" i="1"/>
  <c r="P5" i="1"/>
  <c r="AN21" i="1"/>
  <c r="T21" i="1"/>
  <c r="W21" i="1" s="1"/>
  <c r="AH8" i="1"/>
  <c r="AJ8" i="1"/>
  <c r="AJ46" i="1"/>
  <c r="AH46" i="1"/>
  <c r="AH22" i="1"/>
  <c r="AJ22" i="1"/>
  <c r="AN52" i="1"/>
  <c r="T6" i="1"/>
  <c r="W6" i="1" s="1"/>
  <c r="AK6" i="1"/>
  <c r="AN65" i="1" l="1"/>
  <c r="T65" i="1"/>
  <c r="W65" i="1" s="1"/>
  <c r="R5" i="1"/>
  <c r="S12" i="1"/>
  <c r="AK9" i="1"/>
  <c r="T9" i="1"/>
  <c r="W9" i="1" s="1"/>
  <c r="AN9" i="1"/>
  <c r="AK22" i="1"/>
  <c r="T22" i="1"/>
  <c r="W22" i="1" s="1"/>
  <c r="AN22" i="1"/>
  <c r="AN8" i="1"/>
  <c r="AK8" i="1"/>
  <c r="T8" i="1"/>
  <c r="W8" i="1" s="1"/>
  <c r="AJ73" i="1"/>
  <c r="AH73" i="1"/>
  <c r="AN72" i="1"/>
  <c r="AK72" i="1"/>
  <c r="T72" i="1"/>
  <c r="W72" i="1" s="1"/>
  <c r="AN68" i="1"/>
  <c r="T68" i="1"/>
  <c r="W68" i="1" s="1"/>
  <c r="AK68" i="1"/>
  <c r="AN60" i="1"/>
  <c r="AK60" i="1"/>
  <c r="T60" i="1"/>
  <c r="W60" i="1" s="1"/>
  <c r="AN58" i="1"/>
  <c r="T58" i="1"/>
  <c r="W58" i="1" s="1"/>
  <c r="AK58" i="1"/>
  <c r="AN56" i="1"/>
  <c r="T56" i="1"/>
  <c r="W56" i="1" s="1"/>
  <c r="AK56" i="1"/>
  <c r="AK50" i="1"/>
  <c r="AN50" i="1"/>
  <c r="T50" i="1"/>
  <c r="W50" i="1" s="1"/>
  <c r="AN38" i="1"/>
  <c r="T38" i="1"/>
  <c r="W38" i="1" s="1"/>
  <c r="AK38" i="1"/>
  <c r="AK30" i="1"/>
  <c r="T30" i="1"/>
  <c r="W30" i="1" s="1"/>
  <c r="AN30" i="1"/>
  <c r="AK20" i="1"/>
  <c r="T20" i="1"/>
  <c r="W20" i="1" s="1"/>
  <c r="AN20" i="1"/>
  <c r="AK16" i="1"/>
  <c r="T16" i="1"/>
  <c r="W16" i="1" s="1"/>
  <c r="AN16" i="1"/>
  <c r="AK46" i="1"/>
  <c r="T46" i="1"/>
  <c r="W46" i="1" s="1"/>
  <c r="AN46" i="1"/>
  <c r="AN66" i="1"/>
  <c r="AK66" i="1"/>
  <c r="T66" i="1"/>
  <c r="W66" i="1" s="1"/>
  <c r="AN64" i="1"/>
  <c r="T64" i="1"/>
  <c r="W64" i="1" s="1"/>
  <c r="AK64" i="1"/>
  <c r="AN42" i="1"/>
  <c r="T42" i="1"/>
  <c r="W42" i="1" s="1"/>
  <c r="AK42" i="1"/>
  <c r="AN40" i="1"/>
  <c r="T40" i="1"/>
  <c r="W40" i="1" s="1"/>
  <c r="AK40" i="1"/>
  <c r="AN36" i="1"/>
  <c r="AK36" i="1"/>
  <c r="T36" i="1"/>
  <c r="W36" i="1" s="1"/>
  <c r="AN32" i="1"/>
  <c r="T32" i="1"/>
  <c r="W32" i="1" s="1"/>
  <c r="AK32" i="1"/>
  <c r="AK18" i="1"/>
  <c r="T18" i="1"/>
  <c r="W18" i="1" s="1"/>
  <c r="AN18" i="1"/>
  <c r="AN26" i="1"/>
  <c r="T26" i="1"/>
  <c r="W26" i="1" s="1"/>
  <c r="AK26" i="1"/>
  <c r="AJ12" i="1" l="1"/>
  <c r="AH12" i="1"/>
  <c r="AH5" i="1" s="1"/>
  <c r="S5" i="1"/>
  <c r="AK73" i="1"/>
  <c r="AN73" i="1"/>
  <c r="T73" i="1"/>
  <c r="AK12" i="1" l="1"/>
  <c r="AK5" i="1" s="1"/>
  <c r="AN12" i="1"/>
  <c r="T12" i="1"/>
  <c r="W12" i="1" s="1"/>
  <c r="AN5" i="1"/>
  <c r="AJ5" i="1"/>
  <c r="W73" i="1"/>
  <c r="T5" i="1"/>
</calcChain>
</file>

<file path=xl/sharedStrings.xml><?xml version="1.0" encoding="utf-8"?>
<sst xmlns="http://schemas.openxmlformats.org/spreadsheetml/2006/main" count="300" uniqueCount="135">
  <si>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</si>
  <si>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</si>
  <si>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</si>
  <si>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</si>
  <si>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</si>
  <si>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</si>
  <si>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</si>
  <si>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</si>
  <si>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</si>
  <si>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</si>
  <si>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</si>
  <si>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</si>
  <si>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</si>
  <si>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</si>
  <si>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</si>
  <si>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</si>
  <si>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</si>
  <si>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</si>
  <si>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</si>
  <si>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</si>
  <si>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</si>
  <si>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</si>
  <si>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</si>
  <si>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</si>
  <si>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</si>
  <si>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</si>
  <si>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</si>
  <si>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</si>
  <si>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</si>
  <si>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</si>
  <si>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</si>
  <si>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</si>
  <si>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</si>
  <si>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</si>
  <si>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</si>
  <si>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</si>
  <si>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</si>
  <si>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</si>
  <si>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</si>
  <si>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</si>
  <si>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</si>
  <si>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</si>
  <si>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</si>
  <si>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</si>
  <si>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</si>
  <si>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</si>
  <si>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</si>
  <si>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</si>
  <si>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</si>
  <si>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</si>
  <si>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</si>
  <si>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</si>
  <si>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</si>
  <si>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</si>
  <si>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</si>
  <si>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</si>
  <si>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</si>
  <si>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</si>
  <si>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</si>
  <si>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</si>
  <si>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</si>
  <si>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</si>
  <si>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</si>
  <si>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</si>
  <si>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</si>
  <si>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</si>
  <si>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</si>
  <si>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</si>
  <si>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</si>
  <si>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</si>
  <si>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</si>
  <si>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</si>
  <si>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</si>
  <si>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</si>
  <si>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</si>
  <si>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</si>
  <si>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</si>
  <si>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</si>
  <si>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</si>
  <si>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</si>
  <si>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</si>
  <si>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</si>
  <si>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</si>
  <si>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</si>
  <si>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</si>
  <si>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</si>
  <si>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</si>
  <si>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</si>
  <si>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</si>
  <si>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</si>
  <si>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</si>
  <si>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</si>
  <si>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</si>
  <si>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</si>
  <si>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</si>
  <si>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</si>
  <si>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</si>
  <si>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</si>
  <si>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</si>
  <si>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</si>
  <si>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</si>
  <si>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</si>
  <si>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</si>
  <si>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</si>
  <si>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</si>
  <si>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</si>
  <si>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</si>
  <si>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</si>
  <si>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</si>
  <si>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</si>
  <si>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</si>
  <si>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</si>
  <si>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</si>
  <si>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</si>
  <si>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</si>
  <si>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нужно увеличить продажи!!!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</si>
  <si>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</si>
  <si>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</si>
  <si>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</si>
  <si>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</si>
  <si>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</si>
  <si>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</si>
  <si>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</si>
  <si>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</si>
  <si>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</si>
  <si>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</si>
  <si>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</si>
  <si>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вывод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</si>
  <si>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</si>
  <si>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Мелитополя (19,09 списано; 26,09 поставлено!)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</si>
  <si>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с 10,10,25 заказываем</t>
    </r>
  </si>
  <si>
    <t>есть ли потребность???</t>
  </si>
  <si>
    <t>до машины</t>
  </si>
  <si>
    <t>итого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</si>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</sst>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7" fillId="10" borderId="1" xfId="1" applyNumberFormat="1" applyFont="1" applyFill="1"/>
    <xf numFmtId="164" fontId="7" fillId="10" borderId="2" xfId="1" applyNumberFormat="1" applyFont="1" applyFill="1" applyBorder="1"/>
    <xf numFmtId="166" fontId="1" fillId="0" borderId="1" xfId="1" applyNumberFormat="1"/>
    <xf numFmtId="164" fontId="1" fillId="0" borderId="1" xfId="1" applyNumberFormat="1" applyBorder="1"/>
    <xf numFmtId="164" fontId="1" fillId="3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140625" customWidth="1"/>
    <col min="15" max="16" width="6" customWidth="1"/>
    <col min="17" max="21" width="7" customWidth="1"/>
    <col min="22" max="22" width="10.140625" customWidth="1"/>
    <col min="23" max="24" width="5" customWidth="1"/>
    <col min="25" max="32" width="6" customWidth="1"/>
    <col min="33" max="33" width="25.5703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9">
        <v>1.8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132</v>
      </c>
      <c r="S3" s="3" t="s">
        <v>133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30"/>
      <c r="R4" s="30"/>
      <c r="S4" s="30"/>
      <c r="T4" s="30"/>
      <c r="U4" s="30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134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10137.1</v>
      </c>
      <c r="F5" s="4">
        <f>SUM(F6:F499)</f>
        <v>15053.8</v>
      </c>
      <c r="G5" s="8"/>
      <c r="H5" s="1"/>
      <c r="I5" s="1"/>
      <c r="J5" s="1"/>
      <c r="K5" s="4">
        <f>SUM(K6:K499)</f>
        <v>10228.900000000001</v>
      </c>
      <c r="L5" s="4">
        <f>SUM(L6:L499)</f>
        <v>-91.800000000000011</v>
      </c>
      <c r="M5" s="4">
        <f>SUM(M6:M499)</f>
        <v>0</v>
      </c>
      <c r="N5" s="4">
        <f>SUM(N6:N499)</f>
        <v>0</v>
      </c>
      <c r="O5" s="4">
        <f>SUM(O6:O499)</f>
        <v>13232</v>
      </c>
      <c r="P5" s="4">
        <f>SUM(P6:P499)</f>
        <v>2027.4200000000003</v>
      </c>
      <c r="Q5" s="31">
        <f>SUM(Q6:Q499)</f>
        <v>4885.4199999999992</v>
      </c>
      <c r="R5" s="31">
        <f>SUM(R6:R499)</f>
        <v>1765.4400000000003</v>
      </c>
      <c r="S5" s="31">
        <f>SUM(S6:S499)</f>
        <v>6650.8599999999988</v>
      </c>
      <c r="T5" s="31">
        <f>SUM(T6:T499)</f>
        <v>7015.8</v>
      </c>
      <c r="U5" s="31">
        <f>SUM(U6:U499)</f>
        <v>0</v>
      </c>
      <c r="V5" s="1"/>
      <c r="W5" s="1"/>
      <c r="X5" s="1"/>
      <c r="Y5" s="4">
        <f>SUM(Y6:Y499)</f>
        <v>2650.06</v>
      </c>
      <c r="Z5" s="4">
        <f>SUM(Z6:Z499)</f>
        <v>2507.44</v>
      </c>
      <c r="AA5" s="4">
        <f>SUM(AA6:AA499)</f>
        <v>2403.7759999999989</v>
      </c>
      <c r="AB5" s="4">
        <f>SUM(AB6:AB499)</f>
        <v>2325.16</v>
      </c>
      <c r="AC5" s="4">
        <f>SUM(AC6:AC499)</f>
        <v>2123.0600000000004</v>
      </c>
      <c r="AD5" s="4">
        <f>SUM(AD6:AD499)</f>
        <v>2548.5799999999995</v>
      </c>
      <c r="AE5" s="4">
        <f>SUM(AE6:AE499)</f>
        <v>2364.1999999999998</v>
      </c>
      <c r="AF5" s="4">
        <f>SUM(AF6:AF499)</f>
        <v>2295.0400000000004</v>
      </c>
      <c r="AG5" s="1"/>
      <c r="AH5" s="4">
        <f>SUM(AH6:AH499)</f>
        <v>3717.8591999999999</v>
      </c>
      <c r="AI5" s="8"/>
      <c r="AJ5" s="12">
        <f>SUM(AJ6:AJ499)</f>
        <v>874</v>
      </c>
      <c r="AK5" s="4">
        <f>SUM(AK6:AK499)</f>
        <v>3869.9599999999996</v>
      </c>
      <c r="AL5" s="1"/>
      <c r="AM5" s="1"/>
      <c r="AN5" s="12">
        <f>SUM(AN6:AN499)</f>
        <v>9.3658730158730172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/>
      <c r="D6" s="1">
        <v>168</v>
      </c>
      <c r="E6" s="1">
        <v>8</v>
      </c>
      <c r="F6" s="1">
        <v>160</v>
      </c>
      <c r="G6" s="8">
        <v>0.22</v>
      </c>
      <c r="H6" s="1">
        <v>180</v>
      </c>
      <c r="I6" s="1" t="s">
        <v>43</v>
      </c>
      <c r="J6" s="1"/>
      <c r="K6" s="1">
        <v>9</v>
      </c>
      <c r="L6" s="1">
        <f>E6-K6</f>
        <v>-1</v>
      </c>
      <c r="M6" s="1"/>
      <c r="N6" s="1"/>
      <c r="O6" s="1">
        <v>0</v>
      </c>
      <c r="P6" s="1">
        <f>E6/5</f>
        <v>1.6</v>
      </c>
      <c r="Q6" s="5"/>
      <c r="R6" s="5"/>
      <c r="S6" s="5">
        <f>R6+Q6</f>
        <v>0</v>
      </c>
      <c r="T6" s="5">
        <f>AI6*AJ6</f>
        <v>0</v>
      </c>
      <c r="U6" s="5"/>
      <c r="V6" s="1"/>
      <c r="W6" s="1">
        <f>(F6+O6+T6)/P6</f>
        <v>100</v>
      </c>
      <c r="X6" s="1">
        <f>(F6+O6)/P6</f>
        <v>100</v>
      </c>
      <c r="Y6" s="1">
        <v>9.8000000000000007</v>
      </c>
      <c r="Z6" s="1">
        <v>13</v>
      </c>
      <c r="AA6" s="1">
        <v>9.1999999999999993</v>
      </c>
      <c r="AB6" s="1">
        <v>11.2</v>
      </c>
      <c r="AC6" s="1">
        <v>12.4</v>
      </c>
      <c r="AD6" s="1">
        <v>10.4</v>
      </c>
      <c r="AE6" s="1">
        <v>6.4</v>
      </c>
      <c r="AF6" s="1">
        <v>13</v>
      </c>
      <c r="AG6" s="1"/>
      <c r="AH6" s="1">
        <f>G6*S6</f>
        <v>0</v>
      </c>
      <c r="AI6" s="8">
        <v>12</v>
      </c>
      <c r="AJ6" s="10">
        <f>MROUND(S6, AI6*AL6)/AI6</f>
        <v>0</v>
      </c>
      <c r="AK6" s="1">
        <f>AJ6*AI6*G6</f>
        <v>0</v>
      </c>
      <c r="AL6" s="1">
        <v>14</v>
      </c>
      <c r="AM6" s="1">
        <v>70</v>
      </c>
      <c r="AN6" s="10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>E7-K7</f>
        <v>0</v>
      </c>
      <c r="M7" s="1"/>
      <c r="N7" s="1"/>
      <c r="O7" s="14"/>
      <c r="P7" s="1">
        <f>E7/5</f>
        <v>0</v>
      </c>
      <c r="Q7" s="23">
        <v>60</v>
      </c>
      <c r="R7" s="23"/>
      <c r="S7" s="5">
        <f>R7+Q7</f>
        <v>60</v>
      </c>
      <c r="T7" s="5">
        <f>AI7*AJ7</f>
        <v>60</v>
      </c>
      <c r="U7" s="5"/>
      <c r="V7" s="1"/>
      <c r="W7" s="1" t="e">
        <f>(F7+O7+T7)/P7</f>
        <v>#DIV/0!</v>
      </c>
      <c r="X7" s="1" t="e">
        <f>(F7+O7)/P7</f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46</v>
      </c>
      <c r="AH7" s="1">
        <f>G7*S7</f>
        <v>60</v>
      </c>
      <c r="AI7" s="8">
        <v>5</v>
      </c>
      <c r="AJ7" s="10">
        <f>MROUND(S7, AI7*AL7)/AI7</f>
        <v>12</v>
      </c>
      <c r="AK7" s="1">
        <f>AJ7*AI7*G7</f>
        <v>60</v>
      </c>
      <c r="AL7" s="1">
        <v>12</v>
      </c>
      <c r="AM7" s="1">
        <v>144</v>
      </c>
      <c r="AN7" s="10">
        <f>AJ7/AM7</f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203</v>
      </c>
      <c r="D8" s="1">
        <v>33</v>
      </c>
      <c r="E8" s="1">
        <v>70</v>
      </c>
      <c r="F8" s="1">
        <v>117</v>
      </c>
      <c r="G8" s="8">
        <v>0.3</v>
      </c>
      <c r="H8" s="1">
        <v>180</v>
      </c>
      <c r="I8" s="1" t="s">
        <v>43</v>
      </c>
      <c r="J8" s="1"/>
      <c r="K8" s="1">
        <v>70</v>
      </c>
      <c r="L8" s="1">
        <f>E8-K8</f>
        <v>0</v>
      </c>
      <c r="M8" s="1"/>
      <c r="N8" s="1"/>
      <c r="O8" s="1">
        <v>336</v>
      </c>
      <c r="P8" s="1">
        <f>E8/5</f>
        <v>14</v>
      </c>
      <c r="Q8" s="5"/>
      <c r="R8" s="5"/>
      <c r="S8" s="5">
        <f>R8+Q8</f>
        <v>0</v>
      </c>
      <c r="T8" s="5">
        <f>AI8*AJ8</f>
        <v>0</v>
      </c>
      <c r="U8" s="5"/>
      <c r="V8" s="1"/>
      <c r="W8" s="1">
        <f>(F8+O8+T8)/P8</f>
        <v>32.357142857142854</v>
      </c>
      <c r="X8" s="1">
        <f>(F8+O8)/P8</f>
        <v>32.357142857142854</v>
      </c>
      <c r="Y8" s="1">
        <v>36.6</v>
      </c>
      <c r="Z8" s="1">
        <v>16.2</v>
      </c>
      <c r="AA8" s="1">
        <v>28.8</v>
      </c>
      <c r="AB8" s="1">
        <v>14.4</v>
      </c>
      <c r="AC8" s="1">
        <v>16.8</v>
      </c>
      <c r="AD8" s="1">
        <v>19.600000000000001</v>
      </c>
      <c r="AE8" s="1">
        <v>13.6</v>
      </c>
      <c r="AF8" s="1">
        <v>17.399999999999999</v>
      </c>
      <c r="AG8" s="25" t="s">
        <v>128</v>
      </c>
      <c r="AH8" s="1">
        <f>G8*S8</f>
        <v>0</v>
      </c>
      <c r="AI8" s="8">
        <v>12</v>
      </c>
      <c r="AJ8" s="10">
        <f>MROUND(S8, AI8*AL8)/AI8</f>
        <v>0</v>
      </c>
      <c r="AK8" s="1">
        <f>AJ8*AI8*G8</f>
        <v>0</v>
      </c>
      <c r="AL8" s="1">
        <v>14</v>
      </c>
      <c r="AM8" s="1">
        <v>70</v>
      </c>
      <c r="AN8" s="10">
        <f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92</v>
      </c>
      <c r="D9" s="1">
        <v>616</v>
      </c>
      <c r="E9" s="1">
        <v>229</v>
      </c>
      <c r="F9" s="1">
        <v>448</v>
      </c>
      <c r="G9" s="8">
        <v>0.28000000000000003</v>
      </c>
      <c r="H9" s="1">
        <v>180</v>
      </c>
      <c r="I9" s="1" t="s">
        <v>43</v>
      </c>
      <c r="J9" s="1"/>
      <c r="K9" s="1">
        <v>229</v>
      </c>
      <c r="L9" s="1">
        <f>E9-K9</f>
        <v>0</v>
      </c>
      <c r="M9" s="1"/>
      <c r="N9" s="1"/>
      <c r="O9" s="1">
        <v>168</v>
      </c>
      <c r="P9" s="1">
        <f>E9/5</f>
        <v>45.8</v>
      </c>
      <c r="Q9" s="5">
        <v>71</v>
      </c>
      <c r="R9" s="5"/>
      <c r="S9" s="5">
        <f>R9+Q9</f>
        <v>71</v>
      </c>
      <c r="T9" s="5">
        <f>AI9*AJ9</f>
        <v>84</v>
      </c>
      <c r="U9" s="5"/>
      <c r="V9" s="1"/>
      <c r="W9" s="1">
        <f>(F9+O9+T9)/P9</f>
        <v>15.283842794759826</v>
      </c>
      <c r="X9" s="1">
        <f>(F9+O9)/P9</f>
        <v>13.449781659388647</v>
      </c>
      <c r="Y9" s="1">
        <v>59</v>
      </c>
      <c r="Z9" s="1">
        <v>67</v>
      </c>
      <c r="AA9" s="1">
        <v>53.4</v>
      </c>
      <c r="AB9" s="1">
        <v>39.4</v>
      </c>
      <c r="AC9" s="1">
        <v>57.2</v>
      </c>
      <c r="AD9" s="1">
        <v>46.4</v>
      </c>
      <c r="AE9" s="1">
        <v>47.8</v>
      </c>
      <c r="AF9" s="1">
        <v>51.2</v>
      </c>
      <c r="AG9" s="1"/>
      <c r="AH9" s="1">
        <f>G9*S9</f>
        <v>19.880000000000003</v>
      </c>
      <c r="AI9" s="8">
        <v>6</v>
      </c>
      <c r="AJ9" s="10">
        <f>MROUND(S9, AI9*AL9)/AI9</f>
        <v>14</v>
      </c>
      <c r="AK9" s="1">
        <f>AJ9*AI9*G9</f>
        <v>23.520000000000003</v>
      </c>
      <c r="AL9" s="1">
        <v>14</v>
      </c>
      <c r="AM9" s="1">
        <v>140</v>
      </c>
      <c r="AN9" s="10">
        <f>AJ9/AM9</f>
        <v>0.1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322</v>
      </c>
      <c r="D10" s="1">
        <v>390</v>
      </c>
      <c r="E10" s="1">
        <v>278</v>
      </c>
      <c r="F10" s="1">
        <v>400</v>
      </c>
      <c r="G10" s="8">
        <v>0.24</v>
      </c>
      <c r="H10" s="1">
        <v>180</v>
      </c>
      <c r="I10" s="1" t="s">
        <v>43</v>
      </c>
      <c r="J10" s="1"/>
      <c r="K10" s="1">
        <v>298</v>
      </c>
      <c r="L10" s="1">
        <f>E10-K10</f>
        <v>-20</v>
      </c>
      <c r="M10" s="1"/>
      <c r="N10" s="1"/>
      <c r="O10" s="1">
        <v>336</v>
      </c>
      <c r="P10" s="1">
        <f>E10/5</f>
        <v>55.6</v>
      </c>
      <c r="Q10" s="5">
        <v>98</v>
      </c>
      <c r="R10" s="5"/>
      <c r="S10" s="5">
        <f>R10+Q10</f>
        <v>98</v>
      </c>
      <c r="T10" s="5">
        <f>AI10*AJ10</f>
        <v>168</v>
      </c>
      <c r="U10" s="5"/>
      <c r="V10" s="1"/>
      <c r="W10" s="1">
        <f>(F10+O10+T10)/P10</f>
        <v>16.258992805755394</v>
      </c>
      <c r="X10" s="1">
        <f>(F10+O10)/P10</f>
        <v>13.237410071942445</v>
      </c>
      <c r="Y10" s="1">
        <v>74.400000000000006</v>
      </c>
      <c r="Z10" s="1">
        <v>67</v>
      </c>
      <c r="AA10" s="1">
        <v>63.4</v>
      </c>
      <c r="AB10" s="1">
        <v>77.2</v>
      </c>
      <c r="AC10" s="1">
        <v>54.4</v>
      </c>
      <c r="AD10" s="1">
        <v>76.599999999999994</v>
      </c>
      <c r="AE10" s="1">
        <v>65.2</v>
      </c>
      <c r="AF10" s="1">
        <v>29</v>
      </c>
      <c r="AG10" s="1"/>
      <c r="AH10" s="1">
        <f>G10*S10</f>
        <v>23.52</v>
      </c>
      <c r="AI10" s="8">
        <v>12</v>
      </c>
      <c r="AJ10" s="10">
        <f>MROUND(S10, AI10*AL10)/AI10</f>
        <v>14</v>
      </c>
      <c r="AK10" s="1">
        <f>AJ10*AI10*G10</f>
        <v>40.32</v>
      </c>
      <c r="AL10" s="1">
        <v>14</v>
      </c>
      <c r="AM10" s="1">
        <v>70</v>
      </c>
      <c r="AN10" s="10">
        <f>AJ10/AM10</f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5" t="s">
        <v>50</v>
      </c>
      <c r="B11" s="15" t="s">
        <v>42</v>
      </c>
      <c r="C11" s="15"/>
      <c r="D11" s="15"/>
      <c r="E11" s="24">
        <v>6</v>
      </c>
      <c r="F11" s="24">
        <v>-6</v>
      </c>
      <c r="G11" s="16">
        <v>0</v>
      </c>
      <c r="H11" s="15" t="e">
        <v>#N/A</v>
      </c>
      <c r="I11" s="15" t="s">
        <v>51</v>
      </c>
      <c r="J11" s="15" t="s">
        <v>52</v>
      </c>
      <c r="K11" s="15">
        <v>6</v>
      </c>
      <c r="L11" s="15">
        <f>E11-K11</f>
        <v>0</v>
      </c>
      <c r="M11" s="15"/>
      <c r="N11" s="15"/>
      <c r="O11" s="15"/>
      <c r="P11" s="15">
        <f>E11/5</f>
        <v>1.2</v>
      </c>
      <c r="Q11" s="17"/>
      <c r="R11" s="17"/>
      <c r="S11" s="5">
        <f>R11+Q11</f>
        <v>0</v>
      </c>
      <c r="T11" s="17"/>
      <c r="U11" s="17"/>
      <c r="V11" s="15"/>
      <c r="W11" s="15">
        <f>(F11+O11+T11)/P11</f>
        <v>-5</v>
      </c>
      <c r="X11" s="15">
        <f>(F11+O11)/P11</f>
        <v>-5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/>
      <c r="AH11" s="15"/>
      <c r="AI11" s="16"/>
      <c r="AJ11" s="18"/>
      <c r="AK11" s="15"/>
      <c r="AL11" s="15"/>
      <c r="AM11" s="15"/>
      <c r="AN11" s="18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42</v>
      </c>
      <c r="C12" s="1">
        <v>308</v>
      </c>
      <c r="D12" s="1">
        <v>743</v>
      </c>
      <c r="E12" s="24">
        <f>397+E11</f>
        <v>403</v>
      </c>
      <c r="F12" s="24">
        <f>546+F11</f>
        <v>540</v>
      </c>
      <c r="G12" s="8">
        <v>0.24</v>
      </c>
      <c r="H12" s="1">
        <v>180</v>
      </c>
      <c r="I12" s="1" t="s">
        <v>43</v>
      </c>
      <c r="J12" s="1"/>
      <c r="K12" s="1">
        <v>397</v>
      </c>
      <c r="L12" s="1">
        <f>E12-K12</f>
        <v>6</v>
      </c>
      <c r="M12" s="1"/>
      <c r="N12" s="1"/>
      <c r="O12" s="1">
        <v>336</v>
      </c>
      <c r="P12" s="1">
        <f>E12/5</f>
        <v>80.599999999999994</v>
      </c>
      <c r="Q12" s="5">
        <v>252.39999999999986</v>
      </c>
      <c r="R12" s="5">
        <f>$R$1*P12</f>
        <v>145.07999999999998</v>
      </c>
      <c r="S12" s="5">
        <f>R12+Q12</f>
        <v>397.47999999999985</v>
      </c>
      <c r="T12" s="5">
        <f>AI12*AJ12</f>
        <v>336</v>
      </c>
      <c r="U12" s="5"/>
      <c r="V12" s="1"/>
      <c r="W12" s="1">
        <f>(F12+O12+T12)/P12</f>
        <v>15.037220843672458</v>
      </c>
      <c r="X12" s="1">
        <f>(F12+O12)/P12</f>
        <v>10.868486352357321</v>
      </c>
      <c r="Y12" s="1">
        <v>88.6</v>
      </c>
      <c r="Z12" s="1">
        <v>92.6</v>
      </c>
      <c r="AA12" s="1">
        <v>76.8</v>
      </c>
      <c r="AB12" s="1">
        <v>84.2</v>
      </c>
      <c r="AC12" s="1">
        <v>49</v>
      </c>
      <c r="AD12" s="1">
        <v>100.2</v>
      </c>
      <c r="AE12" s="1">
        <v>89.4</v>
      </c>
      <c r="AF12" s="1">
        <v>69.8</v>
      </c>
      <c r="AG12" s="1"/>
      <c r="AH12" s="1">
        <f>G12*S12</f>
        <v>95.39519999999996</v>
      </c>
      <c r="AI12" s="8">
        <v>12</v>
      </c>
      <c r="AJ12" s="10">
        <f>MROUND(S12, AI12*AL12)/AI12</f>
        <v>28</v>
      </c>
      <c r="AK12" s="1">
        <f>AJ12*AI12*G12</f>
        <v>80.64</v>
      </c>
      <c r="AL12" s="1">
        <v>14</v>
      </c>
      <c r="AM12" s="1">
        <v>70</v>
      </c>
      <c r="AN12" s="10">
        <f>AJ12/AM12</f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53</v>
      </c>
      <c r="B13" s="1" t="s">
        <v>42</v>
      </c>
      <c r="C13" s="1">
        <v>140</v>
      </c>
      <c r="D13" s="1">
        <v>196</v>
      </c>
      <c r="E13" s="1">
        <v>225</v>
      </c>
      <c r="F13" s="1">
        <v>81</v>
      </c>
      <c r="G13" s="8">
        <v>0.24</v>
      </c>
      <c r="H13" s="1">
        <v>180</v>
      </c>
      <c r="I13" s="1" t="s">
        <v>43</v>
      </c>
      <c r="J13" s="1"/>
      <c r="K13" s="1">
        <v>225</v>
      </c>
      <c r="L13" s="1">
        <f>E13-K13</f>
        <v>0</v>
      </c>
      <c r="M13" s="1"/>
      <c r="N13" s="1"/>
      <c r="O13" s="1">
        <v>336</v>
      </c>
      <c r="P13" s="1">
        <f>E13/5</f>
        <v>45</v>
      </c>
      <c r="Q13" s="5">
        <v>213</v>
      </c>
      <c r="R13" s="5"/>
      <c r="S13" s="5">
        <f>R13+Q13</f>
        <v>213</v>
      </c>
      <c r="T13" s="5">
        <f>AI13*AJ13</f>
        <v>168</v>
      </c>
      <c r="U13" s="5"/>
      <c r="V13" s="1"/>
      <c r="W13" s="1">
        <f>(F13+O13+T13)/P13</f>
        <v>13</v>
      </c>
      <c r="X13" s="1">
        <f>(F13+O13)/P13</f>
        <v>9.2666666666666675</v>
      </c>
      <c r="Y13" s="1">
        <v>46.4</v>
      </c>
      <c r="Z13" s="1">
        <v>44.4</v>
      </c>
      <c r="AA13" s="1">
        <v>42.4</v>
      </c>
      <c r="AB13" s="1">
        <v>23.4</v>
      </c>
      <c r="AC13" s="1">
        <v>31.8</v>
      </c>
      <c r="AD13" s="1">
        <v>39.799999999999997</v>
      </c>
      <c r="AE13" s="1">
        <v>35.200000000000003</v>
      </c>
      <c r="AF13" s="1">
        <v>26.2</v>
      </c>
      <c r="AG13" s="1"/>
      <c r="AH13" s="1">
        <f>G13*S13</f>
        <v>51.12</v>
      </c>
      <c r="AI13" s="8">
        <v>12</v>
      </c>
      <c r="AJ13" s="10">
        <f>MROUND(S13, AI13*AL13)/AI13</f>
        <v>14</v>
      </c>
      <c r="AK13" s="1">
        <f>AJ13*AI13*G13</f>
        <v>40.32</v>
      </c>
      <c r="AL13" s="1">
        <v>14</v>
      </c>
      <c r="AM13" s="1">
        <v>70</v>
      </c>
      <c r="AN13" s="10">
        <f>AJ13/AM13</f>
        <v>0.2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42</v>
      </c>
      <c r="C14" s="1">
        <v>242</v>
      </c>
      <c r="D14" s="1">
        <v>744</v>
      </c>
      <c r="E14" s="1">
        <v>363</v>
      </c>
      <c r="F14" s="1">
        <v>348</v>
      </c>
      <c r="G14" s="8">
        <v>0.24</v>
      </c>
      <c r="H14" s="1">
        <v>180</v>
      </c>
      <c r="I14" s="1" t="s">
        <v>43</v>
      </c>
      <c r="J14" s="1"/>
      <c r="K14" s="1">
        <v>365</v>
      </c>
      <c r="L14" s="1">
        <f>E14-K14</f>
        <v>-2</v>
      </c>
      <c r="M14" s="1"/>
      <c r="N14" s="1"/>
      <c r="O14" s="1">
        <v>840</v>
      </c>
      <c r="P14" s="1">
        <f>E14/5</f>
        <v>72.599999999999994</v>
      </c>
      <c r="Q14" s="5"/>
      <c r="R14" s="5"/>
      <c r="S14" s="5">
        <f>R14+Q14</f>
        <v>0</v>
      </c>
      <c r="T14" s="5">
        <f>AI14*AJ14</f>
        <v>0</v>
      </c>
      <c r="U14" s="5"/>
      <c r="V14" s="1"/>
      <c r="W14" s="1">
        <f>(F14+O14+T14)/P14</f>
        <v>16.363636363636363</v>
      </c>
      <c r="X14" s="1">
        <f>(F14+O14)/P14</f>
        <v>16.363636363636363</v>
      </c>
      <c r="Y14" s="1">
        <v>106.2</v>
      </c>
      <c r="Z14" s="1">
        <v>84</v>
      </c>
      <c r="AA14" s="1">
        <v>83.2</v>
      </c>
      <c r="AB14" s="1">
        <v>73.599999999999994</v>
      </c>
      <c r="AC14" s="1">
        <v>81.8</v>
      </c>
      <c r="AD14" s="1">
        <v>97.8</v>
      </c>
      <c r="AE14" s="1">
        <v>33.799999999999997</v>
      </c>
      <c r="AF14" s="1">
        <v>71.400000000000006</v>
      </c>
      <c r="AG14" s="1"/>
      <c r="AH14" s="1">
        <f>G14*S14</f>
        <v>0</v>
      </c>
      <c r="AI14" s="8">
        <v>12</v>
      </c>
      <c r="AJ14" s="10">
        <f>MROUND(S14, AI14*AL14)/AI14</f>
        <v>0</v>
      </c>
      <c r="AK14" s="1">
        <f>AJ14*AI14*G14</f>
        <v>0</v>
      </c>
      <c r="AL14" s="1">
        <v>14</v>
      </c>
      <c r="AM14" s="1">
        <v>70</v>
      </c>
      <c r="AN14" s="10">
        <f>AJ14/AM14</f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55</v>
      </c>
      <c r="B15" s="1" t="s">
        <v>42</v>
      </c>
      <c r="C15" s="1">
        <v>128</v>
      </c>
      <c r="D15" s="1">
        <v>115</v>
      </c>
      <c r="E15" s="1">
        <v>80</v>
      </c>
      <c r="F15" s="1">
        <v>155</v>
      </c>
      <c r="G15" s="8">
        <v>0.48</v>
      </c>
      <c r="H15" s="1">
        <v>180</v>
      </c>
      <c r="I15" s="1" t="s">
        <v>43</v>
      </c>
      <c r="J15" s="1"/>
      <c r="K15" s="1">
        <v>80</v>
      </c>
      <c r="L15" s="1">
        <f>E15-K15</f>
        <v>0</v>
      </c>
      <c r="M15" s="1"/>
      <c r="N15" s="1"/>
      <c r="O15" s="1">
        <v>112</v>
      </c>
      <c r="P15" s="1">
        <f>E15/5</f>
        <v>16</v>
      </c>
      <c r="Q15" s="5"/>
      <c r="R15" s="5"/>
      <c r="S15" s="5">
        <f>R15+Q15</f>
        <v>0</v>
      </c>
      <c r="T15" s="5">
        <f>AI15*AJ15</f>
        <v>0</v>
      </c>
      <c r="U15" s="5"/>
      <c r="V15" s="1"/>
      <c r="W15" s="1">
        <f>(F15+O15+T15)/P15</f>
        <v>16.6875</v>
      </c>
      <c r="X15" s="1">
        <f>(F15+O15)/P15</f>
        <v>16.6875</v>
      </c>
      <c r="Y15" s="1">
        <v>23.4</v>
      </c>
      <c r="Z15" s="1">
        <v>20.8</v>
      </c>
      <c r="AA15" s="1">
        <v>18.399999999999999</v>
      </c>
      <c r="AB15" s="1">
        <v>15.2</v>
      </c>
      <c r="AC15" s="1">
        <v>22.8</v>
      </c>
      <c r="AD15" s="1">
        <v>13.4</v>
      </c>
      <c r="AE15" s="1">
        <v>34.799999999999997</v>
      </c>
      <c r="AF15" s="1">
        <v>16.8</v>
      </c>
      <c r="AG15" s="1"/>
      <c r="AH15" s="1">
        <f>G15*S15</f>
        <v>0</v>
      </c>
      <c r="AI15" s="8">
        <v>8</v>
      </c>
      <c r="AJ15" s="10">
        <f>MROUND(S15, AI15*AL15)/AI15</f>
        <v>0</v>
      </c>
      <c r="AK15" s="1">
        <f>AJ15*AI15*G15</f>
        <v>0</v>
      </c>
      <c r="AL15" s="1">
        <v>14</v>
      </c>
      <c r="AM15" s="1">
        <v>70</v>
      </c>
      <c r="AN15" s="10">
        <f>AJ15/AM15</f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42</v>
      </c>
      <c r="C16" s="1">
        <v>5</v>
      </c>
      <c r="D16" s="1">
        <v>351</v>
      </c>
      <c r="E16" s="1">
        <v>45</v>
      </c>
      <c r="F16" s="1">
        <v>291</v>
      </c>
      <c r="G16" s="8">
        <v>0.09</v>
      </c>
      <c r="H16" s="1">
        <v>180</v>
      </c>
      <c r="I16" s="1" t="s">
        <v>43</v>
      </c>
      <c r="J16" s="1"/>
      <c r="K16" s="1">
        <v>77</v>
      </c>
      <c r="L16" s="1">
        <f>E16-K16</f>
        <v>-32</v>
      </c>
      <c r="M16" s="1"/>
      <c r="N16" s="1"/>
      <c r="O16" s="1">
        <v>336</v>
      </c>
      <c r="P16" s="1">
        <f>E16/5</f>
        <v>9</v>
      </c>
      <c r="Q16" s="5"/>
      <c r="R16" s="5"/>
      <c r="S16" s="5">
        <f>R16+Q16</f>
        <v>0</v>
      </c>
      <c r="T16" s="5">
        <f>AI16*AJ16</f>
        <v>0</v>
      </c>
      <c r="U16" s="5"/>
      <c r="V16" s="1"/>
      <c r="W16" s="1">
        <f>(F16+O16+T16)/P16</f>
        <v>69.666666666666671</v>
      </c>
      <c r="X16" s="1">
        <f>(F16+O16)/P16</f>
        <v>69.666666666666671</v>
      </c>
      <c r="Y16" s="1">
        <v>32.4</v>
      </c>
      <c r="Z16" s="1">
        <v>26.4</v>
      </c>
      <c r="AA16" s="1">
        <v>19.600000000000001</v>
      </c>
      <c r="AB16" s="1">
        <v>26.2</v>
      </c>
      <c r="AC16" s="1">
        <v>22.2</v>
      </c>
      <c r="AD16" s="1">
        <v>19.399999999999999</v>
      </c>
      <c r="AE16" s="1">
        <v>24.4</v>
      </c>
      <c r="AF16" s="1">
        <v>28.4</v>
      </c>
      <c r="AG16" s="1"/>
      <c r="AH16" s="1">
        <f>G16*S16</f>
        <v>0</v>
      </c>
      <c r="AI16" s="8">
        <v>24</v>
      </c>
      <c r="AJ16" s="10">
        <f>MROUND(S16, AI16*AL16)/AI16</f>
        <v>0</v>
      </c>
      <c r="AK16" s="1">
        <f>AJ16*AI16*G16</f>
        <v>0</v>
      </c>
      <c r="AL16" s="1">
        <v>14</v>
      </c>
      <c r="AM16" s="1">
        <v>126</v>
      </c>
      <c r="AN16" s="10">
        <f>AJ16/AM16</f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198</v>
      </c>
      <c r="D17" s="1">
        <v>162</v>
      </c>
      <c r="E17" s="1">
        <v>144</v>
      </c>
      <c r="F17" s="1">
        <v>192</v>
      </c>
      <c r="G17" s="8">
        <v>0.36</v>
      </c>
      <c r="H17" s="1">
        <v>180</v>
      </c>
      <c r="I17" s="1" t="s">
        <v>43</v>
      </c>
      <c r="J17" s="1"/>
      <c r="K17" s="1">
        <v>144</v>
      </c>
      <c r="L17" s="1">
        <f>E17-K17</f>
        <v>0</v>
      </c>
      <c r="M17" s="1"/>
      <c r="N17" s="1"/>
      <c r="O17" s="1">
        <v>0</v>
      </c>
      <c r="P17" s="1">
        <f>E17/5</f>
        <v>28.8</v>
      </c>
      <c r="Q17" s="5">
        <v>211.2</v>
      </c>
      <c r="R17" s="5"/>
      <c r="S17" s="5">
        <f>R17+Q17</f>
        <v>211.2</v>
      </c>
      <c r="T17" s="5">
        <f>AI17*AJ17</f>
        <v>280</v>
      </c>
      <c r="U17" s="5"/>
      <c r="V17" s="1"/>
      <c r="W17" s="1">
        <f>(F17+O17+T17)/P17</f>
        <v>16.388888888888889</v>
      </c>
      <c r="X17" s="1">
        <f>(F17+O17)/P17</f>
        <v>6.6666666666666661</v>
      </c>
      <c r="Y17" s="1">
        <v>17.600000000000001</v>
      </c>
      <c r="Z17" s="1">
        <v>32.200000000000003</v>
      </c>
      <c r="AA17" s="1">
        <v>30</v>
      </c>
      <c r="AB17" s="1">
        <v>14.2</v>
      </c>
      <c r="AC17" s="1">
        <v>27</v>
      </c>
      <c r="AD17" s="1">
        <v>26</v>
      </c>
      <c r="AE17" s="1">
        <v>14.2</v>
      </c>
      <c r="AF17" s="1">
        <v>8.4</v>
      </c>
      <c r="AG17" s="1" t="s">
        <v>58</v>
      </c>
      <c r="AH17" s="1">
        <f>G17*S17</f>
        <v>76.031999999999996</v>
      </c>
      <c r="AI17" s="8">
        <v>10</v>
      </c>
      <c r="AJ17" s="10">
        <f>MROUND(S17, AI17*AL17)/AI17</f>
        <v>28</v>
      </c>
      <c r="AK17" s="1">
        <f>AJ17*AI17*G17</f>
        <v>100.8</v>
      </c>
      <c r="AL17" s="1">
        <v>14</v>
      </c>
      <c r="AM17" s="1">
        <v>70</v>
      </c>
      <c r="AN17" s="10">
        <f>AJ17/AM17</f>
        <v>0.4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59</v>
      </c>
      <c r="B18" s="1" t="s">
        <v>42</v>
      </c>
      <c r="C18" s="1">
        <v>144</v>
      </c>
      <c r="D18" s="1"/>
      <c r="E18" s="1">
        <v>3</v>
      </c>
      <c r="F18" s="1">
        <v>138</v>
      </c>
      <c r="G18" s="8">
        <v>0.2</v>
      </c>
      <c r="H18" s="1">
        <v>180</v>
      </c>
      <c r="I18" s="1" t="s">
        <v>43</v>
      </c>
      <c r="J18" s="1"/>
      <c r="K18" s="1">
        <v>3</v>
      </c>
      <c r="L18" s="1">
        <f>E18-K18</f>
        <v>0</v>
      </c>
      <c r="M18" s="1"/>
      <c r="N18" s="1"/>
      <c r="O18" s="1">
        <v>0</v>
      </c>
      <c r="P18" s="1">
        <f>E18/5</f>
        <v>0.6</v>
      </c>
      <c r="Q18" s="5"/>
      <c r="R18" s="5"/>
      <c r="S18" s="5">
        <f>R18+Q18</f>
        <v>0</v>
      </c>
      <c r="T18" s="5">
        <f>AI18*AJ18</f>
        <v>0</v>
      </c>
      <c r="U18" s="5"/>
      <c r="V18" s="1"/>
      <c r="W18" s="1">
        <f>(F18+O18+T18)/P18</f>
        <v>230</v>
      </c>
      <c r="X18" s="1">
        <f>(F18+O18)/P18</f>
        <v>230</v>
      </c>
      <c r="Y18" s="1">
        <v>1</v>
      </c>
      <c r="Z18" s="1">
        <v>0.2</v>
      </c>
      <c r="AA18" s="1">
        <v>1</v>
      </c>
      <c r="AB18" s="1">
        <v>2.2000000000000002</v>
      </c>
      <c r="AC18" s="1">
        <v>0</v>
      </c>
      <c r="AD18" s="1">
        <v>0.6</v>
      </c>
      <c r="AE18" s="1">
        <v>0</v>
      </c>
      <c r="AF18" s="1">
        <v>0</v>
      </c>
      <c r="AG18" s="25" t="s">
        <v>129</v>
      </c>
      <c r="AH18" s="1">
        <f>G18*S18</f>
        <v>0</v>
      </c>
      <c r="AI18" s="8">
        <v>12</v>
      </c>
      <c r="AJ18" s="10">
        <f>MROUND(S18, AI18*AL18)/AI18</f>
        <v>0</v>
      </c>
      <c r="AK18" s="1">
        <f>AJ18*AI18*G18</f>
        <v>0</v>
      </c>
      <c r="AL18" s="1">
        <v>14</v>
      </c>
      <c r="AM18" s="1">
        <v>70</v>
      </c>
      <c r="AN18" s="10">
        <f>AJ18/AM18</f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60</v>
      </c>
      <c r="B19" s="1" t="s">
        <v>42</v>
      </c>
      <c r="C19" s="1">
        <v>11</v>
      </c>
      <c r="D19" s="1"/>
      <c r="E19" s="1">
        <v>8</v>
      </c>
      <c r="F19" s="1">
        <v>3</v>
      </c>
      <c r="G19" s="8">
        <v>0.2</v>
      </c>
      <c r="H19" s="1">
        <v>180</v>
      </c>
      <c r="I19" s="1" t="s">
        <v>43</v>
      </c>
      <c r="J19" s="1"/>
      <c r="K19" s="1">
        <v>8</v>
      </c>
      <c r="L19" s="1">
        <f>E19-K19</f>
        <v>0</v>
      </c>
      <c r="M19" s="1"/>
      <c r="N19" s="1"/>
      <c r="O19" s="1">
        <v>0</v>
      </c>
      <c r="P19" s="1">
        <f>E19/5</f>
        <v>1.6</v>
      </c>
      <c r="Q19" s="28">
        <v>0</v>
      </c>
      <c r="R19" s="28"/>
      <c r="S19" s="5">
        <f>R19+Q19</f>
        <v>0</v>
      </c>
      <c r="T19" s="28">
        <f>AI19*AJ19</f>
        <v>0</v>
      </c>
      <c r="U19" s="5"/>
      <c r="V19" s="1"/>
      <c r="W19" s="1">
        <f>(F19+O19+T19)/P19</f>
        <v>1.875</v>
      </c>
      <c r="X19" s="1">
        <f>(F19+O19)/P19</f>
        <v>1.875</v>
      </c>
      <c r="Y19" s="1">
        <v>0.6</v>
      </c>
      <c r="Z19" s="1">
        <v>0.2</v>
      </c>
      <c r="AA19" s="1">
        <v>1</v>
      </c>
      <c r="AB19" s="1">
        <v>1.6</v>
      </c>
      <c r="AC19" s="1">
        <v>1.4</v>
      </c>
      <c r="AD19" s="1">
        <v>0</v>
      </c>
      <c r="AE19" s="1">
        <v>0</v>
      </c>
      <c r="AF19" s="1">
        <v>0.4</v>
      </c>
      <c r="AG19" s="27" t="s">
        <v>131</v>
      </c>
      <c r="AH19" s="1">
        <f>G19*S19</f>
        <v>0</v>
      </c>
      <c r="AI19" s="8">
        <v>12</v>
      </c>
      <c r="AJ19" s="10">
        <f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61</v>
      </c>
      <c r="B20" s="1" t="s">
        <v>42</v>
      </c>
      <c r="C20" s="1">
        <v>80</v>
      </c>
      <c r="D20" s="1">
        <v>168</v>
      </c>
      <c r="E20" s="1">
        <v>39</v>
      </c>
      <c r="F20" s="1">
        <v>209</v>
      </c>
      <c r="G20" s="8">
        <v>0.2</v>
      </c>
      <c r="H20" s="1">
        <v>180</v>
      </c>
      <c r="I20" s="1" t="s">
        <v>43</v>
      </c>
      <c r="J20" s="1"/>
      <c r="K20" s="1">
        <v>39</v>
      </c>
      <c r="L20" s="1">
        <f>E20-K20</f>
        <v>0</v>
      </c>
      <c r="M20" s="1"/>
      <c r="N20" s="1"/>
      <c r="O20" s="1">
        <v>0</v>
      </c>
      <c r="P20" s="1">
        <f>E20/5</f>
        <v>7.8</v>
      </c>
      <c r="Q20" s="5"/>
      <c r="R20" s="5"/>
      <c r="S20" s="5">
        <f>R20+Q20</f>
        <v>0</v>
      </c>
      <c r="T20" s="5">
        <f>AI20*AJ20</f>
        <v>0</v>
      </c>
      <c r="U20" s="5"/>
      <c r="V20" s="1"/>
      <c r="W20" s="1">
        <f>(F20+O20+T20)/P20</f>
        <v>26.794871794871796</v>
      </c>
      <c r="X20" s="1">
        <f>(F20+O20)/P20</f>
        <v>26.794871794871796</v>
      </c>
      <c r="Y20" s="1">
        <v>8.6</v>
      </c>
      <c r="Z20" s="1">
        <v>11.4</v>
      </c>
      <c r="AA20" s="1">
        <v>9.4</v>
      </c>
      <c r="AB20" s="1">
        <v>14</v>
      </c>
      <c r="AC20" s="1">
        <v>8.4</v>
      </c>
      <c r="AD20" s="1">
        <v>4.5999999999999996</v>
      </c>
      <c r="AE20" s="1">
        <v>12.4</v>
      </c>
      <c r="AF20" s="1">
        <v>8.6</v>
      </c>
      <c r="AG20" s="1" t="s">
        <v>62</v>
      </c>
      <c r="AH20" s="1">
        <f>G20*S20</f>
        <v>0</v>
      </c>
      <c r="AI20" s="8">
        <v>12</v>
      </c>
      <c r="AJ20" s="10">
        <f>MROUND(S20, AI20*AL20)/AI20</f>
        <v>0</v>
      </c>
      <c r="AK20" s="1">
        <f>AJ20*AI20*G20</f>
        <v>0</v>
      </c>
      <c r="AL20" s="1">
        <v>14</v>
      </c>
      <c r="AM20" s="1">
        <v>70</v>
      </c>
      <c r="AN20" s="10">
        <f>AJ20/AM20</f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63</v>
      </c>
      <c r="B21" s="1" t="s">
        <v>42</v>
      </c>
      <c r="C21" s="1">
        <v>327</v>
      </c>
      <c r="D21" s="1">
        <v>14</v>
      </c>
      <c r="E21" s="1">
        <v>230</v>
      </c>
      <c r="F21" s="1">
        <v>97</v>
      </c>
      <c r="G21" s="8">
        <v>0.2</v>
      </c>
      <c r="H21" s="1">
        <v>180</v>
      </c>
      <c r="I21" s="14" t="s">
        <v>64</v>
      </c>
      <c r="J21" s="1"/>
      <c r="K21" s="1">
        <v>230</v>
      </c>
      <c r="L21" s="1">
        <f>E21-K21</f>
        <v>0</v>
      </c>
      <c r="M21" s="1"/>
      <c r="N21" s="1"/>
      <c r="O21" s="1">
        <v>504</v>
      </c>
      <c r="P21" s="1">
        <f>E21/5</f>
        <v>46</v>
      </c>
      <c r="Q21" s="5">
        <v>89</v>
      </c>
      <c r="R21" s="5"/>
      <c r="S21" s="5">
        <f>R21+Q21</f>
        <v>89</v>
      </c>
      <c r="T21" s="5">
        <f>AI21*AJ21</f>
        <v>168</v>
      </c>
      <c r="U21" s="5"/>
      <c r="V21" s="1"/>
      <c r="W21" s="1">
        <f>(F21+O21+T21)/P21</f>
        <v>16.717391304347824</v>
      </c>
      <c r="X21" s="1">
        <f>(F21+O21)/P21</f>
        <v>13.065217391304348</v>
      </c>
      <c r="Y21" s="1">
        <v>63.2</v>
      </c>
      <c r="Z21" s="1">
        <v>34.4</v>
      </c>
      <c r="AA21" s="1">
        <v>52.8</v>
      </c>
      <c r="AB21" s="1">
        <v>40.4</v>
      </c>
      <c r="AC21" s="1">
        <v>40.200000000000003</v>
      </c>
      <c r="AD21" s="1">
        <v>45.6</v>
      </c>
      <c r="AE21" s="1">
        <v>35.799999999999997</v>
      </c>
      <c r="AF21" s="1">
        <v>44.2</v>
      </c>
      <c r="AG21" s="1"/>
      <c r="AH21" s="1">
        <f>G21*S21</f>
        <v>17.8</v>
      </c>
      <c r="AI21" s="8">
        <v>12</v>
      </c>
      <c r="AJ21" s="10">
        <f>MROUND(S21, AI21*AL21)/AI21</f>
        <v>14</v>
      </c>
      <c r="AK21" s="1">
        <f>AJ21*AI21*G21</f>
        <v>33.6</v>
      </c>
      <c r="AL21" s="1">
        <v>14</v>
      </c>
      <c r="AM21" s="1">
        <v>70</v>
      </c>
      <c r="AN21" s="10">
        <f>AJ21/AM21</f>
        <v>0.2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42</v>
      </c>
      <c r="C22" s="1">
        <v>24</v>
      </c>
      <c r="D22" s="1">
        <v>397</v>
      </c>
      <c r="E22" s="1">
        <v>153</v>
      </c>
      <c r="F22" s="1">
        <v>204</v>
      </c>
      <c r="G22" s="8">
        <v>0.2</v>
      </c>
      <c r="H22" s="1">
        <v>180</v>
      </c>
      <c r="I22" s="1" t="s">
        <v>43</v>
      </c>
      <c r="J22" s="1"/>
      <c r="K22" s="1">
        <v>157</v>
      </c>
      <c r="L22" s="1">
        <f>E22-K22</f>
        <v>-4</v>
      </c>
      <c r="M22" s="1"/>
      <c r="N22" s="1"/>
      <c r="O22" s="1">
        <v>168</v>
      </c>
      <c r="P22" s="1">
        <f>E22/5</f>
        <v>30.6</v>
      </c>
      <c r="Q22" s="5">
        <v>87</v>
      </c>
      <c r="R22" s="5"/>
      <c r="S22" s="5">
        <f>R22+Q22</f>
        <v>87</v>
      </c>
      <c r="T22" s="5">
        <f>AI22*AJ22</f>
        <v>168</v>
      </c>
      <c r="U22" s="5"/>
      <c r="V22" s="1"/>
      <c r="W22" s="1">
        <f>(F22+O22+T22)/P22</f>
        <v>17.647058823529409</v>
      </c>
      <c r="X22" s="1">
        <f>(F22+O22)/P22</f>
        <v>12.156862745098039</v>
      </c>
      <c r="Y22" s="1">
        <v>38.799999999999997</v>
      </c>
      <c r="Z22" s="1">
        <v>43.2</v>
      </c>
      <c r="AA22" s="1">
        <v>26.2</v>
      </c>
      <c r="AB22" s="1">
        <v>22</v>
      </c>
      <c r="AC22" s="1">
        <v>23</v>
      </c>
      <c r="AD22" s="1">
        <v>26.6</v>
      </c>
      <c r="AE22" s="1">
        <v>17.600000000000001</v>
      </c>
      <c r="AF22" s="1">
        <v>21.8</v>
      </c>
      <c r="AG22" s="1"/>
      <c r="AH22" s="1">
        <f>G22*S22</f>
        <v>17.400000000000002</v>
      </c>
      <c r="AI22" s="8">
        <v>12</v>
      </c>
      <c r="AJ22" s="10">
        <f>MROUND(S22, AI22*AL22)/AI22</f>
        <v>14</v>
      </c>
      <c r="AK22" s="1">
        <f>AJ22*AI22*G22</f>
        <v>33.6</v>
      </c>
      <c r="AL22" s="1">
        <v>14</v>
      </c>
      <c r="AM22" s="1">
        <v>70</v>
      </c>
      <c r="AN22" s="10">
        <f>AJ22/AM22</f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66</v>
      </c>
      <c r="B23" s="1" t="s">
        <v>45</v>
      </c>
      <c r="C23" s="1">
        <v>92.8</v>
      </c>
      <c r="D23" s="1">
        <v>169.9</v>
      </c>
      <c r="E23" s="1">
        <v>81.400000000000006</v>
      </c>
      <c r="F23" s="1">
        <v>166.5</v>
      </c>
      <c r="G23" s="8">
        <v>1</v>
      </c>
      <c r="H23" s="1">
        <v>180</v>
      </c>
      <c r="I23" s="1" t="s">
        <v>43</v>
      </c>
      <c r="J23" s="1"/>
      <c r="K23" s="1">
        <v>81.2</v>
      </c>
      <c r="L23" s="1">
        <f>E23-K23</f>
        <v>0.20000000000000284</v>
      </c>
      <c r="M23" s="1"/>
      <c r="N23" s="1"/>
      <c r="O23" s="1">
        <v>0</v>
      </c>
      <c r="P23" s="1">
        <f>E23/5</f>
        <v>16.28</v>
      </c>
      <c r="Q23" s="5">
        <v>61.420000000000016</v>
      </c>
      <c r="R23" s="5"/>
      <c r="S23" s="5">
        <f>R23+Q23</f>
        <v>61.420000000000016</v>
      </c>
      <c r="T23" s="5">
        <f>AI23*AJ23</f>
        <v>51.800000000000004</v>
      </c>
      <c r="U23" s="5"/>
      <c r="V23" s="1"/>
      <c r="W23" s="1">
        <f>(F23+O23+T23)/P23</f>
        <v>13.409090909090908</v>
      </c>
      <c r="X23" s="1">
        <f>(F23+O23)/P23</f>
        <v>10.227272727272727</v>
      </c>
      <c r="Y23" s="1">
        <v>17.02</v>
      </c>
      <c r="Z23" s="1">
        <v>24.36</v>
      </c>
      <c r="AA23" s="1">
        <v>21.475999999999999</v>
      </c>
      <c r="AB23" s="1">
        <v>16.28</v>
      </c>
      <c r="AC23" s="1">
        <v>19.239999999999998</v>
      </c>
      <c r="AD23" s="1">
        <v>22.94</v>
      </c>
      <c r="AE23" s="1">
        <v>30.34</v>
      </c>
      <c r="AF23" s="1">
        <v>21.46</v>
      </c>
      <c r="AG23" s="1"/>
      <c r="AH23" s="1">
        <f>G23*S23</f>
        <v>61.420000000000016</v>
      </c>
      <c r="AI23" s="8">
        <v>3.7</v>
      </c>
      <c r="AJ23" s="10">
        <f>MROUND(S23, AI23*AL23)/AI23</f>
        <v>14</v>
      </c>
      <c r="AK23" s="1">
        <f>AJ23*AI23*G23</f>
        <v>51.800000000000004</v>
      </c>
      <c r="AL23" s="1">
        <v>14</v>
      </c>
      <c r="AM23" s="1">
        <v>126</v>
      </c>
      <c r="AN23" s="10">
        <f>AJ23/AM23</f>
        <v>0.1111111111111111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5" t="s">
        <v>67</v>
      </c>
      <c r="B24" s="15" t="s">
        <v>42</v>
      </c>
      <c r="C24" s="15">
        <v>13</v>
      </c>
      <c r="D24" s="15"/>
      <c r="E24" s="15"/>
      <c r="F24" s="15">
        <v>13</v>
      </c>
      <c r="G24" s="16">
        <v>0</v>
      </c>
      <c r="H24" s="15">
        <v>180</v>
      </c>
      <c r="I24" s="15" t="s">
        <v>68</v>
      </c>
      <c r="J24" s="15"/>
      <c r="K24" s="15"/>
      <c r="L24" s="15">
        <f>E24-K24</f>
        <v>0</v>
      </c>
      <c r="M24" s="15"/>
      <c r="N24" s="15"/>
      <c r="O24" s="15"/>
      <c r="P24" s="15">
        <f>E24/5</f>
        <v>0</v>
      </c>
      <c r="Q24" s="17"/>
      <c r="R24" s="17"/>
      <c r="S24" s="5">
        <f>R24+Q24</f>
        <v>0</v>
      </c>
      <c r="T24" s="17"/>
      <c r="U24" s="17"/>
      <c r="V24" s="15"/>
      <c r="W24" s="15" t="e">
        <f>(F24+O24+T24)/P24</f>
        <v>#DIV/0!</v>
      </c>
      <c r="X24" s="15" t="e">
        <f>(F24+O24)/P24</f>
        <v>#DIV/0!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25" t="s">
        <v>127</v>
      </c>
      <c r="AH24" s="15"/>
      <c r="AI24" s="16"/>
      <c r="AJ24" s="18"/>
      <c r="AK24" s="15"/>
      <c r="AL24" s="15"/>
      <c r="AM24" s="15"/>
      <c r="AN24" s="1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45</v>
      </c>
      <c r="C25" s="1">
        <v>66</v>
      </c>
      <c r="D25" s="1">
        <v>5.5</v>
      </c>
      <c r="E25" s="1">
        <v>5.5</v>
      </c>
      <c r="F25" s="1">
        <v>60.5</v>
      </c>
      <c r="G25" s="8">
        <v>1</v>
      </c>
      <c r="H25" s="1">
        <v>180</v>
      </c>
      <c r="I25" s="1" t="s">
        <v>43</v>
      </c>
      <c r="J25" s="1"/>
      <c r="K25" s="1">
        <v>10</v>
      </c>
      <c r="L25" s="1">
        <f>E25-K25</f>
        <v>-4.5</v>
      </c>
      <c r="M25" s="1"/>
      <c r="N25" s="1"/>
      <c r="O25" s="1">
        <v>66</v>
      </c>
      <c r="P25" s="1">
        <f>E25/5</f>
        <v>1.1000000000000001</v>
      </c>
      <c r="Q25" s="5"/>
      <c r="R25" s="5"/>
      <c r="S25" s="5">
        <f>R25+Q25</f>
        <v>0</v>
      </c>
      <c r="T25" s="5">
        <f>AI25*AJ25</f>
        <v>0</v>
      </c>
      <c r="U25" s="5"/>
      <c r="V25" s="1"/>
      <c r="W25" s="1">
        <f>(F25+O25+T25)/P25</f>
        <v>114.99999999999999</v>
      </c>
      <c r="X25" s="1">
        <f>(F25+O25)/P25</f>
        <v>114.99999999999999</v>
      </c>
      <c r="Y25" s="1">
        <v>11</v>
      </c>
      <c r="Z25" s="1">
        <v>5.5</v>
      </c>
      <c r="AA25" s="1">
        <v>6.6</v>
      </c>
      <c r="AB25" s="1">
        <v>6.6</v>
      </c>
      <c r="AC25" s="1">
        <v>4.4000000000000004</v>
      </c>
      <c r="AD25" s="1">
        <v>4.4000000000000004</v>
      </c>
      <c r="AE25" s="1">
        <v>7.7</v>
      </c>
      <c r="AF25" s="1">
        <v>5.5</v>
      </c>
      <c r="AG25" s="26" t="s">
        <v>115</v>
      </c>
      <c r="AH25" s="1">
        <f>G25*S25</f>
        <v>0</v>
      </c>
      <c r="AI25" s="8">
        <v>5.5</v>
      </c>
      <c r="AJ25" s="10">
        <f>MROUND(S25, AI25*AL25)/AI25</f>
        <v>0</v>
      </c>
      <c r="AK25" s="1">
        <f>AJ25*AI25*G25</f>
        <v>0</v>
      </c>
      <c r="AL25" s="1">
        <v>12</v>
      </c>
      <c r="AM25" s="1">
        <v>84</v>
      </c>
      <c r="AN25" s="10">
        <f>AJ25/AM25</f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45</v>
      </c>
      <c r="C26" s="1">
        <v>66</v>
      </c>
      <c r="D26" s="1">
        <v>3</v>
      </c>
      <c r="E26" s="1">
        <v>45</v>
      </c>
      <c r="F26" s="1">
        <v>21</v>
      </c>
      <c r="G26" s="8">
        <v>1</v>
      </c>
      <c r="H26" s="1">
        <v>180</v>
      </c>
      <c r="I26" s="1" t="s">
        <v>43</v>
      </c>
      <c r="J26" s="1"/>
      <c r="K26" s="1">
        <v>47</v>
      </c>
      <c r="L26" s="1">
        <f>E26-K26</f>
        <v>-2</v>
      </c>
      <c r="M26" s="1"/>
      <c r="N26" s="1"/>
      <c r="O26" s="1">
        <v>42</v>
      </c>
      <c r="P26" s="1">
        <f>E26/5</f>
        <v>9</v>
      </c>
      <c r="Q26" s="5">
        <v>63</v>
      </c>
      <c r="R26" s="5"/>
      <c r="S26" s="5">
        <f>R26+Q26</f>
        <v>63</v>
      </c>
      <c r="T26" s="5">
        <f>AI26*AJ26</f>
        <v>84</v>
      </c>
      <c r="U26" s="5"/>
      <c r="V26" s="1"/>
      <c r="W26" s="1">
        <f>(F26+O26+T26)/P26</f>
        <v>16.333333333333332</v>
      </c>
      <c r="X26" s="1">
        <f>(F26+O26)/P26</f>
        <v>7</v>
      </c>
      <c r="Y26" s="1">
        <v>9</v>
      </c>
      <c r="Z26" s="1">
        <v>7.8</v>
      </c>
      <c r="AA26" s="1">
        <v>6.6</v>
      </c>
      <c r="AB26" s="1">
        <v>12.6</v>
      </c>
      <c r="AC26" s="1">
        <v>8.4</v>
      </c>
      <c r="AD26" s="1">
        <v>6.6</v>
      </c>
      <c r="AE26" s="1">
        <v>10.8</v>
      </c>
      <c r="AF26" s="1">
        <v>5.4</v>
      </c>
      <c r="AG26" s="1"/>
      <c r="AH26" s="1">
        <f>G26*S26</f>
        <v>63</v>
      </c>
      <c r="AI26" s="8">
        <v>3</v>
      </c>
      <c r="AJ26" s="10">
        <f>MROUND(S26, AI26*AL26)/AI26</f>
        <v>28</v>
      </c>
      <c r="AK26" s="1">
        <f>AJ26*AI26*G26</f>
        <v>84</v>
      </c>
      <c r="AL26" s="1">
        <v>14</v>
      </c>
      <c r="AM26" s="1">
        <v>126</v>
      </c>
      <c r="AN26" s="10">
        <f>AJ26/AM26</f>
        <v>0.22222222222222221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71</v>
      </c>
      <c r="B27" s="1" t="s">
        <v>42</v>
      </c>
      <c r="C27" s="1">
        <v>2</v>
      </c>
      <c r="D27" s="1">
        <v>763</v>
      </c>
      <c r="E27" s="1">
        <v>291</v>
      </c>
      <c r="F27" s="1">
        <v>381</v>
      </c>
      <c r="G27" s="8">
        <v>0.25</v>
      </c>
      <c r="H27" s="1">
        <v>180</v>
      </c>
      <c r="I27" s="1" t="s">
        <v>43</v>
      </c>
      <c r="J27" s="1"/>
      <c r="K27" s="1">
        <v>322</v>
      </c>
      <c r="L27" s="1">
        <f>E27-K27</f>
        <v>-31</v>
      </c>
      <c r="M27" s="1"/>
      <c r="N27" s="1"/>
      <c r="O27" s="1">
        <v>756</v>
      </c>
      <c r="P27" s="1">
        <f>E27/5</f>
        <v>58.2</v>
      </c>
      <c r="Q27" s="5"/>
      <c r="R27" s="5"/>
      <c r="S27" s="5">
        <f>R27+Q27</f>
        <v>0</v>
      </c>
      <c r="T27" s="5">
        <f>AI27*AJ27</f>
        <v>0</v>
      </c>
      <c r="U27" s="5"/>
      <c r="V27" s="1"/>
      <c r="W27" s="1">
        <f>(F27+O27+T27)/P27</f>
        <v>19.536082474226802</v>
      </c>
      <c r="X27" s="1">
        <f>(F27+O27)/P27</f>
        <v>19.536082474226802</v>
      </c>
      <c r="Y27" s="1">
        <v>102.2</v>
      </c>
      <c r="Z27" s="1">
        <v>81</v>
      </c>
      <c r="AA27" s="1">
        <v>66</v>
      </c>
      <c r="AB27" s="1">
        <v>68.400000000000006</v>
      </c>
      <c r="AC27" s="1">
        <v>71.8</v>
      </c>
      <c r="AD27" s="1">
        <v>91.2</v>
      </c>
      <c r="AE27" s="1">
        <v>106.8</v>
      </c>
      <c r="AF27" s="1">
        <v>92.2</v>
      </c>
      <c r="AG27" s="1" t="s">
        <v>58</v>
      </c>
      <c r="AH27" s="1">
        <f>G27*S27</f>
        <v>0</v>
      </c>
      <c r="AI27" s="8">
        <v>6</v>
      </c>
      <c r="AJ27" s="10">
        <f>MROUND(S27, AI27*AL27)/AI27</f>
        <v>0</v>
      </c>
      <c r="AK27" s="1">
        <f>AJ27*AI27*G27</f>
        <v>0</v>
      </c>
      <c r="AL27" s="1">
        <v>14</v>
      </c>
      <c r="AM27" s="1">
        <v>140</v>
      </c>
      <c r="AN27" s="10">
        <f>AJ27/AM27</f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5" t="s">
        <v>72</v>
      </c>
      <c r="B28" s="15" t="s">
        <v>42</v>
      </c>
      <c r="C28" s="15">
        <v>-1</v>
      </c>
      <c r="D28" s="15">
        <v>1</v>
      </c>
      <c r="E28" s="15"/>
      <c r="F28" s="15"/>
      <c r="G28" s="16">
        <v>0</v>
      </c>
      <c r="H28" s="15" t="e">
        <v>#N/A</v>
      </c>
      <c r="I28" s="15" t="s">
        <v>51</v>
      </c>
      <c r="J28" s="15" t="s">
        <v>73</v>
      </c>
      <c r="K28" s="15"/>
      <c r="L28" s="15">
        <f>E28-K28</f>
        <v>0</v>
      </c>
      <c r="M28" s="15"/>
      <c r="N28" s="15"/>
      <c r="O28" s="15"/>
      <c r="P28" s="15">
        <f>E28/5</f>
        <v>0</v>
      </c>
      <c r="Q28" s="17"/>
      <c r="R28" s="17"/>
      <c r="S28" s="5">
        <f>R28+Q28</f>
        <v>0</v>
      </c>
      <c r="T28" s="17"/>
      <c r="U28" s="17"/>
      <c r="V28" s="15"/>
      <c r="W28" s="15" t="e">
        <f>(F28+O28+T28)/P28</f>
        <v>#DIV/0!</v>
      </c>
      <c r="X28" s="15" t="e">
        <f>(F28+O28)/P28</f>
        <v>#DIV/0!</v>
      </c>
      <c r="Y28" s="15">
        <v>0.2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/>
      <c r="AH28" s="15"/>
      <c r="AI28" s="16"/>
      <c r="AJ28" s="18"/>
      <c r="AK28" s="15"/>
      <c r="AL28" s="15"/>
      <c r="AM28" s="15"/>
      <c r="AN28" s="1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73</v>
      </c>
      <c r="B29" s="1" t="s">
        <v>42</v>
      </c>
      <c r="C29" s="1">
        <v>81</v>
      </c>
      <c r="D29" s="1">
        <v>171</v>
      </c>
      <c r="E29" s="1">
        <v>86</v>
      </c>
      <c r="F29" s="1">
        <v>162</v>
      </c>
      <c r="G29" s="8">
        <v>0.25</v>
      </c>
      <c r="H29" s="1">
        <v>180</v>
      </c>
      <c r="I29" s="1" t="s">
        <v>43</v>
      </c>
      <c r="J29" s="1"/>
      <c r="K29" s="1">
        <v>87</v>
      </c>
      <c r="L29" s="1">
        <f>E29-K29</f>
        <v>-1</v>
      </c>
      <c r="M29" s="1"/>
      <c r="N29" s="1"/>
      <c r="O29" s="1">
        <v>0</v>
      </c>
      <c r="P29" s="1">
        <f>E29/5</f>
        <v>17.2</v>
      </c>
      <c r="Q29" s="5">
        <v>78.799999999999983</v>
      </c>
      <c r="R29" s="5"/>
      <c r="S29" s="5">
        <f>R29+Q29</f>
        <v>78.799999999999983</v>
      </c>
      <c r="T29" s="5">
        <f>AI29*AJ29</f>
        <v>84</v>
      </c>
      <c r="U29" s="5"/>
      <c r="V29" s="1"/>
      <c r="W29" s="1">
        <f>(F29+O29+T29)/P29</f>
        <v>14.302325581395349</v>
      </c>
      <c r="X29" s="1">
        <f>(F29+O29)/P29</f>
        <v>9.4186046511627914</v>
      </c>
      <c r="Y29" s="1">
        <v>18</v>
      </c>
      <c r="Z29" s="1">
        <v>26</v>
      </c>
      <c r="AA29" s="1">
        <v>18.2</v>
      </c>
      <c r="AB29" s="1">
        <v>22.4</v>
      </c>
      <c r="AC29" s="1">
        <v>20.399999999999999</v>
      </c>
      <c r="AD29" s="1">
        <v>31.6</v>
      </c>
      <c r="AE29" s="1">
        <v>16.2</v>
      </c>
      <c r="AF29" s="1">
        <v>25.6</v>
      </c>
      <c r="AG29" s="1" t="s">
        <v>58</v>
      </c>
      <c r="AH29" s="1">
        <f>G29*S29</f>
        <v>19.699999999999996</v>
      </c>
      <c r="AI29" s="8">
        <v>6</v>
      </c>
      <c r="AJ29" s="10">
        <f>MROUND(S29, AI29*AL29)/AI29</f>
        <v>14</v>
      </c>
      <c r="AK29" s="1">
        <f>AJ29*AI29*G29</f>
        <v>21</v>
      </c>
      <c r="AL29" s="1">
        <v>14</v>
      </c>
      <c r="AM29" s="1">
        <v>140</v>
      </c>
      <c r="AN29" s="10">
        <f>AJ29/AM29</f>
        <v>0.1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74</v>
      </c>
      <c r="B30" s="1" t="s">
        <v>45</v>
      </c>
      <c r="C30" s="1">
        <v>144</v>
      </c>
      <c r="D30" s="1">
        <v>216</v>
      </c>
      <c r="E30" s="1">
        <v>60</v>
      </c>
      <c r="F30" s="1">
        <v>300</v>
      </c>
      <c r="G30" s="8">
        <v>1</v>
      </c>
      <c r="H30" s="1">
        <v>180</v>
      </c>
      <c r="I30" s="1" t="s">
        <v>43</v>
      </c>
      <c r="J30" s="1"/>
      <c r="K30" s="1">
        <v>58</v>
      </c>
      <c r="L30" s="1">
        <f>E30-K30</f>
        <v>2</v>
      </c>
      <c r="M30" s="1"/>
      <c r="N30" s="1"/>
      <c r="O30" s="1">
        <v>0</v>
      </c>
      <c r="P30" s="1">
        <f>E30/5</f>
        <v>12</v>
      </c>
      <c r="Q30" s="5"/>
      <c r="R30" s="5"/>
      <c r="S30" s="5">
        <f>R30+Q30</f>
        <v>0</v>
      </c>
      <c r="T30" s="5">
        <f>AI30*AJ30</f>
        <v>0</v>
      </c>
      <c r="U30" s="5"/>
      <c r="V30" s="1"/>
      <c r="W30" s="1">
        <f>(F30+O30+T30)/P30</f>
        <v>25</v>
      </c>
      <c r="X30" s="1">
        <f>(F30+O30)/P30</f>
        <v>25</v>
      </c>
      <c r="Y30" s="1">
        <v>22.8</v>
      </c>
      <c r="Z30" s="1">
        <v>33.6</v>
      </c>
      <c r="AA30" s="1">
        <v>32.4</v>
      </c>
      <c r="AB30" s="1">
        <v>25.2</v>
      </c>
      <c r="AC30" s="1">
        <v>31.2</v>
      </c>
      <c r="AD30" s="1">
        <v>40.799999999999997</v>
      </c>
      <c r="AE30" s="1">
        <v>39.6</v>
      </c>
      <c r="AF30" s="1">
        <v>52.8</v>
      </c>
      <c r="AG30" s="1"/>
      <c r="AH30" s="1">
        <f>G30*S30</f>
        <v>0</v>
      </c>
      <c r="AI30" s="8">
        <v>6</v>
      </c>
      <c r="AJ30" s="10">
        <f>MROUND(S30, AI30*AL30)/AI30</f>
        <v>0</v>
      </c>
      <c r="AK30" s="1">
        <f>AJ30*AI30*G30</f>
        <v>0</v>
      </c>
      <c r="AL30" s="1">
        <v>12</v>
      </c>
      <c r="AM30" s="1">
        <v>84</v>
      </c>
      <c r="AN30" s="10">
        <f>AJ30/AM30</f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75</v>
      </c>
      <c r="B31" s="1" t="s">
        <v>42</v>
      </c>
      <c r="C31" s="1">
        <v>238</v>
      </c>
      <c r="D31" s="1">
        <v>1</v>
      </c>
      <c r="E31" s="1">
        <v>64</v>
      </c>
      <c r="F31" s="1">
        <v>174</v>
      </c>
      <c r="G31" s="8">
        <v>0.23</v>
      </c>
      <c r="H31" s="1">
        <v>180</v>
      </c>
      <c r="I31" s="1" t="s">
        <v>43</v>
      </c>
      <c r="J31" s="1"/>
      <c r="K31" s="1">
        <v>65</v>
      </c>
      <c r="L31" s="1">
        <f>E31-K31</f>
        <v>-1</v>
      </c>
      <c r="M31" s="1"/>
      <c r="N31" s="1"/>
      <c r="O31" s="1">
        <v>0</v>
      </c>
      <c r="P31" s="1">
        <f>E31/5</f>
        <v>12.8</v>
      </c>
      <c r="Q31" s="5"/>
      <c r="R31" s="5"/>
      <c r="S31" s="5">
        <f>R31+Q31</f>
        <v>0</v>
      </c>
      <c r="T31" s="5">
        <f>AI31*AJ31</f>
        <v>0</v>
      </c>
      <c r="U31" s="5"/>
      <c r="V31" s="1"/>
      <c r="W31" s="1">
        <f>(F31+O31+T31)/P31</f>
        <v>13.59375</v>
      </c>
      <c r="X31" s="1">
        <f>(F31+O31)/P31</f>
        <v>13.59375</v>
      </c>
      <c r="Y31" s="1">
        <v>11.8</v>
      </c>
      <c r="Z31" s="1">
        <v>21.6</v>
      </c>
      <c r="AA31" s="1">
        <v>13.6</v>
      </c>
      <c r="AB31" s="1">
        <v>22.6</v>
      </c>
      <c r="AC31" s="1">
        <v>21</v>
      </c>
      <c r="AD31" s="1">
        <v>18.399999999999999</v>
      </c>
      <c r="AE31" s="1">
        <v>18.399999999999999</v>
      </c>
      <c r="AF31" s="1">
        <v>20</v>
      </c>
      <c r="AG31" s="1"/>
      <c r="AH31" s="1">
        <f>G31*S31</f>
        <v>0</v>
      </c>
      <c r="AI31" s="8">
        <v>12</v>
      </c>
      <c r="AJ31" s="10">
        <f>MROUND(S31, AI31*AL31)/AI31</f>
        <v>0</v>
      </c>
      <c r="AK31" s="1">
        <f>AJ31*AI31*G31</f>
        <v>0</v>
      </c>
      <c r="AL31" s="1">
        <v>14</v>
      </c>
      <c r="AM31" s="1">
        <v>70</v>
      </c>
      <c r="AN31" s="10">
        <f>AJ31/AM31</f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76</v>
      </c>
      <c r="B32" s="1" t="s">
        <v>42</v>
      </c>
      <c r="C32" s="1">
        <v>264</v>
      </c>
      <c r="D32" s="1">
        <v>352</v>
      </c>
      <c r="E32" s="1">
        <v>281</v>
      </c>
      <c r="F32" s="1">
        <v>332</v>
      </c>
      <c r="G32" s="8">
        <v>0.25</v>
      </c>
      <c r="H32" s="1">
        <v>365</v>
      </c>
      <c r="I32" s="1" t="s">
        <v>43</v>
      </c>
      <c r="J32" s="1"/>
      <c r="K32" s="1">
        <v>282</v>
      </c>
      <c r="L32" s="1">
        <f>E32-K32</f>
        <v>-1</v>
      </c>
      <c r="M32" s="1"/>
      <c r="N32" s="1"/>
      <c r="O32" s="1">
        <v>168</v>
      </c>
      <c r="P32" s="1">
        <f>E32/5</f>
        <v>56.2</v>
      </c>
      <c r="Q32" s="5">
        <v>286.80000000000007</v>
      </c>
      <c r="R32" s="5">
        <f>$R$1*P32</f>
        <v>101.16000000000001</v>
      </c>
      <c r="S32" s="5">
        <f>R32+Q32</f>
        <v>387.96000000000009</v>
      </c>
      <c r="T32" s="5">
        <f>AI32*AJ32</f>
        <v>336</v>
      </c>
      <c r="U32" s="5"/>
      <c r="V32" s="1"/>
      <c r="W32" s="1">
        <f>(F32+O32+T32)/P32</f>
        <v>14.87544483985765</v>
      </c>
      <c r="X32" s="1">
        <f>(F32+O32)/P32</f>
        <v>8.8967971530249113</v>
      </c>
      <c r="Y32" s="1">
        <v>49.2</v>
      </c>
      <c r="Z32" s="1">
        <v>53.4</v>
      </c>
      <c r="AA32" s="1">
        <v>52.4</v>
      </c>
      <c r="AB32" s="1">
        <v>56.8</v>
      </c>
      <c r="AC32" s="1">
        <v>54.6</v>
      </c>
      <c r="AD32" s="1">
        <v>56.6</v>
      </c>
      <c r="AE32" s="1">
        <v>41.6</v>
      </c>
      <c r="AF32" s="1">
        <v>31.4</v>
      </c>
      <c r="AG32" s="1" t="s">
        <v>58</v>
      </c>
      <c r="AH32" s="1">
        <f>G32*S32</f>
        <v>96.990000000000023</v>
      </c>
      <c r="AI32" s="8">
        <v>12</v>
      </c>
      <c r="AJ32" s="10">
        <f>MROUND(S32, AI32*AL32)/AI32</f>
        <v>28</v>
      </c>
      <c r="AK32" s="1">
        <f>AJ32*AI32*G32</f>
        <v>84</v>
      </c>
      <c r="AL32" s="1">
        <v>14</v>
      </c>
      <c r="AM32" s="1">
        <v>70</v>
      </c>
      <c r="AN32" s="10">
        <f>AJ32/AM32</f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77</v>
      </c>
      <c r="B33" s="1" t="s">
        <v>42</v>
      </c>
      <c r="C33" s="1">
        <v>284</v>
      </c>
      <c r="D33" s="1">
        <v>197</v>
      </c>
      <c r="E33" s="1">
        <v>175</v>
      </c>
      <c r="F33" s="1">
        <v>279</v>
      </c>
      <c r="G33" s="8">
        <v>0.25</v>
      </c>
      <c r="H33" s="1">
        <v>365</v>
      </c>
      <c r="I33" s="1" t="s">
        <v>43</v>
      </c>
      <c r="J33" s="1"/>
      <c r="K33" s="1">
        <v>176</v>
      </c>
      <c r="L33" s="1">
        <f>E33-K33</f>
        <v>-1</v>
      </c>
      <c r="M33" s="1"/>
      <c r="N33" s="1"/>
      <c r="O33" s="1">
        <v>168</v>
      </c>
      <c r="P33" s="1">
        <f>E33/5</f>
        <v>35</v>
      </c>
      <c r="Q33" s="5">
        <v>113</v>
      </c>
      <c r="R33" s="5"/>
      <c r="S33" s="5">
        <f>R33+Q33</f>
        <v>113</v>
      </c>
      <c r="T33" s="5">
        <f>AI33*AJ33</f>
        <v>168</v>
      </c>
      <c r="U33" s="5"/>
      <c r="V33" s="1"/>
      <c r="W33" s="1">
        <f>(F33+O33+T33)/P33</f>
        <v>17.571428571428573</v>
      </c>
      <c r="X33" s="1">
        <f>(F33+O33)/P33</f>
        <v>12.771428571428572</v>
      </c>
      <c r="Y33" s="1">
        <v>43</v>
      </c>
      <c r="Z33" s="1">
        <v>47.6</v>
      </c>
      <c r="AA33" s="1">
        <v>48.2</v>
      </c>
      <c r="AB33" s="1">
        <v>53</v>
      </c>
      <c r="AC33" s="1">
        <v>50.8</v>
      </c>
      <c r="AD33" s="1">
        <v>47</v>
      </c>
      <c r="AE33" s="1">
        <v>52.2</v>
      </c>
      <c r="AF33" s="1">
        <v>57.4</v>
      </c>
      <c r="AG33" s="1"/>
      <c r="AH33" s="1">
        <f>G33*S33</f>
        <v>28.25</v>
      </c>
      <c r="AI33" s="8">
        <v>12</v>
      </c>
      <c r="AJ33" s="10">
        <f>MROUND(S33, AI33*AL33)/AI33</f>
        <v>14</v>
      </c>
      <c r="AK33" s="1">
        <f>AJ33*AI33*G33</f>
        <v>42</v>
      </c>
      <c r="AL33" s="1">
        <v>14</v>
      </c>
      <c r="AM33" s="1">
        <v>70</v>
      </c>
      <c r="AN33" s="10">
        <f>AJ33/AM33</f>
        <v>0.2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78</v>
      </c>
      <c r="B34" s="1" t="s">
        <v>42</v>
      </c>
      <c r="C34" s="1">
        <v>179</v>
      </c>
      <c r="D34" s="1">
        <v>190</v>
      </c>
      <c r="E34" s="1">
        <v>170</v>
      </c>
      <c r="F34" s="1">
        <v>173</v>
      </c>
      <c r="G34" s="8">
        <v>0.25</v>
      </c>
      <c r="H34" s="1">
        <v>180</v>
      </c>
      <c r="I34" s="1" t="s">
        <v>43</v>
      </c>
      <c r="J34" s="1"/>
      <c r="K34" s="1">
        <v>171</v>
      </c>
      <c r="L34" s="1">
        <f>E34-K34</f>
        <v>-1</v>
      </c>
      <c r="M34" s="1"/>
      <c r="N34" s="1"/>
      <c r="O34" s="1">
        <v>336</v>
      </c>
      <c r="P34" s="1">
        <f>E34/5</f>
        <v>34</v>
      </c>
      <c r="Q34" s="5"/>
      <c r="R34" s="5"/>
      <c r="S34" s="5">
        <f>R34+Q34</f>
        <v>0</v>
      </c>
      <c r="T34" s="5">
        <f>AI34*AJ34</f>
        <v>0</v>
      </c>
      <c r="U34" s="5"/>
      <c r="V34" s="1"/>
      <c r="W34" s="1">
        <f>(F34+O34+T34)/P34</f>
        <v>14.970588235294118</v>
      </c>
      <c r="X34" s="1">
        <f>(F34+O34)/P34</f>
        <v>14.970588235294118</v>
      </c>
      <c r="Y34" s="1">
        <v>47.8</v>
      </c>
      <c r="Z34" s="1">
        <v>37.200000000000003</v>
      </c>
      <c r="AA34" s="1">
        <v>43.4</v>
      </c>
      <c r="AB34" s="1">
        <v>44.6</v>
      </c>
      <c r="AC34" s="1">
        <v>46.2</v>
      </c>
      <c r="AD34" s="1">
        <v>52.6</v>
      </c>
      <c r="AE34" s="1">
        <v>51.6</v>
      </c>
      <c r="AF34" s="1">
        <v>54</v>
      </c>
      <c r="AG34" s="1" t="s">
        <v>58</v>
      </c>
      <c r="AH34" s="1">
        <f>G34*S34</f>
        <v>0</v>
      </c>
      <c r="AI34" s="8">
        <v>12</v>
      </c>
      <c r="AJ34" s="10">
        <f>MROUND(S34, AI34*AL34)/AI34</f>
        <v>0</v>
      </c>
      <c r="AK34" s="1">
        <f>AJ34*AI34*G34</f>
        <v>0</v>
      </c>
      <c r="AL34" s="1">
        <v>14</v>
      </c>
      <c r="AM34" s="1">
        <v>70</v>
      </c>
      <c r="AN34" s="10">
        <f>AJ34/AM34</f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4" t="s">
        <v>79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>E35-K35</f>
        <v>0</v>
      </c>
      <c r="M35" s="1"/>
      <c r="N35" s="1"/>
      <c r="O35" s="14"/>
      <c r="P35" s="1">
        <f>E35/5</f>
        <v>0</v>
      </c>
      <c r="Q35" s="23">
        <v>84</v>
      </c>
      <c r="R35" s="23"/>
      <c r="S35" s="5">
        <f>R35+Q35</f>
        <v>84</v>
      </c>
      <c r="T35" s="5">
        <f>AI35*AJ35</f>
        <v>84</v>
      </c>
      <c r="U35" s="5"/>
      <c r="V35" s="1"/>
      <c r="W35" s="1" t="e">
        <f>(F35+O35+T35)/P35</f>
        <v>#DIV/0!</v>
      </c>
      <c r="X35" s="1" t="e">
        <f>(F35+O35)/P35</f>
        <v>#DIV/0!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4" t="s">
        <v>80</v>
      </c>
      <c r="AH35" s="1">
        <f>G35*S35</f>
        <v>21</v>
      </c>
      <c r="AI35" s="8">
        <v>6</v>
      </c>
      <c r="AJ35" s="10">
        <f>MROUND(S35, AI35*AL35)/AI35</f>
        <v>14</v>
      </c>
      <c r="AK35" s="1">
        <f>AJ35*AI35*G35</f>
        <v>21</v>
      </c>
      <c r="AL35" s="1">
        <v>14</v>
      </c>
      <c r="AM35" s="1">
        <v>126</v>
      </c>
      <c r="AN35" s="10">
        <f>AJ35/AM35</f>
        <v>0.1111111111111111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81</v>
      </c>
      <c r="B36" s="1" t="s">
        <v>42</v>
      </c>
      <c r="C36" s="1">
        <v>235</v>
      </c>
      <c r="D36" s="1">
        <v>100</v>
      </c>
      <c r="E36" s="1">
        <v>111</v>
      </c>
      <c r="F36" s="1">
        <v>122</v>
      </c>
      <c r="G36" s="8">
        <v>0.25</v>
      </c>
      <c r="H36" s="1">
        <v>180</v>
      </c>
      <c r="I36" s="1" t="s">
        <v>43</v>
      </c>
      <c r="J36" s="1"/>
      <c r="K36" s="1">
        <v>115</v>
      </c>
      <c r="L36" s="1">
        <f>E36-K36</f>
        <v>-4</v>
      </c>
      <c r="M36" s="1"/>
      <c r="N36" s="1"/>
      <c r="O36" s="1">
        <v>168</v>
      </c>
      <c r="P36" s="1">
        <f>E36/5</f>
        <v>22.2</v>
      </c>
      <c r="Q36" s="5">
        <v>87.399999999999977</v>
      </c>
      <c r="R36" s="5"/>
      <c r="S36" s="5">
        <f>R36+Q36</f>
        <v>87.399999999999977</v>
      </c>
      <c r="T36" s="5">
        <f>AI36*AJ36</f>
        <v>168</v>
      </c>
      <c r="U36" s="5"/>
      <c r="V36" s="1"/>
      <c r="W36" s="1">
        <f>(F36+O36+T36)/P36</f>
        <v>20.63063063063063</v>
      </c>
      <c r="X36" s="1">
        <f>(F36+O36)/P36</f>
        <v>13.063063063063064</v>
      </c>
      <c r="Y36" s="1">
        <v>21.4</v>
      </c>
      <c r="Z36" s="1">
        <v>18.399999999999999</v>
      </c>
      <c r="AA36" s="1">
        <v>23.4</v>
      </c>
      <c r="AB36" s="1">
        <v>18.399999999999999</v>
      </c>
      <c r="AC36" s="1">
        <v>11.6</v>
      </c>
      <c r="AD36" s="1">
        <v>19.600000000000001</v>
      </c>
      <c r="AE36" s="1">
        <v>6.4</v>
      </c>
      <c r="AF36" s="1">
        <v>4.5999999999999996</v>
      </c>
      <c r="AG36" s="1" t="s">
        <v>58</v>
      </c>
      <c r="AH36" s="1">
        <f>G36*S36</f>
        <v>21.849999999999994</v>
      </c>
      <c r="AI36" s="8">
        <v>12</v>
      </c>
      <c r="AJ36" s="10">
        <f>MROUND(S36, AI36*AL36)/AI36</f>
        <v>14</v>
      </c>
      <c r="AK36" s="1">
        <f>AJ36*AI36*G36</f>
        <v>42</v>
      </c>
      <c r="AL36" s="1">
        <v>14</v>
      </c>
      <c r="AM36" s="1">
        <v>70</v>
      </c>
      <c r="AN36" s="10">
        <f>AJ36/AM36</f>
        <v>0.2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82</v>
      </c>
      <c r="B37" s="1" t="s">
        <v>42</v>
      </c>
      <c r="C37" s="1">
        <v>63</v>
      </c>
      <c r="D37" s="1">
        <v>15</v>
      </c>
      <c r="E37" s="1">
        <v>40</v>
      </c>
      <c r="F37" s="1">
        <v>12</v>
      </c>
      <c r="G37" s="8">
        <v>0.7</v>
      </c>
      <c r="H37" s="1">
        <v>180</v>
      </c>
      <c r="I37" s="1" t="s">
        <v>43</v>
      </c>
      <c r="J37" s="1"/>
      <c r="K37" s="1">
        <v>40</v>
      </c>
      <c r="L37" s="1">
        <f>E37-K37</f>
        <v>0</v>
      </c>
      <c r="M37" s="1"/>
      <c r="N37" s="1"/>
      <c r="O37" s="1">
        <v>96</v>
      </c>
      <c r="P37" s="1">
        <f>E37/5</f>
        <v>8</v>
      </c>
      <c r="Q37" s="5"/>
      <c r="R37" s="5"/>
      <c r="S37" s="5">
        <f>R37+Q37</f>
        <v>0</v>
      </c>
      <c r="T37" s="5">
        <f>AI37*AJ37</f>
        <v>0</v>
      </c>
      <c r="U37" s="5"/>
      <c r="V37" s="1"/>
      <c r="W37" s="1">
        <f>(F37+O37+T37)/P37</f>
        <v>13.5</v>
      </c>
      <c r="X37" s="1">
        <f>(F37+O37)/P37</f>
        <v>13.5</v>
      </c>
      <c r="Y37" s="1">
        <v>14.6</v>
      </c>
      <c r="Z37" s="1">
        <v>8.8000000000000007</v>
      </c>
      <c r="AA37" s="1">
        <v>9.8000000000000007</v>
      </c>
      <c r="AB37" s="1">
        <v>6.2</v>
      </c>
      <c r="AC37" s="1">
        <v>7.8</v>
      </c>
      <c r="AD37" s="1">
        <v>13.6</v>
      </c>
      <c r="AE37" s="1">
        <v>10.199999999999999</v>
      </c>
      <c r="AF37" s="1">
        <v>9.6</v>
      </c>
      <c r="AG37" s="1"/>
      <c r="AH37" s="1">
        <f>G37*S37</f>
        <v>0</v>
      </c>
      <c r="AI37" s="8">
        <v>8</v>
      </c>
      <c r="AJ37" s="10">
        <f>MROUND(S37, AI37*AL37)/AI37</f>
        <v>0</v>
      </c>
      <c r="AK37" s="1">
        <f>AJ37*AI37*G37</f>
        <v>0</v>
      </c>
      <c r="AL37" s="1">
        <v>12</v>
      </c>
      <c r="AM37" s="1">
        <v>84</v>
      </c>
      <c r="AN37" s="10">
        <f>AJ37/AM37</f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83</v>
      </c>
      <c r="B38" s="1" t="s">
        <v>42</v>
      </c>
      <c r="C38" s="1">
        <v>105</v>
      </c>
      <c r="D38" s="1">
        <v>16</v>
      </c>
      <c r="E38" s="1">
        <v>18</v>
      </c>
      <c r="F38" s="1">
        <v>97</v>
      </c>
      <c r="G38" s="8">
        <v>0.7</v>
      </c>
      <c r="H38" s="1">
        <v>180</v>
      </c>
      <c r="I38" s="1" t="s">
        <v>43</v>
      </c>
      <c r="J38" s="1"/>
      <c r="K38" s="1">
        <v>18</v>
      </c>
      <c r="L38" s="1">
        <f>E38-K38</f>
        <v>0</v>
      </c>
      <c r="M38" s="1"/>
      <c r="N38" s="1"/>
      <c r="O38" s="1">
        <v>96</v>
      </c>
      <c r="P38" s="1">
        <f>E38/5</f>
        <v>3.6</v>
      </c>
      <c r="Q38" s="5"/>
      <c r="R38" s="5"/>
      <c r="S38" s="5">
        <f>R38+Q38</f>
        <v>0</v>
      </c>
      <c r="T38" s="5">
        <f>AI38*AJ38</f>
        <v>0</v>
      </c>
      <c r="U38" s="5"/>
      <c r="V38" s="1"/>
      <c r="W38" s="1">
        <f>(F38+O38+T38)/P38</f>
        <v>53.611111111111107</v>
      </c>
      <c r="X38" s="1">
        <f>(F38+O38)/P38</f>
        <v>53.611111111111107</v>
      </c>
      <c r="Y38" s="1">
        <v>17.600000000000001</v>
      </c>
      <c r="Z38" s="1">
        <v>3.8</v>
      </c>
      <c r="AA38" s="1">
        <v>15.8</v>
      </c>
      <c r="AB38" s="1">
        <v>1.4</v>
      </c>
      <c r="AC38" s="1">
        <v>8.4</v>
      </c>
      <c r="AD38" s="1">
        <v>8.4</v>
      </c>
      <c r="AE38" s="1">
        <v>6.4</v>
      </c>
      <c r="AF38" s="1">
        <v>8</v>
      </c>
      <c r="AG38" s="26" t="s">
        <v>115</v>
      </c>
      <c r="AH38" s="1">
        <f>G38*S38</f>
        <v>0</v>
      </c>
      <c r="AI38" s="8">
        <v>8</v>
      </c>
      <c r="AJ38" s="10">
        <f>MROUND(S38, AI38*AL38)/AI38</f>
        <v>0</v>
      </c>
      <c r="AK38" s="1">
        <f>AJ38*AI38*G38</f>
        <v>0</v>
      </c>
      <c r="AL38" s="1">
        <v>12</v>
      </c>
      <c r="AM38" s="1">
        <v>84</v>
      </c>
      <c r="AN38" s="10">
        <f>AJ38/AM38</f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42</v>
      </c>
      <c r="C39" s="1">
        <v>22</v>
      </c>
      <c r="D39" s="1">
        <v>101</v>
      </c>
      <c r="E39" s="1">
        <v>32</v>
      </c>
      <c r="F39" s="1">
        <v>84</v>
      </c>
      <c r="G39" s="8">
        <v>0.7</v>
      </c>
      <c r="H39" s="1">
        <v>180</v>
      </c>
      <c r="I39" s="1" t="s">
        <v>43</v>
      </c>
      <c r="J39" s="1"/>
      <c r="K39" s="1">
        <v>33</v>
      </c>
      <c r="L39" s="1">
        <f>E39-K39</f>
        <v>-1</v>
      </c>
      <c r="M39" s="1"/>
      <c r="N39" s="1"/>
      <c r="O39" s="1">
        <v>96</v>
      </c>
      <c r="P39" s="1">
        <f>E39/5</f>
        <v>6.4</v>
      </c>
      <c r="Q39" s="5"/>
      <c r="R39" s="5"/>
      <c r="S39" s="5">
        <f>R39+Q39</f>
        <v>0</v>
      </c>
      <c r="T39" s="5">
        <f>AI39*AJ39</f>
        <v>0</v>
      </c>
      <c r="U39" s="5"/>
      <c r="V39" s="1"/>
      <c r="W39" s="1">
        <f>(F39+O39+T39)/P39</f>
        <v>28.125</v>
      </c>
      <c r="X39" s="1">
        <f>(F39+O39)/P39</f>
        <v>28.125</v>
      </c>
      <c r="Y39" s="1">
        <v>18.2</v>
      </c>
      <c r="Z39" s="1">
        <v>12.6</v>
      </c>
      <c r="AA39" s="1">
        <v>11.6</v>
      </c>
      <c r="AB39" s="1">
        <v>8.1999999999999993</v>
      </c>
      <c r="AC39" s="1">
        <v>5.2</v>
      </c>
      <c r="AD39" s="1">
        <v>13.4</v>
      </c>
      <c r="AE39" s="1">
        <v>14</v>
      </c>
      <c r="AF39" s="1">
        <v>8.8000000000000007</v>
      </c>
      <c r="AG39" s="1"/>
      <c r="AH39" s="1">
        <f>G39*S39</f>
        <v>0</v>
      </c>
      <c r="AI39" s="8">
        <v>8</v>
      </c>
      <c r="AJ39" s="10">
        <f>MROUND(S39, AI39*AL39)/AI39</f>
        <v>0</v>
      </c>
      <c r="AK39" s="1">
        <f>AJ39*AI39*G39</f>
        <v>0</v>
      </c>
      <c r="AL39" s="1">
        <v>12</v>
      </c>
      <c r="AM39" s="1">
        <v>84</v>
      </c>
      <c r="AN39" s="10">
        <f>AJ39/AM39</f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85</v>
      </c>
      <c r="B40" s="1" t="s">
        <v>42</v>
      </c>
      <c r="C40" s="1">
        <v>249</v>
      </c>
      <c r="D40" s="1">
        <v>39</v>
      </c>
      <c r="E40" s="1">
        <v>141</v>
      </c>
      <c r="F40" s="1">
        <v>144</v>
      </c>
      <c r="G40" s="8">
        <v>0.7</v>
      </c>
      <c r="H40" s="1">
        <v>180</v>
      </c>
      <c r="I40" s="1" t="s">
        <v>43</v>
      </c>
      <c r="J40" s="1"/>
      <c r="K40" s="1">
        <v>141</v>
      </c>
      <c r="L40" s="1">
        <f>E40-K40</f>
        <v>0</v>
      </c>
      <c r="M40" s="1"/>
      <c r="N40" s="1"/>
      <c r="O40" s="1">
        <v>360</v>
      </c>
      <c r="P40" s="1">
        <f>E40/5</f>
        <v>28.2</v>
      </c>
      <c r="Q40" s="5"/>
      <c r="R40" s="5"/>
      <c r="S40" s="5">
        <f>R40+Q40</f>
        <v>0</v>
      </c>
      <c r="T40" s="5">
        <f>AI40*AJ40</f>
        <v>0</v>
      </c>
      <c r="U40" s="5"/>
      <c r="V40" s="1"/>
      <c r="W40" s="1">
        <f>(F40+O40+T40)/P40</f>
        <v>17.872340425531917</v>
      </c>
      <c r="X40" s="1">
        <f>(F40+O40)/P40</f>
        <v>17.872340425531917</v>
      </c>
      <c r="Y40" s="1">
        <v>38.799999999999997</v>
      </c>
      <c r="Z40" s="1">
        <v>26.6</v>
      </c>
      <c r="AA40" s="1">
        <v>40</v>
      </c>
      <c r="AB40" s="1">
        <v>38</v>
      </c>
      <c r="AC40" s="1">
        <v>22.4</v>
      </c>
      <c r="AD40" s="1">
        <v>48.4</v>
      </c>
      <c r="AE40" s="1">
        <v>33.200000000000003</v>
      </c>
      <c r="AF40" s="1">
        <v>31.4</v>
      </c>
      <c r="AG40" s="1"/>
      <c r="AH40" s="1">
        <f>G40*S40</f>
        <v>0</v>
      </c>
      <c r="AI40" s="8">
        <v>10</v>
      </c>
      <c r="AJ40" s="10">
        <f>MROUND(S40, AI40*AL40)/AI40</f>
        <v>0</v>
      </c>
      <c r="AK40" s="1">
        <f>AJ40*AI40*G40</f>
        <v>0</v>
      </c>
      <c r="AL40" s="1">
        <v>12</v>
      </c>
      <c r="AM40" s="1">
        <v>84</v>
      </c>
      <c r="AN40" s="10">
        <f>AJ40/AM40</f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4" t="s">
        <v>86</v>
      </c>
      <c r="B41" s="1" t="s">
        <v>42</v>
      </c>
      <c r="C41" s="1"/>
      <c r="D41" s="1"/>
      <c r="E41" s="1"/>
      <c r="F41" s="1"/>
      <c r="G41" s="8">
        <v>0.4</v>
      </c>
      <c r="H41" s="1">
        <v>180</v>
      </c>
      <c r="I41" s="1" t="s">
        <v>43</v>
      </c>
      <c r="J41" s="1"/>
      <c r="K41" s="1">
        <v>16</v>
      </c>
      <c r="L41" s="1">
        <f>E41-K41</f>
        <v>-16</v>
      </c>
      <c r="M41" s="1"/>
      <c r="N41" s="1"/>
      <c r="O41" s="14"/>
      <c r="P41" s="1">
        <f>E41/5</f>
        <v>0</v>
      </c>
      <c r="Q41" s="23">
        <v>192</v>
      </c>
      <c r="R41" s="23"/>
      <c r="S41" s="5">
        <f>R41+Q41</f>
        <v>192</v>
      </c>
      <c r="T41" s="5">
        <f>AI41*AJ41</f>
        <v>192</v>
      </c>
      <c r="U41" s="5"/>
      <c r="V41" s="1"/>
      <c r="W41" s="1" t="e">
        <f>(F41+O41+T41)/P41</f>
        <v>#DIV/0!</v>
      </c>
      <c r="X41" s="1" t="e">
        <f>(F41+O41)/P41</f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4" t="s">
        <v>46</v>
      </c>
      <c r="AH41" s="1">
        <f>G41*S41</f>
        <v>76.800000000000011</v>
      </c>
      <c r="AI41" s="8">
        <v>16</v>
      </c>
      <c r="AJ41" s="10">
        <f>MROUND(S41, AI41*AL41)/AI41</f>
        <v>12</v>
      </c>
      <c r="AK41" s="1">
        <f>AJ41*AI41*G41</f>
        <v>76.800000000000011</v>
      </c>
      <c r="AL41" s="1">
        <v>12</v>
      </c>
      <c r="AM41" s="1">
        <v>84</v>
      </c>
      <c r="AN41" s="10">
        <f>AJ41/AM41</f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87</v>
      </c>
      <c r="B42" s="1" t="s">
        <v>42</v>
      </c>
      <c r="C42" s="1">
        <v>265</v>
      </c>
      <c r="D42" s="1">
        <v>10</v>
      </c>
      <c r="E42" s="1">
        <v>167</v>
      </c>
      <c r="F42" s="1">
        <v>98</v>
      </c>
      <c r="G42" s="8">
        <v>0.7</v>
      </c>
      <c r="H42" s="1">
        <v>180</v>
      </c>
      <c r="I42" s="1" t="s">
        <v>43</v>
      </c>
      <c r="J42" s="1"/>
      <c r="K42" s="1">
        <v>169</v>
      </c>
      <c r="L42" s="1">
        <f>E42-K42</f>
        <v>-2</v>
      </c>
      <c r="M42" s="1"/>
      <c r="N42" s="1"/>
      <c r="O42" s="1">
        <v>240</v>
      </c>
      <c r="P42" s="1">
        <f>E42/5</f>
        <v>33.4</v>
      </c>
      <c r="Q42" s="5">
        <v>129.59999999999997</v>
      </c>
      <c r="R42" s="5"/>
      <c r="S42" s="5">
        <f>R42+Q42</f>
        <v>129.59999999999997</v>
      </c>
      <c r="T42" s="5">
        <f>AI42*AJ42</f>
        <v>120</v>
      </c>
      <c r="U42" s="5"/>
      <c r="V42" s="1"/>
      <c r="W42" s="1">
        <f>(F42+O42+T42)/P42</f>
        <v>13.712574850299402</v>
      </c>
      <c r="X42" s="1">
        <f>(F42+O42)/P42</f>
        <v>10.119760479041917</v>
      </c>
      <c r="Y42" s="1">
        <v>34</v>
      </c>
      <c r="Z42" s="1">
        <v>11.6</v>
      </c>
      <c r="AA42" s="1">
        <v>38.4</v>
      </c>
      <c r="AB42" s="1">
        <v>24.4</v>
      </c>
      <c r="AC42" s="1">
        <v>14</v>
      </c>
      <c r="AD42" s="1">
        <v>17.399999999999999</v>
      </c>
      <c r="AE42" s="1">
        <v>35.6</v>
      </c>
      <c r="AF42" s="1">
        <v>18.600000000000001</v>
      </c>
      <c r="AG42" s="1"/>
      <c r="AH42" s="1">
        <f>G42*S42</f>
        <v>90.71999999999997</v>
      </c>
      <c r="AI42" s="8">
        <v>10</v>
      </c>
      <c r="AJ42" s="10">
        <f>MROUND(S42, AI42*AL42)/AI42</f>
        <v>12</v>
      </c>
      <c r="AK42" s="1">
        <f>AJ42*AI42*G42</f>
        <v>84</v>
      </c>
      <c r="AL42" s="1">
        <v>12</v>
      </c>
      <c r="AM42" s="1">
        <v>84</v>
      </c>
      <c r="AN42" s="10">
        <f>AJ42/AM42</f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88</v>
      </c>
      <c r="B43" s="1" t="s">
        <v>42</v>
      </c>
      <c r="C43" s="1">
        <v>307</v>
      </c>
      <c r="D43" s="1">
        <v>308</v>
      </c>
      <c r="E43" s="1">
        <v>189</v>
      </c>
      <c r="F43" s="1">
        <v>358</v>
      </c>
      <c r="G43" s="8">
        <v>0.7</v>
      </c>
      <c r="H43" s="1">
        <v>180</v>
      </c>
      <c r="I43" s="1" t="s">
        <v>43</v>
      </c>
      <c r="J43" s="1"/>
      <c r="K43" s="1">
        <v>189</v>
      </c>
      <c r="L43" s="1">
        <f>E43-K43</f>
        <v>0</v>
      </c>
      <c r="M43" s="1"/>
      <c r="N43" s="1"/>
      <c r="O43" s="1">
        <v>240</v>
      </c>
      <c r="P43" s="1">
        <f>E43/5</f>
        <v>37.799999999999997</v>
      </c>
      <c r="Q43" s="5"/>
      <c r="R43" s="5"/>
      <c r="S43" s="5">
        <f>R43+Q43</f>
        <v>0</v>
      </c>
      <c r="T43" s="5">
        <f>AI43*AJ43</f>
        <v>0</v>
      </c>
      <c r="U43" s="5"/>
      <c r="V43" s="1"/>
      <c r="W43" s="1">
        <f>(F43+O43+T43)/P43</f>
        <v>15.820105820105821</v>
      </c>
      <c r="X43" s="1">
        <f>(F43+O43)/P43</f>
        <v>15.820105820105821</v>
      </c>
      <c r="Y43" s="1">
        <v>52.2</v>
      </c>
      <c r="Z43" s="1">
        <v>54.8</v>
      </c>
      <c r="AA43" s="1">
        <v>41.4</v>
      </c>
      <c r="AB43" s="1">
        <v>70</v>
      </c>
      <c r="AC43" s="1">
        <v>53.8</v>
      </c>
      <c r="AD43" s="1">
        <v>53.6</v>
      </c>
      <c r="AE43" s="1">
        <v>36</v>
      </c>
      <c r="AF43" s="1">
        <v>57.2</v>
      </c>
      <c r="AG43" s="1"/>
      <c r="AH43" s="1">
        <f>G43*S43</f>
        <v>0</v>
      </c>
      <c r="AI43" s="8">
        <v>10</v>
      </c>
      <c r="AJ43" s="10">
        <f>MROUND(S43, AI43*AL43)/AI43</f>
        <v>0</v>
      </c>
      <c r="AK43" s="1">
        <f>AJ43*AI43*G43</f>
        <v>0</v>
      </c>
      <c r="AL43" s="1">
        <v>12</v>
      </c>
      <c r="AM43" s="1">
        <v>84</v>
      </c>
      <c r="AN43" s="10">
        <f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9" t="s">
        <v>89</v>
      </c>
      <c r="B44" s="19" t="s">
        <v>42</v>
      </c>
      <c r="C44" s="19">
        <v>-16</v>
      </c>
      <c r="D44" s="19">
        <v>16</v>
      </c>
      <c r="E44" s="19"/>
      <c r="F44" s="19"/>
      <c r="G44" s="20">
        <v>0</v>
      </c>
      <c r="H44" s="19">
        <v>180</v>
      </c>
      <c r="I44" s="19" t="s">
        <v>43</v>
      </c>
      <c r="J44" s="19"/>
      <c r="K44" s="19">
        <v>16</v>
      </c>
      <c r="L44" s="19">
        <f>E44-K44</f>
        <v>-16</v>
      </c>
      <c r="M44" s="19"/>
      <c r="N44" s="19"/>
      <c r="O44" s="19"/>
      <c r="P44" s="1">
        <f>E44/5</f>
        <v>0</v>
      </c>
      <c r="Q44" s="21"/>
      <c r="R44" s="21"/>
      <c r="S44" s="5">
        <f>R44+Q44</f>
        <v>0</v>
      </c>
      <c r="T44" s="21"/>
      <c r="U44" s="21"/>
      <c r="V44" s="19"/>
      <c r="W44" s="19" t="e">
        <f>(F44+O44+T44)/P44</f>
        <v>#DIV/0!</v>
      </c>
      <c r="X44" s="19" t="e">
        <f>(F44+O44)/P44</f>
        <v>#DIV/0!</v>
      </c>
      <c r="Y44" s="19">
        <v>0</v>
      </c>
      <c r="Z44" s="19">
        <v>3.2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 t="s">
        <v>90</v>
      </c>
      <c r="AH44" s="19"/>
      <c r="AI44" s="20">
        <v>16</v>
      </c>
      <c r="AJ44" s="22"/>
      <c r="AK44" s="19"/>
      <c r="AL44" s="19">
        <v>12</v>
      </c>
      <c r="AM44" s="19">
        <v>84</v>
      </c>
      <c r="AN44" s="22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91</v>
      </c>
      <c r="B45" s="1" t="s">
        <v>42</v>
      </c>
      <c r="C45" s="1">
        <v>33</v>
      </c>
      <c r="D45" s="1">
        <v>122</v>
      </c>
      <c r="E45" s="1">
        <v>27</v>
      </c>
      <c r="F45" s="1">
        <v>128</v>
      </c>
      <c r="G45" s="8">
        <v>0.7</v>
      </c>
      <c r="H45" s="1">
        <v>180</v>
      </c>
      <c r="I45" s="1" t="s">
        <v>43</v>
      </c>
      <c r="J45" s="1"/>
      <c r="K45" s="1">
        <v>27</v>
      </c>
      <c r="L45" s="1">
        <f>E45-K45</f>
        <v>0</v>
      </c>
      <c r="M45" s="1"/>
      <c r="N45" s="1"/>
      <c r="O45" s="1">
        <v>0</v>
      </c>
      <c r="P45" s="1">
        <f>E45/5</f>
        <v>5.4</v>
      </c>
      <c r="Q45" s="5"/>
      <c r="R45" s="5"/>
      <c r="S45" s="5">
        <f>R45+Q45</f>
        <v>0</v>
      </c>
      <c r="T45" s="5">
        <f>AI45*AJ45</f>
        <v>0</v>
      </c>
      <c r="U45" s="5"/>
      <c r="V45" s="1"/>
      <c r="W45" s="1">
        <f>(F45+O45+T45)/P45</f>
        <v>23.703703703703702</v>
      </c>
      <c r="X45" s="1">
        <f>(F45+O45)/P45</f>
        <v>23.703703703703702</v>
      </c>
      <c r="Y45" s="1">
        <v>8.8000000000000007</v>
      </c>
      <c r="Z45" s="1">
        <v>16.600000000000001</v>
      </c>
      <c r="AA45" s="1">
        <v>7</v>
      </c>
      <c r="AB45" s="1">
        <v>4.5999999999999996</v>
      </c>
      <c r="AC45" s="1">
        <v>9.1999999999999993</v>
      </c>
      <c r="AD45" s="1">
        <v>10</v>
      </c>
      <c r="AE45" s="1">
        <v>12.4</v>
      </c>
      <c r="AF45" s="1">
        <v>9.4</v>
      </c>
      <c r="AG45" s="1"/>
      <c r="AH45" s="1">
        <f>G45*S45</f>
        <v>0</v>
      </c>
      <c r="AI45" s="8">
        <v>10</v>
      </c>
      <c r="AJ45" s="10">
        <f>MROUND(S45, AI45*AL45)/AI45</f>
        <v>0</v>
      </c>
      <c r="AK45" s="1">
        <f>AJ45*AI45*G45</f>
        <v>0</v>
      </c>
      <c r="AL45" s="1">
        <v>12</v>
      </c>
      <c r="AM45" s="1">
        <v>84</v>
      </c>
      <c r="AN45" s="10">
        <f>AJ45/AM45</f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92</v>
      </c>
      <c r="B46" s="1" t="s">
        <v>45</v>
      </c>
      <c r="C46" s="1">
        <v>670</v>
      </c>
      <c r="D46" s="1">
        <v>130</v>
      </c>
      <c r="E46" s="1">
        <v>360</v>
      </c>
      <c r="F46" s="1">
        <v>440</v>
      </c>
      <c r="G46" s="8">
        <v>1</v>
      </c>
      <c r="H46" s="1">
        <v>180</v>
      </c>
      <c r="I46" s="1" t="s">
        <v>43</v>
      </c>
      <c r="J46" s="1"/>
      <c r="K46" s="1">
        <v>360</v>
      </c>
      <c r="L46" s="1">
        <f>E46-K46</f>
        <v>0</v>
      </c>
      <c r="M46" s="1"/>
      <c r="N46" s="1"/>
      <c r="O46" s="1">
        <v>0</v>
      </c>
      <c r="P46" s="1">
        <f>E46/5</f>
        <v>72</v>
      </c>
      <c r="Q46" s="5">
        <v>568</v>
      </c>
      <c r="R46" s="5">
        <f>$R$1*P46</f>
        <v>129.6</v>
      </c>
      <c r="S46" s="5">
        <f>R46+Q46</f>
        <v>697.6</v>
      </c>
      <c r="T46" s="5">
        <f>AI46*AJ46</f>
        <v>720</v>
      </c>
      <c r="U46" s="5"/>
      <c r="V46" s="1"/>
      <c r="W46" s="1">
        <f>(F46+O46+T46)/P46</f>
        <v>16.111111111111111</v>
      </c>
      <c r="X46" s="1">
        <f>(F46+O46)/P46</f>
        <v>6.1111111111111107</v>
      </c>
      <c r="Y46" s="1">
        <v>55</v>
      </c>
      <c r="Z46" s="1">
        <v>73</v>
      </c>
      <c r="AA46" s="1">
        <v>87</v>
      </c>
      <c r="AB46" s="1">
        <v>85</v>
      </c>
      <c r="AC46" s="1">
        <v>67</v>
      </c>
      <c r="AD46" s="1">
        <v>75</v>
      </c>
      <c r="AE46" s="1">
        <v>78</v>
      </c>
      <c r="AF46" s="1">
        <v>86</v>
      </c>
      <c r="AG46" s="1"/>
      <c r="AH46" s="1">
        <f>G46*S46</f>
        <v>697.6</v>
      </c>
      <c r="AI46" s="8">
        <v>5</v>
      </c>
      <c r="AJ46" s="10">
        <f>MROUND(S46, AI46*AL46)/AI46</f>
        <v>144</v>
      </c>
      <c r="AK46" s="1">
        <f>AJ46*AI46*G46</f>
        <v>720</v>
      </c>
      <c r="AL46" s="1">
        <v>12</v>
      </c>
      <c r="AM46" s="1">
        <v>144</v>
      </c>
      <c r="AN46" s="10">
        <f>AJ46/AM46</f>
        <v>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93</v>
      </c>
      <c r="B47" s="1" t="s">
        <v>42</v>
      </c>
      <c r="C47" s="1">
        <v>201</v>
      </c>
      <c r="D47" s="1">
        <v>201</v>
      </c>
      <c r="E47" s="1">
        <v>167</v>
      </c>
      <c r="F47" s="1">
        <v>207</v>
      </c>
      <c r="G47" s="8">
        <v>0.4</v>
      </c>
      <c r="H47" s="1">
        <v>180</v>
      </c>
      <c r="I47" s="1" t="s">
        <v>43</v>
      </c>
      <c r="J47" s="1"/>
      <c r="K47" s="1">
        <v>169</v>
      </c>
      <c r="L47" s="1">
        <f>E47-K47</f>
        <v>-2</v>
      </c>
      <c r="M47" s="1"/>
      <c r="N47" s="1"/>
      <c r="O47" s="1">
        <v>0</v>
      </c>
      <c r="P47" s="1">
        <f>E47/5</f>
        <v>33.4</v>
      </c>
      <c r="Q47" s="5">
        <v>260.59999999999997</v>
      </c>
      <c r="R47" s="5"/>
      <c r="S47" s="5">
        <f>R47+Q47</f>
        <v>260.59999999999997</v>
      </c>
      <c r="T47" s="5">
        <f>AI47*AJ47</f>
        <v>192</v>
      </c>
      <c r="U47" s="5"/>
      <c r="V47" s="1"/>
      <c r="W47" s="1">
        <f>(F47+O47+T47)/P47</f>
        <v>11.946107784431138</v>
      </c>
      <c r="X47" s="1">
        <f>(F47+O47)/P47</f>
        <v>6.1976047904191622</v>
      </c>
      <c r="Y47" s="1">
        <v>22.2</v>
      </c>
      <c r="Z47" s="1">
        <v>34.4</v>
      </c>
      <c r="AA47" s="1">
        <v>27.4</v>
      </c>
      <c r="AB47" s="1">
        <v>33.799999999999997</v>
      </c>
      <c r="AC47" s="1">
        <v>20.2</v>
      </c>
      <c r="AD47" s="1">
        <v>33.200000000000003</v>
      </c>
      <c r="AE47" s="1">
        <v>32.6</v>
      </c>
      <c r="AF47" s="1">
        <v>35.200000000000003</v>
      </c>
      <c r="AG47" s="1"/>
      <c r="AH47" s="1">
        <f>G47*S47</f>
        <v>104.24</v>
      </c>
      <c r="AI47" s="8">
        <v>16</v>
      </c>
      <c r="AJ47" s="10">
        <f>MROUND(S47, AI47*AL47)/AI47</f>
        <v>12</v>
      </c>
      <c r="AK47" s="1">
        <f>AJ47*AI47*G47</f>
        <v>76.800000000000011</v>
      </c>
      <c r="AL47" s="1">
        <v>12</v>
      </c>
      <c r="AM47" s="1">
        <v>84</v>
      </c>
      <c r="AN47" s="10">
        <f>AJ47/AM47</f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94</v>
      </c>
      <c r="B48" s="1" t="s">
        <v>42</v>
      </c>
      <c r="C48" s="1">
        <v>465</v>
      </c>
      <c r="D48" s="1">
        <v>383</v>
      </c>
      <c r="E48" s="1">
        <v>423</v>
      </c>
      <c r="F48" s="1">
        <v>282</v>
      </c>
      <c r="G48" s="8">
        <v>0.7</v>
      </c>
      <c r="H48" s="1">
        <v>180</v>
      </c>
      <c r="I48" s="1" t="s">
        <v>43</v>
      </c>
      <c r="J48" s="1"/>
      <c r="K48" s="1">
        <v>423</v>
      </c>
      <c r="L48" s="1">
        <f>E48-K48</f>
        <v>0</v>
      </c>
      <c r="M48" s="1"/>
      <c r="N48" s="1"/>
      <c r="O48" s="1">
        <v>720</v>
      </c>
      <c r="P48" s="1">
        <f>E48/5</f>
        <v>84.6</v>
      </c>
      <c r="Q48" s="5">
        <v>182.39999999999986</v>
      </c>
      <c r="R48" s="5">
        <f>$R$1*P48</f>
        <v>152.28</v>
      </c>
      <c r="S48" s="5">
        <f>R48+Q48</f>
        <v>334.67999999999984</v>
      </c>
      <c r="T48" s="5">
        <f>AI48*AJ48</f>
        <v>360</v>
      </c>
      <c r="U48" s="5"/>
      <c r="V48" s="1"/>
      <c r="W48" s="1">
        <f>(F48+O48+T48)/P48</f>
        <v>16.099290780141846</v>
      </c>
      <c r="X48" s="1">
        <f>(F48+O48)/P48</f>
        <v>11.843971631205674</v>
      </c>
      <c r="Y48" s="1">
        <v>100.4</v>
      </c>
      <c r="Z48" s="1">
        <v>85</v>
      </c>
      <c r="AA48" s="1">
        <v>89.8</v>
      </c>
      <c r="AB48" s="1">
        <v>86.6</v>
      </c>
      <c r="AC48" s="1">
        <v>77.400000000000006</v>
      </c>
      <c r="AD48" s="1">
        <v>109.4</v>
      </c>
      <c r="AE48" s="1">
        <v>148.6</v>
      </c>
      <c r="AF48" s="1">
        <v>109.2</v>
      </c>
      <c r="AG48" s="1" t="s">
        <v>95</v>
      </c>
      <c r="AH48" s="1">
        <f>G48*S48</f>
        <v>234.27599999999987</v>
      </c>
      <c r="AI48" s="8">
        <v>10</v>
      </c>
      <c r="AJ48" s="10">
        <f>MROUND(S48, AI48*AL48)/AI48</f>
        <v>36</v>
      </c>
      <c r="AK48" s="1">
        <f>AJ48*AI48*G48</f>
        <v>251.99999999999997</v>
      </c>
      <c r="AL48" s="1">
        <v>12</v>
      </c>
      <c r="AM48" s="1">
        <v>84</v>
      </c>
      <c r="AN48" s="10">
        <f>AJ48/AM48</f>
        <v>0.42857142857142855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96</v>
      </c>
      <c r="B49" s="1" t="s">
        <v>42</v>
      </c>
      <c r="C49" s="1">
        <v>292</v>
      </c>
      <c r="D49" s="1">
        <v>241</v>
      </c>
      <c r="E49" s="1">
        <v>160</v>
      </c>
      <c r="F49" s="1">
        <v>308</v>
      </c>
      <c r="G49" s="8">
        <v>0.4</v>
      </c>
      <c r="H49" s="1">
        <v>180</v>
      </c>
      <c r="I49" s="1" t="s">
        <v>43</v>
      </c>
      <c r="J49" s="1"/>
      <c r="K49" s="1">
        <v>160</v>
      </c>
      <c r="L49" s="1">
        <f>E49-K49</f>
        <v>0</v>
      </c>
      <c r="M49" s="1"/>
      <c r="N49" s="1"/>
      <c r="O49" s="1">
        <v>0</v>
      </c>
      <c r="P49" s="1">
        <f>E49/5</f>
        <v>32</v>
      </c>
      <c r="Q49" s="5">
        <v>140</v>
      </c>
      <c r="R49" s="5"/>
      <c r="S49" s="5">
        <f>R49+Q49</f>
        <v>140</v>
      </c>
      <c r="T49" s="5">
        <f>AI49*AJ49</f>
        <v>192</v>
      </c>
      <c r="U49" s="5"/>
      <c r="V49" s="1"/>
      <c r="W49" s="1">
        <f>(F49+O49+T49)/P49</f>
        <v>15.625</v>
      </c>
      <c r="X49" s="1">
        <f>(F49+O49)/P49</f>
        <v>9.625</v>
      </c>
      <c r="Y49" s="1">
        <v>31.2</v>
      </c>
      <c r="Z49" s="1">
        <v>37.799999999999997</v>
      </c>
      <c r="AA49" s="1">
        <v>36.799999999999997</v>
      </c>
      <c r="AB49" s="1">
        <v>41</v>
      </c>
      <c r="AC49" s="1">
        <v>34.4</v>
      </c>
      <c r="AD49" s="1">
        <v>27.4</v>
      </c>
      <c r="AE49" s="1">
        <v>37</v>
      </c>
      <c r="AF49" s="1">
        <v>31.4</v>
      </c>
      <c r="AG49" s="1"/>
      <c r="AH49" s="1">
        <f>G49*S49</f>
        <v>56</v>
      </c>
      <c r="AI49" s="8">
        <v>16</v>
      </c>
      <c r="AJ49" s="10">
        <f>MROUND(S49, AI49*AL49)/AI49</f>
        <v>12</v>
      </c>
      <c r="AK49" s="1">
        <f>AJ49*AI49*G49</f>
        <v>76.800000000000011</v>
      </c>
      <c r="AL49" s="1">
        <v>12</v>
      </c>
      <c r="AM49" s="1">
        <v>84</v>
      </c>
      <c r="AN49" s="10">
        <f>AJ49/AM49</f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97</v>
      </c>
      <c r="B50" s="1" t="s">
        <v>42</v>
      </c>
      <c r="C50" s="1">
        <v>720</v>
      </c>
      <c r="D50" s="1">
        <v>823</v>
      </c>
      <c r="E50" s="1">
        <v>601</v>
      </c>
      <c r="F50" s="1">
        <v>840</v>
      </c>
      <c r="G50" s="8">
        <v>0.7</v>
      </c>
      <c r="H50" s="1">
        <v>180</v>
      </c>
      <c r="I50" s="1" t="s">
        <v>43</v>
      </c>
      <c r="J50" s="1"/>
      <c r="K50" s="1">
        <v>601</v>
      </c>
      <c r="L50" s="1">
        <f>E50-K50</f>
        <v>0</v>
      </c>
      <c r="M50" s="1"/>
      <c r="N50" s="1"/>
      <c r="O50" s="1">
        <v>960</v>
      </c>
      <c r="P50" s="1">
        <f>E50/5</f>
        <v>120.2</v>
      </c>
      <c r="Q50" s="5"/>
      <c r="R50" s="5">
        <f>$R$1*P50</f>
        <v>216.36</v>
      </c>
      <c r="S50" s="5">
        <f>R50+Q50</f>
        <v>216.36</v>
      </c>
      <c r="T50" s="5">
        <f>AI50*AJ50</f>
        <v>240</v>
      </c>
      <c r="U50" s="5"/>
      <c r="V50" s="1"/>
      <c r="W50" s="1">
        <f>(F50+O50+T50)/P50</f>
        <v>16.971713810316139</v>
      </c>
      <c r="X50" s="1">
        <f>(F50+O50)/P50</f>
        <v>14.97504159733777</v>
      </c>
      <c r="Y50" s="1">
        <v>170.8</v>
      </c>
      <c r="Z50" s="1">
        <v>153.80000000000001</v>
      </c>
      <c r="AA50" s="1">
        <v>155.19999999999999</v>
      </c>
      <c r="AB50" s="1">
        <v>144.80000000000001</v>
      </c>
      <c r="AC50" s="1">
        <v>117.4</v>
      </c>
      <c r="AD50" s="1">
        <v>134.19999999999999</v>
      </c>
      <c r="AE50" s="1">
        <v>81.599999999999994</v>
      </c>
      <c r="AF50" s="1">
        <v>85.2</v>
      </c>
      <c r="AG50" s="1" t="s">
        <v>58</v>
      </c>
      <c r="AH50" s="1">
        <f>G50*S50</f>
        <v>151.452</v>
      </c>
      <c r="AI50" s="8">
        <v>10</v>
      </c>
      <c r="AJ50" s="10">
        <f>MROUND(S50, AI50*AL50)/AI50</f>
        <v>24</v>
      </c>
      <c r="AK50" s="1">
        <f>AJ50*AI50*G50</f>
        <v>168</v>
      </c>
      <c r="AL50" s="1">
        <v>12</v>
      </c>
      <c r="AM50" s="1">
        <v>84</v>
      </c>
      <c r="AN50" s="10">
        <f>AJ50/AM50</f>
        <v>0.2857142857142857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98</v>
      </c>
      <c r="B51" s="1" t="s">
        <v>42</v>
      </c>
      <c r="C51" s="1">
        <v>228</v>
      </c>
      <c r="D51" s="1">
        <v>533</v>
      </c>
      <c r="E51" s="1">
        <v>241</v>
      </c>
      <c r="F51" s="1">
        <v>467</v>
      </c>
      <c r="G51" s="8">
        <v>0.7</v>
      </c>
      <c r="H51" s="1">
        <v>180</v>
      </c>
      <c r="I51" s="1" t="s">
        <v>43</v>
      </c>
      <c r="J51" s="1"/>
      <c r="K51" s="1">
        <v>241</v>
      </c>
      <c r="L51" s="1">
        <f>E51-K51</f>
        <v>0</v>
      </c>
      <c r="M51" s="1"/>
      <c r="N51" s="1"/>
      <c r="O51" s="1">
        <v>480</v>
      </c>
      <c r="P51" s="1">
        <f>E51/5</f>
        <v>48.2</v>
      </c>
      <c r="Q51" s="5"/>
      <c r="R51" s="5"/>
      <c r="S51" s="5">
        <f>R51+Q51</f>
        <v>0</v>
      </c>
      <c r="T51" s="5">
        <f>AI51*AJ51</f>
        <v>0</v>
      </c>
      <c r="U51" s="5"/>
      <c r="V51" s="1"/>
      <c r="W51" s="1">
        <f>(F51+O51+T51)/P51</f>
        <v>19.647302904564313</v>
      </c>
      <c r="X51" s="1">
        <f>(F51+O51)/P51</f>
        <v>19.647302904564313</v>
      </c>
      <c r="Y51" s="1">
        <v>85.8</v>
      </c>
      <c r="Z51" s="1">
        <v>70.599999999999994</v>
      </c>
      <c r="AA51" s="1">
        <v>64.599999999999994</v>
      </c>
      <c r="AB51" s="1">
        <v>53.2</v>
      </c>
      <c r="AC51" s="1">
        <v>57.6</v>
      </c>
      <c r="AD51" s="1">
        <v>80.2</v>
      </c>
      <c r="AE51" s="1">
        <v>69.599999999999994</v>
      </c>
      <c r="AF51" s="1">
        <v>68.400000000000006</v>
      </c>
      <c r="AG51" s="1"/>
      <c r="AH51" s="1">
        <f>G51*S51</f>
        <v>0</v>
      </c>
      <c r="AI51" s="8">
        <v>10</v>
      </c>
      <c r="AJ51" s="10">
        <f>MROUND(S51, AI51*AL51)/AI51</f>
        <v>0</v>
      </c>
      <c r="AK51" s="1">
        <f>AJ51*AI51*G51</f>
        <v>0</v>
      </c>
      <c r="AL51" s="1">
        <v>12</v>
      </c>
      <c r="AM51" s="1">
        <v>84</v>
      </c>
      <c r="AN51" s="10">
        <f>AJ51/AM51</f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99</v>
      </c>
      <c r="B52" s="1" t="s">
        <v>42</v>
      </c>
      <c r="C52" s="1">
        <v>114</v>
      </c>
      <c r="D52" s="1"/>
      <c r="E52" s="1">
        <v>15</v>
      </c>
      <c r="F52" s="1">
        <v>99</v>
      </c>
      <c r="G52" s="8">
        <v>1</v>
      </c>
      <c r="H52" s="1">
        <v>180</v>
      </c>
      <c r="I52" s="1" t="s">
        <v>100</v>
      </c>
      <c r="J52" s="1"/>
      <c r="K52" s="1">
        <v>15</v>
      </c>
      <c r="L52" s="1">
        <f>E52-K52</f>
        <v>0</v>
      </c>
      <c r="M52" s="1"/>
      <c r="N52" s="1"/>
      <c r="O52" s="1">
        <v>0</v>
      </c>
      <c r="P52" s="1">
        <f>E52/5</f>
        <v>3</v>
      </c>
      <c r="Q52" s="5"/>
      <c r="R52" s="5"/>
      <c r="S52" s="5">
        <f>R52+Q52</f>
        <v>0</v>
      </c>
      <c r="T52" s="5">
        <f>AI52*AJ52</f>
        <v>0</v>
      </c>
      <c r="U52" s="5"/>
      <c r="V52" s="1"/>
      <c r="W52" s="1">
        <f>(F52+O52+T52)/P52</f>
        <v>33</v>
      </c>
      <c r="X52" s="1">
        <f>(F52+O52)/P52</f>
        <v>33</v>
      </c>
      <c r="Y52" s="1">
        <v>5.4</v>
      </c>
      <c r="Z52" s="1">
        <v>2.2000000000000002</v>
      </c>
      <c r="AA52" s="1">
        <v>7.8</v>
      </c>
      <c r="AB52" s="1">
        <v>1.8</v>
      </c>
      <c r="AC52" s="1">
        <v>6</v>
      </c>
      <c r="AD52" s="1">
        <v>0.6</v>
      </c>
      <c r="AE52" s="1">
        <v>8.4</v>
      </c>
      <c r="AF52" s="1">
        <v>7</v>
      </c>
      <c r="AG52" s="25" t="s">
        <v>128</v>
      </c>
      <c r="AH52" s="1">
        <f>G52*S52</f>
        <v>0</v>
      </c>
      <c r="AI52" s="8">
        <v>6</v>
      </c>
      <c r="AJ52" s="10">
        <f>MROUND(S52, AI52*AL52)/AI52</f>
        <v>0</v>
      </c>
      <c r="AK52" s="1">
        <f>AJ52*AI52*G52</f>
        <v>0</v>
      </c>
      <c r="AL52" s="1">
        <v>12</v>
      </c>
      <c r="AM52" s="1">
        <v>84</v>
      </c>
      <c r="AN52" s="10">
        <f>AJ52/AM52</f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4" t="s">
        <v>101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>E53-K53</f>
        <v>0</v>
      </c>
      <c r="M53" s="1"/>
      <c r="N53" s="1"/>
      <c r="O53" s="14"/>
      <c r="P53" s="1">
        <f>E53/5</f>
        <v>0</v>
      </c>
      <c r="Q53" s="23">
        <v>96</v>
      </c>
      <c r="R53" s="23"/>
      <c r="S53" s="5">
        <f>R53+Q53</f>
        <v>96</v>
      </c>
      <c r="T53" s="5">
        <f>AI53*AJ53</f>
        <v>96</v>
      </c>
      <c r="U53" s="5"/>
      <c r="V53" s="1"/>
      <c r="W53" s="1" t="e">
        <f>(F53+O53+T53)/P53</f>
        <v>#DIV/0!</v>
      </c>
      <c r="X53" s="1" t="e">
        <f>(F53+O53)/P53</f>
        <v>#DIV/0!</v>
      </c>
      <c r="Y53" s="1">
        <v>0</v>
      </c>
      <c r="Z53" s="1">
        <v>0.4</v>
      </c>
      <c r="AA53" s="1">
        <v>5.8</v>
      </c>
      <c r="AB53" s="1">
        <v>3</v>
      </c>
      <c r="AC53" s="1">
        <v>5.2</v>
      </c>
      <c r="AD53" s="1">
        <v>4.8</v>
      </c>
      <c r="AE53" s="1">
        <v>0</v>
      </c>
      <c r="AF53" s="1">
        <v>0</v>
      </c>
      <c r="AG53" s="14" t="s">
        <v>46</v>
      </c>
      <c r="AH53" s="1">
        <f>G53*S53</f>
        <v>67.199999999999989</v>
      </c>
      <c r="AI53" s="8">
        <v>8</v>
      </c>
      <c r="AJ53" s="10">
        <f>MROUND(S53, AI53*AL53)/AI53</f>
        <v>12</v>
      </c>
      <c r="AK53" s="1">
        <f>AJ53*AI53*G53</f>
        <v>67.199999999999989</v>
      </c>
      <c r="AL53" s="1">
        <v>12</v>
      </c>
      <c r="AM53" s="1">
        <v>84</v>
      </c>
      <c r="AN53" s="10">
        <f>AJ53/AM53</f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>
        <v>4</v>
      </c>
      <c r="L54" s="1">
        <f>E54-K54</f>
        <v>-4</v>
      </c>
      <c r="M54" s="1"/>
      <c r="N54" s="1"/>
      <c r="O54" s="14"/>
      <c r="P54" s="1">
        <f>E54/5</f>
        <v>0</v>
      </c>
      <c r="Q54" s="23">
        <v>96</v>
      </c>
      <c r="R54" s="23"/>
      <c r="S54" s="5">
        <f>R54+Q54</f>
        <v>96</v>
      </c>
      <c r="T54" s="5">
        <f>AI54*AJ54</f>
        <v>96</v>
      </c>
      <c r="U54" s="5"/>
      <c r="V54" s="1"/>
      <c r="W54" s="1" t="e">
        <f>(F54+O54+T54)/P54</f>
        <v>#DIV/0!</v>
      </c>
      <c r="X54" s="1" t="e">
        <f>(F54+O54)/P54</f>
        <v>#DIV/0!</v>
      </c>
      <c r="Y54" s="1">
        <v>0</v>
      </c>
      <c r="Z54" s="1">
        <v>0.2</v>
      </c>
      <c r="AA54" s="1">
        <v>3.6</v>
      </c>
      <c r="AB54" s="1">
        <v>5.4</v>
      </c>
      <c r="AC54" s="1">
        <v>5.4</v>
      </c>
      <c r="AD54" s="1">
        <v>8.6</v>
      </c>
      <c r="AE54" s="1">
        <v>4.8</v>
      </c>
      <c r="AF54" s="1">
        <v>5.2</v>
      </c>
      <c r="AG54" s="14" t="s">
        <v>80</v>
      </c>
      <c r="AH54" s="1">
        <f>G54*S54</f>
        <v>67.199999999999989</v>
      </c>
      <c r="AI54" s="8">
        <v>8</v>
      </c>
      <c r="AJ54" s="10">
        <f>MROUND(S54, AI54*AL54)/AI54</f>
        <v>12</v>
      </c>
      <c r="AK54" s="1">
        <f>AJ54*AI54*G54</f>
        <v>67.199999999999989</v>
      </c>
      <c r="AL54" s="1">
        <v>12</v>
      </c>
      <c r="AM54" s="1">
        <v>84</v>
      </c>
      <c r="AN54" s="10">
        <f>AJ54/AM54</f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9" t="s">
        <v>103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>E55-K55</f>
        <v>0</v>
      </c>
      <c r="M55" s="19"/>
      <c r="N55" s="19"/>
      <c r="O55" s="19"/>
      <c r="P55" s="1">
        <f>E55/5</f>
        <v>0</v>
      </c>
      <c r="Q55" s="21"/>
      <c r="R55" s="21"/>
      <c r="S55" s="5">
        <f>R55+Q55</f>
        <v>0</v>
      </c>
      <c r="T55" s="21"/>
      <c r="U55" s="21"/>
      <c r="V55" s="19"/>
      <c r="W55" s="19" t="e">
        <f>(F55+O55+T55)/P55</f>
        <v>#DIV/0!</v>
      </c>
      <c r="X55" s="19" t="e">
        <f>(F55+O55)/P55</f>
        <v>#DIV/0!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 t="s">
        <v>104</v>
      </c>
      <c r="AH55" s="19"/>
      <c r="AI55" s="20">
        <v>8</v>
      </c>
      <c r="AJ55" s="22"/>
      <c r="AK55" s="19"/>
      <c r="AL55" s="19">
        <v>12</v>
      </c>
      <c r="AM55" s="19">
        <v>84</v>
      </c>
      <c r="AN55" s="22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105</v>
      </c>
      <c r="B56" s="1" t="s">
        <v>42</v>
      </c>
      <c r="C56" s="1">
        <v>100</v>
      </c>
      <c r="D56" s="1">
        <v>288</v>
      </c>
      <c r="E56" s="1">
        <v>252</v>
      </c>
      <c r="F56" s="1">
        <v>88</v>
      </c>
      <c r="G56" s="8">
        <v>1</v>
      </c>
      <c r="H56" s="1">
        <v>180</v>
      </c>
      <c r="I56" s="1" t="s">
        <v>43</v>
      </c>
      <c r="J56" s="1"/>
      <c r="K56" s="1">
        <v>252</v>
      </c>
      <c r="L56" s="1">
        <f>E56-K56</f>
        <v>0</v>
      </c>
      <c r="M56" s="1"/>
      <c r="N56" s="1"/>
      <c r="O56" s="1">
        <v>300</v>
      </c>
      <c r="P56" s="1">
        <f>E56/5</f>
        <v>50.4</v>
      </c>
      <c r="Q56" s="5">
        <v>317.60000000000002</v>
      </c>
      <c r="R56" s="5">
        <f>$R$1*P56</f>
        <v>90.72</v>
      </c>
      <c r="S56" s="5">
        <f>R56+Q56</f>
        <v>408.32000000000005</v>
      </c>
      <c r="T56" s="5">
        <f>AI56*AJ56</f>
        <v>420</v>
      </c>
      <c r="U56" s="5"/>
      <c r="V56" s="1"/>
      <c r="W56" s="1">
        <f>(F56+O56+T56)/P56</f>
        <v>16.031746031746032</v>
      </c>
      <c r="X56" s="1">
        <f>(F56+O56)/P56</f>
        <v>7.6984126984126986</v>
      </c>
      <c r="Y56" s="1">
        <v>45.2</v>
      </c>
      <c r="Z56" s="1">
        <v>42.2</v>
      </c>
      <c r="AA56" s="1">
        <v>36.799999999999997</v>
      </c>
      <c r="AB56" s="1">
        <v>44.4</v>
      </c>
      <c r="AC56" s="1">
        <v>35</v>
      </c>
      <c r="AD56" s="1">
        <v>68.599999999999994</v>
      </c>
      <c r="AE56" s="1">
        <v>42.2</v>
      </c>
      <c r="AF56" s="1">
        <v>37.200000000000003</v>
      </c>
      <c r="AG56" s="1"/>
      <c r="AH56" s="1">
        <f>G56*S56</f>
        <v>408.32000000000005</v>
      </c>
      <c r="AI56" s="8">
        <v>5</v>
      </c>
      <c r="AJ56" s="10">
        <f>MROUND(S56, AI56*AL56)/AI56</f>
        <v>84</v>
      </c>
      <c r="AK56" s="1">
        <f>AJ56*AI56*G56</f>
        <v>420</v>
      </c>
      <c r="AL56" s="1">
        <v>12</v>
      </c>
      <c r="AM56" s="1">
        <v>84</v>
      </c>
      <c r="AN56" s="10">
        <f>AJ56/AM56</f>
        <v>1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4" t="s">
        <v>106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8</v>
      </c>
      <c r="L57" s="1">
        <f>E57-K57</f>
        <v>-8</v>
      </c>
      <c r="M57" s="1"/>
      <c r="N57" s="1"/>
      <c r="O57" s="14"/>
      <c r="P57" s="1">
        <f>E57/5</f>
        <v>0</v>
      </c>
      <c r="Q57" s="23">
        <v>96</v>
      </c>
      <c r="R57" s="23"/>
      <c r="S57" s="5">
        <f>R57+Q57</f>
        <v>96</v>
      </c>
      <c r="T57" s="5">
        <f>AI57*AJ57</f>
        <v>96</v>
      </c>
      <c r="U57" s="5"/>
      <c r="V57" s="1"/>
      <c r="W57" s="1" t="e">
        <f>(F57+O57+T57)/P57</f>
        <v>#DIV/0!</v>
      </c>
      <c r="X57" s="1" t="e">
        <f>(F57+O57)/P57</f>
        <v>#DIV/0!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4" t="s">
        <v>80</v>
      </c>
      <c r="AH57" s="1">
        <f>G57*S57</f>
        <v>67.199999999999989</v>
      </c>
      <c r="AI57" s="8">
        <v>8</v>
      </c>
      <c r="AJ57" s="10">
        <f>MROUND(S57, AI57*AL57)/AI57</f>
        <v>12</v>
      </c>
      <c r="AK57" s="1">
        <f>AJ57*AI57*G57</f>
        <v>67.199999999999989</v>
      </c>
      <c r="AL57" s="1">
        <v>12</v>
      </c>
      <c r="AM57" s="1">
        <v>84</v>
      </c>
      <c r="AN57" s="10">
        <f>AJ57/AM57</f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107</v>
      </c>
      <c r="B58" s="1" t="s">
        <v>42</v>
      </c>
      <c r="C58" s="1"/>
      <c r="D58" s="1">
        <v>192</v>
      </c>
      <c r="E58" s="1">
        <v>34</v>
      </c>
      <c r="F58" s="1">
        <v>158</v>
      </c>
      <c r="G58" s="8">
        <v>0.9</v>
      </c>
      <c r="H58" s="1">
        <v>180</v>
      </c>
      <c r="I58" s="1" t="s">
        <v>43</v>
      </c>
      <c r="J58" s="1"/>
      <c r="K58" s="1">
        <v>34</v>
      </c>
      <c r="L58" s="1">
        <f>E58-K58</f>
        <v>0</v>
      </c>
      <c r="M58" s="1"/>
      <c r="N58" s="1"/>
      <c r="O58" s="1">
        <v>0</v>
      </c>
      <c r="P58" s="1">
        <f>E58/5</f>
        <v>6.8</v>
      </c>
      <c r="Q58" s="5"/>
      <c r="R58" s="5"/>
      <c r="S58" s="5">
        <f>R58+Q58</f>
        <v>0</v>
      </c>
      <c r="T58" s="5">
        <f>AI58*AJ58</f>
        <v>0</v>
      </c>
      <c r="U58" s="5"/>
      <c r="V58" s="1"/>
      <c r="W58" s="1">
        <f>(F58+O58+T58)/P58</f>
        <v>23.235294117647058</v>
      </c>
      <c r="X58" s="1">
        <f>(F58+O58)/P58</f>
        <v>23.235294117647058</v>
      </c>
      <c r="Y58" s="1">
        <v>13.4</v>
      </c>
      <c r="Z58" s="1">
        <v>18.8</v>
      </c>
      <c r="AA58" s="1">
        <v>12.2</v>
      </c>
      <c r="AB58" s="1">
        <v>11</v>
      </c>
      <c r="AC58" s="1">
        <v>11</v>
      </c>
      <c r="AD58" s="1">
        <v>22.2</v>
      </c>
      <c r="AE58" s="1">
        <v>9.1999999999999993</v>
      </c>
      <c r="AF58" s="1">
        <v>14.4</v>
      </c>
      <c r="AG58" s="1" t="s">
        <v>58</v>
      </c>
      <c r="AH58" s="1">
        <f>G58*S58</f>
        <v>0</v>
      </c>
      <c r="AI58" s="8">
        <v>8</v>
      </c>
      <c r="AJ58" s="10">
        <f>MROUND(S58, AI58*AL58)/AI58</f>
        <v>0</v>
      </c>
      <c r="AK58" s="1">
        <f>AJ58*AI58*G58</f>
        <v>0</v>
      </c>
      <c r="AL58" s="1">
        <v>12</v>
      </c>
      <c r="AM58" s="1">
        <v>84</v>
      </c>
      <c r="AN58" s="10">
        <f>AJ58/AM58</f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108</v>
      </c>
      <c r="B59" s="1" t="s">
        <v>42</v>
      </c>
      <c r="C59" s="1">
        <v>140</v>
      </c>
      <c r="D59" s="1">
        <v>112</v>
      </c>
      <c r="E59" s="1">
        <v>61</v>
      </c>
      <c r="F59" s="1">
        <v>175</v>
      </c>
      <c r="G59" s="8">
        <v>0.9</v>
      </c>
      <c r="H59" s="1">
        <v>180</v>
      </c>
      <c r="I59" s="1" t="s">
        <v>43</v>
      </c>
      <c r="J59" s="1"/>
      <c r="K59" s="1">
        <v>61</v>
      </c>
      <c r="L59" s="1">
        <f>E59-K59</f>
        <v>0</v>
      </c>
      <c r="M59" s="1"/>
      <c r="N59" s="1"/>
      <c r="O59" s="1">
        <v>0</v>
      </c>
      <c r="P59" s="1">
        <f>E59/5</f>
        <v>12.2</v>
      </c>
      <c r="Q59" s="5"/>
      <c r="R59" s="5"/>
      <c r="S59" s="5">
        <f>R59+Q59</f>
        <v>0</v>
      </c>
      <c r="T59" s="5">
        <f>AI59*AJ59</f>
        <v>0</v>
      </c>
      <c r="U59" s="5"/>
      <c r="V59" s="1"/>
      <c r="W59" s="1">
        <f>(F59+O59+T59)/P59</f>
        <v>14.344262295081968</v>
      </c>
      <c r="X59" s="1">
        <f>(F59+O59)/P59</f>
        <v>14.344262295081968</v>
      </c>
      <c r="Y59" s="1">
        <v>11</v>
      </c>
      <c r="Z59" s="1">
        <v>17.8</v>
      </c>
      <c r="AA59" s="1">
        <v>13</v>
      </c>
      <c r="AB59" s="1">
        <v>11.4</v>
      </c>
      <c r="AC59" s="1">
        <v>13</v>
      </c>
      <c r="AD59" s="1">
        <v>8.8000000000000007</v>
      </c>
      <c r="AE59" s="1">
        <v>20</v>
      </c>
      <c r="AF59" s="1">
        <v>16.600000000000001</v>
      </c>
      <c r="AG59" s="1"/>
      <c r="AH59" s="1">
        <f>G59*S59</f>
        <v>0</v>
      </c>
      <c r="AI59" s="8">
        <v>8</v>
      </c>
      <c r="AJ59" s="10">
        <f>MROUND(S59, AI59*AL59)/AI59</f>
        <v>0</v>
      </c>
      <c r="AK59" s="1">
        <f>AJ59*AI59*G59</f>
        <v>0</v>
      </c>
      <c r="AL59" s="1">
        <v>12</v>
      </c>
      <c r="AM59" s="1">
        <v>84</v>
      </c>
      <c r="AN59" s="10">
        <f>AJ59/AM59</f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109</v>
      </c>
      <c r="B60" s="1" t="s">
        <v>45</v>
      </c>
      <c r="C60" s="1">
        <v>390</v>
      </c>
      <c r="D60" s="1">
        <v>800</v>
      </c>
      <c r="E60" s="1">
        <v>495</v>
      </c>
      <c r="F60" s="1">
        <v>665</v>
      </c>
      <c r="G60" s="8">
        <v>1</v>
      </c>
      <c r="H60" s="1">
        <v>180</v>
      </c>
      <c r="I60" s="1" t="s">
        <v>43</v>
      </c>
      <c r="J60" s="1"/>
      <c r="K60" s="1">
        <v>500</v>
      </c>
      <c r="L60" s="1">
        <f>E60-K60</f>
        <v>-5</v>
      </c>
      <c r="M60" s="1"/>
      <c r="N60" s="1"/>
      <c r="O60" s="1">
        <v>420</v>
      </c>
      <c r="P60" s="1">
        <f>E60/5</f>
        <v>99</v>
      </c>
      <c r="Q60" s="5">
        <v>301</v>
      </c>
      <c r="R60" s="5">
        <f>$R$1*P60</f>
        <v>178.20000000000002</v>
      </c>
      <c r="S60" s="5">
        <f>R60+Q60</f>
        <v>479.20000000000005</v>
      </c>
      <c r="T60" s="5">
        <f>AI60*AJ60</f>
        <v>480</v>
      </c>
      <c r="U60" s="5"/>
      <c r="V60" s="1"/>
      <c r="W60" s="1">
        <f>(F60+O60+T60)/P60</f>
        <v>15.808080808080808</v>
      </c>
      <c r="X60" s="1">
        <f>(F60+O60)/P60</f>
        <v>10.95959595959596</v>
      </c>
      <c r="Y60" s="1">
        <v>113</v>
      </c>
      <c r="Z60" s="1">
        <v>121</v>
      </c>
      <c r="AA60" s="1">
        <v>104</v>
      </c>
      <c r="AB60" s="1">
        <v>132</v>
      </c>
      <c r="AC60" s="1">
        <v>118</v>
      </c>
      <c r="AD60" s="1">
        <v>115</v>
      </c>
      <c r="AE60" s="1">
        <v>140</v>
      </c>
      <c r="AF60" s="1">
        <v>133</v>
      </c>
      <c r="AG60" s="1"/>
      <c r="AH60" s="1">
        <f>G60*S60</f>
        <v>479.20000000000005</v>
      </c>
      <c r="AI60" s="8">
        <v>5</v>
      </c>
      <c r="AJ60" s="10">
        <f>MROUND(S60, AI60*AL60)/AI60</f>
        <v>96</v>
      </c>
      <c r="AK60" s="1">
        <f>AJ60*AI60*G60</f>
        <v>480</v>
      </c>
      <c r="AL60" s="1">
        <v>12</v>
      </c>
      <c r="AM60" s="1">
        <v>144</v>
      </c>
      <c r="AN60" s="10">
        <f>AJ60/AM60</f>
        <v>0.66666666666666663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110</v>
      </c>
      <c r="B61" s="1" t="s">
        <v>42</v>
      </c>
      <c r="C61" s="1">
        <v>76</v>
      </c>
      <c r="D61" s="1">
        <v>346</v>
      </c>
      <c r="E61" s="1">
        <v>161</v>
      </c>
      <c r="F61" s="1">
        <v>215</v>
      </c>
      <c r="G61" s="8">
        <v>1</v>
      </c>
      <c r="H61" s="1">
        <v>180</v>
      </c>
      <c r="I61" s="1" t="s">
        <v>43</v>
      </c>
      <c r="J61" s="1"/>
      <c r="K61" s="1">
        <v>161</v>
      </c>
      <c r="L61" s="1">
        <f>E61-K61</f>
        <v>0</v>
      </c>
      <c r="M61" s="1"/>
      <c r="N61" s="1"/>
      <c r="O61" s="1">
        <v>300</v>
      </c>
      <c r="P61" s="1">
        <f>E61/5</f>
        <v>32.200000000000003</v>
      </c>
      <c r="Q61" s="5"/>
      <c r="R61" s="5"/>
      <c r="S61" s="5">
        <f>R61+Q61</f>
        <v>0</v>
      </c>
      <c r="T61" s="5">
        <f>AI61*AJ61</f>
        <v>0</v>
      </c>
      <c r="U61" s="5"/>
      <c r="V61" s="1"/>
      <c r="W61" s="1">
        <f>(F61+O61+T61)/P61</f>
        <v>15.993788819875775</v>
      </c>
      <c r="X61" s="1">
        <f>(F61+O61)/P61</f>
        <v>15.993788819875775</v>
      </c>
      <c r="Y61" s="1">
        <v>47.2</v>
      </c>
      <c r="Z61" s="1">
        <v>45.4</v>
      </c>
      <c r="AA61" s="1">
        <v>36.799999999999997</v>
      </c>
      <c r="AB61" s="1">
        <v>45</v>
      </c>
      <c r="AC61" s="1">
        <v>35.200000000000003</v>
      </c>
      <c r="AD61" s="1">
        <v>46.2</v>
      </c>
      <c r="AE61" s="1">
        <v>43.6</v>
      </c>
      <c r="AF61" s="1">
        <v>33.4</v>
      </c>
      <c r="AG61" s="1"/>
      <c r="AH61" s="1">
        <f>G61*S61</f>
        <v>0</v>
      </c>
      <c r="AI61" s="8">
        <v>5</v>
      </c>
      <c r="AJ61" s="10">
        <f>MROUND(S61, AI61*AL61)/AI61</f>
        <v>0</v>
      </c>
      <c r="AK61" s="1">
        <f>AJ61*AI61*G61</f>
        <v>0</v>
      </c>
      <c r="AL61" s="1">
        <v>12</v>
      </c>
      <c r="AM61" s="1">
        <v>84</v>
      </c>
      <c r="AN61" s="10">
        <f>AJ61/AM61</f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9" t="s">
        <v>111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>E62-K62</f>
        <v>0</v>
      </c>
      <c r="M62" s="19"/>
      <c r="N62" s="19"/>
      <c r="O62" s="19"/>
      <c r="P62" s="19">
        <f>E62/5</f>
        <v>0</v>
      </c>
      <c r="Q62" s="21"/>
      <c r="R62" s="21"/>
      <c r="S62" s="5">
        <f>R62+Q62</f>
        <v>0</v>
      </c>
      <c r="T62" s="21"/>
      <c r="U62" s="21"/>
      <c r="V62" s="19"/>
      <c r="W62" s="19" t="e">
        <f>(F62+O62+T62)/P62</f>
        <v>#DIV/0!</v>
      </c>
      <c r="X62" s="19" t="e">
        <f>(F62+O62)/P62</f>
        <v>#DIV/0!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 t="s">
        <v>112</v>
      </c>
      <c r="AH62" s="19"/>
      <c r="AI62" s="20">
        <v>8</v>
      </c>
      <c r="AJ62" s="22"/>
      <c r="AK62" s="19"/>
      <c r="AL62" s="19">
        <v>6</v>
      </c>
      <c r="AM62" s="19">
        <v>72</v>
      </c>
      <c r="AN62" s="22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9" t="s">
        <v>113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>E63-K63</f>
        <v>0</v>
      </c>
      <c r="M63" s="19"/>
      <c r="N63" s="19"/>
      <c r="O63" s="19"/>
      <c r="P63" s="19">
        <f>E63/5</f>
        <v>0</v>
      </c>
      <c r="Q63" s="21"/>
      <c r="R63" s="21"/>
      <c r="S63" s="5">
        <f>R63+Q63</f>
        <v>0</v>
      </c>
      <c r="T63" s="21"/>
      <c r="U63" s="21"/>
      <c r="V63" s="19"/>
      <c r="W63" s="19" t="e">
        <f>(F63+O63+T63)/P63</f>
        <v>#DIV/0!</v>
      </c>
      <c r="X63" s="19" t="e">
        <f>(F63+O63)/P63</f>
        <v>#DIV/0!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 t="s">
        <v>112</v>
      </c>
      <c r="AH63" s="19"/>
      <c r="AI63" s="20">
        <v>3.7</v>
      </c>
      <c r="AJ63" s="22"/>
      <c r="AK63" s="19"/>
      <c r="AL63" s="19">
        <v>14</v>
      </c>
      <c r="AM63" s="19">
        <v>126</v>
      </c>
      <c r="AN63" s="22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114</v>
      </c>
      <c r="B64" s="1" t="s">
        <v>42</v>
      </c>
      <c r="C64" s="1">
        <v>353</v>
      </c>
      <c r="D64" s="1"/>
      <c r="E64" s="1">
        <v>8</v>
      </c>
      <c r="F64" s="1">
        <v>345</v>
      </c>
      <c r="G64" s="8">
        <v>0.09</v>
      </c>
      <c r="H64" s="1">
        <v>180</v>
      </c>
      <c r="I64" s="1" t="s">
        <v>43</v>
      </c>
      <c r="J64" s="1"/>
      <c r="K64" s="1">
        <v>8</v>
      </c>
      <c r="L64" s="1">
        <f>E64-K64</f>
        <v>0</v>
      </c>
      <c r="M64" s="1"/>
      <c r="N64" s="1"/>
      <c r="O64" s="1">
        <v>0</v>
      </c>
      <c r="P64" s="1">
        <f>E64/5</f>
        <v>1.6</v>
      </c>
      <c r="Q64" s="5"/>
      <c r="R64" s="5"/>
      <c r="S64" s="5">
        <f>R64+Q64</f>
        <v>0</v>
      </c>
      <c r="T64" s="5">
        <f>AI64*AJ64</f>
        <v>0</v>
      </c>
      <c r="U64" s="5"/>
      <c r="V64" s="1"/>
      <c r="W64" s="1">
        <f>(F64+O64+T64)/P64</f>
        <v>215.625</v>
      </c>
      <c r="X64" s="1">
        <f>(F64+O64)/P64</f>
        <v>215.625</v>
      </c>
      <c r="Y64" s="1">
        <v>2</v>
      </c>
      <c r="Z64" s="1">
        <v>4.8</v>
      </c>
      <c r="AA64" s="1">
        <v>6.8</v>
      </c>
      <c r="AB64" s="1">
        <v>4.2</v>
      </c>
      <c r="AC64" s="1">
        <v>2.4</v>
      </c>
      <c r="AD64" s="1">
        <v>11</v>
      </c>
      <c r="AE64" s="1">
        <v>8.4</v>
      </c>
      <c r="AF64" s="1">
        <v>4</v>
      </c>
      <c r="AG64" s="26" t="s">
        <v>115</v>
      </c>
      <c r="AH64" s="1">
        <f>G64*S64</f>
        <v>0</v>
      </c>
      <c r="AI64" s="8">
        <v>30</v>
      </c>
      <c r="AJ64" s="10">
        <f>MROUND(S64, AI64*AL64)/AI64</f>
        <v>0</v>
      </c>
      <c r="AK64" s="1">
        <f>AJ64*AI64*G64</f>
        <v>0</v>
      </c>
      <c r="AL64" s="1">
        <v>14</v>
      </c>
      <c r="AM64" s="1">
        <v>126</v>
      </c>
      <c r="AN64" s="10">
        <f>AJ64/AM64</f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116</v>
      </c>
      <c r="B65" s="1" t="s">
        <v>42</v>
      </c>
      <c r="C65" s="1">
        <v>477</v>
      </c>
      <c r="D65" s="1">
        <v>395</v>
      </c>
      <c r="E65" s="1">
        <v>415</v>
      </c>
      <c r="F65" s="1">
        <v>396</v>
      </c>
      <c r="G65" s="8">
        <v>0.25</v>
      </c>
      <c r="H65" s="1">
        <v>180</v>
      </c>
      <c r="I65" s="1" t="s">
        <v>43</v>
      </c>
      <c r="J65" s="1"/>
      <c r="K65" s="1">
        <v>417</v>
      </c>
      <c r="L65" s="1">
        <f>E65-K65</f>
        <v>-2</v>
      </c>
      <c r="M65" s="1"/>
      <c r="N65" s="1"/>
      <c r="O65" s="1">
        <v>672</v>
      </c>
      <c r="P65" s="1">
        <f>E65/5</f>
        <v>83</v>
      </c>
      <c r="Q65" s="5">
        <v>94</v>
      </c>
      <c r="R65" s="5">
        <f>$R$1*P65</f>
        <v>149.4</v>
      </c>
      <c r="S65" s="5">
        <f>R65+Q65</f>
        <v>243.4</v>
      </c>
      <c r="T65" s="5">
        <f>AI65*AJ65</f>
        <v>168</v>
      </c>
      <c r="U65" s="5"/>
      <c r="V65" s="1"/>
      <c r="W65" s="1">
        <f>(F65+O65+T65)/P65</f>
        <v>14.891566265060241</v>
      </c>
      <c r="X65" s="1">
        <f>(F65+O65)/P65</f>
        <v>12.867469879518072</v>
      </c>
      <c r="Y65" s="1">
        <v>103.2</v>
      </c>
      <c r="Z65" s="1">
        <v>89.6</v>
      </c>
      <c r="AA65" s="1">
        <v>95.6</v>
      </c>
      <c r="AB65" s="1">
        <v>92</v>
      </c>
      <c r="AC65" s="1">
        <v>73.2</v>
      </c>
      <c r="AD65" s="1">
        <v>120.8</v>
      </c>
      <c r="AE65" s="1">
        <v>90.8</v>
      </c>
      <c r="AF65" s="1">
        <v>93.6</v>
      </c>
      <c r="AG65" s="1" t="s">
        <v>58</v>
      </c>
      <c r="AH65" s="1">
        <f>G65*S65</f>
        <v>60.85</v>
      </c>
      <c r="AI65" s="8">
        <v>12</v>
      </c>
      <c r="AJ65" s="10">
        <f>MROUND(S65, AI65*AL65)/AI65</f>
        <v>14</v>
      </c>
      <c r="AK65" s="1">
        <f>AJ65*AI65*G65</f>
        <v>42</v>
      </c>
      <c r="AL65" s="1">
        <v>14</v>
      </c>
      <c r="AM65" s="1">
        <v>70</v>
      </c>
      <c r="AN65" s="10">
        <f>AJ65/AM65</f>
        <v>0.2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117</v>
      </c>
      <c r="B66" s="1" t="s">
        <v>42</v>
      </c>
      <c r="C66" s="1">
        <v>94</v>
      </c>
      <c r="D66" s="1">
        <v>214</v>
      </c>
      <c r="E66" s="1">
        <v>155</v>
      </c>
      <c r="F66" s="1">
        <v>106</v>
      </c>
      <c r="G66" s="8">
        <v>0.25</v>
      </c>
      <c r="H66" s="1">
        <v>180</v>
      </c>
      <c r="I66" s="1" t="s">
        <v>43</v>
      </c>
      <c r="J66" s="1"/>
      <c r="K66" s="1">
        <v>155</v>
      </c>
      <c r="L66" s="1">
        <f>E66-K66</f>
        <v>0</v>
      </c>
      <c r="M66" s="1"/>
      <c r="N66" s="1"/>
      <c r="O66" s="1">
        <v>336</v>
      </c>
      <c r="P66" s="1">
        <f>E66/5</f>
        <v>31</v>
      </c>
      <c r="Q66" s="5"/>
      <c r="R66" s="5"/>
      <c r="S66" s="5">
        <f>R66+Q66</f>
        <v>0</v>
      </c>
      <c r="T66" s="5">
        <f>AI66*AJ66</f>
        <v>0</v>
      </c>
      <c r="U66" s="5"/>
      <c r="V66" s="1"/>
      <c r="W66" s="1">
        <f>(F66+O66+T66)/P66</f>
        <v>14.258064516129032</v>
      </c>
      <c r="X66" s="1">
        <f>(F66+O66)/P66</f>
        <v>14.258064516129032</v>
      </c>
      <c r="Y66" s="1">
        <v>46.2</v>
      </c>
      <c r="Z66" s="1">
        <v>40</v>
      </c>
      <c r="AA66" s="1">
        <v>41.8</v>
      </c>
      <c r="AB66" s="1">
        <v>41</v>
      </c>
      <c r="AC66" s="1">
        <v>39.200000000000003</v>
      </c>
      <c r="AD66" s="1">
        <v>36.200000000000003</v>
      </c>
      <c r="AE66" s="1">
        <v>27</v>
      </c>
      <c r="AF66" s="1">
        <v>50.2</v>
      </c>
      <c r="AG66" s="1"/>
      <c r="AH66" s="1">
        <f>G66*S66</f>
        <v>0</v>
      </c>
      <c r="AI66" s="8">
        <v>12</v>
      </c>
      <c r="AJ66" s="10">
        <f>MROUND(S66, AI66*AL66)/AI66</f>
        <v>0</v>
      </c>
      <c r="AK66" s="1">
        <f>AJ66*AI66*G66</f>
        <v>0</v>
      </c>
      <c r="AL66" s="1">
        <v>14</v>
      </c>
      <c r="AM66" s="1">
        <v>70</v>
      </c>
      <c r="AN66" s="10">
        <f>AJ66/AM66</f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118</v>
      </c>
      <c r="B67" s="1" t="s">
        <v>42</v>
      </c>
      <c r="C67" s="1">
        <v>663</v>
      </c>
      <c r="D67" s="1">
        <v>632</v>
      </c>
      <c r="E67" s="1">
        <v>455</v>
      </c>
      <c r="F67" s="1">
        <v>694</v>
      </c>
      <c r="G67" s="8">
        <v>0.3</v>
      </c>
      <c r="H67" s="1">
        <v>180</v>
      </c>
      <c r="I67" s="1" t="s">
        <v>43</v>
      </c>
      <c r="J67" s="1"/>
      <c r="K67" s="1">
        <v>458</v>
      </c>
      <c r="L67" s="1">
        <f>E67-K67</f>
        <v>-3</v>
      </c>
      <c r="M67" s="1"/>
      <c r="N67" s="1"/>
      <c r="O67" s="1">
        <v>840</v>
      </c>
      <c r="P67" s="1">
        <f>E67/5</f>
        <v>91</v>
      </c>
      <c r="Q67" s="5"/>
      <c r="R67" s="5"/>
      <c r="S67" s="5">
        <f>R67+Q67</f>
        <v>0</v>
      </c>
      <c r="T67" s="5">
        <f>AI67*AJ67</f>
        <v>0</v>
      </c>
      <c r="U67" s="5"/>
      <c r="V67" s="1"/>
      <c r="W67" s="1">
        <f>(F67+O67+T67)/P67</f>
        <v>16.857142857142858</v>
      </c>
      <c r="X67" s="1">
        <f>(F67+O67)/P67</f>
        <v>16.857142857142858</v>
      </c>
      <c r="Y67" s="1">
        <v>145</v>
      </c>
      <c r="Z67" s="1">
        <v>134.19999999999999</v>
      </c>
      <c r="AA67" s="1">
        <v>135</v>
      </c>
      <c r="AB67" s="1">
        <v>94.6</v>
      </c>
      <c r="AC67" s="1">
        <v>104.2</v>
      </c>
      <c r="AD67" s="1">
        <v>102</v>
      </c>
      <c r="AE67" s="1">
        <v>122.4</v>
      </c>
      <c r="AF67" s="1">
        <v>126.6</v>
      </c>
      <c r="AG67" s="1" t="s">
        <v>58</v>
      </c>
      <c r="AH67" s="1">
        <f>G67*S67</f>
        <v>0</v>
      </c>
      <c r="AI67" s="8">
        <v>12</v>
      </c>
      <c r="AJ67" s="10">
        <f>MROUND(S67, AI67*AL67)/AI67</f>
        <v>0</v>
      </c>
      <c r="AK67" s="1">
        <f>AJ67*AI67*G67</f>
        <v>0</v>
      </c>
      <c r="AL67" s="1">
        <v>14</v>
      </c>
      <c r="AM67" s="1">
        <v>70</v>
      </c>
      <c r="AN67" s="10">
        <f>AJ67/AM67</f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119</v>
      </c>
      <c r="B68" s="1" t="s">
        <v>42</v>
      </c>
      <c r="C68" s="1">
        <v>717</v>
      </c>
      <c r="D68" s="1">
        <v>484</v>
      </c>
      <c r="E68" s="1">
        <v>418</v>
      </c>
      <c r="F68" s="1">
        <v>635</v>
      </c>
      <c r="G68" s="8">
        <v>0.3</v>
      </c>
      <c r="H68" s="1">
        <v>180</v>
      </c>
      <c r="I68" s="1" t="s">
        <v>43</v>
      </c>
      <c r="J68" s="1"/>
      <c r="K68" s="1">
        <v>423</v>
      </c>
      <c r="L68" s="1">
        <f>E68-K68</f>
        <v>-5</v>
      </c>
      <c r="M68" s="1"/>
      <c r="N68" s="1"/>
      <c r="O68" s="1">
        <v>504</v>
      </c>
      <c r="P68" s="1">
        <f>E68/5</f>
        <v>83.6</v>
      </c>
      <c r="Q68" s="5"/>
      <c r="R68" s="5">
        <f>$R$1*P68</f>
        <v>150.47999999999999</v>
      </c>
      <c r="S68" s="5">
        <f>R68+Q68</f>
        <v>150.47999999999999</v>
      </c>
      <c r="T68" s="5">
        <f>AI68*AJ68</f>
        <v>168</v>
      </c>
      <c r="U68" s="5"/>
      <c r="V68" s="1"/>
      <c r="W68" s="1">
        <f>(F68+O68+T68)/P68</f>
        <v>15.633971291866029</v>
      </c>
      <c r="X68" s="1">
        <f>(F68+O68)/P68</f>
        <v>13.6244019138756</v>
      </c>
      <c r="Y68" s="1">
        <v>108.2</v>
      </c>
      <c r="Z68" s="1">
        <v>105.2</v>
      </c>
      <c r="AA68" s="1">
        <v>113.4</v>
      </c>
      <c r="AB68" s="1">
        <v>91.6</v>
      </c>
      <c r="AC68" s="1">
        <v>103.6</v>
      </c>
      <c r="AD68" s="1">
        <v>120.2</v>
      </c>
      <c r="AE68" s="1">
        <v>112.6</v>
      </c>
      <c r="AF68" s="1">
        <v>116.4</v>
      </c>
      <c r="AG68" s="1" t="s">
        <v>58</v>
      </c>
      <c r="AH68" s="1">
        <f>G68*S68</f>
        <v>45.143999999999998</v>
      </c>
      <c r="AI68" s="8">
        <v>12</v>
      </c>
      <c r="AJ68" s="10">
        <f>MROUND(S68, AI68*AL68)/AI68</f>
        <v>14</v>
      </c>
      <c r="AK68" s="1">
        <f>AJ68*AI68*G68</f>
        <v>50.4</v>
      </c>
      <c r="AL68" s="1">
        <v>14</v>
      </c>
      <c r="AM68" s="1">
        <v>70</v>
      </c>
      <c r="AN68" s="10">
        <f>AJ68/AM68</f>
        <v>0.2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120</v>
      </c>
      <c r="B69" s="1" t="s">
        <v>42</v>
      </c>
      <c r="C69" s="1">
        <v>109</v>
      </c>
      <c r="D69" s="1"/>
      <c r="E69" s="1">
        <v>21</v>
      </c>
      <c r="F69" s="1">
        <v>88</v>
      </c>
      <c r="G69" s="8">
        <v>0.3</v>
      </c>
      <c r="H69" s="1">
        <v>180</v>
      </c>
      <c r="I69" s="1" t="s">
        <v>43</v>
      </c>
      <c r="J69" s="1"/>
      <c r="K69" s="1">
        <v>21</v>
      </c>
      <c r="L69" s="1">
        <f>E69-K69</f>
        <v>0</v>
      </c>
      <c r="M69" s="1"/>
      <c r="N69" s="1"/>
      <c r="O69" s="1">
        <v>196</v>
      </c>
      <c r="P69" s="1">
        <f>E69/5</f>
        <v>4.2</v>
      </c>
      <c r="Q69" s="5"/>
      <c r="R69" s="5"/>
      <c r="S69" s="5">
        <f>R69+Q69</f>
        <v>0</v>
      </c>
      <c r="T69" s="5">
        <f>AI69*AJ69</f>
        <v>0</v>
      </c>
      <c r="U69" s="5"/>
      <c r="V69" s="1"/>
      <c r="W69" s="1">
        <f>(F69+O69+T69)/P69</f>
        <v>67.61904761904762</v>
      </c>
      <c r="X69" s="1">
        <f>(F69+O69)/P69</f>
        <v>67.61904761904762</v>
      </c>
      <c r="Y69" s="1">
        <v>13.6</v>
      </c>
      <c r="Z69" s="1">
        <v>3.8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25" t="s">
        <v>130</v>
      </c>
      <c r="AH69" s="1">
        <f>G69*S69</f>
        <v>0</v>
      </c>
      <c r="AI69" s="8">
        <v>14</v>
      </c>
      <c r="AJ69" s="10">
        <f>MROUND(S69, AI69*AL69)/AI69</f>
        <v>0</v>
      </c>
      <c r="AK69" s="1">
        <f>AJ69*AI69*G69</f>
        <v>0</v>
      </c>
      <c r="AL69" s="1">
        <v>14</v>
      </c>
      <c r="AM69" s="1">
        <v>70</v>
      </c>
      <c r="AN69" s="10">
        <f>AJ69/AM69</f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121</v>
      </c>
      <c r="B70" s="1" t="s">
        <v>42</v>
      </c>
      <c r="C70" s="1">
        <v>314</v>
      </c>
      <c r="D70" s="1">
        <v>1136</v>
      </c>
      <c r="E70" s="1">
        <v>497</v>
      </c>
      <c r="F70" s="1">
        <v>822</v>
      </c>
      <c r="G70" s="8">
        <v>0.25</v>
      </c>
      <c r="H70" s="1">
        <v>180</v>
      </c>
      <c r="I70" s="1" t="s">
        <v>43</v>
      </c>
      <c r="J70" s="1"/>
      <c r="K70" s="1">
        <v>497</v>
      </c>
      <c r="L70" s="1">
        <f>E70-K70</f>
        <v>0</v>
      </c>
      <c r="M70" s="1"/>
      <c r="N70" s="1"/>
      <c r="O70" s="1">
        <v>672</v>
      </c>
      <c r="P70" s="1">
        <f>E70/5</f>
        <v>99.4</v>
      </c>
      <c r="Q70" s="5"/>
      <c r="R70" s="5">
        <f>$R$1*P70</f>
        <v>178.92000000000002</v>
      </c>
      <c r="S70" s="5">
        <f>R70+Q70</f>
        <v>178.92000000000002</v>
      </c>
      <c r="T70" s="5">
        <f>AI70*AJ70</f>
        <v>168</v>
      </c>
      <c r="U70" s="5"/>
      <c r="V70" s="1"/>
      <c r="W70" s="1">
        <f>(F70+O70+T70)/P70</f>
        <v>16.720321931589535</v>
      </c>
      <c r="X70" s="1">
        <f>(F70+O70)/P70</f>
        <v>15.030181086519114</v>
      </c>
      <c r="Y70" s="1">
        <v>141</v>
      </c>
      <c r="Z70" s="1">
        <v>139.19999999999999</v>
      </c>
      <c r="AA70" s="1">
        <v>114.6</v>
      </c>
      <c r="AB70" s="1">
        <v>132.80000000000001</v>
      </c>
      <c r="AC70" s="1">
        <v>119</v>
      </c>
      <c r="AD70" s="1">
        <v>137.6</v>
      </c>
      <c r="AE70" s="1">
        <v>130.6</v>
      </c>
      <c r="AF70" s="1">
        <v>128.19999999999999</v>
      </c>
      <c r="AG70" s="1" t="s">
        <v>58</v>
      </c>
      <c r="AH70" s="1">
        <f>G70*S70</f>
        <v>44.730000000000004</v>
      </c>
      <c r="AI70" s="8">
        <v>12</v>
      </c>
      <c r="AJ70" s="10">
        <f>MROUND(S70, AI70*AL70)/AI70</f>
        <v>14</v>
      </c>
      <c r="AK70" s="1">
        <f>AJ70*AI70*G70</f>
        <v>42</v>
      </c>
      <c r="AL70" s="1">
        <v>14</v>
      </c>
      <c r="AM70" s="1">
        <v>70</v>
      </c>
      <c r="AN70" s="10">
        <f>AJ70/AM70</f>
        <v>0.2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122</v>
      </c>
      <c r="B71" s="1" t="s">
        <v>42</v>
      </c>
      <c r="C71" s="1">
        <v>546</v>
      </c>
      <c r="D71" s="1">
        <v>1007</v>
      </c>
      <c r="E71" s="1">
        <v>434</v>
      </c>
      <c r="F71" s="1">
        <v>925</v>
      </c>
      <c r="G71" s="8">
        <v>0.25</v>
      </c>
      <c r="H71" s="1">
        <v>180</v>
      </c>
      <c r="I71" s="1" t="s">
        <v>43</v>
      </c>
      <c r="J71" s="1"/>
      <c r="K71" s="1">
        <v>434</v>
      </c>
      <c r="L71" s="1">
        <f>E71-K71</f>
        <v>0</v>
      </c>
      <c r="M71" s="1"/>
      <c r="N71" s="1"/>
      <c r="O71" s="1">
        <v>168</v>
      </c>
      <c r="P71" s="1">
        <f>E71/5</f>
        <v>86.8</v>
      </c>
      <c r="Q71" s="5">
        <v>122.20000000000005</v>
      </c>
      <c r="R71" s="5">
        <f>$R$1*P71</f>
        <v>156.24</v>
      </c>
      <c r="S71" s="5">
        <f>R71+Q71</f>
        <v>278.44000000000005</v>
      </c>
      <c r="T71" s="5">
        <f>AI71*AJ71</f>
        <v>336</v>
      </c>
      <c r="U71" s="5"/>
      <c r="V71" s="1"/>
      <c r="W71" s="1">
        <f>(F71+O71+T71)/P71</f>
        <v>16.463133640552996</v>
      </c>
      <c r="X71" s="1">
        <f>(F71+O71)/P71</f>
        <v>12.592165898617512</v>
      </c>
      <c r="Y71" s="1">
        <v>114.8</v>
      </c>
      <c r="Z71" s="1">
        <v>135.80000000000001</v>
      </c>
      <c r="AA71" s="1">
        <v>119.2</v>
      </c>
      <c r="AB71" s="1">
        <v>134.19999999999999</v>
      </c>
      <c r="AC71" s="1">
        <v>108.2</v>
      </c>
      <c r="AD71" s="1">
        <v>128.80000000000001</v>
      </c>
      <c r="AE71" s="1">
        <v>111.6</v>
      </c>
      <c r="AF71" s="1">
        <v>123.8</v>
      </c>
      <c r="AG71" s="1" t="s">
        <v>58</v>
      </c>
      <c r="AH71" s="1">
        <f>G71*S71</f>
        <v>69.610000000000014</v>
      </c>
      <c r="AI71" s="8">
        <v>12</v>
      </c>
      <c r="AJ71" s="10">
        <f>MROUND(S71, AI71*AL71)/AI71</f>
        <v>28</v>
      </c>
      <c r="AK71" s="1">
        <f>AJ71*AI71*G71</f>
        <v>84</v>
      </c>
      <c r="AL71" s="1">
        <v>14</v>
      </c>
      <c r="AM71" s="1">
        <v>70</v>
      </c>
      <c r="AN71" s="10">
        <f>AJ71/AM71</f>
        <v>0.4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123</v>
      </c>
      <c r="B72" s="1" t="s">
        <v>45</v>
      </c>
      <c r="C72" s="1">
        <v>108</v>
      </c>
      <c r="D72" s="1"/>
      <c r="E72" s="1">
        <v>16.2</v>
      </c>
      <c r="F72" s="1">
        <v>91.8</v>
      </c>
      <c r="G72" s="8">
        <v>1</v>
      </c>
      <c r="H72" s="1">
        <v>180</v>
      </c>
      <c r="I72" s="1" t="s">
        <v>43</v>
      </c>
      <c r="J72" s="1"/>
      <c r="K72" s="1">
        <v>16</v>
      </c>
      <c r="L72" s="1">
        <f>E72-K72</f>
        <v>0.19999999999999929</v>
      </c>
      <c r="M72" s="1"/>
      <c r="N72" s="1"/>
      <c r="O72" s="1">
        <v>0</v>
      </c>
      <c r="P72" s="1">
        <f>E72/5</f>
        <v>3.2399999999999998</v>
      </c>
      <c r="Q72" s="5"/>
      <c r="R72" s="5"/>
      <c r="S72" s="5">
        <f>R72+Q72</f>
        <v>0</v>
      </c>
      <c r="T72" s="5">
        <f>AI72*AJ72</f>
        <v>0</v>
      </c>
      <c r="U72" s="5"/>
      <c r="V72" s="1"/>
      <c r="W72" s="1">
        <f>(F72+O72+T72)/P72</f>
        <v>28.333333333333336</v>
      </c>
      <c r="X72" s="1">
        <f>(F72+O72)/P72</f>
        <v>28.333333333333336</v>
      </c>
      <c r="Y72" s="1">
        <v>3.24</v>
      </c>
      <c r="Z72" s="1">
        <v>3.78</v>
      </c>
      <c r="AA72" s="1">
        <v>2.7</v>
      </c>
      <c r="AB72" s="1">
        <v>6.48</v>
      </c>
      <c r="AC72" s="1">
        <v>1.62</v>
      </c>
      <c r="AD72" s="1">
        <v>2.7</v>
      </c>
      <c r="AE72" s="1">
        <v>2.16</v>
      </c>
      <c r="AF72" s="1">
        <v>1.08</v>
      </c>
      <c r="AG72" s="26" t="s">
        <v>115</v>
      </c>
      <c r="AH72" s="1">
        <f>G72*S72</f>
        <v>0</v>
      </c>
      <c r="AI72" s="8">
        <v>2.7</v>
      </c>
      <c r="AJ72" s="10">
        <f>MROUND(S72, AI72*AL72)/AI72</f>
        <v>0</v>
      </c>
      <c r="AK72" s="1">
        <f>AJ72*AI72*G72</f>
        <v>0</v>
      </c>
      <c r="AL72" s="1">
        <v>14</v>
      </c>
      <c r="AM72" s="1">
        <v>126</v>
      </c>
      <c r="AN72" s="10">
        <f>AJ72/AM72</f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124</v>
      </c>
      <c r="B73" s="1" t="s">
        <v>45</v>
      </c>
      <c r="C73" s="1">
        <v>255</v>
      </c>
      <c r="D73" s="1">
        <v>430</v>
      </c>
      <c r="E73" s="24">
        <f>170+E74</f>
        <v>325</v>
      </c>
      <c r="F73" s="24">
        <f>235+F74</f>
        <v>380</v>
      </c>
      <c r="G73" s="8">
        <v>1</v>
      </c>
      <c r="H73" s="1">
        <v>180</v>
      </c>
      <c r="I73" s="1" t="s">
        <v>43</v>
      </c>
      <c r="J73" s="1"/>
      <c r="K73" s="1">
        <v>167.7</v>
      </c>
      <c r="L73" s="1">
        <f>E73-K73</f>
        <v>157.30000000000001</v>
      </c>
      <c r="M73" s="1"/>
      <c r="N73" s="1"/>
      <c r="O73" s="1">
        <v>360</v>
      </c>
      <c r="P73" s="1">
        <f>E73/5</f>
        <v>65</v>
      </c>
      <c r="Q73" s="5">
        <v>170</v>
      </c>
      <c r="R73" s="5">
        <f>$R$1*P73</f>
        <v>117</v>
      </c>
      <c r="S73" s="5">
        <f>R73+Q73</f>
        <v>287</v>
      </c>
      <c r="T73" s="5">
        <f>AI73*AJ73</f>
        <v>300</v>
      </c>
      <c r="U73" s="5"/>
      <c r="V73" s="1"/>
      <c r="W73" s="1">
        <f>(F73+O73+T73)/P73</f>
        <v>16</v>
      </c>
      <c r="X73" s="1">
        <f>(F73+O73)/P73</f>
        <v>11.384615384615385</v>
      </c>
      <c r="Y73" s="1">
        <v>75</v>
      </c>
      <c r="Z73" s="1">
        <v>76</v>
      </c>
      <c r="AA73" s="1">
        <v>82</v>
      </c>
      <c r="AB73" s="1">
        <v>71</v>
      </c>
      <c r="AC73" s="1">
        <v>60</v>
      </c>
      <c r="AD73" s="1">
        <v>71.539999999999992</v>
      </c>
      <c r="AE73" s="1">
        <v>83</v>
      </c>
      <c r="AF73" s="1">
        <v>69</v>
      </c>
      <c r="AG73" s="1"/>
      <c r="AH73" s="1">
        <f>G73*S73</f>
        <v>287</v>
      </c>
      <c r="AI73" s="8">
        <v>5</v>
      </c>
      <c r="AJ73" s="10">
        <f>MROUND(S73, AI73*AL73)/AI73</f>
        <v>60</v>
      </c>
      <c r="AK73" s="1">
        <f>AJ73*AI73*G73</f>
        <v>300</v>
      </c>
      <c r="AL73" s="1">
        <v>12</v>
      </c>
      <c r="AM73" s="1">
        <v>84</v>
      </c>
      <c r="AN73" s="10">
        <f>AJ73/AM73</f>
        <v>0.7142857142857143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125</v>
      </c>
      <c r="B74" s="15" t="s">
        <v>45</v>
      </c>
      <c r="C74" s="15">
        <v>155</v>
      </c>
      <c r="D74" s="15">
        <v>155</v>
      </c>
      <c r="E74" s="24">
        <v>155</v>
      </c>
      <c r="F74" s="24">
        <v>145</v>
      </c>
      <c r="G74" s="16">
        <v>0</v>
      </c>
      <c r="H74" s="15" t="e">
        <v>#N/A</v>
      </c>
      <c r="I74" s="15" t="s">
        <v>51</v>
      </c>
      <c r="J74" s="15" t="s">
        <v>124</v>
      </c>
      <c r="K74" s="15">
        <v>155</v>
      </c>
      <c r="L74" s="15">
        <f>E74-K74</f>
        <v>0</v>
      </c>
      <c r="M74" s="15"/>
      <c r="N74" s="15"/>
      <c r="O74" s="15"/>
      <c r="P74" s="15">
        <f>E74/5</f>
        <v>31</v>
      </c>
      <c r="Q74" s="17"/>
      <c r="R74" s="17"/>
      <c r="S74" s="5">
        <f>R74+Q74</f>
        <v>0</v>
      </c>
      <c r="T74" s="17"/>
      <c r="U74" s="17"/>
      <c r="V74" s="15"/>
      <c r="W74" s="15">
        <f>(F74+O74+T74)/P74</f>
        <v>4.67741935483871</v>
      </c>
      <c r="X74" s="15">
        <f>(F74+O74)/P74</f>
        <v>4.67741935483871</v>
      </c>
      <c r="Y74" s="15">
        <v>53</v>
      </c>
      <c r="Z74" s="15">
        <v>25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/>
      <c r="AH74" s="15"/>
      <c r="AI74" s="16"/>
      <c r="AJ74" s="18"/>
      <c r="AK74" s="15"/>
      <c r="AL74" s="15"/>
      <c r="AM74" s="15"/>
      <c r="AN74" s="18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4" t="s">
        <v>126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88</v>
      </c>
      <c r="L75" s="1">
        <f>E75-K75</f>
        <v>-88</v>
      </c>
      <c r="M75" s="1"/>
      <c r="N75" s="1"/>
      <c r="O75" s="14"/>
      <c r="P75" s="1">
        <f>E75/5</f>
        <v>0</v>
      </c>
      <c r="Q75" s="23">
        <v>264</v>
      </c>
      <c r="R75" s="23"/>
      <c r="S75" s="5">
        <f>R75+Q75</f>
        <v>264</v>
      </c>
      <c r="T75" s="5">
        <f>AI75*AJ75</f>
        <v>264</v>
      </c>
      <c r="U75" s="5"/>
      <c r="V75" s="1"/>
      <c r="W75" s="1" t="e">
        <f>(F75+O75+T75)/P75</f>
        <v>#DIV/0!</v>
      </c>
      <c r="X75" s="1" t="e">
        <f>(F75+O75)/P75</f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4" t="s">
        <v>80</v>
      </c>
      <c r="AH75" s="1">
        <f>G75*S75</f>
        <v>36.96</v>
      </c>
      <c r="AI75" s="8">
        <v>22</v>
      </c>
      <c r="AJ75" s="10">
        <f>MROUND(S75, AI75*AL75)/AI75</f>
        <v>12</v>
      </c>
      <c r="AK75" s="1">
        <f>AJ75*AI75*G75</f>
        <v>36.96</v>
      </c>
      <c r="AL75" s="1">
        <v>12</v>
      </c>
      <c r="AM75" s="1">
        <v>84</v>
      </c>
      <c r="AN75" s="10">
        <f>AJ75/AM75</f>
        <v>0.14285714285714285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2025-11-06T07:19:41Z</dcterms:created>
  <dcterms:modified xsi:type="dcterms:W3CDTF">2025-11-07T08:17:36Z</dcterms:modified>
</cp:coreProperties>
</file>