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1F634746-D6D6-4EC7-BA9B-67B9D53395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Y207" i="1" s="1"/>
  <c r="P205" i="1"/>
  <c r="Y202" i="1"/>
  <c r="X202" i="1"/>
  <c r="Z201" i="1"/>
  <c r="X201" i="1"/>
  <c r="BO200" i="1"/>
  <c r="BM200" i="1"/>
  <c r="Z200" i="1"/>
  <c r="Y200" i="1"/>
  <c r="X197" i="1"/>
  <c r="X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6" i="1" s="1"/>
  <c r="Y191" i="1"/>
  <c r="Y197" i="1" s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Z187" i="1" s="1"/>
  <c r="Y183" i="1"/>
  <c r="P183" i="1"/>
  <c r="X181" i="1"/>
  <c r="Z180" i="1"/>
  <c r="X180" i="1"/>
  <c r="BO179" i="1"/>
  <c r="BM179" i="1"/>
  <c r="Z179" i="1"/>
  <c r="Y179" i="1"/>
  <c r="Y181" i="1" s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Y156" i="1" s="1"/>
  <c r="P154" i="1"/>
  <c r="Y151" i="1"/>
  <c r="X151" i="1"/>
  <c r="X150" i="1"/>
  <c r="BO149" i="1"/>
  <c r="BM149" i="1"/>
  <c r="Z149" i="1"/>
  <c r="Z150" i="1" s="1"/>
  <c r="Y149" i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Y128" i="1"/>
  <c r="Y130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3" i="1" s="1"/>
  <c r="P121" i="1"/>
  <c r="X118" i="1"/>
  <c r="Z117" i="1"/>
  <c r="X117" i="1"/>
  <c r="BO116" i="1"/>
  <c r="BM116" i="1"/>
  <c r="Z116" i="1"/>
  <c r="Y116" i="1"/>
  <c r="Y118" i="1" s="1"/>
  <c r="P116" i="1"/>
  <c r="X114" i="1"/>
  <c r="Z113" i="1"/>
  <c r="X113" i="1"/>
  <c r="BO112" i="1"/>
  <c r="BM112" i="1"/>
  <c r="Z112" i="1"/>
  <c r="Y112" i="1"/>
  <c r="Y114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10" i="1" s="1"/>
  <c r="P102" i="1"/>
  <c r="X99" i="1"/>
  <c r="X98" i="1"/>
  <c r="BO97" i="1"/>
  <c r="BM97" i="1"/>
  <c r="Z97" i="1"/>
  <c r="Y97" i="1"/>
  <c r="Y99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2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1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6" i="1" s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X278" i="1" s="1"/>
  <c r="BO29" i="1"/>
  <c r="X276" i="1" s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H9" i="1" l="1"/>
  <c r="BN29" i="1"/>
  <c r="Y275" i="1" s="1"/>
  <c r="BP29" i="1"/>
  <c r="BN34" i="1"/>
  <c r="BP34" i="1"/>
  <c r="BN36" i="1"/>
  <c r="Y37" i="1"/>
  <c r="BN41" i="1"/>
  <c r="BP41" i="1"/>
  <c r="BN43" i="1"/>
  <c r="Y46" i="1"/>
  <c r="Y274" i="1" s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3" i="1"/>
  <c r="Y278" i="1" s="1"/>
  <c r="BN116" i="1"/>
  <c r="BP116" i="1"/>
  <c r="Y117" i="1"/>
  <c r="BN121" i="1"/>
  <c r="BP121" i="1"/>
  <c r="Y124" i="1"/>
  <c r="BN128" i="1"/>
  <c r="BP128" i="1"/>
  <c r="BN133" i="1"/>
  <c r="BP133" i="1"/>
  <c r="Y136" i="1"/>
  <c r="Y150" i="1"/>
  <c r="BP149" i="1"/>
  <c r="BN149" i="1"/>
  <c r="Y163" i="1"/>
  <c r="BP160" i="1"/>
  <c r="BN160" i="1"/>
  <c r="Y162" i="1"/>
  <c r="BP168" i="1"/>
  <c r="BN168" i="1"/>
  <c r="Y170" i="1"/>
  <c r="Y174" i="1"/>
  <c r="BP173" i="1"/>
  <c r="BN173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12" i="1"/>
  <c r="BP209" i="1"/>
  <c r="BN209" i="1"/>
  <c r="BP211" i="1"/>
  <c r="BN211" i="1"/>
  <c r="Z218" i="1"/>
  <c r="Z279" i="1" s="1"/>
  <c r="Y249" i="1"/>
  <c r="Y253" i="1"/>
  <c r="Y259" i="1"/>
  <c r="BP256" i="1"/>
  <c r="BN256" i="1"/>
  <c r="BP258" i="1"/>
  <c r="BN258" i="1"/>
  <c r="Z272" i="1"/>
  <c r="Y155" i="1"/>
  <c r="BP154" i="1"/>
  <c r="BN154" i="1"/>
  <c r="Y180" i="1"/>
  <c r="BP179" i="1"/>
  <c r="Y276" i="1" s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<sst xmlns="http://schemas.openxmlformats.org/spreadsheetml/2006/main" count="1229" uniqueCount="396">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</sst>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9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8</v>
      </c>
      <c r="B5" s="318"/>
      <c r="C5" s="319"/>
      <c r="D5" s="325"/>
      <c r="E5" s="326"/>
      <c r="F5" s="439" t="s">
        <v>9</v>
      </c>
      <c r="G5" s="319"/>
      <c r="H5" s="325"/>
      <c r="I5" s="408"/>
      <c r="J5" s="408"/>
      <c r="K5" s="408"/>
      <c r="L5" s="408"/>
      <c r="M5" s="326"/>
      <c r="N5" s="61"/>
      <c r="P5" s="24" t="s">
        <v>10</v>
      </c>
      <c r="Q5" s="446">
        <v>45957</v>
      </c>
      <c r="R5" s="346"/>
      <c r="T5" s="367" t="s">
        <v>11</v>
      </c>
      <c r="U5" s="368"/>
      <c r="V5" s="369" t="s">
        <v>12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13</v>
      </c>
      <c r="B6" s="318"/>
      <c r="C6" s="319"/>
      <c r="D6" s="409" t="s">
        <v>14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16</v>
      </c>
      <c r="U6" s="368"/>
      <c r="V6" s="397" t="s">
        <v>17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80"/>
      <c r="C8" s="281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21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73"/>
      <c r="R10" s="374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15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36</v>
      </c>
      <c r="B17" s="293" t="s">
        <v>37</v>
      </c>
      <c r="C17" s="354" t="s">
        <v>38</v>
      </c>
      <c r="D17" s="293" t="s">
        <v>39</v>
      </c>
      <c r="E17" s="335"/>
      <c r="F17" s="293" t="s">
        <v>40</v>
      </c>
      <c r="G17" s="293" t="s">
        <v>41</v>
      </c>
      <c r="H17" s="293" t="s">
        <v>42</v>
      </c>
      <c r="I17" s="293" t="s">
        <v>43</v>
      </c>
      <c r="J17" s="293" t="s">
        <v>44</v>
      </c>
      <c r="K17" s="293" t="s">
        <v>45</v>
      </c>
      <c r="L17" s="293" t="s">
        <v>46</v>
      </c>
      <c r="M17" s="293" t="s">
        <v>47</v>
      </c>
      <c r="N17" s="293" t="s">
        <v>48</v>
      </c>
      <c r="O17" s="293" t="s">
        <v>49</v>
      </c>
      <c r="P17" s="293" t="s">
        <v>50</v>
      </c>
      <c r="Q17" s="334"/>
      <c r="R17" s="334"/>
      <c r="S17" s="334"/>
      <c r="T17" s="335"/>
      <c r="U17" s="453" t="s">
        <v>51</v>
      </c>
      <c r="V17" s="319"/>
      <c r="W17" s="293" t="s">
        <v>52</v>
      </c>
      <c r="X17" s="293" t="s">
        <v>53</v>
      </c>
      <c r="Y17" s="454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61</v>
      </c>
      <c r="V18" s="70" t="s">
        <v>62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73</v>
      </c>
      <c r="Q23" s="280"/>
      <c r="R23" s="280"/>
      <c r="S23" s="280"/>
      <c r="T23" s="280"/>
      <c r="U23" s="280"/>
      <c r="V23" s="281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73</v>
      </c>
      <c r="Q24" s="280"/>
      <c r="R24" s="280"/>
      <c r="S24" s="280"/>
      <c r="T24" s="280"/>
      <c r="U24" s="280"/>
      <c r="V24" s="281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70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73</v>
      </c>
      <c r="Q30" s="280"/>
      <c r="R30" s="280"/>
      <c r="S30" s="280"/>
      <c r="T30" s="280"/>
      <c r="U30" s="280"/>
      <c r="V30" s="281"/>
      <c r="W30" s="37" t="s">
        <v>70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73</v>
      </c>
      <c r="Q31" s="280"/>
      <c r="R31" s="280"/>
      <c r="S31" s="280"/>
      <c r="T31" s="280"/>
      <c r="U31" s="280"/>
      <c r="V31" s="281"/>
      <c r="W31" s="37" t="s">
        <v>74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73</v>
      </c>
      <c r="Q37" s="280"/>
      <c r="R37" s="280"/>
      <c r="S37" s="280"/>
      <c r="T37" s="280"/>
      <c r="U37" s="280"/>
      <c r="V37" s="281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73</v>
      </c>
      <c r="Q38" s="280"/>
      <c r="R38" s="280"/>
      <c r="S38" s="280"/>
      <c r="T38" s="280"/>
      <c r="U38" s="280"/>
      <c r="V38" s="281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2" t="s">
        <v>97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98</v>
      </c>
      <c r="B41" s="54" t="s">
        <v>99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101</v>
      </c>
      <c r="B42" s="54" t="s">
        <v>102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104</v>
      </c>
      <c r="B43" s="54" t="s">
        <v>105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72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70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73</v>
      </c>
      <c r="Q45" s="280"/>
      <c r="R45" s="280"/>
      <c r="S45" s="280"/>
      <c r="T45" s="280"/>
      <c r="U45" s="280"/>
      <c r="V45" s="281"/>
      <c r="W45" s="37" t="s">
        <v>70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73</v>
      </c>
      <c r="Q46" s="280"/>
      <c r="R46" s="280"/>
      <c r="S46" s="280"/>
      <c r="T46" s="280"/>
      <c r="U46" s="280"/>
      <c r="V46" s="281"/>
      <c r="W46" s="37" t="s">
        <v>74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customHeight="1" x14ac:dyDescent="0.25">
      <c r="A47" s="282" t="s">
        <v>108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109</v>
      </c>
      <c r="B49" s="54" t="s">
        <v>110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73</v>
      </c>
      <c r="Q50" s="280"/>
      <c r="R50" s="280"/>
      <c r="S50" s="280"/>
      <c r="T50" s="280"/>
      <c r="U50" s="280"/>
      <c r="V50" s="281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73</v>
      </c>
      <c r="Q51" s="280"/>
      <c r="R51" s="280"/>
      <c r="S51" s="280"/>
      <c r="T51" s="280"/>
      <c r="U51" s="280"/>
      <c r="V51" s="281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112</v>
      </c>
      <c r="B53" s="54" t="s">
        <v>113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73</v>
      </c>
      <c r="Q54" s="280"/>
      <c r="R54" s="280"/>
      <c r="S54" s="280"/>
      <c r="T54" s="280"/>
      <c r="U54" s="280"/>
      <c r="V54" s="281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73</v>
      </c>
      <c r="Q55" s="280"/>
      <c r="R55" s="280"/>
      <c r="S55" s="280"/>
      <c r="T55" s="280"/>
      <c r="U55" s="280"/>
      <c r="V55" s="281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115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116</v>
      </c>
      <c r="B57" s="54" t="s">
        <v>117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119</v>
      </c>
      <c r="B58" s="54" t="s">
        <v>120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73</v>
      </c>
      <c r="Q59" s="280"/>
      <c r="R59" s="280"/>
      <c r="S59" s="280"/>
      <c r="T59" s="280"/>
      <c r="U59" s="280"/>
      <c r="V59" s="281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73</v>
      </c>
      <c r="Q60" s="280"/>
      <c r="R60" s="280"/>
      <c r="S60" s="280"/>
      <c r="T60" s="280"/>
      <c r="U60" s="280"/>
      <c r="V60" s="281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121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122</v>
      </c>
      <c r="B62" s="54" t="s">
        <v>123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124</v>
      </c>
      <c r="B63" s="54" t="s">
        <v>125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127</v>
      </c>
      <c r="B64" s="54" t="s">
        <v>128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73</v>
      </c>
      <c r="Q65" s="280"/>
      <c r="R65" s="280"/>
      <c r="S65" s="280"/>
      <c r="T65" s="280"/>
      <c r="U65" s="280"/>
      <c r="V65" s="281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73</v>
      </c>
      <c r="Q66" s="280"/>
      <c r="R66" s="280"/>
      <c r="S66" s="280"/>
      <c r="T66" s="280"/>
      <c r="U66" s="280"/>
      <c r="V66" s="281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129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130</v>
      </c>
      <c r="B69" s="54" t="s">
        <v>131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68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72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70</v>
      </c>
      <c r="X70" s="268">
        <v>144</v>
      </c>
      <c r="Y70" s="269">
        <f>IFERROR(IF(X70="","",X70),"")</f>
        <v>144</v>
      </c>
      <c r="Z70" s="36">
        <f>IFERROR(IF(X70="","",X70*0.00866),"")</f>
        <v>1.2470399999999999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750.70079999999996</v>
      </c>
      <c r="BN70" s="67">
        <f>IFERROR(Y70*I70,"0")</f>
        <v>750.70079999999996</v>
      </c>
      <c r="BO70" s="67">
        <f>IFERROR(X70/J70,"0")</f>
        <v>1</v>
      </c>
      <c r="BP70" s="67">
        <f>IFERROR(Y70/J70,"0")</f>
        <v>1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73</v>
      </c>
      <c r="Q71" s="280"/>
      <c r="R71" s="280"/>
      <c r="S71" s="280"/>
      <c r="T71" s="280"/>
      <c r="U71" s="280"/>
      <c r="V71" s="281"/>
      <c r="W71" s="37" t="s">
        <v>70</v>
      </c>
      <c r="X71" s="270">
        <f>IFERROR(SUM(X69:X70),"0")</f>
        <v>144</v>
      </c>
      <c r="Y71" s="270">
        <f>IFERROR(SUM(Y69:Y70),"0")</f>
        <v>144</v>
      </c>
      <c r="Z71" s="270">
        <f>IFERROR(IF(Z69="",0,Z69),"0")+IFERROR(IF(Z70="",0,Z70),"0")</f>
        <v>1.2470399999999999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73</v>
      </c>
      <c r="Q72" s="280"/>
      <c r="R72" s="280"/>
      <c r="S72" s="280"/>
      <c r="T72" s="280"/>
      <c r="U72" s="280"/>
      <c r="V72" s="281"/>
      <c r="W72" s="37" t="s">
        <v>74</v>
      </c>
      <c r="X72" s="270">
        <f>IFERROR(SUMPRODUCT(X69:X70*H69:H70),"0")</f>
        <v>720</v>
      </c>
      <c r="Y72" s="270">
        <f>IFERROR(SUMPRODUCT(Y69:Y70*H69:H70),"0")</f>
        <v>720</v>
      </c>
      <c r="Z72" s="37"/>
      <c r="AA72" s="271"/>
      <c r="AB72" s="271"/>
      <c r="AC72" s="271"/>
    </row>
    <row r="73" spans="1:68" ht="16.5" customHeight="1" x14ac:dyDescent="0.25">
      <c r="A73" s="282" t="s">
        <v>136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137</v>
      </c>
      <c r="B75" s="54" t="s">
        <v>138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73</v>
      </c>
      <c r="Q76" s="280"/>
      <c r="R76" s="280"/>
      <c r="S76" s="280"/>
      <c r="T76" s="280"/>
      <c r="U76" s="280"/>
      <c r="V76" s="281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73</v>
      </c>
      <c r="Q77" s="280"/>
      <c r="R77" s="280"/>
      <c r="S77" s="280"/>
      <c r="T77" s="280"/>
      <c r="U77" s="280"/>
      <c r="V77" s="281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2" t="s">
        <v>140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141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70</v>
      </c>
      <c r="X81" s="268">
        <v>14</v>
      </c>
      <c r="Y81" s="269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73</v>
      </c>
      <c r="Q82" s="280"/>
      <c r="R82" s="280"/>
      <c r="S82" s="280"/>
      <c r="T82" s="280"/>
      <c r="U82" s="280"/>
      <c r="V82" s="281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73</v>
      </c>
      <c r="Q83" s="280"/>
      <c r="R83" s="280"/>
      <c r="S83" s="280"/>
      <c r="T83" s="280"/>
      <c r="U83" s="280"/>
      <c r="V83" s="281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customHeight="1" x14ac:dyDescent="0.25">
      <c r="A84" s="282" t="s">
        <v>148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121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70</v>
      </c>
      <c r="X87" s="268">
        <v>28</v>
      </c>
      <c r="Y87" s="269">
        <f t="shared" si="0"/>
        <v>28</v>
      </c>
      <c r="Z87" s="36">
        <f t="shared" si="1"/>
        <v>0.50063999999999997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70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156</v>
      </c>
      <c r="B89" s="54" t="s">
        <v>157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158</v>
      </c>
      <c r="B90" s="54" t="s">
        <v>159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160</v>
      </c>
      <c r="B91" s="54" t="s">
        <v>161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68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72</v>
      </c>
      <c r="AK91" s="71">
        <v>1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73</v>
      </c>
      <c r="Q92" s="280"/>
      <c r="R92" s="280"/>
      <c r="S92" s="280"/>
      <c r="T92" s="280"/>
      <c r="U92" s="280"/>
      <c r="V92" s="281"/>
      <c r="W92" s="37" t="s">
        <v>70</v>
      </c>
      <c r="X92" s="270">
        <f>IFERROR(SUM(X86:X91),"0")</f>
        <v>56</v>
      </c>
      <c r="Y92" s="270">
        <f>IFERROR(SUM(Y86:Y91),"0")</f>
        <v>56</v>
      </c>
      <c r="Z92" s="270">
        <f>IFERROR(IF(Z86="",0,Z86),"0")+IFERROR(IF(Z87="",0,Z87),"0")+IFERROR(IF(Z88="",0,Z88),"0")+IFERROR(IF(Z89="",0,Z89),"0")+IFERROR(IF(Z90="",0,Z90),"0")+IFERROR(IF(Z91="",0,Z91),"0")</f>
        <v>1.0012799999999999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73</v>
      </c>
      <c r="Q93" s="280"/>
      <c r="R93" s="280"/>
      <c r="S93" s="280"/>
      <c r="T93" s="280"/>
      <c r="U93" s="280"/>
      <c r="V93" s="281"/>
      <c r="W93" s="37" t="s">
        <v>74</v>
      </c>
      <c r="X93" s="270">
        <f>IFERROR(SUMPRODUCT(X86:X91*H86:H91),"0")</f>
        <v>161.28</v>
      </c>
      <c r="Y93" s="270">
        <f>IFERROR(SUMPRODUCT(Y86:Y91*H86:H91),"0")</f>
        <v>161.28</v>
      </c>
      <c r="Z93" s="37"/>
      <c r="AA93" s="271"/>
      <c r="AB93" s="271"/>
      <c r="AC93" s="271"/>
    </row>
    <row r="94" spans="1:68" ht="16.5" customHeight="1" x14ac:dyDescent="0.25">
      <c r="A94" s="282" t="s">
        <v>163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115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164</v>
      </c>
      <c r="B96" s="54" t="s">
        <v>165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167</v>
      </c>
      <c r="B97" s="54" t="s">
        <v>168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73</v>
      </c>
      <c r="Q98" s="280"/>
      <c r="R98" s="280"/>
      <c r="S98" s="280"/>
      <c r="T98" s="280"/>
      <c r="U98" s="280"/>
      <c r="V98" s="281"/>
      <c r="W98" s="37" t="s">
        <v>70</v>
      </c>
      <c r="X98" s="270">
        <f>IFERROR(SUM(X96:X97),"0")</f>
        <v>28</v>
      </c>
      <c r="Y98" s="270">
        <f>IFERROR(SUM(Y96:Y97),"0")</f>
        <v>28</v>
      </c>
      <c r="Z98" s="270">
        <f>IFERROR(IF(Z96="",0,Z96),"0")+IFERROR(IF(Z97="",0,Z97),"0")</f>
        <v>0.50063999999999997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73</v>
      </c>
      <c r="Q99" s="280"/>
      <c r="R99" s="280"/>
      <c r="S99" s="280"/>
      <c r="T99" s="280"/>
      <c r="U99" s="280"/>
      <c r="V99" s="281"/>
      <c r="W99" s="37" t="s">
        <v>74</v>
      </c>
      <c r="X99" s="270">
        <f>IFERROR(SUMPRODUCT(X96:X97*H96:H97),"0")</f>
        <v>100.8</v>
      </c>
      <c r="Y99" s="270">
        <f>IFERROR(SUMPRODUCT(Y96:Y97*H96:H97),"0")</f>
        <v>100.8</v>
      </c>
      <c r="Z99" s="37"/>
      <c r="AA99" s="271"/>
      <c r="AB99" s="271"/>
      <c r="AC99" s="271"/>
    </row>
    <row r="100" spans="1:68" ht="16.5" customHeight="1" x14ac:dyDescent="0.25">
      <c r="A100" s="282" t="s">
        <v>169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170</v>
      </c>
      <c r="B102" s="54" t="s">
        <v>171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70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70</v>
      </c>
      <c r="X104" s="268">
        <v>36</v>
      </c>
      <c r="Y104" s="269">
        <f t="shared" si="6"/>
        <v>36</v>
      </c>
      <c r="Z104" s="36">
        <f t="shared" si="7"/>
        <v>0.55800000000000005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262.8</v>
      </c>
      <c r="BN104" s="67">
        <f t="shared" si="9"/>
        <v>262.8</v>
      </c>
      <c r="BO104" s="67">
        <f t="shared" si="10"/>
        <v>0.42857142857142855</v>
      </c>
      <c r="BP104" s="67">
        <f t="shared" si="11"/>
        <v>0.42857142857142855</v>
      </c>
    </row>
    <row r="105" spans="1:68" ht="27" customHeight="1" x14ac:dyDescent="0.25">
      <c r="A105" s="54" t="s">
        <v>177</v>
      </c>
      <c r="B105" s="54" t="s">
        <v>178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70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70</v>
      </c>
      <c r="X107" s="268">
        <v>24</v>
      </c>
      <c r="Y107" s="269">
        <f t="shared" si="6"/>
        <v>24</v>
      </c>
      <c r="Z107" s="36">
        <f t="shared" si="7"/>
        <v>0.372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175.2</v>
      </c>
      <c r="BN107" s="67">
        <f t="shared" si="9"/>
        <v>175.2</v>
      </c>
      <c r="BO107" s="67">
        <f t="shared" si="10"/>
        <v>0.2857142857142857</v>
      </c>
      <c r="BP107" s="67">
        <f t="shared" si="11"/>
        <v>0.2857142857142857</v>
      </c>
    </row>
    <row r="108" spans="1:68" ht="27" customHeight="1" x14ac:dyDescent="0.25">
      <c r="A108" s="54" t="s">
        <v>184</v>
      </c>
      <c r="B108" s="54" t="s">
        <v>185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73</v>
      </c>
      <c r="Q109" s="280"/>
      <c r="R109" s="280"/>
      <c r="S109" s="280"/>
      <c r="T109" s="280"/>
      <c r="U109" s="280"/>
      <c r="V109" s="281"/>
      <c r="W109" s="37" t="s">
        <v>70</v>
      </c>
      <c r="X109" s="270">
        <f>IFERROR(SUM(X102:X108),"0")</f>
        <v>84</v>
      </c>
      <c r="Y109" s="270">
        <f>IFERROR(SUM(Y102:Y108),"0")</f>
        <v>84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1.302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73</v>
      </c>
      <c r="Q110" s="280"/>
      <c r="R110" s="280"/>
      <c r="S110" s="280"/>
      <c r="T110" s="280"/>
      <c r="U110" s="280"/>
      <c r="V110" s="281"/>
      <c r="W110" s="37" t="s">
        <v>74</v>
      </c>
      <c r="X110" s="270">
        <f>IFERROR(SUMPRODUCT(X102:X108*H102:H108),"0")</f>
        <v>573.6</v>
      </c>
      <c r="Y110" s="270">
        <f>IFERROR(SUMPRODUCT(Y102:Y108*H102:H108),"0")</f>
        <v>573.6</v>
      </c>
      <c r="Z110" s="37"/>
      <c r="AA110" s="271"/>
      <c r="AB110" s="271"/>
      <c r="AC110" s="271"/>
    </row>
    <row r="111" spans="1:68" ht="14.25" customHeight="1" x14ac:dyDescent="0.25">
      <c r="A111" s="303" t="s">
        <v>121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187</v>
      </c>
      <c r="B112" s="54" t="s">
        <v>188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73</v>
      </c>
      <c r="Q113" s="280"/>
      <c r="R113" s="280"/>
      <c r="S113" s="280"/>
      <c r="T113" s="280"/>
      <c r="U113" s="280"/>
      <c r="V113" s="281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73</v>
      </c>
      <c r="Q114" s="280"/>
      <c r="R114" s="280"/>
      <c r="S114" s="280"/>
      <c r="T114" s="280"/>
      <c r="U114" s="280"/>
      <c r="V114" s="281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190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191</v>
      </c>
      <c r="B116" s="54" t="s">
        <v>192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73</v>
      </c>
      <c r="Q117" s="280"/>
      <c r="R117" s="280"/>
      <c r="S117" s="280"/>
      <c r="T117" s="280"/>
      <c r="U117" s="280"/>
      <c r="V117" s="281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73</v>
      </c>
      <c r="Q118" s="280"/>
      <c r="R118" s="280"/>
      <c r="S118" s="280"/>
      <c r="T118" s="280"/>
      <c r="U118" s="280"/>
      <c r="V118" s="281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194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121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70</v>
      </c>
      <c r="X121" s="268">
        <v>28</v>
      </c>
      <c r="Y121" s="269">
        <f>IFERROR(IF(X121="","",X121),"")</f>
        <v>28</v>
      </c>
      <c r="Z121" s="36">
        <f>IFERROR(IF(X121="","",X121*0.01788),"")</f>
        <v>0.50063999999999997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103.70079999999999</v>
      </c>
      <c r="BN121" s="67">
        <f>IFERROR(Y121*I121,"0")</f>
        <v>103.70079999999999</v>
      </c>
      <c r="BO121" s="67">
        <f>IFERROR(X121/J121,"0")</f>
        <v>0.4</v>
      </c>
      <c r="BP121" s="67">
        <f>IFERROR(Y121/J121,"0")</f>
        <v>0.4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70</v>
      </c>
      <c r="X122" s="268">
        <v>14</v>
      </c>
      <c r="Y122" s="269">
        <f>IFERROR(IF(X122="","",X122),"")</f>
        <v>14</v>
      </c>
      <c r="Z122" s="36">
        <f>IFERROR(IF(X122="","",X122*0.01788),"")</f>
        <v>0.25031999999999999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51.850399999999993</v>
      </c>
      <c r="BN122" s="67">
        <f>IFERROR(Y122*I122,"0")</f>
        <v>51.850399999999993</v>
      </c>
      <c r="BO122" s="67">
        <f>IFERROR(X122/J122,"0")</f>
        <v>0.2</v>
      </c>
      <c r="BP122" s="67">
        <f>IFERROR(Y122/J122,"0")</f>
        <v>0.2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73</v>
      </c>
      <c r="Q123" s="280"/>
      <c r="R123" s="280"/>
      <c r="S123" s="280"/>
      <c r="T123" s="280"/>
      <c r="U123" s="280"/>
      <c r="V123" s="281"/>
      <c r="W123" s="37" t="s">
        <v>70</v>
      </c>
      <c r="X123" s="270">
        <f>IFERROR(SUM(X121:X122),"0")</f>
        <v>42</v>
      </c>
      <c r="Y123" s="270">
        <f>IFERROR(SUM(Y121:Y122),"0")</f>
        <v>42</v>
      </c>
      <c r="Z123" s="270">
        <f>IFERROR(IF(Z121="",0,Z121),"0")+IFERROR(IF(Z122="",0,Z122),"0")</f>
        <v>0.75095999999999996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73</v>
      </c>
      <c r="Q124" s="280"/>
      <c r="R124" s="280"/>
      <c r="S124" s="280"/>
      <c r="T124" s="280"/>
      <c r="U124" s="280"/>
      <c r="V124" s="281"/>
      <c r="W124" s="37" t="s">
        <v>74</v>
      </c>
      <c r="X124" s="270">
        <f>IFERROR(SUMPRODUCT(X121:X122*H121:H122),"0")</f>
        <v>126</v>
      </c>
      <c r="Y124" s="270">
        <f>IFERROR(SUMPRODUCT(Y121:Y122*H121:H122),"0")</f>
        <v>126</v>
      </c>
      <c r="Z124" s="37"/>
      <c r="AA124" s="271"/>
      <c r="AB124" s="271"/>
      <c r="AC124" s="271"/>
    </row>
    <row r="125" spans="1:68" ht="16.5" customHeight="1" x14ac:dyDescent="0.25">
      <c r="A125" s="282" t="s">
        <v>202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121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203</v>
      </c>
      <c r="B127" s="54" t="s">
        <v>204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51.850399999999993</v>
      </c>
      <c r="BN128" s="67">
        <f>IFERROR(Y128*I128,"0")</f>
        <v>51.850399999999993</v>
      </c>
      <c r="BO128" s="67">
        <f>IFERROR(X128/J128,"0")</f>
        <v>0.2</v>
      </c>
      <c r="BP128" s="67">
        <f>IFERROR(Y128/J128,"0")</f>
        <v>0.2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73</v>
      </c>
      <c r="Q129" s="280"/>
      <c r="R129" s="280"/>
      <c r="S129" s="280"/>
      <c r="T129" s="280"/>
      <c r="U129" s="280"/>
      <c r="V129" s="281"/>
      <c r="W129" s="37" t="s">
        <v>70</v>
      </c>
      <c r="X129" s="270">
        <f>IFERROR(SUM(X127:X128),"0")</f>
        <v>14</v>
      </c>
      <c r="Y129" s="270">
        <f>IFERROR(SUM(Y127:Y128),"0")</f>
        <v>14</v>
      </c>
      <c r="Z129" s="270">
        <f>IFERROR(IF(Z127="",0,Z127),"0")+IFERROR(IF(Z128="",0,Z128),"0")</f>
        <v>0.25031999999999999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73</v>
      </c>
      <c r="Q130" s="280"/>
      <c r="R130" s="280"/>
      <c r="S130" s="280"/>
      <c r="T130" s="280"/>
      <c r="U130" s="280"/>
      <c r="V130" s="281"/>
      <c r="W130" s="37" t="s">
        <v>74</v>
      </c>
      <c r="X130" s="270">
        <f>IFERROR(SUMPRODUCT(X127:X128*H127:H128),"0")</f>
        <v>42</v>
      </c>
      <c r="Y130" s="270">
        <f>IFERROR(SUMPRODUCT(Y127:Y128*H127:H128),"0")</f>
        <v>42</v>
      </c>
      <c r="Z130" s="37"/>
      <c r="AA130" s="271"/>
      <c r="AB130" s="271"/>
      <c r="AC130" s="271"/>
    </row>
    <row r="131" spans="1:68" ht="16.5" customHeight="1" x14ac:dyDescent="0.25">
      <c r="A131" s="282" t="s">
        <v>209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121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197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73</v>
      </c>
      <c r="Q135" s="280"/>
      <c r="R135" s="280"/>
      <c r="S135" s="280"/>
      <c r="T135" s="280"/>
      <c r="U135" s="280"/>
      <c r="V135" s="281"/>
      <c r="W135" s="37" t="s">
        <v>70</v>
      </c>
      <c r="X135" s="270">
        <f>IFERROR(SUM(X133:X134),"0")</f>
        <v>28</v>
      </c>
      <c r="Y135" s="270">
        <f>IFERROR(SUM(Y133:Y134),"0")</f>
        <v>28</v>
      </c>
      <c r="Z135" s="270">
        <f>IFERROR(IF(Z133="",0,Z133),"0")+IFERROR(IF(Z134="",0,Z134),"0")</f>
        <v>0.50063999999999997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73</v>
      </c>
      <c r="Q136" s="280"/>
      <c r="R136" s="280"/>
      <c r="S136" s="280"/>
      <c r="T136" s="280"/>
      <c r="U136" s="280"/>
      <c r="V136" s="281"/>
      <c r="W136" s="37" t="s">
        <v>74</v>
      </c>
      <c r="X136" s="270">
        <f>IFERROR(SUMPRODUCT(X133:X134*H133:H134),"0")</f>
        <v>67.2</v>
      </c>
      <c r="Y136" s="270">
        <f>IFERROR(SUMPRODUCT(Y133:Y134*H133:H134),"0")</f>
        <v>67.2</v>
      </c>
      <c r="Z136" s="37"/>
      <c r="AA136" s="271"/>
      <c r="AB136" s="271"/>
      <c r="AC136" s="271"/>
    </row>
    <row r="137" spans="1:68" ht="16.5" customHeight="1" x14ac:dyDescent="0.25">
      <c r="A137" s="282" t="s">
        <v>214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73</v>
      </c>
      <c r="Q140" s="280"/>
      <c r="R140" s="280"/>
      <c r="S140" s="280"/>
      <c r="T140" s="280"/>
      <c r="U140" s="280"/>
      <c r="V140" s="281"/>
      <c r="W140" s="37" t="s">
        <v>70</v>
      </c>
      <c r="X140" s="270">
        <f>IFERROR(SUM(X139:X139),"0")</f>
        <v>14</v>
      </c>
      <c r="Y140" s="270">
        <f>IFERROR(SUM(Y139:Y139),"0")</f>
        <v>14</v>
      </c>
      <c r="Z140" s="270">
        <f>IFERROR(IF(Z139="",0,Z139),"0")</f>
        <v>0.25031999999999999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73</v>
      </c>
      <c r="Q141" s="280"/>
      <c r="R141" s="280"/>
      <c r="S141" s="280"/>
      <c r="T141" s="280"/>
      <c r="U141" s="280"/>
      <c r="V141" s="281"/>
      <c r="W141" s="37" t="s">
        <v>74</v>
      </c>
      <c r="X141" s="270">
        <f>IFERROR(SUMPRODUCT(X139:X139*H139:H139),"0")</f>
        <v>42</v>
      </c>
      <c r="Y141" s="270">
        <f>IFERROR(SUMPRODUCT(Y139:Y139*H139:H139),"0")</f>
        <v>42</v>
      </c>
      <c r="Z141" s="37"/>
      <c r="AA141" s="271"/>
      <c r="AB141" s="271"/>
      <c r="AC141" s="271"/>
    </row>
    <row r="142" spans="1:68" ht="16.5" customHeight="1" x14ac:dyDescent="0.25">
      <c r="A142" s="282" t="s">
        <v>218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219</v>
      </c>
      <c r="B144" s="54" t="s">
        <v>220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68</v>
      </c>
      <c r="M144" s="33" t="s">
        <v>69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72</v>
      </c>
      <c r="AK144" s="71">
        <v>1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73</v>
      </c>
      <c r="Q145" s="280"/>
      <c r="R145" s="280"/>
      <c r="S145" s="280"/>
      <c r="T145" s="280"/>
      <c r="U145" s="280"/>
      <c r="V145" s="281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73</v>
      </c>
      <c r="Q146" s="280"/>
      <c r="R146" s="280"/>
      <c r="S146" s="280"/>
      <c r="T146" s="280"/>
      <c r="U146" s="280"/>
      <c r="V146" s="281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221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190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222</v>
      </c>
      <c r="B149" s="54" t="s">
        <v>223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73</v>
      </c>
      <c r="Q150" s="280"/>
      <c r="R150" s="280"/>
      <c r="S150" s="280"/>
      <c r="T150" s="280"/>
      <c r="U150" s="280"/>
      <c r="V150" s="281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73</v>
      </c>
      <c r="Q151" s="280"/>
      <c r="R151" s="280"/>
      <c r="S151" s="280"/>
      <c r="T151" s="280"/>
      <c r="U151" s="280"/>
      <c r="V151" s="281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121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70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73</v>
      </c>
      <c r="Q155" s="280"/>
      <c r="R155" s="280"/>
      <c r="S155" s="280"/>
      <c r="T155" s="280"/>
      <c r="U155" s="280"/>
      <c r="V155" s="281"/>
      <c r="W155" s="37" t="s">
        <v>70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73</v>
      </c>
      <c r="Q156" s="280"/>
      <c r="R156" s="280"/>
      <c r="S156" s="280"/>
      <c r="T156" s="280"/>
      <c r="U156" s="280"/>
      <c r="V156" s="281"/>
      <c r="W156" s="37" t="s">
        <v>74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customHeight="1" x14ac:dyDescent="0.2">
      <c r="A157" s="320" t="s">
        <v>230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232</v>
      </c>
      <c r="B160" s="54" t="s">
        <v>233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70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73</v>
      </c>
      <c r="Q162" s="280"/>
      <c r="R162" s="280"/>
      <c r="S162" s="280"/>
      <c r="T162" s="280"/>
      <c r="U162" s="280"/>
      <c r="V162" s="281"/>
      <c r="W162" s="37" t="s">
        <v>70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73</v>
      </c>
      <c r="Q163" s="280"/>
      <c r="R163" s="280"/>
      <c r="S163" s="280"/>
      <c r="T163" s="280"/>
      <c r="U163" s="280"/>
      <c r="V163" s="281"/>
      <c r="W163" s="37" t="s">
        <v>74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customHeight="1" x14ac:dyDescent="0.2">
      <c r="A164" s="320" t="s">
        <v>238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239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77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70</v>
      </c>
      <c r="X167" s="268">
        <v>28</v>
      </c>
      <c r="Y167" s="269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70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246</v>
      </c>
      <c r="B169" s="54" t="s">
        <v>247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73</v>
      </c>
      <c r="Q170" s="280"/>
      <c r="R170" s="280"/>
      <c r="S170" s="280"/>
      <c r="T170" s="280"/>
      <c r="U170" s="280"/>
      <c r="V170" s="281"/>
      <c r="W170" s="37" t="s">
        <v>70</v>
      </c>
      <c r="X170" s="270">
        <f>IFERROR(SUM(X167:X169),"0")</f>
        <v>42</v>
      </c>
      <c r="Y170" s="270">
        <f>IFERROR(SUM(Y167:Y169),"0")</f>
        <v>42</v>
      </c>
      <c r="Z170" s="270">
        <f>IFERROR(IF(Z167="",0,Z167),"0")+IFERROR(IF(Z168="",0,Z168),"0")+IFERROR(IF(Z169="",0,Z169),"0")</f>
        <v>0.75095999999999996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73</v>
      </c>
      <c r="Q171" s="280"/>
      <c r="R171" s="280"/>
      <c r="S171" s="280"/>
      <c r="T171" s="280"/>
      <c r="U171" s="280"/>
      <c r="V171" s="281"/>
      <c r="W171" s="37" t="s">
        <v>74</v>
      </c>
      <c r="X171" s="270">
        <f>IFERROR(SUMPRODUCT(X167:X169*H167:H169),"0")</f>
        <v>126</v>
      </c>
      <c r="Y171" s="270">
        <f>IFERROR(SUMPRODUCT(Y167:Y169*H167:H169),"0")</f>
        <v>126</v>
      </c>
      <c r="Z171" s="37"/>
      <c r="AA171" s="271"/>
      <c r="AB171" s="271"/>
      <c r="AC171" s="271"/>
    </row>
    <row r="172" spans="1:68" ht="14.25" customHeight="1" x14ac:dyDescent="0.25">
      <c r="A172" s="303" t="s">
        <v>249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250</v>
      </c>
      <c r="B173" s="54" t="s">
        <v>251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9" t="s">
        <v>254</v>
      </c>
      <c r="Q173" s="273"/>
      <c r="R173" s="273"/>
      <c r="S173" s="273"/>
      <c r="T173" s="274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73</v>
      </c>
      <c r="Q174" s="280"/>
      <c r="R174" s="280"/>
      <c r="S174" s="280"/>
      <c r="T174" s="280"/>
      <c r="U174" s="280"/>
      <c r="V174" s="281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73</v>
      </c>
      <c r="Q175" s="280"/>
      <c r="R175" s="280"/>
      <c r="S175" s="280"/>
      <c r="T175" s="280"/>
      <c r="U175" s="280"/>
      <c r="V175" s="281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257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258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77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259</v>
      </c>
      <c r="B179" s="54" t="s">
        <v>260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73</v>
      </c>
      <c r="Q180" s="280"/>
      <c r="R180" s="280"/>
      <c r="S180" s="280"/>
      <c r="T180" s="280"/>
      <c r="U180" s="280"/>
      <c r="V180" s="281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73</v>
      </c>
      <c r="Q181" s="280"/>
      <c r="R181" s="280"/>
      <c r="S181" s="280"/>
      <c r="T181" s="280"/>
      <c r="U181" s="280"/>
      <c r="V181" s="281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121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262</v>
      </c>
      <c r="B183" s="54" t="s">
        <v>263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68</v>
      </c>
      <c r="M183" s="33" t="s">
        <v>69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72</v>
      </c>
      <c r="AK183" s="71">
        <v>1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265</v>
      </c>
      <c r="B184" s="54" t="s">
        <v>266</v>
      </c>
      <c r="C184" s="31">
        <v>4301135696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73"/>
      <c r="R184" s="273"/>
      <c r="S184" s="273"/>
      <c r="T184" s="274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73</v>
      </c>
      <c r="Q187" s="280"/>
      <c r="R187" s="280"/>
      <c r="S187" s="280"/>
      <c r="T187" s="280"/>
      <c r="U187" s="280"/>
      <c r="V187" s="281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73</v>
      </c>
      <c r="Q188" s="280"/>
      <c r="R188" s="280"/>
      <c r="S188" s="280"/>
      <c r="T188" s="280"/>
      <c r="U188" s="280"/>
      <c r="V188" s="281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64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73</v>
      </c>
      <c r="Q196" s="280"/>
      <c r="R196" s="280"/>
      <c r="S196" s="280"/>
      <c r="T196" s="280"/>
      <c r="U196" s="280"/>
      <c r="V196" s="281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73</v>
      </c>
      <c r="Q197" s="280"/>
      <c r="R197" s="280"/>
      <c r="S197" s="280"/>
      <c r="T197" s="280"/>
      <c r="U197" s="280"/>
      <c r="V197" s="281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50" t="s">
        <v>288</v>
      </c>
      <c r="Q200" s="273"/>
      <c r="R200" s="273"/>
      <c r="S200" s="273"/>
      <c r="T200" s="274"/>
      <c r="U200" s="34"/>
      <c r="V200" s="34"/>
      <c r="W200" s="35" t="s">
        <v>70</v>
      </c>
      <c r="X200" s="268">
        <v>84</v>
      </c>
      <c r="Y200" s="269">
        <f>IFERROR(IF(X200="","",X200),"")</f>
        <v>84</v>
      </c>
      <c r="Z200" s="36">
        <f>IFERROR(IF(X200="","",X200*0.0155),"")</f>
        <v>1.302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439.32000000000005</v>
      </c>
      <c r="BN200" s="67">
        <f>IFERROR(Y200*I200,"0")</f>
        <v>439.32000000000005</v>
      </c>
      <c r="BO200" s="67">
        <f>IFERROR(X200/J200,"0")</f>
        <v>1</v>
      </c>
      <c r="BP200" s="67">
        <f>IFERROR(Y200/J200,"0")</f>
        <v>1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73</v>
      </c>
      <c r="Q201" s="280"/>
      <c r="R201" s="280"/>
      <c r="S201" s="280"/>
      <c r="T201" s="280"/>
      <c r="U201" s="280"/>
      <c r="V201" s="281"/>
      <c r="W201" s="37" t="s">
        <v>70</v>
      </c>
      <c r="X201" s="270">
        <f>IFERROR(SUM(X200:X200),"0")</f>
        <v>84</v>
      </c>
      <c r="Y201" s="270">
        <f>IFERROR(SUM(Y200:Y200),"0")</f>
        <v>84</v>
      </c>
      <c r="Z201" s="270">
        <f>IFERROR(IF(Z200="",0,Z200),"0")</f>
        <v>1.302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73</v>
      </c>
      <c r="Q202" s="280"/>
      <c r="R202" s="280"/>
      <c r="S202" s="280"/>
      <c r="T202" s="280"/>
      <c r="U202" s="280"/>
      <c r="V202" s="281"/>
      <c r="W202" s="37" t="s">
        <v>74</v>
      </c>
      <c r="X202" s="270">
        <f>IFERROR(SUMPRODUCT(X200:X200*H200:H200),"0")</f>
        <v>420</v>
      </c>
      <c r="Y202" s="270">
        <f>IFERROR(SUMPRODUCT(Y200:Y200*H200:H200),"0")</f>
        <v>420</v>
      </c>
      <c r="Z202" s="37"/>
      <c r="AA202" s="271"/>
      <c r="AB202" s="271"/>
      <c r="AC202" s="271"/>
    </row>
    <row r="203" spans="1:68" ht="16.5" customHeight="1" x14ac:dyDescent="0.25">
      <c r="A203" s="282" t="s">
        <v>290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73</v>
      </c>
      <c r="Q206" s="280"/>
      <c r="R206" s="280"/>
      <c r="S206" s="280"/>
      <c r="T206" s="280"/>
      <c r="U206" s="280"/>
      <c r="V206" s="281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73</v>
      </c>
      <c r="Q207" s="280"/>
      <c r="R207" s="280"/>
      <c r="S207" s="280"/>
      <c r="T207" s="280"/>
      <c r="U207" s="280"/>
      <c r="V207" s="281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73</v>
      </c>
      <c r="Q212" s="280"/>
      <c r="R212" s="280"/>
      <c r="S212" s="280"/>
      <c r="T212" s="280"/>
      <c r="U212" s="280"/>
      <c r="V212" s="281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73</v>
      </c>
      <c r="Q213" s="280"/>
      <c r="R213" s="280"/>
      <c r="S213" s="280"/>
      <c r="T213" s="280"/>
      <c r="U213" s="280"/>
      <c r="V213" s="281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301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73</v>
      </c>
      <c r="Q218" s="280"/>
      <c r="R218" s="280"/>
      <c r="S218" s="280"/>
      <c r="T218" s="280"/>
      <c r="U218" s="280"/>
      <c r="V218" s="281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73</v>
      </c>
      <c r="Q219" s="280"/>
      <c r="R219" s="280"/>
      <c r="S219" s="280"/>
      <c r="T219" s="280"/>
      <c r="U219" s="280"/>
      <c r="V219" s="281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308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73</v>
      </c>
      <c r="Q224" s="280"/>
      <c r="R224" s="280"/>
      <c r="S224" s="280"/>
      <c r="T224" s="280"/>
      <c r="U224" s="280"/>
      <c r="V224" s="281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73</v>
      </c>
      <c r="Q225" s="280"/>
      <c r="R225" s="280"/>
      <c r="S225" s="280"/>
      <c r="T225" s="280"/>
      <c r="U225" s="280"/>
      <c r="V225" s="281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73</v>
      </c>
      <c r="Q230" s="280"/>
      <c r="R230" s="280"/>
      <c r="S230" s="280"/>
      <c r="T230" s="280"/>
      <c r="U230" s="280"/>
      <c r="V230" s="281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73</v>
      </c>
      <c r="Q231" s="280"/>
      <c r="R231" s="280"/>
      <c r="S231" s="280"/>
      <c r="T231" s="280"/>
      <c r="U231" s="280"/>
      <c r="V231" s="281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317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318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73</v>
      </c>
      <c r="Q236" s="280"/>
      <c r="R236" s="280"/>
      <c r="S236" s="280"/>
      <c r="T236" s="280"/>
      <c r="U236" s="280"/>
      <c r="V236" s="281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73</v>
      </c>
      <c r="Q237" s="280"/>
      <c r="R237" s="280"/>
      <c r="S237" s="280"/>
      <c r="T237" s="280"/>
      <c r="U237" s="280"/>
      <c r="V237" s="281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121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73</v>
      </c>
      <c r="Q240" s="280"/>
      <c r="R240" s="280"/>
      <c r="S240" s="280"/>
      <c r="T240" s="280"/>
      <c r="U240" s="280"/>
      <c r="V240" s="281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73</v>
      </c>
      <c r="Q241" s="280"/>
      <c r="R241" s="280"/>
      <c r="S241" s="280"/>
      <c r="T241" s="280"/>
      <c r="U241" s="280"/>
      <c r="V241" s="281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324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81</v>
      </c>
      <c r="M246" s="33" t="s">
        <v>69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83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81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83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73</v>
      </c>
      <c r="Q248" s="280"/>
      <c r="R248" s="280"/>
      <c r="S248" s="280"/>
      <c r="T248" s="280"/>
      <c r="U248" s="280"/>
      <c r="V248" s="281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73</v>
      </c>
      <c r="Q249" s="280"/>
      <c r="R249" s="280"/>
      <c r="S249" s="280"/>
      <c r="T249" s="280"/>
      <c r="U249" s="280"/>
      <c r="V249" s="281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73</v>
      </c>
      <c r="Q253" s="280"/>
      <c r="R253" s="280"/>
      <c r="S253" s="280"/>
      <c r="T253" s="280"/>
      <c r="U253" s="280"/>
      <c r="V253" s="281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73</v>
      </c>
      <c r="Q254" s="280"/>
      <c r="R254" s="280"/>
      <c r="S254" s="280"/>
      <c r="T254" s="280"/>
      <c r="U254" s="280"/>
      <c r="V254" s="281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3" t="s">
        <v>115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70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73</v>
      </c>
      <c r="Q259" s="280"/>
      <c r="R259" s="280"/>
      <c r="S259" s="280"/>
      <c r="T259" s="280"/>
      <c r="U259" s="280"/>
      <c r="V259" s="281"/>
      <c r="W259" s="37" t="s">
        <v>70</v>
      </c>
      <c r="X259" s="270">
        <f>IFERROR(SUM(X256:X258),"0")</f>
        <v>60</v>
      </c>
      <c r="Y259" s="270">
        <f>IFERROR(SUM(Y256:Y258),"0")</f>
        <v>60</v>
      </c>
      <c r="Z259" s="270">
        <f>IFERROR(IF(Z256="",0,Z256),"0")+IFERROR(IF(Z257="",0,Z257),"0")+IFERROR(IF(Z258="",0,Z258),"0")</f>
        <v>0.92999999999999994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73</v>
      </c>
      <c r="Q260" s="280"/>
      <c r="R260" s="280"/>
      <c r="S260" s="280"/>
      <c r="T260" s="280"/>
      <c r="U260" s="280"/>
      <c r="V260" s="281"/>
      <c r="W260" s="37" t="s">
        <v>74</v>
      </c>
      <c r="X260" s="270">
        <f>IFERROR(SUMPRODUCT(X256:X258*H256:H258),"0")</f>
        <v>300</v>
      </c>
      <c r="Y260" s="270">
        <f>IFERROR(SUMPRODUCT(Y256:Y258*H256:H258),"0")</f>
        <v>300</v>
      </c>
      <c r="Z260" s="37"/>
      <c r="AA260" s="271"/>
      <c r="AB260" s="271"/>
      <c r="AC260" s="271"/>
    </row>
    <row r="261" spans="1:68" ht="14.25" customHeight="1" x14ac:dyDescent="0.25">
      <c r="A261" s="303" t="s">
        <v>121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70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70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72</v>
      </c>
      <c r="AK265" s="71">
        <v>1</v>
      </c>
      <c r="BB265" s="247" t="s">
        <v>84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68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72</v>
      </c>
      <c r="AK266" s="71">
        <v>1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73</v>
      </c>
      <c r="Q272" s="280"/>
      <c r="R272" s="280"/>
      <c r="S272" s="280"/>
      <c r="T272" s="280"/>
      <c r="U272" s="280"/>
      <c r="V272" s="281"/>
      <c r="W272" s="37" t="s">
        <v>70</v>
      </c>
      <c r="X272" s="270">
        <f>IFERROR(SUM(X262:X271),"0")</f>
        <v>42</v>
      </c>
      <c r="Y272" s="270">
        <f>IFERROR(SUM(Y262:Y271),"0")</f>
        <v>42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0.39311999999999997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73</v>
      </c>
      <c r="Q273" s="280"/>
      <c r="R273" s="280"/>
      <c r="S273" s="280"/>
      <c r="T273" s="280"/>
      <c r="U273" s="280"/>
      <c r="V273" s="281"/>
      <c r="W273" s="37" t="s">
        <v>74</v>
      </c>
      <c r="X273" s="270">
        <f>IFERROR(SUMPRODUCT(X262:X271*H262:H271),"0")</f>
        <v>135.80000000000001</v>
      </c>
      <c r="Y273" s="270">
        <f>IFERROR(SUMPRODUCT(Y262:Y271*H262:H271),"0")</f>
        <v>135.80000000000001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367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3473.6000000000004</v>
      </c>
      <c r="Y274" s="270">
        <f>IFERROR(Y24+Y31+Y38+Y46+Y51+Y55+Y60+Y66+Y72+Y77+Y83+Y93+Y99+Y110+Y114+Y118+Y124+Y130+Y136+Y141+Y146+Y151+Y156+Y163+Y171+Y175+Y181+Y188+Y197+Y202+Y207+Y213+Y219+Y225+Y231+Y237+Y241+Y249+Y254+Y260+Y273,"0")</f>
        <v>3473.6000000000004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368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3748.0047999999997</v>
      </c>
      <c r="Y275" s="270">
        <f>IFERROR(SUM(BN22:BN271),"0")</f>
        <v>3748.0047999999997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9</v>
      </c>
      <c r="Y276" s="38">
        <f>ROUNDUP(SUM(BP22:BP271),0)</f>
        <v>9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371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3973.0047999999997</v>
      </c>
      <c r="Y277" s="270">
        <f>GrossWeightTotalR+PalletQtyTotalR*25</f>
        <v>3973.0047999999997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788</v>
      </c>
      <c r="Y278" s="270">
        <f>IFERROR(Y23+Y30+Y37+Y45+Y50+Y54+Y59+Y65+Y71+Y76+Y82+Y92+Y98+Y109+Y113+Y117+Y123+Y129+Y135+Y140+Y145+Y150+Y155+Y162+Y170+Y174+Y180+Y187+Y196+Y201+Y206+Y212+Y218+Y224+Y230+Y236+Y240+Y248+Y253+Y259+Y272,"0")</f>
        <v>788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10.710439999999998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5" t="s">
        <v>75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230</v>
      </c>
      <c r="V281" s="265" t="s">
        <v>238</v>
      </c>
      <c r="W281" s="275" t="s">
        <v>257</v>
      </c>
      <c r="X281" s="307"/>
      <c r="Y281" s="307"/>
      <c r="Z281" s="307"/>
      <c r="AA281" s="308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99" t="s">
        <v>376</v>
      </c>
      <c r="B282" s="275" t="s">
        <v>63</v>
      </c>
      <c r="C282" s="275" t="s">
        <v>76</v>
      </c>
      <c r="D282" s="275" t="s">
        <v>87</v>
      </c>
      <c r="E282" s="275" t="s">
        <v>97</v>
      </c>
      <c r="F282" s="275" t="s">
        <v>108</v>
      </c>
      <c r="G282" s="275" t="s">
        <v>129</v>
      </c>
      <c r="H282" s="275" t="s">
        <v>136</v>
      </c>
      <c r="I282" s="275" t="s">
        <v>140</v>
      </c>
      <c r="J282" s="275" t="s">
        <v>148</v>
      </c>
      <c r="K282" s="275" t="s">
        <v>163</v>
      </c>
      <c r="L282" s="275" t="s">
        <v>169</v>
      </c>
      <c r="M282" s="275" t="s">
        <v>194</v>
      </c>
      <c r="N282" s="266"/>
      <c r="O282" s="275" t="s">
        <v>202</v>
      </c>
      <c r="P282" s="275" t="s">
        <v>209</v>
      </c>
      <c r="Q282" s="275" t="s">
        <v>214</v>
      </c>
      <c r="R282" s="275" t="s">
        <v>218</v>
      </c>
      <c r="S282" s="275" t="s">
        <v>221</v>
      </c>
      <c r="T282" s="275" t="s">
        <v>226</v>
      </c>
      <c r="U282" s="275" t="s">
        <v>231</v>
      </c>
      <c r="V282" s="275" t="s">
        <v>239</v>
      </c>
      <c r="W282" s="275" t="s">
        <v>258</v>
      </c>
      <c r="X282" s="275" t="s">
        <v>273</v>
      </c>
      <c r="Y282" s="275" t="s">
        <v>285</v>
      </c>
      <c r="Z282" s="275" t="s">
        <v>290</v>
      </c>
      <c r="AA282" s="275" t="s">
        <v>301</v>
      </c>
      <c r="AB282" s="275" t="s">
        <v>308</v>
      </c>
      <c r="AC282" s="275" t="s">
        <v>313</v>
      </c>
      <c r="AD282" s="275" t="s">
        <v>317</v>
      </c>
      <c r="AE282" s="275" t="s">
        <v>324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720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161.28</v>
      </c>
      <c r="K284" s="46">
        <f>IFERROR(X96*H96,"0")+IFERROR(X97*H97,"0")</f>
        <v>100.8</v>
      </c>
      <c r="L284" s="46">
        <f>IFERROR(X102*H102,"0")+IFERROR(X103*H103,"0")+IFERROR(X104*H104,"0")+IFERROR(X105*H105,"0")+IFERROR(X106*H106,"0")+IFERROR(X107*H107,"0")+IFERROR(X108*H108,"0")+IFERROR(X112*H112,"0")+IFERROR(X116*H116,"0")</f>
        <v>573.6</v>
      </c>
      <c r="M284" s="46">
        <f>IFERROR(X121*H121,"0")+IFERROR(X122*H122,"0")</f>
        <v>126</v>
      </c>
      <c r="N284" s="266"/>
      <c r="O284" s="46">
        <f>IFERROR(X127*H127,"0")+IFERROR(X128*H128,"0")</f>
        <v>42</v>
      </c>
      <c r="P284" s="46">
        <f>IFERROR(X133*H133,"0")+IFERROR(X134*H134,"0")</f>
        <v>67.2</v>
      </c>
      <c r="Q284" s="46">
        <f>IFERROR(X139*H139,"0")</f>
        <v>42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480</v>
      </c>
      <c r="V284" s="46">
        <f>IFERROR(X167*H167,"0")+IFERROR(X168*H168,"0")+IFERROR(X169*H169,"0")+IFERROR(X173*H173,"0")</f>
        <v>126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420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435.8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2277.6</v>
      </c>
      <c r="B287" s="60">
        <f>SUMPRODUCT(--(BB:BB="ПГП"),--(W:W="кор"),H:H,Y:Y)+SUMPRODUCT(--(BB:BB="ПГП"),--(W:W="кг"),Y:Y)</f>
        <v>1196</v>
      </c>
      <c r="C287" s="60">
        <f>SUMPRODUCT(--(BB:BB="КИЗ"),--(W:W="кор"),H:H,Y:Y)+SUMPRODUCT(--(BB:BB="КИЗ"),--(W:W="кг"),Y:Y)</f>
        <v>0</v>
      </c>
    </row>
  </sheetData>
  <sheetProtection algorithmName="SHA-512" hashValue="qOlvbYQME/5Xg5AdRVeL4PzGIskuiSQ0cgKj0EDLcmcYz73gbSaO6Ki/yolyNjuthDjzCx6FQfRRLQ2aFndA8A==" saltValue="RtcIg598fgg5LoCEPNvxS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2 X116 X127 X133:X134 X144 X149 X160 X173 X183:X186 X191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21 X128 X139 X154 X161 X167:X169 X179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KJuDOd6895C4h1FGHmyhg3tt0iqHOger001vXfQWOhomGdMd0cJyZbYq53B/dfLH5BmI1sqk2uN9JXAT6TkHnA==" saltValue="2FsrURQP7xqBGUm9kSCY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