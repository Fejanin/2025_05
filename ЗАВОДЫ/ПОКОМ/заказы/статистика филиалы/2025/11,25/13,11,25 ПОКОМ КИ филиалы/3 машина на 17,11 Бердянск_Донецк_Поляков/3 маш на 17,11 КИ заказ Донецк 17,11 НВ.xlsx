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D44E2661-DB80-44A5-8944-97E84A6C5E5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N211" i="1"/>
  <c r="BM211" i="1"/>
  <c r="Z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9" i="1"/>
  <c r="Y188" i="1"/>
  <c r="X188" i="1"/>
  <c r="BP187" i="1"/>
  <c r="BO187" i="1"/>
  <c r="BN187" i="1"/>
  <c r="BM187" i="1"/>
  <c r="Z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Y173" i="1" s="1"/>
  <c r="P163" i="1"/>
  <c r="BP162" i="1"/>
  <c r="BO162" i="1"/>
  <c r="BN162" i="1"/>
  <c r="BM162" i="1"/>
  <c r="Z162" i="1"/>
  <c r="Y162" i="1"/>
  <c r="X160" i="1"/>
  <c r="X159" i="1"/>
  <c r="BO158" i="1"/>
  <c r="BM158" i="1"/>
  <c r="Y158" i="1"/>
  <c r="Y160" i="1" s="1"/>
  <c r="P158" i="1"/>
  <c r="X154" i="1"/>
  <c r="X153" i="1"/>
  <c r="BO152" i="1"/>
  <c r="BM152" i="1"/>
  <c r="Y152" i="1"/>
  <c r="Y154" i="1" s="1"/>
  <c r="X150" i="1"/>
  <c r="Y149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Y96" i="1" s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31" i="1" l="1"/>
  <c r="Y493" i="1" s="1"/>
  <c r="Y58" i="1"/>
  <c r="BP73" i="1"/>
  <c r="BN73" i="1"/>
  <c r="Z73" i="1"/>
  <c r="Z76" i="1" s="1"/>
  <c r="BP107" i="1"/>
  <c r="BN107" i="1"/>
  <c r="Z107" i="1"/>
  <c r="BP115" i="1"/>
  <c r="BN115" i="1"/>
  <c r="Z115" i="1"/>
  <c r="Y120" i="1"/>
  <c r="BP119" i="1"/>
  <c r="BN119" i="1"/>
  <c r="Z119" i="1"/>
  <c r="Z120" i="1" s="1"/>
  <c r="G499" i="1"/>
  <c r="Y127" i="1"/>
  <c r="BP124" i="1"/>
  <c r="BN124" i="1"/>
  <c r="Z124" i="1"/>
  <c r="Z126" i="1" s="1"/>
  <c r="BP171" i="1"/>
  <c r="BN171" i="1"/>
  <c r="Z171" i="1"/>
  <c r="BP200" i="1"/>
  <c r="BN200" i="1"/>
  <c r="Z200" i="1"/>
  <c r="BP208" i="1"/>
  <c r="BN208" i="1"/>
  <c r="Z208" i="1"/>
  <c r="BP226" i="1"/>
  <c r="BN226" i="1"/>
  <c r="Z226" i="1"/>
  <c r="Z235" i="1" s="1"/>
  <c r="BP230" i="1"/>
  <c r="BN230" i="1"/>
  <c r="Z230" i="1"/>
  <c r="Y43" i="1"/>
  <c r="Y64" i="1"/>
  <c r="Y69" i="1"/>
  <c r="BP86" i="1"/>
  <c r="BN86" i="1"/>
  <c r="Z86" i="1"/>
  <c r="Z88" i="1" s="1"/>
  <c r="BP94" i="1"/>
  <c r="BN94" i="1"/>
  <c r="Z94" i="1"/>
  <c r="F499" i="1"/>
  <c r="Y104" i="1"/>
  <c r="BP99" i="1"/>
  <c r="BN99" i="1"/>
  <c r="Z99" i="1"/>
  <c r="Y103" i="1"/>
  <c r="Z109" i="1"/>
  <c r="Y117" i="1"/>
  <c r="Y121" i="1"/>
  <c r="BP141" i="1"/>
  <c r="BN141" i="1"/>
  <c r="Z141" i="1"/>
  <c r="Z143" i="1" s="1"/>
  <c r="Y153" i="1"/>
  <c r="BP152" i="1"/>
  <c r="BN152" i="1"/>
  <c r="Z152" i="1"/>
  <c r="Z153" i="1" s="1"/>
  <c r="I499" i="1"/>
  <c r="Y159" i="1"/>
  <c r="BP158" i="1"/>
  <c r="BN158" i="1"/>
  <c r="Z158" i="1"/>
  <c r="Z159" i="1" s="1"/>
  <c r="BP163" i="1"/>
  <c r="BN163" i="1"/>
  <c r="Z163" i="1"/>
  <c r="Z172" i="1" s="1"/>
  <c r="BP167" i="1"/>
  <c r="BN167" i="1"/>
  <c r="Z167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Y204" i="1"/>
  <c r="BP213" i="1"/>
  <c r="BN213" i="1"/>
  <c r="Z213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Y275" i="1"/>
  <c r="Z331" i="1"/>
  <c r="BP329" i="1"/>
  <c r="BN329" i="1"/>
  <c r="Z329" i="1"/>
  <c r="Y331" i="1"/>
  <c r="D499" i="1"/>
  <c r="H9" i="1"/>
  <c r="B499" i="1"/>
  <c r="X490" i="1"/>
  <c r="X491" i="1"/>
  <c r="X493" i="1"/>
  <c r="Y24" i="1"/>
  <c r="Z27" i="1"/>
  <c r="Z31" i="1" s="1"/>
  <c r="BN27" i="1"/>
  <c r="Y490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Y143" i="1"/>
  <c r="BP147" i="1"/>
  <c r="BN147" i="1"/>
  <c r="Z147" i="1"/>
  <c r="Z149" i="1" s="1"/>
  <c r="Y172" i="1"/>
  <c r="BP165" i="1"/>
  <c r="BN165" i="1"/>
  <c r="Z165" i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Y193" i="1"/>
  <c r="BP198" i="1"/>
  <c r="BN198" i="1"/>
  <c r="Z198" i="1"/>
  <c r="BP202" i="1"/>
  <c r="BN202" i="1"/>
  <c r="Z202" i="1"/>
  <c r="BP210" i="1"/>
  <c r="BN210" i="1"/>
  <c r="Z210" i="1"/>
  <c r="Z216" i="1" s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Z318" i="1"/>
  <c r="BP316" i="1"/>
  <c r="BN316" i="1"/>
  <c r="Z316" i="1"/>
  <c r="Y318" i="1"/>
  <c r="BP344" i="1"/>
  <c r="BN344" i="1"/>
  <c r="Z344" i="1"/>
  <c r="Z350" i="1" s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Z305" i="1" s="1"/>
  <c r="BP302" i="1"/>
  <c r="BN302" i="1"/>
  <c r="Z302" i="1"/>
  <c r="BP310" i="1"/>
  <c r="BN310" i="1"/>
  <c r="Z310" i="1"/>
  <c r="Y319" i="1"/>
  <c r="Z325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447" i="1"/>
  <c r="Z432" i="1"/>
  <c r="Z394" i="1"/>
  <c r="Z69" i="1"/>
  <c r="Z494" i="1" s="1"/>
  <c r="Y489" i="1"/>
  <c r="Z312" i="1"/>
  <c r="X492" i="1"/>
  <c r="Z268" i="1"/>
  <c r="Z260" i="1"/>
  <c r="Z251" i="1"/>
  <c r="Z204" i="1"/>
  <c r="Z178" i="1"/>
  <c r="Z103" i="1"/>
</calcChain>
</file>

<file path=xl/sharedStrings.xml><?xml version="1.0" encoding="utf-8"?>
<sst xmlns="http://schemas.openxmlformats.org/spreadsheetml/2006/main" count="2282" uniqueCount="767">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</sst>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81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45978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0.41666666666666669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customHeight="1" x14ac:dyDescent="0.25">
      <c r="A59" s="558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58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customHeight="1" x14ac:dyDescent="0.25">
      <c r="A118" s="558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255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0</v>
      </c>
      <c r="Y173" s="543">
        <f>IFERROR(SUM(Y162:Y171),"0")</f>
        <v>0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8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 t="s">
        <v>186</v>
      </c>
      <c r="M187" s="33" t="s">
        <v>104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106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0</v>
      </c>
      <c r="Y204" s="543">
        <f>IFERROR(Y196/H196,"0")+IFERROR(Y197/H197,"0")+IFERROR(Y198/H198,"0")+IFERROR(Y199/H199,"0")+IFERROR(Y200/H200,"0")+IFERROR(Y201/H201,"0")+IFERROR(Y202/H202,"0")+IFERROR(Y203/H203,"0")</f>
        <v>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0</v>
      </c>
      <c r="Y205" s="543">
        <f>IFERROR(SUM(Y196:Y203),"0")</f>
        <v>0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186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186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186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0</v>
      </c>
      <c r="Y216" s="543">
        <f>IFERROR(Y207/H207,"0")+IFERROR(Y208/H208,"0")+IFERROR(Y209/H209,"0")+IFERROR(Y210/H210,"0")+IFERROR(Y211/H211,"0")+IFERROR(Y212/H212,"0")+IFERROR(Y213/H213,"0")+IFERROR(Y214/H214,"0")+IFERROR(Y215/H215,"0")</f>
        <v>0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0</v>
      </c>
      <c r="Y217" s="543">
        <f>IFERROR(SUM(Y207:Y215),"0")</f>
        <v>0</v>
      </c>
      <c r="Z217" s="37"/>
      <c r="AA217" s="544"/>
      <c r="AB217" s="544"/>
      <c r="AC217" s="544"/>
    </row>
    <row r="218" spans="1:68" ht="14.25" customHeight="1" x14ac:dyDescent="0.25">
      <c r="A218" s="558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 t="s">
        <v>110</v>
      </c>
      <c r="M233" s="33" t="s">
        <v>104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customHeight="1" x14ac:dyDescent="0.25">
      <c r="A237" s="558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8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 t="s">
        <v>103</v>
      </c>
      <c r="M257" s="33" t="s">
        <v>104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106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186</v>
      </c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186</v>
      </c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1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 t="s">
        <v>110</v>
      </c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106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 t="s">
        <v>103</v>
      </c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 t="s">
        <v>106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501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186</v>
      </c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186</v>
      </c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186</v>
      </c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8" t="s">
        <v>538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ref="Y343:Y349" si="31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0</v>
      </c>
      <c r="BN343" s="64">
        <f t="shared" ref="BN343:BN349" si="33">IFERROR(Y343*I343/H343,"0")</f>
        <v>0</v>
      </c>
      <c r="BO343" s="64">
        <f t="shared" ref="BO343:BO349" si="34">IFERROR(1/J343*(X343/H343),"0")</f>
        <v>0</v>
      </c>
      <c r="BP343" s="64">
        <f t="shared" ref="BP343:BP349" si="35">IFERROR(1/J343*(Y343/H343),"0")</f>
        <v>0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500</v>
      </c>
      <c r="Y346" s="542">
        <f t="shared" si="31"/>
        <v>510</v>
      </c>
      <c r="Z346" s="36">
        <f>IFERROR(IF(Y346=0,"",ROUNDUP(Y346/H346,0)*0.02175),"")</f>
        <v>0.73949999999999994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515.66666666666663</v>
      </c>
      <c r="BN346" s="64">
        <f t="shared" si="33"/>
        <v>525.98</v>
      </c>
      <c r="BO346" s="64">
        <f t="shared" si="34"/>
        <v>0.69444444444444442</v>
      </c>
      <c r="BP346" s="64">
        <f t="shared" si="35"/>
        <v>0.70833333333333326</v>
      </c>
    </row>
    <row r="347" spans="1:68" ht="27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33.333333333333336</v>
      </c>
      <c r="Y350" s="543">
        <f>IFERROR(Y343/H343,"0")+IFERROR(Y344/H344,"0")+IFERROR(Y345/H345,"0")+IFERROR(Y346/H346,"0")+IFERROR(Y347/H347,"0")+IFERROR(Y348/H348,"0")+IFERROR(Y349/H349,"0")</f>
        <v>34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0.73949999999999994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500</v>
      </c>
      <c r="Y351" s="543">
        <f>IFERROR(SUM(Y343:Y349),"0")</f>
        <v>510</v>
      </c>
      <c r="Z351" s="37"/>
      <c r="AA351" s="544"/>
      <c r="AB351" s="544"/>
      <c r="AC351" s="544"/>
    </row>
    <row r="352" spans="1:68" ht="14.25" customHeight="1" x14ac:dyDescent="0.25">
      <c r="A352" s="558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800</v>
      </c>
      <c r="Y353" s="542">
        <f>IFERROR(IF(X353="",0,CEILING((X353/$H353),1)*$H353),"")</f>
        <v>810</v>
      </c>
      <c r="Z353" s="36">
        <f>IFERROR(IF(Y353=0,"",ROUNDUP(Y353/H353,0)*0.02175),"")</f>
        <v>1.1744999999999999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825.06666666666672</v>
      </c>
      <c r="BN353" s="64">
        <f>IFERROR(Y353*I353/H353,"0")</f>
        <v>835.38</v>
      </c>
      <c r="BO353" s="64">
        <f>IFERROR(1/J353*(X353/H353),"0")</f>
        <v>1.1111111111111112</v>
      </c>
      <c r="BP353" s="64">
        <f>IFERROR(1/J353*(Y353/H353),"0")</f>
        <v>1.125</v>
      </c>
    </row>
    <row r="354" spans="1:68" ht="16.5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53.333333333333336</v>
      </c>
      <c r="Y355" s="543">
        <f>IFERROR(Y353/H353,"0")+IFERROR(Y354/H354,"0")</f>
        <v>54</v>
      </c>
      <c r="Z355" s="543">
        <f>IFERROR(IF(Z353="",0,Z353),"0")+IFERROR(IF(Z354="",0,Z354),"0")</f>
        <v>1.1744999999999999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800</v>
      </c>
      <c r="Y356" s="543">
        <f>IFERROR(SUM(Y353:Y354),"0")</f>
        <v>810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680</v>
      </c>
      <c r="Y378" s="542">
        <f>IFERROR(IF(X378="",0,CEILING((X378/$H378),1)*$H378),"")</f>
        <v>684</v>
      </c>
      <c r="Z378" s="36">
        <f>IFERROR(IF(Y378=0,"",ROUNDUP(Y378/H378,0)*0.01898),"")</f>
        <v>1.44248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717.32444444444445</v>
      </c>
      <c r="BN378" s="64">
        <f>IFERROR(Y378*I378/H378,"0")</f>
        <v>721.54399999999998</v>
      </c>
      <c r="BO378" s="64">
        <f>IFERROR(1/J378*(X378/H378),"0")</f>
        <v>1.1805555555555556</v>
      </c>
      <c r="BP378" s="64">
        <f>IFERROR(1/J378*(Y378/H378),"0")</f>
        <v>1.1875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186</v>
      </c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75.555555555555557</v>
      </c>
      <c r="Y380" s="543">
        <f>IFERROR(Y378/H378,"0")+IFERROR(Y379/H379,"0")</f>
        <v>76</v>
      </c>
      <c r="Z380" s="543">
        <f>IFERROR(IF(Z378="",0,Z378),"0")+IFERROR(IF(Z379="",0,Z379),"0")</f>
        <v>1.44248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680</v>
      </c>
      <c r="Y381" s="543">
        <f>IFERROR(SUM(Y378:Y379),"0")</f>
        <v>684</v>
      </c>
      <c r="Z381" s="37"/>
      <c r="AA381" s="544"/>
      <c r="AB381" s="544"/>
      <c r="AC381" s="544"/>
    </row>
    <row r="382" spans="1:68" ht="27.75" customHeight="1" x14ac:dyDescent="0.2">
      <c r="A382" s="638" t="s">
        <v>590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8" t="s">
        <v>641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1000</v>
      </c>
      <c r="Y426" s="542">
        <f t="shared" si="42"/>
        <v>1003.2</v>
      </c>
      <c r="Z426" s="36">
        <f t="shared" si="43"/>
        <v>2.2724000000000002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1066.2878787878788</v>
      </c>
      <c r="BN426" s="64">
        <f t="shared" si="45"/>
        <v>1069.7</v>
      </c>
      <c r="BO426" s="64">
        <f t="shared" si="46"/>
        <v>1.821095571095571</v>
      </c>
      <c r="BP426" s="64">
        <f t="shared" si="47"/>
        <v>1.8269230769230771</v>
      </c>
    </row>
    <row r="427" spans="1:68" ht="27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189.39393939393938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190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2.2724000000000002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1000</v>
      </c>
      <c r="Y433" s="543">
        <f>IFERROR(SUM(Y421:Y431),"0")</f>
        <v>1003.2</v>
      </c>
      <c r="Z433" s="37"/>
      <c r="AA433" s="544"/>
      <c r="AB433" s="544"/>
      <c r="AC433" s="544"/>
    </row>
    <row r="434" spans="1:68" ht="14.25" customHeight="1" x14ac:dyDescent="0.25">
      <c r="A434" s="558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701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741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2980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3007.2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742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3124.345656565657</v>
      </c>
      <c r="Y490" s="543">
        <f>IFERROR(SUM(BN22:BN486),"0")</f>
        <v>3152.6040000000003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743</v>
      </c>
      <c r="Q491" s="633"/>
      <c r="R491" s="633"/>
      <c r="S491" s="633"/>
      <c r="T491" s="633"/>
      <c r="U491" s="633"/>
      <c r="V491" s="634"/>
      <c r="W491" s="37" t="s">
        <v>744</v>
      </c>
      <c r="X491" s="38">
        <f>ROUNDUP(SUM(BO22:BO486),0)</f>
        <v>5</v>
      </c>
      <c r="Y491" s="38">
        <f>ROUNDUP(SUM(BP22:BP486),0)</f>
        <v>5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745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3249.345656565657</v>
      </c>
      <c r="Y492" s="543">
        <f>GrossWeightTotalR+PalletQtyTotalR*25</f>
        <v>3277.6040000000003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746</v>
      </c>
      <c r="Q493" s="633"/>
      <c r="R493" s="633"/>
      <c r="S493" s="633"/>
      <c r="T493" s="633"/>
      <c r="U493" s="633"/>
      <c r="V493" s="63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351.61616161616161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354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747</v>
      </c>
      <c r="Q494" s="633"/>
      <c r="R494" s="633"/>
      <c r="S494" s="633"/>
      <c r="T494" s="633"/>
      <c r="U494" s="633"/>
      <c r="V494" s="63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5.6288799999999997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255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538</v>
      </c>
      <c r="T496" s="626"/>
      <c r="U496" s="593" t="s">
        <v>590</v>
      </c>
      <c r="V496" s="661"/>
      <c r="W496" s="626"/>
      <c r="X496" s="538" t="s">
        <v>641</v>
      </c>
      <c r="Y496" s="593" t="s">
        <v>701</v>
      </c>
      <c r="Z496" s="626"/>
      <c r="AB496" s="52"/>
      <c r="AC496" s="52"/>
      <c r="AF496" s="539"/>
    </row>
    <row r="497" spans="1:32" ht="14.25" customHeight="1" thickTop="1" x14ac:dyDescent="0.2">
      <c r="A497" s="839" t="s">
        <v>750</v>
      </c>
      <c r="B497" s="593" t="s">
        <v>63</v>
      </c>
      <c r="C497" s="593" t="s">
        <v>98</v>
      </c>
      <c r="D497" s="593" t="s">
        <v>116</v>
      </c>
      <c r="E497" s="593" t="s">
        <v>170</v>
      </c>
      <c r="F497" s="593" t="s">
        <v>190</v>
      </c>
      <c r="G497" s="593" t="s">
        <v>220</v>
      </c>
      <c r="H497" s="593" t="s">
        <v>97</v>
      </c>
      <c r="I497" s="593" t="s">
        <v>256</v>
      </c>
      <c r="J497" s="593" t="s">
        <v>301</v>
      </c>
      <c r="K497" s="593" t="s">
        <v>361</v>
      </c>
      <c r="L497" s="593" t="s">
        <v>403</v>
      </c>
      <c r="M497" s="593" t="s">
        <v>419</v>
      </c>
      <c r="N497" s="539"/>
      <c r="O497" s="593" t="s">
        <v>430</v>
      </c>
      <c r="P497" s="593" t="s">
        <v>439</v>
      </c>
      <c r="Q497" s="593" t="s">
        <v>453</v>
      </c>
      <c r="R497" s="593" t="s">
        <v>528</v>
      </c>
      <c r="S497" s="593" t="s">
        <v>539</v>
      </c>
      <c r="T497" s="593" t="s">
        <v>574</v>
      </c>
      <c r="U497" s="593" t="s">
        <v>591</v>
      </c>
      <c r="V497" s="593" t="s">
        <v>622</v>
      </c>
      <c r="W497" s="593" t="s">
        <v>637</v>
      </c>
      <c r="X497" s="593" t="s">
        <v>641</v>
      </c>
      <c r="Y497" s="593" t="s">
        <v>701</v>
      </c>
      <c r="Z497" s="593" t="s">
        <v>737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1320</v>
      </c>
      <c r="T499" s="46">
        <f>IFERROR(Y368*1,"0")+IFERROR(Y369*1,"0")+IFERROR(Y373*1,"0")+IFERROR(Y374*1,"0")+IFERROR(Y378*1,"0")+IFERROR(Y379*1,"0")</f>
        <v>684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1003.2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XgZqHEJ2MABgr0j5xXV1HE3GTJrbNbVAVAZ/MHFc7Jyd3qZn4AFf1oq9GWcdalQKUkhWgRyyNfkykayQA1c/qQ==" saltValue="PDVKBN9I2JRCwWHWzm/Vd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5:X166 X169 X187 X196:X201 X203 X207:X210 X212:X215 X233 X255 X257 X273:X274 X299 X308 X316 X323:X324 X336:X337 X343:X345 X353 X368 X373 X378:X379 X387 X421:X423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zvPMnSCa7+7cs6I5fpJmSo2+voyy1kRApVMm/FJwLrygu0bw1eoZQmTSPns4MS+tTArxtJqVjaLLvhNyf3a5ig==" saltValue="h1k8yPaE1NqAt89V0d1YS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2025-11-14T08:17:16Z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