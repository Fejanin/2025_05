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2030CC7C-5DAB-44E5-BE1E-129E6558F59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Y454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P407" i="1"/>
  <c r="X405" i="1"/>
  <c r="Y404" i="1"/>
  <c r="X404" i="1"/>
  <c r="BP403" i="1"/>
  <c r="BO403" i="1"/>
  <c r="BN403" i="1"/>
  <c r="BM403" i="1"/>
  <c r="Z403" i="1"/>
  <c r="Z404" i="1" s="1"/>
  <c r="Y403" i="1"/>
  <c r="P403" i="1"/>
  <c r="X400" i="1"/>
  <c r="Y399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P378" i="1"/>
  <c r="BO378" i="1"/>
  <c r="BN378" i="1"/>
  <c r="BM378" i="1"/>
  <c r="Z378" i="1"/>
  <c r="Y378" i="1"/>
  <c r="Y380" i="1" s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39" i="1"/>
  <c r="Y338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2" i="1"/>
  <c r="X331" i="1"/>
  <c r="BP330" i="1"/>
  <c r="BO330" i="1"/>
  <c r="BN330" i="1"/>
  <c r="BM330" i="1"/>
  <c r="Z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P328" i="1"/>
  <c r="X326" i="1"/>
  <c r="Y325" i="1"/>
  <c r="X325" i="1"/>
  <c r="BP324" i="1"/>
  <c r="BO324" i="1"/>
  <c r="BN324" i="1"/>
  <c r="BM324" i="1"/>
  <c r="Z324" i="1"/>
  <c r="Y324" i="1"/>
  <c r="P324" i="1"/>
  <c r="BO323" i="1"/>
  <c r="BM323" i="1"/>
  <c r="Y323" i="1"/>
  <c r="P323" i="1"/>
  <c r="BP322" i="1"/>
  <c r="BO322" i="1"/>
  <c r="BN322" i="1"/>
  <c r="BM322" i="1"/>
  <c r="Z322" i="1"/>
  <c r="Y322" i="1"/>
  <c r="BP321" i="1"/>
  <c r="BO321" i="1"/>
  <c r="BN321" i="1"/>
  <c r="BM321" i="1"/>
  <c r="Z321" i="1"/>
  <c r="Y321" i="1"/>
  <c r="Y326" i="1" s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X287" i="1"/>
  <c r="X286" i="1"/>
  <c r="BO285" i="1"/>
  <c r="BM285" i="1"/>
  <c r="Y285" i="1"/>
  <c r="P285" i="1"/>
  <c r="BP284" i="1"/>
  <c r="BO284" i="1"/>
  <c r="BN284" i="1"/>
  <c r="BM284" i="1"/>
  <c r="Z284" i="1"/>
  <c r="Y284" i="1"/>
  <c r="Y286" i="1" s="1"/>
  <c r="X282" i="1"/>
  <c r="X281" i="1"/>
  <c r="BO280" i="1"/>
  <c r="BM280" i="1"/>
  <c r="Y280" i="1"/>
  <c r="P280" i="1"/>
  <c r="BP279" i="1"/>
  <c r="BO279" i="1"/>
  <c r="BN279" i="1"/>
  <c r="BM279" i="1"/>
  <c r="Z279" i="1"/>
  <c r="Y279" i="1"/>
  <c r="P279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X261" i="1"/>
  <c r="X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P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X222" i="1"/>
  <c r="Y221" i="1"/>
  <c r="X221" i="1"/>
  <c r="BP220" i="1"/>
  <c r="BO220" i="1"/>
  <c r="BN220" i="1"/>
  <c r="BM220" i="1"/>
  <c r="Z220" i="1"/>
  <c r="Y220" i="1"/>
  <c r="P220" i="1"/>
  <c r="BO219" i="1"/>
  <c r="BM219" i="1"/>
  <c r="Y219" i="1"/>
  <c r="P219" i="1"/>
  <c r="X217" i="1"/>
  <c r="X216" i="1"/>
  <c r="BO215" i="1"/>
  <c r="BM215" i="1"/>
  <c r="Y215" i="1"/>
  <c r="P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N211" i="1"/>
  <c r="BM211" i="1"/>
  <c r="Z211" i="1"/>
  <c r="Y211" i="1"/>
  <c r="BP211" i="1" s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X205" i="1"/>
  <c r="X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BO200" i="1"/>
  <c r="BM200" i="1"/>
  <c r="Y200" i="1"/>
  <c r="P200" i="1"/>
  <c r="BP199" i="1"/>
  <c r="BO199" i="1"/>
  <c r="BN199" i="1"/>
  <c r="BM199" i="1"/>
  <c r="Z199" i="1"/>
  <c r="Y199" i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P191" i="1"/>
  <c r="BO191" i="1"/>
  <c r="BN191" i="1"/>
  <c r="BM191" i="1"/>
  <c r="Z191" i="1"/>
  <c r="Y191" i="1"/>
  <c r="P191" i="1"/>
  <c r="X189" i="1"/>
  <c r="Y188" i="1"/>
  <c r="X188" i="1"/>
  <c r="BP187" i="1"/>
  <c r="BO187" i="1"/>
  <c r="BN187" i="1"/>
  <c r="BM187" i="1"/>
  <c r="Z187" i="1"/>
  <c r="Y187" i="1"/>
  <c r="P187" i="1"/>
  <c r="BO186" i="1"/>
  <c r="BM186" i="1"/>
  <c r="Y186" i="1"/>
  <c r="P186" i="1"/>
  <c r="X183" i="1"/>
  <c r="X182" i="1"/>
  <c r="BO181" i="1"/>
  <c r="BM181" i="1"/>
  <c r="Y181" i="1"/>
  <c r="P181" i="1"/>
  <c r="X179" i="1"/>
  <c r="X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X173" i="1"/>
  <c r="X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P165" i="1"/>
  <c r="BP164" i="1"/>
  <c r="BO164" i="1"/>
  <c r="BN164" i="1"/>
  <c r="BM164" i="1"/>
  <c r="Z164" i="1"/>
  <c r="Y164" i="1"/>
  <c r="P164" i="1"/>
  <c r="BO163" i="1"/>
  <c r="BM163" i="1"/>
  <c r="Y163" i="1"/>
  <c r="P163" i="1"/>
  <c r="BP162" i="1"/>
  <c r="BO162" i="1"/>
  <c r="BN162" i="1"/>
  <c r="BM162" i="1"/>
  <c r="Z162" i="1"/>
  <c r="Y162" i="1"/>
  <c r="X160" i="1"/>
  <c r="X159" i="1"/>
  <c r="BO158" i="1"/>
  <c r="BM158" i="1"/>
  <c r="Y158" i="1"/>
  <c r="P158" i="1"/>
  <c r="X154" i="1"/>
  <c r="X153" i="1"/>
  <c r="BO152" i="1"/>
  <c r="BM152" i="1"/>
  <c r="Y152" i="1"/>
  <c r="X150" i="1"/>
  <c r="Y149" i="1"/>
  <c r="X149" i="1"/>
  <c r="BP148" i="1"/>
  <c r="BO148" i="1"/>
  <c r="BN148" i="1"/>
  <c r="BM148" i="1"/>
  <c r="Z148" i="1"/>
  <c r="Y148" i="1"/>
  <c r="P148" i="1"/>
  <c r="BO147" i="1"/>
  <c r="BM147" i="1"/>
  <c r="Y147" i="1"/>
  <c r="P147" i="1"/>
  <c r="BP146" i="1"/>
  <c r="BO146" i="1"/>
  <c r="BN146" i="1"/>
  <c r="BM146" i="1"/>
  <c r="Z146" i="1"/>
  <c r="Y146" i="1"/>
  <c r="Y150" i="1" s="1"/>
  <c r="P146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P141" i="1"/>
  <c r="BP140" i="1"/>
  <c r="BO140" i="1"/>
  <c r="BN140" i="1"/>
  <c r="BM140" i="1"/>
  <c r="Z140" i="1"/>
  <c r="Y140" i="1"/>
  <c r="P140" i="1"/>
  <c r="X137" i="1"/>
  <c r="Y136" i="1"/>
  <c r="X136" i="1"/>
  <c r="BP135" i="1"/>
  <c r="BO135" i="1"/>
  <c r="BN135" i="1"/>
  <c r="BM135" i="1"/>
  <c r="Z135" i="1"/>
  <c r="Y135" i="1"/>
  <c r="P135" i="1"/>
  <c r="BO134" i="1"/>
  <c r="BM134" i="1"/>
  <c r="Y134" i="1"/>
  <c r="P134" i="1"/>
  <c r="X132" i="1"/>
  <c r="X131" i="1"/>
  <c r="BO130" i="1"/>
  <c r="BM130" i="1"/>
  <c r="Y130" i="1"/>
  <c r="P130" i="1"/>
  <c r="BP129" i="1"/>
  <c r="BO129" i="1"/>
  <c r="BN129" i="1"/>
  <c r="BM129" i="1"/>
  <c r="Z129" i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P113" i="1"/>
  <c r="BP112" i="1"/>
  <c r="BO112" i="1"/>
  <c r="BN112" i="1"/>
  <c r="BM112" i="1"/>
  <c r="Z112" i="1"/>
  <c r="Y112" i="1"/>
  <c r="Y116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P107" i="1"/>
  <c r="BP106" i="1"/>
  <c r="BO106" i="1"/>
  <c r="BN106" i="1"/>
  <c r="BM106" i="1"/>
  <c r="Z106" i="1"/>
  <c r="Y106" i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P92" i="1"/>
  <c r="BP91" i="1"/>
  <c r="BO91" i="1"/>
  <c r="BN91" i="1"/>
  <c r="BM91" i="1"/>
  <c r="Z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X82" i="1"/>
  <c r="Y81" i="1"/>
  <c r="X81" i="1"/>
  <c r="BP80" i="1"/>
  <c r="BO80" i="1"/>
  <c r="BN80" i="1"/>
  <c r="BM80" i="1"/>
  <c r="Z80" i="1"/>
  <c r="Y80" i="1"/>
  <c r="P80" i="1"/>
  <c r="BO79" i="1"/>
  <c r="BM79" i="1"/>
  <c r="Y79" i="1"/>
  <c r="P79" i="1"/>
  <c r="X77" i="1"/>
  <c r="X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P67" i="1"/>
  <c r="BO66" i="1"/>
  <c r="BM66" i="1"/>
  <c r="Y66" i="1"/>
  <c r="Y70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Y57" i="1" s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89" i="1" s="1"/>
  <c r="Y23" i="1"/>
  <c r="X23" i="1"/>
  <c r="BP22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Y31" i="1" l="1"/>
  <c r="Y43" i="1"/>
  <c r="Y58" i="1"/>
  <c r="Y64" i="1"/>
  <c r="Y69" i="1"/>
  <c r="BP73" i="1"/>
  <c r="BN73" i="1"/>
  <c r="Z73" i="1"/>
  <c r="Z76" i="1" s="1"/>
  <c r="BP86" i="1"/>
  <c r="BN86" i="1"/>
  <c r="Z86" i="1"/>
  <c r="Z88" i="1" s="1"/>
  <c r="BP94" i="1"/>
  <c r="BN94" i="1"/>
  <c r="Z94" i="1"/>
  <c r="Y96" i="1"/>
  <c r="F499" i="1"/>
  <c r="Y104" i="1"/>
  <c r="BP99" i="1"/>
  <c r="BN99" i="1"/>
  <c r="Z99" i="1"/>
  <c r="Y103" i="1"/>
  <c r="Z109" i="1"/>
  <c r="BP107" i="1"/>
  <c r="BN107" i="1"/>
  <c r="Z107" i="1"/>
  <c r="BP115" i="1"/>
  <c r="BN115" i="1"/>
  <c r="Z115" i="1"/>
  <c r="Y117" i="1"/>
  <c r="Y120" i="1"/>
  <c r="BP119" i="1"/>
  <c r="BN119" i="1"/>
  <c r="Z119" i="1"/>
  <c r="Z120" i="1" s="1"/>
  <c r="Y121" i="1"/>
  <c r="G499" i="1"/>
  <c r="Y127" i="1"/>
  <c r="BP124" i="1"/>
  <c r="BN124" i="1"/>
  <c r="Z124" i="1"/>
  <c r="Z126" i="1" s="1"/>
  <c r="Z143" i="1"/>
  <c r="BP141" i="1"/>
  <c r="BN141" i="1"/>
  <c r="Z141" i="1"/>
  <c r="Y153" i="1"/>
  <c r="BP152" i="1"/>
  <c r="BN152" i="1"/>
  <c r="Z152" i="1"/>
  <c r="Z153" i="1" s="1"/>
  <c r="Y154" i="1"/>
  <c r="I499" i="1"/>
  <c r="Y159" i="1"/>
  <c r="BP158" i="1"/>
  <c r="BN158" i="1"/>
  <c r="Z158" i="1"/>
  <c r="Z159" i="1" s="1"/>
  <c r="Y160" i="1"/>
  <c r="BP163" i="1"/>
  <c r="BN163" i="1"/>
  <c r="Z163" i="1"/>
  <c r="Z172" i="1" s="1"/>
  <c r="BP167" i="1"/>
  <c r="BN167" i="1"/>
  <c r="Z167" i="1"/>
  <c r="BP171" i="1"/>
  <c r="BN171" i="1"/>
  <c r="Z171" i="1"/>
  <c r="Y173" i="1"/>
  <c r="Y178" i="1"/>
  <c r="BP175" i="1"/>
  <c r="BN175" i="1"/>
  <c r="Z175" i="1"/>
  <c r="BP192" i="1"/>
  <c r="BN192" i="1"/>
  <c r="Z192" i="1"/>
  <c r="Z193" i="1" s="1"/>
  <c r="Y194" i="1"/>
  <c r="Y205" i="1"/>
  <c r="BP196" i="1"/>
  <c r="BN196" i="1"/>
  <c r="Z196" i="1"/>
  <c r="BP200" i="1"/>
  <c r="BN200" i="1"/>
  <c r="Z200" i="1"/>
  <c r="Y204" i="1"/>
  <c r="BP208" i="1"/>
  <c r="BN208" i="1"/>
  <c r="Z208" i="1"/>
  <c r="Z216" i="1" s="1"/>
  <c r="BP213" i="1"/>
  <c r="BN213" i="1"/>
  <c r="Z213" i="1"/>
  <c r="BP226" i="1"/>
  <c r="BN226" i="1"/>
  <c r="Z226" i="1"/>
  <c r="Z235" i="1" s="1"/>
  <c r="BP230" i="1"/>
  <c r="BN230" i="1"/>
  <c r="Z230" i="1"/>
  <c r="BP234" i="1"/>
  <c r="BN234" i="1"/>
  <c r="Z234" i="1"/>
  <c r="Y236" i="1"/>
  <c r="Y239" i="1"/>
  <c r="BP238" i="1"/>
  <c r="BN238" i="1"/>
  <c r="Z238" i="1"/>
  <c r="Z239" i="1" s="1"/>
  <c r="Y240" i="1"/>
  <c r="Y243" i="1"/>
  <c r="BP242" i="1"/>
  <c r="BN242" i="1"/>
  <c r="Z242" i="1"/>
  <c r="Z243" i="1" s="1"/>
  <c r="Y244" i="1"/>
  <c r="Y251" i="1"/>
  <c r="BP246" i="1"/>
  <c r="BN246" i="1"/>
  <c r="Z246" i="1"/>
  <c r="BP250" i="1"/>
  <c r="BN250" i="1"/>
  <c r="Z250" i="1"/>
  <c r="Y252" i="1"/>
  <c r="Y260" i="1"/>
  <c r="BP255" i="1"/>
  <c r="BN255" i="1"/>
  <c r="Z255" i="1"/>
  <c r="L499" i="1"/>
  <c r="BP259" i="1"/>
  <c r="BN259" i="1"/>
  <c r="Z259" i="1"/>
  <c r="Y261" i="1"/>
  <c r="M499" i="1"/>
  <c r="Y269" i="1"/>
  <c r="BP264" i="1"/>
  <c r="BN264" i="1"/>
  <c r="Z264" i="1"/>
  <c r="Y268" i="1"/>
  <c r="BP273" i="1"/>
  <c r="BN273" i="1"/>
  <c r="Z273" i="1"/>
  <c r="Z275" i="1" s="1"/>
  <c r="Y275" i="1"/>
  <c r="Z331" i="1"/>
  <c r="BP329" i="1"/>
  <c r="BN329" i="1"/>
  <c r="Z329" i="1"/>
  <c r="Y331" i="1"/>
  <c r="D499" i="1"/>
  <c r="H9" i="1"/>
  <c r="B499" i="1"/>
  <c r="X490" i="1"/>
  <c r="X491" i="1"/>
  <c r="X493" i="1"/>
  <c r="Y24" i="1"/>
  <c r="Z27" i="1"/>
  <c r="Z31" i="1" s="1"/>
  <c r="BN27" i="1"/>
  <c r="Y490" i="1" s="1"/>
  <c r="Y492" i="1" s="1"/>
  <c r="Z29" i="1"/>
  <c r="BN29" i="1"/>
  <c r="C499" i="1"/>
  <c r="Z41" i="1"/>
  <c r="Z43" i="1" s="1"/>
  <c r="BN41" i="1"/>
  <c r="Y44" i="1"/>
  <c r="Z52" i="1"/>
  <c r="Z57" i="1" s="1"/>
  <c r="BN52" i="1"/>
  <c r="Z54" i="1"/>
  <c r="BN54" i="1"/>
  <c r="Z56" i="1"/>
  <c r="BN56" i="1"/>
  <c r="Z60" i="1"/>
  <c r="Z63" i="1" s="1"/>
  <c r="BN60" i="1"/>
  <c r="BP60" i="1"/>
  <c r="Y491" i="1" s="1"/>
  <c r="Z62" i="1"/>
  <c r="BN62" i="1"/>
  <c r="Z66" i="1"/>
  <c r="BN66" i="1"/>
  <c r="BP66" i="1"/>
  <c r="BP67" i="1"/>
  <c r="BN67" i="1"/>
  <c r="Z67" i="1"/>
  <c r="Y76" i="1"/>
  <c r="Y493" i="1" s="1"/>
  <c r="BP75" i="1"/>
  <c r="BN75" i="1"/>
  <c r="Z75" i="1"/>
  <c r="Y77" i="1"/>
  <c r="Y82" i="1"/>
  <c r="BP79" i="1"/>
  <c r="BN79" i="1"/>
  <c r="Z79" i="1"/>
  <c r="Z81" i="1" s="1"/>
  <c r="Y88" i="1"/>
  <c r="BP92" i="1"/>
  <c r="BN92" i="1"/>
  <c r="Z92" i="1"/>
  <c r="Z95" i="1" s="1"/>
  <c r="BP101" i="1"/>
  <c r="BN101" i="1"/>
  <c r="Z101" i="1"/>
  <c r="Y110" i="1"/>
  <c r="Y109" i="1"/>
  <c r="BP113" i="1"/>
  <c r="BN113" i="1"/>
  <c r="Z113" i="1"/>
  <c r="Z116" i="1" s="1"/>
  <c r="Y126" i="1"/>
  <c r="BP130" i="1"/>
  <c r="BN130" i="1"/>
  <c r="Z130" i="1"/>
  <c r="Z131" i="1" s="1"/>
  <c r="Y132" i="1"/>
  <c r="Y137" i="1"/>
  <c r="BP134" i="1"/>
  <c r="BN134" i="1"/>
  <c r="Z134" i="1"/>
  <c r="Z136" i="1" s="1"/>
  <c r="Y143" i="1"/>
  <c r="BP147" i="1"/>
  <c r="BN147" i="1"/>
  <c r="Z147" i="1"/>
  <c r="Z149" i="1" s="1"/>
  <c r="Y172" i="1"/>
  <c r="BP165" i="1"/>
  <c r="BN165" i="1"/>
  <c r="Z165" i="1"/>
  <c r="BP169" i="1"/>
  <c r="BN169" i="1"/>
  <c r="Z169" i="1"/>
  <c r="BP177" i="1"/>
  <c r="BN177" i="1"/>
  <c r="Z177" i="1"/>
  <c r="Y179" i="1"/>
  <c r="Y182" i="1"/>
  <c r="BP181" i="1"/>
  <c r="BN181" i="1"/>
  <c r="Z181" i="1"/>
  <c r="Z182" i="1" s="1"/>
  <c r="Y183" i="1"/>
  <c r="J499" i="1"/>
  <c r="Y189" i="1"/>
  <c r="BP186" i="1"/>
  <c r="BN186" i="1"/>
  <c r="Z186" i="1"/>
  <c r="Z188" i="1" s="1"/>
  <c r="Y193" i="1"/>
  <c r="BP198" i="1"/>
  <c r="BN198" i="1"/>
  <c r="Z198" i="1"/>
  <c r="BP202" i="1"/>
  <c r="BN202" i="1"/>
  <c r="Z202" i="1"/>
  <c r="BP210" i="1"/>
  <c r="BN210" i="1"/>
  <c r="Z210" i="1"/>
  <c r="BP292" i="1"/>
  <c r="BN292" i="1"/>
  <c r="Z292" i="1"/>
  <c r="BP300" i="1"/>
  <c r="BN300" i="1"/>
  <c r="Z300" i="1"/>
  <c r="BP304" i="1"/>
  <c r="BN304" i="1"/>
  <c r="Z304" i="1"/>
  <c r="Y306" i="1"/>
  <c r="Y313" i="1"/>
  <c r="BP308" i="1"/>
  <c r="BN308" i="1"/>
  <c r="Z308" i="1"/>
  <c r="Y312" i="1"/>
  <c r="Z318" i="1"/>
  <c r="BP316" i="1"/>
  <c r="BN316" i="1"/>
  <c r="Z316" i="1"/>
  <c r="Y318" i="1"/>
  <c r="BP344" i="1"/>
  <c r="BN344" i="1"/>
  <c r="Z344" i="1"/>
  <c r="Z350" i="1" s="1"/>
  <c r="BP349" i="1"/>
  <c r="BN349" i="1"/>
  <c r="Z349" i="1"/>
  <c r="Y351" i="1"/>
  <c r="Y355" i="1"/>
  <c r="Y356" i="1"/>
  <c r="BP353" i="1"/>
  <c r="BN353" i="1"/>
  <c r="Z353" i="1"/>
  <c r="Z355" i="1" s="1"/>
  <c r="BP387" i="1"/>
  <c r="BN387" i="1"/>
  <c r="Z387" i="1"/>
  <c r="BP391" i="1"/>
  <c r="BN391" i="1"/>
  <c r="Z391" i="1"/>
  <c r="BP408" i="1"/>
  <c r="BN408" i="1"/>
  <c r="Z408" i="1"/>
  <c r="Z411" i="1" s="1"/>
  <c r="Y412" i="1"/>
  <c r="BP423" i="1"/>
  <c r="BN423" i="1"/>
  <c r="Z423" i="1"/>
  <c r="BP459" i="1"/>
  <c r="BN459" i="1"/>
  <c r="Z459" i="1"/>
  <c r="Z462" i="1" s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E499" i="1"/>
  <c r="Y89" i="1"/>
  <c r="H499" i="1"/>
  <c r="Y144" i="1"/>
  <c r="Y216" i="1"/>
  <c r="BP215" i="1"/>
  <c r="BN215" i="1"/>
  <c r="Z215" i="1"/>
  <c r="Y217" i="1"/>
  <c r="Y222" i="1"/>
  <c r="BP219" i="1"/>
  <c r="BN219" i="1"/>
  <c r="Z219" i="1"/>
  <c r="Z221" i="1" s="1"/>
  <c r="BP228" i="1"/>
  <c r="BN228" i="1"/>
  <c r="Z228" i="1"/>
  <c r="BP232" i="1"/>
  <c r="BN232" i="1"/>
  <c r="Z232" i="1"/>
  <c r="BP248" i="1"/>
  <c r="BN248" i="1"/>
  <c r="Z248" i="1"/>
  <c r="BP257" i="1"/>
  <c r="BN257" i="1"/>
  <c r="Z257" i="1"/>
  <c r="BP266" i="1"/>
  <c r="BN266" i="1"/>
  <c r="Z266" i="1"/>
  <c r="BP280" i="1"/>
  <c r="BN280" i="1"/>
  <c r="Z280" i="1"/>
  <c r="Z281" i="1" s="1"/>
  <c r="Y282" i="1"/>
  <c r="BP285" i="1"/>
  <c r="BN285" i="1"/>
  <c r="Z285" i="1"/>
  <c r="Z286" i="1" s="1"/>
  <c r="Y287" i="1"/>
  <c r="Q499" i="1"/>
  <c r="Y295" i="1"/>
  <c r="BP290" i="1"/>
  <c r="BN290" i="1"/>
  <c r="Z290" i="1"/>
  <c r="Z295" i="1" s="1"/>
  <c r="BP294" i="1"/>
  <c r="BN294" i="1"/>
  <c r="Z294" i="1"/>
  <c r="Y296" i="1"/>
  <c r="Y305" i="1"/>
  <c r="BP298" i="1"/>
  <c r="BN298" i="1"/>
  <c r="Z298" i="1"/>
  <c r="Z305" i="1" s="1"/>
  <c r="BP302" i="1"/>
  <c r="BN302" i="1"/>
  <c r="Z302" i="1"/>
  <c r="BP310" i="1"/>
  <c r="BN310" i="1"/>
  <c r="Z310" i="1"/>
  <c r="Y319" i="1"/>
  <c r="Z325" i="1"/>
  <c r="BP323" i="1"/>
  <c r="BN323" i="1"/>
  <c r="Z323" i="1"/>
  <c r="Y332" i="1"/>
  <c r="BP336" i="1"/>
  <c r="BN336" i="1"/>
  <c r="Z336" i="1"/>
  <c r="Z338" i="1" s="1"/>
  <c r="BP347" i="1"/>
  <c r="BN347" i="1"/>
  <c r="Z347" i="1"/>
  <c r="BP369" i="1"/>
  <c r="BN369" i="1"/>
  <c r="Z369" i="1"/>
  <c r="Z370" i="1" s="1"/>
  <c r="Y371" i="1"/>
  <c r="Y376" i="1"/>
  <c r="BP373" i="1"/>
  <c r="BN373" i="1"/>
  <c r="Z373" i="1"/>
  <c r="Z375" i="1" s="1"/>
  <c r="Y375" i="1"/>
  <c r="K499" i="1"/>
  <c r="Y235" i="1"/>
  <c r="O499" i="1"/>
  <c r="Y276" i="1"/>
  <c r="P499" i="1"/>
  <c r="Y281" i="1"/>
  <c r="R499" i="1"/>
  <c r="Y339" i="1"/>
  <c r="S499" i="1"/>
  <c r="Y350" i="1"/>
  <c r="Y361" i="1"/>
  <c r="BP358" i="1"/>
  <c r="BN358" i="1"/>
  <c r="Z358" i="1"/>
  <c r="Z360" i="1" s="1"/>
  <c r="BP379" i="1"/>
  <c r="BN379" i="1"/>
  <c r="Z379" i="1"/>
  <c r="Z380" i="1" s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Z438" i="1" s="1"/>
  <c r="BP443" i="1"/>
  <c r="BN443" i="1"/>
  <c r="Z443" i="1"/>
  <c r="Z453" i="1"/>
  <c r="BP451" i="1"/>
  <c r="BN451" i="1"/>
  <c r="Z451" i="1"/>
  <c r="Y462" i="1"/>
  <c r="BP461" i="1"/>
  <c r="BN461" i="1"/>
  <c r="Z461" i="1"/>
  <c r="Y468" i="1"/>
  <c r="BP465" i="1"/>
  <c r="BN465" i="1"/>
  <c r="Z465" i="1"/>
  <c r="Z468" i="1" s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Z394" i="1" l="1"/>
  <c r="Z69" i="1"/>
  <c r="Z494" i="1" s="1"/>
  <c r="Y489" i="1"/>
  <c r="Z204" i="1"/>
  <c r="Z178" i="1"/>
  <c r="Z103" i="1"/>
  <c r="Z447" i="1"/>
  <c r="Z432" i="1"/>
  <c r="Z312" i="1"/>
  <c r="X492" i="1"/>
  <c r="Z268" i="1"/>
  <c r="Z260" i="1"/>
  <c r="Z251" i="1"/>
</calcChain>
</file>

<file path=xl/sharedStrings.xml><?xml version="1.0" encoding="utf-8"?>
<sst xmlns="http://schemas.openxmlformats.org/spreadsheetml/2006/main" count="2206" uniqueCount="767">
  <si>
    <t xml:space="preserve">  БЛАНК ЗАКАЗА </t>
  </si>
  <si>
    <t>КИ</t>
  </si>
  <si>
    <t>на отгрузку продукции с ООО Трейд-Сервис с</t>
  </si>
  <si>
    <t>17.11.2025</t>
  </si>
  <si>
    <t>бланк создан</t>
  </si>
  <si>
    <t>12.11.2025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</si>
  <si>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</si>
  <si>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</si>
  <si>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</si>
  <si>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</si>
  <si>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</si>
  <si>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</si>
  <si>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</si>
  <si>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</si>
  <si>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</si>
  <si>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</si>
  <si>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</si>
  <si>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</si>
  <si>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</si>
  <si>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272151Российская Федерация, Запорожская обл, Бердянский р-н, Трояны с.,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</si>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</sst>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4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9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4" t="s">
        <v>0</v>
      </c>
      <c r="E1" s="573"/>
      <c r="F1" s="573"/>
      <c r="G1" s="12" t="s">
        <v>1</v>
      </c>
      <c r="H1" s="614" t="s">
        <v>2</v>
      </c>
      <c r="I1" s="573"/>
      <c r="J1" s="573"/>
      <c r="K1" s="573"/>
      <c r="L1" s="573"/>
      <c r="M1" s="573"/>
      <c r="N1" s="573"/>
      <c r="O1" s="573"/>
      <c r="P1" s="573"/>
      <c r="Q1" s="573"/>
      <c r="R1" s="572" t="s">
        <v>3</v>
      </c>
      <c r="S1" s="573"/>
      <c r="T1" s="57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0" t="s">
        <v>8</v>
      </c>
      <c r="B5" s="633"/>
      <c r="C5" s="634"/>
      <c r="D5" s="619"/>
      <c r="E5" s="620"/>
      <c r="F5" s="828" t="s">
        <v>9</v>
      </c>
      <c r="G5" s="634"/>
      <c r="H5" s="619"/>
      <c r="I5" s="768"/>
      <c r="J5" s="768"/>
      <c r="K5" s="768"/>
      <c r="L5" s="768"/>
      <c r="M5" s="620"/>
      <c r="N5" s="58"/>
      <c r="P5" s="24" t="s">
        <v>10</v>
      </c>
      <c r="Q5" s="843">
        <v>45978</v>
      </c>
      <c r="R5" s="659"/>
      <c r="T5" s="705" t="s">
        <v>11</v>
      </c>
      <c r="U5" s="706"/>
      <c r="V5" s="707" t="s">
        <v>12</v>
      </c>
      <c r="W5" s="659"/>
      <c r="AB5" s="51"/>
      <c r="AC5" s="51"/>
      <c r="AD5" s="51"/>
      <c r="AE5" s="51"/>
    </row>
    <row r="6" spans="1:32" s="535" customFormat="1" ht="24" customHeight="1" x14ac:dyDescent="0.2">
      <c r="A6" s="660" t="s">
        <v>13</v>
      </c>
      <c r="B6" s="633"/>
      <c r="C6" s="634"/>
      <c r="D6" s="771" t="s">
        <v>14</v>
      </c>
      <c r="E6" s="772"/>
      <c r="F6" s="772"/>
      <c r="G6" s="772"/>
      <c r="H6" s="772"/>
      <c r="I6" s="772"/>
      <c r="J6" s="772"/>
      <c r="K6" s="772"/>
      <c r="L6" s="772"/>
      <c r="M6" s="659"/>
      <c r="N6" s="59"/>
      <c r="P6" s="24" t="s">
        <v>15</v>
      </c>
      <c r="Q6" s="848" t="str">
        <f>IF(Q5=0," ",CHOOSE(WEEKDAY(Q5,2),"Понедельник","Вторник","Среда","Четверг","Пятница","Суббота","Воскресенье"))</f>
        <v>Понедельник</v>
      </c>
      <c r="R6" s="549"/>
      <c r="T6" s="714" t="s">
        <v>16</v>
      </c>
      <c r="U6" s="706"/>
      <c r="V6" s="755" t="s">
        <v>17</v>
      </c>
      <c r="W6" s="587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9" t="str">
        <f>IFERROR(VLOOKUP(DeliveryAddress,Table,3,0),1)</f>
        <v>1</v>
      </c>
      <c r="E7" s="600"/>
      <c r="F7" s="600"/>
      <c r="G7" s="600"/>
      <c r="H7" s="600"/>
      <c r="I7" s="600"/>
      <c r="J7" s="600"/>
      <c r="K7" s="600"/>
      <c r="L7" s="600"/>
      <c r="M7" s="601"/>
      <c r="N7" s="60"/>
      <c r="P7" s="24"/>
      <c r="Q7" s="42"/>
      <c r="R7" s="42"/>
      <c r="T7" s="555"/>
      <c r="U7" s="706"/>
      <c r="V7" s="756"/>
      <c r="W7" s="757"/>
      <c r="AB7" s="51"/>
      <c r="AC7" s="51"/>
      <c r="AD7" s="51"/>
      <c r="AE7" s="51"/>
    </row>
    <row r="8" spans="1:32" s="535" customFormat="1" ht="25.5" customHeight="1" x14ac:dyDescent="0.2">
      <c r="A8" s="863" t="s">
        <v>18</v>
      </c>
      <c r="B8" s="563"/>
      <c r="C8" s="564"/>
      <c r="D8" s="608" t="s">
        <v>19</v>
      </c>
      <c r="E8" s="609"/>
      <c r="F8" s="609"/>
      <c r="G8" s="609"/>
      <c r="H8" s="609"/>
      <c r="I8" s="609"/>
      <c r="J8" s="609"/>
      <c r="K8" s="609"/>
      <c r="L8" s="609"/>
      <c r="M8" s="610"/>
      <c r="N8" s="61"/>
      <c r="P8" s="24" t="s">
        <v>20</v>
      </c>
      <c r="Q8" s="669">
        <v>0.41666666666666669</v>
      </c>
      <c r="R8" s="601"/>
      <c r="T8" s="555"/>
      <c r="U8" s="706"/>
      <c r="V8" s="756"/>
      <c r="W8" s="757"/>
      <c r="AB8" s="51"/>
      <c r="AC8" s="51"/>
      <c r="AD8" s="51"/>
      <c r="AE8" s="51"/>
    </row>
    <row r="9" spans="1:32" s="535" customFormat="1" ht="39.950000000000003" customHeight="1" x14ac:dyDescent="0.2">
      <c r="A9" s="6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80"/>
      <c r="E9" s="561"/>
      <c r="F9" s="6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3"/>
      <c r="P9" s="26" t="s">
        <v>21</v>
      </c>
      <c r="Q9" s="656"/>
      <c r="R9" s="657"/>
      <c r="T9" s="555"/>
      <c r="U9" s="706"/>
      <c r="V9" s="758"/>
      <c r="W9" s="759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80"/>
      <c r="E10" s="561"/>
      <c r="F10" s="6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49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15"/>
      <c r="R10" s="716"/>
      <c r="U10" s="24" t="s">
        <v>23</v>
      </c>
      <c r="V10" s="586" t="s">
        <v>24</v>
      </c>
      <c r="W10" s="587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8"/>
      <c r="R11" s="659"/>
      <c r="U11" s="24" t="s">
        <v>27</v>
      </c>
      <c r="V11" s="795" t="s">
        <v>28</v>
      </c>
      <c r="W11" s="657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9" t="s">
        <v>29</v>
      </c>
      <c r="B12" s="633"/>
      <c r="C12" s="633"/>
      <c r="D12" s="633"/>
      <c r="E12" s="633"/>
      <c r="F12" s="633"/>
      <c r="G12" s="633"/>
      <c r="H12" s="633"/>
      <c r="I12" s="633"/>
      <c r="J12" s="633"/>
      <c r="K12" s="633"/>
      <c r="L12" s="633"/>
      <c r="M12" s="634"/>
      <c r="N12" s="62"/>
      <c r="P12" s="24" t="s">
        <v>30</v>
      </c>
      <c r="Q12" s="669"/>
      <c r="R12" s="601"/>
      <c r="S12" s="23"/>
      <c r="U12" s="24"/>
      <c r="V12" s="573"/>
      <c r="W12" s="555"/>
      <c r="AB12" s="51"/>
      <c r="AC12" s="51"/>
      <c r="AD12" s="51"/>
      <c r="AE12" s="51"/>
    </row>
    <row r="13" spans="1:32" s="535" customFormat="1" ht="23.25" customHeight="1" x14ac:dyDescent="0.2">
      <c r="A13" s="699" t="s">
        <v>31</v>
      </c>
      <c r="B13" s="633"/>
      <c r="C13" s="633"/>
      <c r="D13" s="633"/>
      <c r="E13" s="633"/>
      <c r="F13" s="633"/>
      <c r="G13" s="633"/>
      <c r="H13" s="633"/>
      <c r="I13" s="633"/>
      <c r="J13" s="633"/>
      <c r="K13" s="633"/>
      <c r="L13" s="633"/>
      <c r="M13" s="634"/>
      <c r="N13" s="62"/>
      <c r="O13" s="26"/>
      <c r="P13" s="26" t="s">
        <v>32</v>
      </c>
      <c r="Q13" s="795"/>
      <c r="R13" s="65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9" t="s">
        <v>33</v>
      </c>
      <c r="B14" s="633"/>
      <c r="C14" s="633"/>
      <c r="D14" s="633"/>
      <c r="E14" s="633"/>
      <c r="F14" s="633"/>
      <c r="G14" s="633"/>
      <c r="H14" s="633"/>
      <c r="I14" s="633"/>
      <c r="J14" s="633"/>
      <c r="K14" s="633"/>
      <c r="L14" s="633"/>
      <c r="M14" s="63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7" t="s">
        <v>34</v>
      </c>
      <c r="B15" s="633"/>
      <c r="C15" s="633"/>
      <c r="D15" s="633"/>
      <c r="E15" s="633"/>
      <c r="F15" s="633"/>
      <c r="G15" s="633"/>
      <c r="H15" s="633"/>
      <c r="I15" s="633"/>
      <c r="J15" s="633"/>
      <c r="K15" s="633"/>
      <c r="L15" s="633"/>
      <c r="M15" s="634"/>
      <c r="N15" s="63"/>
      <c r="P15" s="690" t="s">
        <v>35</v>
      </c>
      <c r="Q15" s="573"/>
      <c r="R15" s="573"/>
      <c r="S15" s="573"/>
      <c r="T15" s="57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1"/>
      <c r="Q16" s="691"/>
      <c r="R16" s="691"/>
      <c r="S16" s="691"/>
      <c r="T16" s="69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3" t="s">
        <v>36</v>
      </c>
      <c r="B17" s="583" t="s">
        <v>37</v>
      </c>
      <c r="C17" s="676" t="s">
        <v>38</v>
      </c>
      <c r="D17" s="583" t="s">
        <v>39</v>
      </c>
      <c r="E17" s="644"/>
      <c r="F17" s="583" t="s">
        <v>40</v>
      </c>
      <c r="G17" s="583" t="s">
        <v>41</v>
      </c>
      <c r="H17" s="583" t="s">
        <v>42</v>
      </c>
      <c r="I17" s="583" t="s">
        <v>43</v>
      </c>
      <c r="J17" s="583" t="s">
        <v>44</v>
      </c>
      <c r="K17" s="583" t="s">
        <v>45</v>
      </c>
      <c r="L17" s="583" t="s">
        <v>46</v>
      </c>
      <c r="M17" s="583" t="s">
        <v>47</v>
      </c>
      <c r="N17" s="583" t="s">
        <v>48</v>
      </c>
      <c r="O17" s="583" t="s">
        <v>49</v>
      </c>
      <c r="P17" s="583" t="s">
        <v>50</v>
      </c>
      <c r="Q17" s="643"/>
      <c r="R17" s="643"/>
      <c r="S17" s="643"/>
      <c r="T17" s="644"/>
      <c r="U17" s="858" t="s">
        <v>51</v>
      </c>
      <c r="V17" s="634"/>
      <c r="W17" s="583" t="s">
        <v>52</v>
      </c>
      <c r="X17" s="583" t="s">
        <v>53</v>
      </c>
      <c r="Y17" s="861" t="s">
        <v>54</v>
      </c>
      <c r="Z17" s="766" t="s">
        <v>55</v>
      </c>
      <c r="AA17" s="747" t="s">
        <v>56</v>
      </c>
      <c r="AB17" s="747" t="s">
        <v>57</v>
      </c>
      <c r="AC17" s="747" t="s">
        <v>58</v>
      </c>
      <c r="AD17" s="747" t="s">
        <v>59</v>
      </c>
      <c r="AE17" s="823"/>
      <c r="AF17" s="824"/>
      <c r="AG17" s="66"/>
      <c r="BD17" s="65" t="s">
        <v>60</v>
      </c>
    </row>
    <row r="18" spans="1:68" ht="14.25" customHeight="1" x14ac:dyDescent="0.2">
      <c r="A18" s="584"/>
      <c r="B18" s="584"/>
      <c r="C18" s="584"/>
      <c r="D18" s="645"/>
      <c r="E18" s="647"/>
      <c r="F18" s="584"/>
      <c r="G18" s="584"/>
      <c r="H18" s="584"/>
      <c r="I18" s="584"/>
      <c r="J18" s="584"/>
      <c r="K18" s="584"/>
      <c r="L18" s="584"/>
      <c r="M18" s="584"/>
      <c r="N18" s="584"/>
      <c r="O18" s="584"/>
      <c r="P18" s="645"/>
      <c r="Q18" s="646"/>
      <c r="R18" s="646"/>
      <c r="S18" s="646"/>
      <c r="T18" s="647"/>
      <c r="U18" s="67" t="s">
        <v>61</v>
      </c>
      <c r="V18" s="67" t="s">
        <v>62</v>
      </c>
      <c r="W18" s="584"/>
      <c r="X18" s="584"/>
      <c r="Y18" s="862"/>
      <c r="Z18" s="767"/>
      <c r="AA18" s="748"/>
      <c r="AB18" s="748"/>
      <c r="AC18" s="748"/>
      <c r="AD18" s="825"/>
      <c r="AE18" s="826"/>
      <c r="AF18" s="827"/>
      <c r="AG18" s="66"/>
      <c r="BD18" s="65"/>
    </row>
    <row r="19" spans="1:68" ht="27.75" customHeight="1" x14ac:dyDescent="0.2">
      <c r="A19" s="638" t="s">
        <v>63</v>
      </c>
      <c r="B19" s="639"/>
      <c r="C19" s="639"/>
      <c r="D19" s="639"/>
      <c r="E19" s="639"/>
      <c r="F19" s="639"/>
      <c r="G19" s="639"/>
      <c r="H19" s="639"/>
      <c r="I19" s="639"/>
      <c r="J19" s="639"/>
      <c r="K19" s="639"/>
      <c r="L19" s="639"/>
      <c r="M19" s="639"/>
      <c r="N19" s="639"/>
      <c r="O19" s="639"/>
      <c r="P19" s="639"/>
      <c r="Q19" s="639"/>
      <c r="R19" s="639"/>
      <c r="S19" s="639"/>
      <c r="T19" s="639"/>
      <c r="U19" s="639"/>
      <c r="V19" s="639"/>
      <c r="W19" s="639"/>
      <c r="X19" s="639"/>
      <c r="Y19" s="639"/>
      <c r="Z19" s="639"/>
      <c r="AA19" s="48"/>
      <c r="AB19" s="48"/>
      <c r="AC19" s="48"/>
    </row>
    <row r="20" spans="1:68" ht="16.5" customHeight="1" x14ac:dyDescent="0.25">
      <c r="A20" s="559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customHeight="1" x14ac:dyDescent="0.25">
      <c r="A21" s="558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6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8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4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8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8" t="s">
        <v>91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38" t="s">
        <v>97</v>
      </c>
      <c r="B37" s="639"/>
      <c r="C37" s="639"/>
      <c r="D37" s="639"/>
      <c r="E37" s="639"/>
      <c r="F37" s="639"/>
      <c r="G37" s="639"/>
      <c r="H37" s="639"/>
      <c r="I37" s="639"/>
      <c r="J37" s="639"/>
      <c r="K37" s="639"/>
      <c r="L37" s="639"/>
      <c r="M37" s="639"/>
      <c r="N37" s="639"/>
      <c r="O37" s="639"/>
      <c r="P37" s="639"/>
      <c r="Q37" s="639"/>
      <c r="R37" s="639"/>
      <c r="S37" s="639"/>
      <c r="T37" s="639"/>
      <c r="U37" s="639"/>
      <c r="V37" s="639"/>
      <c r="W37" s="639"/>
      <c r="X37" s="639"/>
      <c r="Y37" s="639"/>
      <c r="Z37" s="639"/>
      <c r="AA37" s="48"/>
      <c r="AB37" s="48"/>
      <c r="AC37" s="48"/>
    </row>
    <row r="38" spans="1:68" ht="16.5" customHeight="1" x14ac:dyDescent="0.25">
      <c r="A38" s="559" t="s">
        <v>98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customHeight="1" x14ac:dyDescent="0.25">
      <c r="A39" s="558" t="s">
        <v>99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6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44</v>
      </c>
      <c r="Y40" s="542">
        <f>IFERROR(IF(X40="",0,CEILING((X40/$H40),1)*$H40),"")</f>
        <v>54</v>
      </c>
      <c r="Z40" s="36">
        <f>IFERROR(IF(Y40=0,"",ROUNDUP(Y40/H40,0)*0.01898),"")</f>
        <v>9.4899999999999998E-2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45.670370370370371</v>
      </c>
      <c r="BN40" s="64">
        <f>IFERROR(Y40*I40/H40,"0")</f>
        <v>56.05</v>
      </c>
      <c r="BO40" s="64">
        <f>IFERROR(1/J40*(X40/H40),"0")</f>
        <v>6.3657407407407399E-2</v>
      </c>
      <c r="BP40" s="64">
        <f>IFERROR(1/J40*(Y40/H40),"0")</f>
        <v>7.8125E-2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/>
      <c r="M41" s="33" t="s">
        <v>77</v>
      </c>
      <c r="N41" s="33"/>
      <c r="O41" s="32">
        <v>50</v>
      </c>
      <c r="P41" s="80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14</v>
      </c>
      <c r="Y42" s="542">
        <f>IFERROR(IF(X42="",0,CEILING((X42/$H42),1)*$H42),"")</f>
        <v>14.8</v>
      </c>
      <c r="Z42" s="36">
        <f>IFERROR(IF(Y42=0,"",ROUNDUP(Y42/H42,0)*0.00902),"")</f>
        <v>3.6080000000000001E-2</v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14.718918918918918</v>
      </c>
      <c r="BN42" s="64">
        <f>IFERROR(Y42*I42/H42,"0")</f>
        <v>15.56</v>
      </c>
      <c r="BO42" s="64">
        <f>IFERROR(1/J42*(X42/H42),"0")</f>
        <v>2.8665028665028666E-2</v>
      </c>
      <c r="BP42" s="64">
        <f>IFERROR(1/J42*(Y42/H42),"0")</f>
        <v>3.0303030303030304E-2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3">
        <f>IFERROR(X40/H40,"0")+IFERROR(X41/H41,"0")+IFERROR(X42/H42,"0")</f>
        <v>7.8578578578578568</v>
      </c>
      <c r="Y43" s="543">
        <f>IFERROR(Y40/H40,"0")+IFERROR(Y41/H41,"0")+IFERROR(Y42/H42,"0")</f>
        <v>9</v>
      </c>
      <c r="Z43" s="543">
        <f>IFERROR(IF(Z40="",0,Z40),"0")+IFERROR(IF(Z41="",0,Z41),"0")+IFERROR(IF(Z42="",0,Z42),"0")</f>
        <v>0.13097999999999999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3">
        <f>IFERROR(SUM(X40:X42),"0")</f>
        <v>58</v>
      </c>
      <c r="Y44" s="543">
        <f>IFERROR(SUM(Y40:Y42),"0")</f>
        <v>68.8</v>
      </c>
      <c r="Z44" s="37"/>
      <c r="AA44" s="544"/>
      <c r="AB44" s="544"/>
      <c r="AC44" s="544"/>
    </row>
    <row r="45" spans="1:68" ht="14.25" customHeight="1" x14ac:dyDescent="0.25">
      <c r="A45" s="558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customHeight="1" x14ac:dyDescent="0.25">
      <c r="A46" s="54" t="s">
        <v>112</v>
      </c>
      <c r="B46" s="54" t="s">
        <v>113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8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114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9" t="s">
        <v>115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customHeight="1" x14ac:dyDescent="0.25">
      <c r="A50" s="558" t="s">
        <v>99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customHeight="1" x14ac:dyDescent="0.25">
      <c r="A51" s="54" t="s">
        <v>116</v>
      </c>
      <c r="B51" s="54" t="s">
        <v>117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2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24</v>
      </c>
      <c r="Y51" s="542">
        <f t="shared" ref="Y51:Y56" si="0">IFERROR(IF(X51="",0,CEILING((X51/$H51),1)*$H51),"")</f>
        <v>33.599999999999994</v>
      </c>
      <c r="Z51" s="36">
        <f>IFERROR(IF(Y51=0,"",ROUNDUP(Y51/H51,0)*0.01898),"")</f>
        <v>5.6940000000000004E-2</v>
      </c>
      <c r="AA51" s="56"/>
      <c r="AB51" s="57"/>
      <c r="AC51" s="91" t="s">
        <v>118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24.87857142857143</v>
      </c>
      <c r="BN51" s="64">
        <f t="shared" ref="BN51:BN56" si="2">IFERROR(Y51*I51/H51,"0")</f>
        <v>34.829999999999991</v>
      </c>
      <c r="BO51" s="64">
        <f t="shared" ref="BO51:BO56" si="3">IFERROR(1/J51*(X51/H51),"0")</f>
        <v>3.3482142857142856E-2</v>
      </c>
      <c r="BP51" s="64">
        <f t="shared" ref="BP51:BP56" si="4">IFERROR(1/J51*(Y51/H51),"0")</f>
        <v>4.6874999999999993E-2</v>
      </c>
    </row>
    <row r="52" spans="1:68" ht="27" customHeight="1" x14ac:dyDescent="0.25">
      <c r="A52" s="54" t="s">
        <v>119</v>
      </c>
      <c r="B52" s="54" t="s">
        <v>120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0</v>
      </c>
      <c r="Y52" s="54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8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125</v>
      </c>
      <c r="B54" s="54" t="s">
        <v>126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24</v>
      </c>
      <c r="Y54" s="542">
        <f t="shared" si="0"/>
        <v>24</v>
      </c>
      <c r="Z54" s="36">
        <f>IFERROR(IF(Y54=0,"",ROUNDUP(Y54/H54,0)*0.00902),"")</f>
        <v>5.4120000000000001E-2</v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25.14</v>
      </c>
      <c r="BN54" s="64">
        <f t="shared" si="2"/>
        <v>25.14</v>
      </c>
      <c r="BO54" s="64">
        <f t="shared" si="3"/>
        <v>4.5454545454545456E-2</v>
      </c>
      <c r="BP54" s="64">
        <f t="shared" si="4"/>
        <v>4.5454545454545456E-2</v>
      </c>
    </row>
    <row r="55" spans="1:68" ht="27" customHeight="1" x14ac:dyDescent="0.25">
      <c r="A55" s="54" t="s">
        <v>128</v>
      </c>
      <c r="B55" s="54" t="s">
        <v>129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131</v>
      </c>
      <c r="B56" s="54" t="s">
        <v>132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8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3">
        <f>IFERROR(X51/H51,"0")+IFERROR(X52/H52,"0")+IFERROR(X53/H53,"0")+IFERROR(X54/H54,"0")+IFERROR(X55/H55,"0")+IFERROR(X56/H56,"0")</f>
        <v>8.1428571428571423</v>
      </c>
      <c r="Y57" s="543">
        <f>IFERROR(Y51/H51,"0")+IFERROR(Y52/H52,"0")+IFERROR(Y53/H53,"0")+IFERROR(Y54/H54,"0")+IFERROR(Y55/H55,"0")+IFERROR(Y56/H56,"0")</f>
        <v>9</v>
      </c>
      <c r="Z57" s="543">
        <f>IFERROR(IF(Z51="",0,Z51),"0")+IFERROR(IF(Z52="",0,Z52),"0")+IFERROR(IF(Z53="",0,Z53),"0")+IFERROR(IF(Z54="",0,Z54),"0")+IFERROR(IF(Z55="",0,Z55),"0")+IFERROR(IF(Z56="",0,Z56),"0")</f>
        <v>0.11106000000000001</v>
      </c>
      <c r="AA57" s="544"/>
      <c r="AB57" s="544"/>
      <c r="AC57" s="544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3">
        <f>IFERROR(SUM(X51:X56),"0")</f>
        <v>48</v>
      </c>
      <c r="Y58" s="543">
        <f>IFERROR(SUM(Y51:Y56),"0")</f>
        <v>57.599999999999994</v>
      </c>
      <c r="Z58" s="37"/>
      <c r="AA58" s="544"/>
      <c r="AB58" s="544"/>
      <c r="AC58" s="544"/>
    </row>
    <row r="59" spans="1:68" ht="14.25" customHeight="1" x14ac:dyDescent="0.25">
      <c r="A59" s="558" t="s">
        <v>134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customHeight="1" x14ac:dyDescent="0.25">
      <c r="A60" s="54" t="s">
        <v>135</v>
      </c>
      <c r="B60" s="54" t="s">
        <v>136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/>
      <c r="M60" s="33" t="s">
        <v>104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45</v>
      </c>
      <c r="Y60" s="542">
        <f>IFERROR(IF(X60="",0,CEILING((X60/$H60),1)*$H60),"")</f>
        <v>54</v>
      </c>
      <c r="Z60" s="36">
        <f>IFERROR(IF(Y60=0,"",ROUNDUP(Y60/H60,0)*0.01898),"")</f>
        <v>9.4899999999999998E-2</v>
      </c>
      <c r="AA60" s="56"/>
      <c r="AB60" s="57"/>
      <c r="AC60" s="103" t="s">
        <v>137</v>
      </c>
      <c r="AG60" s="64"/>
      <c r="AJ60" s="68"/>
      <c r="AK60" s="68">
        <v>0</v>
      </c>
      <c r="BB60" s="104" t="s">
        <v>1</v>
      </c>
      <c r="BM60" s="64">
        <f>IFERROR(X60*I60/H60,"0")</f>
        <v>46.708333333333336</v>
      </c>
      <c r="BN60" s="64">
        <f>IFERROR(Y60*I60/H60,"0")</f>
        <v>56.05</v>
      </c>
      <c r="BO60" s="64">
        <f>IFERROR(1/J60*(X60/H60),"0")</f>
        <v>6.5104166666666657E-2</v>
      </c>
      <c r="BP60" s="64">
        <f>IFERROR(1/J60*(Y60/H60),"0")</f>
        <v>7.8125E-2</v>
      </c>
    </row>
    <row r="61" spans="1:68" ht="16.5" customHeight="1" x14ac:dyDescent="0.25">
      <c r="A61" s="54" t="s">
        <v>138</v>
      </c>
      <c r="B61" s="54" t="s">
        <v>139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137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140</v>
      </c>
      <c r="B62" s="54" t="s">
        <v>141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1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137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3">
        <f>IFERROR(X60/H60,"0")+IFERROR(X61/H61,"0")+IFERROR(X62/H62,"0")</f>
        <v>4.1666666666666661</v>
      </c>
      <c r="Y63" s="543">
        <f>IFERROR(Y60/H60,"0")+IFERROR(Y61/H61,"0")+IFERROR(Y62/H62,"0")</f>
        <v>5</v>
      </c>
      <c r="Z63" s="543">
        <f>IFERROR(IF(Z60="",0,Z60),"0")+IFERROR(IF(Z61="",0,Z61),"0")+IFERROR(IF(Z62="",0,Z62),"0")</f>
        <v>9.4899999999999998E-2</v>
      </c>
      <c r="AA63" s="544"/>
      <c r="AB63" s="544"/>
      <c r="AC63" s="544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3">
        <f>IFERROR(SUM(X60:X62),"0")</f>
        <v>45</v>
      </c>
      <c r="Y64" s="543">
        <f>IFERROR(SUM(Y60:Y62),"0")</f>
        <v>54</v>
      </c>
      <c r="Z64" s="37"/>
      <c r="AA64" s="544"/>
      <c r="AB64" s="544"/>
      <c r="AC64" s="544"/>
    </row>
    <row r="65" spans="1:68" ht="14.25" customHeight="1" x14ac:dyDescent="0.25">
      <c r="A65" s="558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customHeight="1" x14ac:dyDescent="0.25">
      <c r="A66" s="54" t="s">
        <v>142</v>
      </c>
      <c r="B66" s="54" t="s">
        <v>143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144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145</v>
      </c>
      <c r="B67" s="54" t="s">
        <v>146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9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8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4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01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3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62" t="s">
        <v>71</v>
      </c>
      <c r="Q76" s="563"/>
      <c r="R76" s="563"/>
      <c r="S76" s="563"/>
      <c r="T76" s="563"/>
      <c r="U76" s="563"/>
      <c r="V76" s="564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62" t="s">
        <v>71</v>
      </c>
      <c r="Q77" s="563"/>
      <c r="R77" s="563"/>
      <c r="S77" s="563"/>
      <c r="T77" s="563"/>
      <c r="U77" s="563"/>
      <c r="V77" s="564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customHeight="1" x14ac:dyDescent="0.25">
      <c r="A78" s="558" t="s">
        <v>162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/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6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62" t="s">
        <v>71</v>
      </c>
      <c r="Q81" s="563"/>
      <c r="R81" s="563"/>
      <c r="S81" s="563"/>
      <c r="T81" s="563"/>
      <c r="U81" s="563"/>
      <c r="V81" s="564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62" t="s">
        <v>71</v>
      </c>
      <c r="Q82" s="563"/>
      <c r="R82" s="563"/>
      <c r="S82" s="563"/>
      <c r="T82" s="563"/>
      <c r="U82" s="563"/>
      <c r="V82" s="564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customHeight="1" x14ac:dyDescent="0.25">
      <c r="A83" s="559" t="s">
        <v>169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customHeight="1" x14ac:dyDescent="0.25">
      <c r="A84" s="558" t="s">
        <v>99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157</v>
      </c>
      <c r="Y85" s="542">
        <f>IFERROR(IF(X85="",0,CEILING((X85/$H85),1)*$H85),"")</f>
        <v>162</v>
      </c>
      <c r="Z85" s="36">
        <f>IFERROR(IF(Y85=0,"",ROUNDUP(Y85/H85,0)*0.01898),"")</f>
        <v>0.28470000000000001</v>
      </c>
      <c r="AA85" s="56"/>
      <c r="AB85" s="57"/>
      <c r="AC85" s="127" t="s">
        <v>172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162.96018518518517</v>
      </c>
      <c r="BN85" s="64">
        <f>IFERROR(Y85*I85/H85,"0")</f>
        <v>168.15</v>
      </c>
      <c r="BO85" s="64">
        <f>IFERROR(1/J85*(X85/H85),"0")</f>
        <v>0.22714120370370369</v>
      </c>
      <c r="BP85" s="64">
        <f>IFERROR(1/J85*(Y85/H85),"0")</f>
        <v>0.23437499999999997</v>
      </c>
    </row>
    <row r="86" spans="1:68" ht="27" customHeight="1" x14ac:dyDescent="0.25">
      <c r="A86" s="54" t="s">
        <v>173</v>
      </c>
      <c r="B86" s="54" t="s">
        <v>174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172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175</v>
      </c>
      <c r="B87" s="54" t="s">
        <v>176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/>
      <c r="M87" s="33" t="s">
        <v>84</v>
      </c>
      <c r="N87" s="33"/>
      <c r="O87" s="32">
        <v>50</v>
      </c>
      <c r="P87" s="71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73</v>
      </c>
      <c r="Y87" s="542">
        <f>IFERROR(IF(X87="",0,CEILING((X87/$H87),1)*$H87),"")</f>
        <v>76.5</v>
      </c>
      <c r="Z87" s="36">
        <f>IFERROR(IF(Y87=0,"",ROUNDUP(Y87/H87,0)*0.00902),"")</f>
        <v>0.15334</v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76.082222222222228</v>
      </c>
      <c r="BN87" s="64">
        <f>IFERROR(Y87*I87/H87,"0")</f>
        <v>79.73</v>
      </c>
      <c r="BO87" s="64">
        <f>IFERROR(1/J87*(X87/H87),"0")</f>
        <v>0.12289562289562289</v>
      </c>
      <c r="BP87" s="64">
        <f>IFERROR(1/J87*(Y87/H87),"0")</f>
        <v>0.12878787878787878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62" t="s">
        <v>71</v>
      </c>
      <c r="Q88" s="563"/>
      <c r="R88" s="563"/>
      <c r="S88" s="563"/>
      <c r="T88" s="563"/>
      <c r="U88" s="563"/>
      <c r="V88" s="564"/>
      <c r="W88" s="37" t="s">
        <v>72</v>
      </c>
      <c r="X88" s="543">
        <f>IFERROR(X85/H85,"0")+IFERROR(X86/H86,"0")+IFERROR(X87/H87,"0")</f>
        <v>30.75925925925926</v>
      </c>
      <c r="Y88" s="543">
        <f>IFERROR(Y85/H85,"0")+IFERROR(Y86/H86,"0")+IFERROR(Y87/H87,"0")</f>
        <v>32</v>
      </c>
      <c r="Z88" s="543">
        <f>IFERROR(IF(Z85="",0,Z85),"0")+IFERROR(IF(Z86="",0,Z86),"0")+IFERROR(IF(Z87="",0,Z87),"0")</f>
        <v>0.43803999999999998</v>
      </c>
      <c r="AA88" s="544"/>
      <c r="AB88" s="544"/>
      <c r="AC88" s="544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62" t="s">
        <v>71</v>
      </c>
      <c r="Q89" s="563"/>
      <c r="R89" s="563"/>
      <c r="S89" s="563"/>
      <c r="T89" s="563"/>
      <c r="U89" s="563"/>
      <c r="V89" s="564"/>
      <c r="W89" s="37" t="s">
        <v>69</v>
      </c>
      <c r="X89" s="543">
        <f>IFERROR(SUM(X85:X87),"0")</f>
        <v>230</v>
      </c>
      <c r="Y89" s="543">
        <f>IFERROR(SUM(Y85:Y87),"0")</f>
        <v>238.5</v>
      </c>
      <c r="Z89" s="37"/>
      <c r="AA89" s="544"/>
      <c r="AB89" s="544"/>
      <c r="AC89" s="544"/>
    </row>
    <row r="90" spans="1:68" ht="14.25" customHeight="1" x14ac:dyDescent="0.25">
      <c r="A90" s="558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16.5" customHeight="1" x14ac:dyDescent="0.25">
      <c r="A91" s="54" t="s">
        <v>177</v>
      </c>
      <c r="B91" s="54" t="s">
        <v>178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4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0</v>
      </c>
      <c r="Y91" s="542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179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180</v>
      </c>
      <c r="B92" s="54" t="s">
        <v>181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183</v>
      </c>
      <c r="B93" s="54" t="s">
        <v>184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8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94</v>
      </c>
      <c r="Y93" s="542">
        <f>IFERROR(IF(X93="",0,CEILING((X93/$H93),1)*$H93),"")</f>
        <v>94.5</v>
      </c>
      <c r="Z93" s="36">
        <f>IFERROR(IF(Y93=0,"",ROUNDUP(Y93/H93,0)*0.00651),"")</f>
        <v>0.22785</v>
      </c>
      <c r="AA93" s="56"/>
      <c r="AB93" s="57"/>
      <c r="AC93" s="137" t="s">
        <v>179</v>
      </c>
      <c r="AG93" s="64"/>
      <c r="AJ93" s="68"/>
      <c r="AK93" s="68">
        <v>0</v>
      </c>
      <c r="BB93" s="138" t="s">
        <v>1</v>
      </c>
      <c r="BM93" s="64">
        <f>IFERROR(X93*I93/H93,"0")</f>
        <v>102.77333333333333</v>
      </c>
      <c r="BN93" s="64">
        <f>IFERROR(Y93*I93/H93,"0")</f>
        <v>103.32</v>
      </c>
      <c r="BO93" s="64">
        <f>IFERROR(1/J93*(X93/H93),"0")</f>
        <v>0.19129019129019129</v>
      </c>
      <c r="BP93" s="64">
        <f>IFERROR(1/J93*(Y93/H93),"0")</f>
        <v>0.19230769230769232</v>
      </c>
    </row>
    <row r="94" spans="1:68" ht="16.5" customHeight="1" x14ac:dyDescent="0.25">
      <c r="A94" s="54" t="s">
        <v>185</v>
      </c>
      <c r="B94" s="54" t="s">
        <v>186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0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187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62" t="s">
        <v>71</v>
      </c>
      <c r="Q95" s="563"/>
      <c r="R95" s="563"/>
      <c r="S95" s="563"/>
      <c r="T95" s="563"/>
      <c r="U95" s="563"/>
      <c r="V95" s="564"/>
      <c r="W95" s="37" t="s">
        <v>72</v>
      </c>
      <c r="X95" s="543">
        <f>IFERROR(X91/H91,"0")+IFERROR(X92/H92,"0")+IFERROR(X93/H93,"0")+IFERROR(X94/H94,"0")</f>
        <v>34.81481481481481</v>
      </c>
      <c r="Y95" s="543">
        <f>IFERROR(Y91/H91,"0")+IFERROR(Y92/H92,"0")+IFERROR(Y93/H93,"0")+IFERROR(Y94/H94,"0")</f>
        <v>35</v>
      </c>
      <c r="Z95" s="543">
        <f>IFERROR(IF(Z91="",0,Z91),"0")+IFERROR(IF(Z92="",0,Z92),"0")+IFERROR(IF(Z93="",0,Z93),"0")+IFERROR(IF(Z94="",0,Z94),"0")</f>
        <v>0.22785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62" t="s">
        <v>71</v>
      </c>
      <c r="Q96" s="563"/>
      <c r="R96" s="563"/>
      <c r="S96" s="563"/>
      <c r="T96" s="563"/>
      <c r="U96" s="563"/>
      <c r="V96" s="564"/>
      <c r="W96" s="37" t="s">
        <v>69</v>
      </c>
      <c r="X96" s="543">
        <f>IFERROR(SUM(X91:X94),"0")</f>
        <v>94</v>
      </c>
      <c r="Y96" s="543">
        <f>IFERROR(SUM(Y91:Y94),"0")</f>
        <v>94.5</v>
      </c>
      <c r="Z96" s="37"/>
      <c r="AA96" s="544"/>
      <c r="AB96" s="544"/>
      <c r="AC96" s="544"/>
    </row>
    <row r="97" spans="1:68" ht="16.5" customHeight="1" x14ac:dyDescent="0.25">
      <c r="A97" s="559" t="s">
        <v>188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customHeight="1" x14ac:dyDescent="0.25">
      <c r="A98" s="558" t="s">
        <v>99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189</v>
      </c>
      <c r="B99" s="54" t="s">
        <v>190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109</v>
      </c>
      <c r="Y99" s="542">
        <f>IFERROR(IF(X99="",0,CEILING((X99/$H99),1)*$H99),"")</f>
        <v>118.80000000000001</v>
      </c>
      <c r="Z99" s="36">
        <f>IFERROR(IF(Y99=0,"",ROUNDUP(Y99/H99,0)*0.01898),"")</f>
        <v>0.20877999999999999</v>
      </c>
      <c r="AA99" s="56"/>
      <c r="AB99" s="57"/>
      <c r="AC99" s="141" t="s">
        <v>191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113.13796296296296</v>
      </c>
      <c r="BN99" s="64">
        <f>IFERROR(Y99*I99/H99,"0")</f>
        <v>123.31000000000002</v>
      </c>
      <c r="BO99" s="64">
        <f>IFERROR(1/J99*(X99/H99),"0")</f>
        <v>0.15769675925925924</v>
      </c>
      <c r="BP99" s="64">
        <f>IFERROR(1/J99*(Y99/H99),"0")</f>
        <v>0.171875</v>
      </c>
    </row>
    <row r="100" spans="1:68" ht="37.5" customHeight="1" x14ac:dyDescent="0.25">
      <c r="A100" s="54" t="s">
        <v>192</v>
      </c>
      <c r="B100" s="54" t="s">
        <v>193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191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194</v>
      </c>
      <c r="B101" s="54" t="s">
        <v>195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196</v>
      </c>
      <c r="M101" s="33" t="s">
        <v>77</v>
      </c>
      <c r="N101" s="33"/>
      <c r="O101" s="32">
        <v>50</v>
      </c>
      <c r="P101" s="80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45</v>
      </c>
      <c r="Y101" s="542">
        <f>IFERROR(IF(X101="",0,CEILING((X101/$H101),1)*$H101),"")</f>
        <v>45</v>
      </c>
      <c r="Z101" s="36">
        <f>IFERROR(IF(Y101=0,"",ROUNDUP(Y101/H101,0)*0.00902),"")</f>
        <v>9.0200000000000002E-2</v>
      </c>
      <c r="AA101" s="56"/>
      <c r="AB101" s="57"/>
      <c r="AC101" s="145" t="s">
        <v>191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46.900000000000006</v>
      </c>
      <c r="BN101" s="64">
        <f>IFERROR(Y101*I101/H101,"0")</f>
        <v>46.900000000000006</v>
      </c>
      <c r="BO101" s="64">
        <f>IFERROR(1/J101*(X101/H101),"0")</f>
        <v>7.575757575757576E-2</v>
      </c>
      <c r="BP101" s="64">
        <f>IFERROR(1/J101*(Y101/H101),"0")</f>
        <v>7.575757575757576E-2</v>
      </c>
    </row>
    <row r="102" spans="1:68" ht="37.5" customHeight="1" x14ac:dyDescent="0.25">
      <c r="A102" s="54" t="s">
        <v>197</v>
      </c>
      <c r="B102" s="54" t="s">
        <v>198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1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191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62" t="s">
        <v>71</v>
      </c>
      <c r="Q103" s="563"/>
      <c r="R103" s="563"/>
      <c r="S103" s="563"/>
      <c r="T103" s="563"/>
      <c r="U103" s="563"/>
      <c r="V103" s="564"/>
      <c r="W103" s="37" t="s">
        <v>72</v>
      </c>
      <c r="X103" s="543">
        <f>IFERROR(X99/H99,"0")+IFERROR(X100/H100,"0")+IFERROR(X101/H101,"0")+IFERROR(X102/H102,"0")</f>
        <v>20.092592592592592</v>
      </c>
      <c r="Y103" s="543">
        <f>IFERROR(Y99/H99,"0")+IFERROR(Y100/H100,"0")+IFERROR(Y101/H101,"0")+IFERROR(Y102/H102,"0")</f>
        <v>21</v>
      </c>
      <c r="Z103" s="543">
        <f>IFERROR(IF(Z99="",0,Z99),"0")+IFERROR(IF(Z100="",0,Z100),"0")+IFERROR(IF(Z101="",0,Z101),"0")+IFERROR(IF(Z102="",0,Z102),"0")</f>
        <v>0.29898000000000002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62" t="s">
        <v>71</v>
      </c>
      <c r="Q104" s="563"/>
      <c r="R104" s="563"/>
      <c r="S104" s="563"/>
      <c r="T104" s="563"/>
      <c r="U104" s="563"/>
      <c r="V104" s="564"/>
      <c r="W104" s="37" t="s">
        <v>69</v>
      </c>
      <c r="X104" s="543">
        <f>IFERROR(SUM(X99:X102),"0")</f>
        <v>154</v>
      </c>
      <c r="Y104" s="543">
        <f>IFERROR(SUM(Y99:Y102),"0")</f>
        <v>163.80000000000001</v>
      </c>
      <c r="Z104" s="37"/>
      <c r="AA104" s="544"/>
      <c r="AB104" s="544"/>
      <c r="AC104" s="544"/>
    </row>
    <row r="105" spans="1:68" ht="14.25" customHeight="1" x14ac:dyDescent="0.25">
      <c r="A105" s="558" t="s">
        <v>134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customHeight="1" x14ac:dyDescent="0.25">
      <c r="A106" s="54" t="s">
        <v>199</v>
      </c>
      <c r="B106" s="54" t="s">
        <v>200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/>
      <c r="M106" s="33" t="s">
        <v>104</v>
      </c>
      <c r="N106" s="33"/>
      <c r="O106" s="32">
        <v>55</v>
      </c>
      <c r="P106" s="77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8</v>
      </c>
      <c r="Y106" s="542">
        <f>IFERROR(IF(X106="",0,CEILING((X106/$H106),1)*$H106),"")</f>
        <v>10.8</v>
      </c>
      <c r="Z106" s="36">
        <f>IFERROR(IF(Y106=0,"",ROUNDUP(Y106/H106,0)*0.01898),"")</f>
        <v>1.898E-2</v>
      </c>
      <c r="AA106" s="56"/>
      <c r="AB106" s="57"/>
      <c r="AC106" s="149" t="s">
        <v>201</v>
      </c>
      <c r="AG106" s="64"/>
      <c r="AJ106" s="68"/>
      <c r="AK106" s="68">
        <v>0</v>
      </c>
      <c r="BB106" s="150" t="s">
        <v>1</v>
      </c>
      <c r="BM106" s="64">
        <f>IFERROR(X106*I106/H106,"0")</f>
        <v>8.3037037037037038</v>
      </c>
      <c r="BN106" s="64">
        <f>IFERROR(Y106*I106/H106,"0")</f>
        <v>11.21</v>
      </c>
      <c r="BO106" s="64">
        <f>IFERROR(1/J106*(X106/H106),"0")</f>
        <v>1.1574074074074073E-2</v>
      </c>
      <c r="BP106" s="64">
        <f>IFERROR(1/J106*(Y106/H106),"0")</f>
        <v>1.5625E-2</v>
      </c>
    </row>
    <row r="107" spans="1:68" ht="16.5" customHeight="1" x14ac:dyDescent="0.25">
      <c r="A107" s="54" t="s">
        <v>202</v>
      </c>
      <c r="B107" s="54" t="s">
        <v>203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4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204</v>
      </c>
      <c r="B108" s="54" t="s">
        <v>205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5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201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62" t="s">
        <v>71</v>
      </c>
      <c r="Q109" s="563"/>
      <c r="R109" s="563"/>
      <c r="S109" s="563"/>
      <c r="T109" s="563"/>
      <c r="U109" s="563"/>
      <c r="V109" s="564"/>
      <c r="W109" s="37" t="s">
        <v>72</v>
      </c>
      <c r="X109" s="543">
        <f>IFERROR(X106/H106,"0")+IFERROR(X107/H107,"0")+IFERROR(X108/H108,"0")</f>
        <v>0.7407407407407407</v>
      </c>
      <c r="Y109" s="543">
        <f>IFERROR(Y106/H106,"0")+IFERROR(Y107/H107,"0")+IFERROR(Y108/H108,"0")</f>
        <v>1</v>
      </c>
      <c r="Z109" s="543">
        <f>IFERROR(IF(Z106="",0,Z106),"0")+IFERROR(IF(Z107="",0,Z107),"0")+IFERROR(IF(Z108="",0,Z108),"0")</f>
        <v>1.898E-2</v>
      </c>
      <c r="AA109" s="544"/>
      <c r="AB109" s="544"/>
      <c r="AC109" s="544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62" t="s">
        <v>71</v>
      </c>
      <c r="Q110" s="563"/>
      <c r="R110" s="563"/>
      <c r="S110" s="563"/>
      <c r="T110" s="563"/>
      <c r="U110" s="563"/>
      <c r="V110" s="564"/>
      <c r="W110" s="37" t="s">
        <v>69</v>
      </c>
      <c r="X110" s="543">
        <f>IFERROR(SUM(X106:X108),"0")</f>
        <v>8</v>
      </c>
      <c r="Y110" s="543">
        <f>IFERROR(SUM(Y106:Y108),"0")</f>
        <v>10.8</v>
      </c>
      <c r="Z110" s="37"/>
      <c r="AA110" s="544"/>
      <c r="AB110" s="544"/>
      <c r="AC110" s="544"/>
    </row>
    <row r="111" spans="1:68" ht="14.25" customHeight="1" x14ac:dyDescent="0.25">
      <c r="A111" s="558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customHeight="1" x14ac:dyDescent="0.25">
      <c r="A112" s="54" t="s">
        <v>206</v>
      </c>
      <c r="B112" s="54" t="s">
        <v>207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9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19</v>
      </c>
      <c r="Y112" s="542">
        <f>IFERROR(IF(X112="",0,CEILING((X112/$H112),1)*$H112),"")</f>
        <v>24.299999999999997</v>
      </c>
      <c r="Z112" s="36">
        <f>IFERROR(IF(Y112=0,"",ROUNDUP(Y112/H112,0)*0.01898),"")</f>
        <v>5.6940000000000004E-2</v>
      </c>
      <c r="AA112" s="56"/>
      <c r="AB112" s="57"/>
      <c r="AC112" s="155" t="s">
        <v>208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20.144691358024691</v>
      </c>
      <c r="BN112" s="64">
        <f>IFERROR(Y112*I112/H112,"0")</f>
        <v>25.763999999999996</v>
      </c>
      <c r="BO112" s="64">
        <f>IFERROR(1/J112*(X112/H112),"0")</f>
        <v>3.6651234567901238E-2</v>
      </c>
      <c r="BP112" s="64">
        <f>IFERROR(1/J112*(Y112/H112),"0")</f>
        <v>4.6875E-2</v>
      </c>
    </row>
    <row r="113" spans="1:68" ht="27" customHeight="1" x14ac:dyDescent="0.25">
      <c r="A113" s="54" t="s">
        <v>209</v>
      </c>
      <c r="B113" s="54" t="s">
        <v>210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4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208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211</v>
      </c>
      <c r="B114" s="54" t="s">
        <v>212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213</v>
      </c>
      <c r="M114" s="33" t="s">
        <v>84</v>
      </c>
      <c r="N114" s="33"/>
      <c r="O114" s="32">
        <v>45</v>
      </c>
      <c r="P114" s="79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134</v>
      </c>
      <c r="Y114" s="542">
        <f>IFERROR(IF(X114="",0,CEILING((X114/$H114),1)*$H114),"")</f>
        <v>135</v>
      </c>
      <c r="Z114" s="36">
        <f>IFERROR(IF(Y114=0,"",ROUNDUP(Y114/H114,0)*0.00651),"")</f>
        <v>0.32550000000000001</v>
      </c>
      <c r="AA114" s="56"/>
      <c r="AB114" s="57"/>
      <c r="AC114" s="159" t="s">
        <v>208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146.50666666666666</v>
      </c>
      <c r="BN114" s="64">
        <f>IFERROR(Y114*I114/H114,"0")</f>
        <v>147.6</v>
      </c>
      <c r="BO114" s="64">
        <f>IFERROR(1/J114*(X114/H114),"0")</f>
        <v>0.27269027269027268</v>
      </c>
      <c r="BP114" s="64">
        <f>IFERROR(1/J114*(Y114/H114),"0")</f>
        <v>0.27472527472527475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2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62" t="s">
        <v>71</v>
      </c>
      <c r="Q116" s="563"/>
      <c r="R116" s="563"/>
      <c r="S116" s="563"/>
      <c r="T116" s="563"/>
      <c r="U116" s="563"/>
      <c r="V116" s="564"/>
      <c r="W116" s="37" t="s">
        <v>72</v>
      </c>
      <c r="X116" s="543">
        <f>IFERROR(X112/H112,"0")+IFERROR(X113/H113,"0")+IFERROR(X114/H114,"0")+IFERROR(X115/H115,"0")</f>
        <v>51.975308641975303</v>
      </c>
      <c r="Y116" s="543">
        <f>IFERROR(Y112/H112,"0")+IFERROR(Y113/H113,"0")+IFERROR(Y114/H114,"0")+IFERROR(Y115/H115,"0")</f>
        <v>53</v>
      </c>
      <c r="Z116" s="543">
        <f>IFERROR(IF(Z112="",0,Z112),"0")+IFERROR(IF(Z113="",0,Z113),"0")+IFERROR(IF(Z114="",0,Z114),"0")+IFERROR(IF(Z115="",0,Z115),"0")</f>
        <v>0.38244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62" t="s">
        <v>71</v>
      </c>
      <c r="Q117" s="563"/>
      <c r="R117" s="563"/>
      <c r="S117" s="563"/>
      <c r="T117" s="563"/>
      <c r="U117" s="563"/>
      <c r="V117" s="564"/>
      <c r="W117" s="37" t="s">
        <v>69</v>
      </c>
      <c r="X117" s="543">
        <f>IFERROR(SUM(X112:X115),"0")</f>
        <v>153</v>
      </c>
      <c r="Y117" s="543">
        <f>IFERROR(SUM(Y112:Y115),"0")</f>
        <v>159.30000000000001</v>
      </c>
      <c r="Z117" s="37"/>
      <c r="AA117" s="544"/>
      <c r="AB117" s="544"/>
      <c r="AC117" s="544"/>
    </row>
    <row r="118" spans="1:68" ht="14.25" customHeight="1" x14ac:dyDescent="0.25">
      <c r="A118" s="558" t="s">
        <v>162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62" t="s">
        <v>71</v>
      </c>
      <c r="Q120" s="563"/>
      <c r="R120" s="563"/>
      <c r="S120" s="563"/>
      <c r="T120" s="563"/>
      <c r="U120" s="563"/>
      <c r="V120" s="564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62" t="s">
        <v>71</v>
      </c>
      <c r="Q121" s="563"/>
      <c r="R121" s="563"/>
      <c r="S121" s="563"/>
      <c r="T121" s="563"/>
      <c r="U121" s="563"/>
      <c r="V121" s="564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customHeight="1" x14ac:dyDescent="0.25">
      <c r="A122" s="559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customHeight="1" x14ac:dyDescent="0.25">
      <c r="A123" s="558" t="s">
        <v>99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/>
      <c r="M124" s="33" t="s">
        <v>94</v>
      </c>
      <c r="N124" s="33"/>
      <c r="O124" s="32">
        <v>90</v>
      </c>
      <c r="P124" s="86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/>
      <c r="AK124" s="68">
        <v>0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9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62" t="s">
        <v>71</v>
      </c>
      <c r="Q126" s="563"/>
      <c r="R126" s="563"/>
      <c r="S126" s="563"/>
      <c r="T126" s="563"/>
      <c r="U126" s="563"/>
      <c r="V126" s="564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62" t="s">
        <v>71</v>
      </c>
      <c r="Q127" s="563"/>
      <c r="R127" s="563"/>
      <c r="S127" s="563"/>
      <c r="T127" s="563"/>
      <c r="U127" s="563"/>
      <c r="V127" s="564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customHeight="1" x14ac:dyDescent="0.25">
      <c r="A128" s="558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/>
      <c r="M130" s="33" t="s">
        <v>94</v>
      </c>
      <c r="N130" s="33"/>
      <c r="O130" s="32">
        <v>90</v>
      </c>
      <c r="P130" s="78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62" t="s">
        <v>71</v>
      </c>
      <c r="Q131" s="563"/>
      <c r="R131" s="563"/>
      <c r="S131" s="563"/>
      <c r="T131" s="563"/>
      <c r="U131" s="563"/>
      <c r="V131" s="564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62" t="s">
        <v>71</v>
      </c>
      <c r="Q132" s="563"/>
      <c r="R132" s="563"/>
      <c r="S132" s="563"/>
      <c r="T132" s="563"/>
      <c r="U132" s="563"/>
      <c r="V132" s="564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customHeight="1" x14ac:dyDescent="0.25">
      <c r="A133" s="558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5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2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62" t="s">
        <v>71</v>
      </c>
      <c r="Q136" s="563"/>
      <c r="R136" s="563"/>
      <c r="S136" s="563"/>
      <c r="T136" s="563"/>
      <c r="U136" s="563"/>
      <c r="V136" s="564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62" t="s">
        <v>71</v>
      </c>
      <c r="Q137" s="563"/>
      <c r="R137" s="563"/>
      <c r="S137" s="563"/>
      <c r="T137" s="563"/>
      <c r="U137" s="563"/>
      <c r="V137" s="564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customHeight="1" x14ac:dyDescent="0.25">
      <c r="A138" s="559" t="s">
        <v>97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customHeight="1" x14ac:dyDescent="0.25">
      <c r="A139" s="558" t="s">
        <v>99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1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3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238</v>
      </c>
      <c r="B142" s="54" t="s">
        <v>239</v>
      </c>
      <c r="C142" s="31">
        <v>4301012179</v>
      </c>
      <c r="D142" s="548">
        <v>4680115886810</v>
      </c>
      <c r="E142" s="549"/>
      <c r="F142" s="540">
        <v>0.3</v>
      </c>
      <c r="G142" s="32">
        <v>10</v>
      </c>
      <c r="H142" s="540">
        <v>3</v>
      </c>
      <c r="I142" s="540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63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6"/>
      <c r="R142" s="546"/>
      <c r="S142" s="546"/>
      <c r="T142" s="547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554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62" t="s">
        <v>71</v>
      </c>
      <c r="Q143" s="563"/>
      <c r="R143" s="563"/>
      <c r="S143" s="563"/>
      <c r="T143" s="563"/>
      <c r="U143" s="563"/>
      <c r="V143" s="564"/>
      <c r="W143" s="37" t="s">
        <v>72</v>
      </c>
      <c r="X143" s="543">
        <f>IFERROR(X140/H140,"0")+IFERROR(X141/H141,"0")+IFERROR(X142/H142,"0")</f>
        <v>0</v>
      </c>
      <c r="Y143" s="543">
        <f>IFERROR(Y140/H140,"0")+IFERROR(Y141/H141,"0")+IFERROR(Y142/H142,"0")</f>
        <v>0</v>
      </c>
      <c r="Z143" s="543">
        <f>IFERROR(IF(Z140="",0,Z140),"0")+IFERROR(IF(Z141="",0,Z141),"0")+IFERROR(IF(Z142="",0,Z142),"0")</f>
        <v>0</v>
      </c>
      <c r="AA143" s="544"/>
      <c r="AB143" s="544"/>
      <c r="AC143" s="544"/>
    </row>
    <row r="144" spans="1:68" x14ac:dyDescent="0.2">
      <c r="A144" s="555"/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6"/>
      <c r="P144" s="562" t="s">
        <v>71</v>
      </c>
      <c r="Q144" s="563"/>
      <c r="R144" s="563"/>
      <c r="S144" s="563"/>
      <c r="T144" s="563"/>
      <c r="U144" s="563"/>
      <c r="V144" s="564"/>
      <c r="W144" s="37" t="s">
        <v>69</v>
      </c>
      <c r="X144" s="543">
        <f>IFERROR(SUM(X140:X142),"0")</f>
        <v>0</v>
      </c>
      <c r="Y144" s="543">
        <f>IFERROR(SUM(Y140:Y142),"0")</f>
        <v>0</v>
      </c>
      <c r="Z144" s="37"/>
      <c r="AA144" s="544"/>
      <c r="AB144" s="544"/>
      <c r="AC144" s="544"/>
    </row>
    <row r="145" spans="1:68" ht="14.25" customHeight="1" x14ac:dyDescent="0.25">
      <c r="A145" s="558" t="s">
        <v>64</v>
      </c>
      <c r="B145" s="555"/>
      <c r="C145" s="555"/>
      <c r="D145" s="555"/>
      <c r="E145" s="555"/>
      <c r="F145" s="555"/>
      <c r="G145" s="555"/>
      <c r="H145" s="555"/>
      <c r="I145" s="555"/>
      <c r="J145" s="555"/>
      <c r="K145" s="555"/>
      <c r="L145" s="555"/>
      <c r="M145" s="555"/>
      <c r="N145" s="555"/>
      <c r="O145" s="555"/>
      <c r="P145" s="555"/>
      <c r="Q145" s="555"/>
      <c r="R145" s="555"/>
      <c r="S145" s="555"/>
      <c r="T145" s="555"/>
      <c r="U145" s="555"/>
      <c r="V145" s="555"/>
      <c r="W145" s="555"/>
      <c r="X145" s="555"/>
      <c r="Y145" s="555"/>
      <c r="Z145" s="555"/>
      <c r="AA145" s="537"/>
      <c r="AB145" s="537"/>
      <c r="AC145" s="537"/>
    </row>
    <row r="146" spans="1:68" ht="16.5" customHeight="1" x14ac:dyDescent="0.25">
      <c r="A146" s="54" t="s">
        <v>241</v>
      </c>
      <c r="B146" s="54" t="s">
        <v>242</v>
      </c>
      <c r="C146" s="31">
        <v>4301030895</v>
      </c>
      <c r="D146" s="548">
        <v>4607091387667</v>
      </c>
      <c r="E146" s="549"/>
      <c r="F146" s="540">
        <v>0.9</v>
      </c>
      <c r="G146" s="32">
        <v>10</v>
      </c>
      <c r="H146" s="540">
        <v>9</v>
      </c>
      <c r="I146" s="540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3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244</v>
      </c>
      <c r="B147" s="54" t="s">
        <v>245</v>
      </c>
      <c r="C147" s="31">
        <v>4301030961</v>
      </c>
      <c r="D147" s="548">
        <v>4607091387636</v>
      </c>
      <c r="E147" s="549"/>
      <c r="F147" s="540">
        <v>0.7</v>
      </c>
      <c r="G147" s="32">
        <v>6</v>
      </c>
      <c r="H147" s="540">
        <v>4.2</v>
      </c>
      <c r="I147" s="540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59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customHeight="1" x14ac:dyDescent="0.25">
      <c r="A148" s="54" t="s">
        <v>247</v>
      </c>
      <c r="B148" s="54" t="s">
        <v>248</v>
      </c>
      <c r="C148" s="31">
        <v>4301030963</v>
      </c>
      <c r="D148" s="548">
        <v>4607091382426</v>
      </c>
      <c r="E148" s="549"/>
      <c r="F148" s="540">
        <v>0.9</v>
      </c>
      <c r="G148" s="32">
        <v>10</v>
      </c>
      <c r="H148" s="540">
        <v>9</v>
      </c>
      <c r="I148" s="540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2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6"/>
      <c r="R148" s="546"/>
      <c r="S148" s="546"/>
      <c r="T148" s="547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554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62" t="s">
        <v>71</v>
      </c>
      <c r="Q149" s="563"/>
      <c r="R149" s="563"/>
      <c r="S149" s="563"/>
      <c r="T149" s="563"/>
      <c r="U149" s="563"/>
      <c r="V149" s="564"/>
      <c r="W149" s="37" t="s">
        <v>72</v>
      </c>
      <c r="X149" s="543">
        <f>IFERROR(X146/H146,"0")+IFERROR(X147/H147,"0")+IFERROR(X148/H148,"0")</f>
        <v>0</v>
      </c>
      <c r="Y149" s="543">
        <f>IFERROR(Y146/H146,"0")+IFERROR(Y147/H147,"0")+IFERROR(Y148/H148,"0")</f>
        <v>0</v>
      </c>
      <c r="Z149" s="543">
        <f>IFERROR(IF(Z146="",0,Z146),"0")+IFERROR(IF(Z147="",0,Z147),"0")+IFERROR(IF(Z148="",0,Z148),"0")</f>
        <v>0</v>
      </c>
      <c r="AA149" s="544"/>
      <c r="AB149" s="544"/>
      <c r="AC149" s="544"/>
    </row>
    <row r="150" spans="1:68" x14ac:dyDescent="0.2">
      <c r="A150" s="555"/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6"/>
      <c r="P150" s="562" t="s">
        <v>71</v>
      </c>
      <c r="Q150" s="563"/>
      <c r="R150" s="563"/>
      <c r="S150" s="563"/>
      <c r="T150" s="563"/>
      <c r="U150" s="563"/>
      <c r="V150" s="564"/>
      <c r="W150" s="37" t="s">
        <v>69</v>
      </c>
      <c r="X150" s="543">
        <f>IFERROR(SUM(X146:X148),"0")</f>
        <v>0</v>
      </c>
      <c r="Y150" s="543">
        <f>IFERROR(SUM(Y146:Y148),"0")</f>
        <v>0</v>
      </c>
      <c r="Z150" s="37"/>
      <c r="AA150" s="544"/>
      <c r="AB150" s="544"/>
      <c r="AC150" s="544"/>
    </row>
    <row r="151" spans="1:68" ht="14.25" customHeight="1" x14ac:dyDescent="0.25">
      <c r="A151" s="558" t="s">
        <v>73</v>
      </c>
      <c r="B151" s="555"/>
      <c r="C151" s="555"/>
      <c r="D151" s="555"/>
      <c r="E151" s="555"/>
      <c r="F151" s="555"/>
      <c r="G151" s="555"/>
      <c r="H151" s="555"/>
      <c r="I151" s="555"/>
      <c r="J151" s="555"/>
      <c r="K151" s="555"/>
      <c r="L151" s="555"/>
      <c r="M151" s="555"/>
      <c r="N151" s="555"/>
      <c r="O151" s="555"/>
      <c r="P151" s="555"/>
      <c r="Q151" s="555"/>
      <c r="R151" s="555"/>
      <c r="S151" s="555"/>
      <c r="T151" s="555"/>
      <c r="U151" s="555"/>
      <c r="V151" s="555"/>
      <c r="W151" s="555"/>
      <c r="X151" s="555"/>
      <c r="Y151" s="555"/>
      <c r="Z151" s="555"/>
      <c r="AA151" s="537"/>
      <c r="AB151" s="537"/>
      <c r="AC151" s="537"/>
    </row>
    <row r="152" spans="1:68" ht="27" customHeight="1" x14ac:dyDescent="0.25">
      <c r="A152" s="54" t="s">
        <v>250</v>
      </c>
      <c r="B152" s="54" t="s">
        <v>251</v>
      </c>
      <c r="C152" s="31">
        <v>4301052064</v>
      </c>
      <c r="D152" s="548">
        <v>4680115887459</v>
      </c>
      <c r="E152" s="549"/>
      <c r="F152" s="540">
        <v>0.3</v>
      </c>
      <c r="G152" s="32">
        <v>6</v>
      </c>
      <c r="H152" s="540">
        <v>1.8</v>
      </c>
      <c r="I152" s="540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79" t="s">
        <v>252</v>
      </c>
      <c r="Q152" s="546"/>
      <c r="R152" s="546"/>
      <c r="S152" s="546"/>
      <c r="T152" s="547"/>
      <c r="U152" s="34"/>
      <c r="V152" s="34"/>
      <c r="W152" s="35" t="s">
        <v>69</v>
      </c>
      <c r="X152" s="541">
        <v>0</v>
      </c>
      <c r="Y152" s="542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x14ac:dyDescent="0.2">
      <c r="A153" s="554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62" t="s">
        <v>71</v>
      </c>
      <c r="Q153" s="563"/>
      <c r="R153" s="563"/>
      <c r="S153" s="563"/>
      <c r="T153" s="563"/>
      <c r="U153" s="563"/>
      <c r="V153" s="564"/>
      <c r="W153" s="37" t="s">
        <v>72</v>
      </c>
      <c r="X153" s="543">
        <f>IFERROR(X152/H152,"0")</f>
        <v>0</v>
      </c>
      <c r="Y153" s="543">
        <f>IFERROR(Y152/H152,"0")</f>
        <v>0</v>
      </c>
      <c r="Z153" s="543">
        <f>IFERROR(IF(Z152="",0,Z152),"0")</f>
        <v>0</v>
      </c>
      <c r="AA153" s="544"/>
      <c r="AB153" s="544"/>
      <c r="AC153" s="544"/>
    </row>
    <row r="154" spans="1:68" x14ac:dyDescent="0.2">
      <c r="A154" s="555"/>
      <c r="B154" s="555"/>
      <c r="C154" s="555"/>
      <c r="D154" s="555"/>
      <c r="E154" s="555"/>
      <c r="F154" s="555"/>
      <c r="G154" s="555"/>
      <c r="H154" s="555"/>
      <c r="I154" s="555"/>
      <c r="J154" s="555"/>
      <c r="K154" s="555"/>
      <c r="L154" s="555"/>
      <c r="M154" s="555"/>
      <c r="N154" s="555"/>
      <c r="O154" s="556"/>
      <c r="P154" s="562" t="s">
        <v>71</v>
      </c>
      <c r="Q154" s="563"/>
      <c r="R154" s="563"/>
      <c r="S154" s="563"/>
      <c r="T154" s="563"/>
      <c r="U154" s="563"/>
      <c r="V154" s="564"/>
      <c r="W154" s="37" t="s">
        <v>69</v>
      </c>
      <c r="X154" s="543">
        <f>IFERROR(SUM(X152:X152),"0")</f>
        <v>0</v>
      </c>
      <c r="Y154" s="543">
        <f>IFERROR(SUM(Y152:Y152),"0")</f>
        <v>0</v>
      </c>
      <c r="Z154" s="37"/>
      <c r="AA154" s="544"/>
      <c r="AB154" s="544"/>
      <c r="AC154" s="544"/>
    </row>
    <row r="155" spans="1:68" ht="27.75" customHeight="1" x14ac:dyDescent="0.2">
      <c r="A155" s="638" t="s">
        <v>255</v>
      </c>
      <c r="B155" s="639"/>
      <c r="C155" s="639"/>
      <c r="D155" s="639"/>
      <c r="E155" s="639"/>
      <c r="F155" s="639"/>
      <c r="G155" s="639"/>
      <c r="H155" s="639"/>
      <c r="I155" s="639"/>
      <c r="J155" s="639"/>
      <c r="K155" s="639"/>
      <c r="L155" s="639"/>
      <c r="M155" s="639"/>
      <c r="N155" s="639"/>
      <c r="O155" s="639"/>
      <c r="P155" s="639"/>
      <c r="Q155" s="639"/>
      <c r="R155" s="639"/>
      <c r="S155" s="639"/>
      <c r="T155" s="639"/>
      <c r="U155" s="639"/>
      <c r="V155" s="639"/>
      <c r="W155" s="639"/>
      <c r="X155" s="639"/>
      <c r="Y155" s="639"/>
      <c r="Z155" s="639"/>
      <c r="AA155" s="48"/>
      <c r="AB155" s="48"/>
      <c r="AC155" s="48"/>
    </row>
    <row r="156" spans="1:68" ht="16.5" customHeight="1" x14ac:dyDescent="0.25">
      <c r="A156" s="559" t="s">
        <v>256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6"/>
      <c r="AB156" s="536"/>
      <c r="AC156" s="536"/>
    </row>
    <row r="157" spans="1:68" ht="14.25" customHeight="1" x14ac:dyDescent="0.25">
      <c r="A157" s="558" t="s">
        <v>134</v>
      </c>
      <c r="B157" s="555"/>
      <c r="C157" s="555"/>
      <c r="D157" s="555"/>
      <c r="E157" s="555"/>
      <c r="F157" s="555"/>
      <c r="G157" s="555"/>
      <c r="H157" s="555"/>
      <c r="I157" s="555"/>
      <c r="J157" s="555"/>
      <c r="K157" s="555"/>
      <c r="L157" s="555"/>
      <c r="M157" s="555"/>
      <c r="N157" s="555"/>
      <c r="O157" s="555"/>
      <c r="P157" s="555"/>
      <c r="Q157" s="555"/>
      <c r="R157" s="555"/>
      <c r="S157" s="555"/>
      <c r="T157" s="555"/>
      <c r="U157" s="555"/>
      <c r="V157" s="555"/>
      <c r="W157" s="555"/>
      <c r="X157" s="555"/>
      <c r="Y157" s="555"/>
      <c r="Z157" s="555"/>
      <c r="AA157" s="537"/>
      <c r="AB157" s="537"/>
      <c r="AC157" s="537"/>
    </row>
    <row r="158" spans="1:68" ht="27" customHeight="1" x14ac:dyDescent="0.25">
      <c r="A158" s="54" t="s">
        <v>257</v>
      </c>
      <c r="B158" s="54" t="s">
        <v>258</v>
      </c>
      <c r="C158" s="31">
        <v>4301020323</v>
      </c>
      <c r="D158" s="548">
        <v>4680115886223</v>
      </c>
      <c r="E158" s="549"/>
      <c r="F158" s="540">
        <v>0.33</v>
      </c>
      <c r="G158" s="32">
        <v>6</v>
      </c>
      <c r="H158" s="540">
        <v>1.98</v>
      </c>
      <c r="I158" s="540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6"/>
      <c r="R158" s="546"/>
      <c r="S158" s="546"/>
      <c r="T158" s="547"/>
      <c r="U158" s="34"/>
      <c r="V158" s="34"/>
      <c r="W158" s="35" t="s">
        <v>69</v>
      </c>
      <c r="X158" s="541">
        <v>0</v>
      </c>
      <c r="Y158" s="542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x14ac:dyDescent="0.2">
      <c r="A159" s="554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62" t="s">
        <v>71</v>
      </c>
      <c r="Q159" s="563"/>
      <c r="R159" s="563"/>
      <c r="S159" s="563"/>
      <c r="T159" s="563"/>
      <c r="U159" s="563"/>
      <c r="V159" s="564"/>
      <c r="W159" s="37" t="s">
        <v>72</v>
      </c>
      <c r="X159" s="543">
        <f>IFERROR(X158/H158,"0")</f>
        <v>0</v>
      </c>
      <c r="Y159" s="543">
        <f>IFERROR(Y158/H158,"0")</f>
        <v>0</v>
      </c>
      <c r="Z159" s="543">
        <f>IFERROR(IF(Z158="",0,Z158),"0")</f>
        <v>0</v>
      </c>
      <c r="AA159" s="544"/>
      <c r="AB159" s="544"/>
      <c r="AC159" s="544"/>
    </row>
    <row r="160" spans="1:68" x14ac:dyDescent="0.2">
      <c r="A160" s="555"/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6"/>
      <c r="P160" s="562" t="s">
        <v>71</v>
      </c>
      <c r="Q160" s="563"/>
      <c r="R160" s="563"/>
      <c r="S160" s="563"/>
      <c r="T160" s="563"/>
      <c r="U160" s="563"/>
      <c r="V160" s="564"/>
      <c r="W160" s="37" t="s">
        <v>69</v>
      </c>
      <c r="X160" s="543">
        <f>IFERROR(SUM(X158:X158),"0")</f>
        <v>0</v>
      </c>
      <c r="Y160" s="543">
        <f>IFERROR(SUM(Y158:Y158),"0")</f>
        <v>0</v>
      </c>
      <c r="Z160" s="37"/>
      <c r="AA160" s="544"/>
      <c r="AB160" s="544"/>
      <c r="AC160" s="544"/>
    </row>
    <row r="161" spans="1:68" ht="14.25" customHeight="1" x14ac:dyDescent="0.25">
      <c r="A161" s="558" t="s">
        <v>64</v>
      </c>
      <c r="B161" s="555"/>
      <c r="C161" s="555"/>
      <c r="D161" s="555"/>
      <c r="E161" s="555"/>
      <c r="F161" s="555"/>
      <c r="G161" s="555"/>
      <c r="H161" s="555"/>
      <c r="I161" s="555"/>
      <c r="J161" s="555"/>
      <c r="K161" s="555"/>
      <c r="L161" s="555"/>
      <c r="M161" s="555"/>
      <c r="N161" s="555"/>
      <c r="O161" s="555"/>
      <c r="P161" s="555"/>
      <c r="Q161" s="555"/>
      <c r="R161" s="555"/>
      <c r="S161" s="555"/>
      <c r="T161" s="555"/>
      <c r="U161" s="555"/>
      <c r="V161" s="555"/>
      <c r="W161" s="555"/>
      <c r="X161" s="555"/>
      <c r="Y161" s="555"/>
      <c r="Z161" s="555"/>
      <c r="AA161" s="537"/>
      <c r="AB161" s="537"/>
      <c r="AC161" s="537"/>
    </row>
    <row r="162" spans="1:68" ht="27" customHeight="1" x14ac:dyDescent="0.25">
      <c r="A162" s="54" t="s">
        <v>260</v>
      </c>
      <c r="B162" s="54" t="s">
        <v>261</v>
      </c>
      <c r="C162" s="31">
        <v>4301031443</v>
      </c>
      <c r="D162" s="548">
        <v>4680115887213</v>
      </c>
      <c r="E162" s="549"/>
      <c r="F162" s="540">
        <v>0.3</v>
      </c>
      <c r="G162" s="32">
        <v>6</v>
      </c>
      <c r="H162" s="540">
        <v>1.8</v>
      </c>
      <c r="I162" s="540">
        <v>1.9</v>
      </c>
      <c r="J162" s="32">
        <v>234</v>
      </c>
      <c r="K162" s="32" t="s">
        <v>67</v>
      </c>
      <c r="L162" s="32"/>
      <c r="M162" s="33" t="s">
        <v>68</v>
      </c>
      <c r="N162" s="33"/>
      <c r="O162" s="32">
        <v>45</v>
      </c>
      <c r="P162" s="774" t="s">
        <v>262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ref="Y162:Y171" si="5">IFERROR(IF(X162="",0,CEILING((X162/$H162),1)*$H162),"")</f>
        <v>0</v>
      </c>
      <c r="Z162" s="36" t="str">
        <f>IFERROR(IF(Y162=0,"",ROUNDUP(Y162/H162,0)*0.00502),"")</f>
        <v/>
      </c>
      <c r="AA162" s="56"/>
      <c r="AB162" s="57" t="s">
        <v>253</v>
      </c>
      <c r="AC162" s="193" t="s">
        <v>263</v>
      </c>
      <c r="AG162" s="64"/>
      <c r="AJ162" s="68"/>
      <c r="AK162" s="68">
        <v>0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customHeight="1" x14ac:dyDescent="0.25">
      <c r="A163" s="54" t="s">
        <v>264</v>
      </c>
      <c r="B163" s="54" t="s">
        <v>265</v>
      </c>
      <c r="C163" s="31">
        <v>4301031191</v>
      </c>
      <c r="D163" s="548">
        <v>4680115880993</v>
      </c>
      <c r="E163" s="549"/>
      <c r="F163" s="540">
        <v>0.7</v>
      </c>
      <c r="G163" s="32">
        <v>6</v>
      </c>
      <c r="H163" s="540">
        <v>4.2</v>
      </c>
      <c r="I163" s="540">
        <v>4.45</v>
      </c>
      <c r="J163" s="32">
        <v>132</v>
      </c>
      <c r="K163" s="32" t="s">
        <v>109</v>
      </c>
      <c r="L163" s="32" t="s">
        <v>196</v>
      </c>
      <c r="M163" s="33" t="s">
        <v>68</v>
      </c>
      <c r="N163" s="33"/>
      <c r="O163" s="32">
        <v>40</v>
      </c>
      <c r="P163" s="70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266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267</v>
      </c>
      <c r="B164" s="54" t="s">
        <v>268</v>
      </c>
      <c r="C164" s="31">
        <v>4301031204</v>
      </c>
      <c r="D164" s="548">
        <v>4680115881761</v>
      </c>
      <c r="E164" s="549"/>
      <c r="F164" s="540">
        <v>0.7</v>
      </c>
      <c r="G164" s="32">
        <v>6</v>
      </c>
      <c r="H164" s="540">
        <v>4.2</v>
      </c>
      <c r="I164" s="540">
        <v>4.45</v>
      </c>
      <c r="J164" s="32">
        <v>132</v>
      </c>
      <c r="K164" s="32" t="s">
        <v>109</v>
      </c>
      <c r="L164" s="32"/>
      <c r="M164" s="33" t="s">
        <v>68</v>
      </c>
      <c r="N164" s="33"/>
      <c r="O164" s="32">
        <v>40</v>
      </c>
      <c r="P164" s="78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269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270</v>
      </c>
      <c r="B165" s="54" t="s">
        <v>271</v>
      </c>
      <c r="C165" s="31">
        <v>4301031201</v>
      </c>
      <c r="D165" s="548">
        <v>4680115881563</v>
      </c>
      <c r="E165" s="549"/>
      <c r="F165" s="540">
        <v>0.7</v>
      </c>
      <c r="G165" s="32">
        <v>6</v>
      </c>
      <c r="H165" s="540">
        <v>4.2</v>
      </c>
      <c r="I165" s="540">
        <v>4.3899999999999997</v>
      </c>
      <c r="J165" s="32">
        <v>132</v>
      </c>
      <c r="K165" s="32" t="s">
        <v>109</v>
      </c>
      <c r="L165" s="32" t="s">
        <v>196</v>
      </c>
      <c r="M165" s="33" t="s">
        <v>68</v>
      </c>
      <c r="N165" s="33"/>
      <c r="O165" s="32">
        <v>40</v>
      </c>
      <c r="P165" s="57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89</v>
      </c>
      <c r="Y165" s="542">
        <f t="shared" si="5"/>
        <v>92.4</v>
      </c>
      <c r="Z165" s="36">
        <f>IFERROR(IF(Y165=0,"",ROUNDUP(Y165/H165,0)*0.00902),"")</f>
        <v>0.19844000000000001</v>
      </c>
      <c r="AA165" s="56"/>
      <c r="AB165" s="57"/>
      <c r="AC165" s="199" t="s">
        <v>272</v>
      </c>
      <c r="AG165" s="64"/>
      <c r="AJ165" s="68" t="s">
        <v>106</v>
      </c>
      <c r="AK165" s="68">
        <v>50.4</v>
      </c>
      <c r="BB165" s="200" t="s">
        <v>1</v>
      </c>
      <c r="BM165" s="64">
        <f t="shared" si="6"/>
        <v>93.026190476190465</v>
      </c>
      <c r="BN165" s="64">
        <f t="shared" si="7"/>
        <v>96.579999999999984</v>
      </c>
      <c r="BO165" s="64">
        <f t="shared" si="8"/>
        <v>0.16053391053391053</v>
      </c>
      <c r="BP165" s="64">
        <f t="shared" si="9"/>
        <v>0.16666666666666669</v>
      </c>
    </row>
    <row r="166" spans="1:68" ht="27" customHeight="1" x14ac:dyDescent="0.25">
      <c r="A166" s="54" t="s">
        <v>273</v>
      </c>
      <c r="B166" s="54" t="s">
        <v>274</v>
      </c>
      <c r="C166" s="31">
        <v>4301031199</v>
      </c>
      <c r="D166" s="548">
        <v>4680115880986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275</v>
      </c>
      <c r="M166" s="33" t="s">
        <v>68</v>
      </c>
      <c r="N166" s="33"/>
      <c r="O166" s="32">
        <v>40</v>
      </c>
      <c r="P166" s="62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266</v>
      </c>
      <c r="AG166" s="64"/>
      <c r="AJ166" s="68" t="s">
        <v>106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276</v>
      </c>
      <c r="B167" s="54" t="s">
        <v>277</v>
      </c>
      <c r="C167" s="31">
        <v>4301031205</v>
      </c>
      <c r="D167" s="548">
        <v>4680115881785</v>
      </c>
      <c r="E167" s="549"/>
      <c r="F167" s="540">
        <v>0.35</v>
      </c>
      <c r="G167" s="32">
        <v>6</v>
      </c>
      <c r="H167" s="540">
        <v>2.1</v>
      </c>
      <c r="I167" s="540">
        <v>2.23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6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269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customHeight="1" x14ac:dyDescent="0.25">
      <c r="A168" s="54" t="s">
        <v>278</v>
      </c>
      <c r="B168" s="54" t="s">
        <v>279</v>
      </c>
      <c r="C168" s="31">
        <v>4301031399</v>
      </c>
      <c r="D168" s="548">
        <v>4680115886537</v>
      </c>
      <c r="E168" s="549"/>
      <c r="F168" s="540">
        <v>0.3</v>
      </c>
      <c r="G168" s="32">
        <v>6</v>
      </c>
      <c r="H168" s="540">
        <v>1.8</v>
      </c>
      <c r="I168" s="540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42</v>
      </c>
      <c r="Y168" s="542">
        <f t="shared" si="5"/>
        <v>43.2</v>
      </c>
      <c r="Z168" s="36">
        <f>IFERROR(IF(Y168=0,"",ROUNDUP(Y168/H168,0)*0.00502),"")</f>
        <v>0.12048</v>
      </c>
      <c r="AA168" s="56"/>
      <c r="AB168" s="57"/>
      <c r="AC168" s="205" t="s">
        <v>280</v>
      </c>
      <c r="AG168" s="64"/>
      <c r="AJ168" s="68"/>
      <c r="AK168" s="68">
        <v>0</v>
      </c>
      <c r="BB168" s="206" t="s">
        <v>1</v>
      </c>
      <c r="BM168" s="64">
        <f t="shared" si="6"/>
        <v>45.033333333333331</v>
      </c>
      <c r="BN168" s="64">
        <f t="shared" si="7"/>
        <v>46.32</v>
      </c>
      <c r="BO168" s="64">
        <f t="shared" si="8"/>
        <v>9.9715099715099717E-2</v>
      </c>
      <c r="BP168" s="64">
        <f t="shared" si="9"/>
        <v>0.10256410256410257</v>
      </c>
    </row>
    <row r="169" spans="1:68" ht="37.5" customHeight="1" x14ac:dyDescent="0.25">
      <c r="A169" s="54" t="s">
        <v>281</v>
      </c>
      <c r="B169" s="54" t="s">
        <v>282</v>
      </c>
      <c r="C169" s="31">
        <v>4301031202</v>
      </c>
      <c r="D169" s="548">
        <v>4680115881679</v>
      </c>
      <c r="E169" s="549"/>
      <c r="F169" s="540">
        <v>0.35</v>
      </c>
      <c r="G169" s="32">
        <v>6</v>
      </c>
      <c r="H169" s="540">
        <v>2.1</v>
      </c>
      <c r="I169" s="540">
        <v>2.2000000000000002</v>
      </c>
      <c r="J169" s="32">
        <v>234</v>
      </c>
      <c r="K169" s="32" t="s">
        <v>67</v>
      </c>
      <c r="L169" s="32"/>
      <c r="M169" s="33" t="s">
        <v>68</v>
      </c>
      <c r="N169" s="33"/>
      <c r="O169" s="32">
        <v>40</v>
      </c>
      <c r="P169" s="67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42</v>
      </c>
      <c r="Y169" s="542">
        <f t="shared" si="5"/>
        <v>42</v>
      </c>
      <c r="Z169" s="36">
        <f>IFERROR(IF(Y169=0,"",ROUNDUP(Y169/H169,0)*0.00502),"")</f>
        <v>0.1004</v>
      </c>
      <c r="AA169" s="56"/>
      <c r="AB169" s="57"/>
      <c r="AC169" s="207" t="s">
        <v>272</v>
      </c>
      <c r="AG169" s="64"/>
      <c r="AJ169" s="68"/>
      <c r="AK169" s="68">
        <v>0</v>
      </c>
      <c r="BB169" s="208" t="s">
        <v>1</v>
      </c>
      <c r="BM169" s="64">
        <f t="shared" si="6"/>
        <v>44</v>
      </c>
      <c r="BN169" s="64">
        <f t="shared" si="7"/>
        <v>44</v>
      </c>
      <c r="BO169" s="64">
        <f t="shared" si="8"/>
        <v>8.5470085470085472E-2</v>
      </c>
      <c r="BP169" s="64">
        <f t="shared" si="9"/>
        <v>8.5470085470085472E-2</v>
      </c>
    </row>
    <row r="170" spans="1:68" ht="27" customHeight="1" x14ac:dyDescent="0.25">
      <c r="A170" s="54" t="s">
        <v>283</v>
      </c>
      <c r="B170" s="54" t="s">
        <v>284</v>
      </c>
      <c r="C170" s="31">
        <v>4301031158</v>
      </c>
      <c r="D170" s="548">
        <v>4680115880191</v>
      </c>
      <c r="E170" s="549"/>
      <c r="F170" s="540">
        <v>0.4</v>
      </c>
      <c r="G170" s="32">
        <v>6</v>
      </c>
      <c r="H170" s="540">
        <v>2.4</v>
      </c>
      <c r="I170" s="540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59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285</v>
      </c>
      <c r="B171" s="54" t="s">
        <v>286</v>
      </c>
      <c r="C171" s="31">
        <v>4301031245</v>
      </c>
      <c r="D171" s="548">
        <v>4680115883963</v>
      </c>
      <c r="E171" s="549"/>
      <c r="F171" s="540">
        <v>0.28000000000000003</v>
      </c>
      <c r="G171" s="32">
        <v>6</v>
      </c>
      <c r="H171" s="540">
        <v>1.68</v>
      </c>
      <c r="I171" s="540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1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46"/>
      <c r="R171" s="546"/>
      <c r="S171" s="546"/>
      <c r="T171" s="547"/>
      <c r="U171" s="34"/>
      <c r="V171" s="34"/>
      <c r="W171" s="35" t="s">
        <v>69</v>
      </c>
      <c r="X171" s="541">
        <v>0</v>
      </c>
      <c r="Y171" s="542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287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4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62" t="s">
        <v>71</v>
      </c>
      <c r="Q172" s="563"/>
      <c r="R172" s="563"/>
      <c r="S172" s="563"/>
      <c r="T172" s="563"/>
      <c r="U172" s="563"/>
      <c r="V172" s="564"/>
      <c r="W172" s="37" t="s">
        <v>72</v>
      </c>
      <c r="X172" s="543">
        <f>IFERROR(X162/H162,"0")+IFERROR(X163/H163,"0")+IFERROR(X164/H164,"0")+IFERROR(X165/H165,"0")+IFERROR(X166/H166,"0")+IFERROR(X167/H167,"0")+IFERROR(X168/H168,"0")+IFERROR(X169/H169,"0")+IFERROR(X170/H170,"0")+IFERROR(X171/H171,"0")</f>
        <v>64.523809523809518</v>
      </c>
      <c r="Y172" s="543">
        <f>IFERROR(Y162/H162,"0")+IFERROR(Y163/H163,"0")+IFERROR(Y164/H164,"0")+IFERROR(Y165/H165,"0")+IFERROR(Y166/H166,"0")+IFERROR(Y167/H167,"0")+IFERROR(Y168/H168,"0")+IFERROR(Y169/H169,"0")+IFERROR(Y170/H170,"0")+IFERROR(Y171/H171,"0")</f>
        <v>66</v>
      </c>
      <c r="Z172" s="5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0.41931999999999997</v>
      </c>
      <c r="AA172" s="544"/>
      <c r="AB172" s="544"/>
      <c r="AC172" s="544"/>
    </row>
    <row r="173" spans="1:68" x14ac:dyDescent="0.2">
      <c r="A173" s="555"/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6"/>
      <c r="P173" s="562" t="s">
        <v>71</v>
      </c>
      <c r="Q173" s="563"/>
      <c r="R173" s="563"/>
      <c r="S173" s="563"/>
      <c r="T173" s="563"/>
      <c r="U173" s="563"/>
      <c r="V173" s="564"/>
      <c r="W173" s="37" t="s">
        <v>69</v>
      </c>
      <c r="X173" s="543">
        <f>IFERROR(SUM(X162:X171),"0")</f>
        <v>173</v>
      </c>
      <c r="Y173" s="543">
        <f>IFERROR(SUM(Y162:Y171),"0")</f>
        <v>177.60000000000002</v>
      </c>
      <c r="Z173" s="37"/>
      <c r="AA173" s="544"/>
      <c r="AB173" s="544"/>
      <c r="AC173" s="544"/>
    </row>
    <row r="174" spans="1:68" ht="14.25" customHeight="1" x14ac:dyDescent="0.25">
      <c r="A174" s="558" t="s">
        <v>91</v>
      </c>
      <c r="B174" s="555"/>
      <c r="C174" s="555"/>
      <c r="D174" s="555"/>
      <c r="E174" s="555"/>
      <c r="F174" s="555"/>
      <c r="G174" s="555"/>
      <c r="H174" s="555"/>
      <c r="I174" s="555"/>
      <c r="J174" s="555"/>
      <c r="K174" s="555"/>
      <c r="L174" s="555"/>
      <c r="M174" s="555"/>
      <c r="N174" s="555"/>
      <c r="O174" s="555"/>
      <c r="P174" s="555"/>
      <c r="Q174" s="555"/>
      <c r="R174" s="555"/>
      <c r="S174" s="555"/>
      <c r="T174" s="555"/>
      <c r="U174" s="555"/>
      <c r="V174" s="555"/>
      <c r="W174" s="555"/>
      <c r="X174" s="555"/>
      <c r="Y174" s="555"/>
      <c r="Z174" s="555"/>
      <c r="AA174" s="537"/>
      <c r="AB174" s="537"/>
      <c r="AC174" s="537"/>
    </row>
    <row r="175" spans="1:68" ht="27" customHeight="1" x14ac:dyDescent="0.25">
      <c r="A175" s="54" t="s">
        <v>288</v>
      </c>
      <c r="B175" s="54" t="s">
        <v>289</v>
      </c>
      <c r="C175" s="31">
        <v>4301032053</v>
      </c>
      <c r="D175" s="548">
        <v>4680115886780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290</v>
      </c>
      <c r="L175" s="32"/>
      <c r="M175" s="33" t="s">
        <v>291</v>
      </c>
      <c r="N175" s="33"/>
      <c r="O175" s="32">
        <v>60</v>
      </c>
      <c r="P175" s="77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292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293</v>
      </c>
      <c r="B176" s="54" t="s">
        <v>294</v>
      </c>
      <c r="C176" s="31">
        <v>4301032051</v>
      </c>
      <c r="D176" s="548">
        <v>4680115886742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290</v>
      </c>
      <c r="L176" s="32"/>
      <c r="M176" s="33" t="s">
        <v>291</v>
      </c>
      <c r="N176" s="33"/>
      <c r="O176" s="32">
        <v>90</v>
      </c>
      <c r="P176" s="79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295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customHeight="1" x14ac:dyDescent="0.25">
      <c r="A177" s="54" t="s">
        <v>296</v>
      </c>
      <c r="B177" s="54" t="s">
        <v>297</v>
      </c>
      <c r="C177" s="31">
        <v>4301032052</v>
      </c>
      <c r="D177" s="548">
        <v>4680115886766</v>
      </c>
      <c r="E177" s="549"/>
      <c r="F177" s="540">
        <v>7.0000000000000007E-2</v>
      </c>
      <c r="G177" s="32">
        <v>18</v>
      </c>
      <c r="H177" s="540">
        <v>1.26</v>
      </c>
      <c r="I177" s="540">
        <v>1.45</v>
      </c>
      <c r="J177" s="32">
        <v>216</v>
      </c>
      <c r="K177" s="32" t="s">
        <v>290</v>
      </c>
      <c r="L177" s="32"/>
      <c r="M177" s="33" t="s">
        <v>291</v>
      </c>
      <c r="N177" s="33"/>
      <c r="O177" s="32">
        <v>90</v>
      </c>
      <c r="P177" s="77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46"/>
      <c r="R177" s="546"/>
      <c r="S177" s="546"/>
      <c r="T177" s="547"/>
      <c r="U177" s="34"/>
      <c r="V177" s="34"/>
      <c r="W177" s="35" t="s">
        <v>69</v>
      </c>
      <c r="X177" s="541">
        <v>2</v>
      </c>
      <c r="Y177" s="542">
        <f>IFERROR(IF(X177="",0,CEILING((X177/$H177),1)*$H177),"")</f>
        <v>2.52</v>
      </c>
      <c r="Z177" s="36">
        <f>IFERROR(IF(Y177=0,"",ROUNDUP(Y177/H177,0)*0.0059),"")</f>
        <v>1.18E-2</v>
      </c>
      <c r="AA177" s="56"/>
      <c r="AB177" s="57"/>
      <c r="AC177" s="217" t="s">
        <v>295</v>
      </c>
      <c r="AG177" s="64"/>
      <c r="AJ177" s="68"/>
      <c r="AK177" s="68">
        <v>0</v>
      </c>
      <c r="BB177" s="218" t="s">
        <v>1</v>
      </c>
      <c r="BM177" s="64">
        <f>IFERROR(X177*I177/H177,"0")</f>
        <v>2.3015873015873014</v>
      </c>
      <c r="BN177" s="64">
        <f>IFERROR(Y177*I177/H177,"0")</f>
        <v>2.9</v>
      </c>
      <c r="BO177" s="64">
        <f>IFERROR(1/J177*(X177/H177),"0")</f>
        <v>7.3486184597295699E-3</v>
      </c>
      <c r="BP177" s="64">
        <f>IFERROR(1/J177*(Y177/H177),"0")</f>
        <v>9.2592592592592587E-3</v>
      </c>
    </row>
    <row r="178" spans="1:68" x14ac:dyDescent="0.2">
      <c r="A178" s="554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62" t="s">
        <v>71</v>
      </c>
      <c r="Q178" s="563"/>
      <c r="R178" s="563"/>
      <c r="S178" s="563"/>
      <c r="T178" s="563"/>
      <c r="U178" s="563"/>
      <c r="V178" s="564"/>
      <c r="W178" s="37" t="s">
        <v>72</v>
      </c>
      <c r="X178" s="543">
        <f>IFERROR(X175/H175,"0")+IFERROR(X176/H176,"0")+IFERROR(X177/H177,"0")</f>
        <v>1.5873015873015872</v>
      </c>
      <c r="Y178" s="543">
        <f>IFERROR(Y175/H175,"0")+IFERROR(Y176/H176,"0")+IFERROR(Y177/H177,"0")</f>
        <v>2</v>
      </c>
      <c r="Z178" s="543">
        <f>IFERROR(IF(Z175="",0,Z175),"0")+IFERROR(IF(Z176="",0,Z176),"0")+IFERROR(IF(Z177="",0,Z177),"0")</f>
        <v>1.18E-2</v>
      </c>
      <c r="AA178" s="544"/>
      <c r="AB178" s="544"/>
      <c r="AC178" s="544"/>
    </row>
    <row r="179" spans="1:68" x14ac:dyDescent="0.2">
      <c r="A179" s="555"/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6"/>
      <c r="P179" s="562" t="s">
        <v>71</v>
      </c>
      <c r="Q179" s="563"/>
      <c r="R179" s="563"/>
      <c r="S179" s="563"/>
      <c r="T179" s="563"/>
      <c r="U179" s="563"/>
      <c r="V179" s="564"/>
      <c r="W179" s="37" t="s">
        <v>69</v>
      </c>
      <c r="X179" s="543">
        <f>IFERROR(SUM(X175:X177),"0")</f>
        <v>2</v>
      </c>
      <c r="Y179" s="543">
        <f>IFERROR(SUM(Y175:Y177),"0")</f>
        <v>2.52</v>
      </c>
      <c r="Z179" s="37"/>
      <c r="AA179" s="544"/>
      <c r="AB179" s="544"/>
      <c r="AC179" s="544"/>
    </row>
    <row r="180" spans="1:68" ht="14.25" customHeight="1" x14ac:dyDescent="0.25">
      <c r="A180" s="558" t="s">
        <v>298</v>
      </c>
      <c r="B180" s="555"/>
      <c r="C180" s="555"/>
      <c r="D180" s="555"/>
      <c r="E180" s="555"/>
      <c r="F180" s="555"/>
      <c r="G180" s="555"/>
      <c r="H180" s="555"/>
      <c r="I180" s="555"/>
      <c r="J180" s="555"/>
      <c r="K180" s="555"/>
      <c r="L180" s="555"/>
      <c r="M180" s="555"/>
      <c r="N180" s="555"/>
      <c r="O180" s="555"/>
      <c r="P180" s="555"/>
      <c r="Q180" s="555"/>
      <c r="R180" s="555"/>
      <c r="S180" s="555"/>
      <c r="T180" s="555"/>
      <c r="U180" s="555"/>
      <c r="V180" s="555"/>
      <c r="W180" s="555"/>
      <c r="X180" s="555"/>
      <c r="Y180" s="555"/>
      <c r="Z180" s="555"/>
      <c r="AA180" s="537"/>
      <c r="AB180" s="537"/>
      <c r="AC180" s="537"/>
    </row>
    <row r="181" spans="1:68" ht="27" customHeight="1" x14ac:dyDescent="0.25">
      <c r="A181" s="54" t="s">
        <v>299</v>
      </c>
      <c r="B181" s="54" t="s">
        <v>300</v>
      </c>
      <c r="C181" s="31">
        <v>4301170013</v>
      </c>
      <c r="D181" s="548">
        <v>4680115886797</v>
      </c>
      <c r="E181" s="549"/>
      <c r="F181" s="540">
        <v>7.0000000000000007E-2</v>
      </c>
      <c r="G181" s="32">
        <v>18</v>
      </c>
      <c r="H181" s="540">
        <v>1.26</v>
      </c>
      <c r="I181" s="540">
        <v>1.45</v>
      </c>
      <c r="J181" s="32">
        <v>216</v>
      </c>
      <c r="K181" s="32" t="s">
        <v>290</v>
      </c>
      <c r="L181" s="32"/>
      <c r="M181" s="33" t="s">
        <v>291</v>
      </c>
      <c r="N181" s="33"/>
      <c r="O181" s="32">
        <v>90</v>
      </c>
      <c r="P181" s="83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46"/>
      <c r="R181" s="546"/>
      <c r="S181" s="546"/>
      <c r="T181" s="547"/>
      <c r="U181" s="34"/>
      <c r="V181" s="34"/>
      <c r="W181" s="35" t="s">
        <v>69</v>
      </c>
      <c r="X181" s="541">
        <v>0</v>
      </c>
      <c r="Y181" s="542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295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x14ac:dyDescent="0.2">
      <c r="A182" s="554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62" t="s">
        <v>71</v>
      </c>
      <c r="Q182" s="563"/>
      <c r="R182" s="563"/>
      <c r="S182" s="563"/>
      <c r="T182" s="563"/>
      <c r="U182" s="563"/>
      <c r="V182" s="564"/>
      <c r="W182" s="37" t="s">
        <v>72</v>
      </c>
      <c r="X182" s="543">
        <f>IFERROR(X181/H181,"0")</f>
        <v>0</v>
      </c>
      <c r="Y182" s="543">
        <f>IFERROR(Y181/H181,"0")</f>
        <v>0</v>
      </c>
      <c r="Z182" s="543">
        <f>IFERROR(IF(Z181="",0,Z181),"0")</f>
        <v>0</v>
      </c>
      <c r="AA182" s="544"/>
      <c r="AB182" s="544"/>
      <c r="AC182" s="544"/>
    </row>
    <row r="183" spans="1:68" x14ac:dyDescent="0.2">
      <c r="A183" s="555"/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6"/>
      <c r="P183" s="562" t="s">
        <v>71</v>
      </c>
      <c r="Q183" s="563"/>
      <c r="R183" s="563"/>
      <c r="S183" s="563"/>
      <c r="T183" s="563"/>
      <c r="U183" s="563"/>
      <c r="V183" s="564"/>
      <c r="W183" s="37" t="s">
        <v>69</v>
      </c>
      <c r="X183" s="543">
        <f>IFERROR(SUM(X181:X181),"0")</f>
        <v>0</v>
      </c>
      <c r="Y183" s="543">
        <f>IFERROR(SUM(Y181:Y181),"0")</f>
        <v>0</v>
      </c>
      <c r="Z183" s="37"/>
      <c r="AA183" s="544"/>
      <c r="AB183" s="544"/>
      <c r="AC183" s="544"/>
    </row>
    <row r="184" spans="1:68" ht="16.5" customHeight="1" x14ac:dyDescent="0.25">
      <c r="A184" s="559" t="s">
        <v>301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6"/>
      <c r="AB184" s="536"/>
      <c r="AC184" s="536"/>
    </row>
    <row r="185" spans="1:68" ht="14.25" customHeight="1" x14ac:dyDescent="0.25">
      <c r="A185" s="558" t="s">
        <v>99</v>
      </c>
      <c r="B185" s="555"/>
      <c r="C185" s="555"/>
      <c r="D185" s="555"/>
      <c r="E185" s="555"/>
      <c r="F185" s="555"/>
      <c r="G185" s="555"/>
      <c r="H185" s="555"/>
      <c r="I185" s="555"/>
      <c r="J185" s="555"/>
      <c r="K185" s="555"/>
      <c r="L185" s="555"/>
      <c r="M185" s="555"/>
      <c r="N185" s="555"/>
      <c r="O185" s="555"/>
      <c r="P185" s="555"/>
      <c r="Q185" s="555"/>
      <c r="R185" s="555"/>
      <c r="S185" s="555"/>
      <c r="T185" s="555"/>
      <c r="U185" s="555"/>
      <c r="V185" s="555"/>
      <c r="W185" s="555"/>
      <c r="X185" s="555"/>
      <c r="Y185" s="555"/>
      <c r="Z185" s="555"/>
      <c r="AA185" s="537"/>
      <c r="AB185" s="537"/>
      <c r="AC185" s="537"/>
    </row>
    <row r="186" spans="1:68" ht="16.5" customHeight="1" x14ac:dyDescent="0.25">
      <c r="A186" s="54" t="s">
        <v>302</v>
      </c>
      <c r="B186" s="54" t="s">
        <v>303</v>
      </c>
      <c r="C186" s="31">
        <v>4301011450</v>
      </c>
      <c r="D186" s="548">
        <v>4680115881402</v>
      </c>
      <c r="E186" s="549"/>
      <c r="F186" s="540">
        <v>1.35</v>
      </c>
      <c r="G186" s="32">
        <v>8</v>
      </c>
      <c r="H186" s="540">
        <v>10.8</v>
      </c>
      <c r="I186" s="540">
        <v>11.21</v>
      </c>
      <c r="J186" s="32">
        <v>64</v>
      </c>
      <c r="K186" s="32" t="s">
        <v>102</v>
      </c>
      <c r="L186" s="32"/>
      <c r="M186" s="33" t="s">
        <v>104</v>
      </c>
      <c r="N186" s="33"/>
      <c r="O186" s="32">
        <v>55</v>
      </c>
      <c r="P186" s="83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304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customHeight="1" x14ac:dyDescent="0.25">
      <c r="A187" s="54" t="s">
        <v>305</v>
      </c>
      <c r="B187" s="54" t="s">
        <v>306</v>
      </c>
      <c r="C187" s="31">
        <v>4301011768</v>
      </c>
      <c r="D187" s="548">
        <v>4680115881396</v>
      </c>
      <c r="E187" s="549"/>
      <c r="F187" s="540">
        <v>0.45</v>
      </c>
      <c r="G187" s="32">
        <v>6</v>
      </c>
      <c r="H187" s="540">
        <v>2.7</v>
      </c>
      <c r="I187" s="540">
        <v>2.88</v>
      </c>
      <c r="J187" s="32">
        <v>182</v>
      </c>
      <c r="K187" s="32" t="s">
        <v>76</v>
      </c>
      <c r="L187" s="32"/>
      <c r="M187" s="33" t="s">
        <v>104</v>
      </c>
      <c r="N187" s="33"/>
      <c r="O187" s="32">
        <v>55</v>
      </c>
      <c r="P187" s="65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46"/>
      <c r="R187" s="546"/>
      <c r="S187" s="546"/>
      <c r="T187" s="547"/>
      <c r="U187" s="34"/>
      <c r="V187" s="34"/>
      <c r="W187" s="35" t="s">
        <v>69</v>
      </c>
      <c r="X187" s="541">
        <v>0</v>
      </c>
      <c r="Y187" s="5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304</v>
      </c>
      <c r="AG187" s="64"/>
      <c r="AJ187" s="68"/>
      <c r="AK187" s="68">
        <v>0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54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62" t="s">
        <v>71</v>
      </c>
      <c r="Q188" s="563"/>
      <c r="R188" s="563"/>
      <c r="S188" s="563"/>
      <c r="T188" s="563"/>
      <c r="U188" s="563"/>
      <c r="V188" s="564"/>
      <c r="W188" s="37" t="s">
        <v>72</v>
      </c>
      <c r="X188" s="543">
        <f>IFERROR(X186/H186,"0")+IFERROR(X187/H187,"0")</f>
        <v>0</v>
      </c>
      <c r="Y188" s="543">
        <f>IFERROR(Y186/H186,"0")+IFERROR(Y187/H187,"0")</f>
        <v>0</v>
      </c>
      <c r="Z188" s="543">
        <f>IFERROR(IF(Z186="",0,Z186),"0")+IFERROR(IF(Z187="",0,Z187),"0")</f>
        <v>0</v>
      </c>
      <c r="AA188" s="544"/>
      <c r="AB188" s="544"/>
      <c r="AC188" s="544"/>
    </row>
    <row r="189" spans="1:68" x14ac:dyDescent="0.2">
      <c r="A189" s="555"/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6"/>
      <c r="P189" s="562" t="s">
        <v>71</v>
      </c>
      <c r="Q189" s="563"/>
      <c r="R189" s="563"/>
      <c r="S189" s="563"/>
      <c r="T189" s="563"/>
      <c r="U189" s="563"/>
      <c r="V189" s="564"/>
      <c r="W189" s="37" t="s">
        <v>69</v>
      </c>
      <c r="X189" s="543">
        <f>IFERROR(SUM(X186:X187),"0")</f>
        <v>0</v>
      </c>
      <c r="Y189" s="543">
        <f>IFERROR(SUM(Y186:Y187),"0")</f>
        <v>0</v>
      </c>
      <c r="Z189" s="37"/>
      <c r="AA189" s="544"/>
      <c r="AB189" s="544"/>
      <c r="AC189" s="544"/>
    </row>
    <row r="190" spans="1:68" ht="14.25" customHeight="1" x14ac:dyDescent="0.25">
      <c r="A190" s="558" t="s">
        <v>134</v>
      </c>
      <c r="B190" s="555"/>
      <c r="C190" s="555"/>
      <c r="D190" s="555"/>
      <c r="E190" s="555"/>
      <c r="F190" s="555"/>
      <c r="G190" s="555"/>
      <c r="H190" s="555"/>
      <c r="I190" s="555"/>
      <c r="J190" s="555"/>
      <c r="K190" s="555"/>
      <c r="L190" s="555"/>
      <c r="M190" s="555"/>
      <c r="N190" s="555"/>
      <c r="O190" s="555"/>
      <c r="P190" s="555"/>
      <c r="Q190" s="555"/>
      <c r="R190" s="555"/>
      <c r="S190" s="555"/>
      <c r="T190" s="555"/>
      <c r="U190" s="555"/>
      <c r="V190" s="555"/>
      <c r="W190" s="555"/>
      <c r="X190" s="555"/>
      <c r="Y190" s="555"/>
      <c r="Z190" s="555"/>
      <c r="AA190" s="537"/>
      <c r="AB190" s="537"/>
      <c r="AC190" s="537"/>
    </row>
    <row r="191" spans="1:68" ht="16.5" customHeight="1" x14ac:dyDescent="0.25">
      <c r="A191" s="54" t="s">
        <v>307</v>
      </c>
      <c r="B191" s="54" t="s">
        <v>308</v>
      </c>
      <c r="C191" s="31">
        <v>4301020261</v>
      </c>
      <c r="D191" s="548">
        <v>4680115882935</v>
      </c>
      <c r="E191" s="549"/>
      <c r="F191" s="540">
        <v>1.35</v>
      </c>
      <c r="G191" s="32">
        <v>8</v>
      </c>
      <c r="H191" s="540">
        <v>10.8</v>
      </c>
      <c r="I191" s="540">
        <v>11.21</v>
      </c>
      <c r="J191" s="32">
        <v>64</v>
      </c>
      <c r="K191" s="32" t="s">
        <v>102</v>
      </c>
      <c r="L191" s="32"/>
      <c r="M191" s="33" t="s">
        <v>104</v>
      </c>
      <c r="N191" s="33"/>
      <c r="O191" s="32">
        <v>50</v>
      </c>
      <c r="P191" s="82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309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310</v>
      </c>
      <c r="B192" s="54" t="s">
        <v>311</v>
      </c>
      <c r="C192" s="31">
        <v>4301020220</v>
      </c>
      <c r="D192" s="548">
        <v>4680115880764</v>
      </c>
      <c r="E192" s="549"/>
      <c r="F192" s="540">
        <v>0.35</v>
      </c>
      <c r="G192" s="32">
        <v>6</v>
      </c>
      <c r="H192" s="540">
        <v>2.1</v>
      </c>
      <c r="I192" s="540">
        <v>2.2799999999999998</v>
      </c>
      <c r="J192" s="32">
        <v>182</v>
      </c>
      <c r="K192" s="32" t="s">
        <v>76</v>
      </c>
      <c r="L192" s="32"/>
      <c r="M192" s="33" t="s">
        <v>104</v>
      </c>
      <c r="N192" s="33"/>
      <c r="O192" s="32">
        <v>50</v>
      </c>
      <c r="P192" s="63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46"/>
      <c r="R192" s="546"/>
      <c r="S192" s="546"/>
      <c r="T192" s="547"/>
      <c r="U192" s="34"/>
      <c r="V192" s="34"/>
      <c r="W192" s="35" t="s">
        <v>69</v>
      </c>
      <c r="X192" s="541">
        <v>0</v>
      </c>
      <c r="Y192" s="542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309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54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62" t="s">
        <v>71</v>
      </c>
      <c r="Q193" s="563"/>
      <c r="R193" s="563"/>
      <c r="S193" s="563"/>
      <c r="T193" s="563"/>
      <c r="U193" s="563"/>
      <c r="V193" s="564"/>
      <c r="W193" s="37" t="s">
        <v>72</v>
      </c>
      <c r="X193" s="543">
        <f>IFERROR(X191/H191,"0")+IFERROR(X192/H192,"0")</f>
        <v>0</v>
      </c>
      <c r="Y193" s="543">
        <f>IFERROR(Y191/H191,"0")+IFERROR(Y192/H192,"0")</f>
        <v>0</v>
      </c>
      <c r="Z193" s="543">
        <f>IFERROR(IF(Z191="",0,Z191),"0")+IFERROR(IF(Z192="",0,Z192),"0")</f>
        <v>0</v>
      </c>
      <c r="AA193" s="544"/>
      <c r="AB193" s="544"/>
      <c r="AC193" s="544"/>
    </row>
    <row r="194" spans="1:68" x14ac:dyDescent="0.2">
      <c r="A194" s="555"/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6"/>
      <c r="P194" s="562" t="s">
        <v>71</v>
      </c>
      <c r="Q194" s="563"/>
      <c r="R194" s="563"/>
      <c r="S194" s="563"/>
      <c r="T194" s="563"/>
      <c r="U194" s="563"/>
      <c r="V194" s="564"/>
      <c r="W194" s="37" t="s">
        <v>69</v>
      </c>
      <c r="X194" s="543">
        <f>IFERROR(SUM(X191:X192),"0")</f>
        <v>0</v>
      </c>
      <c r="Y194" s="543">
        <f>IFERROR(SUM(Y191:Y192),"0")</f>
        <v>0</v>
      </c>
      <c r="Z194" s="37"/>
      <c r="AA194" s="544"/>
      <c r="AB194" s="544"/>
      <c r="AC194" s="544"/>
    </row>
    <row r="195" spans="1:68" ht="14.25" customHeight="1" x14ac:dyDescent="0.25">
      <c r="A195" s="558" t="s">
        <v>64</v>
      </c>
      <c r="B195" s="555"/>
      <c r="C195" s="555"/>
      <c r="D195" s="555"/>
      <c r="E195" s="555"/>
      <c r="F195" s="555"/>
      <c r="G195" s="555"/>
      <c r="H195" s="555"/>
      <c r="I195" s="555"/>
      <c r="J195" s="555"/>
      <c r="K195" s="555"/>
      <c r="L195" s="555"/>
      <c r="M195" s="555"/>
      <c r="N195" s="555"/>
      <c r="O195" s="555"/>
      <c r="P195" s="555"/>
      <c r="Q195" s="555"/>
      <c r="R195" s="555"/>
      <c r="S195" s="555"/>
      <c r="T195" s="555"/>
      <c r="U195" s="555"/>
      <c r="V195" s="555"/>
      <c r="W195" s="555"/>
      <c r="X195" s="555"/>
      <c r="Y195" s="555"/>
      <c r="Z195" s="555"/>
      <c r="AA195" s="537"/>
      <c r="AB195" s="537"/>
      <c r="AC195" s="537"/>
    </row>
    <row r="196" spans="1:68" ht="27" customHeight="1" x14ac:dyDescent="0.25">
      <c r="A196" s="54" t="s">
        <v>312</v>
      </c>
      <c r="B196" s="54" t="s">
        <v>313</v>
      </c>
      <c r="C196" s="31">
        <v>4301031224</v>
      </c>
      <c r="D196" s="548">
        <v>4680115882683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196</v>
      </c>
      <c r="M196" s="33" t="s">
        <v>68</v>
      </c>
      <c r="N196" s="33"/>
      <c r="O196" s="32">
        <v>40</v>
      </c>
      <c r="P196" s="81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216</v>
      </c>
      <c r="Y196" s="542">
        <f t="shared" ref="Y196:Y203" si="10">IFERROR(IF(X196="",0,CEILING((X196/$H196),1)*$H196),"")</f>
        <v>216</v>
      </c>
      <c r="Z196" s="36">
        <f>IFERROR(IF(Y196=0,"",ROUNDUP(Y196/H196,0)*0.00902),"")</f>
        <v>0.36080000000000001</v>
      </c>
      <c r="AA196" s="56"/>
      <c r="AB196" s="57"/>
      <c r="AC196" s="229" t="s">
        <v>314</v>
      </c>
      <c r="AG196" s="64"/>
      <c r="AJ196" s="68" t="s">
        <v>106</v>
      </c>
      <c r="AK196" s="68">
        <v>64.8</v>
      </c>
      <c r="BB196" s="230" t="s">
        <v>1</v>
      </c>
      <c r="BM196" s="64">
        <f t="shared" ref="BM196:BM203" si="11">IFERROR(X196*I196/H196,"0")</f>
        <v>223.6</v>
      </c>
      <c r="BN196" s="64">
        <f t="shared" ref="BN196:BN203" si="12">IFERROR(Y196*I196/H196,"0")</f>
        <v>223.6</v>
      </c>
      <c r="BO196" s="64">
        <f t="shared" ref="BO196:BO203" si="13">IFERROR(1/J196*(X196/H196),"0")</f>
        <v>0.30303030303030304</v>
      </c>
      <c r="BP196" s="64">
        <f t="shared" ref="BP196:BP203" si="14">IFERROR(1/J196*(Y196/H196),"0")</f>
        <v>0.30303030303030304</v>
      </c>
    </row>
    <row r="197" spans="1:68" ht="27" customHeight="1" x14ac:dyDescent="0.25">
      <c r="A197" s="54" t="s">
        <v>315</v>
      </c>
      <c r="B197" s="54" t="s">
        <v>316</v>
      </c>
      <c r="C197" s="31">
        <v>4301031230</v>
      </c>
      <c r="D197" s="548">
        <v>4680115882690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196</v>
      </c>
      <c r="M197" s="33" t="s">
        <v>68</v>
      </c>
      <c r="N197" s="33"/>
      <c r="O197" s="32">
        <v>40</v>
      </c>
      <c r="P197" s="68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74</v>
      </c>
      <c r="Y197" s="542">
        <f t="shared" si="10"/>
        <v>75.600000000000009</v>
      </c>
      <c r="Z197" s="36">
        <f>IFERROR(IF(Y197=0,"",ROUNDUP(Y197/H197,0)*0.00902),"")</f>
        <v>0.12628</v>
      </c>
      <c r="AA197" s="56"/>
      <c r="AB197" s="57"/>
      <c r="AC197" s="231" t="s">
        <v>317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76.603703703703687</v>
      </c>
      <c r="BN197" s="64">
        <f t="shared" si="12"/>
        <v>78.260000000000005</v>
      </c>
      <c r="BO197" s="64">
        <f t="shared" si="13"/>
        <v>0.10381593714927048</v>
      </c>
      <c r="BP197" s="64">
        <f t="shared" si="14"/>
        <v>0.10606060606060606</v>
      </c>
    </row>
    <row r="198" spans="1:68" ht="27" customHeight="1" x14ac:dyDescent="0.25">
      <c r="A198" s="54" t="s">
        <v>318</v>
      </c>
      <c r="B198" s="54" t="s">
        <v>319</v>
      </c>
      <c r="C198" s="31">
        <v>4301031220</v>
      </c>
      <c r="D198" s="548">
        <v>4680115882669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/>
      <c r="M198" s="33" t="s">
        <v>68</v>
      </c>
      <c r="N198" s="33"/>
      <c r="O198" s="32">
        <v>40</v>
      </c>
      <c r="P198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320</v>
      </c>
      <c r="AG198" s="64"/>
      <c r="AJ198" s="68"/>
      <c r="AK198" s="68">
        <v>0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321</v>
      </c>
      <c r="B199" s="54" t="s">
        <v>322</v>
      </c>
      <c r="C199" s="31">
        <v>4301031221</v>
      </c>
      <c r="D199" s="548">
        <v>4680115882676</v>
      </c>
      <c r="E199" s="549"/>
      <c r="F199" s="540">
        <v>0.9</v>
      </c>
      <c r="G199" s="32">
        <v>6</v>
      </c>
      <c r="H199" s="540">
        <v>5.4</v>
      </c>
      <c r="I199" s="540">
        <v>5.59</v>
      </c>
      <c r="J199" s="32">
        <v>132</v>
      </c>
      <c r="K199" s="32" t="s">
        <v>109</v>
      </c>
      <c r="L199" s="32" t="s">
        <v>196</v>
      </c>
      <c r="M199" s="33" t="s">
        <v>68</v>
      </c>
      <c r="N199" s="33"/>
      <c r="O199" s="32">
        <v>40</v>
      </c>
      <c r="P199" s="84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277</v>
      </c>
      <c r="Y199" s="542">
        <f t="shared" si="10"/>
        <v>280.8</v>
      </c>
      <c r="Z199" s="36">
        <f>IFERROR(IF(Y199=0,"",ROUNDUP(Y199/H199,0)*0.00902),"")</f>
        <v>0.46904000000000001</v>
      </c>
      <c r="AA199" s="56"/>
      <c r="AB199" s="57"/>
      <c r="AC199" s="235" t="s">
        <v>323</v>
      </c>
      <c r="AG199" s="64"/>
      <c r="AJ199" s="68" t="s">
        <v>106</v>
      </c>
      <c r="AK199" s="68">
        <v>64.8</v>
      </c>
      <c r="BB199" s="236" t="s">
        <v>1</v>
      </c>
      <c r="BM199" s="64">
        <f t="shared" si="11"/>
        <v>286.74629629629629</v>
      </c>
      <c r="BN199" s="64">
        <f t="shared" si="12"/>
        <v>290.68</v>
      </c>
      <c r="BO199" s="64">
        <f t="shared" si="13"/>
        <v>0.38860830527497192</v>
      </c>
      <c r="BP199" s="64">
        <f t="shared" si="14"/>
        <v>0.39393939393939392</v>
      </c>
    </row>
    <row r="200" spans="1:68" ht="27" customHeight="1" x14ac:dyDescent="0.25">
      <c r="A200" s="54" t="s">
        <v>324</v>
      </c>
      <c r="B200" s="54" t="s">
        <v>325</v>
      </c>
      <c r="C200" s="31">
        <v>4301031223</v>
      </c>
      <c r="D200" s="548">
        <v>4680115884014</v>
      </c>
      <c r="E200" s="549"/>
      <c r="F200" s="540">
        <v>0.3</v>
      </c>
      <c r="G200" s="32">
        <v>6</v>
      </c>
      <c r="H200" s="540">
        <v>1.8</v>
      </c>
      <c r="I200" s="540">
        <v>1.93</v>
      </c>
      <c r="J200" s="32">
        <v>234</v>
      </c>
      <c r="K200" s="32" t="s">
        <v>67</v>
      </c>
      <c r="L200" s="32"/>
      <c r="M200" s="33" t="s">
        <v>68</v>
      </c>
      <c r="N200" s="33"/>
      <c r="O200" s="32">
        <v>40</v>
      </c>
      <c r="P200" s="84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45</v>
      </c>
      <c r="Y200" s="542">
        <f t="shared" si="10"/>
        <v>45</v>
      </c>
      <c r="Z200" s="36">
        <f>IFERROR(IF(Y200=0,"",ROUNDUP(Y200/H200,0)*0.00502),"")</f>
        <v>0.1255</v>
      </c>
      <c r="AA200" s="56"/>
      <c r="AB200" s="57"/>
      <c r="AC200" s="237" t="s">
        <v>314</v>
      </c>
      <c r="AG200" s="64"/>
      <c r="AJ200" s="68"/>
      <c r="AK200" s="68">
        <v>0</v>
      </c>
      <c r="BB200" s="238" t="s">
        <v>1</v>
      </c>
      <c r="BM200" s="64">
        <f t="shared" si="11"/>
        <v>48.249999999999993</v>
      </c>
      <c r="BN200" s="64">
        <f t="shared" si="12"/>
        <v>48.249999999999993</v>
      </c>
      <c r="BO200" s="64">
        <f t="shared" si="13"/>
        <v>0.10683760683760685</v>
      </c>
      <c r="BP200" s="64">
        <f t="shared" si="14"/>
        <v>0.10683760683760685</v>
      </c>
    </row>
    <row r="201" spans="1:68" ht="27" customHeight="1" x14ac:dyDescent="0.25">
      <c r="A201" s="54" t="s">
        <v>326</v>
      </c>
      <c r="B201" s="54" t="s">
        <v>327</v>
      </c>
      <c r="C201" s="31">
        <v>4301031222</v>
      </c>
      <c r="D201" s="548">
        <v>4680115884007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55</v>
      </c>
      <c r="Y201" s="542">
        <f t="shared" si="10"/>
        <v>55.800000000000004</v>
      </c>
      <c r="Z201" s="36">
        <f>IFERROR(IF(Y201=0,"",ROUNDUP(Y201/H201,0)*0.00502),"")</f>
        <v>0.15562000000000001</v>
      </c>
      <c r="AA201" s="56"/>
      <c r="AB201" s="57"/>
      <c r="AC201" s="239" t="s">
        <v>317</v>
      </c>
      <c r="AG201" s="64"/>
      <c r="AJ201" s="68"/>
      <c r="AK201" s="68">
        <v>0</v>
      </c>
      <c r="BB201" s="240" t="s">
        <v>1</v>
      </c>
      <c r="BM201" s="64">
        <f t="shared" si="11"/>
        <v>58.055555555555557</v>
      </c>
      <c r="BN201" s="64">
        <f t="shared" si="12"/>
        <v>58.900000000000006</v>
      </c>
      <c r="BO201" s="64">
        <f t="shared" si="13"/>
        <v>0.13057929724596393</v>
      </c>
      <c r="BP201" s="64">
        <f t="shared" si="14"/>
        <v>0.13247863247863248</v>
      </c>
    </row>
    <row r="202" spans="1:68" ht="27" customHeight="1" x14ac:dyDescent="0.25">
      <c r="A202" s="54" t="s">
        <v>328</v>
      </c>
      <c r="B202" s="54" t="s">
        <v>329</v>
      </c>
      <c r="C202" s="31">
        <v>4301031229</v>
      </c>
      <c r="D202" s="548">
        <v>4680115884038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6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320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330</v>
      </c>
      <c r="B203" s="54" t="s">
        <v>331</v>
      </c>
      <c r="C203" s="31">
        <v>4301031225</v>
      </c>
      <c r="D203" s="548">
        <v>4680115884021</v>
      </c>
      <c r="E203" s="549"/>
      <c r="F203" s="540">
        <v>0.3</v>
      </c>
      <c r="G203" s="32">
        <v>6</v>
      </c>
      <c r="H203" s="540">
        <v>1.8</v>
      </c>
      <c r="I203" s="540">
        <v>1.9</v>
      </c>
      <c r="J203" s="32">
        <v>234</v>
      </c>
      <c r="K203" s="32" t="s">
        <v>67</v>
      </c>
      <c r="L203" s="32"/>
      <c r="M203" s="33" t="s">
        <v>68</v>
      </c>
      <c r="N203" s="33"/>
      <c r="O203" s="32">
        <v>40</v>
      </c>
      <c r="P203" s="70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46"/>
      <c r="R203" s="546"/>
      <c r="S203" s="546"/>
      <c r="T203" s="547"/>
      <c r="U203" s="34"/>
      <c r="V203" s="34"/>
      <c r="W203" s="35" t="s">
        <v>69</v>
      </c>
      <c r="X203" s="541">
        <v>52</v>
      </c>
      <c r="Y203" s="542">
        <f t="shared" si="10"/>
        <v>52.2</v>
      </c>
      <c r="Z203" s="36">
        <f>IFERROR(IF(Y203=0,"",ROUNDUP(Y203/H203,0)*0.00502),"")</f>
        <v>0.14558000000000001</v>
      </c>
      <c r="AA203" s="56"/>
      <c r="AB203" s="57"/>
      <c r="AC203" s="243" t="s">
        <v>323</v>
      </c>
      <c r="AG203" s="64"/>
      <c r="AJ203" s="68"/>
      <c r="AK203" s="68">
        <v>0</v>
      </c>
      <c r="BB203" s="244" t="s">
        <v>1</v>
      </c>
      <c r="BM203" s="64">
        <f t="shared" si="11"/>
        <v>54.888888888888886</v>
      </c>
      <c r="BN203" s="64">
        <f t="shared" si="12"/>
        <v>55.1</v>
      </c>
      <c r="BO203" s="64">
        <f t="shared" si="13"/>
        <v>0.12345679012345681</v>
      </c>
      <c r="BP203" s="64">
        <f t="shared" si="14"/>
        <v>0.12393162393162395</v>
      </c>
    </row>
    <row r="204" spans="1:68" x14ac:dyDescent="0.2">
      <c r="A204" s="554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62" t="s">
        <v>71</v>
      </c>
      <c r="Q204" s="563"/>
      <c r="R204" s="563"/>
      <c r="S204" s="563"/>
      <c r="T204" s="563"/>
      <c r="U204" s="563"/>
      <c r="V204" s="564"/>
      <c r="W204" s="37" t="s">
        <v>72</v>
      </c>
      <c r="X204" s="543">
        <f>IFERROR(X196/H196,"0")+IFERROR(X197/H197,"0")+IFERROR(X198/H198,"0")+IFERROR(X199/H199,"0")+IFERROR(X200/H200,"0")+IFERROR(X201/H201,"0")+IFERROR(X202/H202,"0")+IFERROR(X203/H203,"0")</f>
        <v>189.44444444444443</v>
      </c>
      <c r="Y204" s="543">
        <f>IFERROR(Y196/H196,"0")+IFERROR(Y197/H197,"0")+IFERROR(Y198/H198,"0")+IFERROR(Y199/H199,"0")+IFERROR(Y200/H200,"0")+IFERROR(Y201/H201,"0")+IFERROR(Y202/H202,"0")+IFERROR(Y203/H203,"0")</f>
        <v>191</v>
      </c>
      <c r="Z204" s="543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1.3828200000000002</v>
      </c>
      <c r="AA204" s="544"/>
      <c r="AB204" s="544"/>
      <c r="AC204" s="544"/>
    </row>
    <row r="205" spans="1:68" x14ac:dyDescent="0.2">
      <c r="A205" s="555"/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6"/>
      <c r="P205" s="562" t="s">
        <v>71</v>
      </c>
      <c r="Q205" s="563"/>
      <c r="R205" s="563"/>
      <c r="S205" s="563"/>
      <c r="T205" s="563"/>
      <c r="U205" s="563"/>
      <c r="V205" s="564"/>
      <c r="W205" s="37" t="s">
        <v>69</v>
      </c>
      <c r="X205" s="543">
        <f>IFERROR(SUM(X196:X203),"0")</f>
        <v>719</v>
      </c>
      <c r="Y205" s="543">
        <f>IFERROR(SUM(Y196:Y203),"0")</f>
        <v>725.40000000000009</v>
      </c>
      <c r="Z205" s="37"/>
      <c r="AA205" s="544"/>
      <c r="AB205" s="544"/>
      <c r="AC205" s="544"/>
    </row>
    <row r="206" spans="1:68" ht="14.25" customHeight="1" x14ac:dyDescent="0.25">
      <c r="A206" s="558" t="s">
        <v>73</v>
      </c>
      <c r="B206" s="555"/>
      <c r="C206" s="555"/>
      <c r="D206" s="555"/>
      <c r="E206" s="555"/>
      <c r="F206" s="555"/>
      <c r="G206" s="555"/>
      <c r="H206" s="555"/>
      <c r="I206" s="555"/>
      <c r="J206" s="555"/>
      <c r="K206" s="555"/>
      <c r="L206" s="555"/>
      <c r="M206" s="555"/>
      <c r="N206" s="555"/>
      <c r="O206" s="555"/>
      <c r="P206" s="555"/>
      <c r="Q206" s="555"/>
      <c r="R206" s="555"/>
      <c r="S206" s="555"/>
      <c r="T206" s="555"/>
      <c r="U206" s="555"/>
      <c r="V206" s="555"/>
      <c r="W206" s="555"/>
      <c r="X206" s="555"/>
      <c r="Y206" s="555"/>
      <c r="Z206" s="555"/>
      <c r="AA206" s="537"/>
      <c r="AB206" s="537"/>
      <c r="AC206" s="537"/>
    </row>
    <row r="207" spans="1:68" ht="27" customHeight="1" x14ac:dyDescent="0.25">
      <c r="A207" s="54" t="s">
        <v>332</v>
      </c>
      <c r="B207" s="54" t="s">
        <v>333</v>
      </c>
      <c r="C207" s="31">
        <v>4301051408</v>
      </c>
      <c r="D207" s="548">
        <v>4680115881594</v>
      </c>
      <c r="E207" s="549"/>
      <c r="F207" s="540">
        <v>1.35</v>
      </c>
      <c r="G207" s="32">
        <v>6</v>
      </c>
      <c r="H207" s="540">
        <v>8.1</v>
      </c>
      <c r="I207" s="540">
        <v>8.5939999999999994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3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0</v>
      </c>
      <c r="Y207" s="542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334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customHeight="1" x14ac:dyDescent="0.25">
      <c r="A208" s="54" t="s">
        <v>335</v>
      </c>
      <c r="B208" s="54" t="s">
        <v>336</v>
      </c>
      <c r="C208" s="31">
        <v>4301051411</v>
      </c>
      <c r="D208" s="548">
        <v>4680115881617</v>
      </c>
      <c r="E208" s="549"/>
      <c r="F208" s="540">
        <v>1.35</v>
      </c>
      <c r="G208" s="32">
        <v>6</v>
      </c>
      <c r="H208" s="540">
        <v>8.1</v>
      </c>
      <c r="I208" s="540">
        <v>8.5760000000000005</v>
      </c>
      <c r="J208" s="32">
        <v>64</v>
      </c>
      <c r="K208" s="32" t="s">
        <v>102</v>
      </c>
      <c r="L208" s="32"/>
      <c r="M208" s="33" t="s">
        <v>77</v>
      </c>
      <c r="N208" s="33"/>
      <c r="O208" s="32">
        <v>40</v>
      </c>
      <c r="P208" s="68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337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338</v>
      </c>
      <c r="B209" s="54" t="s">
        <v>339</v>
      </c>
      <c r="C209" s="31">
        <v>4301051656</v>
      </c>
      <c r="D209" s="548">
        <v>4680115880573</v>
      </c>
      <c r="E209" s="549"/>
      <c r="F209" s="540">
        <v>1.45</v>
      </c>
      <c r="G209" s="32">
        <v>6</v>
      </c>
      <c r="H209" s="540">
        <v>8.6999999999999993</v>
      </c>
      <c r="I209" s="540">
        <v>9.1940000000000008</v>
      </c>
      <c r="J209" s="32">
        <v>64</v>
      </c>
      <c r="K209" s="32" t="s">
        <v>102</v>
      </c>
      <c r="L209" s="32"/>
      <c r="M209" s="33" t="s">
        <v>77</v>
      </c>
      <c r="N209" s="33"/>
      <c r="O209" s="32">
        <v>45</v>
      </c>
      <c r="P209" s="59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44</v>
      </c>
      <c r="Y209" s="542">
        <f t="shared" si="15"/>
        <v>52.199999999999996</v>
      </c>
      <c r="Z209" s="36">
        <f>IFERROR(IF(Y209=0,"",ROUNDUP(Y209/H209,0)*0.01898),"")</f>
        <v>0.11388000000000001</v>
      </c>
      <c r="AA209" s="56"/>
      <c r="AB209" s="57"/>
      <c r="AC209" s="249" t="s">
        <v>340</v>
      </c>
      <c r="AG209" s="64"/>
      <c r="AJ209" s="68"/>
      <c r="AK209" s="68">
        <v>0</v>
      </c>
      <c r="BB209" s="250" t="s">
        <v>1</v>
      </c>
      <c r="BM209" s="64">
        <f t="shared" si="16"/>
        <v>46.498390804597712</v>
      </c>
      <c r="BN209" s="64">
        <f t="shared" si="17"/>
        <v>55.164000000000009</v>
      </c>
      <c r="BO209" s="64">
        <f t="shared" si="18"/>
        <v>7.9022988505747127E-2</v>
      </c>
      <c r="BP209" s="64">
        <f t="shared" si="19"/>
        <v>9.375E-2</v>
      </c>
    </row>
    <row r="210" spans="1:68" ht="27" customHeight="1" x14ac:dyDescent="0.25">
      <c r="A210" s="54" t="s">
        <v>341</v>
      </c>
      <c r="B210" s="54" t="s">
        <v>342</v>
      </c>
      <c r="C210" s="31">
        <v>4301051407</v>
      </c>
      <c r="D210" s="548">
        <v>4680115882195</v>
      </c>
      <c r="E210" s="549"/>
      <c r="F210" s="540">
        <v>0.4</v>
      </c>
      <c r="G210" s="32">
        <v>6</v>
      </c>
      <c r="H210" s="540">
        <v>2.4</v>
      </c>
      <c r="I210" s="540">
        <v>2.67</v>
      </c>
      <c r="J210" s="32">
        <v>182</v>
      </c>
      <c r="K210" s="32" t="s">
        <v>76</v>
      </c>
      <c r="L210" s="32" t="s">
        <v>213</v>
      </c>
      <c r="M210" s="33" t="s">
        <v>77</v>
      </c>
      <c r="N210" s="33"/>
      <c r="O210" s="32">
        <v>40</v>
      </c>
      <c r="P210" s="69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117</v>
      </c>
      <c r="Y210" s="542">
        <f t="shared" si="15"/>
        <v>117.6</v>
      </c>
      <c r="Z210" s="36">
        <f t="shared" ref="Z210:Z215" si="20">IFERROR(IF(Y210=0,"",ROUNDUP(Y210/H210,0)*0.00651),"")</f>
        <v>0.31899</v>
      </c>
      <c r="AA210" s="56"/>
      <c r="AB210" s="57"/>
      <c r="AC210" s="251" t="s">
        <v>334</v>
      </c>
      <c r="AG210" s="64"/>
      <c r="AJ210" s="68" t="s">
        <v>106</v>
      </c>
      <c r="AK210" s="68">
        <v>33.6</v>
      </c>
      <c r="BB210" s="252" t="s">
        <v>1</v>
      </c>
      <c r="BM210" s="64">
        <f t="shared" si="16"/>
        <v>130.16249999999999</v>
      </c>
      <c r="BN210" s="64">
        <f t="shared" si="17"/>
        <v>130.82999999999998</v>
      </c>
      <c r="BO210" s="64">
        <f t="shared" si="18"/>
        <v>0.2678571428571429</v>
      </c>
      <c r="BP210" s="64">
        <f t="shared" si="19"/>
        <v>0.26923076923076927</v>
      </c>
    </row>
    <row r="211" spans="1:68" ht="27" customHeight="1" x14ac:dyDescent="0.25">
      <c r="A211" s="54" t="s">
        <v>343</v>
      </c>
      <c r="B211" s="54" t="s">
        <v>344</v>
      </c>
      <c r="C211" s="31">
        <v>4301051752</v>
      </c>
      <c r="D211" s="548">
        <v>4680115882607</v>
      </c>
      <c r="E211" s="549"/>
      <c r="F211" s="540">
        <v>0.3</v>
      </c>
      <c r="G211" s="32">
        <v>6</v>
      </c>
      <c r="H211" s="540">
        <v>1.8</v>
      </c>
      <c r="I211" s="540">
        <v>2.052</v>
      </c>
      <c r="J211" s="32">
        <v>182</v>
      </c>
      <c r="K211" s="32" t="s">
        <v>76</v>
      </c>
      <c r="L211" s="32"/>
      <c r="M211" s="33" t="s">
        <v>84</v>
      </c>
      <c r="N211" s="33"/>
      <c r="O211" s="32">
        <v>45</v>
      </c>
      <c r="P211" s="72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345</v>
      </c>
      <c r="AG211" s="64"/>
      <c r="AJ211" s="68"/>
      <c r="AK211" s="68">
        <v>0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346</v>
      </c>
      <c r="B212" s="54" t="s">
        <v>347</v>
      </c>
      <c r="C212" s="31">
        <v>4301051666</v>
      </c>
      <c r="D212" s="548">
        <v>4680115880092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213</v>
      </c>
      <c r="M212" s="33" t="s">
        <v>77</v>
      </c>
      <c r="N212" s="33"/>
      <c r="O212" s="32">
        <v>45</v>
      </c>
      <c r="P212" s="74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173</v>
      </c>
      <c r="Y212" s="542">
        <f t="shared" si="15"/>
        <v>175.2</v>
      </c>
      <c r="Z212" s="36">
        <f t="shared" si="20"/>
        <v>0.47522999999999999</v>
      </c>
      <c r="AA212" s="56"/>
      <c r="AB212" s="57"/>
      <c r="AC212" s="255" t="s">
        <v>340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191.16500000000002</v>
      </c>
      <c r="BN212" s="64">
        <f t="shared" si="17"/>
        <v>193.596</v>
      </c>
      <c r="BO212" s="64">
        <f t="shared" si="18"/>
        <v>0.39606227106227115</v>
      </c>
      <c r="BP212" s="64">
        <f t="shared" si="19"/>
        <v>0.40109890109890112</v>
      </c>
    </row>
    <row r="213" spans="1:68" ht="27" customHeight="1" x14ac:dyDescent="0.25">
      <c r="A213" s="54" t="s">
        <v>348</v>
      </c>
      <c r="B213" s="54" t="s">
        <v>349</v>
      </c>
      <c r="C213" s="31">
        <v>4301051668</v>
      </c>
      <c r="D213" s="548">
        <v>4680115880221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213</v>
      </c>
      <c r="M213" s="33" t="s">
        <v>77</v>
      </c>
      <c r="N213" s="33"/>
      <c r="O213" s="32">
        <v>45</v>
      </c>
      <c r="P213" s="57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121</v>
      </c>
      <c r="Y213" s="542">
        <f t="shared" si="15"/>
        <v>122.39999999999999</v>
      </c>
      <c r="Z213" s="36">
        <f t="shared" si="20"/>
        <v>0.33201000000000003</v>
      </c>
      <c r="AA213" s="56"/>
      <c r="AB213" s="57"/>
      <c r="AC213" s="257" t="s">
        <v>340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133.70500000000001</v>
      </c>
      <c r="BN213" s="64">
        <f t="shared" si="17"/>
        <v>135.25200000000001</v>
      </c>
      <c r="BO213" s="64">
        <f t="shared" si="18"/>
        <v>0.27701465201465209</v>
      </c>
      <c r="BP213" s="64">
        <f t="shared" si="19"/>
        <v>0.28021978021978022</v>
      </c>
    </row>
    <row r="214" spans="1:68" ht="27" customHeight="1" x14ac:dyDescent="0.25">
      <c r="A214" s="54" t="s">
        <v>350</v>
      </c>
      <c r="B214" s="54" t="s">
        <v>351</v>
      </c>
      <c r="C214" s="31">
        <v>4301051945</v>
      </c>
      <c r="D214" s="548">
        <v>4680115880504</v>
      </c>
      <c r="E214" s="549"/>
      <c r="F214" s="540">
        <v>0.4</v>
      </c>
      <c r="G214" s="32">
        <v>6</v>
      </c>
      <c r="H214" s="540">
        <v>2.4</v>
      </c>
      <c r="I214" s="540">
        <v>2.6520000000000001</v>
      </c>
      <c r="J214" s="32">
        <v>182</v>
      </c>
      <c r="K214" s="32" t="s">
        <v>76</v>
      </c>
      <c r="L214" s="32" t="s">
        <v>213</v>
      </c>
      <c r="M214" s="33" t="s">
        <v>84</v>
      </c>
      <c r="N214" s="33"/>
      <c r="O214" s="32">
        <v>40</v>
      </c>
      <c r="P214" s="80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104</v>
      </c>
      <c r="Y214" s="542">
        <f t="shared" si="15"/>
        <v>105.6</v>
      </c>
      <c r="Z214" s="36">
        <f t="shared" si="20"/>
        <v>0.28644000000000003</v>
      </c>
      <c r="AA214" s="56"/>
      <c r="AB214" s="57"/>
      <c r="AC214" s="259" t="s">
        <v>352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114.92</v>
      </c>
      <c r="BN214" s="64">
        <f t="shared" si="17"/>
        <v>116.688</v>
      </c>
      <c r="BO214" s="64">
        <f t="shared" si="18"/>
        <v>0.23809523809523814</v>
      </c>
      <c r="BP214" s="64">
        <f t="shared" si="19"/>
        <v>0.24175824175824179</v>
      </c>
    </row>
    <row r="215" spans="1:68" ht="27" customHeight="1" x14ac:dyDescent="0.25">
      <c r="A215" s="54" t="s">
        <v>353</v>
      </c>
      <c r="B215" s="54" t="s">
        <v>354</v>
      </c>
      <c r="C215" s="31">
        <v>4301051410</v>
      </c>
      <c r="D215" s="548">
        <v>4680115882164</v>
      </c>
      <c r="E215" s="549"/>
      <c r="F215" s="540">
        <v>0.4</v>
      </c>
      <c r="G215" s="32">
        <v>6</v>
      </c>
      <c r="H215" s="540">
        <v>2.4</v>
      </c>
      <c r="I215" s="540">
        <v>2.6579999999999999</v>
      </c>
      <c r="J215" s="32">
        <v>182</v>
      </c>
      <c r="K215" s="32" t="s">
        <v>76</v>
      </c>
      <c r="L215" s="32" t="s">
        <v>213</v>
      </c>
      <c r="M215" s="33" t="s">
        <v>77</v>
      </c>
      <c r="N215" s="33"/>
      <c r="O215" s="32">
        <v>40</v>
      </c>
      <c r="P215" s="57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46"/>
      <c r="R215" s="546"/>
      <c r="S215" s="546"/>
      <c r="T215" s="547"/>
      <c r="U215" s="34"/>
      <c r="V215" s="34"/>
      <c r="W215" s="35" t="s">
        <v>69</v>
      </c>
      <c r="X215" s="541">
        <v>125</v>
      </c>
      <c r="Y215" s="542">
        <f t="shared" si="15"/>
        <v>127.19999999999999</v>
      </c>
      <c r="Z215" s="36">
        <f t="shared" si="20"/>
        <v>0.34503</v>
      </c>
      <c r="AA215" s="56"/>
      <c r="AB215" s="57"/>
      <c r="AC215" s="261" t="s">
        <v>337</v>
      </c>
      <c r="AG215" s="64"/>
      <c r="AJ215" s="68" t="s">
        <v>106</v>
      </c>
      <c r="AK215" s="68">
        <v>33.6</v>
      </c>
      <c r="BB215" s="262" t="s">
        <v>1</v>
      </c>
      <c r="BM215" s="64">
        <f t="shared" si="16"/>
        <v>138.4375</v>
      </c>
      <c r="BN215" s="64">
        <f t="shared" si="17"/>
        <v>140.874</v>
      </c>
      <c r="BO215" s="64">
        <f t="shared" si="18"/>
        <v>0.28617216117216121</v>
      </c>
      <c r="BP215" s="64">
        <f t="shared" si="19"/>
        <v>0.29120879120879123</v>
      </c>
    </row>
    <row r="216" spans="1:68" x14ac:dyDescent="0.2">
      <c r="A216" s="554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62" t="s">
        <v>71</v>
      </c>
      <c r="Q216" s="563"/>
      <c r="R216" s="563"/>
      <c r="S216" s="563"/>
      <c r="T216" s="563"/>
      <c r="U216" s="563"/>
      <c r="V216" s="564"/>
      <c r="W216" s="37" t="s">
        <v>72</v>
      </c>
      <c r="X216" s="543">
        <f>IFERROR(X207/H207,"0")+IFERROR(X208/H208,"0")+IFERROR(X209/H209,"0")+IFERROR(X210/H210,"0")+IFERROR(X211/H211,"0")+IFERROR(X212/H212,"0")+IFERROR(X213/H213,"0")+IFERROR(X214/H214,"0")+IFERROR(X215/H215,"0")</f>
        <v>271.72413793103453</v>
      </c>
      <c r="Y216" s="543">
        <f>IFERROR(Y207/H207,"0")+IFERROR(Y208/H208,"0")+IFERROR(Y209/H209,"0")+IFERROR(Y210/H210,"0")+IFERROR(Y211/H211,"0")+IFERROR(Y212/H212,"0")+IFERROR(Y213/H213,"0")+IFERROR(Y214/H214,"0")+IFERROR(Y215/H215,"0")</f>
        <v>276</v>
      </c>
      <c r="Z216" s="543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1.87158</v>
      </c>
      <c r="AA216" s="544"/>
      <c r="AB216" s="544"/>
      <c r="AC216" s="544"/>
    </row>
    <row r="217" spans="1:68" x14ac:dyDescent="0.2">
      <c r="A217" s="555"/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6"/>
      <c r="P217" s="562" t="s">
        <v>71</v>
      </c>
      <c r="Q217" s="563"/>
      <c r="R217" s="563"/>
      <c r="S217" s="563"/>
      <c r="T217" s="563"/>
      <c r="U217" s="563"/>
      <c r="V217" s="564"/>
      <c r="W217" s="37" t="s">
        <v>69</v>
      </c>
      <c r="X217" s="543">
        <f>IFERROR(SUM(X207:X215),"0")</f>
        <v>684</v>
      </c>
      <c r="Y217" s="543">
        <f>IFERROR(SUM(Y207:Y215),"0")</f>
        <v>700.2</v>
      </c>
      <c r="Z217" s="37"/>
      <c r="AA217" s="544"/>
      <c r="AB217" s="544"/>
      <c r="AC217" s="544"/>
    </row>
    <row r="218" spans="1:68" ht="14.25" customHeight="1" x14ac:dyDescent="0.25">
      <c r="A218" s="558" t="s">
        <v>162</v>
      </c>
      <c r="B218" s="555"/>
      <c r="C218" s="555"/>
      <c r="D218" s="555"/>
      <c r="E218" s="555"/>
      <c r="F218" s="555"/>
      <c r="G218" s="555"/>
      <c r="H218" s="555"/>
      <c r="I218" s="555"/>
      <c r="J218" s="555"/>
      <c r="K218" s="555"/>
      <c r="L218" s="555"/>
      <c r="M218" s="555"/>
      <c r="N218" s="555"/>
      <c r="O218" s="555"/>
      <c r="P218" s="555"/>
      <c r="Q218" s="555"/>
      <c r="R218" s="555"/>
      <c r="S218" s="555"/>
      <c r="T218" s="555"/>
      <c r="U218" s="555"/>
      <c r="V218" s="555"/>
      <c r="W218" s="555"/>
      <c r="X218" s="555"/>
      <c r="Y218" s="555"/>
      <c r="Z218" s="555"/>
      <c r="AA218" s="537"/>
      <c r="AB218" s="537"/>
      <c r="AC218" s="537"/>
    </row>
    <row r="219" spans="1:68" ht="27" customHeight="1" x14ac:dyDescent="0.25">
      <c r="A219" s="54" t="s">
        <v>355</v>
      </c>
      <c r="B219" s="54" t="s">
        <v>356</v>
      </c>
      <c r="C219" s="31">
        <v>4301060463</v>
      </c>
      <c r="D219" s="548">
        <v>4680115880818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84</v>
      </c>
      <c r="N219" s="33"/>
      <c r="O219" s="32">
        <v>40</v>
      </c>
      <c r="P219" s="69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357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customHeight="1" x14ac:dyDescent="0.25">
      <c r="A220" s="54" t="s">
        <v>358</v>
      </c>
      <c r="B220" s="54" t="s">
        <v>359</v>
      </c>
      <c r="C220" s="31">
        <v>4301060389</v>
      </c>
      <c r="D220" s="548">
        <v>4680115880801</v>
      </c>
      <c r="E220" s="549"/>
      <c r="F220" s="540">
        <v>0.4</v>
      </c>
      <c r="G220" s="32">
        <v>6</v>
      </c>
      <c r="H220" s="540">
        <v>2.4</v>
      </c>
      <c r="I220" s="540">
        <v>2.6520000000000001</v>
      </c>
      <c r="J220" s="32">
        <v>182</v>
      </c>
      <c r="K220" s="32" t="s">
        <v>76</v>
      </c>
      <c r="L220" s="32"/>
      <c r="M220" s="33" t="s">
        <v>77</v>
      </c>
      <c r="N220" s="33"/>
      <c r="O220" s="32">
        <v>40</v>
      </c>
      <c r="P220" s="56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46"/>
      <c r="R220" s="546"/>
      <c r="S220" s="546"/>
      <c r="T220" s="547"/>
      <c r="U220" s="34"/>
      <c r="V220" s="34"/>
      <c r="W220" s="35" t="s">
        <v>69</v>
      </c>
      <c r="X220" s="541">
        <v>0</v>
      </c>
      <c r="Y220" s="542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360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x14ac:dyDescent="0.2">
      <c r="A221" s="554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62" t="s">
        <v>71</v>
      </c>
      <c r="Q221" s="563"/>
      <c r="R221" s="563"/>
      <c r="S221" s="563"/>
      <c r="T221" s="563"/>
      <c r="U221" s="563"/>
      <c r="V221" s="564"/>
      <c r="W221" s="37" t="s">
        <v>72</v>
      </c>
      <c r="X221" s="543">
        <f>IFERROR(X219/H219,"0")+IFERROR(X220/H220,"0")</f>
        <v>0</v>
      </c>
      <c r="Y221" s="543">
        <f>IFERROR(Y219/H219,"0")+IFERROR(Y220/H220,"0")</f>
        <v>0</v>
      </c>
      <c r="Z221" s="543">
        <f>IFERROR(IF(Z219="",0,Z219),"0")+IFERROR(IF(Z220="",0,Z220),"0")</f>
        <v>0</v>
      </c>
      <c r="AA221" s="544"/>
      <c r="AB221" s="544"/>
      <c r="AC221" s="544"/>
    </row>
    <row r="222" spans="1:68" x14ac:dyDescent="0.2">
      <c r="A222" s="555"/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6"/>
      <c r="P222" s="562" t="s">
        <v>71</v>
      </c>
      <c r="Q222" s="563"/>
      <c r="R222" s="563"/>
      <c r="S222" s="563"/>
      <c r="T222" s="563"/>
      <c r="U222" s="563"/>
      <c r="V222" s="564"/>
      <c r="W222" s="37" t="s">
        <v>69</v>
      </c>
      <c r="X222" s="543">
        <f>IFERROR(SUM(X219:X220),"0")</f>
        <v>0</v>
      </c>
      <c r="Y222" s="543">
        <f>IFERROR(SUM(Y219:Y220),"0")</f>
        <v>0</v>
      </c>
      <c r="Z222" s="37"/>
      <c r="AA222" s="544"/>
      <c r="AB222" s="544"/>
      <c r="AC222" s="544"/>
    </row>
    <row r="223" spans="1:68" ht="16.5" customHeight="1" x14ac:dyDescent="0.25">
      <c r="A223" s="559" t="s">
        <v>361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6"/>
      <c r="AB223" s="536"/>
      <c r="AC223" s="536"/>
    </row>
    <row r="224" spans="1:68" ht="14.25" customHeight="1" x14ac:dyDescent="0.25">
      <c r="A224" s="558" t="s">
        <v>99</v>
      </c>
      <c r="B224" s="555"/>
      <c r="C224" s="555"/>
      <c r="D224" s="555"/>
      <c r="E224" s="555"/>
      <c r="F224" s="555"/>
      <c r="G224" s="555"/>
      <c r="H224" s="555"/>
      <c r="I224" s="555"/>
      <c r="J224" s="555"/>
      <c r="K224" s="555"/>
      <c r="L224" s="555"/>
      <c r="M224" s="555"/>
      <c r="N224" s="555"/>
      <c r="O224" s="555"/>
      <c r="P224" s="555"/>
      <c r="Q224" s="555"/>
      <c r="R224" s="555"/>
      <c r="S224" s="555"/>
      <c r="T224" s="555"/>
      <c r="U224" s="555"/>
      <c r="V224" s="555"/>
      <c r="W224" s="555"/>
      <c r="X224" s="555"/>
      <c r="Y224" s="555"/>
      <c r="Z224" s="555"/>
      <c r="AA224" s="537"/>
      <c r="AB224" s="537"/>
      <c r="AC224" s="537"/>
    </row>
    <row r="225" spans="1:68" ht="27" customHeight="1" x14ac:dyDescent="0.25">
      <c r="A225" s="54" t="s">
        <v>362</v>
      </c>
      <c r="B225" s="54" t="s">
        <v>363</v>
      </c>
      <c r="C225" s="31">
        <v>4301011826</v>
      </c>
      <c r="D225" s="548">
        <v>4680115884137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6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0</v>
      </c>
      <c r="Y225" s="542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364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customHeight="1" x14ac:dyDescent="0.25">
      <c r="A226" s="54" t="s">
        <v>365</v>
      </c>
      <c r="B226" s="54" t="s">
        <v>366</v>
      </c>
      <c r="C226" s="31">
        <v>4301011724</v>
      </c>
      <c r="D226" s="548">
        <v>4680115884236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8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367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368</v>
      </c>
      <c r="B227" s="54" t="s">
        <v>369</v>
      </c>
      <c r="C227" s="31">
        <v>4301011721</v>
      </c>
      <c r="D227" s="548">
        <v>4680115884175</v>
      </c>
      <c r="E227" s="549"/>
      <c r="F227" s="540">
        <v>1.45</v>
      </c>
      <c r="G227" s="32">
        <v>8</v>
      </c>
      <c r="H227" s="540">
        <v>11.6</v>
      </c>
      <c r="I227" s="540">
        <v>12.01</v>
      </c>
      <c r="J227" s="32">
        <v>64</v>
      </c>
      <c r="K227" s="32" t="s">
        <v>102</v>
      </c>
      <c r="L227" s="32"/>
      <c r="M227" s="33" t="s">
        <v>104</v>
      </c>
      <c r="N227" s="33"/>
      <c r="O227" s="32">
        <v>55</v>
      </c>
      <c r="P227" s="77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370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371</v>
      </c>
      <c r="B228" s="54" t="s">
        <v>372</v>
      </c>
      <c r="C228" s="31">
        <v>4301011824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364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371</v>
      </c>
      <c r="B229" s="54" t="s">
        <v>373</v>
      </c>
      <c r="C229" s="31">
        <v>4301012196</v>
      </c>
      <c r="D229" s="548">
        <v>4680115884144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364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374</v>
      </c>
      <c r="B230" s="54" t="s">
        <v>375</v>
      </c>
      <c r="C230" s="31">
        <v>4301012149</v>
      </c>
      <c r="D230" s="548">
        <v>4680115886551</v>
      </c>
      <c r="E230" s="549"/>
      <c r="F230" s="540">
        <v>0.4</v>
      </c>
      <c r="G230" s="32">
        <v>10</v>
      </c>
      <c r="H230" s="540">
        <v>4</v>
      </c>
      <c r="I230" s="540">
        <v>4.1900000000000004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376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377</v>
      </c>
      <c r="B231" s="54" t="s">
        <v>378</v>
      </c>
      <c r="C231" s="31">
        <v>4301011726</v>
      </c>
      <c r="D231" s="548">
        <v>4680115884182</v>
      </c>
      <c r="E231" s="549"/>
      <c r="F231" s="540">
        <v>0.37</v>
      </c>
      <c r="G231" s="32">
        <v>10</v>
      </c>
      <c r="H231" s="540">
        <v>3.7</v>
      </c>
      <c r="I231" s="540">
        <v>3.89</v>
      </c>
      <c r="J231" s="32">
        <v>132</v>
      </c>
      <c r="K231" s="32" t="s">
        <v>109</v>
      </c>
      <c r="L231" s="32"/>
      <c r="M231" s="33" t="s">
        <v>104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367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379</v>
      </c>
      <c r="B232" s="54" t="s">
        <v>380</v>
      </c>
      <c r="C232" s="31">
        <v>4301012228</v>
      </c>
      <c r="D232" s="548">
        <v>4680115887282</v>
      </c>
      <c r="E232" s="549"/>
      <c r="F232" s="540">
        <v>0.4</v>
      </c>
      <c r="G232" s="32">
        <v>6</v>
      </c>
      <c r="H232" s="540">
        <v>2.4</v>
      </c>
      <c r="I232" s="540">
        <v>2.58</v>
      </c>
      <c r="J232" s="32">
        <v>182</v>
      </c>
      <c r="K232" s="32" t="s">
        <v>76</v>
      </c>
      <c r="L232" s="32"/>
      <c r="M232" s="33" t="s">
        <v>104</v>
      </c>
      <c r="N232" s="33"/>
      <c r="O232" s="32">
        <v>55</v>
      </c>
      <c r="P232" s="73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367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381</v>
      </c>
      <c r="B233" s="54" t="s">
        <v>382</v>
      </c>
      <c r="C233" s="31">
        <v>4301011722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3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370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381</v>
      </c>
      <c r="B234" s="54" t="s">
        <v>383</v>
      </c>
      <c r="C234" s="31">
        <v>4301012195</v>
      </c>
      <c r="D234" s="548">
        <v>4680115884205</v>
      </c>
      <c r="E234" s="549"/>
      <c r="F234" s="540">
        <v>0.4</v>
      </c>
      <c r="G234" s="32">
        <v>10</v>
      </c>
      <c r="H234" s="540">
        <v>4</v>
      </c>
      <c r="I234" s="540">
        <v>4.1900000000000004</v>
      </c>
      <c r="J234" s="32">
        <v>132</v>
      </c>
      <c r="K234" s="32" t="s">
        <v>109</v>
      </c>
      <c r="L234" s="32"/>
      <c r="M234" s="33" t="s">
        <v>104</v>
      </c>
      <c r="N234" s="33"/>
      <c r="O234" s="32">
        <v>55</v>
      </c>
      <c r="P234" s="59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46"/>
      <c r="R234" s="546"/>
      <c r="S234" s="546"/>
      <c r="T234" s="547"/>
      <c r="U234" s="34"/>
      <c r="V234" s="34"/>
      <c r="W234" s="35" t="s">
        <v>69</v>
      </c>
      <c r="X234" s="541">
        <v>0</v>
      </c>
      <c r="Y234" s="542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370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54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62" t="s">
        <v>71</v>
      </c>
      <c r="Q235" s="563"/>
      <c r="R235" s="563"/>
      <c r="S235" s="563"/>
      <c r="T235" s="563"/>
      <c r="U235" s="563"/>
      <c r="V235" s="564"/>
      <c r="W235" s="37" t="s">
        <v>72</v>
      </c>
      <c r="X235" s="543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3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3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4"/>
      <c r="AB235" s="544"/>
      <c r="AC235" s="544"/>
    </row>
    <row r="236" spans="1:68" x14ac:dyDescent="0.2">
      <c r="A236" s="555"/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6"/>
      <c r="P236" s="562" t="s">
        <v>71</v>
      </c>
      <c r="Q236" s="563"/>
      <c r="R236" s="563"/>
      <c r="S236" s="563"/>
      <c r="T236" s="563"/>
      <c r="U236" s="563"/>
      <c r="V236" s="564"/>
      <c r="W236" s="37" t="s">
        <v>69</v>
      </c>
      <c r="X236" s="543">
        <f>IFERROR(SUM(X225:X234),"0")</f>
        <v>0</v>
      </c>
      <c r="Y236" s="543">
        <f>IFERROR(SUM(Y225:Y234),"0")</f>
        <v>0</v>
      </c>
      <c r="Z236" s="37"/>
      <c r="AA236" s="544"/>
      <c r="AB236" s="544"/>
      <c r="AC236" s="544"/>
    </row>
    <row r="237" spans="1:68" ht="14.25" customHeight="1" x14ac:dyDescent="0.25">
      <c r="A237" s="558" t="s">
        <v>134</v>
      </c>
      <c r="B237" s="555"/>
      <c r="C237" s="555"/>
      <c r="D237" s="555"/>
      <c r="E237" s="555"/>
      <c r="F237" s="555"/>
      <c r="G237" s="555"/>
      <c r="H237" s="555"/>
      <c r="I237" s="555"/>
      <c r="J237" s="555"/>
      <c r="K237" s="555"/>
      <c r="L237" s="555"/>
      <c r="M237" s="555"/>
      <c r="N237" s="555"/>
      <c r="O237" s="555"/>
      <c r="P237" s="555"/>
      <c r="Q237" s="555"/>
      <c r="R237" s="555"/>
      <c r="S237" s="555"/>
      <c r="T237" s="555"/>
      <c r="U237" s="555"/>
      <c r="V237" s="555"/>
      <c r="W237" s="555"/>
      <c r="X237" s="555"/>
      <c r="Y237" s="555"/>
      <c r="Z237" s="555"/>
      <c r="AA237" s="537"/>
      <c r="AB237" s="537"/>
      <c r="AC237" s="537"/>
    </row>
    <row r="238" spans="1:68" ht="27" customHeight="1" x14ac:dyDescent="0.25">
      <c r="A238" s="54" t="s">
        <v>384</v>
      </c>
      <c r="B238" s="54" t="s">
        <v>385</v>
      </c>
      <c r="C238" s="31">
        <v>4301020377</v>
      </c>
      <c r="D238" s="548">
        <v>4680115885981</v>
      </c>
      <c r="E238" s="549"/>
      <c r="F238" s="540">
        <v>0.33</v>
      </c>
      <c r="G238" s="32">
        <v>6</v>
      </c>
      <c r="H238" s="540">
        <v>1.98</v>
      </c>
      <c r="I238" s="540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2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46"/>
      <c r="R238" s="546"/>
      <c r="S238" s="546"/>
      <c r="T238" s="547"/>
      <c r="U238" s="34"/>
      <c r="V238" s="34"/>
      <c r="W238" s="35" t="s">
        <v>69</v>
      </c>
      <c r="X238" s="541">
        <v>0</v>
      </c>
      <c r="Y238" s="542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386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x14ac:dyDescent="0.2">
      <c r="A239" s="554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62" t="s">
        <v>71</v>
      </c>
      <c r="Q239" s="563"/>
      <c r="R239" s="563"/>
      <c r="S239" s="563"/>
      <c r="T239" s="563"/>
      <c r="U239" s="563"/>
      <c r="V239" s="564"/>
      <c r="W239" s="37" t="s">
        <v>72</v>
      </c>
      <c r="X239" s="543">
        <f>IFERROR(X238/H238,"0")</f>
        <v>0</v>
      </c>
      <c r="Y239" s="543">
        <f>IFERROR(Y238/H238,"0")</f>
        <v>0</v>
      </c>
      <c r="Z239" s="543">
        <f>IFERROR(IF(Z238="",0,Z238),"0")</f>
        <v>0</v>
      </c>
      <c r="AA239" s="544"/>
      <c r="AB239" s="544"/>
      <c r="AC239" s="544"/>
    </row>
    <row r="240" spans="1:68" x14ac:dyDescent="0.2">
      <c r="A240" s="555"/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6"/>
      <c r="P240" s="562" t="s">
        <v>71</v>
      </c>
      <c r="Q240" s="563"/>
      <c r="R240" s="563"/>
      <c r="S240" s="563"/>
      <c r="T240" s="563"/>
      <c r="U240" s="563"/>
      <c r="V240" s="564"/>
      <c r="W240" s="37" t="s">
        <v>69</v>
      </c>
      <c r="X240" s="543">
        <f>IFERROR(SUM(X238:X238),"0")</f>
        <v>0</v>
      </c>
      <c r="Y240" s="543">
        <f>IFERROR(SUM(Y238:Y238),"0")</f>
        <v>0</v>
      </c>
      <c r="Z240" s="37"/>
      <c r="AA240" s="544"/>
      <c r="AB240" s="544"/>
      <c r="AC240" s="544"/>
    </row>
    <row r="241" spans="1:68" ht="14.25" customHeight="1" x14ac:dyDescent="0.25">
      <c r="A241" s="558" t="s">
        <v>387</v>
      </c>
      <c r="B241" s="555"/>
      <c r="C241" s="555"/>
      <c r="D241" s="555"/>
      <c r="E241" s="555"/>
      <c r="F241" s="555"/>
      <c r="G241" s="555"/>
      <c r="H241" s="555"/>
      <c r="I241" s="555"/>
      <c r="J241" s="555"/>
      <c r="K241" s="555"/>
      <c r="L241" s="555"/>
      <c r="M241" s="555"/>
      <c r="N241" s="555"/>
      <c r="O241" s="555"/>
      <c r="P241" s="555"/>
      <c r="Q241" s="555"/>
      <c r="R241" s="555"/>
      <c r="S241" s="555"/>
      <c r="T241" s="555"/>
      <c r="U241" s="555"/>
      <c r="V241" s="555"/>
      <c r="W241" s="555"/>
      <c r="X241" s="555"/>
      <c r="Y241" s="555"/>
      <c r="Z241" s="555"/>
      <c r="AA241" s="537"/>
      <c r="AB241" s="537"/>
      <c r="AC241" s="537"/>
    </row>
    <row r="242" spans="1:68" ht="27" customHeight="1" x14ac:dyDescent="0.25">
      <c r="A242" s="54" t="s">
        <v>388</v>
      </c>
      <c r="B242" s="54" t="s">
        <v>389</v>
      </c>
      <c r="C242" s="31">
        <v>4301040362</v>
      </c>
      <c r="D242" s="548">
        <v>4680115886803</v>
      </c>
      <c r="E242" s="549"/>
      <c r="F242" s="540">
        <v>0.12</v>
      </c>
      <c r="G242" s="32">
        <v>15</v>
      </c>
      <c r="H242" s="540">
        <v>1.8</v>
      </c>
      <c r="I242" s="540">
        <v>1.9750000000000001</v>
      </c>
      <c r="J242" s="32">
        <v>216</v>
      </c>
      <c r="K242" s="32" t="s">
        <v>290</v>
      </c>
      <c r="L242" s="32"/>
      <c r="M242" s="33" t="s">
        <v>291</v>
      </c>
      <c r="N242" s="33"/>
      <c r="O242" s="32">
        <v>45</v>
      </c>
      <c r="P242" s="61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46"/>
      <c r="R242" s="546"/>
      <c r="S242" s="546"/>
      <c r="T242" s="547"/>
      <c r="U242" s="34"/>
      <c r="V242" s="34"/>
      <c r="W242" s="35" t="s">
        <v>69</v>
      </c>
      <c r="X242" s="541">
        <v>0</v>
      </c>
      <c r="Y242" s="542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390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54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62" t="s">
        <v>71</v>
      </c>
      <c r="Q243" s="563"/>
      <c r="R243" s="563"/>
      <c r="S243" s="563"/>
      <c r="T243" s="563"/>
      <c r="U243" s="563"/>
      <c r="V243" s="564"/>
      <c r="W243" s="37" t="s">
        <v>72</v>
      </c>
      <c r="X243" s="543">
        <f>IFERROR(X242/H242,"0")</f>
        <v>0</v>
      </c>
      <c r="Y243" s="543">
        <f>IFERROR(Y242/H242,"0")</f>
        <v>0</v>
      </c>
      <c r="Z243" s="543">
        <f>IFERROR(IF(Z242="",0,Z242),"0")</f>
        <v>0</v>
      </c>
      <c r="AA243" s="544"/>
      <c r="AB243" s="544"/>
      <c r="AC243" s="544"/>
    </row>
    <row r="244" spans="1:68" x14ac:dyDescent="0.2">
      <c r="A244" s="555"/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6"/>
      <c r="P244" s="562" t="s">
        <v>71</v>
      </c>
      <c r="Q244" s="563"/>
      <c r="R244" s="563"/>
      <c r="S244" s="563"/>
      <c r="T244" s="563"/>
      <c r="U244" s="563"/>
      <c r="V244" s="564"/>
      <c r="W244" s="37" t="s">
        <v>69</v>
      </c>
      <c r="X244" s="543">
        <f>IFERROR(SUM(X242:X242),"0")</f>
        <v>0</v>
      </c>
      <c r="Y244" s="543">
        <f>IFERROR(SUM(Y242:Y242),"0")</f>
        <v>0</v>
      </c>
      <c r="Z244" s="37"/>
      <c r="AA244" s="544"/>
      <c r="AB244" s="544"/>
      <c r="AC244" s="544"/>
    </row>
    <row r="245" spans="1:68" ht="14.25" customHeight="1" x14ac:dyDescent="0.25">
      <c r="A245" s="558" t="s">
        <v>391</v>
      </c>
      <c r="B245" s="555"/>
      <c r="C245" s="555"/>
      <c r="D245" s="555"/>
      <c r="E245" s="555"/>
      <c r="F245" s="555"/>
      <c r="G245" s="555"/>
      <c r="H245" s="555"/>
      <c r="I245" s="555"/>
      <c r="J245" s="555"/>
      <c r="K245" s="555"/>
      <c r="L245" s="555"/>
      <c r="M245" s="555"/>
      <c r="N245" s="555"/>
      <c r="O245" s="555"/>
      <c r="P245" s="555"/>
      <c r="Q245" s="555"/>
      <c r="R245" s="555"/>
      <c r="S245" s="555"/>
      <c r="T245" s="555"/>
      <c r="U245" s="555"/>
      <c r="V245" s="555"/>
      <c r="W245" s="555"/>
      <c r="X245" s="555"/>
      <c r="Y245" s="555"/>
      <c r="Z245" s="555"/>
      <c r="AA245" s="537"/>
      <c r="AB245" s="537"/>
      <c r="AC245" s="537"/>
    </row>
    <row r="246" spans="1:68" ht="27" customHeight="1" x14ac:dyDescent="0.25">
      <c r="A246" s="54" t="s">
        <v>392</v>
      </c>
      <c r="B246" s="54" t="s">
        <v>393</v>
      </c>
      <c r="C246" s="31">
        <v>4301041004</v>
      </c>
      <c r="D246" s="548">
        <v>4680115886704</v>
      </c>
      <c r="E246" s="549"/>
      <c r="F246" s="540">
        <v>5.5E-2</v>
      </c>
      <c r="G246" s="32">
        <v>18</v>
      </c>
      <c r="H246" s="540">
        <v>0.99</v>
      </c>
      <c r="I246" s="540">
        <v>1.18</v>
      </c>
      <c r="J246" s="32">
        <v>216</v>
      </c>
      <c r="K246" s="32" t="s">
        <v>290</v>
      </c>
      <c r="L246" s="32"/>
      <c r="M246" s="33" t="s">
        <v>291</v>
      </c>
      <c r="N246" s="33"/>
      <c r="O246" s="32">
        <v>90</v>
      </c>
      <c r="P246" s="67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394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395</v>
      </c>
      <c r="B247" s="54" t="s">
        <v>396</v>
      </c>
      <c r="C247" s="31">
        <v>4301041008</v>
      </c>
      <c r="D247" s="548">
        <v>4680115886681</v>
      </c>
      <c r="E247" s="549"/>
      <c r="F247" s="540">
        <v>0.12</v>
      </c>
      <c r="G247" s="32">
        <v>15</v>
      </c>
      <c r="H247" s="540">
        <v>1.8</v>
      </c>
      <c r="I247" s="540">
        <v>1.9750000000000001</v>
      </c>
      <c r="J247" s="32">
        <v>216</v>
      </c>
      <c r="K247" s="32" t="s">
        <v>290</v>
      </c>
      <c r="L247" s="32"/>
      <c r="M247" s="33" t="s">
        <v>291</v>
      </c>
      <c r="N247" s="33"/>
      <c r="O247" s="32">
        <v>90</v>
      </c>
      <c r="P247" s="7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394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397</v>
      </c>
      <c r="B248" s="54" t="s">
        <v>398</v>
      </c>
      <c r="C248" s="31">
        <v>4301041007</v>
      </c>
      <c r="D248" s="548">
        <v>4680115886735</v>
      </c>
      <c r="E248" s="549"/>
      <c r="F248" s="540">
        <v>0.05</v>
      </c>
      <c r="G248" s="32">
        <v>18</v>
      </c>
      <c r="H248" s="540">
        <v>0.9</v>
      </c>
      <c r="I248" s="540">
        <v>1.0900000000000001</v>
      </c>
      <c r="J248" s="32">
        <v>216</v>
      </c>
      <c r="K248" s="32" t="s">
        <v>290</v>
      </c>
      <c r="L248" s="32"/>
      <c r="M248" s="33" t="s">
        <v>291</v>
      </c>
      <c r="N248" s="33"/>
      <c r="O248" s="32">
        <v>90</v>
      </c>
      <c r="P248" s="73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394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399</v>
      </c>
      <c r="B249" s="54" t="s">
        <v>400</v>
      </c>
      <c r="C249" s="31">
        <v>4301041006</v>
      </c>
      <c r="D249" s="548">
        <v>4680115886728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290</v>
      </c>
      <c r="L249" s="32"/>
      <c r="M249" s="33" t="s">
        <v>291</v>
      </c>
      <c r="N249" s="33"/>
      <c r="O249" s="32">
        <v>90</v>
      </c>
      <c r="P249" s="57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1</v>
      </c>
      <c r="Y249" s="542">
        <f>IFERROR(IF(X249="",0,CEILING((X249/$H249),1)*$H249),"")</f>
        <v>1.98</v>
      </c>
      <c r="Z249" s="36">
        <f>IFERROR(IF(Y249=0,"",ROUNDUP(Y249/H249,0)*0.0059),"")</f>
        <v>1.18E-2</v>
      </c>
      <c r="AA249" s="56"/>
      <c r="AB249" s="57"/>
      <c r="AC249" s="297" t="s">
        <v>394</v>
      </c>
      <c r="AG249" s="64"/>
      <c r="AJ249" s="68"/>
      <c r="AK249" s="68">
        <v>0</v>
      </c>
      <c r="BB249" s="298" t="s">
        <v>1</v>
      </c>
      <c r="BM249" s="64">
        <f>IFERROR(X249*I249/H249,"0")</f>
        <v>1.1919191919191918</v>
      </c>
      <c r="BN249" s="64">
        <f>IFERROR(Y249*I249/H249,"0")</f>
        <v>2.36</v>
      </c>
      <c r="BO249" s="64">
        <f>IFERROR(1/J249*(X249/H249),"0")</f>
        <v>4.6763935652824546E-3</v>
      </c>
      <c r="BP249" s="64">
        <f>IFERROR(1/J249*(Y249/H249),"0")</f>
        <v>9.2592592592592587E-3</v>
      </c>
    </row>
    <row r="250" spans="1:68" ht="27" customHeight="1" x14ac:dyDescent="0.25">
      <c r="A250" s="54" t="s">
        <v>401</v>
      </c>
      <c r="B250" s="54" t="s">
        <v>402</v>
      </c>
      <c r="C250" s="31">
        <v>4301041005</v>
      </c>
      <c r="D250" s="548">
        <v>4680115886711</v>
      </c>
      <c r="E250" s="549"/>
      <c r="F250" s="540">
        <v>5.5E-2</v>
      </c>
      <c r="G250" s="32">
        <v>18</v>
      </c>
      <c r="H250" s="540">
        <v>0.99</v>
      </c>
      <c r="I250" s="540">
        <v>1.18</v>
      </c>
      <c r="J250" s="32">
        <v>216</v>
      </c>
      <c r="K250" s="32" t="s">
        <v>290</v>
      </c>
      <c r="L250" s="32"/>
      <c r="M250" s="33" t="s">
        <v>291</v>
      </c>
      <c r="N250" s="33"/>
      <c r="O250" s="32">
        <v>90</v>
      </c>
      <c r="P250" s="64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46"/>
      <c r="R250" s="546"/>
      <c r="S250" s="546"/>
      <c r="T250" s="547"/>
      <c r="U250" s="34"/>
      <c r="V250" s="34"/>
      <c r="W250" s="35" t="s">
        <v>69</v>
      </c>
      <c r="X250" s="541">
        <v>0</v>
      </c>
      <c r="Y250" s="5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394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54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62" t="s">
        <v>71</v>
      </c>
      <c r="Q251" s="563"/>
      <c r="R251" s="563"/>
      <c r="S251" s="563"/>
      <c r="T251" s="563"/>
      <c r="U251" s="563"/>
      <c r="V251" s="564"/>
      <c r="W251" s="37" t="s">
        <v>72</v>
      </c>
      <c r="X251" s="543">
        <f>IFERROR(X246/H246,"0")+IFERROR(X247/H247,"0")+IFERROR(X248/H248,"0")+IFERROR(X249/H249,"0")+IFERROR(X250/H250,"0")</f>
        <v>1.0101010101010102</v>
      </c>
      <c r="Y251" s="543">
        <f>IFERROR(Y246/H246,"0")+IFERROR(Y247/H247,"0")+IFERROR(Y248/H248,"0")+IFERROR(Y249/H249,"0")+IFERROR(Y250/H250,"0")</f>
        <v>2</v>
      </c>
      <c r="Z251" s="543">
        <f>IFERROR(IF(Z246="",0,Z246),"0")+IFERROR(IF(Z247="",0,Z247),"0")+IFERROR(IF(Z248="",0,Z248),"0")+IFERROR(IF(Z249="",0,Z249),"0")+IFERROR(IF(Z250="",0,Z250),"0")</f>
        <v>1.18E-2</v>
      </c>
      <c r="AA251" s="544"/>
      <c r="AB251" s="544"/>
      <c r="AC251" s="544"/>
    </row>
    <row r="252" spans="1:68" x14ac:dyDescent="0.2">
      <c r="A252" s="555"/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6"/>
      <c r="P252" s="562" t="s">
        <v>71</v>
      </c>
      <c r="Q252" s="563"/>
      <c r="R252" s="563"/>
      <c r="S252" s="563"/>
      <c r="T252" s="563"/>
      <c r="U252" s="563"/>
      <c r="V252" s="564"/>
      <c r="W252" s="37" t="s">
        <v>69</v>
      </c>
      <c r="X252" s="543">
        <f>IFERROR(SUM(X246:X250),"0")</f>
        <v>1</v>
      </c>
      <c r="Y252" s="543">
        <f>IFERROR(SUM(Y246:Y250),"0")</f>
        <v>1.98</v>
      </c>
      <c r="Z252" s="37"/>
      <c r="AA252" s="544"/>
      <c r="AB252" s="544"/>
      <c r="AC252" s="544"/>
    </row>
    <row r="253" spans="1:68" ht="16.5" customHeight="1" x14ac:dyDescent="0.25">
      <c r="A253" s="559" t="s">
        <v>403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6"/>
      <c r="AB253" s="536"/>
      <c r="AC253" s="536"/>
    </row>
    <row r="254" spans="1:68" ht="14.25" customHeight="1" x14ac:dyDescent="0.25">
      <c r="A254" s="558" t="s">
        <v>99</v>
      </c>
      <c r="B254" s="555"/>
      <c r="C254" s="555"/>
      <c r="D254" s="555"/>
      <c r="E254" s="555"/>
      <c r="F254" s="555"/>
      <c r="G254" s="555"/>
      <c r="H254" s="555"/>
      <c r="I254" s="555"/>
      <c r="J254" s="555"/>
      <c r="K254" s="555"/>
      <c r="L254" s="555"/>
      <c r="M254" s="555"/>
      <c r="N254" s="555"/>
      <c r="O254" s="555"/>
      <c r="P254" s="555"/>
      <c r="Q254" s="555"/>
      <c r="R254" s="555"/>
      <c r="S254" s="555"/>
      <c r="T254" s="555"/>
      <c r="U254" s="555"/>
      <c r="V254" s="555"/>
      <c r="W254" s="555"/>
      <c r="X254" s="555"/>
      <c r="Y254" s="555"/>
      <c r="Z254" s="555"/>
      <c r="AA254" s="537"/>
      <c r="AB254" s="537"/>
      <c r="AC254" s="537"/>
    </row>
    <row r="255" spans="1:68" ht="27" customHeight="1" x14ac:dyDescent="0.25">
      <c r="A255" s="54" t="s">
        <v>404</v>
      </c>
      <c r="B255" s="54" t="s">
        <v>405</v>
      </c>
      <c r="C255" s="31">
        <v>4301011855</v>
      </c>
      <c r="D255" s="548">
        <v>4680115885837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406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customHeight="1" x14ac:dyDescent="0.25">
      <c r="A256" s="54" t="s">
        <v>407</v>
      </c>
      <c r="B256" s="54" t="s">
        <v>408</v>
      </c>
      <c r="C256" s="31">
        <v>4301011853</v>
      </c>
      <c r="D256" s="548">
        <v>4680115885851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5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409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410</v>
      </c>
      <c r="B257" s="54" t="s">
        <v>411</v>
      </c>
      <c r="C257" s="31">
        <v>4301011850</v>
      </c>
      <c r="D257" s="548">
        <v>4680115885806</v>
      </c>
      <c r="E257" s="549"/>
      <c r="F257" s="540">
        <v>1.35</v>
      </c>
      <c r="G257" s="32">
        <v>8</v>
      </c>
      <c r="H257" s="540">
        <v>10.8</v>
      </c>
      <c r="I257" s="540">
        <v>11.21</v>
      </c>
      <c r="J257" s="32">
        <v>64</v>
      </c>
      <c r="K257" s="32" t="s">
        <v>102</v>
      </c>
      <c r="L257" s="32"/>
      <c r="M257" s="33" t="s">
        <v>104</v>
      </c>
      <c r="N257" s="33"/>
      <c r="O257" s="32">
        <v>55</v>
      </c>
      <c r="P257" s="76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412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413</v>
      </c>
      <c r="B258" s="54" t="s">
        <v>414</v>
      </c>
      <c r="C258" s="31">
        <v>4301011852</v>
      </c>
      <c r="D258" s="548">
        <v>4680115885844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5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415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416</v>
      </c>
      <c r="B259" s="54" t="s">
        <v>417</v>
      </c>
      <c r="C259" s="31">
        <v>4301011851</v>
      </c>
      <c r="D259" s="548">
        <v>4680115885820</v>
      </c>
      <c r="E259" s="549"/>
      <c r="F259" s="540">
        <v>0.4</v>
      </c>
      <c r="G259" s="32">
        <v>10</v>
      </c>
      <c r="H259" s="540">
        <v>4</v>
      </c>
      <c r="I259" s="540">
        <v>4.1900000000000004</v>
      </c>
      <c r="J259" s="32">
        <v>132</v>
      </c>
      <c r="K259" s="32" t="s">
        <v>109</v>
      </c>
      <c r="L259" s="32"/>
      <c r="M259" s="33" t="s">
        <v>104</v>
      </c>
      <c r="N259" s="33"/>
      <c r="O259" s="32">
        <v>55</v>
      </c>
      <c r="P259" s="62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46"/>
      <c r="R259" s="546"/>
      <c r="S259" s="546"/>
      <c r="T259" s="547"/>
      <c r="U259" s="34"/>
      <c r="V259" s="34"/>
      <c r="W259" s="35" t="s">
        <v>69</v>
      </c>
      <c r="X259" s="541">
        <v>0</v>
      </c>
      <c r="Y259" s="542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418</v>
      </c>
      <c r="AG259" s="64"/>
      <c r="AJ259" s="68"/>
      <c r="AK259" s="68">
        <v>0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54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62" t="s">
        <v>71</v>
      </c>
      <c r="Q260" s="563"/>
      <c r="R260" s="563"/>
      <c r="S260" s="563"/>
      <c r="T260" s="563"/>
      <c r="U260" s="563"/>
      <c r="V260" s="564"/>
      <c r="W260" s="37" t="s">
        <v>72</v>
      </c>
      <c r="X260" s="543">
        <f>IFERROR(X255/H255,"0")+IFERROR(X256/H256,"0")+IFERROR(X257/H257,"0")+IFERROR(X258/H258,"0")+IFERROR(X259/H259,"0")</f>
        <v>0</v>
      </c>
      <c r="Y260" s="543">
        <f>IFERROR(Y255/H255,"0")+IFERROR(Y256/H256,"0")+IFERROR(Y257/H257,"0")+IFERROR(Y258/H258,"0")+IFERROR(Y259/H259,"0")</f>
        <v>0</v>
      </c>
      <c r="Z260" s="543">
        <f>IFERROR(IF(Z255="",0,Z255),"0")+IFERROR(IF(Z256="",0,Z256),"0")+IFERROR(IF(Z257="",0,Z257),"0")+IFERROR(IF(Z258="",0,Z258),"0")+IFERROR(IF(Z259="",0,Z259),"0")</f>
        <v>0</v>
      </c>
      <c r="AA260" s="544"/>
      <c r="AB260" s="544"/>
      <c r="AC260" s="544"/>
    </row>
    <row r="261" spans="1:68" x14ac:dyDescent="0.2">
      <c r="A261" s="555"/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6"/>
      <c r="P261" s="562" t="s">
        <v>71</v>
      </c>
      <c r="Q261" s="563"/>
      <c r="R261" s="563"/>
      <c r="S261" s="563"/>
      <c r="T261" s="563"/>
      <c r="U261" s="563"/>
      <c r="V261" s="564"/>
      <c r="W261" s="37" t="s">
        <v>69</v>
      </c>
      <c r="X261" s="543">
        <f>IFERROR(SUM(X255:X259),"0")</f>
        <v>0</v>
      </c>
      <c r="Y261" s="543">
        <f>IFERROR(SUM(Y255:Y259),"0")</f>
        <v>0</v>
      </c>
      <c r="Z261" s="37"/>
      <c r="AA261" s="544"/>
      <c r="AB261" s="544"/>
      <c r="AC261" s="544"/>
    </row>
    <row r="262" spans="1:68" ht="16.5" customHeight="1" x14ac:dyDescent="0.25">
      <c r="A262" s="559" t="s">
        <v>419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6"/>
      <c r="AB262" s="536"/>
      <c r="AC262" s="536"/>
    </row>
    <row r="263" spans="1:68" ht="14.25" customHeight="1" x14ac:dyDescent="0.25">
      <c r="A263" s="558" t="s">
        <v>99</v>
      </c>
      <c r="B263" s="555"/>
      <c r="C263" s="555"/>
      <c r="D263" s="555"/>
      <c r="E263" s="555"/>
      <c r="F263" s="555"/>
      <c r="G263" s="555"/>
      <c r="H263" s="555"/>
      <c r="I263" s="555"/>
      <c r="J263" s="555"/>
      <c r="K263" s="555"/>
      <c r="L263" s="555"/>
      <c r="M263" s="555"/>
      <c r="N263" s="555"/>
      <c r="O263" s="555"/>
      <c r="P263" s="555"/>
      <c r="Q263" s="555"/>
      <c r="R263" s="555"/>
      <c r="S263" s="555"/>
      <c r="T263" s="555"/>
      <c r="U263" s="555"/>
      <c r="V263" s="555"/>
      <c r="W263" s="555"/>
      <c r="X263" s="555"/>
      <c r="Y263" s="555"/>
      <c r="Z263" s="555"/>
      <c r="AA263" s="537"/>
      <c r="AB263" s="537"/>
      <c r="AC263" s="537"/>
    </row>
    <row r="264" spans="1:68" ht="27" customHeight="1" x14ac:dyDescent="0.25">
      <c r="A264" s="54" t="s">
        <v>420</v>
      </c>
      <c r="B264" s="54" t="s">
        <v>421</v>
      </c>
      <c r="C264" s="31">
        <v>4301011223</v>
      </c>
      <c r="D264" s="548">
        <v>4607091383423</v>
      </c>
      <c r="E264" s="549"/>
      <c r="F264" s="540">
        <v>1.35</v>
      </c>
      <c r="G264" s="32">
        <v>8</v>
      </c>
      <c r="H264" s="540">
        <v>10.8</v>
      </c>
      <c r="I264" s="540">
        <v>11.305999999999999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35</v>
      </c>
      <c r="P264" s="68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105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422</v>
      </c>
      <c r="B265" s="54" t="s">
        <v>423</v>
      </c>
      <c r="C265" s="31">
        <v>4301012199</v>
      </c>
      <c r="D265" s="548">
        <v>4680115886957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30</v>
      </c>
      <c r="P265" s="60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425</v>
      </c>
      <c r="B266" s="54" t="s">
        <v>426</v>
      </c>
      <c r="C266" s="31">
        <v>4301012098</v>
      </c>
      <c r="D266" s="548">
        <v>4680115885660</v>
      </c>
      <c r="E266" s="549"/>
      <c r="F266" s="540">
        <v>1.35</v>
      </c>
      <c r="G266" s="32">
        <v>8</v>
      </c>
      <c r="H266" s="540">
        <v>10.8</v>
      </c>
      <c r="I266" s="540">
        <v>11.21</v>
      </c>
      <c r="J266" s="32">
        <v>64</v>
      </c>
      <c r="K266" s="32" t="s">
        <v>102</v>
      </c>
      <c r="L266" s="32"/>
      <c r="M266" s="33" t="s">
        <v>77</v>
      </c>
      <c r="N266" s="33"/>
      <c r="O266" s="32">
        <v>35</v>
      </c>
      <c r="P266" s="61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370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427</v>
      </c>
      <c r="B267" s="54" t="s">
        <v>428</v>
      </c>
      <c r="C267" s="31">
        <v>4301012176</v>
      </c>
      <c r="D267" s="548">
        <v>4680115886773</v>
      </c>
      <c r="E267" s="549"/>
      <c r="F267" s="540">
        <v>0.9</v>
      </c>
      <c r="G267" s="32">
        <v>10</v>
      </c>
      <c r="H267" s="540">
        <v>9</v>
      </c>
      <c r="I267" s="540">
        <v>9.41</v>
      </c>
      <c r="J267" s="32">
        <v>64</v>
      </c>
      <c r="K267" s="32" t="s">
        <v>102</v>
      </c>
      <c r="L267" s="32"/>
      <c r="M267" s="33" t="s">
        <v>104</v>
      </c>
      <c r="N267" s="33"/>
      <c r="O267" s="32">
        <v>31</v>
      </c>
      <c r="P267" s="7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46"/>
      <c r="R267" s="546"/>
      <c r="S267" s="546"/>
      <c r="T267" s="547"/>
      <c r="U267" s="34"/>
      <c r="V267" s="34"/>
      <c r="W267" s="35" t="s">
        <v>69</v>
      </c>
      <c r="X267" s="541">
        <v>0</v>
      </c>
      <c r="Y267" s="542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429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54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62" t="s">
        <v>71</v>
      </c>
      <c r="Q268" s="563"/>
      <c r="R268" s="563"/>
      <c r="S268" s="563"/>
      <c r="T268" s="563"/>
      <c r="U268" s="563"/>
      <c r="V268" s="564"/>
      <c r="W268" s="37" t="s">
        <v>72</v>
      </c>
      <c r="X268" s="543">
        <f>IFERROR(X264/H264,"0")+IFERROR(X265/H265,"0")+IFERROR(X266/H266,"0")+IFERROR(X267/H267,"0")</f>
        <v>0</v>
      </c>
      <c r="Y268" s="543">
        <f>IFERROR(Y264/H264,"0")+IFERROR(Y265/H265,"0")+IFERROR(Y266/H266,"0")+IFERROR(Y267/H267,"0")</f>
        <v>0</v>
      </c>
      <c r="Z268" s="543">
        <f>IFERROR(IF(Z264="",0,Z264),"0")+IFERROR(IF(Z265="",0,Z265),"0")+IFERROR(IF(Z266="",0,Z266),"0")+IFERROR(IF(Z267="",0,Z267),"0")</f>
        <v>0</v>
      </c>
      <c r="AA268" s="544"/>
      <c r="AB268" s="544"/>
      <c r="AC268" s="544"/>
    </row>
    <row r="269" spans="1:68" x14ac:dyDescent="0.2">
      <c r="A269" s="555"/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6"/>
      <c r="P269" s="562" t="s">
        <v>71</v>
      </c>
      <c r="Q269" s="563"/>
      <c r="R269" s="563"/>
      <c r="S269" s="563"/>
      <c r="T269" s="563"/>
      <c r="U269" s="563"/>
      <c r="V269" s="564"/>
      <c r="W269" s="37" t="s">
        <v>69</v>
      </c>
      <c r="X269" s="543">
        <f>IFERROR(SUM(X264:X267),"0")</f>
        <v>0</v>
      </c>
      <c r="Y269" s="543">
        <f>IFERROR(SUM(Y264:Y267),"0")</f>
        <v>0</v>
      </c>
      <c r="Z269" s="37"/>
      <c r="AA269" s="544"/>
      <c r="AB269" s="544"/>
      <c r="AC269" s="544"/>
    </row>
    <row r="270" spans="1:68" ht="16.5" customHeight="1" x14ac:dyDescent="0.25">
      <c r="A270" s="559" t="s">
        <v>430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6"/>
      <c r="AB270" s="536"/>
      <c r="AC270" s="536"/>
    </row>
    <row r="271" spans="1:68" ht="14.25" customHeight="1" x14ac:dyDescent="0.25">
      <c r="A271" s="558" t="s">
        <v>73</v>
      </c>
      <c r="B271" s="555"/>
      <c r="C271" s="555"/>
      <c r="D271" s="555"/>
      <c r="E271" s="555"/>
      <c r="F271" s="555"/>
      <c r="G271" s="555"/>
      <c r="H271" s="555"/>
      <c r="I271" s="555"/>
      <c r="J271" s="555"/>
      <c r="K271" s="555"/>
      <c r="L271" s="555"/>
      <c r="M271" s="555"/>
      <c r="N271" s="555"/>
      <c r="O271" s="555"/>
      <c r="P271" s="555"/>
      <c r="Q271" s="555"/>
      <c r="R271" s="555"/>
      <c r="S271" s="555"/>
      <c r="T271" s="555"/>
      <c r="U271" s="555"/>
      <c r="V271" s="555"/>
      <c r="W271" s="555"/>
      <c r="X271" s="555"/>
      <c r="Y271" s="555"/>
      <c r="Z271" s="555"/>
      <c r="AA271" s="537"/>
      <c r="AB271" s="537"/>
      <c r="AC271" s="537"/>
    </row>
    <row r="272" spans="1:68" ht="27" customHeight="1" x14ac:dyDescent="0.25">
      <c r="A272" s="54" t="s">
        <v>431</v>
      </c>
      <c r="B272" s="54" t="s">
        <v>432</v>
      </c>
      <c r="C272" s="31">
        <v>4301051893</v>
      </c>
      <c r="D272" s="548">
        <v>4680115886186</v>
      </c>
      <c r="E272" s="549"/>
      <c r="F272" s="540">
        <v>0.3</v>
      </c>
      <c r="G272" s="32">
        <v>6</v>
      </c>
      <c r="H272" s="540">
        <v>1.8</v>
      </c>
      <c r="I272" s="540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9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433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434</v>
      </c>
      <c r="B273" s="54" t="s">
        <v>435</v>
      </c>
      <c r="C273" s="31">
        <v>4301051795</v>
      </c>
      <c r="D273" s="548">
        <v>4680115881228</v>
      </c>
      <c r="E273" s="549"/>
      <c r="F273" s="540">
        <v>0.4</v>
      </c>
      <c r="G273" s="32">
        <v>6</v>
      </c>
      <c r="H273" s="540">
        <v>2.4</v>
      </c>
      <c r="I273" s="540">
        <v>2.6520000000000001</v>
      </c>
      <c r="J273" s="32">
        <v>182</v>
      </c>
      <c r="K273" s="32" t="s">
        <v>76</v>
      </c>
      <c r="L273" s="32" t="s">
        <v>213</v>
      </c>
      <c r="M273" s="33" t="s">
        <v>84</v>
      </c>
      <c r="N273" s="33"/>
      <c r="O273" s="32">
        <v>40</v>
      </c>
      <c r="P273" s="62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39</v>
      </c>
      <c r="Y273" s="542">
        <f>IFERROR(IF(X273="",0,CEILING((X273/$H273),1)*$H273),"")</f>
        <v>40.799999999999997</v>
      </c>
      <c r="Z273" s="36">
        <f>IFERROR(IF(Y273=0,"",ROUNDUP(Y273/H273,0)*0.00651),"")</f>
        <v>0.11067</v>
      </c>
      <c r="AA273" s="56"/>
      <c r="AB273" s="57"/>
      <c r="AC273" s="321" t="s">
        <v>436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43.095000000000006</v>
      </c>
      <c r="BN273" s="64">
        <f>IFERROR(Y273*I273/H273,"0")</f>
        <v>45.084000000000003</v>
      </c>
      <c r="BO273" s="64">
        <f>IFERROR(1/J273*(X273/H273),"0")</f>
        <v>8.9285714285714288E-2</v>
      </c>
      <c r="BP273" s="64">
        <f>IFERROR(1/J273*(Y273/H273),"0")</f>
        <v>9.3406593406593408E-2</v>
      </c>
    </row>
    <row r="274" spans="1:68" ht="27" customHeight="1" x14ac:dyDescent="0.25">
      <c r="A274" s="54" t="s">
        <v>437</v>
      </c>
      <c r="B274" s="54" t="s">
        <v>438</v>
      </c>
      <c r="C274" s="31">
        <v>4301051388</v>
      </c>
      <c r="D274" s="548">
        <v>4680115881211</v>
      </c>
      <c r="E274" s="549"/>
      <c r="F274" s="540">
        <v>0.4</v>
      </c>
      <c r="G274" s="32">
        <v>6</v>
      </c>
      <c r="H274" s="540">
        <v>2.4</v>
      </c>
      <c r="I274" s="540">
        <v>2.58</v>
      </c>
      <c r="J274" s="32">
        <v>182</v>
      </c>
      <c r="K274" s="32" t="s">
        <v>76</v>
      </c>
      <c r="L274" s="32" t="s">
        <v>213</v>
      </c>
      <c r="M274" s="33" t="s">
        <v>77</v>
      </c>
      <c r="N274" s="33"/>
      <c r="O274" s="32">
        <v>45</v>
      </c>
      <c r="P274" s="76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46"/>
      <c r="R274" s="546"/>
      <c r="S274" s="546"/>
      <c r="T274" s="547"/>
      <c r="U274" s="34"/>
      <c r="V274" s="34"/>
      <c r="W274" s="35" t="s">
        <v>69</v>
      </c>
      <c r="X274" s="541">
        <v>0</v>
      </c>
      <c r="Y274" s="542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433</v>
      </c>
      <c r="AG274" s="64"/>
      <c r="AJ274" s="68" t="s">
        <v>106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x14ac:dyDescent="0.2">
      <c r="A275" s="554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62" t="s">
        <v>71</v>
      </c>
      <c r="Q275" s="563"/>
      <c r="R275" s="563"/>
      <c r="S275" s="563"/>
      <c r="T275" s="563"/>
      <c r="U275" s="563"/>
      <c r="V275" s="564"/>
      <c r="W275" s="37" t="s">
        <v>72</v>
      </c>
      <c r="X275" s="543">
        <f>IFERROR(X272/H272,"0")+IFERROR(X273/H273,"0")+IFERROR(X274/H274,"0")</f>
        <v>16.25</v>
      </c>
      <c r="Y275" s="543">
        <f>IFERROR(Y272/H272,"0")+IFERROR(Y273/H273,"0")+IFERROR(Y274/H274,"0")</f>
        <v>17</v>
      </c>
      <c r="Z275" s="543">
        <f>IFERROR(IF(Z272="",0,Z272),"0")+IFERROR(IF(Z273="",0,Z273),"0")+IFERROR(IF(Z274="",0,Z274),"0")</f>
        <v>0.11067</v>
      </c>
      <c r="AA275" s="544"/>
      <c r="AB275" s="544"/>
      <c r="AC275" s="544"/>
    </row>
    <row r="276" spans="1:68" x14ac:dyDescent="0.2">
      <c r="A276" s="555"/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6"/>
      <c r="P276" s="562" t="s">
        <v>71</v>
      </c>
      <c r="Q276" s="563"/>
      <c r="R276" s="563"/>
      <c r="S276" s="563"/>
      <c r="T276" s="563"/>
      <c r="U276" s="563"/>
      <c r="V276" s="564"/>
      <c r="W276" s="37" t="s">
        <v>69</v>
      </c>
      <c r="X276" s="543">
        <f>IFERROR(SUM(X272:X274),"0")</f>
        <v>39</v>
      </c>
      <c r="Y276" s="543">
        <f>IFERROR(SUM(Y272:Y274),"0")</f>
        <v>40.799999999999997</v>
      </c>
      <c r="Z276" s="37"/>
      <c r="AA276" s="544"/>
      <c r="AB276" s="544"/>
      <c r="AC276" s="544"/>
    </row>
    <row r="277" spans="1:68" ht="16.5" customHeight="1" x14ac:dyDescent="0.25">
      <c r="A277" s="559" t="s">
        <v>439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6"/>
      <c r="AB277" s="536"/>
      <c r="AC277" s="536"/>
    </row>
    <row r="278" spans="1:68" ht="14.25" customHeight="1" x14ac:dyDescent="0.25">
      <c r="A278" s="558" t="s">
        <v>64</v>
      </c>
      <c r="B278" s="555"/>
      <c r="C278" s="555"/>
      <c r="D278" s="555"/>
      <c r="E278" s="555"/>
      <c r="F278" s="555"/>
      <c r="G278" s="555"/>
      <c r="H278" s="555"/>
      <c r="I278" s="555"/>
      <c r="J278" s="555"/>
      <c r="K278" s="555"/>
      <c r="L278" s="555"/>
      <c r="M278" s="555"/>
      <c r="N278" s="555"/>
      <c r="O278" s="555"/>
      <c r="P278" s="555"/>
      <c r="Q278" s="555"/>
      <c r="R278" s="555"/>
      <c r="S278" s="555"/>
      <c r="T278" s="555"/>
      <c r="U278" s="555"/>
      <c r="V278" s="555"/>
      <c r="W278" s="555"/>
      <c r="X278" s="555"/>
      <c r="Y278" s="555"/>
      <c r="Z278" s="555"/>
      <c r="AA278" s="537"/>
      <c r="AB278" s="537"/>
      <c r="AC278" s="537"/>
    </row>
    <row r="279" spans="1:68" ht="27" customHeight="1" x14ac:dyDescent="0.25">
      <c r="A279" s="54" t="s">
        <v>440</v>
      </c>
      <c r="B279" s="54" t="s">
        <v>441</v>
      </c>
      <c r="C279" s="31">
        <v>4301031307</v>
      </c>
      <c r="D279" s="548">
        <v>4680115880344</v>
      </c>
      <c r="E279" s="549"/>
      <c r="F279" s="540">
        <v>0.28000000000000003</v>
      </c>
      <c r="G279" s="32">
        <v>6</v>
      </c>
      <c r="H279" s="540">
        <v>1.68</v>
      </c>
      <c r="I279" s="540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5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442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443</v>
      </c>
      <c r="B280" s="54" t="s">
        <v>444</v>
      </c>
      <c r="C280" s="31">
        <v>4301031429</v>
      </c>
      <c r="D280" s="548">
        <v>4680115886919</v>
      </c>
      <c r="E280" s="549"/>
      <c r="F280" s="540">
        <v>0.4</v>
      </c>
      <c r="G280" s="32">
        <v>6</v>
      </c>
      <c r="H280" s="540">
        <v>2.4</v>
      </c>
      <c r="I280" s="540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6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46"/>
      <c r="R280" s="546"/>
      <c r="S280" s="546"/>
      <c r="T280" s="547"/>
      <c r="U280" s="34"/>
      <c r="V280" s="34"/>
      <c r="W280" s="35" t="s">
        <v>69</v>
      </c>
      <c r="X280" s="541">
        <v>0</v>
      </c>
      <c r="Y280" s="542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445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54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62" t="s">
        <v>71</v>
      </c>
      <c r="Q281" s="563"/>
      <c r="R281" s="563"/>
      <c r="S281" s="563"/>
      <c r="T281" s="563"/>
      <c r="U281" s="563"/>
      <c r="V281" s="564"/>
      <c r="W281" s="37" t="s">
        <v>72</v>
      </c>
      <c r="X281" s="543">
        <f>IFERROR(X279/H279,"0")+IFERROR(X280/H280,"0")</f>
        <v>0</v>
      </c>
      <c r="Y281" s="543">
        <f>IFERROR(Y279/H279,"0")+IFERROR(Y280/H280,"0")</f>
        <v>0</v>
      </c>
      <c r="Z281" s="543">
        <f>IFERROR(IF(Z279="",0,Z279),"0")+IFERROR(IF(Z280="",0,Z280),"0")</f>
        <v>0</v>
      </c>
      <c r="AA281" s="544"/>
      <c r="AB281" s="544"/>
      <c r="AC281" s="544"/>
    </row>
    <row r="282" spans="1:68" x14ac:dyDescent="0.2">
      <c r="A282" s="555"/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6"/>
      <c r="P282" s="562" t="s">
        <v>71</v>
      </c>
      <c r="Q282" s="563"/>
      <c r="R282" s="563"/>
      <c r="S282" s="563"/>
      <c r="T282" s="563"/>
      <c r="U282" s="563"/>
      <c r="V282" s="564"/>
      <c r="W282" s="37" t="s">
        <v>69</v>
      </c>
      <c r="X282" s="543">
        <f>IFERROR(SUM(X279:X280),"0")</f>
        <v>0</v>
      </c>
      <c r="Y282" s="543">
        <f>IFERROR(SUM(Y279:Y280),"0")</f>
        <v>0</v>
      </c>
      <c r="Z282" s="37"/>
      <c r="AA282" s="544"/>
      <c r="AB282" s="544"/>
      <c r="AC282" s="544"/>
    </row>
    <row r="283" spans="1:68" ht="14.25" customHeight="1" x14ac:dyDescent="0.25">
      <c r="A283" s="558" t="s">
        <v>73</v>
      </c>
      <c r="B283" s="555"/>
      <c r="C283" s="555"/>
      <c r="D283" s="555"/>
      <c r="E283" s="555"/>
      <c r="F283" s="555"/>
      <c r="G283" s="555"/>
      <c r="H283" s="555"/>
      <c r="I283" s="555"/>
      <c r="J283" s="555"/>
      <c r="K283" s="555"/>
      <c r="L283" s="555"/>
      <c r="M283" s="555"/>
      <c r="N283" s="555"/>
      <c r="O283" s="555"/>
      <c r="P283" s="555"/>
      <c r="Q283" s="555"/>
      <c r="R283" s="555"/>
      <c r="S283" s="555"/>
      <c r="T283" s="555"/>
      <c r="U283" s="555"/>
      <c r="V283" s="555"/>
      <c r="W283" s="555"/>
      <c r="X283" s="555"/>
      <c r="Y283" s="555"/>
      <c r="Z283" s="555"/>
      <c r="AA283" s="537"/>
      <c r="AB283" s="537"/>
      <c r="AC283" s="537"/>
    </row>
    <row r="284" spans="1:68" ht="27" customHeight="1" x14ac:dyDescent="0.25">
      <c r="A284" s="54" t="s">
        <v>446</v>
      </c>
      <c r="B284" s="54" t="s">
        <v>447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41" t="s">
        <v>448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 t="s">
        <v>253</v>
      </c>
      <c r="AC284" s="329" t="s">
        <v>449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37.5" customHeight="1" x14ac:dyDescent="0.25">
      <c r="A285" s="54" t="s">
        <v>450</v>
      </c>
      <c r="B285" s="54" t="s">
        <v>451</v>
      </c>
      <c r="C285" s="31">
        <v>4301051782</v>
      </c>
      <c r="D285" s="548">
        <v>4680115884618</v>
      </c>
      <c r="E285" s="549"/>
      <c r="F285" s="540">
        <v>0.6</v>
      </c>
      <c r="G285" s="32">
        <v>6</v>
      </c>
      <c r="H285" s="540">
        <v>3.6</v>
      </c>
      <c r="I285" s="540">
        <v>3.79</v>
      </c>
      <c r="J285" s="32">
        <v>132</v>
      </c>
      <c r="K285" s="32" t="s">
        <v>109</v>
      </c>
      <c r="L285" s="32"/>
      <c r="M285" s="33" t="s">
        <v>77</v>
      </c>
      <c r="N285" s="33"/>
      <c r="O285" s="32">
        <v>45</v>
      </c>
      <c r="P285" s="69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546"/>
      <c r="R285" s="546"/>
      <c r="S285" s="546"/>
      <c r="T285" s="547"/>
      <c r="U285" s="34"/>
      <c r="V285" s="34"/>
      <c r="W285" s="35" t="s">
        <v>69</v>
      </c>
      <c r="X285" s="541">
        <v>0</v>
      </c>
      <c r="Y285" s="542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452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x14ac:dyDescent="0.2">
      <c r="A286" s="554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62" t="s">
        <v>71</v>
      </c>
      <c r="Q286" s="563"/>
      <c r="R286" s="563"/>
      <c r="S286" s="563"/>
      <c r="T286" s="563"/>
      <c r="U286" s="563"/>
      <c r="V286" s="564"/>
      <c r="W286" s="37" t="s">
        <v>72</v>
      </c>
      <c r="X286" s="543">
        <f>IFERROR(X284/H284,"0")+IFERROR(X285/H285,"0")</f>
        <v>0</v>
      </c>
      <c r="Y286" s="543">
        <f>IFERROR(Y284/H284,"0")+IFERROR(Y285/H285,"0")</f>
        <v>0</v>
      </c>
      <c r="Z286" s="543">
        <f>IFERROR(IF(Z284="",0,Z284),"0")+IFERROR(IF(Z285="",0,Z285),"0")</f>
        <v>0</v>
      </c>
      <c r="AA286" s="544"/>
      <c r="AB286" s="544"/>
      <c r="AC286" s="544"/>
    </row>
    <row r="287" spans="1:68" x14ac:dyDescent="0.2">
      <c r="A287" s="555"/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6"/>
      <c r="P287" s="562" t="s">
        <v>71</v>
      </c>
      <c r="Q287" s="563"/>
      <c r="R287" s="563"/>
      <c r="S287" s="563"/>
      <c r="T287" s="563"/>
      <c r="U287" s="563"/>
      <c r="V287" s="564"/>
      <c r="W287" s="37" t="s">
        <v>69</v>
      </c>
      <c r="X287" s="543">
        <f>IFERROR(SUM(X284:X285),"0")</f>
        <v>0</v>
      </c>
      <c r="Y287" s="543">
        <f>IFERROR(SUM(Y284:Y285),"0")</f>
        <v>0</v>
      </c>
      <c r="Z287" s="37"/>
      <c r="AA287" s="544"/>
      <c r="AB287" s="544"/>
      <c r="AC287" s="544"/>
    </row>
    <row r="288" spans="1:68" ht="16.5" customHeight="1" x14ac:dyDescent="0.25">
      <c r="A288" s="559" t="s">
        <v>453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6"/>
      <c r="AB288" s="536"/>
      <c r="AC288" s="536"/>
    </row>
    <row r="289" spans="1:68" ht="14.25" customHeight="1" x14ac:dyDescent="0.25">
      <c r="A289" s="558" t="s">
        <v>99</v>
      </c>
      <c r="B289" s="555"/>
      <c r="C289" s="555"/>
      <c r="D289" s="555"/>
      <c r="E289" s="555"/>
      <c r="F289" s="555"/>
      <c r="G289" s="555"/>
      <c r="H289" s="555"/>
      <c r="I289" s="555"/>
      <c r="J289" s="555"/>
      <c r="K289" s="555"/>
      <c r="L289" s="555"/>
      <c r="M289" s="555"/>
      <c r="N289" s="555"/>
      <c r="O289" s="555"/>
      <c r="P289" s="555"/>
      <c r="Q289" s="555"/>
      <c r="R289" s="555"/>
      <c r="S289" s="555"/>
      <c r="T289" s="555"/>
      <c r="U289" s="555"/>
      <c r="V289" s="555"/>
      <c r="W289" s="555"/>
      <c r="X289" s="555"/>
      <c r="Y289" s="555"/>
      <c r="Z289" s="555"/>
      <c r="AA289" s="537"/>
      <c r="AB289" s="537"/>
      <c r="AC289" s="537"/>
    </row>
    <row r="290" spans="1:68" ht="27" customHeight="1" x14ac:dyDescent="0.25">
      <c r="A290" s="54" t="s">
        <v>454</v>
      </c>
      <c r="B290" s="54" t="s">
        <v>455</v>
      </c>
      <c r="C290" s="31">
        <v>4301012024</v>
      </c>
      <c r="D290" s="548">
        <v>4680115885615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8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456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37.5" customHeight="1" x14ac:dyDescent="0.25">
      <c r="A291" s="54" t="s">
        <v>457</v>
      </c>
      <c r="B291" s="54" t="s">
        <v>458</v>
      </c>
      <c r="C291" s="31">
        <v>4301011858</v>
      </c>
      <c r="D291" s="548">
        <v>4680115885646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104</v>
      </c>
      <c r="N291" s="33"/>
      <c r="O291" s="32">
        <v>55</v>
      </c>
      <c r="P291" s="84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459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460</v>
      </c>
      <c r="B292" s="54" t="s">
        <v>461</v>
      </c>
      <c r="C292" s="31">
        <v>4301012016</v>
      </c>
      <c r="D292" s="548">
        <v>4680115885554</v>
      </c>
      <c r="E292" s="549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102</v>
      </c>
      <c r="L292" s="32"/>
      <c r="M292" s="33" t="s">
        <v>77</v>
      </c>
      <c r="N292" s="33"/>
      <c r="O292" s="32">
        <v>55</v>
      </c>
      <c r="P292" s="85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IFERROR(IF(Y292=0,"",ROUNDUP(Y292/H292,0)*0.01898),"")</f>
        <v/>
      </c>
      <c r="AA292" s="56"/>
      <c r="AB292" s="57"/>
      <c r="AC292" s="337" t="s">
        <v>462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463</v>
      </c>
      <c r="B293" s="54" t="s">
        <v>464</v>
      </c>
      <c r="C293" s="31">
        <v>4301011857</v>
      </c>
      <c r="D293" s="548">
        <v>4680115885622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456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customHeight="1" x14ac:dyDescent="0.25">
      <c r="A294" s="54" t="s">
        <v>465</v>
      </c>
      <c r="B294" s="54" t="s">
        <v>466</v>
      </c>
      <c r="C294" s="31">
        <v>4301011859</v>
      </c>
      <c r="D294" s="548">
        <v>4680115885608</v>
      </c>
      <c r="E294" s="549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109</v>
      </c>
      <c r="L294" s="32"/>
      <c r="M294" s="33" t="s">
        <v>104</v>
      </c>
      <c r="N294" s="33"/>
      <c r="O294" s="32">
        <v>55</v>
      </c>
      <c r="P294" s="85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46"/>
      <c r="R294" s="546"/>
      <c r="S294" s="546"/>
      <c r="T294" s="547"/>
      <c r="U294" s="34"/>
      <c r="V294" s="34"/>
      <c r="W294" s="35" t="s">
        <v>69</v>
      </c>
      <c r="X294" s="541">
        <v>0</v>
      </c>
      <c r="Y294" s="542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1" t="s">
        <v>467</v>
      </c>
      <c r="AG294" s="64"/>
      <c r="AJ294" s="68"/>
      <c r="AK294" s="68">
        <v>0</v>
      </c>
      <c r="BB294" s="342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554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62" t="s">
        <v>71</v>
      </c>
      <c r="Q295" s="563"/>
      <c r="R295" s="563"/>
      <c r="S295" s="563"/>
      <c r="T295" s="563"/>
      <c r="U295" s="563"/>
      <c r="V295" s="564"/>
      <c r="W295" s="37" t="s">
        <v>72</v>
      </c>
      <c r="X295" s="543">
        <f>IFERROR(X290/H290,"0")+IFERROR(X291/H291,"0")+IFERROR(X292/H292,"0")+IFERROR(X293/H293,"0")+IFERROR(X294/H294,"0")</f>
        <v>0</v>
      </c>
      <c r="Y295" s="543">
        <f>IFERROR(Y290/H290,"0")+IFERROR(Y291/H291,"0")+IFERROR(Y292/H292,"0")+IFERROR(Y293/H293,"0")+IFERROR(Y294/H294,"0")</f>
        <v>0</v>
      </c>
      <c r="Z295" s="543">
        <f>IFERROR(IF(Z290="",0,Z290),"0")+IFERROR(IF(Z291="",0,Z291),"0")+IFERROR(IF(Z292="",0,Z292),"0")+IFERROR(IF(Z293="",0,Z293),"0")+IFERROR(IF(Z294="",0,Z294),"0")</f>
        <v>0</v>
      </c>
      <c r="AA295" s="544"/>
      <c r="AB295" s="544"/>
      <c r="AC295" s="544"/>
    </row>
    <row r="296" spans="1:68" x14ac:dyDescent="0.2">
      <c r="A296" s="555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62" t="s">
        <v>71</v>
      </c>
      <c r="Q296" s="563"/>
      <c r="R296" s="563"/>
      <c r="S296" s="563"/>
      <c r="T296" s="563"/>
      <c r="U296" s="563"/>
      <c r="V296" s="564"/>
      <c r="W296" s="37" t="s">
        <v>69</v>
      </c>
      <c r="X296" s="543">
        <f>IFERROR(SUM(X290:X294),"0")</f>
        <v>0</v>
      </c>
      <c r="Y296" s="543">
        <f>IFERROR(SUM(Y290:Y294),"0")</f>
        <v>0</v>
      </c>
      <c r="Z296" s="37"/>
      <c r="AA296" s="544"/>
      <c r="AB296" s="544"/>
      <c r="AC296" s="544"/>
    </row>
    <row r="297" spans="1:68" ht="14.25" customHeight="1" x14ac:dyDescent="0.25">
      <c r="A297" s="558" t="s">
        <v>64</v>
      </c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5"/>
      <c r="P297" s="555"/>
      <c r="Q297" s="555"/>
      <c r="R297" s="555"/>
      <c r="S297" s="555"/>
      <c r="T297" s="555"/>
      <c r="U297" s="555"/>
      <c r="V297" s="555"/>
      <c r="W297" s="555"/>
      <c r="X297" s="555"/>
      <c r="Y297" s="555"/>
      <c r="Z297" s="555"/>
      <c r="AA297" s="537"/>
      <c r="AB297" s="537"/>
      <c r="AC297" s="537"/>
    </row>
    <row r="298" spans="1:68" ht="27" customHeight="1" x14ac:dyDescent="0.25">
      <c r="A298" s="54" t="s">
        <v>468</v>
      </c>
      <c r="B298" s="54" t="s">
        <v>469</v>
      </c>
      <c r="C298" s="31">
        <v>4301030878</v>
      </c>
      <c r="D298" s="548">
        <v>4607091387193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35</v>
      </c>
      <c r="P298" s="81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0</v>
      </c>
      <c r="Y298" s="542">
        <f t="shared" ref="Y298:Y304" si="26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470</v>
      </c>
      <c r="AG298" s="64"/>
      <c r="AJ298" s="68"/>
      <c r="AK298" s="68">
        <v>0</v>
      </c>
      <c r="BB298" s="344" t="s">
        <v>1</v>
      </c>
      <c r="BM298" s="64">
        <f t="shared" ref="BM298:BM304" si="27">IFERROR(X298*I298/H298,"0")</f>
        <v>0</v>
      </c>
      <c r="BN298" s="64">
        <f t="shared" ref="BN298:BN304" si="28">IFERROR(Y298*I298/H298,"0")</f>
        <v>0</v>
      </c>
      <c r="BO298" s="64">
        <f t="shared" ref="BO298:BO304" si="29">IFERROR(1/J298*(X298/H298),"0")</f>
        <v>0</v>
      </c>
      <c r="BP298" s="64">
        <f t="shared" ref="BP298:BP304" si="30">IFERROR(1/J298*(Y298/H298),"0")</f>
        <v>0</v>
      </c>
    </row>
    <row r="299" spans="1:68" ht="27" customHeight="1" x14ac:dyDescent="0.25">
      <c r="A299" s="54" t="s">
        <v>471</v>
      </c>
      <c r="B299" s="54" t="s">
        <v>472</v>
      </c>
      <c r="C299" s="31">
        <v>4301031153</v>
      </c>
      <c r="D299" s="548">
        <v>4607091387230</v>
      </c>
      <c r="E299" s="549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40</v>
      </c>
      <c r="P299" s="73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473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474</v>
      </c>
      <c r="B300" s="54" t="s">
        <v>475</v>
      </c>
      <c r="C300" s="31">
        <v>4301031154</v>
      </c>
      <c r="D300" s="548">
        <v>4607091387292</v>
      </c>
      <c r="E300" s="549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109</v>
      </c>
      <c r="L300" s="32"/>
      <c r="M300" s="33" t="s">
        <v>68</v>
      </c>
      <c r="N300" s="33"/>
      <c r="O300" s="32">
        <v>45</v>
      </c>
      <c r="P300" s="67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IFERROR(IF(Y300=0,"",ROUNDUP(Y300/H300,0)*0.00902),"")</f>
        <v/>
      </c>
      <c r="AA300" s="56"/>
      <c r="AB300" s="57"/>
      <c r="AC300" s="347" t="s">
        <v>476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477</v>
      </c>
      <c r="B301" s="54" t="s">
        <v>478</v>
      </c>
      <c r="C301" s="31">
        <v>4301031152</v>
      </c>
      <c r="D301" s="548">
        <v>4607091387285</v>
      </c>
      <c r="E301" s="549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80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473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479</v>
      </c>
      <c r="B302" s="54" t="s">
        <v>480</v>
      </c>
      <c r="C302" s="31">
        <v>4301031305</v>
      </c>
      <c r="D302" s="548">
        <v>4607091389845</v>
      </c>
      <c r="E302" s="549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481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482</v>
      </c>
      <c r="B303" s="54" t="s">
        <v>483</v>
      </c>
      <c r="C303" s="31">
        <v>4301031306</v>
      </c>
      <c r="D303" s="548">
        <v>4680115882881</v>
      </c>
      <c r="E303" s="549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688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IFERROR(IF(Y303=0,"",ROUNDUP(Y303/H303,0)*0.00502),"")</f>
        <v/>
      </c>
      <c r="AA303" s="56"/>
      <c r="AB303" s="57"/>
      <c r="AC303" s="353" t="s">
        <v>481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t="27" customHeight="1" x14ac:dyDescent="0.25">
      <c r="A304" s="54" t="s">
        <v>484</v>
      </c>
      <c r="B304" s="54" t="s">
        <v>485</v>
      </c>
      <c r="C304" s="31">
        <v>4301031066</v>
      </c>
      <c r="D304" s="548">
        <v>4607091383836</v>
      </c>
      <c r="E304" s="549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/>
      <c r="M304" s="33" t="s">
        <v>68</v>
      </c>
      <c r="N304" s="33"/>
      <c r="O304" s="32">
        <v>40</v>
      </c>
      <c r="P304" s="73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46"/>
      <c r="R304" s="546"/>
      <c r="S304" s="546"/>
      <c r="T304" s="547"/>
      <c r="U304" s="34"/>
      <c r="V304" s="34"/>
      <c r="W304" s="35" t="s">
        <v>69</v>
      </c>
      <c r="X304" s="541">
        <v>15</v>
      </c>
      <c r="Y304" s="542">
        <f t="shared" si="26"/>
        <v>16.2</v>
      </c>
      <c r="Z304" s="36">
        <f>IFERROR(IF(Y304=0,"",ROUNDUP(Y304/H304,0)*0.00651),"")</f>
        <v>5.8590000000000003E-2</v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si="27"/>
        <v>16.900000000000002</v>
      </c>
      <c r="BN304" s="64">
        <f t="shared" si="28"/>
        <v>18.251999999999999</v>
      </c>
      <c r="BO304" s="64">
        <f t="shared" si="29"/>
        <v>4.5787545787545791E-2</v>
      </c>
      <c r="BP304" s="64">
        <f t="shared" si="30"/>
        <v>4.9450549450549455E-2</v>
      </c>
    </row>
    <row r="305" spans="1:68" x14ac:dyDescent="0.2">
      <c r="A305" s="554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62" t="s">
        <v>71</v>
      </c>
      <c r="Q305" s="563"/>
      <c r="R305" s="563"/>
      <c r="S305" s="563"/>
      <c r="T305" s="563"/>
      <c r="U305" s="563"/>
      <c r="V305" s="564"/>
      <c r="W305" s="37" t="s">
        <v>72</v>
      </c>
      <c r="X305" s="543">
        <f>IFERROR(X298/H298,"0")+IFERROR(X299/H299,"0")+IFERROR(X300/H300,"0")+IFERROR(X301/H301,"0")+IFERROR(X302/H302,"0")+IFERROR(X303/H303,"0")+IFERROR(X304/H304,"0")</f>
        <v>8.3333333333333339</v>
      </c>
      <c r="Y305" s="543">
        <f>IFERROR(Y298/H298,"0")+IFERROR(Y299/H299,"0")+IFERROR(Y300/H300,"0")+IFERROR(Y301/H301,"0")+IFERROR(Y302/H302,"0")+IFERROR(Y303/H303,"0")+IFERROR(Y304/H304,"0")</f>
        <v>9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5.8590000000000003E-2</v>
      </c>
      <c r="AA305" s="544"/>
      <c r="AB305" s="544"/>
      <c r="AC305" s="544"/>
    </row>
    <row r="306" spans="1:68" x14ac:dyDescent="0.2">
      <c r="A306" s="555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62" t="s">
        <v>71</v>
      </c>
      <c r="Q306" s="563"/>
      <c r="R306" s="563"/>
      <c r="S306" s="563"/>
      <c r="T306" s="563"/>
      <c r="U306" s="563"/>
      <c r="V306" s="564"/>
      <c r="W306" s="37" t="s">
        <v>69</v>
      </c>
      <c r="X306" s="543">
        <f>IFERROR(SUM(X298:X304),"0")</f>
        <v>15</v>
      </c>
      <c r="Y306" s="543">
        <f>IFERROR(SUM(Y298:Y304),"0")</f>
        <v>16.2</v>
      </c>
      <c r="Z306" s="37"/>
      <c r="AA306" s="544"/>
      <c r="AB306" s="544"/>
      <c r="AC306" s="544"/>
    </row>
    <row r="307" spans="1:68" ht="14.25" customHeight="1" x14ac:dyDescent="0.25">
      <c r="A307" s="558" t="s">
        <v>73</v>
      </c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5"/>
      <c r="P307" s="555"/>
      <c r="Q307" s="555"/>
      <c r="R307" s="555"/>
      <c r="S307" s="555"/>
      <c r="T307" s="555"/>
      <c r="U307" s="555"/>
      <c r="V307" s="555"/>
      <c r="W307" s="555"/>
      <c r="X307" s="555"/>
      <c r="Y307" s="555"/>
      <c r="Z307" s="555"/>
      <c r="AA307" s="537"/>
      <c r="AB307" s="537"/>
      <c r="AC307" s="537"/>
    </row>
    <row r="308" spans="1:68" ht="27" customHeight="1" x14ac:dyDescent="0.25">
      <c r="A308" s="54" t="s">
        <v>487</v>
      </c>
      <c r="B308" s="54" t="s">
        <v>488</v>
      </c>
      <c r="C308" s="31">
        <v>4301051100</v>
      </c>
      <c r="D308" s="548">
        <v>4607091387766</v>
      </c>
      <c r="E308" s="549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9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489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490</v>
      </c>
      <c r="B309" s="54" t="s">
        <v>491</v>
      </c>
      <c r="C309" s="31">
        <v>4301051818</v>
      </c>
      <c r="D309" s="548">
        <v>4607091387957</v>
      </c>
      <c r="E309" s="549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2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492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493</v>
      </c>
      <c r="B310" s="54" t="s">
        <v>494</v>
      </c>
      <c r="C310" s="31">
        <v>4301051819</v>
      </c>
      <c r="D310" s="548">
        <v>4607091387964</v>
      </c>
      <c r="E310" s="549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102</v>
      </c>
      <c r="L310" s="32"/>
      <c r="M310" s="33" t="s">
        <v>77</v>
      </c>
      <c r="N310" s="33"/>
      <c r="O310" s="32">
        <v>40</v>
      </c>
      <c r="P310" s="70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495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496</v>
      </c>
      <c r="B311" s="54" t="s">
        <v>497</v>
      </c>
      <c r="C311" s="31">
        <v>4301051734</v>
      </c>
      <c r="D311" s="548">
        <v>4680115884588</v>
      </c>
      <c r="E311" s="549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/>
      <c r="M311" s="33" t="s">
        <v>77</v>
      </c>
      <c r="N311" s="33"/>
      <c r="O311" s="32">
        <v>40</v>
      </c>
      <c r="P311" s="71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46"/>
      <c r="R311" s="546"/>
      <c r="S311" s="546"/>
      <c r="T311" s="547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498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54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62" t="s">
        <v>71</v>
      </c>
      <c r="Q312" s="563"/>
      <c r="R312" s="563"/>
      <c r="S312" s="563"/>
      <c r="T312" s="563"/>
      <c r="U312" s="563"/>
      <c r="V312" s="564"/>
      <c r="W312" s="37" t="s">
        <v>72</v>
      </c>
      <c r="X312" s="543">
        <f>IFERROR(X308/H308,"0")+IFERROR(X309/H309,"0")+IFERROR(X310/H310,"0")+IFERROR(X311/H311,"0")</f>
        <v>0</v>
      </c>
      <c r="Y312" s="543">
        <f>IFERROR(Y308/H308,"0")+IFERROR(Y309/H309,"0")+IFERROR(Y310/H310,"0")+IFERROR(Y311/H311,"0")</f>
        <v>0</v>
      </c>
      <c r="Z312" s="543">
        <f>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x14ac:dyDescent="0.2">
      <c r="A313" s="555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62" t="s">
        <v>71</v>
      </c>
      <c r="Q313" s="563"/>
      <c r="R313" s="563"/>
      <c r="S313" s="563"/>
      <c r="T313" s="563"/>
      <c r="U313" s="563"/>
      <c r="V313" s="564"/>
      <c r="W313" s="37" t="s">
        <v>69</v>
      </c>
      <c r="X313" s="543">
        <f>IFERROR(SUM(X308:X311),"0")</f>
        <v>0</v>
      </c>
      <c r="Y313" s="543">
        <f>IFERROR(SUM(Y308:Y311),"0")</f>
        <v>0</v>
      </c>
      <c r="Z313" s="37"/>
      <c r="AA313" s="544"/>
      <c r="AB313" s="544"/>
      <c r="AC313" s="544"/>
    </row>
    <row r="314" spans="1:68" ht="14.25" customHeight="1" x14ac:dyDescent="0.25">
      <c r="A314" s="558" t="s">
        <v>162</v>
      </c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5"/>
      <c r="P314" s="555"/>
      <c r="Q314" s="555"/>
      <c r="R314" s="555"/>
      <c r="S314" s="555"/>
      <c r="T314" s="555"/>
      <c r="U314" s="555"/>
      <c r="V314" s="555"/>
      <c r="W314" s="555"/>
      <c r="X314" s="555"/>
      <c r="Y314" s="555"/>
      <c r="Z314" s="555"/>
      <c r="AA314" s="537"/>
      <c r="AB314" s="537"/>
      <c r="AC314" s="537"/>
    </row>
    <row r="315" spans="1:68" ht="27" customHeight="1" x14ac:dyDescent="0.25">
      <c r="A315" s="54" t="s">
        <v>499</v>
      </c>
      <c r="B315" s="54" t="s">
        <v>500</v>
      </c>
      <c r="C315" s="31">
        <v>4301060387</v>
      </c>
      <c r="D315" s="548">
        <v>4607091380880</v>
      </c>
      <c r="E315" s="549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102</v>
      </c>
      <c r="L315" s="32"/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501</v>
      </c>
      <c r="AG315" s="64"/>
      <c r="AJ315" s="68"/>
      <c r="AK315" s="68">
        <v>0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502</v>
      </c>
      <c r="B316" s="54" t="s">
        <v>503</v>
      </c>
      <c r="C316" s="31">
        <v>4301060406</v>
      </c>
      <c r="D316" s="548">
        <v>4607091384482</v>
      </c>
      <c r="E316" s="549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102</v>
      </c>
      <c r="L316" s="32" t="s">
        <v>103</v>
      </c>
      <c r="M316" s="33" t="s">
        <v>77</v>
      </c>
      <c r="N316" s="33"/>
      <c r="O316" s="32">
        <v>30</v>
      </c>
      <c r="P316" s="59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174</v>
      </c>
      <c r="Y316" s="542">
        <f>IFERROR(IF(X316="",0,CEILING((X316/$H316),1)*$H316),"")</f>
        <v>179.4</v>
      </c>
      <c r="Z316" s="36">
        <f>IFERROR(IF(Y316=0,"",ROUNDUP(Y316/H316,0)*0.01898),"")</f>
        <v>0.43653999999999998</v>
      </c>
      <c r="AA316" s="56"/>
      <c r="AB316" s="57"/>
      <c r="AC316" s="367" t="s">
        <v>504</v>
      </c>
      <c r="AG316" s="64"/>
      <c r="AJ316" s="68" t="s">
        <v>106</v>
      </c>
      <c r="AK316" s="68">
        <v>62.4</v>
      </c>
      <c r="BB316" s="368" t="s">
        <v>1</v>
      </c>
      <c r="BM316" s="64">
        <f>IFERROR(X316*I316/H316,"0")</f>
        <v>185.02000000000004</v>
      </c>
      <c r="BN316" s="64">
        <f>IFERROR(Y316*I316/H316,"0")</f>
        <v>190.762</v>
      </c>
      <c r="BO316" s="64">
        <f>IFERROR(1/J316*(X316/H316),"0")</f>
        <v>0.34855769230769229</v>
      </c>
      <c r="BP316" s="64">
        <f>IFERROR(1/J316*(Y316/H316),"0")</f>
        <v>0.359375</v>
      </c>
    </row>
    <row r="317" spans="1:68" ht="16.5" customHeight="1" x14ac:dyDescent="0.25">
      <c r="A317" s="54" t="s">
        <v>505</v>
      </c>
      <c r="B317" s="54" t="s">
        <v>506</v>
      </c>
      <c r="C317" s="31">
        <v>4301060484</v>
      </c>
      <c r="D317" s="548">
        <v>4607091380897</v>
      </c>
      <c r="E317" s="549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102</v>
      </c>
      <c r="L317" s="32"/>
      <c r="M317" s="33" t="s">
        <v>84</v>
      </c>
      <c r="N317" s="33"/>
      <c r="O317" s="32">
        <v>30</v>
      </c>
      <c r="P317" s="8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6"/>
      <c r="R317" s="546"/>
      <c r="S317" s="546"/>
      <c r="T317" s="547"/>
      <c r="U317" s="34"/>
      <c r="V317" s="34"/>
      <c r="W317" s="35" t="s">
        <v>69</v>
      </c>
      <c r="X317" s="541">
        <v>34</v>
      </c>
      <c r="Y317" s="542">
        <f>IFERROR(IF(X317="",0,CEILING((X317/$H317),1)*$H317),"")</f>
        <v>42</v>
      </c>
      <c r="Z317" s="36">
        <f>IFERROR(IF(Y317=0,"",ROUNDUP(Y317/H317,0)*0.01898),"")</f>
        <v>9.4899999999999998E-2</v>
      </c>
      <c r="AA317" s="56"/>
      <c r="AB317" s="57"/>
      <c r="AC317" s="369" t="s">
        <v>507</v>
      </c>
      <c r="AG317" s="64"/>
      <c r="AJ317" s="68"/>
      <c r="AK317" s="68">
        <v>0</v>
      </c>
      <c r="BB317" s="370" t="s">
        <v>1</v>
      </c>
      <c r="BM317" s="64">
        <f>IFERROR(X317*I317/H317,"0")</f>
        <v>35.999523809523808</v>
      </c>
      <c r="BN317" s="64">
        <f>IFERROR(Y317*I317/H317,"0")</f>
        <v>44.47</v>
      </c>
      <c r="BO317" s="64">
        <f>IFERROR(1/J317*(X317/H317),"0")</f>
        <v>6.3244047619047616E-2</v>
      </c>
      <c r="BP317" s="64">
        <f>IFERROR(1/J317*(Y317/H317),"0")</f>
        <v>7.8125E-2</v>
      </c>
    </row>
    <row r="318" spans="1:68" x14ac:dyDescent="0.2">
      <c r="A318" s="554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62" t="s">
        <v>71</v>
      </c>
      <c r="Q318" s="563"/>
      <c r="R318" s="563"/>
      <c r="S318" s="563"/>
      <c r="T318" s="563"/>
      <c r="U318" s="563"/>
      <c r="V318" s="564"/>
      <c r="W318" s="37" t="s">
        <v>72</v>
      </c>
      <c r="X318" s="543">
        <f>IFERROR(X315/H315,"0")+IFERROR(X316/H316,"0")+IFERROR(X317/H317,"0")</f>
        <v>26.355311355311354</v>
      </c>
      <c r="Y318" s="543">
        <f>IFERROR(Y315/H315,"0")+IFERROR(Y316/H316,"0")+IFERROR(Y317/H317,"0")</f>
        <v>28</v>
      </c>
      <c r="Z318" s="543">
        <f>IFERROR(IF(Z315="",0,Z315),"0")+IFERROR(IF(Z316="",0,Z316),"0")+IFERROR(IF(Z317="",0,Z317),"0")</f>
        <v>0.53144000000000002</v>
      </c>
      <c r="AA318" s="544"/>
      <c r="AB318" s="544"/>
      <c r="AC318" s="544"/>
    </row>
    <row r="319" spans="1:68" x14ac:dyDescent="0.2">
      <c r="A319" s="555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62" t="s">
        <v>71</v>
      </c>
      <c r="Q319" s="563"/>
      <c r="R319" s="563"/>
      <c r="S319" s="563"/>
      <c r="T319" s="563"/>
      <c r="U319" s="563"/>
      <c r="V319" s="564"/>
      <c r="W319" s="37" t="s">
        <v>69</v>
      </c>
      <c r="X319" s="543">
        <f>IFERROR(SUM(X315:X317),"0")</f>
        <v>208</v>
      </c>
      <c r="Y319" s="543">
        <f>IFERROR(SUM(Y315:Y317),"0")</f>
        <v>221.4</v>
      </c>
      <c r="Z319" s="37"/>
      <c r="AA319" s="544"/>
      <c r="AB319" s="544"/>
      <c r="AC319" s="544"/>
    </row>
    <row r="320" spans="1:68" ht="14.25" customHeight="1" x14ac:dyDescent="0.25">
      <c r="A320" s="558" t="s">
        <v>91</v>
      </c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5"/>
      <c r="P320" s="555"/>
      <c r="Q320" s="555"/>
      <c r="R320" s="555"/>
      <c r="S320" s="555"/>
      <c r="T320" s="555"/>
      <c r="U320" s="555"/>
      <c r="V320" s="555"/>
      <c r="W320" s="555"/>
      <c r="X320" s="555"/>
      <c r="Y320" s="555"/>
      <c r="Z320" s="555"/>
      <c r="AA320" s="537"/>
      <c r="AB320" s="537"/>
      <c r="AC320" s="537"/>
    </row>
    <row r="321" spans="1:68" ht="27" customHeight="1" x14ac:dyDescent="0.25">
      <c r="A321" s="54" t="s">
        <v>508</v>
      </c>
      <c r="B321" s="54" t="s">
        <v>509</v>
      </c>
      <c r="C321" s="31">
        <v>4301030235</v>
      </c>
      <c r="D321" s="548">
        <v>4607091388381</v>
      </c>
      <c r="E321" s="549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9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510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511</v>
      </c>
      <c r="B322" s="54" t="s">
        <v>512</v>
      </c>
      <c r="C322" s="31">
        <v>4301030232</v>
      </c>
      <c r="D322" s="548">
        <v>4607091388374</v>
      </c>
      <c r="E322" s="549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109</v>
      </c>
      <c r="L322" s="32"/>
      <c r="M322" s="33" t="s">
        <v>94</v>
      </c>
      <c r="N322" s="33"/>
      <c r="O322" s="32">
        <v>180</v>
      </c>
      <c r="P322" s="720" t="s">
        <v>513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510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514</v>
      </c>
      <c r="B323" s="54" t="s">
        <v>515</v>
      </c>
      <c r="C323" s="31">
        <v>4301032015</v>
      </c>
      <c r="D323" s="548">
        <v>4607091383102</v>
      </c>
      <c r="E323" s="549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/>
      <c r="M323" s="33" t="s">
        <v>94</v>
      </c>
      <c r="N323" s="33"/>
      <c r="O323" s="32">
        <v>180</v>
      </c>
      <c r="P323" s="7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5</v>
      </c>
      <c r="Y323" s="542">
        <f>IFERROR(IF(X323="",0,CEILING((X323/$H323),1)*$H323),"")</f>
        <v>5.0999999999999996</v>
      </c>
      <c r="Z323" s="36">
        <f>IFERROR(IF(Y323=0,"",ROUNDUP(Y323/H323,0)*0.00651),"")</f>
        <v>1.302E-2</v>
      </c>
      <c r="AA323" s="56"/>
      <c r="AB323" s="57"/>
      <c r="AC323" s="375" t="s">
        <v>516</v>
      </c>
      <c r="AG323" s="64"/>
      <c r="AJ323" s="68"/>
      <c r="AK323" s="68">
        <v>0</v>
      </c>
      <c r="BB323" s="376" t="s">
        <v>1</v>
      </c>
      <c r="BM323" s="64">
        <f>IFERROR(X323*I323/H323,"0")</f>
        <v>5.7941176470588243</v>
      </c>
      <c r="BN323" s="64">
        <f>IFERROR(Y323*I323/H323,"0")</f>
        <v>5.91</v>
      </c>
      <c r="BO323" s="64">
        <f>IFERROR(1/J323*(X323/H323),"0")</f>
        <v>1.0773540185304893E-2</v>
      </c>
      <c r="BP323" s="64">
        <f>IFERROR(1/J323*(Y323/H323),"0")</f>
        <v>1.098901098901099E-2</v>
      </c>
    </row>
    <row r="324" spans="1:68" ht="27" customHeight="1" x14ac:dyDescent="0.25">
      <c r="A324" s="54" t="s">
        <v>517</v>
      </c>
      <c r="B324" s="54" t="s">
        <v>518</v>
      </c>
      <c r="C324" s="31">
        <v>4301030233</v>
      </c>
      <c r="D324" s="548">
        <v>4607091388404</v>
      </c>
      <c r="E324" s="549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/>
      <c r="M324" s="33" t="s">
        <v>94</v>
      </c>
      <c r="N324" s="33"/>
      <c r="O324" s="32">
        <v>180</v>
      </c>
      <c r="P324" s="72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6"/>
      <c r="R324" s="546"/>
      <c r="S324" s="546"/>
      <c r="T324" s="547"/>
      <c r="U324" s="34"/>
      <c r="V324" s="34"/>
      <c r="W324" s="35" t="s">
        <v>69</v>
      </c>
      <c r="X324" s="541">
        <v>10</v>
      </c>
      <c r="Y324" s="542">
        <f>IFERROR(IF(X324="",0,CEILING((X324/$H324),1)*$H324),"")</f>
        <v>10.199999999999999</v>
      </c>
      <c r="Z324" s="36">
        <f>IFERROR(IF(Y324=0,"",ROUNDUP(Y324/H324,0)*0.00651),"")</f>
        <v>2.6040000000000001E-2</v>
      </c>
      <c r="AA324" s="56"/>
      <c r="AB324" s="57"/>
      <c r="AC324" s="377" t="s">
        <v>510</v>
      </c>
      <c r="AG324" s="64"/>
      <c r="AJ324" s="68"/>
      <c r="AK324" s="68">
        <v>0</v>
      </c>
      <c r="BB324" s="378" t="s">
        <v>1</v>
      </c>
      <c r="BM324" s="64">
        <f>IFERROR(X324*I324/H324,"0")</f>
        <v>11.294117647058822</v>
      </c>
      <c r="BN324" s="64">
        <f>IFERROR(Y324*I324/H324,"0")</f>
        <v>11.52</v>
      </c>
      <c r="BO324" s="64">
        <f>IFERROR(1/J324*(X324/H324),"0")</f>
        <v>2.1547080370609786E-2</v>
      </c>
      <c r="BP324" s="64">
        <f>IFERROR(1/J324*(Y324/H324),"0")</f>
        <v>2.197802197802198E-2</v>
      </c>
    </row>
    <row r="325" spans="1:68" x14ac:dyDescent="0.2">
      <c r="A325" s="554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62" t="s">
        <v>71</v>
      </c>
      <c r="Q325" s="563"/>
      <c r="R325" s="563"/>
      <c r="S325" s="563"/>
      <c r="T325" s="563"/>
      <c r="U325" s="563"/>
      <c r="V325" s="564"/>
      <c r="W325" s="37" t="s">
        <v>72</v>
      </c>
      <c r="X325" s="543">
        <f>IFERROR(X321/H321,"0")+IFERROR(X322/H322,"0")+IFERROR(X323/H323,"0")+IFERROR(X324/H324,"0")</f>
        <v>5.882352941176471</v>
      </c>
      <c r="Y325" s="543">
        <f>IFERROR(Y321/H321,"0")+IFERROR(Y322/H322,"0")+IFERROR(Y323/H323,"0")+IFERROR(Y324/H324,"0")</f>
        <v>6</v>
      </c>
      <c r="Z325" s="543">
        <f>IFERROR(IF(Z321="",0,Z321),"0")+IFERROR(IF(Z322="",0,Z322),"0")+IFERROR(IF(Z323="",0,Z323),"0")+IFERROR(IF(Z324="",0,Z324),"0")</f>
        <v>3.9059999999999997E-2</v>
      </c>
      <c r="AA325" s="544"/>
      <c r="AB325" s="544"/>
      <c r="AC325" s="544"/>
    </row>
    <row r="326" spans="1:68" x14ac:dyDescent="0.2">
      <c r="A326" s="555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62" t="s">
        <v>71</v>
      </c>
      <c r="Q326" s="563"/>
      <c r="R326" s="563"/>
      <c r="S326" s="563"/>
      <c r="T326" s="563"/>
      <c r="U326" s="563"/>
      <c r="V326" s="564"/>
      <c r="W326" s="37" t="s">
        <v>69</v>
      </c>
      <c r="X326" s="543">
        <f>IFERROR(SUM(X321:X324),"0")</f>
        <v>15</v>
      </c>
      <c r="Y326" s="543">
        <f>IFERROR(SUM(Y321:Y324),"0")</f>
        <v>15.299999999999999</v>
      </c>
      <c r="Z326" s="37"/>
      <c r="AA326" s="544"/>
      <c r="AB326" s="544"/>
      <c r="AC326" s="544"/>
    </row>
    <row r="327" spans="1:68" ht="14.25" customHeight="1" x14ac:dyDescent="0.25">
      <c r="A327" s="558" t="s">
        <v>519</v>
      </c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5"/>
      <c r="P327" s="555"/>
      <c r="Q327" s="555"/>
      <c r="R327" s="555"/>
      <c r="S327" s="555"/>
      <c r="T327" s="555"/>
      <c r="U327" s="555"/>
      <c r="V327" s="555"/>
      <c r="W327" s="555"/>
      <c r="X327" s="555"/>
      <c r="Y327" s="555"/>
      <c r="Z327" s="555"/>
      <c r="AA327" s="537"/>
      <c r="AB327" s="537"/>
      <c r="AC327" s="537"/>
    </row>
    <row r="328" spans="1:68" ht="16.5" customHeight="1" x14ac:dyDescent="0.25">
      <c r="A328" s="54" t="s">
        <v>520</v>
      </c>
      <c r="B328" s="54" t="s">
        <v>521</v>
      </c>
      <c r="C328" s="31">
        <v>4301180007</v>
      </c>
      <c r="D328" s="548">
        <v>4680115881808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522</v>
      </c>
      <c r="N328" s="33"/>
      <c r="O328" s="32">
        <v>730</v>
      </c>
      <c r="P328" s="56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523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524</v>
      </c>
      <c r="B329" s="54" t="s">
        <v>525</v>
      </c>
      <c r="C329" s="31">
        <v>4301180006</v>
      </c>
      <c r="D329" s="548">
        <v>4680115881822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522</v>
      </c>
      <c r="N329" s="33"/>
      <c r="O329" s="32">
        <v>730</v>
      </c>
      <c r="P329" s="6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523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526</v>
      </c>
      <c r="B330" s="54" t="s">
        <v>527</v>
      </c>
      <c r="C330" s="31">
        <v>4301180001</v>
      </c>
      <c r="D330" s="548">
        <v>4680115880016</v>
      </c>
      <c r="E330" s="549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522</v>
      </c>
      <c r="N330" s="33"/>
      <c r="O330" s="32">
        <v>730</v>
      </c>
      <c r="P330" s="74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6"/>
      <c r="R330" s="546"/>
      <c r="S330" s="546"/>
      <c r="T330" s="547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523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54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62" t="s">
        <v>71</v>
      </c>
      <c r="Q331" s="563"/>
      <c r="R331" s="563"/>
      <c r="S331" s="563"/>
      <c r="T331" s="563"/>
      <c r="U331" s="563"/>
      <c r="V331" s="564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x14ac:dyDescent="0.2">
      <c r="A332" s="555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62" t="s">
        <v>71</v>
      </c>
      <c r="Q332" s="563"/>
      <c r="R332" s="563"/>
      <c r="S332" s="563"/>
      <c r="T332" s="563"/>
      <c r="U332" s="563"/>
      <c r="V332" s="564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customHeight="1" x14ac:dyDescent="0.25">
      <c r="A333" s="559" t="s">
        <v>528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6"/>
      <c r="AB333" s="536"/>
      <c r="AC333" s="536"/>
    </row>
    <row r="334" spans="1:68" ht="14.25" customHeight="1" x14ac:dyDescent="0.25">
      <c r="A334" s="558" t="s">
        <v>73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7"/>
      <c r="AB334" s="537"/>
      <c r="AC334" s="537"/>
    </row>
    <row r="335" spans="1:68" ht="27" customHeight="1" x14ac:dyDescent="0.25">
      <c r="A335" s="54" t="s">
        <v>529</v>
      </c>
      <c r="B335" s="54" t="s">
        <v>530</v>
      </c>
      <c r="C335" s="31">
        <v>4301051489</v>
      </c>
      <c r="D335" s="548">
        <v>4607091387919</v>
      </c>
      <c r="E335" s="549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102</v>
      </c>
      <c r="L335" s="32"/>
      <c r="M335" s="33" t="s">
        <v>84</v>
      </c>
      <c r="N335" s="33"/>
      <c r="O335" s="32">
        <v>45</v>
      </c>
      <c r="P335" s="78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531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532</v>
      </c>
      <c r="B336" s="54" t="s">
        <v>533</v>
      </c>
      <c r="C336" s="31">
        <v>4301051461</v>
      </c>
      <c r="D336" s="548">
        <v>4680115883604</v>
      </c>
      <c r="E336" s="549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/>
      <c r="M336" s="33" t="s">
        <v>77</v>
      </c>
      <c r="N336" s="33"/>
      <c r="O336" s="32">
        <v>45</v>
      </c>
      <c r="P336" s="80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534</v>
      </c>
      <c r="AG336" s="64"/>
      <c r="AJ336" s="68"/>
      <c r="AK336" s="68">
        <v>0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535</v>
      </c>
      <c r="B337" s="54" t="s">
        <v>536</v>
      </c>
      <c r="C337" s="31">
        <v>4301051864</v>
      </c>
      <c r="D337" s="548">
        <v>4680115883567</v>
      </c>
      <c r="E337" s="549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/>
      <c r="M337" s="33" t="s">
        <v>84</v>
      </c>
      <c r="N337" s="33"/>
      <c r="O337" s="32">
        <v>40</v>
      </c>
      <c r="P337" s="62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6"/>
      <c r="R337" s="546"/>
      <c r="S337" s="546"/>
      <c r="T337" s="547"/>
      <c r="U337" s="34"/>
      <c r="V337" s="34"/>
      <c r="W337" s="35" t="s">
        <v>69</v>
      </c>
      <c r="X337" s="541">
        <v>0</v>
      </c>
      <c r="Y337" s="5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537</v>
      </c>
      <c r="AG337" s="64"/>
      <c r="AJ337" s="68"/>
      <c r="AK337" s="68">
        <v>0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54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62" t="s">
        <v>71</v>
      </c>
      <c r="Q338" s="563"/>
      <c r="R338" s="563"/>
      <c r="S338" s="563"/>
      <c r="T338" s="563"/>
      <c r="U338" s="563"/>
      <c r="V338" s="564"/>
      <c r="W338" s="37" t="s">
        <v>72</v>
      </c>
      <c r="X338" s="543">
        <f>IFERROR(X335/H335,"0")+IFERROR(X336/H336,"0")+IFERROR(X337/H337,"0")</f>
        <v>0</v>
      </c>
      <c r="Y338" s="543">
        <f>IFERROR(Y335/H335,"0")+IFERROR(Y336/H336,"0")+IFERROR(Y337/H337,"0")</f>
        <v>0</v>
      </c>
      <c r="Z338" s="543">
        <f>IFERROR(IF(Z335="",0,Z335),"0")+IFERROR(IF(Z336="",0,Z336),"0")+IFERROR(IF(Z337="",0,Z337),"0")</f>
        <v>0</v>
      </c>
      <c r="AA338" s="544"/>
      <c r="AB338" s="544"/>
      <c r="AC338" s="544"/>
    </row>
    <row r="339" spans="1:68" x14ac:dyDescent="0.2">
      <c r="A339" s="555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62" t="s">
        <v>71</v>
      </c>
      <c r="Q339" s="563"/>
      <c r="R339" s="563"/>
      <c r="S339" s="563"/>
      <c r="T339" s="563"/>
      <c r="U339" s="563"/>
      <c r="V339" s="564"/>
      <c r="W339" s="37" t="s">
        <v>69</v>
      </c>
      <c r="X339" s="543">
        <f>IFERROR(SUM(X335:X337),"0")</f>
        <v>0</v>
      </c>
      <c r="Y339" s="543">
        <f>IFERROR(SUM(Y335:Y337),"0")</f>
        <v>0</v>
      </c>
      <c r="Z339" s="37"/>
      <c r="AA339" s="544"/>
      <c r="AB339" s="544"/>
      <c r="AC339" s="544"/>
    </row>
    <row r="340" spans="1:68" ht="27.75" customHeight="1" x14ac:dyDescent="0.2">
      <c r="A340" s="638" t="s">
        <v>538</v>
      </c>
      <c r="B340" s="639"/>
      <c r="C340" s="639"/>
      <c r="D340" s="639"/>
      <c r="E340" s="639"/>
      <c r="F340" s="639"/>
      <c r="G340" s="639"/>
      <c r="H340" s="639"/>
      <c r="I340" s="639"/>
      <c r="J340" s="639"/>
      <c r="K340" s="639"/>
      <c r="L340" s="639"/>
      <c r="M340" s="639"/>
      <c r="N340" s="639"/>
      <c r="O340" s="639"/>
      <c r="P340" s="639"/>
      <c r="Q340" s="639"/>
      <c r="R340" s="639"/>
      <c r="S340" s="639"/>
      <c r="T340" s="639"/>
      <c r="U340" s="639"/>
      <c r="V340" s="639"/>
      <c r="W340" s="639"/>
      <c r="X340" s="639"/>
      <c r="Y340" s="639"/>
      <c r="Z340" s="639"/>
      <c r="AA340" s="48"/>
      <c r="AB340" s="48"/>
      <c r="AC340" s="48"/>
    </row>
    <row r="341" spans="1:68" ht="16.5" customHeight="1" x14ac:dyDescent="0.25">
      <c r="A341" s="559" t="s">
        <v>539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6"/>
      <c r="AB341" s="536"/>
      <c r="AC341" s="536"/>
    </row>
    <row r="342" spans="1:68" ht="14.25" customHeight="1" x14ac:dyDescent="0.25">
      <c r="A342" s="558" t="s">
        <v>99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7"/>
      <c r="AB342" s="537"/>
      <c r="AC342" s="537"/>
    </row>
    <row r="343" spans="1:68" ht="37.5" customHeight="1" x14ac:dyDescent="0.25">
      <c r="A343" s="54" t="s">
        <v>540</v>
      </c>
      <c r="B343" s="54" t="s">
        <v>541</v>
      </c>
      <c r="C343" s="31">
        <v>4301011869</v>
      </c>
      <c r="D343" s="548">
        <v>4680115884847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5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708</v>
      </c>
      <c r="Y343" s="542">
        <f t="shared" ref="Y343:Y349" si="31">IFERROR(IF(X343="",0,CEILING((X343/$H343),1)*$H343),"")</f>
        <v>720</v>
      </c>
      <c r="Z343" s="36">
        <f>IFERROR(IF(Y343=0,"",ROUNDUP(Y343/H343,0)*0.02175),"")</f>
        <v>1.044</v>
      </c>
      <c r="AA343" s="56"/>
      <c r="AB343" s="57"/>
      <c r="AC343" s="391" t="s">
        <v>542</v>
      </c>
      <c r="AG343" s="64"/>
      <c r="AJ343" s="68" t="s">
        <v>106</v>
      </c>
      <c r="AK343" s="68">
        <v>120</v>
      </c>
      <c r="BB343" s="392" t="s">
        <v>1</v>
      </c>
      <c r="BM343" s="64">
        <f t="shared" ref="BM343:BM349" si="32">IFERROR(X343*I343/H343,"0")</f>
        <v>730.18399999999997</v>
      </c>
      <c r="BN343" s="64">
        <f t="shared" ref="BN343:BN349" si="33">IFERROR(Y343*I343/H343,"0")</f>
        <v>742.56</v>
      </c>
      <c r="BO343" s="64">
        <f t="shared" ref="BO343:BO349" si="34">IFERROR(1/J343*(X343/H343),"0")</f>
        <v>0.98333333333333339</v>
      </c>
      <c r="BP343" s="64">
        <f t="shared" ref="BP343:BP349" si="35">IFERROR(1/J343*(Y343/H343),"0")</f>
        <v>1</v>
      </c>
    </row>
    <row r="344" spans="1:68" ht="27" customHeight="1" x14ac:dyDescent="0.25">
      <c r="A344" s="54" t="s">
        <v>543</v>
      </c>
      <c r="B344" s="54" t="s">
        <v>544</v>
      </c>
      <c r="C344" s="31">
        <v>4301011870</v>
      </c>
      <c r="D344" s="548">
        <v>4680115884854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3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652</v>
      </c>
      <c r="Y344" s="542">
        <f t="shared" si="31"/>
        <v>660</v>
      </c>
      <c r="Z344" s="36">
        <f>IFERROR(IF(Y344=0,"",ROUNDUP(Y344/H344,0)*0.02175),"")</f>
        <v>0.95699999999999996</v>
      </c>
      <c r="AA344" s="56"/>
      <c r="AB344" s="57"/>
      <c r="AC344" s="393" t="s">
        <v>545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672.42933333333337</v>
      </c>
      <c r="BN344" s="64">
        <f t="shared" si="33"/>
        <v>680.68000000000006</v>
      </c>
      <c r="BO344" s="64">
        <f t="shared" si="34"/>
        <v>0.90555555555555556</v>
      </c>
      <c r="BP344" s="64">
        <f t="shared" si="35"/>
        <v>0.91666666666666663</v>
      </c>
    </row>
    <row r="345" spans="1:68" ht="37.5" customHeight="1" x14ac:dyDescent="0.25">
      <c r="A345" s="54" t="s">
        <v>546</v>
      </c>
      <c r="B345" s="54" t="s">
        <v>547</v>
      </c>
      <c r="C345" s="31">
        <v>4301011867</v>
      </c>
      <c r="D345" s="548">
        <v>4680115884830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 t="s">
        <v>103</v>
      </c>
      <c r="M345" s="33" t="s">
        <v>68</v>
      </c>
      <c r="N345" s="33"/>
      <c r="O345" s="32">
        <v>60</v>
      </c>
      <c r="P345" s="76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360</v>
      </c>
      <c r="Y345" s="542">
        <f t="shared" si="31"/>
        <v>360</v>
      </c>
      <c r="Z345" s="36">
        <f>IFERROR(IF(Y345=0,"",ROUNDUP(Y345/H345,0)*0.02175),"")</f>
        <v>0.52200000000000002</v>
      </c>
      <c r="AA345" s="56"/>
      <c r="AB345" s="57"/>
      <c r="AC345" s="395" t="s">
        <v>548</v>
      </c>
      <c r="AG345" s="64"/>
      <c r="AJ345" s="68" t="s">
        <v>106</v>
      </c>
      <c r="AK345" s="68">
        <v>120</v>
      </c>
      <c r="BB345" s="396" t="s">
        <v>1</v>
      </c>
      <c r="BM345" s="64">
        <f t="shared" si="32"/>
        <v>371.28</v>
      </c>
      <c r="BN345" s="64">
        <f t="shared" si="33"/>
        <v>371.28</v>
      </c>
      <c r="BO345" s="64">
        <f t="shared" si="34"/>
        <v>0.5</v>
      </c>
      <c r="BP345" s="64">
        <f t="shared" si="35"/>
        <v>0.5</v>
      </c>
    </row>
    <row r="346" spans="1:68" ht="27" customHeight="1" x14ac:dyDescent="0.25">
      <c r="A346" s="54" t="s">
        <v>549</v>
      </c>
      <c r="B346" s="54" t="s">
        <v>550</v>
      </c>
      <c r="C346" s="31">
        <v>4301012215</v>
      </c>
      <c r="D346" s="548">
        <v>4680115887046</v>
      </c>
      <c r="E346" s="549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102</v>
      </c>
      <c r="L346" s="32"/>
      <c r="M346" s="33" t="s">
        <v>84</v>
      </c>
      <c r="N346" s="33"/>
      <c r="O346" s="32">
        <v>60</v>
      </c>
      <c r="P346" s="789" t="s">
        <v>551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406</v>
      </c>
      <c r="Y346" s="542">
        <f t="shared" si="31"/>
        <v>420</v>
      </c>
      <c r="Z346" s="36">
        <f>IFERROR(IF(Y346=0,"",ROUNDUP(Y346/H346,0)*0.02175),"")</f>
        <v>0.60899999999999999</v>
      </c>
      <c r="AA346" s="56"/>
      <c r="AB346" s="57"/>
      <c r="AC346" s="397" t="s">
        <v>552</v>
      </c>
      <c r="AG346" s="64"/>
      <c r="AJ346" s="68"/>
      <c r="AK346" s="68">
        <v>0</v>
      </c>
      <c r="BB346" s="398" t="s">
        <v>1</v>
      </c>
      <c r="BM346" s="64">
        <f t="shared" si="32"/>
        <v>418.72133333333335</v>
      </c>
      <c r="BN346" s="64">
        <f t="shared" si="33"/>
        <v>433.16</v>
      </c>
      <c r="BO346" s="64">
        <f t="shared" si="34"/>
        <v>0.56388888888888888</v>
      </c>
      <c r="BP346" s="64">
        <f t="shared" si="35"/>
        <v>0.58333333333333326</v>
      </c>
    </row>
    <row r="347" spans="1:68" ht="27" customHeight="1" x14ac:dyDescent="0.25">
      <c r="A347" s="54" t="s">
        <v>553</v>
      </c>
      <c r="B347" s="54" t="s">
        <v>554</v>
      </c>
      <c r="C347" s="31">
        <v>4301011433</v>
      </c>
      <c r="D347" s="548">
        <v>4680115882638</v>
      </c>
      <c r="E347" s="549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109</v>
      </c>
      <c r="L347" s="32"/>
      <c r="M347" s="33" t="s">
        <v>104</v>
      </c>
      <c r="N347" s="33"/>
      <c r="O347" s="32">
        <v>90</v>
      </c>
      <c r="P347" s="81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555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27" customHeight="1" x14ac:dyDescent="0.25">
      <c r="A348" s="54" t="s">
        <v>556</v>
      </c>
      <c r="B348" s="54" t="s">
        <v>557</v>
      </c>
      <c r="C348" s="31">
        <v>4301011952</v>
      </c>
      <c r="D348" s="548">
        <v>4680115884922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545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ht="37.5" customHeight="1" x14ac:dyDescent="0.25">
      <c r="A349" s="54" t="s">
        <v>558</v>
      </c>
      <c r="B349" s="54" t="s">
        <v>559</v>
      </c>
      <c r="C349" s="31">
        <v>4301011868</v>
      </c>
      <c r="D349" s="548">
        <v>4680115884861</v>
      </c>
      <c r="E349" s="549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109</v>
      </c>
      <c r="L349" s="32"/>
      <c r="M349" s="33" t="s">
        <v>68</v>
      </c>
      <c r="N349" s="33"/>
      <c r="O349" s="32">
        <v>60</v>
      </c>
      <c r="P349" s="82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6"/>
      <c r="R349" s="546"/>
      <c r="S349" s="546"/>
      <c r="T349" s="547"/>
      <c r="U349" s="34"/>
      <c r="V349" s="34"/>
      <c r="W349" s="35" t="s">
        <v>69</v>
      </c>
      <c r="X349" s="541">
        <v>0</v>
      </c>
      <c r="Y349" s="542">
        <f t="shared" si="31"/>
        <v>0</v>
      </c>
      <c r="Z349" s="36" t="str">
        <f>IFERROR(IF(Y349=0,"",ROUNDUP(Y349/H349,0)*0.00902),"")</f>
        <v/>
      </c>
      <c r="AA349" s="56"/>
      <c r="AB349" s="57"/>
      <c r="AC349" s="403" t="s">
        <v>548</v>
      </c>
      <c r="AG349" s="64"/>
      <c r="AJ349" s="68"/>
      <c r="AK349" s="68">
        <v>0</v>
      </c>
      <c r="BB349" s="404" t="s">
        <v>1</v>
      </c>
      <c r="BM349" s="64">
        <f t="shared" si="32"/>
        <v>0</v>
      </c>
      <c r="BN349" s="64">
        <f t="shared" si="33"/>
        <v>0</v>
      </c>
      <c r="BO349" s="64">
        <f t="shared" si="34"/>
        <v>0</v>
      </c>
      <c r="BP349" s="64">
        <f t="shared" si="35"/>
        <v>0</v>
      </c>
    </row>
    <row r="350" spans="1:68" x14ac:dyDescent="0.2">
      <c r="A350" s="554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62" t="s">
        <v>71</v>
      </c>
      <c r="Q350" s="563"/>
      <c r="R350" s="563"/>
      <c r="S350" s="563"/>
      <c r="T350" s="563"/>
      <c r="U350" s="563"/>
      <c r="V350" s="564"/>
      <c r="W350" s="37" t="s">
        <v>72</v>
      </c>
      <c r="X350" s="543">
        <f>IFERROR(X343/H343,"0")+IFERROR(X344/H344,"0")+IFERROR(X345/H345,"0")+IFERROR(X346/H346,"0")+IFERROR(X347/H347,"0")+IFERROR(X348/H348,"0")+IFERROR(X349/H349,"0")</f>
        <v>141.73333333333335</v>
      </c>
      <c r="Y350" s="543">
        <f>IFERROR(Y343/H343,"0")+IFERROR(Y344/H344,"0")+IFERROR(Y345/H345,"0")+IFERROR(Y346/H346,"0")+IFERROR(Y347/H347,"0")+IFERROR(Y348/H348,"0")+IFERROR(Y349/H349,"0")</f>
        <v>144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3.1319999999999997</v>
      </c>
      <c r="AA350" s="544"/>
      <c r="AB350" s="544"/>
      <c r="AC350" s="544"/>
    </row>
    <row r="351" spans="1:68" x14ac:dyDescent="0.2">
      <c r="A351" s="555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62" t="s">
        <v>71</v>
      </c>
      <c r="Q351" s="563"/>
      <c r="R351" s="563"/>
      <c r="S351" s="563"/>
      <c r="T351" s="563"/>
      <c r="U351" s="563"/>
      <c r="V351" s="564"/>
      <c r="W351" s="37" t="s">
        <v>69</v>
      </c>
      <c r="X351" s="543">
        <f>IFERROR(SUM(X343:X349),"0")</f>
        <v>2126</v>
      </c>
      <c r="Y351" s="543">
        <f>IFERROR(SUM(Y343:Y349),"0")</f>
        <v>2160</v>
      </c>
      <c r="Z351" s="37"/>
      <c r="AA351" s="544"/>
      <c r="AB351" s="544"/>
      <c r="AC351" s="544"/>
    </row>
    <row r="352" spans="1:68" ht="14.25" customHeight="1" x14ac:dyDescent="0.25">
      <c r="A352" s="558" t="s">
        <v>134</v>
      </c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5"/>
      <c r="P352" s="555"/>
      <c r="Q352" s="555"/>
      <c r="R352" s="555"/>
      <c r="S352" s="555"/>
      <c r="T352" s="555"/>
      <c r="U352" s="555"/>
      <c r="V352" s="555"/>
      <c r="W352" s="555"/>
      <c r="X352" s="555"/>
      <c r="Y352" s="555"/>
      <c r="Z352" s="555"/>
      <c r="AA352" s="537"/>
      <c r="AB352" s="537"/>
      <c r="AC352" s="537"/>
    </row>
    <row r="353" spans="1:68" ht="27" customHeight="1" x14ac:dyDescent="0.25">
      <c r="A353" s="54" t="s">
        <v>560</v>
      </c>
      <c r="B353" s="54" t="s">
        <v>561</v>
      </c>
      <c r="C353" s="31">
        <v>4301020178</v>
      </c>
      <c r="D353" s="548">
        <v>4607091383980</v>
      </c>
      <c r="E353" s="549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102</v>
      </c>
      <c r="L353" s="32" t="s">
        <v>103</v>
      </c>
      <c r="M353" s="33" t="s">
        <v>104</v>
      </c>
      <c r="N353" s="33"/>
      <c r="O353" s="32">
        <v>50</v>
      </c>
      <c r="P353" s="68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564</v>
      </c>
      <c r="Y353" s="542">
        <f>IFERROR(IF(X353="",0,CEILING((X353/$H353),1)*$H353),"")</f>
        <v>570</v>
      </c>
      <c r="Z353" s="36">
        <f>IFERROR(IF(Y353=0,"",ROUNDUP(Y353/H353,0)*0.02175),"")</f>
        <v>0.8264999999999999</v>
      </c>
      <c r="AA353" s="56"/>
      <c r="AB353" s="57"/>
      <c r="AC353" s="405" t="s">
        <v>562</v>
      </c>
      <c r="AG353" s="64"/>
      <c r="AJ353" s="68" t="s">
        <v>106</v>
      </c>
      <c r="AK353" s="68">
        <v>120</v>
      </c>
      <c r="BB353" s="406" t="s">
        <v>1</v>
      </c>
      <c r="BM353" s="64">
        <f>IFERROR(X353*I353/H353,"0")</f>
        <v>581.67200000000003</v>
      </c>
      <c r="BN353" s="64">
        <f>IFERROR(Y353*I353/H353,"0")</f>
        <v>587.86</v>
      </c>
      <c r="BO353" s="64">
        <f>IFERROR(1/J353*(X353/H353),"0")</f>
        <v>0.78333333333333333</v>
      </c>
      <c r="BP353" s="64">
        <f>IFERROR(1/J353*(Y353/H353),"0")</f>
        <v>0.79166666666666663</v>
      </c>
    </row>
    <row r="354" spans="1:68" ht="16.5" customHeight="1" x14ac:dyDescent="0.25">
      <c r="A354" s="54" t="s">
        <v>563</v>
      </c>
      <c r="B354" s="54" t="s">
        <v>564</v>
      </c>
      <c r="C354" s="31">
        <v>4301020179</v>
      </c>
      <c r="D354" s="548">
        <v>4607091384178</v>
      </c>
      <c r="E354" s="549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109</v>
      </c>
      <c r="L354" s="32"/>
      <c r="M354" s="33" t="s">
        <v>104</v>
      </c>
      <c r="N354" s="33"/>
      <c r="O354" s="32">
        <v>50</v>
      </c>
      <c r="P354" s="8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6"/>
      <c r="R354" s="546"/>
      <c r="S354" s="546"/>
      <c r="T354" s="547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562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4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62" t="s">
        <v>71</v>
      </c>
      <c r="Q355" s="563"/>
      <c r="R355" s="563"/>
      <c r="S355" s="563"/>
      <c r="T355" s="563"/>
      <c r="U355" s="563"/>
      <c r="V355" s="564"/>
      <c r="W355" s="37" t="s">
        <v>72</v>
      </c>
      <c r="X355" s="543">
        <f>IFERROR(X353/H353,"0")+IFERROR(X354/H354,"0")</f>
        <v>37.6</v>
      </c>
      <c r="Y355" s="543">
        <f>IFERROR(Y353/H353,"0")+IFERROR(Y354/H354,"0")</f>
        <v>38</v>
      </c>
      <c r="Z355" s="543">
        <f>IFERROR(IF(Z353="",0,Z353),"0")+IFERROR(IF(Z354="",0,Z354),"0")</f>
        <v>0.8264999999999999</v>
      </c>
      <c r="AA355" s="544"/>
      <c r="AB355" s="544"/>
      <c r="AC355" s="544"/>
    </row>
    <row r="356" spans="1:68" x14ac:dyDescent="0.2">
      <c r="A356" s="555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62" t="s">
        <v>71</v>
      </c>
      <c r="Q356" s="563"/>
      <c r="R356" s="563"/>
      <c r="S356" s="563"/>
      <c r="T356" s="563"/>
      <c r="U356" s="563"/>
      <c r="V356" s="564"/>
      <c r="W356" s="37" t="s">
        <v>69</v>
      </c>
      <c r="X356" s="543">
        <f>IFERROR(SUM(X353:X354),"0")</f>
        <v>564</v>
      </c>
      <c r="Y356" s="543">
        <f>IFERROR(SUM(Y353:Y354),"0")</f>
        <v>570</v>
      </c>
      <c r="Z356" s="37"/>
      <c r="AA356" s="544"/>
      <c r="AB356" s="544"/>
      <c r="AC356" s="544"/>
    </row>
    <row r="357" spans="1:68" ht="14.25" customHeight="1" x14ac:dyDescent="0.25">
      <c r="A357" s="558" t="s">
        <v>73</v>
      </c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5"/>
      <c r="P357" s="555"/>
      <c r="Q357" s="555"/>
      <c r="R357" s="555"/>
      <c r="S357" s="555"/>
      <c r="T357" s="555"/>
      <c r="U357" s="555"/>
      <c r="V357" s="555"/>
      <c r="W357" s="555"/>
      <c r="X357" s="555"/>
      <c r="Y357" s="555"/>
      <c r="Z357" s="555"/>
      <c r="AA357" s="537"/>
      <c r="AB357" s="537"/>
      <c r="AC357" s="537"/>
    </row>
    <row r="358" spans="1:68" ht="27" customHeight="1" x14ac:dyDescent="0.25">
      <c r="A358" s="54" t="s">
        <v>565</v>
      </c>
      <c r="B358" s="54" t="s">
        <v>566</v>
      </c>
      <c r="C358" s="31">
        <v>4301051903</v>
      </c>
      <c r="D358" s="548">
        <v>4607091383928</v>
      </c>
      <c r="E358" s="549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7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567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568</v>
      </c>
      <c r="B359" s="54" t="s">
        <v>569</v>
      </c>
      <c r="C359" s="31">
        <v>4301051897</v>
      </c>
      <c r="D359" s="548">
        <v>4607091384260</v>
      </c>
      <c r="E359" s="549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102</v>
      </c>
      <c r="L359" s="32"/>
      <c r="M359" s="33" t="s">
        <v>77</v>
      </c>
      <c r="N359" s="33"/>
      <c r="O359" s="32">
        <v>40</v>
      </c>
      <c r="P359" s="78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6"/>
      <c r="R359" s="546"/>
      <c r="S359" s="546"/>
      <c r="T359" s="547"/>
      <c r="U359" s="34"/>
      <c r="V359" s="34"/>
      <c r="W359" s="35" t="s">
        <v>69</v>
      </c>
      <c r="X359" s="541">
        <v>21</v>
      </c>
      <c r="Y359" s="542">
        <f>IFERROR(IF(X359="",0,CEILING((X359/$H359),1)*$H359),"")</f>
        <v>27</v>
      </c>
      <c r="Z359" s="36">
        <f>IFERROR(IF(Y359=0,"",ROUNDUP(Y359/H359,0)*0.01898),"")</f>
        <v>5.6940000000000004E-2</v>
      </c>
      <c r="AA359" s="56"/>
      <c r="AB359" s="57"/>
      <c r="AC359" s="411" t="s">
        <v>570</v>
      </c>
      <c r="AG359" s="64"/>
      <c r="AJ359" s="68"/>
      <c r="AK359" s="68">
        <v>0</v>
      </c>
      <c r="BB359" s="412" t="s">
        <v>1</v>
      </c>
      <c r="BM359" s="64">
        <f>IFERROR(X359*I359/H359,"0")</f>
        <v>22.152666666666665</v>
      </c>
      <c r="BN359" s="64">
        <f>IFERROR(Y359*I359/H359,"0")</f>
        <v>28.481999999999996</v>
      </c>
      <c r="BO359" s="64">
        <f>IFERROR(1/J359*(X359/H359),"0")</f>
        <v>3.6458333333333336E-2</v>
      </c>
      <c r="BP359" s="64">
        <f>IFERROR(1/J359*(Y359/H359),"0")</f>
        <v>4.6875E-2</v>
      </c>
    </row>
    <row r="360" spans="1:68" x14ac:dyDescent="0.2">
      <c r="A360" s="554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62" t="s">
        <v>71</v>
      </c>
      <c r="Q360" s="563"/>
      <c r="R360" s="563"/>
      <c r="S360" s="563"/>
      <c r="T360" s="563"/>
      <c r="U360" s="563"/>
      <c r="V360" s="564"/>
      <c r="W360" s="37" t="s">
        <v>72</v>
      </c>
      <c r="X360" s="543">
        <f>IFERROR(X358/H358,"0")+IFERROR(X359/H359,"0")</f>
        <v>2.3333333333333335</v>
      </c>
      <c r="Y360" s="543">
        <f>IFERROR(Y358/H358,"0")+IFERROR(Y359/H359,"0")</f>
        <v>3</v>
      </c>
      <c r="Z360" s="543">
        <f>IFERROR(IF(Z358="",0,Z358),"0")+IFERROR(IF(Z359="",0,Z359),"0")</f>
        <v>5.6940000000000004E-2</v>
      </c>
      <c r="AA360" s="544"/>
      <c r="AB360" s="544"/>
      <c r="AC360" s="544"/>
    </row>
    <row r="361" spans="1:68" x14ac:dyDescent="0.2">
      <c r="A361" s="555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62" t="s">
        <v>71</v>
      </c>
      <c r="Q361" s="563"/>
      <c r="R361" s="563"/>
      <c r="S361" s="563"/>
      <c r="T361" s="563"/>
      <c r="U361" s="563"/>
      <c r="V361" s="564"/>
      <c r="W361" s="37" t="s">
        <v>69</v>
      </c>
      <c r="X361" s="543">
        <f>IFERROR(SUM(X358:X359),"0")</f>
        <v>21</v>
      </c>
      <c r="Y361" s="543">
        <f>IFERROR(SUM(Y358:Y359),"0")</f>
        <v>27</v>
      </c>
      <c r="Z361" s="37"/>
      <c r="AA361" s="544"/>
      <c r="AB361" s="544"/>
      <c r="AC361" s="544"/>
    </row>
    <row r="362" spans="1:68" ht="14.25" customHeight="1" x14ac:dyDescent="0.25">
      <c r="A362" s="558" t="s">
        <v>162</v>
      </c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5"/>
      <c r="P362" s="555"/>
      <c r="Q362" s="555"/>
      <c r="R362" s="555"/>
      <c r="S362" s="555"/>
      <c r="T362" s="555"/>
      <c r="U362" s="555"/>
      <c r="V362" s="555"/>
      <c r="W362" s="555"/>
      <c r="X362" s="555"/>
      <c r="Y362" s="555"/>
      <c r="Z362" s="555"/>
      <c r="AA362" s="537"/>
      <c r="AB362" s="537"/>
      <c r="AC362" s="537"/>
    </row>
    <row r="363" spans="1:68" ht="16.5" customHeight="1" x14ac:dyDescent="0.25">
      <c r="A363" s="54" t="s">
        <v>571</v>
      </c>
      <c r="B363" s="54" t="s">
        <v>572</v>
      </c>
      <c r="C363" s="31">
        <v>4301060524</v>
      </c>
      <c r="D363" s="548">
        <v>4607091384673</v>
      </c>
      <c r="E363" s="549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102</v>
      </c>
      <c r="L363" s="32"/>
      <c r="M363" s="33" t="s">
        <v>77</v>
      </c>
      <c r="N363" s="33"/>
      <c r="O363" s="32">
        <v>40</v>
      </c>
      <c r="P363" s="8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6"/>
      <c r="R363" s="546"/>
      <c r="S363" s="546"/>
      <c r="T363" s="547"/>
      <c r="U363" s="34"/>
      <c r="V363" s="34"/>
      <c r="W363" s="35" t="s">
        <v>69</v>
      </c>
      <c r="X363" s="541">
        <v>49</v>
      </c>
      <c r="Y363" s="542">
        <f>IFERROR(IF(X363="",0,CEILING((X363/$H363),1)*$H363),"")</f>
        <v>54</v>
      </c>
      <c r="Z363" s="36">
        <f>IFERROR(IF(Y363=0,"",ROUNDUP(Y363/H363,0)*0.01898),"")</f>
        <v>0.11388000000000001</v>
      </c>
      <c r="AA363" s="56"/>
      <c r="AB363" s="57"/>
      <c r="AC363" s="413" t="s">
        <v>573</v>
      </c>
      <c r="AG363" s="64"/>
      <c r="AJ363" s="68"/>
      <c r="AK363" s="68">
        <v>0</v>
      </c>
      <c r="BB363" s="414" t="s">
        <v>1</v>
      </c>
      <c r="BM363" s="64">
        <f>IFERROR(X363*I363/H363,"0")</f>
        <v>51.689555555555557</v>
      </c>
      <c r="BN363" s="64">
        <f>IFERROR(Y363*I363/H363,"0")</f>
        <v>56.963999999999992</v>
      </c>
      <c r="BO363" s="64">
        <f>IFERROR(1/J363*(X363/H363),"0")</f>
        <v>8.5069444444444448E-2</v>
      </c>
      <c r="BP363" s="64">
        <f>IFERROR(1/J363*(Y363/H363),"0")</f>
        <v>9.375E-2</v>
      </c>
    </row>
    <row r="364" spans="1:68" x14ac:dyDescent="0.2">
      <c r="A364" s="554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62" t="s">
        <v>71</v>
      </c>
      <c r="Q364" s="563"/>
      <c r="R364" s="563"/>
      <c r="S364" s="563"/>
      <c r="T364" s="563"/>
      <c r="U364" s="563"/>
      <c r="V364" s="564"/>
      <c r="W364" s="37" t="s">
        <v>72</v>
      </c>
      <c r="X364" s="543">
        <f>IFERROR(X363/H363,"0")</f>
        <v>5.4444444444444446</v>
      </c>
      <c r="Y364" s="543">
        <f>IFERROR(Y363/H363,"0")</f>
        <v>6</v>
      </c>
      <c r="Z364" s="543">
        <f>IFERROR(IF(Z363="",0,Z363),"0")</f>
        <v>0.11388000000000001</v>
      </c>
      <c r="AA364" s="544"/>
      <c r="AB364" s="544"/>
      <c r="AC364" s="544"/>
    </row>
    <row r="365" spans="1:68" x14ac:dyDescent="0.2">
      <c r="A365" s="555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62" t="s">
        <v>71</v>
      </c>
      <c r="Q365" s="563"/>
      <c r="R365" s="563"/>
      <c r="S365" s="563"/>
      <c r="T365" s="563"/>
      <c r="U365" s="563"/>
      <c r="V365" s="564"/>
      <c r="W365" s="37" t="s">
        <v>69</v>
      </c>
      <c r="X365" s="543">
        <f>IFERROR(SUM(X363:X363),"0")</f>
        <v>49</v>
      </c>
      <c r="Y365" s="543">
        <f>IFERROR(SUM(Y363:Y363),"0")</f>
        <v>54</v>
      </c>
      <c r="Z365" s="37"/>
      <c r="AA365" s="544"/>
      <c r="AB365" s="544"/>
      <c r="AC365" s="544"/>
    </row>
    <row r="366" spans="1:68" ht="16.5" customHeight="1" x14ac:dyDescent="0.25">
      <c r="A366" s="559" t="s">
        <v>574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6"/>
      <c r="AB366" s="536"/>
      <c r="AC366" s="536"/>
    </row>
    <row r="367" spans="1:68" ht="14.25" customHeight="1" x14ac:dyDescent="0.25">
      <c r="A367" s="558" t="s">
        <v>99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7"/>
      <c r="AB367" s="537"/>
      <c r="AC367" s="537"/>
    </row>
    <row r="368" spans="1:68" ht="37.5" customHeight="1" x14ac:dyDescent="0.25">
      <c r="A368" s="54" t="s">
        <v>575</v>
      </c>
      <c r="B368" s="54" t="s">
        <v>576</v>
      </c>
      <c r="C368" s="31">
        <v>4301011875</v>
      </c>
      <c r="D368" s="548">
        <v>4680115884885</v>
      </c>
      <c r="E368" s="549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102</v>
      </c>
      <c r="L368" s="32"/>
      <c r="M368" s="33" t="s">
        <v>68</v>
      </c>
      <c r="N368" s="33"/>
      <c r="O368" s="32">
        <v>60</v>
      </c>
      <c r="P368" s="85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577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customHeight="1" x14ac:dyDescent="0.25">
      <c r="A369" s="54" t="s">
        <v>578</v>
      </c>
      <c r="B369" s="54" t="s">
        <v>579</v>
      </c>
      <c r="C369" s="31">
        <v>4301011871</v>
      </c>
      <c r="D369" s="548">
        <v>4680115884908</v>
      </c>
      <c r="E369" s="549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109</v>
      </c>
      <c r="L369" s="32"/>
      <c r="M369" s="33" t="s">
        <v>68</v>
      </c>
      <c r="N369" s="33"/>
      <c r="O369" s="32">
        <v>60</v>
      </c>
      <c r="P369" s="81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6"/>
      <c r="R369" s="546"/>
      <c r="S369" s="546"/>
      <c r="T369" s="547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577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54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62" t="s">
        <v>71</v>
      </c>
      <c r="Q370" s="563"/>
      <c r="R370" s="563"/>
      <c r="S370" s="563"/>
      <c r="T370" s="563"/>
      <c r="U370" s="563"/>
      <c r="V370" s="564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x14ac:dyDescent="0.2">
      <c r="A371" s="555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62" t="s">
        <v>71</v>
      </c>
      <c r="Q371" s="563"/>
      <c r="R371" s="563"/>
      <c r="S371" s="563"/>
      <c r="T371" s="563"/>
      <c r="U371" s="563"/>
      <c r="V371" s="564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customHeight="1" x14ac:dyDescent="0.25">
      <c r="A372" s="558" t="s">
        <v>64</v>
      </c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5"/>
      <c r="P372" s="555"/>
      <c r="Q372" s="555"/>
      <c r="R372" s="555"/>
      <c r="S372" s="555"/>
      <c r="T372" s="555"/>
      <c r="U372" s="555"/>
      <c r="V372" s="555"/>
      <c r="W372" s="555"/>
      <c r="X372" s="555"/>
      <c r="Y372" s="555"/>
      <c r="Z372" s="555"/>
      <c r="AA372" s="537"/>
      <c r="AB372" s="537"/>
      <c r="AC372" s="537"/>
    </row>
    <row r="373" spans="1:68" ht="27" customHeight="1" x14ac:dyDescent="0.25">
      <c r="A373" s="54" t="s">
        <v>580</v>
      </c>
      <c r="B373" s="54" t="s">
        <v>581</v>
      </c>
      <c r="C373" s="31">
        <v>4301031303</v>
      </c>
      <c r="D373" s="548">
        <v>4607091384802</v>
      </c>
      <c r="E373" s="549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35</v>
      </c>
      <c r="P373" s="86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582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580</v>
      </c>
      <c r="B374" s="54" t="s">
        <v>583</v>
      </c>
      <c r="C374" s="31">
        <v>4301031457</v>
      </c>
      <c r="D374" s="548">
        <v>4607091384802</v>
      </c>
      <c r="E374" s="549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50</v>
      </c>
      <c r="P374" s="70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6"/>
      <c r="R374" s="546"/>
      <c r="S374" s="546"/>
      <c r="T374" s="547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584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54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62" t="s">
        <v>71</v>
      </c>
      <c r="Q375" s="563"/>
      <c r="R375" s="563"/>
      <c r="S375" s="563"/>
      <c r="T375" s="563"/>
      <c r="U375" s="563"/>
      <c r="V375" s="564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x14ac:dyDescent="0.2">
      <c r="A376" s="555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62" t="s">
        <v>71</v>
      </c>
      <c r="Q376" s="563"/>
      <c r="R376" s="563"/>
      <c r="S376" s="563"/>
      <c r="T376" s="563"/>
      <c r="U376" s="563"/>
      <c r="V376" s="564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customHeight="1" x14ac:dyDescent="0.25">
      <c r="A377" s="558" t="s">
        <v>73</v>
      </c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5"/>
      <c r="P377" s="555"/>
      <c r="Q377" s="555"/>
      <c r="R377" s="555"/>
      <c r="S377" s="555"/>
      <c r="T377" s="555"/>
      <c r="U377" s="555"/>
      <c r="V377" s="555"/>
      <c r="W377" s="555"/>
      <c r="X377" s="555"/>
      <c r="Y377" s="555"/>
      <c r="Z377" s="555"/>
      <c r="AA377" s="537"/>
      <c r="AB377" s="537"/>
      <c r="AC377" s="537"/>
    </row>
    <row r="378" spans="1:68" ht="27" customHeight="1" x14ac:dyDescent="0.25">
      <c r="A378" s="54" t="s">
        <v>585</v>
      </c>
      <c r="B378" s="54" t="s">
        <v>586</v>
      </c>
      <c r="C378" s="31">
        <v>4301051899</v>
      </c>
      <c r="D378" s="548">
        <v>4607091384246</v>
      </c>
      <c r="E378" s="549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102</v>
      </c>
      <c r="L378" s="32" t="s">
        <v>103</v>
      </c>
      <c r="M378" s="33" t="s">
        <v>77</v>
      </c>
      <c r="N378" s="33"/>
      <c r="O378" s="32">
        <v>40</v>
      </c>
      <c r="P378" s="66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400</v>
      </c>
      <c r="Y378" s="542">
        <f>IFERROR(IF(X378="",0,CEILING((X378/$H378),1)*$H378),"")</f>
        <v>405</v>
      </c>
      <c r="Z378" s="36">
        <f>IFERROR(IF(Y378=0,"",ROUNDUP(Y378/H378,0)*0.01898),"")</f>
        <v>0.85409999999999997</v>
      </c>
      <c r="AA378" s="56"/>
      <c r="AB378" s="57"/>
      <c r="AC378" s="423" t="s">
        <v>587</v>
      </c>
      <c r="AG378" s="64"/>
      <c r="AJ378" s="68" t="s">
        <v>106</v>
      </c>
      <c r="AK378" s="68">
        <v>72</v>
      </c>
      <c r="BB378" s="424" t="s">
        <v>1</v>
      </c>
      <c r="BM378" s="64">
        <f>IFERROR(X378*I378/H378,"0")</f>
        <v>421.95555555555552</v>
      </c>
      <c r="BN378" s="64">
        <f>IFERROR(Y378*I378/H378,"0")</f>
        <v>427.22999999999996</v>
      </c>
      <c r="BO378" s="64">
        <f>IFERROR(1/J378*(X378/H378),"0")</f>
        <v>0.69444444444444442</v>
      </c>
      <c r="BP378" s="64">
        <f>IFERROR(1/J378*(Y378/H378),"0")</f>
        <v>0.703125</v>
      </c>
    </row>
    <row r="379" spans="1:68" ht="27" customHeight="1" x14ac:dyDescent="0.25">
      <c r="A379" s="54" t="s">
        <v>588</v>
      </c>
      <c r="B379" s="54" t="s">
        <v>589</v>
      </c>
      <c r="C379" s="31">
        <v>4301051660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/>
      <c r="M379" s="33" t="s">
        <v>77</v>
      </c>
      <c r="N379" s="33"/>
      <c r="O379" s="32">
        <v>40</v>
      </c>
      <c r="P379" s="58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587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62" t="s">
        <v>71</v>
      </c>
      <c r="Q380" s="563"/>
      <c r="R380" s="563"/>
      <c r="S380" s="563"/>
      <c r="T380" s="563"/>
      <c r="U380" s="563"/>
      <c r="V380" s="564"/>
      <c r="W380" s="37" t="s">
        <v>72</v>
      </c>
      <c r="X380" s="543">
        <f>IFERROR(X378/H378,"0")+IFERROR(X379/H379,"0")</f>
        <v>44.444444444444443</v>
      </c>
      <c r="Y380" s="543">
        <f>IFERROR(Y378/H378,"0")+IFERROR(Y379/H379,"0")</f>
        <v>45</v>
      </c>
      <c r="Z380" s="543">
        <f>IFERROR(IF(Z378="",0,Z378),"0")+IFERROR(IF(Z379="",0,Z379),"0")</f>
        <v>0.85409999999999997</v>
      </c>
      <c r="AA380" s="544"/>
      <c r="AB380" s="544"/>
      <c r="AC380" s="544"/>
    </row>
    <row r="381" spans="1:68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62" t="s">
        <v>71</v>
      </c>
      <c r="Q381" s="563"/>
      <c r="R381" s="563"/>
      <c r="S381" s="563"/>
      <c r="T381" s="563"/>
      <c r="U381" s="563"/>
      <c r="V381" s="564"/>
      <c r="W381" s="37" t="s">
        <v>69</v>
      </c>
      <c r="X381" s="543">
        <f>IFERROR(SUM(X378:X379),"0")</f>
        <v>400</v>
      </c>
      <c r="Y381" s="543">
        <f>IFERROR(SUM(Y378:Y379),"0")</f>
        <v>405</v>
      </c>
      <c r="Z381" s="37"/>
      <c r="AA381" s="544"/>
      <c r="AB381" s="544"/>
      <c r="AC381" s="544"/>
    </row>
    <row r="382" spans="1:68" ht="27.75" customHeight="1" x14ac:dyDescent="0.2">
      <c r="A382" s="638" t="s">
        <v>590</v>
      </c>
      <c r="B382" s="639"/>
      <c r="C382" s="639"/>
      <c r="D382" s="639"/>
      <c r="E382" s="639"/>
      <c r="F382" s="639"/>
      <c r="G382" s="639"/>
      <c r="H382" s="639"/>
      <c r="I382" s="639"/>
      <c r="J382" s="639"/>
      <c r="K382" s="639"/>
      <c r="L382" s="639"/>
      <c r="M382" s="639"/>
      <c r="N382" s="639"/>
      <c r="O382" s="639"/>
      <c r="P382" s="639"/>
      <c r="Q382" s="639"/>
      <c r="R382" s="639"/>
      <c r="S382" s="639"/>
      <c r="T382" s="639"/>
      <c r="U382" s="639"/>
      <c r="V382" s="639"/>
      <c r="W382" s="639"/>
      <c r="X382" s="639"/>
      <c r="Y382" s="639"/>
      <c r="Z382" s="639"/>
      <c r="AA382" s="48"/>
      <c r="AB382" s="48"/>
      <c r="AC382" s="48"/>
    </row>
    <row r="383" spans="1:68" ht="16.5" customHeight="1" x14ac:dyDescent="0.25">
      <c r="A383" s="559" t="s">
        <v>591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customHeight="1" x14ac:dyDescent="0.25">
      <c r="A384" s="558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customHeight="1" x14ac:dyDescent="0.25">
      <c r="A385" s="54" t="s">
        <v>592</v>
      </c>
      <c r="B385" s="54" t="s">
        <v>593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 t="s">
        <v>196</v>
      </c>
      <c r="M385" s="33" t="s">
        <v>68</v>
      </c>
      <c r="N385" s="33"/>
      <c r="O385" s="32">
        <v>50</v>
      </c>
      <c r="P385" s="86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20</v>
      </c>
      <c r="Y385" s="542">
        <f t="shared" ref="Y385:Y393" si="36">IFERROR(IF(X385="",0,CEILING((X385/$H385),1)*$H385),"")</f>
        <v>21.6</v>
      </c>
      <c r="Z385" s="36">
        <f>IFERROR(IF(Y385=0,"",ROUNDUP(Y385/H385,0)*0.00902),"")</f>
        <v>3.6080000000000001E-2</v>
      </c>
      <c r="AA385" s="56"/>
      <c r="AB385" s="57"/>
      <c r="AC385" s="427" t="s">
        <v>594</v>
      </c>
      <c r="AG385" s="64"/>
      <c r="AJ385" s="68" t="s">
        <v>106</v>
      </c>
      <c r="AK385" s="68">
        <v>64.8</v>
      </c>
      <c r="BB385" s="428" t="s">
        <v>1</v>
      </c>
      <c r="BM385" s="64">
        <f t="shared" ref="BM385:BM393" si="37">IFERROR(X385*I385/H385,"0")</f>
        <v>20.703703703703702</v>
      </c>
      <c r="BN385" s="64">
        <f t="shared" ref="BN385:BN393" si="38">IFERROR(Y385*I385/H385,"0")</f>
        <v>22.36</v>
      </c>
      <c r="BO385" s="64">
        <f t="shared" ref="BO385:BO393" si="39">IFERROR(1/J385*(X385/H385),"0")</f>
        <v>2.8058361391694722E-2</v>
      </c>
      <c r="BP385" s="64">
        <f t="shared" ref="BP385:BP393" si="40">IFERROR(1/J385*(Y385/H385),"0")</f>
        <v>3.0303030303030304E-2</v>
      </c>
    </row>
    <row r="386" spans="1:68" ht="27" customHeight="1" x14ac:dyDescent="0.25">
      <c r="A386" s="54" t="s">
        <v>595</v>
      </c>
      <c r="B386" s="54" t="s">
        <v>596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597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598</v>
      </c>
      <c r="B387" s="54" t="s">
        <v>599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/>
      <c r="M387" s="33" t="s">
        <v>68</v>
      </c>
      <c r="N387" s="33"/>
      <c r="O387" s="32">
        <v>50</v>
      </c>
      <c r="P387" s="71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600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601</v>
      </c>
      <c r="B388" s="54" t="s">
        <v>602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4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594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customHeight="1" x14ac:dyDescent="0.25">
      <c r="A389" s="54" t="s">
        <v>603</v>
      </c>
      <c r="B389" s="54" t="s">
        <v>604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594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customHeight="1" x14ac:dyDescent="0.25">
      <c r="A390" s="54" t="s">
        <v>605</v>
      </c>
      <c r="B390" s="54" t="s">
        <v>606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607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608</v>
      </c>
      <c r="B391" s="54" t="s">
        <v>609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610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611</v>
      </c>
      <c r="B392" s="54" t="s">
        <v>612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613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customHeight="1" x14ac:dyDescent="0.25">
      <c r="A393" s="54" t="s">
        <v>614</v>
      </c>
      <c r="B393" s="54" t="s">
        <v>615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610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62" t="s">
        <v>71</v>
      </c>
      <c r="Q394" s="563"/>
      <c r="R394" s="563"/>
      <c r="S394" s="563"/>
      <c r="T394" s="563"/>
      <c r="U394" s="563"/>
      <c r="V394" s="564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3.7037037037037033</v>
      </c>
      <c r="Y394" s="543">
        <f>IFERROR(Y385/H385,"0")+IFERROR(Y386/H386,"0")+IFERROR(Y387/H387,"0")+IFERROR(Y388/H388,"0")+IFERROR(Y389/H389,"0")+IFERROR(Y390/H390,"0")+IFERROR(Y391/H391,"0")+IFERROR(Y392/H392,"0")+IFERROR(Y393/H393,"0")</f>
        <v>4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3.6080000000000001E-2</v>
      </c>
      <c r="AA394" s="544"/>
      <c r="AB394" s="544"/>
      <c r="AC394" s="544"/>
    </row>
    <row r="395" spans="1:68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62" t="s">
        <v>71</v>
      </c>
      <c r="Q395" s="563"/>
      <c r="R395" s="563"/>
      <c r="S395" s="563"/>
      <c r="T395" s="563"/>
      <c r="U395" s="563"/>
      <c r="V395" s="564"/>
      <c r="W395" s="37" t="s">
        <v>69</v>
      </c>
      <c r="X395" s="543">
        <f>IFERROR(SUM(X385:X393),"0")</f>
        <v>20</v>
      </c>
      <c r="Y395" s="543">
        <f>IFERROR(SUM(Y385:Y393),"0")</f>
        <v>21.6</v>
      </c>
      <c r="Z395" s="37"/>
      <c r="AA395" s="544"/>
      <c r="AB395" s="544"/>
      <c r="AC395" s="544"/>
    </row>
    <row r="396" spans="1:68" ht="14.25" customHeight="1" x14ac:dyDescent="0.25">
      <c r="A396" s="558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customHeight="1" x14ac:dyDescent="0.25">
      <c r="A397" s="54" t="s">
        <v>616</v>
      </c>
      <c r="B397" s="54" t="s">
        <v>617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70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618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619</v>
      </c>
      <c r="B398" s="54" t="s">
        <v>620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621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62" t="s">
        <v>71</v>
      </c>
      <c r="Q399" s="563"/>
      <c r="R399" s="563"/>
      <c r="S399" s="563"/>
      <c r="T399" s="563"/>
      <c r="U399" s="563"/>
      <c r="V399" s="564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62" t="s">
        <v>71</v>
      </c>
      <c r="Q400" s="563"/>
      <c r="R400" s="563"/>
      <c r="S400" s="563"/>
      <c r="T400" s="563"/>
      <c r="U400" s="563"/>
      <c r="V400" s="564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59" t="s">
        <v>622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customHeight="1" x14ac:dyDescent="0.25">
      <c r="A402" s="558" t="s">
        <v>134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customHeight="1" x14ac:dyDescent="0.25">
      <c r="A403" s="54" t="s">
        <v>623</v>
      </c>
      <c r="B403" s="54" t="s">
        <v>624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625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62" t="s">
        <v>71</v>
      </c>
      <c r="Q404" s="563"/>
      <c r="R404" s="563"/>
      <c r="S404" s="563"/>
      <c r="T404" s="563"/>
      <c r="U404" s="563"/>
      <c r="V404" s="564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62" t="s">
        <v>71</v>
      </c>
      <c r="Q405" s="563"/>
      <c r="R405" s="563"/>
      <c r="S405" s="563"/>
      <c r="T405" s="563"/>
      <c r="U405" s="563"/>
      <c r="V405" s="564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8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customHeight="1" x14ac:dyDescent="0.25">
      <c r="A407" s="54" t="s">
        <v>626</v>
      </c>
      <c r="B407" s="54" t="s">
        <v>627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 t="s">
        <v>196</v>
      </c>
      <c r="M407" s="33" t="s">
        <v>104</v>
      </c>
      <c r="N407" s="33"/>
      <c r="O407" s="32">
        <v>50</v>
      </c>
      <c r="P407" s="61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119</v>
      </c>
      <c r="Y407" s="542">
        <f>IFERROR(IF(X407="",0,CEILING((X407/$H407),1)*$H407),"")</f>
        <v>124.2</v>
      </c>
      <c r="Z407" s="36">
        <f>IFERROR(IF(Y407=0,"",ROUNDUP(Y407/H407,0)*0.00902),"")</f>
        <v>0.20746000000000001</v>
      </c>
      <c r="AA407" s="56"/>
      <c r="AB407" s="57"/>
      <c r="AC407" s="451" t="s">
        <v>628</v>
      </c>
      <c r="AG407" s="64"/>
      <c r="AJ407" s="68" t="s">
        <v>106</v>
      </c>
      <c r="AK407" s="68">
        <v>64.8</v>
      </c>
      <c r="BB407" s="452" t="s">
        <v>1</v>
      </c>
      <c r="BM407" s="64">
        <f>IFERROR(X407*I407/H407,"0")</f>
        <v>123.18703703703703</v>
      </c>
      <c r="BN407" s="64">
        <f>IFERROR(Y407*I407/H407,"0")</f>
        <v>128.57</v>
      </c>
      <c r="BO407" s="64">
        <f>IFERROR(1/J407*(X407/H407),"0")</f>
        <v>0.1669472502805836</v>
      </c>
      <c r="BP407" s="64">
        <f>IFERROR(1/J407*(Y407/H407),"0")</f>
        <v>0.17424242424242425</v>
      </c>
    </row>
    <row r="408" spans="1:68" ht="27" customHeight="1" x14ac:dyDescent="0.25">
      <c r="A408" s="54" t="s">
        <v>629</v>
      </c>
      <c r="B408" s="54" t="s">
        <v>630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631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632</v>
      </c>
      <c r="B409" s="54" t="s">
        <v>633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634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635</v>
      </c>
      <c r="B410" s="54" t="s">
        <v>636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5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634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62" t="s">
        <v>71</v>
      </c>
      <c r="Q411" s="563"/>
      <c r="R411" s="563"/>
      <c r="S411" s="563"/>
      <c r="T411" s="563"/>
      <c r="U411" s="563"/>
      <c r="V411" s="564"/>
      <c r="W411" s="37" t="s">
        <v>72</v>
      </c>
      <c r="X411" s="543">
        <f>IFERROR(X407/H407,"0")+IFERROR(X408/H408,"0")+IFERROR(X409/H409,"0")+IFERROR(X410/H410,"0")</f>
        <v>22.037037037037035</v>
      </c>
      <c r="Y411" s="543">
        <f>IFERROR(Y407/H407,"0")+IFERROR(Y408/H408,"0")+IFERROR(Y409/H409,"0")+IFERROR(Y410/H410,"0")</f>
        <v>23</v>
      </c>
      <c r="Z411" s="543">
        <f>IFERROR(IF(Z407="",0,Z407),"0")+IFERROR(IF(Z408="",0,Z408),"0")+IFERROR(IF(Z409="",0,Z409),"0")+IFERROR(IF(Z410="",0,Z410),"0")</f>
        <v>0.20746000000000001</v>
      </c>
      <c r="AA411" s="544"/>
      <c r="AB411" s="544"/>
      <c r="AC411" s="544"/>
    </row>
    <row r="412" spans="1:68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62" t="s">
        <v>71</v>
      </c>
      <c r="Q412" s="563"/>
      <c r="R412" s="563"/>
      <c r="S412" s="563"/>
      <c r="T412" s="563"/>
      <c r="U412" s="563"/>
      <c r="V412" s="564"/>
      <c r="W412" s="37" t="s">
        <v>69</v>
      </c>
      <c r="X412" s="543">
        <f>IFERROR(SUM(X407:X410),"0")</f>
        <v>119</v>
      </c>
      <c r="Y412" s="543">
        <f>IFERROR(SUM(Y407:Y410),"0")</f>
        <v>124.2</v>
      </c>
      <c r="Z412" s="37"/>
      <c r="AA412" s="544"/>
      <c r="AB412" s="544"/>
      <c r="AC412" s="544"/>
    </row>
    <row r="413" spans="1:68" ht="16.5" customHeight="1" x14ac:dyDescent="0.25">
      <c r="A413" s="559" t="s">
        <v>637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customHeight="1" x14ac:dyDescent="0.25">
      <c r="A414" s="558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customHeight="1" x14ac:dyDescent="0.25">
      <c r="A415" s="54" t="s">
        <v>638</v>
      </c>
      <c r="B415" s="54" t="s">
        <v>639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640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62" t="s">
        <v>71</v>
      </c>
      <c r="Q416" s="563"/>
      <c r="R416" s="563"/>
      <c r="S416" s="563"/>
      <c r="T416" s="563"/>
      <c r="U416" s="563"/>
      <c r="V416" s="564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62" t="s">
        <v>71</v>
      </c>
      <c r="Q417" s="563"/>
      <c r="R417" s="563"/>
      <c r="S417" s="563"/>
      <c r="T417" s="563"/>
      <c r="U417" s="563"/>
      <c r="V417" s="564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customHeight="1" x14ac:dyDescent="0.2">
      <c r="A418" s="638" t="s">
        <v>641</v>
      </c>
      <c r="B418" s="639"/>
      <c r="C418" s="639"/>
      <c r="D418" s="639"/>
      <c r="E418" s="639"/>
      <c r="F418" s="639"/>
      <c r="G418" s="639"/>
      <c r="H418" s="639"/>
      <c r="I418" s="639"/>
      <c r="J418" s="639"/>
      <c r="K418" s="639"/>
      <c r="L418" s="639"/>
      <c r="M418" s="639"/>
      <c r="N418" s="639"/>
      <c r="O418" s="639"/>
      <c r="P418" s="639"/>
      <c r="Q418" s="639"/>
      <c r="R418" s="639"/>
      <c r="S418" s="639"/>
      <c r="T418" s="639"/>
      <c r="U418" s="639"/>
      <c r="V418" s="639"/>
      <c r="W418" s="639"/>
      <c r="X418" s="639"/>
      <c r="Y418" s="639"/>
      <c r="Z418" s="639"/>
      <c r="AA418" s="48"/>
      <c r="AB418" s="48"/>
      <c r="AC418" s="48"/>
    </row>
    <row r="419" spans="1:68" ht="16.5" customHeight="1" x14ac:dyDescent="0.25">
      <c r="A419" s="559" t="s">
        <v>641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customHeight="1" x14ac:dyDescent="0.25">
      <c r="A420" s="558" t="s">
        <v>99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customHeight="1" x14ac:dyDescent="0.25">
      <c r="A421" s="54" t="s">
        <v>642</v>
      </c>
      <c r="B421" s="54" t="s">
        <v>643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/>
      <c r="M421" s="33" t="s">
        <v>104</v>
      </c>
      <c r="N421" s="33"/>
      <c r="O421" s="32">
        <v>60</v>
      </c>
      <c r="P421" s="83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4</v>
      </c>
      <c r="Y421" s="542">
        <f t="shared" ref="Y421:Y431" si="42">IFERROR(IF(X421="",0,CEILING((X421/$H421),1)*$H421),"")</f>
        <v>5.28</v>
      </c>
      <c r="Z421" s="36">
        <f t="shared" ref="Z421:Z426" si="43">IFERROR(IF(Y421=0,"",ROUNDUP(Y421/H421,0)*0.01196),"")</f>
        <v>1.196E-2</v>
      </c>
      <c r="AA421" s="56"/>
      <c r="AB421" s="57"/>
      <c r="AC421" s="461" t="s">
        <v>105</v>
      </c>
      <c r="AG421" s="64"/>
      <c r="AJ421" s="68"/>
      <c r="AK421" s="68">
        <v>0</v>
      </c>
      <c r="BB421" s="462" t="s">
        <v>1</v>
      </c>
      <c r="BM421" s="64">
        <f t="shared" ref="BM421:BM431" si="44">IFERROR(X421*I421/H421,"0")</f>
        <v>4.2651515151515147</v>
      </c>
      <c r="BN421" s="64">
        <f t="shared" ref="BN421:BN431" si="45">IFERROR(Y421*I421/H421,"0")</f>
        <v>5.63</v>
      </c>
      <c r="BO421" s="64">
        <f t="shared" ref="BO421:BO431" si="46">IFERROR(1/J421*(X421/H421),"0")</f>
        <v>7.2843822843822849E-3</v>
      </c>
      <c r="BP421" s="64">
        <f t="shared" ref="BP421:BP431" si="47">IFERROR(1/J421*(Y421/H421),"0")</f>
        <v>9.6153846153846159E-3</v>
      </c>
    </row>
    <row r="422" spans="1:68" ht="27" customHeight="1" x14ac:dyDescent="0.25">
      <c r="A422" s="54" t="s">
        <v>644</v>
      </c>
      <c r="B422" s="54" t="s">
        <v>645</v>
      </c>
      <c r="C422" s="31">
        <v>4301011961</v>
      </c>
      <c r="D422" s="548">
        <v>4680115885271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/>
      <c r="M422" s="33" t="s">
        <v>104</v>
      </c>
      <c r="N422" s="33"/>
      <c r="O422" s="32">
        <v>60</v>
      </c>
      <c r="P422" s="68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43</v>
      </c>
      <c r="Y422" s="542">
        <f t="shared" si="42"/>
        <v>47.52</v>
      </c>
      <c r="Z422" s="36">
        <f t="shared" si="43"/>
        <v>0.10764</v>
      </c>
      <c r="AA422" s="56"/>
      <c r="AB422" s="57"/>
      <c r="AC422" s="463" t="s">
        <v>646</v>
      </c>
      <c r="AG422" s="64"/>
      <c r="AJ422" s="68"/>
      <c r="AK422" s="68">
        <v>0</v>
      </c>
      <c r="BB422" s="464" t="s">
        <v>1</v>
      </c>
      <c r="BM422" s="64">
        <f t="shared" si="44"/>
        <v>45.850378787878789</v>
      </c>
      <c r="BN422" s="64">
        <f t="shared" si="45"/>
        <v>50.669999999999995</v>
      </c>
      <c r="BO422" s="64">
        <f t="shared" si="46"/>
        <v>7.8307109557109553E-2</v>
      </c>
      <c r="BP422" s="64">
        <f t="shared" si="47"/>
        <v>8.6538461538461536E-2</v>
      </c>
    </row>
    <row r="423" spans="1:68" ht="27" customHeight="1" x14ac:dyDescent="0.25">
      <c r="A423" s="54" t="s">
        <v>647</v>
      </c>
      <c r="B423" s="54" t="s">
        <v>648</v>
      </c>
      <c r="C423" s="31">
        <v>4301011376</v>
      </c>
      <c r="D423" s="548">
        <v>4680115885226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77</v>
      </c>
      <c r="N423" s="33"/>
      <c r="O423" s="32">
        <v>60</v>
      </c>
      <c r="P423" s="6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167</v>
      </c>
      <c r="Y423" s="542">
        <f t="shared" si="42"/>
        <v>168.96</v>
      </c>
      <c r="Z423" s="36">
        <f t="shared" si="43"/>
        <v>0.38272</v>
      </c>
      <c r="AA423" s="56"/>
      <c r="AB423" s="57"/>
      <c r="AC423" s="465" t="s">
        <v>649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178.07007575757575</v>
      </c>
      <c r="BN423" s="64">
        <f t="shared" si="45"/>
        <v>180.16</v>
      </c>
      <c r="BO423" s="64">
        <f t="shared" si="46"/>
        <v>0.30412296037296038</v>
      </c>
      <c r="BP423" s="64">
        <f t="shared" si="47"/>
        <v>0.30769230769230771</v>
      </c>
    </row>
    <row r="424" spans="1:68" ht="27" customHeight="1" x14ac:dyDescent="0.25">
      <c r="A424" s="54" t="s">
        <v>650</v>
      </c>
      <c r="B424" s="54" t="s">
        <v>651</v>
      </c>
      <c r="C424" s="31">
        <v>4301012145</v>
      </c>
      <c r="D424" s="548">
        <v>4607091383522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652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customHeight="1" x14ac:dyDescent="0.25">
      <c r="A425" s="54" t="s">
        <v>653</v>
      </c>
      <c r="B425" s="54" t="s">
        <v>654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1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655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656</v>
      </c>
      <c r="B426" s="54" t="s">
        <v>657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3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164</v>
      </c>
      <c r="Y426" s="542">
        <f t="shared" si="42"/>
        <v>168.96</v>
      </c>
      <c r="Z426" s="36">
        <f t="shared" si="43"/>
        <v>0.38272</v>
      </c>
      <c r="AA426" s="56"/>
      <c r="AB426" s="57"/>
      <c r="AC426" s="471" t="s">
        <v>658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174.8712121212121</v>
      </c>
      <c r="BN426" s="64">
        <f t="shared" si="45"/>
        <v>180.16</v>
      </c>
      <c r="BO426" s="64">
        <f t="shared" si="46"/>
        <v>0.29865967365967366</v>
      </c>
      <c r="BP426" s="64">
        <f t="shared" si="47"/>
        <v>0.30769230769230771</v>
      </c>
    </row>
    <row r="427" spans="1:68" ht="27" customHeight="1" x14ac:dyDescent="0.25">
      <c r="A427" s="54" t="s">
        <v>659</v>
      </c>
      <c r="B427" s="54" t="s">
        <v>660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661</v>
      </c>
      <c r="B428" s="54" t="s">
        <v>662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4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7</v>
      </c>
      <c r="Y428" s="542">
        <f t="shared" si="42"/>
        <v>9.6</v>
      </c>
      <c r="Z428" s="36">
        <f>IFERROR(IF(Y428=0,"",ROUNDUP(Y428/H428,0)*0.00902),"")</f>
        <v>1.804E-2</v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10.077083333333334</v>
      </c>
      <c r="BN428" s="64">
        <f t="shared" si="45"/>
        <v>13.82</v>
      </c>
      <c r="BO428" s="64">
        <f t="shared" si="46"/>
        <v>1.10479797979798E-2</v>
      </c>
      <c r="BP428" s="64">
        <f t="shared" si="47"/>
        <v>1.5151515151515152E-2</v>
      </c>
    </row>
    <row r="429" spans="1:68" ht="27" customHeight="1" x14ac:dyDescent="0.25">
      <c r="A429" s="54" t="s">
        <v>663</v>
      </c>
      <c r="B429" s="54" t="s">
        <v>664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646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665</v>
      </c>
      <c r="B430" s="54" t="s">
        <v>666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667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668</v>
      </c>
      <c r="B431" s="54" t="s">
        <v>669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7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658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62" t="s">
        <v>71</v>
      </c>
      <c r="Q432" s="563"/>
      <c r="R432" s="563"/>
      <c r="S432" s="563"/>
      <c r="T432" s="563"/>
      <c r="U432" s="563"/>
      <c r="V432" s="564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73.049242424242422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76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0.9030800000000001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62" t="s">
        <v>71</v>
      </c>
      <c r="Q433" s="563"/>
      <c r="R433" s="563"/>
      <c r="S433" s="563"/>
      <c r="T433" s="563"/>
      <c r="U433" s="563"/>
      <c r="V433" s="564"/>
      <c r="W433" s="37" t="s">
        <v>69</v>
      </c>
      <c r="X433" s="543">
        <f>IFERROR(SUM(X421:X431),"0")</f>
        <v>385</v>
      </c>
      <c r="Y433" s="543">
        <f>IFERROR(SUM(Y421:Y431),"0")</f>
        <v>400.32000000000005</v>
      </c>
      <c r="Z433" s="37"/>
      <c r="AA433" s="544"/>
      <c r="AB433" s="544"/>
      <c r="AC433" s="544"/>
    </row>
    <row r="434" spans="1:68" ht="14.25" customHeight="1" x14ac:dyDescent="0.25">
      <c r="A434" s="558" t="s">
        <v>134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customHeight="1" x14ac:dyDescent="0.25">
      <c r="A435" s="54" t="s">
        <v>670</v>
      </c>
      <c r="B435" s="54" t="s">
        <v>671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122</v>
      </c>
      <c r="Y435" s="542">
        <f>IFERROR(IF(X435="",0,CEILING((X435/$H435),1)*$H435),"")</f>
        <v>126.72</v>
      </c>
      <c r="Z435" s="36">
        <f>IFERROR(IF(Y435=0,"",ROUNDUP(Y435/H435,0)*0.01196),"")</f>
        <v>0.28704000000000002</v>
      </c>
      <c r="AA435" s="56"/>
      <c r="AB435" s="57"/>
      <c r="AC435" s="483" t="s">
        <v>672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130.08712121212122</v>
      </c>
      <c r="BN435" s="64">
        <f>IFERROR(Y435*I435/H435,"0")</f>
        <v>135.11999999999998</v>
      </c>
      <c r="BO435" s="64">
        <f>IFERROR(1/J435*(X435/H435),"0")</f>
        <v>0.22217365967365968</v>
      </c>
      <c r="BP435" s="64">
        <f>IFERROR(1/J435*(Y435/H435),"0")</f>
        <v>0.23076923076923078</v>
      </c>
    </row>
    <row r="436" spans="1:68" ht="16.5" customHeight="1" x14ac:dyDescent="0.25">
      <c r="A436" s="54" t="s">
        <v>673</v>
      </c>
      <c r="B436" s="54" t="s">
        <v>674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5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672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675</v>
      </c>
      <c r="B437" s="54" t="s">
        <v>676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/>
      <c r="M437" s="33" t="s">
        <v>104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672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62" t="s">
        <v>71</v>
      </c>
      <c r="Q438" s="563"/>
      <c r="R438" s="563"/>
      <c r="S438" s="563"/>
      <c r="T438" s="563"/>
      <c r="U438" s="563"/>
      <c r="V438" s="564"/>
      <c r="W438" s="37" t="s">
        <v>72</v>
      </c>
      <c r="X438" s="543">
        <f>IFERROR(X435/H435,"0")+IFERROR(X436/H436,"0")+IFERROR(X437/H437,"0")</f>
        <v>23.106060606060606</v>
      </c>
      <c r="Y438" s="543">
        <f>IFERROR(Y435/H435,"0")+IFERROR(Y436/H436,"0")+IFERROR(Y437/H437,"0")</f>
        <v>24</v>
      </c>
      <c r="Z438" s="543">
        <f>IFERROR(IF(Z435="",0,Z435),"0")+IFERROR(IF(Z436="",0,Z436),"0")+IFERROR(IF(Z437="",0,Z437),"0")</f>
        <v>0.28704000000000002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62" t="s">
        <v>71</v>
      </c>
      <c r="Q439" s="563"/>
      <c r="R439" s="563"/>
      <c r="S439" s="563"/>
      <c r="T439" s="563"/>
      <c r="U439" s="563"/>
      <c r="V439" s="564"/>
      <c r="W439" s="37" t="s">
        <v>69</v>
      </c>
      <c r="X439" s="543">
        <f>IFERROR(SUM(X435:X437),"0")</f>
        <v>122</v>
      </c>
      <c r="Y439" s="543">
        <f>IFERROR(SUM(Y435:Y437),"0")</f>
        <v>126.72</v>
      </c>
      <c r="Z439" s="37"/>
      <c r="AA439" s="544"/>
      <c r="AB439" s="544"/>
      <c r="AC439" s="544"/>
    </row>
    <row r="440" spans="1:68" ht="14.25" customHeight="1" x14ac:dyDescent="0.25">
      <c r="A440" s="558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customHeight="1" x14ac:dyDescent="0.25">
      <c r="A441" s="54" t="s">
        <v>677</v>
      </c>
      <c r="B441" s="54" t="s">
        <v>678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3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110</v>
      </c>
      <c r="Y441" s="542">
        <f t="shared" ref="Y441:Y446" si="48">IFERROR(IF(X441="",0,CEILING((X441/$H441),1)*$H441),"")</f>
        <v>110.88000000000001</v>
      </c>
      <c r="Z441" s="36">
        <f>IFERROR(IF(Y441=0,"",ROUNDUP(Y441/H441,0)*0.01196),"")</f>
        <v>0.25115999999999999</v>
      </c>
      <c r="AA441" s="56"/>
      <c r="AB441" s="57"/>
      <c r="AC441" s="489" t="s">
        <v>679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117.29166666666666</v>
      </c>
      <c r="BN441" s="64">
        <f t="shared" ref="BN441:BN446" si="50">IFERROR(Y441*I441/H441,"0")</f>
        <v>118.23</v>
      </c>
      <c r="BO441" s="64">
        <f t="shared" ref="BO441:BO446" si="51">IFERROR(1/J441*(X441/H441),"0")</f>
        <v>0.20032051282051283</v>
      </c>
      <c r="BP441" s="64">
        <f t="shared" ref="BP441:BP446" si="52">IFERROR(1/J441*(Y441/H441),"0")</f>
        <v>0.20192307692307693</v>
      </c>
    </row>
    <row r="442" spans="1:68" ht="27" customHeight="1" x14ac:dyDescent="0.25">
      <c r="A442" s="54" t="s">
        <v>680</v>
      </c>
      <c r="B442" s="54" t="s">
        <v>681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7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83</v>
      </c>
      <c r="Y442" s="542">
        <f t="shared" si="48"/>
        <v>84.48</v>
      </c>
      <c r="Z442" s="36">
        <f>IFERROR(IF(Y442=0,"",ROUNDUP(Y442/H442,0)*0.01196),"")</f>
        <v>0.19136</v>
      </c>
      <c r="AA442" s="56"/>
      <c r="AB442" s="57"/>
      <c r="AC442" s="491" t="s">
        <v>682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88.501893939393923</v>
      </c>
      <c r="BN442" s="64">
        <f t="shared" si="50"/>
        <v>90.08</v>
      </c>
      <c r="BO442" s="64">
        <f t="shared" si="51"/>
        <v>0.15115093240093241</v>
      </c>
      <c r="BP442" s="64">
        <f t="shared" si="52"/>
        <v>0.15384615384615385</v>
      </c>
    </row>
    <row r="443" spans="1:68" ht="27" customHeight="1" x14ac:dyDescent="0.25">
      <c r="A443" s="54" t="s">
        <v>683</v>
      </c>
      <c r="B443" s="54" t="s">
        <v>684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59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92</v>
      </c>
      <c r="Y443" s="542">
        <f t="shared" si="48"/>
        <v>95.04</v>
      </c>
      <c r="Z443" s="36">
        <f>IFERROR(IF(Y443=0,"",ROUNDUP(Y443/H443,0)*0.01196),"")</f>
        <v>0.21528</v>
      </c>
      <c r="AA443" s="56"/>
      <c r="AB443" s="57"/>
      <c r="AC443" s="493" t="s">
        <v>685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98.098484848484844</v>
      </c>
      <c r="BN443" s="64">
        <f t="shared" si="50"/>
        <v>101.33999999999999</v>
      </c>
      <c r="BO443" s="64">
        <f t="shared" si="51"/>
        <v>0.16754079254079252</v>
      </c>
      <c r="BP443" s="64">
        <f t="shared" si="52"/>
        <v>0.17307692307692307</v>
      </c>
    </row>
    <row r="444" spans="1:68" ht="27" customHeight="1" x14ac:dyDescent="0.25">
      <c r="A444" s="54" t="s">
        <v>686</v>
      </c>
      <c r="B444" s="54" t="s">
        <v>687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679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688</v>
      </c>
      <c r="B445" s="54" t="s">
        <v>689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682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customHeight="1" x14ac:dyDescent="0.25">
      <c r="A446" s="54" t="s">
        <v>690</v>
      </c>
      <c r="B446" s="54" t="s">
        <v>691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3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685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62" t="s">
        <v>71</v>
      </c>
      <c r="Q447" s="563"/>
      <c r="R447" s="563"/>
      <c r="S447" s="563"/>
      <c r="T447" s="563"/>
      <c r="U447" s="563"/>
      <c r="V447" s="564"/>
      <c r="W447" s="37" t="s">
        <v>72</v>
      </c>
      <c r="X447" s="543">
        <f>IFERROR(X441/H441,"0")+IFERROR(X442/H442,"0")+IFERROR(X443/H443,"0")+IFERROR(X444/H444,"0")+IFERROR(X445/H445,"0")+IFERROR(X446/H446,"0")</f>
        <v>53.97727272727272</v>
      </c>
      <c r="Y447" s="543">
        <f>IFERROR(Y441/H441,"0")+IFERROR(Y442/H442,"0")+IFERROR(Y443/H443,"0")+IFERROR(Y444/H444,"0")+IFERROR(Y445/H445,"0")+IFERROR(Y446/H446,"0")</f>
        <v>55</v>
      </c>
      <c r="Z447" s="543">
        <f>IFERROR(IF(Z441="",0,Z441),"0")+IFERROR(IF(Z442="",0,Z442),"0")+IFERROR(IF(Z443="",0,Z443),"0")+IFERROR(IF(Z444="",0,Z444),"0")+IFERROR(IF(Z445="",0,Z445),"0")+IFERROR(IF(Z446="",0,Z446),"0")</f>
        <v>0.65780000000000005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62" t="s">
        <v>71</v>
      </c>
      <c r="Q448" s="563"/>
      <c r="R448" s="563"/>
      <c r="S448" s="563"/>
      <c r="T448" s="563"/>
      <c r="U448" s="563"/>
      <c r="V448" s="564"/>
      <c r="W448" s="37" t="s">
        <v>69</v>
      </c>
      <c r="X448" s="543">
        <f>IFERROR(SUM(X441:X446),"0")</f>
        <v>285</v>
      </c>
      <c r="Y448" s="543">
        <f>IFERROR(SUM(Y441:Y446),"0")</f>
        <v>290.40000000000003</v>
      </c>
      <c r="Z448" s="37"/>
      <c r="AA448" s="544"/>
      <c r="AB448" s="544"/>
      <c r="AC448" s="544"/>
    </row>
    <row r="449" spans="1:68" ht="14.25" customHeight="1" x14ac:dyDescent="0.25">
      <c r="A449" s="558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customHeight="1" x14ac:dyDescent="0.25">
      <c r="A450" s="54" t="s">
        <v>692</v>
      </c>
      <c r="B450" s="54" t="s">
        <v>693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9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694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695</v>
      </c>
      <c r="B451" s="54" t="s">
        <v>696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19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697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698</v>
      </c>
      <c r="B452" s="54" t="s">
        <v>699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8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700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62" t="s">
        <v>71</v>
      </c>
      <c r="Q453" s="563"/>
      <c r="R453" s="563"/>
      <c r="S453" s="563"/>
      <c r="T453" s="563"/>
      <c r="U453" s="563"/>
      <c r="V453" s="564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62" t="s">
        <v>71</v>
      </c>
      <c r="Q454" s="563"/>
      <c r="R454" s="563"/>
      <c r="S454" s="563"/>
      <c r="T454" s="563"/>
      <c r="U454" s="563"/>
      <c r="V454" s="564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38" t="s">
        <v>701</v>
      </c>
      <c r="B455" s="639"/>
      <c r="C455" s="639"/>
      <c r="D455" s="639"/>
      <c r="E455" s="639"/>
      <c r="F455" s="639"/>
      <c r="G455" s="639"/>
      <c r="H455" s="639"/>
      <c r="I455" s="639"/>
      <c r="J455" s="639"/>
      <c r="K455" s="639"/>
      <c r="L455" s="639"/>
      <c r="M455" s="639"/>
      <c r="N455" s="639"/>
      <c r="O455" s="639"/>
      <c r="P455" s="639"/>
      <c r="Q455" s="639"/>
      <c r="R455" s="639"/>
      <c r="S455" s="639"/>
      <c r="T455" s="639"/>
      <c r="U455" s="639"/>
      <c r="V455" s="639"/>
      <c r="W455" s="639"/>
      <c r="X455" s="639"/>
      <c r="Y455" s="639"/>
      <c r="Z455" s="639"/>
      <c r="AA455" s="48"/>
      <c r="AB455" s="48"/>
      <c r="AC455" s="48"/>
    </row>
    <row r="456" spans="1:68" ht="16.5" customHeight="1" x14ac:dyDescent="0.25">
      <c r="A456" s="559" t="s">
        <v>701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customHeight="1" x14ac:dyDescent="0.25">
      <c r="A457" s="558" t="s">
        <v>99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customHeight="1" x14ac:dyDescent="0.25">
      <c r="A458" s="54" t="s">
        <v>702</v>
      </c>
      <c r="B458" s="54" t="s">
        <v>703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0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704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705</v>
      </c>
      <c r="B459" s="54" t="s">
        <v>706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42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707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708</v>
      </c>
      <c r="B460" s="54" t="s">
        <v>709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7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710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711</v>
      </c>
      <c r="B461" s="54" t="s">
        <v>712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70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704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62" t="s">
        <v>71</v>
      </c>
      <c r="Q462" s="563"/>
      <c r="R462" s="563"/>
      <c r="S462" s="563"/>
      <c r="T462" s="563"/>
      <c r="U462" s="563"/>
      <c r="V462" s="564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62" t="s">
        <v>71</v>
      </c>
      <c r="Q463" s="563"/>
      <c r="R463" s="563"/>
      <c r="S463" s="563"/>
      <c r="T463" s="563"/>
      <c r="U463" s="563"/>
      <c r="V463" s="564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customHeight="1" x14ac:dyDescent="0.25">
      <c r="A464" s="558" t="s">
        <v>134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customHeight="1" x14ac:dyDescent="0.25">
      <c r="A465" s="54" t="s">
        <v>713</v>
      </c>
      <c r="B465" s="54" t="s">
        <v>714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715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716</v>
      </c>
      <c r="B466" s="54" t="s">
        <v>717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31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718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719</v>
      </c>
      <c r="B467" s="54" t="s">
        <v>720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71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721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62" t="s">
        <v>71</v>
      </c>
      <c r="Q468" s="563"/>
      <c r="R468" s="563"/>
      <c r="S468" s="563"/>
      <c r="T468" s="563"/>
      <c r="U468" s="563"/>
      <c r="V468" s="564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62" t="s">
        <v>71</v>
      </c>
      <c r="Q469" s="563"/>
      <c r="R469" s="563"/>
      <c r="S469" s="563"/>
      <c r="T469" s="563"/>
      <c r="U469" s="563"/>
      <c r="V469" s="564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8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customHeight="1" x14ac:dyDescent="0.25">
      <c r="A471" s="54" t="s">
        <v>722</v>
      </c>
      <c r="B471" s="54" t="s">
        <v>723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22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724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725</v>
      </c>
      <c r="B472" s="54" t="s">
        <v>726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/>
      <c r="M472" s="33" t="s">
        <v>68</v>
      </c>
      <c r="N472" s="33"/>
      <c r="O472" s="32">
        <v>40</v>
      </c>
      <c r="P472" s="751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727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62" t="s">
        <v>71</v>
      </c>
      <c r="Q473" s="563"/>
      <c r="R473" s="563"/>
      <c r="S473" s="563"/>
      <c r="T473" s="563"/>
      <c r="U473" s="563"/>
      <c r="V473" s="564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62" t="s">
        <v>71</v>
      </c>
      <c r="Q474" s="563"/>
      <c r="R474" s="563"/>
      <c r="S474" s="563"/>
      <c r="T474" s="563"/>
      <c r="U474" s="563"/>
      <c r="V474" s="564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customHeight="1" x14ac:dyDescent="0.25">
      <c r="A475" s="558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customHeight="1" x14ac:dyDescent="0.25">
      <c r="A476" s="54" t="s">
        <v>728</v>
      </c>
      <c r="B476" s="54" t="s">
        <v>729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6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30</v>
      </c>
      <c r="Y476" s="542">
        <f>IFERROR(IF(X476="",0,CEILING((X476/$H476),1)*$H476),"")</f>
        <v>36</v>
      </c>
      <c r="Z476" s="36">
        <f>IFERROR(IF(Y476=0,"",ROUNDUP(Y476/H476,0)*0.01898),"")</f>
        <v>7.5920000000000001E-2</v>
      </c>
      <c r="AA476" s="56"/>
      <c r="AB476" s="57"/>
      <c r="AC476" s="525" t="s">
        <v>730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31.646666666666665</v>
      </c>
      <c r="BN476" s="64">
        <f>IFERROR(Y476*I476/H476,"0")</f>
        <v>37.975999999999999</v>
      </c>
      <c r="BO476" s="64">
        <f>IFERROR(1/J476*(X476/H476),"0")</f>
        <v>5.2083333333333336E-2</v>
      </c>
      <c r="BP476" s="64">
        <f>IFERROR(1/J476*(Y476/H476),"0")</f>
        <v>6.25E-2</v>
      </c>
    </row>
    <row r="477" spans="1:68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62" t="s">
        <v>71</v>
      </c>
      <c r="Q477" s="563"/>
      <c r="R477" s="563"/>
      <c r="S477" s="563"/>
      <c r="T477" s="563"/>
      <c r="U477" s="563"/>
      <c r="V477" s="564"/>
      <c r="W477" s="37" t="s">
        <v>72</v>
      </c>
      <c r="X477" s="543">
        <f>IFERROR(X476/H476,"0")</f>
        <v>3.3333333333333335</v>
      </c>
      <c r="Y477" s="543">
        <f>IFERROR(Y476/H476,"0")</f>
        <v>4</v>
      </c>
      <c r="Z477" s="543">
        <f>IFERROR(IF(Z476="",0,Z476),"0")</f>
        <v>7.5920000000000001E-2</v>
      </c>
      <c r="AA477" s="544"/>
      <c r="AB477" s="544"/>
      <c r="AC477" s="544"/>
    </row>
    <row r="478" spans="1:68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62" t="s">
        <v>71</v>
      </c>
      <c r="Q478" s="563"/>
      <c r="R478" s="563"/>
      <c r="S478" s="563"/>
      <c r="T478" s="563"/>
      <c r="U478" s="563"/>
      <c r="V478" s="564"/>
      <c r="W478" s="37" t="s">
        <v>69</v>
      </c>
      <c r="X478" s="543">
        <f>IFERROR(SUM(X476:X476),"0")</f>
        <v>30</v>
      </c>
      <c r="Y478" s="543">
        <f>IFERROR(SUM(Y476:Y476),"0")</f>
        <v>36</v>
      </c>
      <c r="Z478" s="37"/>
      <c r="AA478" s="544"/>
      <c r="AB478" s="544"/>
      <c r="AC478" s="544"/>
    </row>
    <row r="479" spans="1:68" ht="14.25" customHeight="1" x14ac:dyDescent="0.25">
      <c r="A479" s="558" t="s">
        <v>162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customHeight="1" x14ac:dyDescent="0.25">
      <c r="A480" s="54" t="s">
        <v>731</v>
      </c>
      <c r="B480" s="54" t="s">
        <v>732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7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733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734</v>
      </c>
      <c r="B481" s="54" t="s">
        <v>735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5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736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62" t="s">
        <v>71</v>
      </c>
      <c r="Q482" s="563"/>
      <c r="R482" s="563"/>
      <c r="S482" s="563"/>
      <c r="T482" s="563"/>
      <c r="U482" s="563"/>
      <c r="V482" s="564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62" t="s">
        <v>71</v>
      </c>
      <c r="Q483" s="563"/>
      <c r="R483" s="563"/>
      <c r="S483" s="563"/>
      <c r="T483" s="563"/>
      <c r="U483" s="563"/>
      <c r="V483" s="564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59" t="s">
        <v>737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customHeight="1" x14ac:dyDescent="0.25">
      <c r="A485" s="558" t="s">
        <v>134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customHeight="1" x14ac:dyDescent="0.25">
      <c r="A486" s="54" t="s">
        <v>738</v>
      </c>
      <c r="B486" s="54" t="s">
        <v>739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3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740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62" t="s">
        <v>71</v>
      </c>
      <c r="Q487" s="563"/>
      <c r="R487" s="563"/>
      <c r="S487" s="563"/>
      <c r="T487" s="563"/>
      <c r="U487" s="563"/>
      <c r="V487" s="564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62" t="s">
        <v>71</v>
      </c>
      <c r="Q488" s="563"/>
      <c r="R488" s="563"/>
      <c r="S488" s="563"/>
      <c r="T488" s="563"/>
      <c r="U488" s="563"/>
      <c r="V488" s="564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5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6"/>
      <c r="P489" s="632" t="s">
        <v>741</v>
      </c>
      <c r="Q489" s="633"/>
      <c r="R489" s="633"/>
      <c r="S489" s="633"/>
      <c r="T489" s="633"/>
      <c r="U489" s="633"/>
      <c r="V489" s="634"/>
      <c r="W489" s="37" t="s">
        <v>69</v>
      </c>
      <c r="X489" s="543">
        <f>IFERROR(X24+X32+X36+X44+X48+X58+X64+X70+X77+X82+X89+X96+X104+X110+X117+X121+X127+X132+X137+X144+X150+X154+X160+X173+X179+X183+X189+X194+X205+X217+X222+X236+X240+X244+X252+X261+X269+X276+X282+X287+X296+X306+X313+X319+X326+X332+X339+X351+X356+X361+X365+X371+X376+X381+X395+X400+X405+X412+X417+X433+X439+X448+X454+X463+X469+X474+X478+X483+X488,"0")</f>
        <v>6767</v>
      </c>
      <c r="Y489" s="543">
        <f>IFERROR(Y24+Y32+Y36+Y44+Y48+Y58+Y64+Y70+Y77+Y82+Y89+Y96+Y104+Y110+Y117+Y121+Y127+Y132+Y137+Y144+Y150+Y154+Y160+Y173+Y179+Y183+Y189+Y194+Y205+Y217+Y222+Y236+Y240+Y244+Y252+Y261+Y269+Y276+Y282+Y287+Y296+Y306+Y313+Y319+Y326+Y332+Y339+Y351+Y356+Y361+Y365+Y371+Y376+Y381+Y395+Y400+Y405+Y412+Y417+Y433+Y439+Y448+Y454+Y463+Y469+Y474+Y478+Y483+Y488,"0")</f>
        <v>6963.9400000000005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6"/>
      <c r="P490" s="632" t="s">
        <v>742</v>
      </c>
      <c r="Q490" s="633"/>
      <c r="R490" s="633"/>
      <c r="S490" s="633"/>
      <c r="T490" s="633"/>
      <c r="U490" s="633"/>
      <c r="V490" s="634"/>
      <c r="W490" s="37" t="s">
        <v>69</v>
      </c>
      <c r="X490" s="543">
        <f>IFERROR(SUM(BM22:BM486),"0")</f>
        <v>7113.3485041726772</v>
      </c>
      <c r="Y490" s="543">
        <f>IFERROR(SUM(BN22:BN486),"0")</f>
        <v>7321.2979999999961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6"/>
      <c r="P491" s="632" t="s">
        <v>743</v>
      </c>
      <c r="Q491" s="633"/>
      <c r="R491" s="633"/>
      <c r="S491" s="633"/>
      <c r="T491" s="633"/>
      <c r="U491" s="633"/>
      <c r="V491" s="634"/>
      <c r="W491" s="37" t="s">
        <v>744</v>
      </c>
      <c r="X491" s="38">
        <f>ROUNDUP(SUM(BO22:BO486),0)</f>
        <v>12</v>
      </c>
      <c r="Y491" s="38">
        <f>ROUNDUP(SUM(BP22:BP486),0)</f>
        <v>12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6"/>
      <c r="P492" s="632" t="s">
        <v>745</v>
      </c>
      <c r="Q492" s="633"/>
      <c r="R492" s="633"/>
      <c r="S492" s="633"/>
      <c r="T492" s="633"/>
      <c r="U492" s="633"/>
      <c r="V492" s="634"/>
      <c r="W492" s="37" t="s">
        <v>69</v>
      </c>
      <c r="X492" s="543">
        <f>GrossWeightTotal+PalletQtyTotal*25</f>
        <v>7413.3485041726772</v>
      </c>
      <c r="Y492" s="543">
        <f>GrossWeightTotalR+PalletQtyTotalR*25</f>
        <v>7621.2979999999961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6"/>
      <c r="P493" s="632" t="s">
        <v>746</v>
      </c>
      <c r="Q493" s="633"/>
      <c r="R493" s="633"/>
      <c r="S493" s="633"/>
      <c r="T493" s="633"/>
      <c r="U493" s="633"/>
      <c r="V493" s="634"/>
      <c r="W493" s="37" t="s">
        <v>744</v>
      </c>
      <c r="X493" s="543">
        <f>IFERROR(X23+X31+X35+X43+X47+X57+X63+X69+X76+X81+X88+X95+X103+X109+X116+X120+X126+X131+X136+X143+X149+X153+X159+X172+X178+X182+X188+X193+X204+X216+X221+X235+X239+X243+X251+X260+X268+X275+X281+X286+X295+X305+X312+X318+X325+X331+X338+X350+X355+X360+X364+X370+X375+X380+X394+X399+X404+X411+X416+X432+X438+X447+X453+X462+X468+X473+X477+X482+X487,"0")</f>
        <v>1154.423095230482</v>
      </c>
      <c r="Y493" s="543">
        <f>IFERROR(Y23+Y31+Y35+Y43+Y47+Y57+Y63+Y69+Y76+Y81+Y88+Y95+Y103+Y109+Y116+Y120+Y126+Y131+Y136+Y143+Y149+Y153+Y159+Y172+Y178+Y182+Y188+Y193+Y204+Y216+Y221+Y235+Y239+Y243+Y251+Y260+Y268+Y275+Y281+Y286+Y295+Y305+Y312+Y318+Y325+Y331+Y338+Y350+Y355+Y360+Y364+Y370+Y375+Y380+Y394+Y399+Y404+Y411+Y416+Y432+Y438+Y447+Y453+Y462+Y468+Y473+Y477+Y482+Y487,"0")</f>
        <v>1184</v>
      </c>
      <c r="Z493" s="37"/>
      <c r="AA493" s="544"/>
      <c r="AB493" s="544"/>
      <c r="AC493" s="544"/>
    </row>
    <row r="494" spans="1:68" ht="14.25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6"/>
      <c r="P494" s="632" t="s">
        <v>747</v>
      </c>
      <c r="Q494" s="633"/>
      <c r="R494" s="633"/>
      <c r="S494" s="633"/>
      <c r="T494" s="633"/>
      <c r="U494" s="633"/>
      <c r="V494" s="634"/>
      <c r="W494" s="39" t="s">
        <v>748</v>
      </c>
      <c r="X494" s="37"/>
      <c r="Y494" s="37"/>
      <c r="Z494" s="37">
        <f>IFERROR(Z23+Z31+Z35+Z43+Z47+Z57+Z63+Z69+Z76+Z81+Z88+Z95+Z103+Z109+Z116+Z120+Z126+Z131+Z136+Z143+Z149+Z153+Z159+Z172+Z178+Z182+Z188+Z193+Z204+Z216+Z221+Z235+Z239+Z243+Z251+Z260+Z268+Z275+Z281+Z286+Z295+Z305+Z312+Z318+Z325+Z331+Z338+Z350+Z355+Z360+Z364+Z370+Z375+Z380+Z394+Z399+Z404+Z411+Z416+Z432+Z438+Z447+Z453+Z462+Z468+Z473+Z477+Z482+Z487,"0")</f>
        <v>13.29111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749</v>
      </c>
      <c r="B496" s="538" t="s">
        <v>63</v>
      </c>
      <c r="C496" s="593" t="s">
        <v>97</v>
      </c>
      <c r="D496" s="661"/>
      <c r="E496" s="661"/>
      <c r="F496" s="661"/>
      <c r="G496" s="661"/>
      <c r="H496" s="626"/>
      <c r="I496" s="593" t="s">
        <v>255</v>
      </c>
      <c r="J496" s="661"/>
      <c r="K496" s="661"/>
      <c r="L496" s="661"/>
      <c r="M496" s="661"/>
      <c r="N496" s="661"/>
      <c r="O496" s="661"/>
      <c r="P496" s="661"/>
      <c r="Q496" s="661"/>
      <c r="R496" s="626"/>
      <c r="S496" s="593" t="s">
        <v>538</v>
      </c>
      <c r="T496" s="626"/>
      <c r="U496" s="593" t="s">
        <v>590</v>
      </c>
      <c r="V496" s="661"/>
      <c r="W496" s="626"/>
      <c r="X496" s="538" t="s">
        <v>641</v>
      </c>
      <c r="Y496" s="593" t="s">
        <v>701</v>
      </c>
      <c r="Z496" s="626"/>
      <c r="AB496" s="52"/>
      <c r="AC496" s="52"/>
      <c r="AF496" s="539"/>
    </row>
    <row r="497" spans="1:32" ht="14.25" customHeight="1" thickTop="1" x14ac:dyDescent="0.2">
      <c r="A497" s="839" t="s">
        <v>750</v>
      </c>
      <c r="B497" s="593" t="s">
        <v>63</v>
      </c>
      <c r="C497" s="593" t="s">
        <v>98</v>
      </c>
      <c r="D497" s="593" t="s">
        <v>115</v>
      </c>
      <c r="E497" s="593" t="s">
        <v>169</v>
      </c>
      <c r="F497" s="593" t="s">
        <v>188</v>
      </c>
      <c r="G497" s="593" t="s">
        <v>220</v>
      </c>
      <c r="H497" s="593" t="s">
        <v>97</v>
      </c>
      <c r="I497" s="593" t="s">
        <v>256</v>
      </c>
      <c r="J497" s="593" t="s">
        <v>301</v>
      </c>
      <c r="K497" s="593" t="s">
        <v>361</v>
      </c>
      <c r="L497" s="593" t="s">
        <v>403</v>
      </c>
      <c r="M497" s="593" t="s">
        <v>419</v>
      </c>
      <c r="N497" s="539"/>
      <c r="O497" s="593" t="s">
        <v>430</v>
      </c>
      <c r="P497" s="593" t="s">
        <v>439</v>
      </c>
      <c r="Q497" s="593" t="s">
        <v>453</v>
      </c>
      <c r="R497" s="593" t="s">
        <v>528</v>
      </c>
      <c r="S497" s="593" t="s">
        <v>539</v>
      </c>
      <c r="T497" s="593" t="s">
        <v>574</v>
      </c>
      <c r="U497" s="593" t="s">
        <v>591</v>
      </c>
      <c r="V497" s="593" t="s">
        <v>622</v>
      </c>
      <c r="W497" s="593" t="s">
        <v>637</v>
      </c>
      <c r="X497" s="593" t="s">
        <v>641</v>
      </c>
      <c r="Y497" s="593" t="s">
        <v>701</v>
      </c>
      <c r="Z497" s="593" t="s">
        <v>737</v>
      </c>
      <c r="AB497" s="52"/>
      <c r="AC497" s="52"/>
      <c r="AF497" s="539"/>
    </row>
    <row r="498" spans="1:32" ht="13.5" customHeight="1" thickBot="1" x14ac:dyDescent="0.25">
      <c r="A498" s="840"/>
      <c r="B498" s="594"/>
      <c r="C498" s="594"/>
      <c r="D498" s="594"/>
      <c r="E498" s="594"/>
      <c r="F498" s="594"/>
      <c r="G498" s="594"/>
      <c r="H498" s="594"/>
      <c r="I498" s="594"/>
      <c r="J498" s="594"/>
      <c r="K498" s="594"/>
      <c r="L498" s="594"/>
      <c r="M498" s="594"/>
      <c r="N498" s="539"/>
      <c r="O498" s="594"/>
      <c r="P498" s="594"/>
      <c r="Q498" s="594"/>
      <c r="R498" s="594"/>
      <c r="S498" s="594"/>
      <c r="T498" s="594"/>
      <c r="U498" s="594"/>
      <c r="V498" s="594"/>
      <c r="W498" s="594"/>
      <c r="X498" s="594"/>
      <c r="Y498" s="594"/>
      <c r="Z498" s="594"/>
      <c r="AB498" s="52"/>
      <c r="AC498" s="52"/>
      <c r="AF498" s="539"/>
    </row>
    <row r="499" spans="1:32" ht="18" customHeight="1" thickTop="1" thickBot="1" x14ac:dyDescent="0.25">
      <c r="A499" s="40" t="s">
        <v>751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68.8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111.6</v>
      </c>
      <c r="E499" s="46">
        <f>IFERROR(Y85*1,"0")+IFERROR(Y86*1,"0")+IFERROR(Y87*1,"0")+IFERROR(Y91*1,"0")+IFERROR(Y92*1,"0")+IFERROR(Y93*1,"0")+IFERROR(Y94*1,"0")</f>
        <v>333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333.90000000000003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IFERROR(Y140*1,"0")+IFERROR(Y141*1,"0")+IFERROR(Y142*1,"0")+IFERROR(Y146*1,"0")+IFERROR(Y147*1,"0")+IFERROR(Y148*1,"0")+IFERROR(Y152*1,"0")</f>
        <v>0</v>
      </c>
      <c r="I499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180.12000000000003</v>
      </c>
      <c r="J499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1425.6000000000001</v>
      </c>
      <c r="K499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1.98</v>
      </c>
      <c r="L499" s="46">
        <f>IFERROR(Y255*1,"0")+IFERROR(Y256*1,"0")+IFERROR(Y257*1,"0")+IFERROR(Y258*1,"0")+IFERROR(Y259*1,"0")</f>
        <v>0</v>
      </c>
      <c r="M499" s="46">
        <f>IFERROR(Y264*1,"0")+IFERROR(Y265*1,"0")+IFERROR(Y266*1,"0")+IFERROR(Y267*1,"0")</f>
        <v>0</v>
      </c>
      <c r="N499" s="539"/>
      <c r="O499" s="46">
        <f>IFERROR(Y272*1,"0")+IFERROR(Y273*1,"0")+IFERROR(Y274*1,"0")</f>
        <v>40.799999999999997</v>
      </c>
      <c r="P499" s="46">
        <f>IFERROR(Y279*1,"0")+IFERROR(Y280*1,"0")+IFERROR(Y284*1,"0")+IFERROR(Y285*1,"0")</f>
        <v>0</v>
      </c>
      <c r="Q499" s="46">
        <f>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252.89999999999998</v>
      </c>
      <c r="R499" s="46">
        <f>IFERROR(Y335*1,"0")+IFERROR(Y336*1,"0")+IFERROR(Y337*1,"0")</f>
        <v>0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2811</v>
      </c>
      <c r="T499" s="46">
        <f>IFERROR(Y368*1,"0")+IFERROR(Y369*1,"0")+IFERROR(Y373*1,"0")+IFERROR(Y374*1,"0")+IFERROR(Y378*1,"0")+IFERROR(Y379*1,"0")</f>
        <v>405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21.6</v>
      </c>
      <c r="V499" s="46">
        <f>IFERROR(Y403*1,"0")+IFERROR(Y407*1,"0")+IFERROR(Y408*1,"0")+IFERROR(Y409*1,"0")+IFERROR(Y410*1,"0")</f>
        <v>124.2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817.44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36</v>
      </c>
      <c r="Z499" s="46">
        <f>IFERROR(Y486*1,"0")</f>
        <v>0</v>
      </c>
      <c r="AB499" s="52"/>
      <c r="AC499" s="52"/>
      <c r="AF499" s="539"/>
    </row>
  </sheetData>
  <sheetProtection algorithmName="SHA-512" hashValue="Cvaz9tayjPKUu3+mLXd2va571uLxvqaCdmIhI/CX1eUlaky/A3SW2AMeZE+qhK6DPjuWVW0NLzaCR8n8lLi9TA==" saltValue="N6HpzU1QkmihhZd8NijLk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Q497:Q498"/>
    <mergeCell ref="G497:G498"/>
    <mergeCell ref="P296:V296"/>
    <mergeCell ref="I497:I498"/>
    <mergeCell ref="P356:V356"/>
    <mergeCell ref="A468:O469"/>
    <mergeCell ref="P363:T363"/>
    <mergeCell ref="D344:E344"/>
    <mergeCell ref="A479:Z479"/>
    <mergeCell ref="D471:E471"/>
    <mergeCell ref="P373:T373"/>
    <mergeCell ref="P444:T444"/>
    <mergeCell ref="D408:E408"/>
    <mergeCell ref="P124:T124"/>
    <mergeCell ref="D293:E293"/>
    <mergeCell ref="A477:O478"/>
    <mergeCell ref="P76:V76"/>
    <mergeCell ref="A128:Z128"/>
    <mergeCell ref="A268:O269"/>
    <mergeCell ref="A10:C10"/>
    <mergeCell ref="P361:V361"/>
    <mergeCell ref="A413:Z413"/>
    <mergeCell ref="P69:V69"/>
    <mergeCell ref="A21:Z21"/>
    <mergeCell ref="P438:V438"/>
    <mergeCell ref="A355:O356"/>
    <mergeCell ref="D192:E192"/>
    <mergeCell ref="D42:E42"/>
    <mergeCell ref="D17:E18"/>
    <mergeCell ref="P202:T202"/>
    <mergeCell ref="D250:E250"/>
    <mergeCell ref="A188:O189"/>
    <mergeCell ref="X17:X18"/>
    <mergeCell ref="P216:V216"/>
    <mergeCell ref="T497:T498"/>
    <mergeCell ref="D196:E196"/>
    <mergeCell ref="V497:V498"/>
    <mergeCell ref="A440:Z440"/>
    <mergeCell ref="A126:O127"/>
    <mergeCell ref="P294:T294"/>
    <mergeCell ref="P23:V23"/>
    <mergeCell ref="P381:V381"/>
    <mergeCell ref="A206:Z206"/>
    <mergeCell ref="A262:Z262"/>
    <mergeCell ref="A333:Z333"/>
    <mergeCell ref="D54:E54"/>
    <mergeCell ref="P160:V160"/>
    <mergeCell ref="D191:E191"/>
    <mergeCell ref="D458:E458"/>
    <mergeCell ref="P368:T368"/>
    <mergeCell ref="A362:Z362"/>
    <mergeCell ref="A245:Z245"/>
    <mergeCell ref="A489:O494"/>
    <mergeCell ref="P43:V43"/>
    <mergeCell ref="A39:Z39"/>
    <mergeCell ref="P85:T85"/>
    <mergeCell ref="P60:T60"/>
    <mergeCell ref="D291:E291"/>
    <mergeCell ref="A497:A498"/>
    <mergeCell ref="D170:E170"/>
    <mergeCell ref="P132:V132"/>
    <mergeCell ref="P72:T72"/>
    <mergeCell ref="A31:O32"/>
    <mergeCell ref="N17:N18"/>
    <mergeCell ref="D242:E242"/>
    <mergeCell ref="P199:T199"/>
    <mergeCell ref="F17:F18"/>
    <mergeCell ref="P435:T435"/>
    <mergeCell ref="D107:E107"/>
    <mergeCell ref="P291:T291"/>
    <mergeCell ref="D163:E163"/>
    <mergeCell ref="D234:E234"/>
    <mergeCell ref="P305:V305"/>
    <mergeCell ref="P228:T228"/>
    <mergeCell ref="D171:E171"/>
    <mergeCell ref="D336:E336"/>
    <mergeCell ref="P293:T293"/>
    <mergeCell ref="D407:E407"/>
    <mergeCell ref="A149:O150"/>
    <mergeCell ref="A447:O448"/>
    <mergeCell ref="P200:T200"/>
    <mergeCell ref="P134:T134"/>
    <mergeCell ref="P493:V493"/>
    <mergeCell ref="D452:E452"/>
    <mergeCell ref="P371:V371"/>
    <mergeCell ref="P421:T421"/>
    <mergeCell ref="A411:O412"/>
    <mergeCell ref="P408:T40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P436:T436"/>
    <mergeCell ref="A251:O252"/>
    <mergeCell ref="P292:T292"/>
    <mergeCell ref="A360:O361"/>
    <mergeCell ref="A487:O488"/>
    <mergeCell ref="D266:E266"/>
    <mergeCell ref="P410:T410"/>
    <mergeCell ref="P385:T385"/>
    <mergeCell ref="A260:O261"/>
    <mergeCell ref="A484:Z484"/>
    <mergeCell ref="AD17:AF18"/>
    <mergeCell ref="D101:E101"/>
    <mergeCell ref="P117:V117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D152:E152"/>
    <mergeCell ref="P146:T146"/>
    <mergeCell ref="D279:E279"/>
    <mergeCell ref="A136:O137"/>
    <mergeCell ref="A254:Z254"/>
    <mergeCell ref="U497:U498"/>
    <mergeCell ref="P312:V312"/>
    <mergeCell ref="I496:R496"/>
    <mergeCell ref="W497:W498"/>
    <mergeCell ref="A289:Z289"/>
    <mergeCell ref="A23:O24"/>
    <mergeCell ref="D10:E10"/>
    <mergeCell ref="P135:T135"/>
    <mergeCell ref="P191:T191"/>
    <mergeCell ref="D34:E34"/>
    <mergeCell ref="F10:G10"/>
    <mergeCell ref="P349:T349"/>
    <mergeCell ref="D99:E99"/>
    <mergeCell ref="D397:E397"/>
    <mergeCell ref="P376:V376"/>
    <mergeCell ref="P205:V205"/>
    <mergeCell ref="D310:E310"/>
    <mergeCell ref="D430:E430"/>
    <mergeCell ref="P469:V469"/>
    <mergeCell ref="P486:T486"/>
    <mergeCell ref="D450:E450"/>
    <mergeCell ref="P181:T181"/>
    <mergeCell ref="D29:E29"/>
    <mergeCell ref="P344:T344"/>
    <mergeCell ref="P354:T354"/>
    <mergeCell ref="D226:E226"/>
    <mergeCell ref="D164:E164"/>
    <mergeCell ref="P62:T62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D228:E228"/>
    <mergeCell ref="D265:E265"/>
    <mergeCell ref="A20:Z20"/>
    <mergeCell ref="Q5:R5"/>
    <mergeCell ref="Q6:R6"/>
    <mergeCell ref="D102:E102"/>
    <mergeCell ref="P81:V81"/>
    <mergeCell ref="A33:Z33"/>
    <mergeCell ref="V12:W12"/>
    <mergeCell ref="U17:V17"/>
    <mergeCell ref="Y17:Y18"/>
    <mergeCell ref="A8:C8"/>
    <mergeCell ref="P194:V194"/>
    <mergeCell ref="A364:O365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A453:O454"/>
    <mergeCell ref="P494:V494"/>
    <mergeCell ref="P430:T430"/>
    <mergeCell ref="P350:V350"/>
    <mergeCell ref="A297:Z297"/>
    <mergeCell ref="P102:T102"/>
    <mergeCell ref="P189:V189"/>
    <mergeCell ref="A185:Z185"/>
    <mergeCell ref="P196:T196"/>
    <mergeCell ref="P287:V287"/>
    <mergeCell ref="D177:E177"/>
    <mergeCell ref="P281:V281"/>
    <mergeCell ref="L497:L498"/>
    <mergeCell ref="D389:E389"/>
    <mergeCell ref="A318:O319"/>
    <mergeCell ref="P47:V47"/>
    <mergeCell ref="P176:T176"/>
    <mergeCell ref="P247:T247"/>
    <mergeCell ref="P114:T114"/>
    <mergeCell ref="P41:T41"/>
    <mergeCell ref="A157:Z157"/>
    <mergeCell ref="A455:Z455"/>
    <mergeCell ref="D385:E385"/>
    <mergeCell ref="P301:T301"/>
    <mergeCell ref="D257:E257"/>
    <mergeCell ref="P214:T214"/>
    <mergeCell ref="D86:E86"/>
    <mergeCell ref="D213:E213"/>
    <mergeCell ref="A457:Z457"/>
    <mergeCell ref="D321:E321"/>
    <mergeCell ref="P107:T107"/>
    <mergeCell ref="P101:T101"/>
    <mergeCell ref="P63:V63"/>
    <mergeCell ref="P465:T465"/>
    <mergeCell ref="D386:E386"/>
    <mergeCell ref="D215:E215"/>
    <mergeCell ref="A9:C9"/>
    <mergeCell ref="D373:E373"/>
    <mergeCell ref="D202:E202"/>
    <mergeCell ref="P112:T112"/>
    <mergeCell ref="C496:H496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P201:T201"/>
    <mergeCell ref="A35:O36"/>
    <mergeCell ref="AB17:AB18"/>
    <mergeCell ref="A90:Z90"/>
    <mergeCell ref="A283:Z283"/>
    <mergeCell ref="D446:E446"/>
    <mergeCell ref="A277:Z277"/>
    <mergeCell ref="P44:V44"/>
    <mergeCell ref="H5:M5"/>
    <mergeCell ref="P31:V31"/>
    <mergeCell ref="P473:V473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A278:Z278"/>
    <mergeCell ref="P460:T460"/>
    <mergeCell ref="S497:S498"/>
    <mergeCell ref="D428:E428"/>
    <mergeCell ref="P236:V236"/>
    <mergeCell ref="K497:K498"/>
    <mergeCell ref="P40:T40"/>
    <mergeCell ref="M497:M498"/>
    <mergeCell ref="D415:E415"/>
    <mergeCell ref="P394:V394"/>
    <mergeCell ref="P257:T257"/>
    <mergeCell ref="P80:T80"/>
    <mergeCell ref="P173:V173"/>
    <mergeCell ref="A172:O173"/>
    <mergeCell ref="D441:E441"/>
    <mergeCell ref="P398:T398"/>
    <mergeCell ref="P227:T227"/>
    <mergeCell ref="D368:E368"/>
    <mergeCell ref="P106:T106"/>
    <mergeCell ref="P177:T177"/>
    <mergeCell ref="D481:E481"/>
    <mergeCell ref="P226:T226"/>
    <mergeCell ref="P335:T335"/>
    <mergeCell ref="D256:E256"/>
    <mergeCell ref="D207:E207"/>
    <mergeCell ref="P164:T164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A224:Z224"/>
    <mergeCell ref="P108:T108"/>
    <mergeCell ref="A235:O236"/>
    <mergeCell ref="P343:T343"/>
    <mergeCell ref="A288:Z288"/>
    <mergeCell ref="P256:T256"/>
    <mergeCell ref="D199:E199"/>
    <mergeCell ref="A59:Z59"/>
    <mergeCell ref="D435:E435"/>
    <mergeCell ref="A404:O405"/>
    <mergeCell ref="P274:T274"/>
    <mergeCell ref="P345:T345"/>
    <mergeCell ref="D186:E186"/>
    <mergeCell ref="A462:O463"/>
    <mergeCell ref="P22:T22"/>
    <mergeCell ref="P483:V483"/>
    <mergeCell ref="D298:E298"/>
    <mergeCell ref="D181:E181"/>
    <mergeCell ref="A221:O222"/>
    <mergeCell ref="P91:T91"/>
    <mergeCell ref="P404:V404"/>
    <mergeCell ref="A286:O287"/>
    <mergeCell ref="D273:E273"/>
    <mergeCell ref="P252:V252"/>
    <mergeCell ref="P468:V468"/>
    <mergeCell ref="A464:Z464"/>
    <mergeCell ref="P212:T212"/>
    <mergeCell ref="P120:V120"/>
    <mergeCell ref="P93:T93"/>
    <mergeCell ref="D299:E299"/>
    <mergeCell ref="P405:V405"/>
    <mergeCell ref="A401:Z401"/>
    <mergeCell ref="P121:V121"/>
    <mergeCell ref="D459:E459"/>
    <mergeCell ref="P130:T130"/>
    <mergeCell ref="A271:Z271"/>
    <mergeCell ref="P240:V240"/>
    <mergeCell ref="P482:V482"/>
    <mergeCell ref="D225:E225"/>
    <mergeCell ref="P459:T459"/>
    <mergeCell ref="D465:E465"/>
    <mergeCell ref="D198:E198"/>
    <mergeCell ref="P275:V275"/>
    <mergeCell ref="P104:V104"/>
    <mergeCell ref="D427:E427"/>
    <mergeCell ref="P27:T27"/>
    <mergeCell ref="D75:E75"/>
    <mergeCell ref="P390:T390"/>
    <mergeCell ref="D85:E85"/>
    <mergeCell ref="P57:V57"/>
    <mergeCell ref="A81:O82"/>
    <mergeCell ref="D80:E80"/>
    <mergeCell ref="P46:T46"/>
    <mergeCell ref="P409:T409"/>
    <mergeCell ref="A399:O400"/>
    <mergeCell ref="D461:E461"/>
    <mergeCell ref="P61:T61"/>
    <mergeCell ref="D200:E200"/>
    <mergeCell ref="P359:T359"/>
    <mergeCell ref="A178:O179"/>
    <mergeCell ref="D436:E436"/>
    <mergeCell ref="A305:O306"/>
    <mergeCell ref="P346:T346"/>
    <mergeCell ref="C497:C498"/>
    <mergeCell ref="D285:E285"/>
    <mergeCell ref="D176:E176"/>
    <mergeCell ref="E497:E498"/>
    <mergeCell ref="D114:E114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150:V150"/>
    <mergeCell ref="P221:V221"/>
    <mergeCell ref="P326:V326"/>
    <mergeCell ref="P393:T393"/>
    <mergeCell ref="D374:E374"/>
    <mergeCell ref="D203:E203"/>
    <mergeCell ref="P232:T232"/>
    <mergeCell ref="P330:T330"/>
    <mergeCell ref="D140:E140"/>
    <mergeCell ref="P446:T446"/>
    <mergeCell ref="J9:M9"/>
    <mergeCell ref="A418:Z418"/>
    <mergeCell ref="D112:E112"/>
    <mergeCell ref="D348:E348"/>
    <mergeCell ref="P141:T141"/>
    <mergeCell ref="P454:V454"/>
    <mergeCell ref="D62:E62"/>
    <mergeCell ref="D56:E56"/>
    <mergeCell ref="P233:T233"/>
    <mergeCell ref="D347:E347"/>
    <mergeCell ref="P304:T304"/>
    <mergeCell ref="A38:Z38"/>
    <mergeCell ref="D267:E267"/>
    <mergeCell ref="A340:Z340"/>
    <mergeCell ref="D425:E425"/>
    <mergeCell ref="D359:E359"/>
    <mergeCell ref="H17:H18"/>
    <mergeCell ref="P388:T388"/>
    <mergeCell ref="V6:W9"/>
    <mergeCell ref="Z17:Z18"/>
    <mergeCell ref="G17:G18"/>
    <mergeCell ref="D292:E292"/>
    <mergeCell ref="A243:O244"/>
    <mergeCell ref="P51:T51"/>
    <mergeCell ref="P26:T26"/>
    <mergeCell ref="P324:T324"/>
    <mergeCell ref="A143:O144"/>
    <mergeCell ref="P338:V338"/>
    <mergeCell ref="P313:V313"/>
    <mergeCell ref="A138:Z138"/>
    <mergeCell ref="P58:V58"/>
    <mergeCell ref="A13:M13"/>
    <mergeCell ref="P244:V244"/>
    <mergeCell ref="P115:T115"/>
    <mergeCell ref="D61:E61"/>
    <mergeCell ref="A15:M15"/>
    <mergeCell ref="P238:T238"/>
    <mergeCell ref="A88:O89"/>
    <mergeCell ref="P229:T229"/>
    <mergeCell ref="A153:O154"/>
    <mergeCell ref="A133:Z133"/>
    <mergeCell ref="D125:E125"/>
    <mergeCell ref="D227:E227"/>
    <mergeCell ref="P321:T321"/>
    <mergeCell ref="P125:T125"/>
    <mergeCell ref="D22:E22"/>
    <mergeCell ref="P34:T34"/>
    <mergeCell ref="T5:U5"/>
    <mergeCell ref="D119:E119"/>
    <mergeCell ref="V5:W5"/>
    <mergeCell ref="P374:T374"/>
    <mergeCell ref="D246:E246"/>
    <mergeCell ref="P203:T203"/>
    <mergeCell ref="D46:E46"/>
    <mergeCell ref="D40:E40"/>
    <mergeCell ref="A295:O296"/>
    <mergeCell ref="D233:E233"/>
    <mergeCell ref="Q8:R8"/>
    <mergeCell ref="P311:T311"/>
    <mergeCell ref="P140:T140"/>
    <mergeCell ref="P267:T267"/>
    <mergeCell ref="D248:E248"/>
    <mergeCell ref="D219:E219"/>
    <mergeCell ref="T6:U9"/>
    <mergeCell ref="P319:V319"/>
    <mergeCell ref="Q10:R10"/>
    <mergeCell ref="D41:E41"/>
    <mergeCell ref="P318:V318"/>
    <mergeCell ref="A37:Z37"/>
    <mergeCell ref="P149:V149"/>
    <mergeCell ref="A145:Z145"/>
    <mergeCell ref="A19:Z19"/>
    <mergeCell ref="P310:T310"/>
    <mergeCell ref="D497:D498"/>
    <mergeCell ref="D480:E480"/>
    <mergeCell ref="D280:E280"/>
    <mergeCell ref="F497:F498"/>
    <mergeCell ref="P163:T163"/>
    <mergeCell ref="A111:Z111"/>
    <mergeCell ref="A14:M14"/>
    <mergeCell ref="D467:E467"/>
    <mergeCell ref="P424:T424"/>
    <mergeCell ref="D345:E345"/>
    <mergeCell ref="D409:E409"/>
    <mergeCell ref="D444:E444"/>
    <mergeCell ref="P425:T425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D130:E130"/>
    <mergeCell ref="Z497:Z498"/>
    <mergeCell ref="A263:Z263"/>
    <mergeCell ref="P264:T264"/>
    <mergeCell ref="P68:T68"/>
    <mergeCell ref="A312:O313"/>
    <mergeCell ref="P353:T353"/>
    <mergeCell ref="D169:E169"/>
    <mergeCell ref="P204:V204"/>
    <mergeCell ref="P82:V82"/>
    <mergeCell ref="P303:T303"/>
    <mergeCell ref="A357:Z357"/>
    <mergeCell ref="D330:E330"/>
    <mergeCell ref="A98:Z98"/>
    <mergeCell ref="A396:Z396"/>
    <mergeCell ref="P306:V306"/>
    <mergeCell ref="P110:V110"/>
    <mergeCell ref="A338:O339"/>
    <mergeCell ref="P208:T208"/>
    <mergeCell ref="P450:T450"/>
    <mergeCell ref="A325:O326"/>
    <mergeCell ref="A275:O276"/>
    <mergeCell ref="P219:T219"/>
    <mergeCell ref="D162:E162"/>
    <mergeCell ref="D91:E91"/>
    <mergeCell ref="P491:V491"/>
    <mergeCell ref="P127:V127"/>
    <mergeCell ref="A5:C5"/>
    <mergeCell ref="P412:V412"/>
    <mergeCell ref="A237:Z237"/>
    <mergeCell ref="P64:V64"/>
    <mergeCell ref="A485:Z485"/>
    <mergeCell ref="A174:Z174"/>
    <mergeCell ref="D337:E337"/>
    <mergeCell ref="D166:E166"/>
    <mergeCell ref="A118:Z118"/>
    <mergeCell ref="P364:V364"/>
    <mergeCell ref="P300:T300"/>
    <mergeCell ref="A17:A18"/>
    <mergeCell ref="C17:C18"/>
    <mergeCell ref="K17:K18"/>
    <mergeCell ref="P431:T431"/>
    <mergeCell ref="P358:T358"/>
    <mergeCell ref="D230:E230"/>
    <mergeCell ref="P380:V380"/>
    <mergeCell ref="D168:E168"/>
    <mergeCell ref="D466:E466"/>
    <mergeCell ref="P66:T66"/>
    <mergeCell ref="D9:E9"/>
    <mergeCell ref="U496:W496"/>
    <mergeCell ref="D113:E113"/>
    <mergeCell ref="P167:T167"/>
    <mergeCell ref="P142:T142"/>
    <mergeCell ref="A161:Z161"/>
    <mergeCell ref="D148:E148"/>
    <mergeCell ref="D26:E26"/>
    <mergeCell ref="P403:T403"/>
    <mergeCell ref="P378:T378"/>
    <mergeCell ref="D324:E324"/>
    <mergeCell ref="D311:E311"/>
    <mergeCell ref="D115:E115"/>
    <mergeCell ref="P55:T55"/>
    <mergeCell ref="P417:V417"/>
    <mergeCell ref="P480:T480"/>
    <mergeCell ref="P280:T280"/>
    <mergeCell ref="P169:T169"/>
    <mergeCell ref="P467:T467"/>
    <mergeCell ref="P442:T442"/>
    <mergeCell ref="P489:V489"/>
    <mergeCell ref="D388:E388"/>
    <mergeCell ref="P119:T119"/>
    <mergeCell ref="P183:V183"/>
    <mergeCell ref="P246:T246"/>
    <mergeCell ref="P497:P498"/>
    <mergeCell ref="A402:Z402"/>
    <mergeCell ref="D229:E229"/>
    <mergeCell ref="R497:R498"/>
    <mergeCell ref="D158:E158"/>
    <mergeCell ref="P187:T187"/>
    <mergeCell ref="D108:E108"/>
    <mergeCell ref="P429:T429"/>
    <mergeCell ref="P258:T258"/>
    <mergeCell ref="D369:E369"/>
    <mergeCell ref="P423:T423"/>
    <mergeCell ref="A182:O183"/>
    <mergeCell ref="P481:T481"/>
    <mergeCell ref="D141:E141"/>
    <mergeCell ref="D135:E135"/>
    <mergeCell ref="P295:V295"/>
    <mergeCell ref="P178:V178"/>
    <mergeCell ref="P276:V276"/>
    <mergeCell ref="D421:E421"/>
    <mergeCell ref="P463:V463"/>
    <mergeCell ref="D451:E451"/>
    <mergeCell ref="D255:E255"/>
    <mergeCell ref="P478:V478"/>
    <mergeCell ref="O497:O498"/>
    <mergeCell ref="P490:V490"/>
    <mergeCell ref="P426:T426"/>
    <mergeCell ref="P255:T255"/>
    <mergeCell ref="A342:Z342"/>
    <mergeCell ref="P192:T192"/>
    <mergeCell ref="A382:Z382"/>
    <mergeCell ref="A116:O117"/>
    <mergeCell ref="P428:T428"/>
    <mergeCell ref="D100:E100"/>
    <mergeCell ref="P284:T284"/>
    <mergeCell ref="P113:T113"/>
    <mergeCell ref="P129:T129"/>
    <mergeCell ref="P250:T250"/>
    <mergeCell ref="A482:O483"/>
    <mergeCell ref="A416:O417"/>
    <mergeCell ref="D329:E329"/>
    <mergeCell ref="D322:E322"/>
    <mergeCell ref="D309:E309"/>
    <mergeCell ref="D390:E390"/>
    <mergeCell ref="A123:Z123"/>
    <mergeCell ref="P197:T197"/>
    <mergeCell ref="D167:E167"/>
    <mergeCell ref="P422:T422"/>
    <mergeCell ref="D403:E403"/>
    <mergeCell ref="D1:F1"/>
    <mergeCell ref="P466:T466"/>
    <mergeCell ref="A71:Z71"/>
    <mergeCell ref="P488:V488"/>
    <mergeCell ref="A307:Z307"/>
    <mergeCell ref="P282:V282"/>
    <mergeCell ref="J17:J18"/>
    <mergeCell ref="L17:L18"/>
    <mergeCell ref="A184:Z184"/>
    <mergeCell ref="P48:V48"/>
    <mergeCell ref="P17:T18"/>
    <mergeCell ref="P52:T52"/>
    <mergeCell ref="I17:I18"/>
    <mergeCell ref="D72:E72"/>
    <mergeCell ref="Q9:R9"/>
    <mergeCell ref="P36:V36"/>
    <mergeCell ref="Q11:R11"/>
    <mergeCell ref="A97:Z97"/>
    <mergeCell ref="A6:C6"/>
    <mergeCell ref="Q12:R12"/>
    <mergeCell ref="A43:O44"/>
    <mergeCell ref="F9:G9"/>
    <mergeCell ref="P53:T53"/>
    <mergeCell ref="D232:E232"/>
    <mergeCell ref="X497:X498"/>
    <mergeCell ref="D354:E354"/>
    <mergeCell ref="A475:Z475"/>
    <mergeCell ref="P269:V269"/>
    <mergeCell ref="A45:Z45"/>
    <mergeCell ref="P462:V462"/>
    <mergeCell ref="P35:V35"/>
    <mergeCell ref="P399:V399"/>
    <mergeCell ref="D316:E316"/>
    <mergeCell ref="P273:T273"/>
    <mergeCell ref="Y496:Z496"/>
    <mergeCell ref="D443:E443"/>
    <mergeCell ref="D387:E387"/>
    <mergeCell ref="D272:E272"/>
    <mergeCell ref="A218:Z218"/>
    <mergeCell ref="D210:E210"/>
    <mergeCell ref="D308:E308"/>
    <mergeCell ref="P337:T337"/>
    <mergeCell ref="D209:E209"/>
    <mergeCell ref="P188:V188"/>
    <mergeCell ref="P166:T166"/>
    <mergeCell ref="D147:E147"/>
    <mergeCell ref="D445:E445"/>
    <mergeCell ref="D274:E274"/>
    <mergeCell ref="D5:E5"/>
    <mergeCell ref="D303:E303"/>
    <mergeCell ref="P42:T42"/>
    <mergeCell ref="D290:E290"/>
    <mergeCell ref="D94:E94"/>
    <mergeCell ref="P471:T471"/>
    <mergeCell ref="P259:T259"/>
    <mergeCell ref="P148:T148"/>
    <mergeCell ref="A109:O110"/>
    <mergeCell ref="A47:O48"/>
    <mergeCell ref="D301:E301"/>
    <mergeCell ref="D87:E87"/>
    <mergeCell ref="A105:Z105"/>
    <mergeCell ref="P230:T230"/>
    <mergeCell ref="D211:E211"/>
    <mergeCell ref="P168:T168"/>
    <mergeCell ref="D52:E52"/>
    <mergeCell ref="D27:E27"/>
    <mergeCell ref="P15:T16"/>
    <mergeCell ref="P272:T272"/>
    <mergeCell ref="D460:E460"/>
    <mergeCell ref="P210:T210"/>
    <mergeCell ref="P439:V439"/>
    <mergeCell ref="D398:E398"/>
    <mergeCell ref="D28:E28"/>
    <mergeCell ref="P476:T476"/>
    <mergeCell ref="P171:T171"/>
    <mergeCell ref="A239:O240"/>
    <mergeCell ref="P242:T242"/>
    <mergeCell ref="A95:O96"/>
    <mergeCell ref="D353:E353"/>
    <mergeCell ref="P407:T407"/>
    <mergeCell ref="D92:E92"/>
    <mergeCell ref="D55:E55"/>
    <mergeCell ref="D67:E67"/>
    <mergeCell ref="D30:E30"/>
    <mergeCell ref="A438:O439"/>
    <mergeCell ref="P433:V433"/>
    <mergeCell ref="P308:T308"/>
    <mergeCell ref="A69:O70"/>
    <mergeCell ref="D106:E106"/>
    <mergeCell ref="P427:T427"/>
    <mergeCell ref="D264:E264"/>
    <mergeCell ref="D93:E93"/>
    <mergeCell ref="D391:E391"/>
    <mergeCell ref="D220:E220"/>
    <mergeCell ref="P370:V370"/>
    <mergeCell ref="A394:O395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A159:O160"/>
    <mergeCell ref="P29:T29"/>
    <mergeCell ref="P100:T100"/>
    <mergeCell ref="P265:T265"/>
    <mergeCell ref="P94:T94"/>
    <mergeCell ref="D379:E379"/>
    <mergeCell ref="D208:E208"/>
    <mergeCell ref="D8:M8"/>
    <mergeCell ref="D300:E300"/>
    <mergeCell ref="P329:T329"/>
    <mergeCell ref="P158:T158"/>
    <mergeCell ref="P251:V251"/>
    <mergeCell ref="P416:V416"/>
    <mergeCell ref="A241:Z241"/>
    <mergeCell ref="P266:T266"/>
    <mergeCell ref="P182:V182"/>
    <mergeCell ref="H497:H498"/>
    <mergeCell ref="A473:O474"/>
    <mergeCell ref="P159:V159"/>
    <mergeCell ref="J497:J498"/>
    <mergeCell ref="P395:V395"/>
    <mergeCell ref="P209:T209"/>
    <mergeCell ref="P147:T147"/>
    <mergeCell ref="P445:T445"/>
    <mergeCell ref="A434:Z434"/>
    <mergeCell ref="A193:O194"/>
    <mergeCell ref="P261:V261"/>
    <mergeCell ref="P332:V332"/>
    <mergeCell ref="P217:V217"/>
    <mergeCell ref="A384:Z384"/>
    <mergeCell ref="A331:O332"/>
    <mergeCell ref="A151:Z151"/>
    <mergeCell ref="A449:Z449"/>
    <mergeCell ref="P234:T234"/>
    <mergeCell ref="P325:V325"/>
    <mergeCell ref="P154:V154"/>
    <mergeCell ref="D378:E378"/>
    <mergeCell ref="P458:T458"/>
    <mergeCell ref="P487:V487"/>
    <mergeCell ref="A366:Z366"/>
    <mergeCell ref="B17:B18"/>
    <mergeCell ref="P143:V143"/>
    <mergeCell ref="D258:E258"/>
    <mergeCell ref="P235:V235"/>
    <mergeCell ref="P477:V477"/>
    <mergeCell ref="D124:E124"/>
    <mergeCell ref="P56:T56"/>
    <mergeCell ref="V10:W10"/>
    <mergeCell ref="P379:T379"/>
    <mergeCell ref="D431:E431"/>
    <mergeCell ref="P99:T99"/>
    <mergeCell ref="P170:T170"/>
    <mergeCell ref="P316:T316"/>
    <mergeCell ref="D66:E66"/>
    <mergeCell ref="P443:T443"/>
    <mergeCell ref="D197:E197"/>
    <mergeCell ref="D53:E53"/>
    <mergeCell ref="A84:Z84"/>
    <mergeCell ref="P96:V96"/>
    <mergeCell ref="A50:Z50"/>
    <mergeCell ref="W17:W18"/>
    <mergeCell ref="D142:E142"/>
    <mergeCell ref="A120:O121"/>
    <mergeCell ref="D129:E129"/>
    <mergeCell ref="R1:T1"/>
    <mergeCell ref="P28:T28"/>
    <mergeCell ref="P392:T392"/>
    <mergeCell ref="P386:T386"/>
    <mergeCell ref="P215:T215"/>
    <mergeCell ref="P165:T165"/>
    <mergeCell ref="P400:V400"/>
    <mergeCell ref="P152:T152"/>
    <mergeCell ref="P77:V77"/>
    <mergeCell ref="P375:V375"/>
    <mergeCell ref="P179:V179"/>
    <mergeCell ref="P30:T30"/>
    <mergeCell ref="P290:T290"/>
    <mergeCell ref="H1:Q1"/>
    <mergeCell ref="P109:V109"/>
    <mergeCell ref="P222:V222"/>
    <mergeCell ref="P193:V193"/>
    <mergeCell ref="A195:Z195"/>
    <mergeCell ref="D328:E328"/>
    <mergeCell ref="P285:T285"/>
    <mergeCell ref="P136:V136"/>
    <mergeCell ref="A253:Z253"/>
    <mergeCell ref="A12:M12"/>
    <mergeCell ref="P355:V355"/>
    <mergeCell ref="D486:E486"/>
    <mergeCell ref="A216:O217"/>
    <mergeCell ref="P86:T86"/>
    <mergeCell ref="P328:T328"/>
    <mergeCell ref="P213:T213"/>
    <mergeCell ref="A281:O282"/>
    <mergeCell ref="D134:E134"/>
    <mergeCell ref="P249:T249"/>
    <mergeCell ref="D363:E363"/>
    <mergeCell ref="P452:T452"/>
    <mergeCell ref="P448:V448"/>
    <mergeCell ref="D214:E214"/>
    <mergeCell ref="D284:E284"/>
    <mergeCell ref="D259:E259"/>
    <mergeCell ref="A180:Z180"/>
    <mergeCell ref="D343:E343"/>
    <mergeCell ref="P397:T397"/>
    <mergeCell ref="P243:V243"/>
    <mergeCell ref="A190:Z190"/>
    <mergeCell ref="P87:T87"/>
    <mergeCell ref="P451:T451"/>
    <mergeCell ref="D335:E335"/>
    <mergeCell ref="A470:Z470"/>
    <mergeCell ref="A375:O376"/>
    <mergeCell ref="D472:E472"/>
    <mergeCell ref="A352:Z352"/>
    <mergeCell ref="D410:E410"/>
    <mergeCell ref="A83:Z83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88:V88"/>
    <mergeCell ref="A78:Z78"/>
    <mergeCell ref="P153:V153"/>
    <mergeCell ref="A350:O351"/>
    <mergeCell ref="P391:T391"/>
    <mergeCell ref="P220:T220"/>
    <mergeCell ref="A65:Z65"/>
    <mergeCell ref="D238:E238"/>
    <mergeCell ref="D426:E426"/>
    <mergeCell ref="D73:E73"/>
    <mergeCell ref="P79:T79"/>
    <mergeCell ref="D60:E60"/>
    <mergeCell ref="P73:T73"/>
    <mergeCell ref="P437:T437"/>
    <mergeCell ref="P315:T315"/>
    <mergeCell ref="D187:E187"/>
    <mergeCell ref="P231:T231"/>
    <mergeCell ref="A432:O433"/>
    <mergeCell ref="D423:E423"/>
    <mergeCell ref="P302:T302"/>
    <mergeCell ref="A76:O77"/>
    <mergeCell ref="A63:O64"/>
    <mergeCell ref="P74:T74"/>
    <mergeCell ref="A204:O205"/>
    <mergeCell ref="D201:E201"/>
    <mergeCell ref="P126:V126"/>
    <mergeCell ref="D68:E68"/>
    <mergeCell ref="D424:E424"/>
    <mergeCell ref="P322:T322"/>
    <mergeCell ref="P211:T211"/>
    <mergeCell ref="P309:T309"/>
    <mergeCell ref="A367:Z367"/>
    <mergeCell ref="D346:E346"/>
    <mergeCell ref="A419:Z419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disablePrompts="1"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85 X91 X99 X101 X112 X114 X163 X165:X166 X196:X197 X199 X210 X212:X215 X273:X274 X316 X343:X345 X353 X378 X385 X407 X423 X426 X435 X441:X443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SVH7mirzhKzzYQyWUGannvBPrx/FyqbwSgMMUnmXJoUprgYB3wuWvehT4/eO9xTQ/y727r5k7URvGabNnhiuRg==" saltValue="BNp/BcbchzKhR78Ojlmi5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2025-11-14T08:14:56Z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