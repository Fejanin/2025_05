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2 машина на 17,11 Луганск_ПРС(ЛП)_Горняк(Горловка_Луганск)\"/>
    </mc:Choice>
  </mc:AlternateContent>
  <xr:revisionPtr revIDLastSave="0" documentId="13_ncr:1_{7A2A4E26-DD87-425D-BE5A-BC0CDB3C2A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Y470" i="1" s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Y356" i="1" s="1"/>
  <c r="P354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Y313" i="1" s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1" i="1" s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3" i="1" s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500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500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90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4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2" i="1"/>
  <c r="Y178" i="1"/>
  <c r="Y189" i="1"/>
  <c r="Y193" i="1"/>
  <c r="Y205" i="1"/>
  <c r="Y217" i="1"/>
  <c r="Y221" i="1"/>
  <c r="Y236" i="1"/>
  <c r="Y240" i="1"/>
  <c r="Y244" i="1"/>
  <c r="Y252" i="1"/>
  <c r="Y261" i="1"/>
  <c r="M500" i="1"/>
  <c r="Y269" i="1"/>
  <c r="BP264" i="1"/>
  <c r="Y268" i="1"/>
  <c r="BP273" i="1"/>
  <c r="BN273" i="1"/>
  <c r="Z273" i="1"/>
  <c r="Z275" i="1" s="1"/>
  <c r="BP292" i="1"/>
  <c r="BN292" i="1"/>
  <c r="Z292" i="1"/>
  <c r="Y296" i="1"/>
  <c r="BP300" i="1"/>
  <c r="BN300" i="1"/>
  <c r="Z300" i="1"/>
  <c r="Z306" i="1" s="1"/>
  <c r="BP304" i="1"/>
  <c r="BN304" i="1"/>
  <c r="Z304" i="1"/>
  <c r="BP312" i="1"/>
  <c r="BN312" i="1"/>
  <c r="Z312" i="1"/>
  <c r="Y314" i="1"/>
  <c r="Y319" i="1"/>
  <c r="BP316" i="1"/>
  <c r="BN316" i="1"/>
  <c r="Z316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BP346" i="1"/>
  <c r="BN346" i="1"/>
  <c r="Z346" i="1"/>
  <c r="BP349" i="1"/>
  <c r="BN349" i="1"/>
  <c r="Z349" i="1"/>
  <c r="BP370" i="1"/>
  <c r="BN370" i="1"/>
  <c r="Z370" i="1"/>
  <c r="Z371" i="1" s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Z412" i="1" s="1"/>
  <c r="BP424" i="1"/>
  <c r="BN424" i="1"/>
  <c r="Z424" i="1"/>
  <c r="BP460" i="1"/>
  <c r="BN460" i="1"/>
  <c r="Z460" i="1"/>
  <c r="Z463" i="1" s="1"/>
  <c r="Y464" i="1"/>
  <c r="H9" i="1"/>
  <c r="B500" i="1"/>
  <c r="X491" i="1"/>
  <c r="X493" i="1" s="1"/>
  <c r="X492" i="1"/>
  <c r="X494" i="1"/>
  <c r="Y24" i="1"/>
  <c r="Z27" i="1"/>
  <c r="Z31" i="1" s="1"/>
  <c r="BN27" i="1"/>
  <c r="Y491" i="1" s="1"/>
  <c r="Z29" i="1"/>
  <c r="BN29" i="1"/>
  <c r="C500" i="1"/>
  <c r="Z41" i="1"/>
  <c r="Z43" i="1" s="1"/>
  <c r="BN41" i="1"/>
  <c r="Y44" i="1"/>
  <c r="D500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2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500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500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500" i="1"/>
  <c r="Y160" i="1"/>
  <c r="Z162" i="1"/>
  <c r="Z172" i="1" s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Z188" i="1" s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Z216" i="1" s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Z235" i="1" s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Z251" i="1" s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6" i="1"/>
  <c r="BN266" i="1"/>
  <c r="Z266" i="1"/>
  <c r="Y275" i="1"/>
  <c r="BP280" i="1"/>
  <c r="BN280" i="1"/>
  <c r="Z280" i="1"/>
  <c r="Z281" i="1" s="1"/>
  <c r="Y282" i="1"/>
  <c r="BP285" i="1"/>
  <c r="BN285" i="1"/>
  <c r="Z285" i="1"/>
  <c r="Z286" i="1" s="1"/>
  <c r="Y287" i="1"/>
  <c r="Q500" i="1"/>
  <c r="Y297" i="1"/>
  <c r="BP290" i="1"/>
  <c r="BN290" i="1"/>
  <c r="Z290" i="1"/>
  <c r="BP294" i="1"/>
  <c r="BN294" i="1"/>
  <c r="Z294" i="1"/>
  <c r="Y307" i="1"/>
  <c r="BP302" i="1"/>
  <c r="BN302" i="1"/>
  <c r="Z302" i="1"/>
  <c r="Y306" i="1"/>
  <c r="BP310" i="1"/>
  <c r="BN310" i="1"/>
  <c r="Z310" i="1"/>
  <c r="Z313" i="1" s="1"/>
  <c r="BP318" i="1"/>
  <c r="BN318" i="1"/>
  <c r="Z318" i="1"/>
  <c r="Y320" i="1"/>
  <c r="Y326" i="1"/>
  <c r="BP322" i="1"/>
  <c r="BN322" i="1"/>
  <c r="Z322" i="1"/>
  <c r="Z326" i="1" s="1"/>
  <c r="BP325" i="1"/>
  <c r="BN325" i="1"/>
  <c r="Z325" i="1"/>
  <c r="Y327" i="1"/>
  <c r="Y332" i="1"/>
  <c r="BP329" i="1"/>
  <c r="BN329" i="1"/>
  <c r="Z329" i="1"/>
  <c r="Z332" i="1" s="1"/>
  <c r="BP338" i="1"/>
  <c r="BN338" i="1"/>
  <c r="Z338" i="1"/>
  <c r="Y340" i="1"/>
  <c r="S500" i="1"/>
  <c r="Y352" i="1"/>
  <c r="BP344" i="1"/>
  <c r="BN344" i="1"/>
  <c r="Z344" i="1"/>
  <c r="BP347" i="1"/>
  <c r="BN347" i="1"/>
  <c r="Z347" i="1"/>
  <c r="Y351" i="1"/>
  <c r="BP355" i="1"/>
  <c r="BN355" i="1"/>
  <c r="Z355" i="1"/>
  <c r="Z356" i="1" s="1"/>
  <c r="Y357" i="1"/>
  <c r="Y362" i="1"/>
  <c r="BP359" i="1"/>
  <c r="BN359" i="1"/>
  <c r="Z359" i="1"/>
  <c r="Z361" i="1" s="1"/>
  <c r="Y376" i="1"/>
  <c r="BP380" i="1"/>
  <c r="BN380" i="1"/>
  <c r="Z380" i="1"/>
  <c r="Z381" i="1" s="1"/>
  <c r="Y382" i="1"/>
  <c r="U50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BP468" i="1"/>
  <c r="BN468" i="1"/>
  <c r="Z468" i="1"/>
  <c r="Y475" i="1"/>
  <c r="BP472" i="1"/>
  <c r="BN472" i="1"/>
  <c r="Z472" i="1"/>
  <c r="Z474" i="1" s="1"/>
  <c r="O500" i="1"/>
  <c r="Y276" i="1"/>
  <c r="P500" i="1"/>
  <c r="Y281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Y489" i="1"/>
  <c r="Y500" i="1"/>
  <c r="Z487" i="1"/>
  <c r="Z488" i="1" s="1"/>
  <c r="BN487" i="1"/>
  <c r="BP487" i="1"/>
  <c r="Y488" i="1"/>
  <c r="Y493" i="1" l="1"/>
  <c r="Z339" i="1"/>
  <c r="Z319" i="1"/>
  <c r="Z448" i="1"/>
  <c r="Z433" i="1"/>
  <c r="Z395" i="1"/>
  <c r="Z351" i="1"/>
  <c r="Z296" i="1"/>
  <c r="Z268" i="1"/>
  <c r="Z260" i="1"/>
  <c r="Z149" i="1"/>
  <c r="Z143" i="1"/>
  <c r="Z116" i="1"/>
  <c r="Z95" i="1"/>
  <c r="Z88" i="1"/>
  <c r="Z69" i="1"/>
  <c r="Z495" i="1" s="1"/>
  <c r="Y490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<sst xmlns="http://schemas.openxmlformats.org/spreadsheetml/2006/main" count="2349" uniqueCount="770">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</sst>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4" t="s">
        <v>0</v>
      </c>
      <c r="E1" s="570"/>
      <c r="F1" s="570"/>
      <c r="G1" s="12" t="s">
        <v>1</v>
      </c>
      <c r="H1" s="79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48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1" t="s">
        <v>8</v>
      </c>
      <c r="B5" s="599"/>
      <c r="C5" s="577"/>
      <c r="D5" s="659"/>
      <c r="E5" s="661"/>
      <c r="F5" s="609" t="s">
        <v>9</v>
      </c>
      <c r="G5" s="577"/>
      <c r="H5" s="659"/>
      <c r="I5" s="660"/>
      <c r="J5" s="660"/>
      <c r="K5" s="660"/>
      <c r="L5" s="660"/>
      <c r="M5" s="661"/>
      <c r="N5" s="58"/>
      <c r="P5" s="24" t="s">
        <v>10</v>
      </c>
      <c r="Q5" s="578">
        <v>45981</v>
      </c>
      <c r="R5" s="579"/>
      <c r="T5" s="730" t="s">
        <v>11</v>
      </c>
      <c r="U5" s="724"/>
      <c r="V5" s="731" t="s">
        <v>12</v>
      </c>
      <c r="W5" s="579"/>
      <c r="AB5" s="51"/>
      <c r="AC5" s="51"/>
      <c r="AD5" s="51"/>
      <c r="AE5" s="51"/>
    </row>
    <row r="6" spans="1:32" s="537" customFormat="1" ht="24" customHeight="1" x14ac:dyDescent="0.2">
      <c r="A6" s="761" t="s">
        <v>13</v>
      </c>
      <c r="B6" s="599"/>
      <c r="C6" s="577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79"/>
      <c r="N6" s="59"/>
      <c r="P6" s="24" t="s">
        <v>15</v>
      </c>
      <c r="Q6" s="584" t="str">
        <f>IF(Q5=0," ",CHOOSE(WEEKDAY(Q5,2),"Понедельник","Вторник","Среда","Четверг","Пятница","Суббота","Воскресенье"))</f>
        <v>Четверг</v>
      </c>
      <c r="R6" s="553"/>
      <c r="T6" s="741" t="s">
        <v>16</v>
      </c>
      <c r="U6" s="724"/>
      <c r="V6" s="671" t="s">
        <v>17</v>
      </c>
      <c r="W6" s="672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35"/>
      <c r="N7" s="60"/>
      <c r="P7" s="24"/>
      <c r="Q7" s="42"/>
      <c r="R7" s="42"/>
      <c r="T7" s="555"/>
      <c r="U7" s="724"/>
      <c r="V7" s="673"/>
      <c r="W7" s="674"/>
      <c r="AB7" s="51"/>
      <c r="AC7" s="51"/>
      <c r="AD7" s="51"/>
      <c r="AE7" s="51"/>
    </row>
    <row r="8" spans="1:32" s="537" customFormat="1" ht="25.5" customHeight="1" x14ac:dyDescent="0.2">
      <c r="A8" s="562" t="s">
        <v>18</v>
      </c>
      <c r="B8" s="560"/>
      <c r="C8" s="561"/>
      <c r="D8" s="815" t="s">
        <v>19</v>
      </c>
      <c r="E8" s="816"/>
      <c r="F8" s="816"/>
      <c r="G8" s="816"/>
      <c r="H8" s="816"/>
      <c r="I8" s="816"/>
      <c r="J8" s="816"/>
      <c r="K8" s="816"/>
      <c r="L8" s="816"/>
      <c r="M8" s="817"/>
      <c r="N8" s="61"/>
      <c r="P8" s="24" t="s">
        <v>20</v>
      </c>
      <c r="Q8" s="734">
        <v>0.41666666666666669</v>
      </c>
      <c r="R8" s="735"/>
      <c r="T8" s="555"/>
      <c r="U8" s="724"/>
      <c r="V8" s="673"/>
      <c r="W8" s="674"/>
      <c r="AB8" s="51"/>
      <c r="AC8" s="51"/>
      <c r="AD8" s="51"/>
      <c r="AE8" s="51"/>
    </row>
    <row r="9" spans="1:32" s="537" customFormat="1" ht="39.950000000000003" customHeight="1" x14ac:dyDescent="0.2">
      <c r="A9" s="5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0"/>
      <c r="E9" s="621"/>
      <c r="F9" s="5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6" t="str">
        <f>IF(AND($A$9="Тип доверенности/получателя при получении в адресе перегруза:",$D$9="Разовая доверенность"),"Введите ФИО","")</f>
        <v/>
      </c>
      <c r="I9" s="621"/>
      <c r="J9" s="7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1"/>
      <c r="L9" s="621"/>
      <c r="M9" s="621"/>
      <c r="N9" s="535"/>
      <c r="P9" s="26" t="s">
        <v>21</v>
      </c>
      <c r="Q9" s="774"/>
      <c r="R9" s="613"/>
      <c r="T9" s="555"/>
      <c r="U9" s="724"/>
      <c r="V9" s="675"/>
      <c r="W9" s="676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0"/>
      <c r="E10" s="621"/>
      <c r="F10" s="5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8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21"/>
      <c r="R10" s="722"/>
      <c r="U10" s="24" t="s">
        <v>23</v>
      </c>
      <c r="V10" s="839" t="s">
        <v>24</v>
      </c>
      <c r="W10" s="672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6"/>
      <c r="R11" s="579"/>
      <c r="U11" s="24" t="s">
        <v>27</v>
      </c>
      <c r="V11" s="612" t="s">
        <v>28</v>
      </c>
      <c r="W11" s="613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3" t="s">
        <v>29</v>
      </c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577"/>
      <c r="N12" s="62"/>
      <c r="P12" s="24" t="s">
        <v>30</v>
      </c>
      <c r="Q12" s="734"/>
      <c r="R12" s="735"/>
      <c r="S12" s="23"/>
      <c r="U12" s="24"/>
      <c r="V12" s="570"/>
      <c r="W12" s="555"/>
      <c r="AB12" s="51"/>
      <c r="AC12" s="51"/>
      <c r="AD12" s="51"/>
      <c r="AE12" s="51"/>
    </row>
    <row r="13" spans="1:32" s="537" customFormat="1" ht="23.25" customHeight="1" x14ac:dyDescent="0.2">
      <c r="A13" s="713" t="s">
        <v>31</v>
      </c>
      <c r="B13" s="599"/>
      <c r="C13" s="599"/>
      <c r="D13" s="599"/>
      <c r="E13" s="599"/>
      <c r="F13" s="599"/>
      <c r="G13" s="599"/>
      <c r="H13" s="599"/>
      <c r="I13" s="599"/>
      <c r="J13" s="599"/>
      <c r="K13" s="599"/>
      <c r="L13" s="599"/>
      <c r="M13" s="577"/>
      <c r="N13" s="62"/>
      <c r="O13" s="26"/>
      <c r="P13" s="26" t="s">
        <v>32</v>
      </c>
      <c r="Q13" s="612"/>
      <c r="R13" s="6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3" t="s">
        <v>33</v>
      </c>
      <c r="B14" s="599"/>
      <c r="C14" s="599"/>
      <c r="D14" s="599"/>
      <c r="E14" s="599"/>
      <c r="F14" s="599"/>
      <c r="G14" s="599"/>
      <c r="H14" s="599"/>
      <c r="I14" s="599"/>
      <c r="J14" s="599"/>
      <c r="K14" s="599"/>
      <c r="L14" s="599"/>
      <c r="M14" s="5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5" t="s">
        <v>34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77"/>
      <c r="N15" s="63"/>
      <c r="P15" s="750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7" t="s">
        <v>36</v>
      </c>
      <c r="B17" s="557" t="s">
        <v>37</v>
      </c>
      <c r="C17" s="763" t="s">
        <v>38</v>
      </c>
      <c r="D17" s="557" t="s">
        <v>39</v>
      </c>
      <c r="E17" s="566"/>
      <c r="F17" s="557" t="s">
        <v>40</v>
      </c>
      <c r="G17" s="557" t="s">
        <v>41</v>
      </c>
      <c r="H17" s="557" t="s">
        <v>42</v>
      </c>
      <c r="I17" s="557" t="s">
        <v>43</v>
      </c>
      <c r="J17" s="557" t="s">
        <v>44</v>
      </c>
      <c r="K17" s="557" t="s">
        <v>45</v>
      </c>
      <c r="L17" s="557" t="s">
        <v>46</v>
      </c>
      <c r="M17" s="557" t="s">
        <v>47</v>
      </c>
      <c r="N17" s="557" t="s">
        <v>48</v>
      </c>
      <c r="O17" s="557" t="s">
        <v>49</v>
      </c>
      <c r="P17" s="557" t="s">
        <v>50</v>
      </c>
      <c r="Q17" s="802"/>
      <c r="R17" s="802"/>
      <c r="S17" s="802"/>
      <c r="T17" s="566"/>
      <c r="U17" s="576" t="s">
        <v>51</v>
      </c>
      <c r="V17" s="577"/>
      <c r="W17" s="557" t="s">
        <v>52</v>
      </c>
      <c r="X17" s="557" t="s">
        <v>53</v>
      </c>
      <c r="Y17" s="573" t="s">
        <v>54</v>
      </c>
      <c r="Z17" s="683" t="s">
        <v>55</v>
      </c>
      <c r="AA17" s="603" t="s">
        <v>56</v>
      </c>
      <c r="AB17" s="603" t="s">
        <v>57</v>
      </c>
      <c r="AC17" s="603" t="s">
        <v>58</v>
      </c>
      <c r="AD17" s="603" t="s">
        <v>59</v>
      </c>
      <c r="AE17" s="604"/>
      <c r="AF17" s="605"/>
      <c r="AG17" s="66"/>
      <c r="BD17" s="65" t="s">
        <v>60</v>
      </c>
    </row>
    <row r="18" spans="1:68" ht="14.25" customHeight="1" x14ac:dyDescent="0.2">
      <c r="A18" s="558"/>
      <c r="B18" s="558"/>
      <c r="C18" s="558"/>
      <c r="D18" s="567"/>
      <c r="E18" s="56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67"/>
      <c r="Q18" s="803"/>
      <c r="R18" s="803"/>
      <c r="S18" s="803"/>
      <c r="T18" s="568"/>
      <c r="U18" s="67" t="s">
        <v>61</v>
      </c>
      <c r="V18" s="67" t="s">
        <v>62</v>
      </c>
      <c r="W18" s="558"/>
      <c r="X18" s="558"/>
      <c r="Y18" s="574"/>
      <c r="Z18" s="684"/>
      <c r="AA18" s="658"/>
      <c r="AB18" s="658"/>
      <c r="AC18" s="658"/>
      <c r="AD18" s="606"/>
      <c r="AE18" s="607"/>
      <c r="AF18" s="608"/>
      <c r="AG18" s="66"/>
      <c r="BD18" s="65"/>
    </row>
    <row r="19" spans="1:68" ht="27.75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customHeight="1" x14ac:dyDescent="0.25">
      <c r="A20" s="595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3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2">
        <v>4680115886643</v>
      </c>
      <c r="E22" s="553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3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2">
        <v>4680115885912</v>
      </c>
      <c r="E26" s="553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2">
        <v>4607091388237</v>
      </c>
      <c r="E27" s="553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2">
        <v>4680115887350</v>
      </c>
      <c r="E28" s="553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2">
        <v>4680115885905</v>
      </c>
      <c r="E29" s="553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90</v>
      </c>
      <c r="Y29" s="544">
        <f>IFERROR(IF(X29="",0,CEILING((X29/$H29),1)*$H29),"")</f>
        <v>90</v>
      </c>
      <c r="Z29" s="36">
        <f>IFERROR(IF(Y29=0,"",ROUNDUP(Y29/H29,0)*0.00651),"")</f>
        <v>0.32550000000000001</v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159</v>
      </c>
      <c r="BN29" s="64">
        <f>IFERROR(Y29*I29/H29,"0")</f>
        <v>159</v>
      </c>
      <c r="BO29" s="64">
        <f>IFERROR(1/J29*(X29/H29),"0")</f>
        <v>0.27472527472527475</v>
      </c>
      <c r="BP29" s="64">
        <f>IFERROR(1/J29*(Y29/H29),"0")</f>
        <v>0.27472527472527475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2">
        <v>4607091388244</v>
      </c>
      <c r="E30" s="553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5">
        <f>IFERROR(X26/H26,"0")+IFERROR(X27/H27,"0")+IFERROR(X28/H28,"0")+IFERROR(X29/H29,"0")+IFERROR(X30/H30,"0")</f>
        <v>50</v>
      </c>
      <c r="Y31" s="545">
        <f>IFERROR(Y26/H26,"0")+IFERROR(Y27/H27,"0")+IFERROR(Y28/H28,"0")+IFERROR(Y29/H29,"0")+IFERROR(Y30/H30,"0")</f>
        <v>50</v>
      </c>
      <c r="Z31" s="545">
        <f>IFERROR(IF(Z26="",0,Z26),"0")+IFERROR(IF(Z27="",0,Z27),"0")+IFERROR(IF(Z28="",0,Z28),"0")+IFERROR(IF(Z29="",0,Z29),"0")+IFERROR(IF(Z30="",0,Z30),"0")</f>
        <v>0.32550000000000001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5">
        <f>IFERROR(SUM(X26:X30),"0")</f>
        <v>90</v>
      </c>
      <c r="Y32" s="545">
        <f>IFERROR(SUM(Y26:Y30),"0")</f>
        <v>90</v>
      </c>
      <c r="Z32" s="37"/>
      <c r="AA32" s="546"/>
      <c r="AB32" s="546"/>
      <c r="AC32" s="546"/>
    </row>
    <row r="33" spans="1:68" ht="14.25" customHeight="1" x14ac:dyDescent="0.25">
      <c r="A33" s="563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2">
        <v>4607091388503</v>
      </c>
      <c r="E34" s="553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631" t="s">
        <v>99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customHeight="1" x14ac:dyDescent="0.25">
      <c r="A38" s="595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3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2">
        <v>4607091385670</v>
      </c>
      <c r="E40" s="553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2">
        <v>4607091385687</v>
      </c>
      <c r="E41" s="553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140</v>
      </c>
      <c r="Y41" s="544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2">
        <v>4680115882539</v>
      </c>
      <c r="E42" s="553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5">
        <f>IFERROR(X40/H40,"0")+IFERROR(X41/H41,"0")+IFERROR(X42/H42,"0")</f>
        <v>35</v>
      </c>
      <c r="Y43" s="545">
        <f>IFERROR(Y40/H40,"0")+IFERROR(Y41/H41,"0")+IFERROR(Y42/H42,"0")</f>
        <v>35</v>
      </c>
      <c r="Z43" s="545">
        <f>IFERROR(IF(Z40="",0,Z40),"0")+IFERROR(IF(Z41="",0,Z41),"0")+IFERROR(IF(Z42="",0,Z42),"0")</f>
        <v>0.31569999999999998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5">
        <f>IFERROR(SUM(X40:X42),"0")</f>
        <v>140</v>
      </c>
      <c r="Y44" s="545">
        <f>IFERROR(SUM(Y40:Y42),"0")</f>
        <v>140</v>
      </c>
      <c r="Z44" s="37"/>
      <c r="AA44" s="546"/>
      <c r="AB44" s="546"/>
      <c r="AC44" s="546"/>
    </row>
    <row r="45" spans="1:68" ht="14.25" customHeight="1" x14ac:dyDescent="0.25">
      <c r="A45" s="563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2">
        <v>4680115884915</v>
      </c>
      <c r="E46" s="553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105</v>
      </c>
      <c r="Y46" s="544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5">
        <f>IFERROR(X46/H46,"0")</f>
        <v>58.333333333333329</v>
      </c>
      <c r="Y47" s="545">
        <f>IFERROR(Y46/H46,"0")</f>
        <v>59</v>
      </c>
      <c r="Z47" s="545">
        <f>IFERROR(IF(Z46="",0,Z46),"0")</f>
        <v>0.38408999999999999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5">
        <f>IFERROR(SUM(X46:X46),"0")</f>
        <v>105</v>
      </c>
      <c r="Y48" s="545">
        <f>IFERROR(SUM(Y46:Y46),"0")</f>
        <v>106.2</v>
      </c>
      <c r="Z48" s="37"/>
      <c r="AA48" s="546"/>
      <c r="AB48" s="546"/>
      <c r="AC48" s="546"/>
    </row>
    <row r="49" spans="1:68" ht="16.5" customHeight="1" x14ac:dyDescent="0.25">
      <c r="A49" s="595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3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2">
        <v>4680115885882</v>
      </c>
      <c r="E51" s="553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2">
        <v>4680115881426</v>
      </c>
      <c r="E52" s="553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2">
        <v>4680115880283</v>
      </c>
      <c r="E53" s="553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2">
        <v>4680115881525</v>
      </c>
      <c r="E54" s="553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2">
        <v>4680115885899</v>
      </c>
      <c r="E55" s="553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2">
        <v>4680115881419</v>
      </c>
      <c r="E56" s="553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customHeight="1" x14ac:dyDescent="0.25">
      <c r="A59" s="563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2">
        <v>4680115881440</v>
      </c>
      <c r="E60" s="553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2">
        <v>4680115885950</v>
      </c>
      <c r="E61" s="553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2">
        <v>4680115881433</v>
      </c>
      <c r="E62" s="553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157.5</v>
      </c>
      <c r="Y62" s="544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5">
        <f>IFERROR(X60/H60,"0")+IFERROR(X61/H61,"0")+IFERROR(X62/H62,"0")</f>
        <v>58.333333333333329</v>
      </c>
      <c r="Y63" s="545">
        <f>IFERROR(Y60/H60,"0")+IFERROR(Y61/H61,"0")+IFERROR(Y62/H62,"0")</f>
        <v>59</v>
      </c>
      <c r="Z63" s="545">
        <f>IFERROR(IF(Z60="",0,Z60),"0")+IFERROR(IF(Z61="",0,Z61),"0")+IFERROR(IF(Z62="",0,Z62),"0")</f>
        <v>0.38408999999999999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5">
        <f>IFERROR(SUM(X60:X62),"0")</f>
        <v>157.5</v>
      </c>
      <c r="Y64" s="545">
        <f>IFERROR(SUM(Y60:Y62),"0")</f>
        <v>159.30000000000001</v>
      </c>
      <c r="Z64" s="37"/>
      <c r="AA64" s="546"/>
      <c r="AB64" s="546"/>
      <c r="AC64" s="546"/>
    </row>
    <row r="65" spans="1:68" ht="14.25" customHeight="1" x14ac:dyDescent="0.25">
      <c r="A65" s="563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2">
        <v>4680115885073</v>
      </c>
      <c r="E66" s="553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2">
        <v>4680115885059</v>
      </c>
      <c r="E67" s="553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2">
        <v>4680115885097</v>
      </c>
      <c r="E68" s="553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8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3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2">
        <v>4680115885769</v>
      </c>
      <c r="E72" s="553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2">
        <v>4680115884311</v>
      </c>
      <c r="E73" s="553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105</v>
      </c>
      <c r="Y73" s="544">
        <f>IFERROR(IF(X73="",0,CEILING((X73/$H73),1)*$H73),"")</f>
        <v>106.2</v>
      </c>
      <c r="Z73" s="36">
        <f>IFERROR(IF(Y73=0,"",ROUNDUP(Y73/H73,0)*0.00651),"")</f>
        <v>0.38408999999999999</v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119.35</v>
      </c>
      <c r="BN73" s="64">
        <f>IFERROR(Y73*I73/H73,"0")</f>
        <v>120.71399999999998</v>
      </c>
      <c r="BO73" s="64">
        <f>IFERROR(1/J73*(X73/H73),"0")</f>
        <v>0.32051282051282048</v>
      </c>
      <c r="BP73" s="64">
        <f>IFERROR(1/J73*(Y73/H73),"0")</f>
        <v>0.32417582417582419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2">
        <v>4680115885929</v>
      </c>
      <c r="E74" s="553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2">
        <v>4680115884403</v>
      </c>
      <c r="E75" s="553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90</v>
      </c>
      <c r="Y75" s="544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5">
        <f>IFERROR(X72/H72,"0")+IFERROR(X73/H73,"0")+IFERROR(X74/H74,"0")+IFERROR(X75/H75,"0")</f>
        <v>108.33333333333333</v>
      </c>
      <c r="Y76" s="545">
        <f>IFERROR(Y72/H72,"0")+IFERROR(Y73/H73,"0")+IFERROR(Y74/H74,"0")+IFERROR(Y75/H75,"0")</f>
        <v>109</v>
      </c>
      <c r="Z76" s="545">
        <f>IFERROR(IF(Z72="",0,Z72),"0")+IFERROR(IF(Z73="",0,Z73),"0")+IFERROR(IF(Z74="",0,Z74),"0")+IFERROR(IF(Z75="",0,Z75),"0")</f>
        <v>0.70958999999999994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5">
        <f>IFERROR(SUM(X72:X75),"0")</f>
        <v>195</v>
      </c>
      <c r="Y77" s="545">
        <f>IFERROR(SUM(Y72:Y75),"0")</f>
        <v>196.2</v>
      </c>
      <c r="Z77" s="37"/>
      <c r="AA77" s="546"/>
      <c r="AB77" s="546"/>
      <c r="AC77" s="546"/>
    </row>
    <row r="78" spans="1:68" ht="14.25" customHeight="1" x14ac:dyDescent="0.25">
      <c r="A78" s="563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2">
        <v>4680115881532</v>
      </c>
      <c r="E79" s="553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2">
        <v>4680115881464</v>
      </c>
      <c r="E80" s="553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8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120</v>
      </c>
      <c r="Y80" s="544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5">
        <f>IFERROR(X79/H79,"0")+IFERROR(X80/H80,"0")</f>
        <v>50</v>
      </c>
      <c r="Y81" s="545">
        <f>IFERROR(Y79/H79,"0")+IFERROR(Y80/H80,"0")</f>
        <v>50</v>
      </c>
      <c r="Z81" s="545">
        <f>IFERROR(IF(Z79="",0,Z79),"0")+IFERROR(IF(Z80="",0,Z80),"0")</f>
        <v>0.45100000000000001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5">
        <f>IFERROR(SUM(X79:X80),"0")</f>
        <v>120</v>
      </c>
      <c r="Y82" s="545">
        <f>IFERROR(SUM(Y79:Y80),"0")</f>
        <v>120</v>
      </c>
      <c r="Z82" s="37"/>
      <c r="AA82" s="546"/>
      <c r="AB82" s="546"/>
      <c r="AC82" s="546"/>
    </row>
    <row r="83" spans="1:68" ht="16.5" customHeight="1" x14ac:dyDescent="0.25">
      <c r="A83" s="595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3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2">
        <v>4680115881327</v>
      </c>
      <c r="E85" s="553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3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0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2">
        <v>4607091385731</v>
      </c>
      <c r="E93" s="553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9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1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95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3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2">
        <v>4680115880269</v>
      </c>
      <c r="E100" s="553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2">
        <v>4680115880429</v>
      </c>
      <c r="E101" s="553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2">
        <v>4680115881457</v>
      </c>
      <c r="E102" s="553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3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2">
        <v>4680115881488</v>
      </c>
      <c r="E106" s="553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2">
        <v>4680115882775</v>
      </c>
      <c r="E107" s="553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4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2">
        <v>4680115880658</v>
      </c>
      <c r="E108" s="553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9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3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2">
        <v>4607091385168</v>
      </c>
      <c r="E112" s="553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2">
        <v>4607091383256</v>
      </c>
      <c r="E113" s="553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2">
        <v>4607091385748</v>
      </c>
      <c r="E114" s="553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3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2">
        <v>4680115884533</v>
      </c>
      <c r="E115" s="553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105</v>
      </c>
      <c r="Y115" s="544">
        <f>IFERROR(IF(X115="",0,CEILING((X115/$H115),1)*$H115),"")</f>
        <v>106.2</v>
      </c>
      <c r="Z115" s="36">
        <f>IFERROR(IF(Y115=0,"",ROUNDUP(Y115/H115,0)*0.00651),"")</f>
        <v>0.38408999999999999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115.5</v>
      </c>
      <c r="BN115" s="64">
        <f>IFERROR(Y115*I115/H115,"0")</f>
        <v>116.82000000000001</v>
      </c>
      <c r="BO115" s="64">
        <f>IFERROR(1/J115*(X115/H115),"0")</f>
        <v>0.32051282051282048</v>
      </c>
      <c r="BP115" s="64">
        <f>IFERROR(1/J115*(Y115/H115),"0")</f>
        <v>0.32417582417582419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5">
        <f>IFERROR(X112/H112,"0")+IFERROR(X113/H113,"0")+IFERROR(X114/H114,"0")+IFERROR(X115/H115,"0")</f>
        <v>58.333333333333329</v>
      </c>
      <c r="Y116" s="545">
        <f>IFERROR(Y112/H112,"0")+IFERROR(Y113/H113,"0")+IFERROR(Y114/H114,"0")+IFERROR(Y115/H115,"0")</f>
        <v>59</v>
      </c>
      <c r="Z116" s="545">
        <f>IFERROR(IF(Z112="",0,Z112),"0")+IFERROR(IF(Z113="",0,Z113),"0")+IFERROR(IF(Z114="",0,Z114),"0")+IFERROR(IF(Z115="",0,Z115),"0")</f>
        <v>0.38408999999999999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5">
        <f>IFERROR(SUM(X112:X115),"0")</f>
        <v>105</v>
      </c>
      <c r="Y117" s="545">
        <f>IFERROR(SUM(Y112:Y115),"0")</f>
        <v>106.2</v>
      </c>
      <c r="Z117" s="37"/>
      <c r="AA117" s="546"/>
      <c r="AB117" s="546"/>
      <c r="AC117" s="546"/>
    </row>
    <row r="118" spans="1:68" ht="14.25" customHeight="1" x14ac:dyDescent="0.25">
      <c r="A118" s="563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2">
        <v>4680115880238</v>
      </c>
      <c r="E119" s="553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125.4</v>
      </c>
      <c r="Y119" s="544">
        <f>IFERROR(IF(X119="",0,CEILING((X119/$H119),1)*$H119),"")</f>
        <v>126.72</v>
      </c>
      <c r="Z119" s="36">
        <f>IFERROR(IF(Y119=0,"",ROUNDUP(Y119/H119,0)*0.00651),"")</f>
        <v>0.41664000000000001</v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141.74</v>
      </c>
      <c r="BN119" s="64">
        <f>IFERROR(Y119*I119/H119,"0")</f>
        <v>143.232</v>
      </c>
      <c r="BO119" s="64">
        <f>IFERROR(1/J119*(X119/H119),"0")</f>
        <v>0.34798534798534803</v>
      </c>
      <c r="BP119" s="64">
        <f>IFERROR(1/J119*(Y119/H119),"0")</f>
        <v>0.35164835164835168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5">
        <f>IFERROR(X119/H119,"0")</f>
        <v>63.333333333333336</v>
      </c>
      <c r="Y120" s="545">
        <f>IFERROR(Y119/H119,"0")</f>
        <v>64</v>
      </c>
      <c r="Z120" s="545">
        <f>IFERROR(IF(Z119="",0,Z119),"0")</f>
        <v>0.41664000000000001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5">
        <f>IFERROR(SUM(X119:X119),"0")</f>
        <v>125.4</v>
      </c>
      <c r="Y121" s="545">
        <f>IFERROR(SUM(Y119:Y119),"0")</f>
        <v>126.72</v>
      </c>
      <c r="Z121" s="37"/>
      <c r="AA121" s="546"/>
      <c r="AB121" s="546"/>
      <c r="AC121" s="546"/>
    </row>
    <row r="122" spans="1:68" ht="16.5" customHeight="1" x14ac:dyDescent="0.25">
      <c r="A122" s="595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3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2">
        <v>4680115882577</v>
      </c>
      <c r="E124" s="553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2">
        <v>4680115882577</v>
      </c>
      <c r="E125" s="553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3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2">
        <v>4680115883444</v>
      </c>
      <c r="E129" s="553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2">
        <v>4680115883444</v>
      </c>
      <c r="E130" s="553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3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2">
        <v>4680115882584</v>
      </c>
      <c r="E134" s="553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8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2">
        <v>4680115882584</v>
      </c>
      <c r="E135" s="553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95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3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2">
        <v>4680115887374</v>
      </c>
      <c r="E140" s="553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2">
        <v>4607091384604</v>
      </c>
      <c r="E141" s="553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2">
        <v>4680115886810</v>
      </c>
      <c r="E142" s="553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6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3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2">
        <v>4607091387667</v>
      </c>
      <c r="E146" s="553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4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2">
        <v>4607091387636</v>
      </c>
      <c r="E147" s="553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2">
        <v>4607091382426</v>
      </c>
      <c r="E148" s="553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3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2">
        <v>4680115887459</v>
      </c>
      <c r="E152" s="553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5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631" t="s">
        <v>255</v>
      </c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2"/>
      <c r="P155" s="632"/>
      <c r="Q155" s="632"/>
      <c r="R155" s="632"/>
      <c r="S155" s="632"/>
      <c r="T155" s="632"/>
      <c r="U155" s="632"/>
      <c r="V155" s="632"/>
      <c r="W155" s="632"/>
      <c r="X155" s="632"/>
      <c r="Y155" s="632"/>
      <c r="Z155" s="632"/>
      <c r="AA155" s="48"/>
      <c r="AB155" s="48"/>
      <c r="AC155" s="48"/>
    </row>
    <row r="156" spans="1:68" ht="16.5" customHeight="1" x14ac:dyDescent="0.25">
      <c r="A156" s="595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3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2">
        <v>4680115886223</v>
      </c>
      <c r="E158" s="553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3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2">
        <v>4680115887213</v>
      </c>
      <c r="E162" s="553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667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2">
        <v>4680115880993</v>
      </c>
      <c r="E163" s="553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2">
        <v>4680115881761</v>
      </c>
      <c r="E164" s="553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2">
        <v>4680115881563</v>
      </c>
      <c r="E165" s="553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2">
        <v>4680115880986</v>
      </c>
      <c r="E166" s="553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2">
        <v>4680115881785</v>
      </c>
      <c r="E167" s="553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76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2">
        <v>4680115886537</v>
      </c>
      <c r="E168" s="553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2">
        <v>4680115881679</v>
      </c>
      <c r="E169" s="553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7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2">
        <v>4680115880191</v>
      </c>
      <c r="E170" s="553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2">
        <v>4680115883963</v>
      </c>
      <c r="E171" s="553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3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2">
        <v>4680115886780</v>
      </c>
      <c r="E175" s="553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6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2">
        <v>4680115886742</v>
      </c>
      <c r="E176" s="553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6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2">
        <v>4680115886766</v>
      </c>
      <c r="E177" s="553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69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3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2">
        <v>4680115886797</v>
      </c>
      <c r="E181" s="553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6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95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3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2">
        <v>4680115881402</v>
      </c>
      <c r="E186" s="553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2">
        <v>4680115881396</v>
      </c>
      <c r="E187" s="553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8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3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2">
        <v>4680115882935</v>
      </c>
      <c r="E191" s="553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2">
        <v>4680115880764</v>
      </c>
      <c r="E192" s="553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3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2">
        <v>4680115882683</v>
      </c>
      <c r="E196" s="553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2">
        <v>4680115882690</v>
      </c>
      <c r="E197" s="553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2">
        <v>4680115882669</v>
      </c>
      <c r="E198" s="553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2">
        <v>4680115882676</v>
      </c>
      <c r="E199" s="553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2">
        <v>4680115884014</v>
      </c>
      <c r="E200" s="553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5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2">
        <v>4680115884007</v>
      </c>
      <c r="E201" s="553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63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2">
        <v>4680115884038</v>
      </c>
      <c r="E202" s="553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2">
        <v>4680115884021</v>
      </c>
      <c r="E203" s="553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3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2">
        <v>4680115881594</v>
      </c>
      <c r="E207" s="553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2">
        <v>4680115881617</v>
      </c>
      <c r="E208" s="553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7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2">
        <v>4680115880573</v>
      </c>
      <c r="E209" s="553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2">
        <v>4680115882195</v>
      </c>
      <c r="E210" s="553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2">
        <v>4680115882607</v>
      </c>
      <c r="E211" s="553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2">
        <v>4680115880092</v>
      </c>
      <c r="E212" s="553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160</v>
      </c>
      <c r="Y212" s="544">
        <f t="shared" si="15"/>
        <v>160.79999999999998</v>
      </c>
      <c r="Z212" s="36">
        <f t="shared" si="20"/>
        <v>0.43617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176.80000000000004</v>
      </c>
      <c r="BN212" s="64">
        <f t="shared" si="17"/>
        <v>177.684</v>
      </c>
      <c r="BO212" s="64">
        <f t="shared" si="18"/>
        <v>0.36630036630036633</v>
      </c>
      <c r="BP212" s="64">
        <f t="shared" si="19"/>
        <v>0.36813186813186816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2">
        <v>4680115880221</v>
      </c>
      <c r="E213" s="553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6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140</v>
      </c>
      <c r="Y213" s="544">
        <f t="shared" si="15"/>
        <v>141.6</v>
      </c>
      <c r="Z213" s="36">
        <f t="shared" si="20"/>
        <v>0.38408999999999999</v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154.70000000000002</v>
      </c>
      <c r="BN213" s="64">
        <f t="shared" si="17"/>
        <v>156.46800000000002</v>
      </c>
      <c r="BO213" s="64">
        <f t="shared" si="18"/>
        <v>0.32051282051282054</v>
      </c>
      <c r="BP213" s="64">
        <f t="shared" si="19"/>
        <v>0.32417582417582419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2">
        <v>4680115880504</v>
      </c>
      <c r="E214" s="553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2">
        <v>4680115882164</v>
      </c>
      <c r="E215" s="553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125</v>
      </c>
      <c r="Y216" s="545">
        <f>IFERROR(Y207/H207,"0")+IFERROR(Y208/H208,"0")+IFERROR(Y209/H209,"0")+IFERROR(Y210/H210,"0")+IFERROR(Y211/H211,"0")+IFERROR(Y212/H212,"0")+IFERROR(Y213/H213,"0")+IFERROR(Y214/H214,"0")+IFERROR(Y215/H215,"0")</f>
        <v>126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0.82025999999999999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5">
        <f>IFERROR(SUM(X207:X215),"0")</f>
        <v>300</v>
      </c>
      <c r="Y217" s="545">
        <f>IFERROR(SUM(Y207:Y215),"0")</f>
        <v>302.39999999999998</v>
      </c>
      <c r="Z217" s="37"/>
      <c r="AA217" s="546"/>
      <c r="AB217" s="546"/>
      <c r="AC217" s="546"/>
    </row>
    <row r="218" spans="1:68" ht="14.25" customHeight="1" x14ac:dyDescent="0.25">
      <c r="A218" s="563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2">
        <v>4680115880818</v>
      </c>
      <c r="E219" s="553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5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2">
        <v>4680115880801</v>
      </c>
      <c r="E220" s="553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95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3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2">
        <v>4680115884137</v>
      </c>
      <c r="E225" s="553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2">
        <v>4680115884236</v>
      </c>
      <c r="E226" s="553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2">
        <v>4680115884175</v>
      </c>
      <c r="E227" s="553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2">
        <v>4680115884144</v>
      </c>
      <c r="E228" s="553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120</v>
      </c>
      <c r="Y228" s="544">
        <f t="shared" si="21"/>
        <v>120</v>
      </c>
      <c r="Z228" s="36">
        <f>IFERROR(IF(Y228=0,"",ROUNDUP(Y228/H228,0)*0.00902),"")</f>
        <v>0.27060000000000001</v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125.70000000000002</v>
      </c>
      <c r="BN228" s="64">
        <f t="shared" si="23"/>
        <v>125.70000000000002</v>
      </c>
      <c r="BO228" s="64">
        <f t="shared" si="24"/>
        <v>0.22727272727272729</v>
      </c>
      <c r="BP228" s="64">
        <f t="shared" si="25"/>
        <v>0.22727272727272729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2">
        <v>4680115884144</v>
      </c>
      <c r="E229" s="553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2">
        <v>4680115886551</v>
      </c>
      <c r="E230" s="553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2">
        <v>4680115884182</v>
      </c>
      <c r="E231" s="553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2">
        <v>4680115887282</v>
      </c>
      <c r="E232" s="553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2">
        <v>4680115884205</v>
      </c>
      <c r="E233" s="553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0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120</v>
      </c>
      <c r="Y233" s="544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2">
        <v>4680115884205</v>
      </c>
      <c r="E234" s="553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60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5">
        <f>IFERROR(SUM(X225:X234),"0")</f>
        <v>240</v>
      </c>
      <c r="Y236" s="545">
        <f>IFERROR(SUM(Y225:Y234),"0")</f>
        <v>240</v>
      </c>
      <c r="Z236" s="37"/>
      <c r="AA236" s="546"/>
      <c r="AB236" s="546"/>
      <c r="AC236" s="546"/>
    </row>
    <row r="237" spans="1:68" ht="14.25" customHeight="1" x14ac:dyDescent="0.25">
      <c r="A237" s="563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2">
        <v>4680115885981</v>
      </c>
      <c r="E238" s="553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3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2">
        <v>4680115886803</v>
      </c>
      <c r="E242" s="553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8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3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2">
        <v>4680115886704</v>
      </c>
      <c r="E246" s="553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2">
        <v>4680115886681</v>
      </c>
      <c r="E247" s="553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6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2">
        <v>4680115886735</v>
      </c>
      <c r="E248" s="553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2">
        <v>4680115886728</v>
      </c>
      <c r="E249" s="553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86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2">
        <v>4680115886711</v>
      </c>
      <c r="E250" s="553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84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95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3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2">
        <v>4680115885837</v>
      </c>
      <c r="E255" s="553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2">
        <v>4680115885851</v>
      </c>
      <c r="E256" s="553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2">
        <v>4680115885806</v>
      </c>
      <c r="E257" s="553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2">
        <v>4680115885844</v>
      </c>
      <c r="E258" s="553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2">
        <v>4680115885820</v>
      </c>
      <c r="E259" s="553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120</v>
      </c>
      <c r="Y259" s="544">
        <f>IFERROR(IF(X259="",0,CEILING((X259/$H259),1)*$H259),"")</f>
        <v>120</v>
      </c>
      <c r="Z259" s="36">
        <f>IFERROR(IF(Y259=0,"",ROUNDUP(Y259/H259,0)*0.00902),"")</f>
        <v>0.27060000000000001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125.70000000000002</v>
      </c>
      <c r="BN259" s="64">
        <f>IFERROR(Y259*I259/H259,"0")</f>
        <v>125.70000000000002</v>
      </c>
      <c r="BO259" s="64">
        <f>IFERROR(1/J259*(X259/H259),"0")</f>
        <v>0.22727272727272729</v>
      </c>
      <c r="BP259" s="64">
        <f>IFERROR(1/J259*(Y259/H259),"0")</f>
        <v>0.22727272727272729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5">
        <f>IFERROR(X255/H255,"0")+IFERROR(X256/H256,"0")+IFERROR(X257/H257,"0")+IFERROR(X258/H258,"0")+IFERROR(X259/H259,"0")</f>
        <v>30</v>
      </c>
      <c r="Y260" s="545">
        <f>IFERROR(Y255/H255,"0")+IFERROR(Y256/H256,"0")+IFERROR(Y257/H257,"0")+IFERROR(Y258/H258,"0")+IFERROR(Y259/H259,"0")</f>
        <v>30</v>
      </c>
      <c r="Z260" s="545">
        <f>IFERROR(IF(Z255="",0,Z255),"0")+IFERROR(IF(Z256="",0,Z256),"0")+IFERROR(IF(Z257="",0,Z257),"0")+IFERROR(IF(Z258="",0,Z258),"0")+IFERROR(IF(Z259="",0,Z259),"0")</f>
        <v>0.27060000000000001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5">
        <f>IFERROR(SUM(X255:X259),"0")</f>
        <v>120</v>
      </c>
      <c r="Y261" s="545">
        <f>IFERROR(SUM(Y255:Y259),"0")</f>
        <v>120</v>
      </c>
      <c r="Z261" s="37"/>
      <c r="AA261" s="546"/>
      <c r="AB261" s="546"/>
      <c r="AC261" s="546"/>
    </row>
    <row r="262" spans="1:68" ht="16.5" customHeight="1" x14ac:dyDescent="0.25">
      <c r="A262" s="595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3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2">
        <v>4607091383423</v>
      </c>
      <c r="E264" s="553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78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2">
        <v>4680115886957</v>
      </c>
      <c r="E265" s="553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2">
        <v>4680115885660</v>
      </c>
      <c r="E266" s="553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2">
        <v>4680115886773</v>
      </c>
      <c r="E267" s="553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3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95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3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2">
        <v>4680115886186</v>
      </c>
      <c r="E272" s="553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2">
        <v>4680115881228</v>
      </c>
      <c r="E273" s="553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120</v>
      </c>
      <c r="Y273" s="544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2">
        <v>4680115881211</v>
      </c>
      <c r="E274" s="553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140</v>
      </c>
      <c r="Y274" s="544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5">
        <f>IFERROR(X272/H272,"0")+IFERROR(X273/H273,"0")+IFERROR(X274/H274,"0")</f>
        <v>108.33333333333334</v>
      </c>
      <c r="Y275" s="545">
        <f>IFERROR(Y272/H272,"0")+IFERROR(Y273/H273,"0")+IFERROR(Y274/H274,"0")</f>
        <v>109</v>
      </c>
      <c r="Z275" s="545">
        <f>IFERROR(IF(Z272="",0,Z272),"0")+IFERROR(IF(Z273="",0,Z273),"0")+IFERROR(IF(Z274="",0,Z274),"0")</f>
        <v>0.70958999999999994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5">
        <f>IFERROR(SUM(X272:X274),"0")</f>
        <v>260</v>
      </c>
      <c r="Y276" s="545">
        <f>IFERROR(SUM(Y272:Y274),"0")</f>
        <v>261.60000000000002</v>
      </c>
      <c r="Z276" s="37"/>
      <c r="AA276" s="546"/>
      <c r="AB276" s="546"/>
      <c r="AC276" s="546"/>
    </row>
    <row r="277" spans="1:68" ht="16.5" customHeight="1" x14ac:dyDescent="0.25">
      <c r="A277" s="595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3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2">
        <v>4680115880344</v>
      </c>
      <c r="E279" s="553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2">
        <v>4680115886919</v>
      </c>
      <c r="E280" s="553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6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3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2">
        <v>4680115887114</v>
      </c>
      <c r="E284" s="553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80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2">
        <v>4680115884618</v>
      </c>
      <c r="E285" s="553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210</v>
      </c>
      <c r="Y285" s="544">
        <f>IFERROR(IF(X285="",0,CEILING((X285/$H285),1)*$H285),"")</f>
        <v>212.4</v>
      </c>
      <c r="Z285" s="36">
        <f>IFERROR(IF(Y285=0,"",ROUNDUP(Y285/H285,0)*0.00902),"")</f>
        <v>0.53217999999999999</v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221.08333333333331</v>
      </c>
      <c r="BN285" s="64">
        <f>IFERROR(Y285*I285/H285,"0")</f>
        <v>223.60999999999999</v>
      </c>
      <c r="BO285" s="64">
        <f>IFERROR(1/J285*(X285/H285),"0")</f>
        <v>0.44191919191919188</v>
      </c>
      <c r="BP285" s="64">
        <f>IFERROR(1/J285*(Y285/H285),"0")</f>
        <v>0.44696969696969696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5">
        <f>IFERROR(X284/H284,"0")+IFERROR(X285/H285,"0")</f>
        <v>58.333333333333329</v>
      </c>
      <c r="Y286" s="545">
        <f>IFERROR(Y284/H284,"0")+IFERROR(Y285/H285,"0")</f>
        <v>59</v>
      </c>
      <c r="Z286" s="545">
        <f>IFERROR(IF(Z284="",0,Z284),"0")+IFERROR(IF(Z285="",0,Z285),"0")</f>
        <v>0.53217999999999999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5">
        <f>IFERROR(SUM(X284:X285),"0")</f>
        <v>210</v>
      </c>
      <c r="Y287" s="545">
        <f>IFERROR(SUM(Y284:Y285),"0")</f>
        <v>212.4</v>
      </c>
      <c r="Z287" s="37"/>
      <c r="AA287" s="546"/>
      <c r="AB287" s="546"/>
      <c r="AC287" s="546"/>
    </row>
    <row r="288" spans="1:68" ht="16.5" customHeight="1" x14ac:dyDescent="0.25">
      <c r="A288" s="595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3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2">
        <v>4607091386004</v>
      </c>
      <c r="E290" s="553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85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2">
        <v>4680115885615</v>
      </c>
      <c r="E291" s="553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58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2">
        <v>4680115885646</v>
      </c>
      <c r="E292" s="553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5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2">
        <v>4680115885554</v>
      </c>
      <c r="E293" s="553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5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2">
        <v>4680115885622</v>
      </c>
      <c r="E294" s="553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2">
        <v>4680115885608</v>
      </c>
      <c r="E295" s="553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63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120</v>
      </c>
      <c r="Y295" s="544">
        <f t="shared" si="26"/>
        <v>120</v>
      </c>
      <c r="Z295" s="36">
        <f>IFERROR(IF(Y295=0,"",ROUNDUP(Y295/H295,0)*0.00902),"")</f>
        <v>0.27060000000000001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125.70000000000002</v>
      </c>
      <c r="BN295" s="64">
        <f t="shared" si="28"/>
        <v>125.70000000000002</v>
      </c>
      <c r="BO295" s="64">
        <f t="shared" si="29"/>
        <v>0.22727272727272729</v>
      </c>
      <c r="BP295" s="64">
        <f t="shared" si="30"/>
        <v>0.22727272727272729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72</v>
      </c>
      <c r="X296" s="545">
        <f>IFERROR(X290/H290,"0")+IFERROR(X291/H291,"0")+IFERROR(X292/H292,"0")+IFERROR(X293/H293,"0")+IFERROR(X294/H294,"0")+IFERROR(X295/H295,"0")</f>
        <v>30</v>
      </c>
      <c r="Y296" s="545">
        <f>IFERROR(Y290/H290,"0")+IFERROR(Y291/H291,"0")+IFERROR(Y292/H292,"0")+IFERROR(Y293/H293,"0")+IFERROR(Y294/H294,"0")+IFERROR(Y295/H295,"0")</f>
        <v>30</v>
      </c>
      <c r="Z296" s="545">
        <f>IFERROR(IF(Z290="",0,Z290),"0")+IFERROR(IF(Z291="",0,Z291),"0")+IFERROR(IF(Z292="",0,Z292),"0")+IFERROR(IF(Z293="",0,Z293),"0")+IFERROR(IF(Z294="",0,Z294),"0")+IFERROR(IF(Z295="",0,Z295),"0")</f>
        <v>0.27060000000000001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59" t="s">
        <v>71</v>
      </c>
      <c r="Q297" s="560"/>
      <c r="R297" s="560"/>
      <c r="S297" s="560"/>
      <c r="T297" s="560"/>
      <c r="U297" s="560"/>
      <c r="V297" s="561"/>
      <c r="W297" s="37" t="s">
        <v>69</v>
      </c>
      <c r="X297" s="545">
        <f>IFERROR(SUM(X290:X295),"0")</f>
        <v>120</v>
      </c>
      <c r="Y297" s="545">
        <f>IFERROR(SUM(Y290:Y295),"0")</f>
        <v>120</v>
      </c>
      <c r="Z297" s="37"/>
      <c r="AA297" s="546"/>
      <c r="AB297" s="546"/>
      <c r="AC297" s="546"/>
    </row>
    <row r="298" spans="1:68" ht="14.25" customHeight="1" x14ac:dyDescent="0.25">
      <c r="A298" s="563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2">
        <v>4607091387193</v>
      </c>
      <c r="E299" s="553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2">
        <v>4607091387230</v>
      </c>
      <c r="E300" s="553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2">
        <v>4607091387292</v>
      </c>
      <c r="E301" s="553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6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2">
        <v>4607091387285</v>
      </c>
      <c r="E302" s="553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2">
        <v>4607091389845</v>
      </c>
      <c r="E303" s="553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105</v>
      </c>
      <c r="Y303" s="544">
        <f t="shared" si="31"/>
        <v>105</v>
      </c>
      <c r="Z303" s="36">
        <f>IFERROR(IF(Y303=0,"",ROUNDUP(Y303/H303,0)*0.00502),"")</f>
        <v>0.251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110.00000000000001</v>
      </c>
      <c r="BN303" s="64">
        <f t="shared" si="33"/>
        <v>110.00000000000001</v>
      </c>
      <c r="BO303" s="64">
        <f t="shared" si="34"/>
        <v>0.21367521367521369</v>
      </c>
      <c r="BP303" s="64">
        <f t="shared" si="35"/>
        <v>0.21367521367521369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2">
        <v>4680115882881</v>
      </c>
      <c r="E304" s="553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0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2">
        <v>4607091383836</v>
      </c>
      <c r="E305" s="553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90</v>
      </c>
      <c r="Y305" s="544">
        <f t="shared" si="31"/>
        <v>90</v>
      </c>
      <c r="Z305" s="36">
        <f>IFERROR(IF(Y305=0,"",ROUNDUP(Y305/H305,0)*0.00651),"")</f>
        <v>0.32550000000000001</v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101.4</v>
      </c>
      <c r="BN305" s="64">
        <f t="shared" si="33"/>
        <v>101.4</v>
      </c>
      <c r="BO305" s="64">
        <f t="shared" si="34"/>
        <v>0.27472527472527475</v>
      </c>
      <c r="BP305" s="64">
        <f t="shared" si="35"/>
        <v>0.27472527472527475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72</v>
      </c>
      <c r="X306" s="545">
        <f>IFERROR(X299/H299,"0")+IFERROR(X300/H300,"0")+IFERROR(X301/H301,"0")+IFERROR(X302/H302,"0")+IFERROR(X303/H303,"0")+IFERROR(X304/H304,"0")+IFERROR(X305/H305,"0")</f>
        <v>100</v>
      </c>
      <c r="Y306" s="545">
        <f>IFERROR(Y299/H299,"0")+IFERROR(Y300/H300,"0")+IFERROR(Y301/H301,"0")+IFERROR(Y302/H302,"0")+IFERROR(Y303/H303,"0")+IFERROR(Y304/H304,"0")+IFERROR(Y305/H305,"0")</f>
        <v>100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0.57650000000000001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59" t="s">
        <v>71</v>
      </c>
      <c r="Q307" s="560"/>
      <c r="R307" s="560"/>
      <c r="S307" s="560"/>
      <c r="T307" s="560"/>
      <c r="U307" s="560"/>
      <c r="V307" s="561"/>
      <c r="W307" s="37" t="s">
        <v>69</v>
      </c>
      <c r="X307" s="545">
        <f>IFERROR(SUM(X299:X305),"0")</f>
        <v>195</v>
      </c>
      <c r="Y307" s="545">
        <f>IFERROR(SUM(Y299:Y305),"0")</f>
        <v>195</v>
      </c>
      <c r="Z307" s="37"/>
      <c r="AA307" s="546"/>
      <c r="AB307" s="546"/>
      <c r="AC307" s="546"/>
    </row>
    <row r="308" spans="1:68" ht="14.25" customHeight="1" x14ac:dyDescent="0.25">
      <c r="A308" s="563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2">
        <v>4607091387766</v>
      </c>
      <c r="E309" s="553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2">
        <v>4607091387957</v>
      </c>
      <c r="E310" s="553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2">
        <v>4607091387964</v>
      </c>
      <c r="E311" s="553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3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2">
        <v>4680115884588</v>
      </c>
      <c r="E312" s="553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9" t="s">
        <v>71</v>
      </c>
      <c r="Q314" s="560"/>
      <c r="R314" s="560"/>
      <c r="S314" s="560"/>
      <c r="T314" s="560"/>
      <c r="U314" s="560"/>
      <c r="V314" s="561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customHeight="1" x14ac:dyDescent="0.25">
      <c r="A315" s="563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2">
        <v>4607091380880</v>
      </c>
      <c r="E316" s="553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2">
        <v>4607091384482</v>
      </c>
      <c r="E317" s="553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6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2">
        <v>4607091380897</v>
      </c>
      <c r="E318" s="553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9" t="s">
        <v>71</v>
      </c>
      <c r="Q320" s="560"/>
      <c r="R320" s="560"/>
      <c r="S320" s="560"/>
      <c r="T320" s="560"/>
      <c r="U320" s="560"/>
      <c r="V320" s="561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3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2">
        <v>4607091388381</v>
      </c>
      <c r="E322" s="553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2">
        <v>4607091388374</v>
      </c>
      <c r="E323" s="553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2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2">
        <v>4607091383102</v>
      </c>
      <c r="E324" s="553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2">
        <v>4607091388404</v>
      </c>
      <c r="E325" s="553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9" t="s">
        <v>71</v>
      </c>
      <c r="Q327" s="560"/>
      <c r="R327" s="560"/>
      <c r="S327" s="560"/>
      <c r="T327" s="560"/>
      <c r="U327" s="560"/>
      <c r="V327" s="561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3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2">
        <v>4680115881808</v>
      </c>
      <c r="E329" s="553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8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2">
        <v>4680115881822</v>
      </c>
      <c r="E330" s="553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2">
        <v>4680115880016</v>
      </c>
      <c r="E331" s="553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38</v>
      </c>
      <c r="Y331" s="544">
        <f>IFERROR(IF(X331="",0,CEILING((X331/$H331),1)*$H331),"")</f>
        <v>38</v>
      </c>
      <c r="Z331" s="36">
        <f>IFERROR(IF(Y331=0,"",ROUNDUP(Y331/H331,0)*0.00474),"")</f>
        <v>9.0060000000000001E-2</v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42.56</v>
      </c>
      <c r="BN331" s="64">
        <f>IFERROR(Y331*I331/H331,"0")</f>
        <v>42.56</v>
      </c>
      <c r="BO331" s="64">
        <f>IFERROR(1/J331*(X331/H331),"0")</f>
        <v>7.9831932773109238E-2</v>
      </c>
      <c r="BP331" s="64">
        <f>IFERROR(1/J331*(Y331/H331),"0")</f>
        <v>7.9831932773109238E-2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72</v>
      </c>
      <c r="X332" s="545">
        <f>IFERROR(X329/H329,"0")+IFERROR(X330/H330,"0")+IFERROR(X331/H331,"0")</f>
        <v>19</v>
      </c>
      <c r="Y332" s="545">
        <f>IFERROR(Y329/H329,"0")+IFERROR(Y330/H330,"0")+IFERROR(Y331/H331,"0")</f>
        <v>19</v>
      </c>
      <c r="Z332" s="545">
        <f>IFERROR(IF(Z329="",0,Z329),"0")+IFERROR(IF(Z330="",0,Z330),"0")+IFERROR(IF(Z331="",0,Z331),"0")</f>
        <v>9.0060000000000001E-2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9" t="s">
        <v>71</v>
      </c>
      <c r="Q333" s="560"/>
      <c r="R333" s="560"/>
      <c r="S333" s="560"/>
      <c r="T333" s="560"/>
      <c r="U333" s="560"/>
      <c r="V333" s="561"/>
      <c r="W333" s="37" t="s">
        <v>69</v>
      </c>
      <c r="X333" s="545">
        <f>IFERROR(SUM(X329:X331),"0")</f>
        <v>38</v>
      </c>
      <c r="Y333" s="545">
        <f>IFERROR(SUM(Y329:Y331),"0")</f>
        <v>38</v>
      </c>
      <c r="Z333" s="37"/>
      <c r="AA333" s="546"/>
      <c r="AB333" s="546"/>
      <c r="AC333" s="546"/>
    </row>
    <row r="334" spans="1:68" ht="16.5" customHeight="1" x14ac:dyDescent="0.25">
      <c r="A334" s="595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3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2">
        <v>4607091387919</v>
      </c>
      <c r="E336" s="553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2">
        <v>4680115883604</v>
      </c>
      <c r="E337" s="553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105</v>
      </c>
      <c r="Y337" s="544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117.59999999999998</v>
      </c>
      <c r="BN337" s="64">
        <f>IFERROR(Y337*I337/H337,"0")</f>
        <v>117.59999999999998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2">
        <v>4680115883567</v>
      </c>
      <c r="E338" s="553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122.5</v>
      </c>
      <c r="Y338" s="544">
        <f>IFERROR(IF(X338="",0,CEILING((X338/$H338),1)*$H338),"")</f>
        <v>123.9</v>
      </c>
      <c r="Z338" s="36">
        <f>IFERROR(IF(Y338=0,"",ROUNDUP(Y338/H338,0)*0.00651),"")</f>
        <v>0.38408999999999999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136.49999999999997</v>
      </c>
      <c r="BN338" s="64">
        <f>IFERROR(Y338*I338/H338,"0")</f>
        <v>138.06</v>
      </c>
      <c r="BO338" s="64">
        <f>IFERROR(1/J338*(X338/H338),"0")</f>
        <v>0.32051282051282048</v>
      </c>
      <c r="BP338" s="64">
        <f>IFERROR(1/J338*(Y338/H338),"0")</f>
        <v>0.32417582417582419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72</v>
      </c>
      <c r="X339" s="545">
        <f>IFERROR(X336/H336,"0")+IFERROR(X337/H337,"0")+IFERROR(X338/H338,"0")</f>
        <v>108.33333333333333</v>
      </c>
      <c r="Y339" s="545">
        <f>IFERROR(Y336/H336,"0")+IFERROR(Y337/H337,"0")+IFERROR(Y338/H338,"0")</f>
        <v>109</v>
      </c>
      <c r="Z339" s="545">
        <f>IFERROR(IF(Z336="",0,Z336),"0")+IFERROR(IF(Z337="",0,Z337),"0")+IFERROR(IF(Z338="",0,Z338),"0")</f>
        <v>0.70958999999999994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9" t="s">
        <v>71</v>
      </c>
      <c r="Q340" s="560"/>
      <c r="R340" s="560"/>
      <c r="S340" s="560"/>
      <c r="T340" s="560"/>
      <c r="U340" s="560"/>
      <c r="V340" s="561"/>
      <c r="W340" s="37" t="s">
        <v>69</v>
      </c>
      <c r="X340" s="545">
        <f>IFERROR(SUM(X336:X338),"0")</f>
        <v>227.5</v>
      </c>
      <c r="Y340" s="545">
        <f>IFERROR(SUM(Y336:Y338),"0")</f>
        <v>228.9</v>
      </c>
      <c r="Z340" s="37"/>
      <c r="AA340" s="546"/>
      <c r="AB340" s="546"/>
      <c r="AC340" s="546"/>
    </row>
    <row r="341" spans="1:68" ht="27.75" customHeight="1" x14ac:dyDescent="0.2">
      <c r="A341" s="631" t="s">
        <v>541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48"/>
      <c r="AB341" s="48"/>
      <c r="AC341" s="48"/>
    </row>
    <row r="342" spans="1:68" ht="16.5" customHeight="1" x14ac:dyDescent="0.25">
      <c r="A342" s="595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3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2">
        <v>4680115884847</v>
      </c>
      <c r="E344" s="553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2">
        <v>4680115884854</v>
      </c>
      <c r="E345" s="553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7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2">
        <v>4680115884830</v>
      </c>
      <c r="E346" s="553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6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2">
        <v>4680115887046</v>
      </c>
      <c r="E347" s="553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618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2">
        <v>4680115882638</v>
      </c>
      <c r="E348" s="553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2">
        <v>4680115884922</v>
      </c>
      <c r="E349" s="553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2">
        <v>4680115884861</v>
      </c>
      <c r="E350" s="553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175</v>
      </c>
      <c r="Y350" s="544">
        <f t="shared" si="36"/>
        <v>175</v>
      </c>
      <c r="Z350" s="36">
        <f>IFERROR(IF(Y350=0,"",ROUNDUP(Y350/H350,0)*0.00902),"")</f>
        <v>0.31569999999999998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181.65000000000003</v>
      </c>
      <c r="BN350" s="64">
        <f t="shared" si="38"/>
        <v>181.65000000000003</v>
      </c>
      <c r="BO350" s="64">
        <f t="shared" si="39"/>
        <v>0.26515151515151514</v>
      </c>
      <c r="BP350" s="64">
        <f t="shared" si="40"/>
        <v>0.26515151515151514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35</v>
      </c>
      <c r="Y351" s="545">
        <f>IFERROR(Y344/H344,"0")+IFERROR(Y345/H345,"0")+IFERROR(Y346/H346,"0")+IFERROR(Y347/H347,"0")+IFERROR(Y348/H348,"0")+IFERROR(Y349/H349,"0")+IFERROR(Y350/H350,"0")</f>
        <v>35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0.31569999999999998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9" t="s">
        <v>71</v>
      </c>
      <c r="Q352" s="560"/>
      <c r="R352" s="560"/>
      <c r="S352" s="560"/>
      <c r="T352" s="560"/>
      <c r="U352" s="560"/>
      <c r="V352" s="561"/>
      <c r="W352" s="37" t="s">
        <v>69</v>
      </c>
      <c r="X352" s="545">
        <f>IFERROR(SUM(X344:X350),"0")</f>
        <v>175</v>
      </c>
      <c r="Y352" s="545">
        <f>IFERROR(SUM(Y344:Y350),"0")</f>
        <v>175</v>
      </c>
      <c r="Z352" s="37"/>
      <c r="AA352" s="546"/>
      <c r="AB352" s="546"/>
      <c r="AC352" s="546"/>
    </row>
    <row r="353" spans="1:68" ht="14.25" customHeight="1" x14ac:dyDescent="0.25">
      <c r="A353" s="563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2">
        <v>4607091383980</v>
      </c>
      <c r="E354" s="553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2">
        <v>4607091384178</v>
      </c>
      <c r="E355" s="553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120</v>
      </c>
      <c r="Y355" s="544">
        <f>IFERROR(IF(X355="",0,CEILING((X355/$H355),1)*$H355),"")</f>
        <v>120</v>
      </c>
      <c r="Z355" s="36">
        <f>IFERROR(IF(Y355=0,"",ROUNDUP(Y355/H355,0)*0.00902),"")</f>
        <v>0.27060000000000001</v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125.70000000000002</v>
      </c>
      <c r="BN355" s="64">
        <f>IFERROR(Y355*I355/H355,"0")</f>
        <v>125.70000000000002</v>
      </c>
      <c r="BO355" s="64">
        <f>IFERROR(1/J355*(X355/H355),"0")</f>
        <v>0.22727272727272729</v>
      </c>
      <c r="BP355" s="64">
        <f>IFERROR(1/J355*(Y355/H355),"0")</f>
        <v>0.22727272727272729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72</v>
      </c>
      <c r="X356" s="545">
        <f>IFERROR(X354/H354,"0")+IFERROR(X355/H355,"0")</f>
        <v>30</v>
      </c>
      <c r="Y356" s="545">
        <f>IFERROR(Y354/H354,"0")+IFERROR(Y355/H355,"0")</f>
        <v>30</v>
      </c>
      <c r="Z356" s="545">
        <f>IFERROR(IF(Z354="",0,Z354),"0")+IFERROR(IF(Z355="",0,Z355),"0")</f>
        <v>0.27060000000000001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9" t="s">
        <v>71</v>
      </c>
      <c r="Q357" s="560"/>
      <c r="R357" s="560"/>
      <c r="S357" s="560"/>
      <c r="T357" s="560"/>
      <c r="U357" s="560"/>
      <c r="V357" s="561"/>
      <c r="W357" s="37" t="s">
        <v>69</v>
      </c>
      <c r="X357" s="545">
        <f>IFERROR(SUM(X354:X355),"0")</f>
        <v>120</v>
      </c>
      <c r="Y357" s="545">
        <f>IFERROR(SUM(Y354:Y355),"0")</f>
        <v>120</v>
      </c>
      <c r="Z357" s="37"/>
      <c r="AA357" s="546"/>
      <c r="AB357" s="546"/>
      <c r="AC357" s="546"/>
    </row>
    <row r="358" spans="1:68" ht="14.25" customHeight="1" x14ac:dyDescent="0.25">
      <c r="A358" s="563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2">
        <v>4607091383928</v>
      </c>
      <c r="E359" s="553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2">
        <v>4607091384260</v>
      </c>
      <c r="E360" s="553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6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9" t="s">
        <v>71</v>
      </c>
      <c r="Q362" s="560"/>
      <c r="R362" s="560"/>
      <c r="S362" s="560"/>
      <c r="T362" s="560"/>
      <c r="U362" s="560"/>
      <c r="V362" s="561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3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2">
        <v>4607091384673</v>
      </c>
      <c r="E364" s="553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9" t="s">
        <v>71</v>
      </c>
      <c r="Q366" s="560"/>
      <c r="R366" s="560"/>
      <c r="S366" s="560"/>
      <c r="T366" s="560"/>
      <c r="U366" s="560"/>
      <c r="V366" s="561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95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3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2">
        <v>4680115884885</v>
      </c>
      <c r="E369" s="553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2">
        <v>4680115884908</v>
      </c>
      <c r="E370" s="553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9" t="s">
        <v>71</v>
      </c>
      <c r="Q372" s="560"/>
      <c r="R372" s="560"/>
      <c r="S372" s="560"/>
      <c r="T372" s="560"/>
      <c r="U372" s="560"/>
      <c r="V372" s="561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3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2">
        <v>4607091384802</v>
      </c>
      <c r="E374" s="553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3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2">
        <v>4607091384802</v>
      </c>
      <c r="E375" s="553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9" t="s">
        <v>71</v>
      </c>
      <c r="Q377" s="560"/>
      <c r="R377" s="560"/>
      <c r="S377" s="560"/>
      <c r="T377" s="560"/>
      <c r="U377" s="560"/>
      <c r="V377" s="561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3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2">
        <v>4607091384246</v>
      </c>
      <c r="E379" s="553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2">
        <v>4607091384253</v>
      </c>
      <c r="E380" s="553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9" t="s">
        <v>71</v>
      </c>
      <c r="Q382" s="560"/>
      <c r="R382" s="560"/>
      <c r="S382" s="560"/>
      <c r="T382" s="560"/>
      <c r="U382" s="560"/>
      <c r="V382" s="561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631" t="s">
        <v>593</v>
      </c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2"/>
      <c r="P383" s="632"/>
      <c r="Q383" s="632"/>
      <c r="R383" s="632"/>
      <c r="S383" s="632"/>
      <c r="T383" s="632"/>
      <c r="U383" s="632"/>
      <c r="V383" s="632"/>
      <c r="W383" s="632"/>
      <c r="X383" s="632"/>
      <c r="Y383" s="632"/>
      <c r="Z383" s="632"/>
      <c r="AA383" s="48"/>
      <c r="AB383" s="48"/>
      <c r="AC383" s="48"/>
    </row>
    <row r="384" spans="1:68" ht="16.5" customHeight="1" x14ac:dyDescent="0.25">
      <c r="A384" s="595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3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2">
        <v>4680115886100</v>
      </c>
      <c r="E386" s="553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5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2">
        <v>4680115886117</v>
      </c>
      <c r="E387" s="553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2">
        <v>4680115886124</v>
      </c>
      <c r="E388" s="553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69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2">
        <v>4680115883147</v>
      </c>
      <c r="E389" s="553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2">
        <v>4607091384338</v>
      </c>
      <c r="E390" s="553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105</v>
      </c>
      <c r="Y390" s="544">
        <f t="shared" si="41"/>
        <v>105</v>
      </c>
      <c r="Z390" s="36">
        <f t="shared" si="46"/>
        <v>0.251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2">
        <v>4607091389524</v>
      </c>
      <c r="E391" s="553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105</v>
      </c>
      <c r="Y391" s="544">
        <f t="shared" si="41"/>
        <v>105</v>
      </c>
      <c r="Z391" s="36">
        <f t="shared" si="46"/>
        <v>0.251</v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111.5</v>
      </c>
      <c r="BN391" s="64">
        <f t="shared" si="43"/>
        <v>111.5</v>
      </c>
      <c r="BO391" s="64">
        <f t="shared" si="44"/>
        <v>0.21367521367521369</v>
      </c>
      <c r="BP391" s="64">
        <f t="shared" si="45"/>
        <v>0.21367521367521369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2">
        <v>4680115883161</v>
      </c>
      <c r="E392" s="553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2">
        <v>4607091389531</v>
      </c>
      <c r="E393" s="553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122.5</v>
      </c>
      <c r="Y393" s="544">
        <f t="shared" si="41"/>
        <v>123.9</v>
      </c>
      <c r="Z393" s="36">
        <f t="shared" si="46"/>
        <v>0.29618</v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130.08333333333334</v>
      </c>
      <c r="BN393" s="64">
        <f t="shared" si="43"/>
        <v>131.57</v>
      </c>
      <c r="BO393" s="64">
        <f t="shared" si="44"/>
        <v>0.2492877492877493</v>
      </c>
      <c r="BP393" s="64">
        <f t="shared" si="45"/>
        <v>0.25213675213675218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2">
        <v>4607091384345</v>
      </c>
      <c r="E394" s="553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105</v>
      </c>
      <c r="Y394" s="544">
        <f t="shared" si="41"/>
        <v>105</v>
      </c>
      <c r="Z394" s="36">
        <f t="shared" si="46"/>
        <v>0.251</v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111.5</v>
      </c>
      <c r="BN394" s="64">
        <f t="shared" si="43"/>
        <v>111.5</v>
      </c>
      <c r="BO394" s="64">
        <f t="shared" si="44"/>
        <v>0.21367521367521369</v>
      </c>
      <c r="BP394" s="64">
        <f t="shared" si="45"/>
        <v>0.21367521367521369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208.33333333333331</v>
      </c>
      <c r="Y395" s="545">
        <f>IFERROR(Y386/H386,"0")+IFERROR(Y387/H387,"0")+IFERROR(Y388/H388,"0")+IFERROR(Y389/H389,"0")+IFERROR(Y390/H390,"0")+IFERROR(Y391/H391,"0")+IFERROR(Y392/H392,"0")+IFERROR(Y393/H393,"0")+IFERROR(Y394/H394,"0")</f>
        <v>209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1.04918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9" t="s">
        <v>71</v>
      </c>
      <c r="Q396" s="560"/>
      <c r="R396" s="560"/>
      <c r="S396" s="560"/>
      <c r="T396" s="560"/>
      <c r="U396" s="560"/>
      <c r="V396" s="561"/>
      <c r="W396" s="37" t="s">
        <v>69</v>
      </c>
      <c r="X396" s="545">
        <f>IFERROR(SUM(X386:X394),"0")</f>
        <v>437.5</v>
      </c>
      <c r="Y396" s="545">
        <f>IFERROR(SUM(Y386:Y394),"0")</f>
        <v>438.9</v>
      </c>
      <c r="Z396" s="37"/>
      <c r="AA396" s="546"/>
      <c r="AB396" s="546"/>
      <c r="AC396" s="546"/>
    </row>
    <row r="397" spans="1:68" ht="14.25" customHeight="1" x14ac:dyDescent="0.25">
      <c r="A397" s="563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2">
        <v>4607091384352</v>
      </c>
      <c r="E398" s="553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180</v>
      </c>
      <c r="Y398" s="544">
        <f>IFERROR(IF(X398="",0,CEILING((X398/$H398),1)*$H398),"")</f>
        <v>180</v>
      </c>
      <c r="Z398" s="36">
        <f>IFERROR(IF(Y398=0,"",ROUNDUP(Y398/H398,0)*0.00902),"")</f>
        <v>0.67649999999999999</v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196.95000000000002</v>
      </c>
      <c r="BN398" s="64">
        <f>IFERROR(Y398*I398/H398,"0")</f>
        <v>196.95000000000002</v>
      </c>
      <c r="BO398" s="64">
        <f>IFERROR(1/J398*(X398/H398),"0")</f>
        <v>0.56818181818181823</v>
      </c>
      <c r="BP398" s="64">
        <f>IFERROR(1/J398*(Y398/H398),"0")</f>
        <v>0.56818181818181823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2">
        <v>4607091389654</v>
      </c>
      <c r="E399" s="553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99</v>
      </c>
      <c r="Y399" s="544">
        <f>IFERROR(IF(X399="",0,CEILING((X399/$H399),1)*$H399),"")</f>
        <v>99</v>
      </c>
      <c r="Z399" s="36">
        <f>IFERROR(IF(Y399=0,"",ROUNDUP(Y399/H399,0)*0.00651),"")</f>
        <v>0.32550000000000001</v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111.9</v>
      </c>
      <c r="BN399" s="64">
        <f>IFERROR(Y399*I399/H399,"0")</f>
        <v>111.9</v>
      </c>
      <c r="BO399" s="64">
        <f>IFERROR(1/J399*(X399/H399),"0")</f>
        <v>0.27472527472527475</v>
      </c>
      <c r="BP399" s="64">
        <f>IFERROR(1/J399*(Y399/H399),"0")</f>
        <v>0.27472527472527475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72</v>
      </c>
      <c r="X400" s="545">
        <f>IFERROR(X398/H398,"0")+IFERROR(X399/H399,"0")</f>
        <v>125</v>
      </c>
      <c r="Y400" s="545">
        <f>IFERROR(Y398/H398,"0")+IFERROR(Y399/H399,"0")</f>
        <v>125</v>
      </c>
      <c r="Z400" s="545">
        <f>IFERROR(IF(Z398="",0,Z398),"0")+IFERROR(IF(Z399="",0,Z399),"0")</f>
        <v>1.002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9" t="s">
        <v>71</v>
      </c>
      <c r="Q401" s="560"/>
      <c r="R401" s="560"/>
      <c r="S401" s="560"/>
      <c r="T401" s="560"/>
      <c r="U401" s="560"/>
      <c r="V401" s="561"/>
      <c r="W401" s="37" t="s">
        <v>69</v>
      </c>
      <c r="X401" s="545">
        <f>IFERROR(SUM(X398:X399),"0")</f>
        <v>279</v>
      </c>
      <c r="Y401" s="545">
        <f>IFERROR(SUM(Y398:Y399),"0")</f>
        <v>279</v>
      </c>
      <c r="Z401" s="37"/>
      <c r="AA401" s="546"/>
      <c r="AB401" s="546"/>
      <c r="AC401" s="546"/>
    </row>
    <row r="402" spans="1:68" ht="16.5" customHeight="1" x14ac:dyDescent="0.25">
      <c r="A402" s="595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3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2">
        <v>4680115885240</v>
      </c>
      <c r="E404" s="553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9" t="s">
        <v>71</v>
      </c>
      <c r="Q406" s="560"/>
      <c r="R406" s="560"/>
      <c r="S406" s="560"/>
      <c r="T406" s="560"/>
      <c r="U406" s="560"/>
      <c r="V406" s="561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3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2">
        <v>4680115886094</v>
      </c>
      <c r="E408" s="553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2">
        <v>4607091389425</v>
      </c>
      <c r="E409" s="553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2">
        <v>4680115880771</v>
      </c>
      <c r="E410" s="553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2">
        <v>4607091389500</v>
      </c>
      <c r="E411" s="553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9" t="s">
        <v>71</v>
      </c>
      <c r="Q413" s="560"/>
      <c r="R413" s="560"/>
      <c r="S413" s="560"/>
      <c r="T413" s="560"/>
      <c r="U413" s="560"/>
      <c r="V413" s="561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95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3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2">
        <v>4680115885110</v>
      </c>
      <c r="E416" s="553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9" t="s">
        <v>71</v>
      </c>
      <c r="Q418" s="560"/>
      <c r="R418" s="560"/>
      <c r="S418" s="560"/>
      <c r="T418" s="560"/>
      <c r="U418" s="560"/>
      <c r="V418" s="561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631" t="s">
        <v>644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48"/>
      <c r="AB419" s="48"/>
      <c r="AC419" s="48"/>
    </row>
    <row r="420" spans="1:68" ht="16.5" customHeight="1" x14ac:dyDescent="0.25">
      <c r="A420" s="595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3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2">
        <v>4607091389067</v>
      </c>
      <c r="E422" s="553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2">
        <v>4680115885271</v>
      </c>
      <c r="E423" s="553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2">
        <v>4680115885226</v>
      </c>
      <c r="E424" s="553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2">
        <v>4607091383522</v>
      </c>
      <c r="E425" s="553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2">
        <v>4680115884502</v>
      </c>
      <c r="E426" s="553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2">
        <v>4607091389104</v>
      </c>
      <c r="E427" s="553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2">
        <v>4680115886391</v>
      </c>
      <c r="E428" s="553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2">
        <v>4680115880603</v>
      </c>
      <c r="E429" s="553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2">
        <v>4680115882782</v>
      </c>
      <c r="E430" s="553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2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2">
        <v>4680115885479</v>
      </c>
      <c r="E431" s="553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2">
        <v>4607091389982</v>
      </c>
      <c r="E432" s="553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150</v>
      </c>
      <c r="Y432" s="544">
        <f t="shared" si="47"/>
        <v>153.6</v>
      </c>
      <c r="Z432" s="36">
        <f>IFERROR(IF(Y432=0,"",ROUNDUP(Y432/H432,0)*0.00902),"")</f>
        <v>0.28864000000000001</v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215.9375</v>
      </c>
      <c r="BN432" s="64">
        <f t="shared" si="50"/>
        <v>221.12</v>
      </c>
      <c r="BO432" s="64">
        <f t="shared" si="51"/>
        <v>0.23674242424242425</v>
      </c>
      <c r="BP432" s="64">
        <f t="shared" si="52"/>
        <v>0.24242424242424243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31.25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0.28864000000000001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9" t="s">
        <v>71</v>
      </c>
      <c r="Q434" s="560"/>
      <c r="R434" s="560"/>
      <c r="S434" s="560"/>
      <c r="T434" s="560"/>
      <c r="U434" s="560"/>
      <c r="V434" s="561"/>
      <c r="W434" s="37" t="s">
        <v>69</v>
      </c>
      <c r="X434" s="545">
        <f>IFERROR(SUM(X422:X432),"0")</f>
        <v>150</v>
      </c>
      <c r="Y434" s="545">
        <f>IFERROR(SUM(Y422:Y432),"0")</f>
        <v>153.6</v>
      </c>
      <c r="Z434" s="37"/>
      <c r="AA434" s="546"/>
      <c r="AB434" s="546"/>
      <c r="AC434" s="546"/>
    </row>
    <row r="435" spans="1:68" ht="14.25" customHeight="1" x14ac:dyDescent="0.25">
      <c r="A435" s="563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2">
        <v>4607091388930</v>
      </c>
      <c r="E436" s="553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2">
        <v>4680115886407</v>
      </c>
      <c r="E437" s="553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2">
        <v>4680115880054</v>
      </c>
      <c r="E438" s="553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9" t="s">
        <v>71</v>
      </c>
      <c r="Q440" s="560"/>
      <c r="R440" s="560"/>
      <c r="S440" s="560"/>
      <c r="T440" s="560"/>
      <c r="U440" s="560"/>
      <c r="V440" s="561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3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2">
        <v>4680115883116</v>
      </c>
      <c r="E442" s="553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2">
        <v>4680115883093</v>
      </c>
      <c r="E443" s="553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2">
        <v>4680115883109</v>
      </c>
      <c r="E444" s="553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5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2">
        <v>4680115882072</v>
      </c>
      <c r="E445" s="553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2">
        <v>4680115882102</v>
      </c>
      <c r="E446" s="553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2">
        <v>4680115882096</v>
      </c>
      <c r="E447" s="553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9" t="s">
        <v>71</v>
      </c>
      <c r="Q449" s="560"/>
      <c r="R449" s="560"/>
      <c r="S449" s="560"/>
      <c r="T449" s="560"/>
      <c r="U449" s="560"/>
      <c r="V449" s="561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3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2">
        <v>4607091383409</v>
      </c>
      <c r="E451" s="553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2">
        <v>4607091383416</v>
      </c>
      <c r="E452" s="553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2">
        <v>4680115883536</v>
      </c>
      <c r="E453" s="553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2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9" t="s">
        <v>71</v>
      </c>
      <c r="Q455" s="560"/>
      <c r="R455" s="560"/>
      <c r="S455" s="560"/>
      <c r="T455" s="560"/>
      <c r="U455" s="560"/>
      <c r="V455" s="561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631" t="s">
        <v>704</v>
      </c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2"/>
      <c r="P456" s="632"/>
      <c r="Q456" s="632"/>
      <c r="R456" s="632"/>
      <c r="S456" s="632"/>
      <c r="T456" s="632"/>
      <c r="U456" s="632"/>
      <c r="V456" s="632"/>
      <c r="W456" s="632"/>
      <c r="X456" s="632"/>
      <c r="Y456" s="632"/>
      <c r="Z456" s="632"/>
      <c r="AA456" s="48"/>
      <c r="AB456" s="48"/>
      <c r="AC456" s="48"/>
    </row>
    <row r="457" spans="1:68" ht="16.5" customHeight="1" x14ac:dyDescent="0.25">
      <c r="A457" s="595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3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2">
        <v>4640242181011</v>
      </c>
      <c r="E459" s="553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69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2">
        <v>4640242180441</v>
      </c>
      <c r="E460" s="553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2">
        <v>4640242180564</v>
      </c>
      <c r="E461" s="553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2">
        <v>4640242181189</v>
      </c>
      <c r="E462" s="553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9" t="s">
        <v>71</v>
      </c>
      <c r="Q464" s="560"/>
      <c r="R464" s="560"/>
      <c r="S464" s="560"/>
      <c r="T464" s="560"/>
      <c r="U464" s="560"/>
      <c r="V464" s="561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3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2">
        <v>4640242180519</v>
      </c>
      <c r="E466" s="553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2">
        <v>4640242180526</v>
      </c>
      <c r="E467" s="553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2">
        <v>4640242181363</v>
      </c>
      <c r="E468" s="553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4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9" t="s">
        <v>71</v>
      </c>
      <c r="Q470" s="560"/>
      <c r="R470" s="560"/>
      <c r="S470" s="560"/>
      <c r="T470" s="560"/>
      <c r="U470" s="560"/>
      <c r="V470" s="561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3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2">
        <v>4640242180816</v>
      </c>
      <c r="E472" s="553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2">
        <v>4640242180595</v>
      </c>
      <c r="E473" s="553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9" t="s">
        <v>71</v>
      </c>
      <c r="Q475" s="560"/>
      <c r="R475" s="560"/>
      <c r="S475" s="560"/>
      <c r="T475" s="560"/>
      <c r="U475" s="560"/>
      <c r="V475" s="561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3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2">
        <v>4640242180533</v>
      </c>
      <c r="E477" s="553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9" t="s">
        <v>71</v>
      </c>
      <c r="Q479" s="560"/>
      <c r="R479" s="560"/>
      <c r="S479" s="560"/>
      <c r="T479" s="560"/>
      <c r="U479" s="560"/>
      <c r="V479" s="561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3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2">
        <v>4640242180120</v>
      </c>
      <c r="E481" s="553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2">
        <v>4640242180137</v>
      </c>
      <c r="E482" s="553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0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9" t="s">
        <v>71</v>
      </c>
      <c r="Q484" s="560"/>
      <c r="R484" s="560"/>
      <c r="S484" s="560"/>
      <c r="T484" s="560"/>
      <c r="U484" s="560"/>
      <c r="V484" s="561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95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3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2">
        <v>4640242180090</v>
      </c>
      <c r="E487" s="553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9" t="s">
        <v>71</v>
      </c>
      <c r="Q489" s="560"/>
      <c r="R489" s="560"/>
      <c r="S489" s="560"/>
      <c r="T489" s="560"/>
      <c r="U489" s="560"/>
      <c r="V489" s="561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3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4"/>
      <c r="P490" s="598" t="s">
        <v>744</v>
      </c>
      <c r="Q490" s="599"/>
      <c r="R490" s="599"/>
      <c r="S490" s="599"/>
      <c r="T490" s="599"/>
      <c r="U490" s="599"/>
      <c r="V490" s="577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3909.9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3929.42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4"/>
      <c r="P491" s="598" t="s">
        <v>745</v>
      </c>
      <c r="Q491" s="599"/>
      <c r="R491" s="599"/>
      <c r="S491" s="599"/>
      <c r="T491" s="599"/>
      <c r="U491" s="599"/>
      <c r="V491" s="577"/>
      <c r="W491" s="37" t="s">
        <v>69</v>
      </c>
      <c r="X491" s="545">
        <f>IFERROR(SUM(BM22:BM487),"0")</f>
        <v>4337.5041666666666</v>
      </c>
      <c r="Y491" s="545">
        <f>IFERROR(SUM(BN22:BN487),"0")</f>
        <v>4360.0479999999998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4"/>
      <c r="P492" s="598" t="s">
        <v>746</v>
      </c>
      <c r="Q492" s="599"/>
      <c r="R492" s="599"/>
      <c r="S492" s="599"/>
      <c r="T492" s="599"/>
      <c r="U492" s="599"/>
      <c r="V492" s="577"/>
      <c r="W492" s="37" t="s">
        <v>747</v>
      </c>
      <c r="X492" s="38">
        <f>ROUNDUP(SUM(BO22:BO487),0)</f>
        <v>10</v>
      </c>
      <c r="Y492" s="38">
        <f>ROUNDUP(SUM(BP22:BP487),0)</f>
        <v>10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4"/>
      <c r="P493" s="598" t="s">
        <v>748</v>
      </c>
      <c r="Q493" s="599"/>
      <c r="R493" s="599"/>
      <c r="S493" s="599"/>
      <c r="T493" s="599"/>
      <c r="U493" s="599"/>
      <c r="V493" s="577"/>
      <c r="W493" s="37" t="s">
        <v>69</v>
      </c>
      <c r="X493" s="545">
        <f>GrossWeightTotal+PalletQtyTotal*25</f>
        <v>4587.5041666666666</v>
      </c>
      <c r="Y493" s="545">
        <f>GrossWeightTotalR+PalletQtyTotalR*25</f>
        <v>4610.0479999999998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4"/>
      <c r="P494" s="598" t="s">
        <v>749</v>
      </c>
      <c r="Q494" s="599"/>
      <c r="R494" s="599"/>
      <c r="S494" s="599"/>
      <c r="T494" s="599"/>
      <c r="U494" s="599"/>
      <c r="V494" s="577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1550.2499999999998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1558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4"/>
      <c r="P495" s="598" t="s">
        <v>750</v>
      </c>
      <c r="Q495" s="599"/>
      <c r="R495" s="599"/>
      <c r="S495" s="599"/>
      <c r="T495" s="599"/>
      <c r="U495" s="599"/>
      <c r="V495" s="577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10.817400000000003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47" t="s">
        <v>99</v>
      </c>
      <c r="D497" s="593"/>
      <c r="E497" s="593"/>
      <c r="F497" s="593"/>
      <c r="G497" s="593"/>
      <c r="H497" s="594"/>
      <c r="I497" s="547" t="s">
        <v>255</v>
      </c>
      <c r="J497" s="593"/>
      <c r="K497" s="593"/>
      <c r="L497" s="593"/>
      <c r="M497" s="593"/>
      <c r="N497" s="593"/>
      <c r="O497" s="593"/>
      <c r="P497" s="593"/>
      <c r="Q497" s="593"/>
      <c r="R497" s="594"/>
      <c r="S497" s="547" t="s">
        <v>541</v>
      </c>
      <c r="T497" s="594"/>
      <c r="U497" s="547" t="s">
        <v>593</v>
      </c>
      <c r="V497" s="593"/>
      <c r="W497" s="594"/>
      <c r="X497" s="540" t="s">
        <v>644</v>
      </c>
      <c r="Y497" s="547" t="s">
        <v>704</v>
      </c>
      <c r="Z497" s="594"/>
      <c r="AB497" s="52"/>
      <c r="AC497" s="52"/>
      <c r="AF497" s="541"/>
    </row>
    <row r="498" spans="1:32" ht="14.25" customHeight="1" thickTop="1" x14ac:dyDescent="0.2">
      <c r="A498" s="811" t="s">
        <v>753</v>
      </c>
      <c r="B498" s="547" t="s">
        <v>63</v>
      </c>
      <c r="C498" s="547" t="s">
        <v>100</v>
      </c>
      <c r="D498" s="547" t="s">
        <v>117</v>
      </c>
      <c r="E498" s="547" t="s">
        <v>171</v>
      </c>
      <c r="F498" s="547" t="s">
        <v>190</v>
      </c>
      <c r="G498" s="547" t="s">
        <v>220</v>
      </c>
      <c r="H498" s="547" t="s">
        <v>99</v>
      </c>
      <c r="I498" s="547" t="s">
        <v>256</v>
      </c>
      <c r="J498" s="547" t="s">
        <v>301</v>
      </c>
      <c r="K498" s="547" t="s">
        <v>361</v>
      </c>
      <c r="L498" s="547" t="s">
        <v>403</v>
      </c>
      <c r="M498" s="547" t="s">
        <v>419</v>
      </c>
      <c r="N498" s="541"/>
      <c r="O498" s="547" t="s">
        <v>430</v>
      </c>
      <c r="P498" s="547" t="s">
        <v>439</v>
      </c>
      <c r="Q498" s="547" t="s">
        <v>453</v>
      </c>
      <c r="R498" s="547" t="s">
        <v>531</v>
      </c>
      <c r="S498" s="547" t="s">
        <v>542</v>
      </c>
      <c r="T498" s="547" t="s">
        <v>577</v>
      </c>
      <c r="U498" s="547" t="s">
        <v>594</v>
      </c>
      <c r="V498" s="547" t="s">
        <v>625</v>
      </c>
      <c r="W498" s="547" t="s">
        <v>640</v>
      </c>
      <c r="X498" s="547" t="s">
        <v>644</v>
      </c>
      <c r="Y498" s="547" t="s">
        <v>704</v>
      </c>
      <c r="Z498" s="547" t="s">
        <v>740</v>
      </c>
      <c r="AB498" s="52"/>
      <c r="AC498" s="52"/>
      <c r="AF498" s="541"/>
    </row>
    <row r="499" spans="1:32" ht="13.5" customHeight="1" thickBot="1" x14ac:dyDescent="0.25">
      <c r="A499" s="812"/>
      <c r="B499" s="548"/>
      <c r="C499" s="548"/>
      <c r="D499" s="548"/>
      <c r="E499" s="548"/>
      <c r="F499" s="548"/>
      <c r="G499" s="548"/>
      <c r="H499" s="548"/>
      <c r="I499" s="548"/>
      <c r="J499" s="548"/>
      <c r="K499" s="548"/>
      <c r="L499" s="548"/>
      <c r="M499" s="548"/>
      <c r="N499" s="541"/>
      <c r="O499" s="548"/>
      <c r="P499" s="548"/>
      <c r="Q499" s="548"/>
      <c r="R499" s="548"/>
      <c r="S499" s="548"/>
      <c r="T499" s="548"/>
      <c r="U499" s="548"/>
      <c r="V499" s="548"/>
      <c r="W499" s="548"/>
      <c r="X499" s="548"/>
      <c r="Y499" s="548"/>
      <c r="Z499" s="54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90</v>
      </c>
      <c r="C500" s="46">
        <f>IFERROR(Y40*1,"0")+IFERROR(Y41*1,"0")+IFERROR(Y42*1,"0")+IFERROR(Y46*1,"0")</f>
        <v>246.2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475.5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232.92000000000002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302.39999999999998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240</v>
      </c>
      <c r="L500" s="46">
        <f>IFERROR(Y255*1,"0")+IFERROR(Y256*1,"0")+IFERROR(Y257*1,"0")+IFERROR(Y258*1,"0")+IFERROR(Y259*1,"0")</f>
        <v>120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261.60000000000002</v>
      </c>
      <c r="P500" s="46">
        <f>IFERROR(Y279*1,"0")+IFERROR(Y280*1,"0")+IFERROR(Y284*1,"0")+IFERROR(Y285*1,"0")</f>
        <v>212.4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353</v>
      </c>
      <c r="R500" s="46">
        <f>IFERROR(Y336*1,"0")+IFERROR(Y337*1,"0")+IFERROR(Y338*1,"0")</f>
        <v>228.9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295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717.9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153.6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