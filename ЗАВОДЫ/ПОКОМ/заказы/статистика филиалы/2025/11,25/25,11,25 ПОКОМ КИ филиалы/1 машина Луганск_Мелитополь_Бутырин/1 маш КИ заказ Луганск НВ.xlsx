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B0FC2A86-14F9-40FC-8292-E66EA21A6BB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26" i="1" l="1"/>
  <c r="Z81" i="1"/>
  <c r="Y31" i="1"/>
  <c r="Y43" i="1"/>
  <c r="Y492" i="1" s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0" i="1" s="1"/>
  <c r="Z62" i="1"/>
  <c r="BN62" i="1"/>
  <c r="Z66" i="1"/>
  <c r="Z69" i="1" s="1"/>
  <c r="BN66" i="1"/>
  <c r="BP66" i="1"/>
  <c r="Z68" i="1"/>
  <c r="BN68" i="1"/>
  <c r="Z72" i="1"/>
  <c r="Z76" i="1" s="1"/>
  <c r="Y76" i="1"/>
  <c r="BP80" i="1"/>
  <c r="BN80" i="1"/>
  <c r="Z80" i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Z203" i="1" s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Z274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Z349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337" i="1"/>
  <c r="Z88" i="1"/>
  <c r="Z63" i="1"/>
  <c r="Z493" i="1" s="1"/>
  <c r="X491" i="1"/>
  <c r="Z304" i="1"/>
  <c r="Z294" i="1"/>
  <c r="Z116" i="1"/>
  <c r="Z95" i="1"/>
  <c r="Z431" i="1"/>
  <c r="Z267" i="1"/>
  <c r="Z259" i="1"/>
  <c r="Z250" i="1"/>
  <c r="Z171" i="1"/>
  <c r="Y488" i="1"/>
</calcChain>
</file>

<file path=xl/sharedStrings.xml><?xml version="1.0" encoding="utf-8"?>
<sst xmlns="http://schemas.openxmlformats.org/spreadsheetml/2006/main" count="2246" uniqueCount="759">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</sst>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299</v>
      </c>
      <c r="Y40" s="540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310.35092592592594</v>
      </c>
      <c r="BN40" s="64">
        <f>IFERROR(Y40*I40/H40,"0")</f>
        <v>313.88</v>
      </c>
      <c r="BO40" s="64">
        <f>IFERROR(1/J40*(X40/H40),"0")</f>
        <v>0.43258101851851849</v>
      </c>
      <c r="BP40" s="64">
        <f>IFERROR(1/J40*(Y40/H40),"0")</f>
        <v>0.4375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151</v>
      </c>
      <c r="Y42" s="540">
        <f>IFERROR(IF(X42="",0,CEILING((X42/$H42),1)*$H42),"")</f>
        <v>151.70000000000002</v>
      </c>
      <c r="Z42" s="36">
        <f>IFERROR(IF(Y42=0,"",ROUNDUP(Y42/H42,0)*0.00902),"")</f>
        <v>0.36982000000000004</v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158.75405405405405</v>
      </c>
      <c r="BN42" s="64">
        <f>IFERROR(Y42*I42/H42,"0")</f>
        <v>159.49</v>
      </c>
      <c r="BO42" s="64">
        <f>IFERROR(1/J42*(X42/H42),"0")</f>
        <v>0.30917280917280915</v>
      </c>
      <c r="BP42" s="64">
        <f>IFERROR(1/J42*(Y42/H42),"0")</f>
        <v>0.31060606060606061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68.495995995995997</v>
      </c>
      <c r="Y43" s="541">
        <f>IFERROR(Y40/H40,"0")+IFERROR(Y41/H41,"0")+IFERROR(Y42/H42,"0")</f>
        <v>69</v>
      </c>
      <c r="Z43" s="541">
        <f>IFERROR(IF(Z40="",0,Z40),"0")+IFERROR(IF(Z41="",0,Z41),"0")+IFERROR(IF(Z42="",0,Z42),"0")</f>
        <v>0.90126000000000006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450</v>
      </c>
      <c r="Y44" s="541">
        <f>IFERROR(SUM(Y40:Y42),"0")</f>
        <v>454.1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417</v>
      </c>
      <c r="Y52" s="540">
        <f t="shared" si="0"/>
        <v>421.20000000000005</v>
      </c>
      <c r="Z52" s="36">
        <f>IFERROR(IF(Y52=0,"",ROUNDUP(Y52/H52,0)*0.01898),"")</f>
        <v>0.74021999999999999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432.83055555555558</v>
      </c>
      <c r="BN52" s="64">
        <f t="shared" si="2"/>
        <v>437.19000000000005</v>
      </c>
      <c r="BO52" s="64">
        <f t="shared" si="3"/>
        <v>0.60329861111111105</v>
      </c>
      <c r="BP52" s="64">
        <f t="shared" si="4"/>
        <v>0.609375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116</v>
      </c>
      <c r="Y54" s="540">
        <f t="shared" si="0"/>
        <v>116</v>
      </c>
      <c r="Z54" s="36">
        <f>IFERROR(IF(Y54=0,"",ROUNDUP(Y54/H54,0)*0.00902),"")</f>
        <v>0.26158000000000003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121.51</v>
      </c>
      <c r="BN54" s="64">
        <f t="shared" si="2"/>
        <v>121.51</v>
      </c>
      <c r="BO54" s="64">
        <f t="shared" si="3"/>
        <v>0.2196969696969697</v>
      </c>
      <c r="BP54" s="64">
        <f t="shared" si="4"/>
        <v>0.2196969696969697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67.611111111111114</v>
      </c>
      <c r="Y57" s="541">
        <f>IFERROR(Y51/H51,"0")+IFERROR(Y52/H52,"0")+IFERROR(Y53/H53,"0")+IFERROR(Y54/H54,"0")+IFERROR(Y55/H55,"0")+IFERROR(Y56/H56,"0")</f>
        <v>68</v>
      </c>
      <c r="Z57" s="541">
        <f>IFERROR(IF(Z51="",0,Z51),"0")+IFERROR(IF(Z52="",0,Z52),"0")+IFERROR(IF(Z53="",0,Z53),"0")+IFERROR(IF(Z54="",0,Z54),"0")+IFERROR(IF(Z55="",0,Z55),"0")+IFERROR(IF(Z56="",0,Z56),"0")</f>
        <v>1.0018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533</v>
      </c>
      <c r="Y58" s="541">
        <f>IFERROR(SUM(Y51:Y56),"0")</f>
        <v>537.20000000000005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4</v>
      </c>
      <c r="Y79" s="540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4.2102564102564104</v>
      </c>
      <c r="BN79" s="64">
        <f>IFERROR(Y79*I79/H79,"0")</f>
        <v>8.2100000000000009</v>
      </c>
      <c r="BO79" s="64">
        <f>IFERROR(1/J79*(X79/H79),"0")</f>
        <v>8.0128205128205138E-3</v>
      </c>
      <c r="BP79" s="64">
        <f>IFERROR(1/J79*(Y79/H79),"0")</f>
        <v>1.5625E-2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3</v>
      </c>
      <c r="Y80" s="540">
        <f>IFERROR(IF(X80="",0,CEILING((X80/$H80),1)*$H80),"")</f>
        <v>4.8</v>
      </c>
      <c r="Z80" s="36">
        <f>IFERROR(IF(Y80=0,"",ROUNDUP(Y80/H80,0)*0.00902),"")</f>
        <v>1.804E-2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3.2374999999999998</v>
      </c>
      <c r="BN80" s="64">
        <f>IFERROR(Y80*I80/H80,"0")</f>
        <v>5.18</v>
      </c>
      <c r="BO80" s="64">
        <f>IFERROR(1/J80*(X80/H80),"0")</f>
        <v>9.46969696969697E-3</v>
      </c>
      <c r="BP80" s="64">
        <f>IFERROR(1/J80*(Y80/H80),"0")</f>
        <v>1.5151515151515152E-2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1.7628205128205128</v>
      </c>
      <c r="Y81" s="541">
        <f>IFERROR(Y79/H79,"0")+IFERROR(Y80/H80,"0")</f>
        <v>3</v>
      </c>
      <c r="Z81" s="541">
        <f>IFERROR(IF(Z79="",0,Z79),"0")+IFERROR(IF(Z80="",0,Z80),"0")</f>
        <v>3.7019999999999997E-2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7</v>
      </c>
      <c r="Y82" s="541">
        <f>IFERROR(SUM(Y79:Y80),"0")</f>
        <v>12.6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437</v>
      </c>
      <c r="Y85" s="540">
        <f>IFERROR(IF(X85="",0,CEILING((X85/$H85),1)*$H85),"")</f>
        <v>442.8</v>
      </c>
      <c r="Z85" s="36">
        <f>IFERROR(IF(Y85=0,"",ROUNDUP(Y85/H85,0)*0.01898),"")</f>
        <v>0.77817999999999998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453.58981481481482</v>
      </c>
      <c r="BN85" s="64">
        <f>IFERROR(Y85*I85/H85,"0")</f>
        <v>459.61</v>
      </c>
      <c r="BO85" s="64">
        <f>IFERROR(1/J85*(X85/H85),"0")</f>
        <v>0.63223379629629628</v>
      </c>
      <c r="BP85" s="64">
        <f>IFERROR(1/J85*(Y85/H85),"0")</f>
        <v>0.640625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377</v>
      </c>
      <c r="Y87" s="540">
        <f>IFERROR(IF(X87="",0,CEILING((X87/$H87),1)*$H87),"")</f>
        <v>378</v>
      </c>
      <c r="Z87" s="36">
        <f>IFERROR(IF(Y87=0,"",ROUNDUP(Y87/H87,0)*0.00902),"")</f>
        <v>0.75768000000000002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392.91777777777781</v>
      </c>
      <c r="BN87" s="64">
        <f>IFERROR(Y87*I87/H87,"0")</f>
        <v>393.96000000000004</v>
      </c>
      <c r="BO87" s="64">
        <f>IFERROR(1/J87*(X87/H87),"0")</f>
        <v>0.63468013468013462</v>
      </c>
      <c r="BP87" s="64">
        <f>IFERROR(1/J87*(Y87/H87),"0")</f>
        <v>0.63636363636363635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124.24074074074073</v>
      </c>
      <c r="Y88" s="541">
        <f>IFERROR(Y85/H85,"0")+IFERROR(Y86/H86,"0")+IFERROR(Y87/H87,"0")</f>
        <v>125</v>
      </c>
      <c r="Z88" s="541">
        <f>IFERROR(IF(Z85="",0,Z85),"0")+IFERROR(IF(Z86="",0,Z86),"0")+IFERROR(IF(Z87="",0,Z87),"0")</f>
        <v>1.53586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814</v>
      </c>
      <c r="Y89" s="541">
        <f>IFERROR(SUM(Y85:Y87),"0")</f>
        <v>820.8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133</v>
      </c>
      <c r="Y91" s="540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141.11135802469136</v>
      </c>
      <c r="BN91" s="64">
        <f>IFERROR(Y91*I91/H91,"0")</f>
        <v>146.09799999999998</v>
      </c>
      <c r="BO91" s="64">
        <f>IFERROR(1/J91*(X91/H91),"0")</f>
        <v>0.25655864197530864</v>
      </c>
      <c r="BP91" s="64">
        <f>IFERROR(1/J91*(Y91/H91),"0")</f>
        <v>0.265625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92</v>
      </c>
      <c r="Y93" s="540">
        <f>IFERROR(IF(X93="",0,CEILING((X93/$H93),1)*$H93),"")</f>
        <v>94.5</v>
      </c>
      <c r="Z93" s="36">
        <f>IFERROR(IF(Y93=0,"",ROUNDUP(Y93/H93,0)*0.00651),"")</f>
        <v>0.22785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100.58666666666666</v>
      </c>
      <c r="BN93" s="64">
        <f>IFERROR(Y93*I93/H93,"0")</f>
        <v>103.32</v>
      </c>
      <c r="BO93" s="64">
        <f>IFERROR(1/J93*(X93/H93),"0")</f>
        <v>0.18722018722018721</v>
      </c>
      <c r="BP93" s="64">
        <f>IFERROR(1/J93*(Y93/H93),"0")</f>
        <v>0.19230769230769232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50.493827160493822</v>
      </c>
      <c r="Y95" s="541">
        <f>IFERROR(Y91/H91,"0")+IFERROR(Y92/H92,"0")+IFERROR(Y93/H93,"0")+IFERROR(Y94/H94,"0")</f>
        <v>52</v>
      </c>
      <c r="Z95" s="541">
        <f>IFERROR(IF(Z91="",0,Z91),"0")+IFERROR(IF(Z92="",0,Z92),"0")+IFERROR(IF(Z93="",0,Z93),"0")+IFERROR(IF(Z94="",0,Z94),"0")</f>
        <v>0.55051000000000005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225</v>
      </c>
      <c r="Y96" s="541">
        <f>IFERROR(SUM(Y91:Y94),"0")</f>
        <v>232.2</v>
      </c>
      <c r="Z96" s="37"/>
      <c r="AA96" s="542"/>
      <c r="AB96" s="542"/>
      <c r="AC96" s="542"/>
    </row>
    <row r="97" spans="1:68" ht="16.5" customHeight="1" x14ac:dyDescent="0.25">
      <c r="A97" s="552" t="s">
        <v>188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228</v>
      </c>
      <c r="Y99" s="540">
        <f>IFERROR(IF(X99="",0,CEILING((X99/$H99),1)*$H99),"")</f>
        <v>237.60000000000002</v>
      </c>
      <c r="Z99" s="36">
        <f>IFERROR(IF(Y99=0,"",ROUNDUP(Y99/H99,0)*0.01898),"")</f>
        <v>0.41755999999999999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236.65555555555554</v>
      </c>
      <c r="BN99" s="64">
        <f>IFERROR(Y99*I99/H99,"0")</f>
        <v>246.62000000000003</v>
      </c>
      <c r="BO99" s="64">
        <f>IFERROR(1/J99*(X99/H99),"0")</f>
        <v>0.3298611111111111</v>
      </c>
      <c r="BP99" s="64">
        <f>IFERROR(1/J99*(Y99/H99),"0")</f>
        <v>0.34375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62</v>
      </c>
      <c r="Y101" s="540">
        <f>IFERROR(IF(X101="",0,CEILING((X101/$H101),1)*$H101),"")</f>
        <v>63</v>
      </c>
      <c r="Z101" s="36">
        <f>IFERROR(IF(Y101=0,"",ROUNDUP(Y101/H101,0)*0.00902),"")</f>
        <v>0.12628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64.617777777777789</v>
      </c>
      <c r="BN101" s="64">
        <f>IFERROR(Y101*I101/H101,"0")</f>
        <v>65.660000000000011</v>
      </c>
      <c r="BO101" s="64">
        <f>IFERROR(1/J101*(X101/H101),"0")</f>
        <v>0.10437710437710439</v>
      </c>
      <c r="BP101" s="64">
        <f>IFERROR(1/J101*(Y101/H101),"0")</f>
        <v>0.10606060606060606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34.888888888888886</v>
      </c>
      <c r="Y103" s="541">
        <f>IFERROR(Y99/H99,"0")+IFERROR(Y100/H100,"0")+IFERROR(Y101/H101,"0")+IFERROR(Y102/H102,"0")</f>
        <v>36</v>
      </c>
      <c r="Z103" s="541">
        <f>IFERROR(IF(Z99="",0,Z99),"0")+IFERROR(IF(Z100="",0,Z100),"0")+IFERROR(IF(Z101="",0,Z101),"0")+IFERROR(IF(Z102="",0,Z102),"0")</f>
        <v>0.54383999999999999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290</v>
      </c>
      <c r="Y104" s="541">
        <f>IFERROR(SUM(Y99:Y102),"0")</f>
        <v>300.60000000000002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54</v>
      </c>
      <c r="Y106" s="540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56.05</v>
      </c>
      <c r="BN106" s="64">
        <f>IFERROR(Y106*I106/H106,"0")</f>
        <v>56.05</v>
      </c>
      <c r="BO106" s="64">
        <f>IFERROR(1/J106*(X106/H106),"0")</f>
        <v>7.8125E-2</v>
      </c>
      <c r="BP106" s="64">
        <f>IFERROR(1/J106*(Y106/H106),"0")</f>
        <v>7.8125E-2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20</v>
      </c>
      <c r="Y108" s="540">
        <f>IFERROR(IF(X108="",0,CEILING((X108/$H108),1)*$H108),"")</f>
        <v>21.599999999999998</v>
      </c>
      <c r="Z108" s="36">
        <f>IFERROR(IF(Y108=0,"",ROUNDUP(Y108/H108,0)*0.00651),"")</f>
        <v>5.8590000000000003E-2</v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21.5</v>
      </c>
      <c r="BN108" s="64">
        <f>IFERROR(Y108*I108/H108,"0")</f>
        <v>23.22</v>
      </c>
      <c r="BO108" s="64">
        <f>IFERROR(1/J108*(X108/H108),"0")</f>
        <v>4.5787545787545791E-2</v>
      </c>
      <c r="BP108" s="64">
        <f>IFERROR(1/J108*(Y108/H108),"0")</f>
        <v>4.9450549450549455E-2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13.333333333333334</v>
      </c>
      <c r="Y109" s="541">
        <f>IFERROR(Y106/H106,"0")+IFERROR(Y107/H107,"0")+IFERROR(Y108/H108,"0")</f>
        <v>14</v>
      </c>
      <c r="Z109" s="541">
        <f>IFERROR(IF(Z106="",0,Z106),"0")+IFERROR(IF(Z107="",0,Z107),"0")+IFERROR(IF(Z108="",0,Z108),"0")</f>
        <v>0.15349000000000002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74</v>
      </c>
      <c r="Y110" s="541">
        <f>IFERROR(SUM(Y106:Y108),"0")</f>
        <v>75.599999999999994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97</v>
      </c>
      <c r="Y112" s="540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102.84395061728395</v>
      </c>
      <c r="BN112" s="64">
        <f>IFERROR(Y112*I112/H112,"0")</f>
        <v>103.05599999999998</v>
      </c>
      <c r="BO112" s="64">
        <f>IFERROR(1/J112*(X112/H112),"0")</f>
        <v>0.1871141975308642</v>
      </c>
      <c r="BP112" s="64">
        <f>IFERROR(1/J112*(Y112/H112),"0")</f>
        <v>0.1875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210</v>
      </c>
      <c r="Y114" s="540">
        <f>IFERROR(IF(X114="",0,CEILING((X114/$H114),1)*$H114),"")</f>
        <v>210.60000000000002</v>
      </c>
      <c r="Z114" s="36">
        <f>IFERROR(IF(Y114=0,"",ROUNDUP(Y114/H114,0)*0.00651),"")</f>
        <v>0.50778000000000001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229.59999999999997</v>
      </c>
      <c r="BN114" s="64">
        <f>IFERROR(Y114*I114/H114,"0")</f>
        <v>230.25600000000003</v>
      </c>
      <c r="BO114" s="64">
        <f>IFERROR(1/J114*(X114/H114),"0")</f>
        <v>0.42735042735042733</v>
      </c>
      <c r="BP114" s="64">
        <f>IFERROR(1/J114*(Y114/H114),"0")</f>
        <v>0.4285714285714286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89.753086419753075</v>
      </c>
      <c r="Y116" s="541">
        <f>IFERROR(Y112/H112,"0")+IFERROR(Y113/H113,"0")+IFERROR(Y114/H114,"0")+IFERROR(Y115/H115,"0")</f>
        <v>90</v>
      </c>
      <c r="Z116" s="541">
        <f>IFERROR(IF(Z112="",0,Z112),"0")+IFERROR(IF(Z113="",0,Z113),"0")+IFERROR(IF(Z114="",0,Z114),"0")+IFERROR(IF(Z115="",0,Z115),"0")</f>
        <v>0.73554000000000008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307</v>
      </c>
      <c r="Y117" s="541">
        <f>IFERROR(SUM(Y112:Y115),"0")</f>
        <v>307.8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92</v>
      </c>
      <c r="Y161" s="540">
        <f t="shared" ref="Y161:Y170" si="5">IFERROR(IF(X161="",0,CEILING((X161/$H161),1)*$H161),"")</f>
        <v>92.4</v>
      </c>
      <c r="Z161" s="36">
        <f>IFERROR(IF(Y161=0,"",ROUNDUP(Y161/H161,0)*0.00902),"")</f>
        <v>0.19844000000000001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97.476190476190482</v>
      </c>
      <c r="BN161" s="64">
        <f t="shared" ref="BN161:BN170" si="7">IFERROR(Y161*I161/H161,"0")</f>
        <v>97.9</v>
      </c>
      <c r="BO161" s="64">
        <f t="shared" ref="BO161:BO170" si="8">IFERROR(1/J161*(X161/H161),"0")</f>
        <v>0.16594516594516595</v>
      </c>
      <c r="BP161" s="64">
        <f t="shared" ref="BP161:BP170" si="9">IFERROR(1/J161*(Y161/H161),"0")</f>
        <v>0.16666666666666669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34</v>
      </c>
      <c r="Y163" s="540">
        <f t="shared" si="5"/>
        <v>37.800000000000004</v>
      </c>
      <c r="Z163" s="36">
        <f>IFERROR(IF(Y163=0,"",ROUNDUP(Y163/H163,0)*0.00902),"")</f>
        <v>8.1180000000000002E-2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35.538095238095238</v>
      </c>
      <c r="BN163" s="64">
        <f t="shared" si="7"/>
        <v>39.51</v>
      </c>
      <c r="BO163" s="64">
        <f t="shared" si="8"/>
        <v>6.1327561327561328E-2</v>
      </c>
      <c r="BP163" s="64">
        <f t="shared" si="9"/>
        <v>6.8181818181818177E-2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117</v>
      </c>
      <c r="Y164" s="540">
        <f t="shared" si="5"/>
        <v>117.60000000000001</v>
      </c>
      <c r="Z164" s="36">
        <f>IFERROR(IF(Y164=0,"",ROUNDUP(Y164/H164,0)*0.00502),"")</f>
        <v>0.28112000000000004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124.24285714285715</v>
      </c>
      <c r="BN164" s="64">
        <f t="shared" si="7"/>
        <v>124.88</v>
      </c>
      <c r="BO164" s="64">
        <f t="shared" si="8"/>
        <v>0.23809523809523811</v>
      </c>
      <c r="BP164" s="64">
        <f t="shared" si="9"/>
        <v>0.23931623931623935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55</v>
      </c>
      <c r="Y167" s="540">
        <f t="shared" si="5"/>
        <v>55.800000000000004</v>
      </c>
      <c r="Z167" s="36">
        <f>IFERROR(IF(Y167=0,"",ROUNDUP(Y167/H167,0)*0.00502),"")</f>
        <v>0.15562000000000001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58.972222222222214</v>
      </c>
      <c r="BN167" s="64">
        <f t="shared" si="7"/>
        <v>59.83</v>
      </c>
      <c r="BO167" s="64">
        <f t="shared" si="8"/>
        <v>0.13057929724596393</v>
      </c>
      <c r="BP167" s="64">
        <f t="shared" si="9"/>
        <v>0.13247863247863248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273</v>
      </c>
      <c r="Y168" s="540">
        <f t="shared" si="5"/>
        <v>273</v>
      </c>
      <c r="Z168" s="36">
        <f>IFERROR(IF(Y168=0,"",ROUNDUP(Y168/H168,0)*0.00502),"")</f>
        <v>0.65260000000000007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286</v>
      </c>
      <c r="BN168" s="64">
        <f t="shared" si="7"/>
        <v>286</v>
      </c>
      <c r="BO168" s="64">
        <f t="shared" si="8"/>
        <v>0.55555555555555558</v>
      </c>
      <c r="BP168" s="64">
        <f t="shared" si="9"/>
        <v>0.55555555555555558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246.26984126984127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248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1.36896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571</v>
      </c>
      <c r="Y172" s="541">
        <f>IFERROR(SUM(Y161:Y170),"0")</f>
        <v>576.6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12</v>
      </c>
      <c r="Y175" s="540">
        <f>IFERROR(IF(X175="",0,CEILING((X175/$H175),1)*$H175),"")</f>
        <v>12.6</v>
      </c>
      <c r="Z175" s="36">
        <f>IFERROR(IF(Y175=0,"",ROUNDUP(Y175/H175,0)*0.0059),"")</f>
        <v>5.8999999999999997E-2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13.809523809523808</v>
      </c>
      <c r="BN175" s="64">
        <f>IFERROR(Y175*I175/H175,"0")</f>
        <v>14.5</v>
      </c>
      <c r="BO175" s="64">
        <f>IFERROR(1/J175*(X175/H175),"0")</f>
        <v>4.4091710758377423E-2</v>
      </c>
      <c r="BP175" s="64">
        <f>IFERROR(1/J175*(Y175/H175),"0")</f>
        <v>4.6296296296296294E-2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11</v>
      </c>
      <c r="Y176" s="540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12.658730158730158</v>
      </c>
      <c r="BN176" s="64">
        <f>IFERROR(Y176*I176/H176,"0")</f>
        <v>13.049999999999999</v>
      </c>
      <c r="BO176" s="64">
        <f>IFERROR(1/J176*(X176/H176),"0")</f>
        <v>4.0417401528512635E-2</v>
      </c>
      <c r="BP176" s="64">
        <f>IFERROR(1/J176*(Y176/H176),"0")</f>
        <v>4.1666666666666664E-2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18.253968253968253</v>
      </c>
      <c r="Y177" s="541">
        <f>IFERROR(Y174/H174,"0")+IFERROR(Y175/H175,"0")+IFERROR(Y176/H176,"0")</f>
        <v>19</v>
      </c>
      <c r="Z177" s="541">
        <f>IFERROR(IF(Z174="",0,Z174),"0")+IFERROR(IF(Z175="",0,Z175),"0")+IFERROR(IF(Z176="",0,Z176),"0")</f>
        <v>0.11210000000000001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23</v>
      </c>
      <c r="Y178" s="541">
        <f>IFERROR(SUM(Y174:Y176),"0")</f>
        <v>23.939999999999998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4</v>
      </c>
      <c r="Y180" s="540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3.1746031746031744</v>
      </c>
      <c r="Y181" s="541">
        <f>IFERROR(Y180/H180,"0")</f>
        <v>4</v>
      </c>
      <c r="Z181" s="541">
        <f>IFERROR(IF(Z180="",0,Z180),"0")</f>
        <v>2.3599999999999999E-2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4</v>
      </c>
      <c r="Y182" s="541">
        <f>IFERROR(SUM(Y180:Y180),"0")</f>
        <v>5.04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356</v>
      </c>
      <c r="Y195" s="540">
        <f t="shared" ref="Y195:Y202" si="10">IFERROR(IF(X195="",0,CEILING((X195/$H195),1)*$H195),"")</f>
        <v>356.40000000000003</v>
      </c>
      <c r="Z195" s="36">
        <f>IFERROR(IF(Y195=0,"",ROUNDUP(Y195/H195,0)*0.00902),"")</f>
        <v>0.59532000000000007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368.52592592592589</v>
      </c>
      <c r="BN195" s="64">
        <f t="shared" ref="BN195:BN202" si="12">IFERROR(Y195*I195/H195,"0")</f>
        <v>368.94</v>
      </c>
      <c r="BO195" s="64">
        <f t="shared" ref="BO195:BO202" si="13">IFERROR(1/J195*(X195/H195),"0")</f>
        <v>0.49943883277216611</v>
      </c>
      <c r="BP195" s="64">
        <f t="shared" ref="BP195:BP202" si="14">IFERROR(1/J195*(Y195/H195),"0")</f>
        <v>0.5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202</v>
      </c>
      <c r="Y196" s="540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209.10740740740741</v>
      </c>
      <c r="BN196" s="64">
        <f t="shared" si="12"/>
        <v>212.42</v>
      </c>
      <c r="BO196" s="64">
        <f t="shared" si="13"/>
        <v>0.28338945005611671</v>
      </c>
      <c r="BP196" s="64">
        <f t="shared" si="14"/>
        <v>0.2878787878787879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51</v>
      </c>
      <c r="Y198" s="540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52.794444444444437</v>
      </c>
      <c r="BN198" s="64">
        <f t="shared" si="12"/>
        <v>55.9</v>
      </c>
      <c r="BO198" s="64">
        <f t="shared" si="13"/>
        <v>7.1548821548821556E-2</v>
      </c>
      <c r="BP198" s="64">
        <f t="shared" si="14"/>
        <v>7.575757575757576E-2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77</v>
      </c>
      <c r="Y199" s="540">
        <f t="shared" si="10"/>
        <v>77.400000000000006</v>
      </c>
      <c r="Z199" s="36">
        <f>IFERROR(IF(Y199=0,"",ROUNDUP(Y199/H199,0)*0.00502),"")</f>
        <v>0.21586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82.561111111111103</v>
      </c>
      <c r="BN199" s="64">
        <f t="shared" si="12"/>
        <v>82.99</v>
      </c>
      <c r="BO199" s="64">
        <f t="shared" si="13"/>
        <v>0.1828110161443495</v>
      </c>
      <c r="BP199" s="64">
        <f t="shared" si="14"/>
        <v>0.18376068376068377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54</v>
      </c>
      <c r="Y200" s="540">
        <f t="shared" si="10"/>
        <v>54</v>
      </c>
      <c r="Z200" s="36">
        <f>IFERROR(IF(Y200=0,"",ROUNDUP(Y200/H200,0)*0.00502),"")</f>
        <v>0.15060000000000001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56.999999999999993</v>
      </c>
      <c r="BN200" s="64">
        <f t="shared" si="12"/>
        <v>56.999999999999993</v>
      </c>
      <c r="BO200" s="64">
        <f t="shared" si="13"/>
        <v>0.12820512820512822</v>
      </c>
      <c r="BP200" s="64">
        <f t="shared" si="14"/>
        <v>0.12820512820512822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50</v>
      </c>
      <c r="Y202" s="540">
        <f t="shared" si="10"/>
        <v>50.4</v>
      </c>
      <c r="Z202" s="36">
        <f>IFERROR(IF(Y202=0,"",ROUNDUP(Y202/H202,0)*0.00502),"")</f>
        <v>0.14056000000000002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52.777777777777779</v>
      </c>
      <c r="BN202" s="64">
        <f t="shared" si="12"/>
        <v>53.199999999999996</v>
      </c>
      <c r="BO202" s="64">
        <f t="shared" si="13"/>
        <v>0.11870845204178539</v>
      </c>
      <c r="BP202" s="64">
        <f t="shared" si="14"/>
        <v>0.11965811965811968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213.33333333333331</v>
      </c>
      <c r="Y203" s="541">
        <f>IFERROR(Y195/H195,"0")+IFERROR(Y196/H196,"0")+IFERROR(Y197/H197,"0")+IFERROR(Y198/H198,"0")+IFERROR(Y199/H199,"0")+IFERROR(Y200/H200,"0")+IFERROR(Y201/H201,"0")+IFERROR(Y202/H202,"0")</f>
        <v>215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1.5353000000000001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790</v>
      </c>
      <c r="Y204" s="541">
        <f>IFERROR(SUM(Y195:Y202),"0")</f>
        <v>797.4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6</v>
      </c>
      <c r="Y206" s="540">
        <f t="shared" ref="Y206:Y214" si="15">IFERROR(IF(X206="",0,CEILING((X206/$H206),1)*$H206),"")</f>
        <v>8.1</v>
      </c>
      <c r="Z206" s="36">
        <f>IFERROR(IF(Y206=0,"",ROUNDUP(Y206/H206,0)*0.01898),"")</f>
        <v>1.898E-2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6.3659259259259251</v>
      </c>
      <c r="BN206" s="64">
        <f t="shared" ref="BN206:BN214" si="17">IFERROR(Y206*I206/H206,"0")</f>
        <v>8.5939999999999994</v>
      </c>
      <c r="BO206" s="64">
        <f t="shared" ref="BO206:BO214" si="18">IFERROR(1/J206*(X206/H206),"0")</f>
        <v>1.1574074074074075E-2</v>
      </c>
      <c r="BP206" s="64">
        <f t="shared" ref="BP206:BP214" si="19">IFERROR(1/J206*(Y206/H206),"0")</f>
        <v>1.5625E-2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236</v>
      </c>
      <c r="Y209" s="540">
        <f t="shared" si="15"/>
        <v>237.6</v>
      </c>
      <c r="Z209" s="36">
        <f t="shared" ref="Z209:Z214" si="20">IFERROR(IF(Y209=0,"",ROUNDUP(Y209/H209,0)*0.00651),"")</f>
        <v>0.64449000000000001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262.55</v>
      </c>
      <c r="BN209" s="64">
        <f t="shared" si="17"/>
        <v>264.33</v>
      </c>
      <c r="BO209" s="64">
        <f t="shared" si="18"/>
        <v>0.54029304029304037</v>
      </c>
      <c r="BP209" s="64">
        <f t="shared" si="19"/>
        <v>0.54395604395604402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582</v>
      </c>
      <c r="Y211" s="540">
        <f t="shared" si="15"/>
        <v>583.19999999999993</v>
      </c>
      <c r="Z211" s="36">
        <f t="shared" si="20"/>
        <v>1.5819300000000001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643.11000000000013</v>
      </c>
      <c r="BN211" s="64">
        <f t="shared" si="17"/>
        <v>644.43599999999992</v>
      </c>
      <c r="BO211" s="64">
        <f t="shared" si="18"/>
        <v>1.3324175824175826</v>
      </c>
      <c r="BP211" s="64">
        <f t="shared" si="19"/>
        <v>1.3351648351648351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217</v>
      </c>
      <c r="Y212" s="540">
        <f t="shared" si="15"/>
        <v>218.4</v>
      </c>
      <c r="Z212" s="36">
        <f t="shared" si="20"/>
        <v>0.59240999999999999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239.78500000000003</v>
      </c>
      <c r="BN212" s="64">
        <f t="shared" si="17"/>
        <v>241.33200000000002</v>
      </c>
      <c r="BO212" s="64">
        <f t="shared" si="18"/>
        <v>0.49679487179487186</v>
      </c>
      <c r="BP212" s="64">
        <f t="shared" si="19"/>
        <v>0.5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255</v>
      </c>
      <c r="Y213" s="540">
        <f t="shared" si="15"/>
        <v>256.8</v>
      </c>
      <c r="Z213" s="36">
        <f t="shared" si="20"/>
        <v>0.69657000000000002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281.77500000000003</v>
      </c>
      <c r="BN213" s="64">
        <f t="shared" si="17"/>
        <v>283.76400000000007</v>
      </c>
      <c r="BO213" s="64">
        <f t="shared" si="18"/>
        <v>0.58379120879120883</v>
      </c>
      <c r="BP213" s="64">
        <f t="shared" si="19"/>
        <v>0.58791208791208804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211</v>
      </c>
      <c r="Y214" s="540">
        <f t="shared" si="15"/>
        <v>211.2</v>
      </c>
      <c r="Z214" s="36">
        <f t="shared" si="20"/>
        <v>0.57288000000000006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233.6825</v>
      </c>
      <c r="BN214" s="64">
        <f t="shared" si="17"/>
        <v>233.904</v>
      </c>
      <c r="BO214" s="64">
        <f t="shared" si="18"/>
        <v>0.48305860805860812</v>
      </c>
      <c r="BP214" s="64">
        <f t="shared" si="19"/>
        <v>0.48351648351648358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626.15740740740739</v>
      </c>
      <c r="Y215" s="541">
        <f>IFERROR(Y206/H206,"0")+IFERROR(Y207/H207,"0")+IFERROR(Y208/H208,"0")+IFERROR(Y209/H209,"0")+IFERROR(Y210/H210,"0")+IFERROR(Y211/H211,"0")+IFERROR(Y212/H212,"0")+IFERROR(Y213/H213,"0")+IFERROR(Y214/H214,"0")</f>
        <v>629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4.1072600000000001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1507</v>
      </c>
      <c r="Y216" s="541">
        <f>IFERROR(SUM(Y206:Y214),"0")</f>
        <v>1515.3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524</v>
      </c>
      <c r="Y224" s="540">
        <f t="shared" ref="Y224:Y233" si="21">IFERROR(IF(X224="",0,CEILING((X224/$H224),1)*$H224),"")</f>
        <v>533.6</v>
      </c>
      <c r="Z224" s="36">
        <f>IFERROR(IF(Y224=0,"",ROUNDUP(Y224/H224,0)*0.01898),"")</f>
        <v>0.87307999999999997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542.52068965517242</v>
      </c>
      <c r="BN224" s="64">
        <f t="shared" ref="BN224:BN233" si="23">IFERROR(Y224*I224/H224,"0")</f>
        <v>552.46</v>
      </c>
      <c r="BO224" s="64">
        <f t="shared" ref="BO224:BO233" si="24">IFERROR(1/J224*(X224/H224),"0")</f>
        <v>0.70581896551724144</v>
      </c>
      <c r="BP224" s="64">
        <f t="shared" ref="BP224:BP233" si="25">IFERROR(1/J224*(Y224/H224),"0")</f>
        <v>0.71875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45.172413793103452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46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0.87307999999999997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524</v>
      </c>
      <c r="Y235" s="541">
        <f>IFERROR(SUM(Y224:Y233),"0")</f>
        <v>533.6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8</v>
      </c>
      <c r="Y249" s="540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10.101010101010102</v>
      </c>
      <c r="Y250" s="541">
        <f>IFERROR(Y245/H245,"0")+IFERROR(Y246/H246,"0")+IFERROR(Y247/H247,"0")+IFERROR(Y248/H248,"0")+IFERROR(Y249/H249,"0")</f>
        <v>12</v>
      </c>
      <c r="Z250" s="541">
        <f>IFERROR(IF(Z245="",0,Z245),"0")+IFERROR(IF(Z246="",0,Z246),"0")+IFERROR(IF(Z247="",0,Z247),"0")+IFERROR(IF(Z248="",0,Z248),"0")+IFERROR(IF(Z249="",0,Z249),"0")</f>
        <v>7.0800000000000002E-2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10</v>
      </c>
      <c r="Y251" s="541">
        <f>IFERROR(SUM(Y245:Y249),"0")</f>
        <v>11.879999999999999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119</v>
      </c>
      <c r="Y272" s="540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131.495</v>
      </c>
      <c r="BN272" s="64">
        <f>IFERROR(Y272*I272/H272,"0")</f>
        <v>132.60000000000002</v>
      </c>
      <c r="BO272" s="64">
        <f>IFERROR(1/J272*(X272/H272),"0")</f>
        <v>0.27243589743589747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103</v>
      </c>
      <c r="Y273" s="540">
        <f>IFERROR(IF(X273="",0,CEILING((X273/$H273),1)*$H273),"")</f>
        <v>103.2</v>
      </c>
      <c r="Z273" s="36">
        <f>IFERROR(IF(Y273=0,"",ROUNDUP(Y273/H273,0)*0.00651),"")</f>
        <v>0.27993000000000001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110.72500000000001</v>
      </c>
      <c r="BN273" s="64">
        <f>IFERROR(Y273*I273/H273,"0")</f>
        <v>110.94000000000001</v>
      </c>
      <c r="BO273" s="64">
        <f>IFERROR(1/J273*(X273/H273),"0")</f>
        <v>0.23580586080586086</v>
      </c>
      <c r="BP273" s="64">
        <f>IFERROR(1/J273*(Y273/H273),"0")</f>
        <v>0.23626373626373628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92.5</v>
      </c>
      <c r="Y274" s="541">
        <f>IFERROR(Y271/H271,"0")+IFERROR(Y272/H272,"0")+IFERROR(Y273/H273,"0")</f>
        <v>93</v>
      </c>
      <c r="Z274" s="541">
        <f>IFERROR(IF(Z271="",0,Z271),"0")+IFERROR(IF(Z272="",0,Z272),"0")+IFERROR(IF(Z273="",0,Z273),"0")</f>
        <v>0.60543000000000002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222</v>
      </c>
      <c r="Y275" s="541">
        <f>IFERROR(SUM(Y271:Y273),"0")</f>
        <v>223.2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58</v>
      </c>
      <c r="Y303" s="540">
        <f t="shared" si="26"/>
        <v>59.4</v>
      </c>
      <c r="Z303" s="36">
        <f>IFERROR(IF(Y303=0,"",ROUNDUP(Y303/H303,0)*0.00651),"")</f>
        <v>0.21482999999999999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65.346666666666664</v>
      </c>
      <c r="BN303" s="64">
        <f t="shared" si="28"/>
        <v>66.923999999999992</v>
      </c>
      <c r="BO303" s="64">
        <f t="shared" si="29"/>
        <v>0.17704517704517705</v>
      </c>
      <c r="BP303" s="64">
        <f t="shared" si="30"/>
        <v>0.18131868131868134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32.222222222222221</v>
      </c>
      <c r="Y304" s="541">
        <f>IFERROR(Y297/H297,"0")+IFERROR(Y298/H298,"0")+IFERROR(Y299/H299,"0")+IFERROR(Y300/H300,"0")+IFERROR(Y301/H301,"0")+IFERROR(Y302/H302,"0")+IFERROR(Y303/H303,"0")</f>
        <v>33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0.21482999999999999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58</v>
      </c>
      <c r="Y305" s="541">
        <f>IFERROR(SUM(Y297:Y303),"0")</f>
        <v>59.4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437</v>
      </c>
      <c r="Y315" s="540">
        <f>IFERROR(IF(X315="",0,CEILING((X315/$H315),1)*$H315),"")</f>
        <v>444.59999999999997</v>
      </c>
      <c r="Z315" s="36">
        <f>IFERROR(IF(Y315=0,"",ROUNDUP(Y315/H315,0)*0.01898),"")</f>
        <v>1.08186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464.67666666666668</v>
      </c>
      <c r="BN315" s="64">
        <f>IFERROR(Y315*I315/H315,"0")</f>
        <v>472.75800000000004</v>
      </c>
      <c r="BO315" s="64">
        <f>IFERROR(1/J315*(X315/H315),"0")</f>
        <v>0.87540064102564108</v>
      </c>
      <c r="BP315" s="64">
        <f>IFERROR(1/J315*(Y315/H315),"0")</f>
        <v>0.890625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16</v>
      </c>
      <c r="Y316" s="540">
        <f>IFERROR(IF(X316="",0,CEILING((X316/$H316),1)*$H316),"")</f>
        <v>16.8</v>
      </c>
      <c r="Z316" s="36">
        <f>IFERROR(IF(Y316=0,"",ROUNDUP(Y316/H316,0)*0.01898),"")</f>
        <v>3.7960000000000001E-2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16.940952380952382</v>
      </c>
      <c r="BN316" s="64">
        <f>IFERROR(Y316*I316/H316,"0")</f>
        <v>17.788</v>
      </c>
      <c r="BO316" s="64">
        <f>IFERROR(1/J316*(X316/H316),"0")</f>
        <v>2.976190476190476E-2</v>
      </c>
      <c r="BP316" s="64">
        <f>IFERROR(1/J316*(Y316/H316),"0")</f>
        <v>3.125E-2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57.930402930402934</v>
      </c>
      <c r="Y317" s="541">
        <f>IFERROR(Y314/H314,"0")+IFERROR(Y315/H315,"0")+IFERROR(Y316/H316,"0")</f>
        <v>59</v>
      </c>
      <c r="Z317" s="541">
        <f>IFERROR(IF(Z314="",0,Z314),"0")+IFERROR(IF(Z315="",0,Z315),"0")+IFERROR(IF(Z316="",0,Z316),"0")</f>
        <v>1.11982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453</v>
      </c>
      <c r="Y318" s="541">
        <f>IFERROR(SUM(Y314:Y316),"0")</f>
        <v>461.4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6</v>
      </c>
      <c r="Y322" s="540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6.9529411764705893</v>
      </c>
      <c r="BN322" s="64">
        <f>IFERROR(Y322*I322/H322,"0")</f>
        <v>8.8650000000000002</v>
      </c>
      <c r="BO322" s="64">
        <f>IFERROR(1/J322*(X322/H322),"0")</f>
        <v>1.292824822236587E-2</v>
      </c>
      <c r="BP322" s="64">
        <f>IFERROR(1/J322*(Y322/H322),"0")</f>
        <v>1.6483516483516484E-2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4.98452012383901</v>
      </c>
      <c r="Y324" s="541">
        <f>IFERROR(Y320/H320,"0")+IFERROR(Y321/H321,"0")+IFERROR(Y322/H322,"0")+IFERROR(Y323/H323,"0")</f>
        <v>7</v>
      </c>
      <c r="Z324" s="541">
        <f>IFERROR(IF(Z320="",0,Z320),"0")+IFERROR(IF(Z321="",0,Z321),"0")+IFERROR(IF(Z322="",0,Z322),"0")+IFERROR(IF(Z323="",0,Z323),"0")</f>
        <v>5.561E-2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14</v>
      </c>
      <c r="Y325" s="541">
        <f>IFERROR(SUM(Y320:Y323),"0")</f>
        <v>19.809999999999999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6</v>
      </c>
      <c r="Y327" s="540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6.7200000000000006</v>
      </c>
      <c r="BN327" s="64">
        <f>IFERROR(Y327*I327/H327,"0")</f>
        <v>6.7200000000000006</v>
      </c>
      <c r="BO327" s="64">
        <f>IFERROR(1/J327*(X327/H327),"0")</f>
        <v>1.2605042016806723E-2</v>
      </c>
      <c r="BP327" s="64">
        <f>IFERROR(1/J327*(Y327/H327),"0")</f>
        <v>1.2605042016806723E-2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3</v>
      </c>
      <c r="Y330" s="541">
        <f>IFERROR(Y327/H327,"0")+IFERROR(Y328/H328,"0")+IFERROR(Y329/H329,"0")</f>
        <v>3</v>
      </c>
      <c r="Z330" s="541">
        <f>IFERROR(IF(Z327="",0,Z327),"0")+IFERROR(IF(Z328="",0,Z328),"0")+IFERROR(IF(Z329="",0,Z329),"0")</f>
        <v>1.422E-2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6</v>
      </c>
      <c r="Y331" s="541">
        <f>IFERROR(SUM(Y327:Y329),"0")</f>
        <v>6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4</v>
      </c>
      <c r="Y334" s="540">
        <f>IFERROR(IF(X334="",0,CEILING((X334/$H334),1)*$H334),"")</f>
        <v>8.1</v>
      </c>
      <c r="Z334" s="36">
        <f>IFERROR(IF(Y334=0,"",ROUNDUP(Y334/H334,0)*0.01898),"")</f>
        <v>1.898E-2</v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4.243950617283951</v>
      </c>
      <c r="BN334" s="64">
        <f>IFERROR(Y334*I334/H334,"0")</f>
        <v>8.5939999999999994</v>
      </c>
      <c r="BO334" s="64">
        <f>IFERROR(1/J334*(X334/H334),"0")</f>
        <v>7.7160493827160498E-3</v>
      </c>
      <c r="BP334" s="64">
        <f>IFERROR(1/J334*(Y334/H334),"0")</f>
        <v>1.5625E-2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0.49382716049382719</v>
      </c>
      <c r="Y337" s="541">
        <f>IFERROR(Y334/H334,"0")+IFERROR(Y335/H335,"0")+IFERROR(Y336/H336,"0")</f>
        <v>1</v>
      </c>
      <c r="Z337" s="541">
        <f>IFERROR(IF(Z334="",0,Z334),"0")+IFERROR(IF(Z335="",0,Z335),"0")+IFERROR(IF(Z336="",0,Z336),"0")</f>
        <v>1.898E-2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4</v>
      </c>
      <c r="Y338" s="541">
        <f>IFERROR(SUM(Y334:Y336),"0")</f>
        <v>8.1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962</v>
      </c>
      <c r="Y342" s="540">
        <f t="shared" ref="Y342:Y348" si="31">IFERROR(IF(X342="",0,CEILING((X342/$H342),1)*$H342),"")</f>
        <v>975</v>
      </c>
      <c r="Z342" s="36">
        <f>IFERROR(IF(Y342=0,"",ROUNDUP(Y342/H342,0)*0.02175),"")</f>
        <v>1.4137499999999998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992.14266666666674</v>
      </c>
      <c r="BN342" s="64">
        <f t="shared" ref="BN342:BN348" si="33">IFERROR(Y342*I342/H342,"0")</f>
        <v>1005.55</v>
      </c>
      <c r="BO342" s="64">
        <f t="shared" ref="BO342:BO348" si="34">IFERROR(1/J342*(X342/H342),"0")</f>
        <v>1.3361111111111112</v>
      </c>
      <c r="BP342" s="64">
        <f t="shared" ref="BP342:BP348" si="35">IFERROR(1/J342*(Y342/H342),"0")</f>
        <v>1.3541666666666665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402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414.59600000000006</v>
      </c>
      <c r="BN343" s="64">
        <f t="shared" si="33"/>
        <v>417.69</v>
      </c>
      <c r="BO343" s="64">
        <f t="shared" si="34"/>
        <v>0.55833333333333335</v>
      </c>
      <c r="BP343" s="64">
        <f t="shared" si="35"/>
        <v>0.5625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859</v>
      </c>
      <c r="Y344" s="540">
        <f t="shared" si="31"/>
        <v>870</v>
      </c>
      <c r="Z344" s="36">
        <f>IFERROR(IF(Y344=0,"",ROUNDUP(Y344/H344,0)*0.02175),"")</f>
        <v>1.2614999999999998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885.91533333333348</v>
      </c>
      <c r="BN344" s="64">
        <f t="shared" si="33"/>
        <v>897.2600000000001</v>
      </c>
      <c r="BO344" s="64">
        <f t="shared" si="34"/>
        <v>1.1930555555555555</v>
      </c>
      <c r="BP344" s="64">
        <f t="shared" si="35"/>
        <v>1.2083333333333333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352</v>
      </c>
      <c r="Y345" s="540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363.02933333333334</v>
      </c>
      <c r="BN345" s="64">
        <f t="shared" si="33"/>
        <v>371.28</v>
      </c>
      <c r="BO345" s="64">
        <f t="shared" si="34"/>
        <v>0.48888888888888882</v>
      </c>
      <c r="BP345" s="64">
        <f t="shared" si="35"/>
        <v>0.5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171.66666666666666</v>
      </c>
      <c r="Y349" s="541">
        <f>IFERROR(Y342/H342,"0")+IFERROR(Y343/H343,"0")+IFERROR(Y344/H344,"0")+IFERROR(Y345/H345,"0")+IFERROR(Y346/H346,"0")+IFERROR(Y347/H347,"0")+IFERROR(Y348/H348,"0")</f>
        <v>174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3.7844999999999995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2575</v>
      </c>
      <c r="Y350" s="541">
        <f>IFERROR(SUM(Y342:Y348),"0")</f>
        <v>2610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624</v>
      </c>
      <c r="Y352" s="540">
        <f>IFERROR(IF(X352="",0,CEILING((X352/$H352),1)*$H352),"")</f>
        <v>630</v>
      </c>
      <c r="Z352" s="36">
        <f>IFERROR(IF(Y352=0,"",ROUNDUP(Y352/H352,0)*0.02175),"")</f>
        <v>0.91349999999999998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643.55200000000002</v>
      </c>
      <c r="BN352" s="64">
        <f>IFERROR(Y352*I352/H352,"0")</f>
        <v>649.74</v>
      </c>
      <c r="BO352" s="64">
        <f>IFERROR(1/J352*(X352/H352),"0")</f>
        <v>0.8666666666666667</v>
      </c>
      <c r="BP352" s="64">
        <f>IFERROR(1/J352*(Y352/H352),"0")</f>
        <v>0.875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41.6</v>
      </c>
      <c r="Y354" s="541">
        <f>IFERROR(Y352/H352,"0")+IFERROR(Y353/H353,"0")</f>
        <v>42</v>
      </c>
      <c r="Z354" s="541">
        <f>IFERROR(IF(Z352="",0,Z352),"0")+IFERROR(IF(Z353="",0,Z353),"0")</f>
        <v>0.91349999999999998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624</v>
      </c>
      <c r="Y355" s="541">
        <f>IFERROR(SUM(Y352:Y353),"0")</f>
        <v>630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23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24.262444444444444</v>
      </c>
      <c r="BN358" s="64">
        <f>IFERROR(Y358*I358/H358,"0")</f>
        <v>28.481999999999996</v>
      </c>
      <c r="BO358" s="64">
        <f>IFERROR(1/J358*(X358/H358),"0")</f>
        <v>3.9930555555555552E-2</v>
      </c>
      <c r="BP358" s="64">
        <f>IFERROR(1/J358*(Y358/H358),"0")</f>
        <v>4.6875E-2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2.5555555555555554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23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75</v>
      </c>
      <c r="Y362" s="540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79.11666666666666</v>
      </c>
      <c r="BN362" s="64">
        <f>IFERROR(Y362*I362/H362,"0")</f>
        <v>85.445999999999998</v>
      </c>
      <c r="BO362" s="64">
        <f>IFERROR(1/J362*(X362/H362),"0")</f>
        <v>0.13020833333333334</v>
      </c>
      <c r="BP362" s="64">
        <f>IFERROR(1/J362*(Y362/H362),"0")</f>
        <v>0.140625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8.3333333333333339</v>
      </c>
      <c r="Y363" s="541">
        <f>IFERROR(Y362/H362,"0")</f>
        <v>9</v>
      </c>
      <c r="Z363" s="541">
        <f>IFERROR(IF(Z362="",0,Z362),"0")</f>
        <v>0.17082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75</v>
      </c>
      <c r="Y364" s="541">
        <f>IFERROR(SUM(Y362:Y362),"0")</f>
        <v>81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41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42.400833333333331</v>
      </c>
      <c r="BN367" s="64">
        <f>IFERROR(Y367*I367/H367,"0")</f>
        <v>49.640000000000008</v>
      </c>
      <c r="BO367" s="64">
        <f>IFERROR(1/J367*(X367/H367),"0")</f>
        <v>5.3385416666666664E-2</v>
      </c>
      <c r="BP367" s="64">
        <f>IFERROR(1/J367*(Y367/H367),"0")</f>
        <v>6.25E-2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3.4166666666666665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41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673</v>
      </c>
      <c r="Y377" s="540">
        <f>IFERROR(IF(X377="",0,CEILING((X377/$H377),1)*$H377),"")</f>
        <v>675</v>
      </c>
      <c r="Z377" s="36">
        <f>IFERROR(IF(Y377=0,"",ROUNDUP(Y377/H377,0)*0.01898),"")</f>
        <v>1.4235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709.94022222222213</v>
      </c>
      <c r="BN377" s="64">
        <f>IFERROR(Y377*I377/H377,"0")</f>
        <v>712.05</v>
      </c>
      <c r="BO377" s="64">
        <f>IFERROR(1/J377*(X377/H377),"0")</f>
        <v>1.1684027777777777</v>
      </c>
      <c r="BP377" s="64">
        <f>IFERROR(1/J377*(Y377/H377),"0")</f>
        <v>1.171875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74.777777777777771</v>
      </c>
      <c r="Y379" s="541">
        <f>IFERROR(Y377/H377,"0")+IFERROR(Y378/H378,"0")</f>
        <v>75</v>
      </c>
      <c r="Z379" s="541">
        <f>IFERROR(IF(Z377="",0,Z377),"0")+IFERROR(IF(Z378="",0,Z378),"0")</f>
        <v>1.4235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673</v>
      </c>
      <c r="Y380" s="541">
        <f>IFERROR(SUM(Y377:Y378),"0")</f>
        <v>675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62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66.109848484848484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0.11290792540792541</v>
      </c>
      <c r="BP420" s="64">
        <f t="shared" ref="BP420:BP430" si="47">IFERROR(1/J420*(Y420/H420),"0")</f>
        <v>0.11538461538461539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63</v>
      </c>
      <c r="Y422" s="540">
        <f t="shared" si="42"/>
        <v>63.36</v>
      </c>
      <c r="Z422" s="36">
        <f t="shared" si="43"/>
        <v>0.14352000000000001</v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67.17613636363636</v>
      </c>
      <c r="BN422" s="64">
        <f t="shared" si="45"/>
        <v>67.559999999999988</v>
      </c>
      <c r="BO422" s="64">
        <f t="shared" si="46"/>
        <v>0.11472902097902099</v>
      </c>
      <c r="BP422" s="64">
        <f t="shared" si="47"/>
        <v>0.11538461538461539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309</v>
      </c>
      <c r="Y423" s="540">
        <f t="shared" si="42"/>
        <v>311.52000000000004</v>
      </c>
      <c r="Z423" s="36">
        <f t="shared" si="43"/>
        <v>0.70564000000000004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329.48295454545456</v>
      </c>
      <c r="BN423" s="64">
        <f t="shared" si="45"/>
        <v>332.17</v>
      </c>
      <c r="BO423" s="64">
        <f t="shared" si="46"/>
        <v>0.56271853146853146</v>
      </c>
      <c r="BP423" s="64">
        <f t="shared" si="47"/>
        <v>0.5673076923076924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731</v>
      </c>
      <c r="Y425" s="540">
        <f t="shared" si="42"/>
        <v>733.92000000000007</v>
      </c>
      <c r="Z425" s="36">
        <f t="shared" si="43"/>
        <v>1.6624399999999999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779.45643939393926</v>
      </c>
      <c r="BN425" s="64">
        <f t="shared" si="45"/>
        <v>782.57</v>
      </c>
      <c r="BO425" s="64">
        <f t="shared" si="46"/>
        <v>1.3312208624708624</v>
      </c>
      <c r="BP425" s="64">
        <f t="shared" si="47"/>
        <v>1.3365384615384617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220.64393939393938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222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2.6551200000000001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1165</v>
      </c>
      <c r="Y432" s="541">
        <f>IFERROR(SUM(Y420:Y430),"0")</f>
        <v>1172.1600000000001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332</v>
      </c>
      <c r="Y434" s="540">
        <f>IFERROR(IF(X434="",0,CEILING((X434/$H434),1)*$H434),"")</f>
        <v>332.64000000000004</v>
      </c>
      <c r="Z434" s="36">
        <f>IFERROR(IF(Y434=0,"",ROUNDUP(Y434/H434,0)*0.01196),"")</f>
        <v>0.75348000000000004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354.00757575757569</v>
      </c>
      <c r="BN434" s="64">
        <f>IFERROR(Y434*I434/H434,"0")</f>
        <v>354.69</v>
      </c>
      <c r="BO434" s="64">
        <f>IFERROR(1/J434*(X434/H434),"0")</f>
        <v>0.60460372960372966</v>
      </c>
      <c r="BP434" s="64">
        <f>IFERROR(1/J434*(Y434/H434),"0")</f>
        <v>0.60576923076923084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62.878787878787875</v>
      </c>
      <c r="Y437" s="541">
        <f>IFERROR(Y434/H434,"0")+IFERROR(Y435/H435,"0")+IFERROR(Y436/H436,"0")</f>
        <v>63.000000000000007</v>
      </c>
      <c r="Z437" s="541">
        <f>IFERROR(IF(Z434="",0,Z434),"0")+IFERROR(IF(Z435="",0,Z435),"0")+IFERROR(IF(Z436="",0,Z436),"0")</f>
        <v>0.75348000000000004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332</v>
      </c>
      <c r="Y438" s="541">
        <f>IFERROR(SUM(Y434:Y436),"0")</f>
        <v>332.64000000000004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11</v>
      </c>
      <c r="Y441" s="540">
        <f t="shared" si="48"/>
        <v>15.84</v>
      </c>
      <c r="Z441" s="36">
        <f>IFERROR(IF(Y441=0,"",ROUNDUP(Y441/H441,0)*0.01196),"")</f>
        <v>3.5880000000000002E-2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11.729166666666666</v>
      </c>
      <c r="BN441" s="64">
        <f t="shared" si="50"/>
        <v>16.889999999999997</v>
      </c>
      <c r="BO441" s="64">
        <f t="shared" si="51"/>
        <v>2.003205128205128E-2</v>
      </c>
      <c r="BP441" s="64">
        <f t="shared" si="52"/>
        <v>2.8846153846153848E-2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171</v>
      </c>
      <c r="Y442" s="540">
        <f t="shared" si="48"/>
        <v>174.24</v>
      </c>
      <c r="Z442" s="36">
        <f>IFERROR(IF(Y442=0,"",ROUNDUP(Y442/H442,0)*0.01196),"")</f>
        <v>0.39468000000000003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182.33522727272728</v>
      </c>
      <c r="BN442" s="64">
        <f t="shared" si="50"/>
        <v>185.79</v>
      </c>
      <c r="BO442" s="64">
        <f t="shared" si="51"/>
        <v>0.31140734265734266</v>
      </c>
      <c r="BP442" s="64">
        <f t="shared" si="52"/>
        <v>0.31730769230769235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34.469696969696969</v>
      </c>
      <c r="Y446" s="541">
        <f>IFERROR(Y440/H440,"0")+IFERROR(Y441/H441,"0")+IFERROR(Y442/H442,"0")+IFERROR(Y443/H443,"0")+IFERROR(Y444/H444,"0")+IFERROR(Y445/H445,"0")</f>
        <v>36</v>
      </c>
      <c r="Z446" s="541">
        <f>IFERROR(IF(Z440="",0,Z440),"0")+IFERROR(IF(Z441="",0,Z441),"0")+IFERROR(IF(Z442="",0,Z442),"0")+IFERROR(IF(Z443="",0,Z443),"0")+IFERROR(IF(Z444="",0,Z444),"0")+IFERROR(IF(Z445="",0,Z445),"0")</f>
        <v>0.43056000000000005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182</v>
      </c>
      <c r="Y447" s="541">
        <f>IFERROR(SUM(Y440:Y445),"0")</f>
        <v>190.08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12576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12748.449999999999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13269.15388172784</v>
      </c>
      <c r="Y489" s="541">
        <f>IFERROR(SUM(BN22:BN485),"0")</f>
        <v>13450.926999999998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22</v>
      </c>
      <c r="Y490" s="38">
        <f>ROUNDUP(SUM(BP22:BP485),0)</f>
        <v>23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13819.15388172784</v>
      </c>
      <c r="Y491" s="541">
        <f>GrossWeightTotalR+PalletQtyTotalR*25</f>
        <v>14025.926999999998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2424.5157781757866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2454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25.84365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188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454.1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549.79999999999995</v>
      </c>
      <c r="E498" s="46">
        <f>IFERROR(Y85*1,"0")+IFERROR(Y86*1,"0")+IFERROR(Y87*1,"0")+IFERROR(Y91*1,"0")+IFERROR(Y92*1,"0")+IFERROR(Y93*1,"0")+IFERROR(Y94*1,"0")</f>
        <v>1053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684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605.58000000000004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2312.6999999999998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545.48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223.2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546.61</v>
      </c>
      <c r="R498" s="46">
        <f>IFERROR(Y334*1,"0")+IFERROR(Y335*1,"0")+IFERROR(Y336*1,"0")</f>
        <v>8.1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3348</v>
      </c>
      <c r="T498" s="46">
        <f>IFERROR(Y367*1,"0")+IFERROR(Y368*1,"0")+IFERROR(Y372*1,"0")+IFERROR(Y373*1,"0")+IFERROR(Y377*1,"0")+IFERROR(Y378*1,"0")</f>
        <v>723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1694.88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