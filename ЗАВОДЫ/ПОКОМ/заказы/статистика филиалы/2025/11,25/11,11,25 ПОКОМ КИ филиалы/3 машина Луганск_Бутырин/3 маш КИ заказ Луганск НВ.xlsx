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599613DA-48A8-48C1-AB01-34DEB182BCF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8" i="1"/>
  <c r="Y337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Y325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Q498" i="1" s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Y172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N56" i="1"/>
  <c r="BM56" i="1"/>
  <c r="Z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7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2" i="1" s="1"/>
  <c r="BO22" i="1"/>
  <c r="X490" i="1" s="1"/>
  <c r="BM22" i="1"/>
  <c r="X489" i="1" s="1"/>
  <c r="X491" i="1" s="1"/>
  <c r="Y22" i="1"/>
  <c r="B498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9" i="1"/>
  <c r="BN209" i="1"/>
  <c r="Z209" i="1"/>
  <c r="BP213" i="1"/>
  <c r="BN213" i="1"/>
  <c r="Z213" i="1"/>
  <c r="BP291" i="1"/>
  <c r="BN291" i="1"/>
  <c r="Z291" i="1"/>
  <c r="BP328" i="1"/>
  <c r="BN328" i="1"/>
  <c r="Z328" i="1"/>
  <c r="Z330" i="1" s="1"/>
  <c r="Y330" i="1"/>
  <c r="D498" i="1"/>
  <c r="F9" i="1"/>
  <c r="J9" i="1"/>
  <c r="Z22" i="1"/>
  <c r="Z23" i="1" s="1"/>
  <c r="BN22" i="1"/>
  <c r="BP22" i="1"/>
  <c r="Y23" i="1"/>
  <c r="X488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Y63" i="1"/>
  <c r="BP60" i="1"/>
  <c r="BN60" i="1"/>
  <c r="Z60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BP148" i="1"/>
  <c r="BN148" i="1"/>
  <c r="Z148" i="1"/>
  <c r="Y150" i="1"/>
  <c r="BP163" i="1"/>
  <c r="BN163" i="1"/>
  <c r="Z163" i="1"/>
  <c r="BP167" i="1"/>
  <c r="BN167" i="1"/>
  <c r="Z167" i="1"/>
  <c r="Z171" i="1" s="1"/>
  <c r="Y171" i="1"/>
  <c r="Z177" i="1"/>
  <c r="BP175" i="1"/>
  <c r="BN175" i="1"/>
  <c r="Z175" i="1"/>
  <c r="Y192" i="1"/>
  <c r="BP196" i="1"/>
  <c r="BN196" i="1"/>
  <c r="Z196" i="1"/>
  <c r="Z203" i="1" s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Z250" i="1" s="1"/>
  <c r="Y250" i="1"/>
  <c r="Z259" i="1"/>
  <c r="BP255" i="1"/>
  <c r="BN255" i="1"/>
  <c r="Z255" i="1"/>
  <c r="L498" i="1"/>
  <c r="Y259" i="1"/>
  <c r="BP264" i="1"/>
  <c r="BN264" i="1"/>
  <c r="Z264" i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299" i="1"/>
  <c r="BN299" i="1"/>
  <c r="Z299" i="1"/>
  <c r="Y303" i="1"/>
  <c r="BP307" i="1"/>
  <c r="BN307" i="1"/>
  <c r="Z307" i="1"/>
  <c r="Z311" i="1" s="1"/>
  <c r="Y311" i="1"/>
  <c r="Z317" i="1"/>
  <c r="BP315" i="1"/>
  <c r="BN315" i="1"/>
  <c r="Z315" i="1"/>
  <c r="Y317" i="1"/>
  <c r="BP343" i="1"/>
  <c r="BN343" i="1"/>
  <c r="Z343" i="1"/>
  <c r="Z349" i="1" s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Z410" i="1" s="1"/>
  <c r="Y411" i="1"/>
  <c r="BP422" i="1"/>
  <c r="BN422" i="1"/>
  <c r="Z422" i="1"/>
  <c r="BP458" i="1"/>
  <c r="BN458" i="1"/>
  <c r="Z458" i="1"/>
  <c r="Z461" i="1" s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BP266" i="1"/>
  <c r="BN266" i="1"/>
  <c r="Z266" i="1"/>
  <c r="Z267" i="1" s="1"/>
  <c r="O498" i="1"/>
  <c r="Y274" i="1"/>
  <c r="BP271" i="1"/>
  <c r="BN271" i="1"/>
  <c r="Z271" i="1"/>
  <c r="Z274" i="1" s="1"/>
  <c r="Z293" i="1"/>
  <c r="BP289" i="1"/>
  <c r="BN289" i="1"/>
  <c r="Z289" i="1"/>
  <c r="Y293" i="1"/>
  <c r="BP297" i="1"/>
  <c r="BN297" i="1"/>
  <c r="Z297" i="1"/>
  <c r="Z303" i="1" s="1"/>
  <c r="BP301" i="1"/>
  <c r="BN301" i="1"/>
  <c r="Z301" i="1"/>
  <c r="Y312" i="1"/>
  <c r="BP309" i="1"/>
  <c r="BN309" i="1"/>
  <c r="Z309" i="1"/>
  <c r="Y318" i="1"/>
  <c r="BP322" i="1"/>
  <c r="BN322" i="1"/>
  <c r="Z322" i="1"/>
  <c r="Z324" i="1" s="1"/>
  <c r="Y331" i="1"/>
  <c r="Z337" i="1"/>
  <c r="BP335" i="1"/>
  <c r="BN335" i="1"/>
  <c r="Z335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90" i="1" l="1"/>
  <c r="Z95" i="1"/>
  <c r="Z446" i="1"/>
  <c r="Z431" i="1"/>
  <c r="Z393" i="1"/>
  <c r="Z234" i="1"/>
  <c r="Z143" i="1"/>
  <c r="Z76" i="1"/>
  <c r="Z63" i="1"/>
  <c r="Z43" i="1"/>
  <c r="Z31" i="1"/>
  <c r="Z493" i="1" s="1"/>
  <c r="Y492" i="1"/>
  <c r="Y489" i="1"/>
  <c r="Y491" i="1" s="1"/>
  <c r="Z149" i="1"/>
  <c r="Z69" i="1"/>
  <c r="Y488" i="1"/>
</calcChain>
</file>

<file path=xl/sharedStrings.xml><?xml version="1.0" encoding="utf-8"?>
<sst xmlns="http://schemas.openxmlformats.org/spreadsheetml/2006/main" count="2247" uniqueCount="762">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</sst>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84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0.41666666666666669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480</v>
      </c>
      <c r="Y40" s="540">
        <f>IFERROR(IF(X40="",0,CEILING((X40/$H40),1)*$H40),"")</f>
        <v>486.00000000000006</v>
      </c>
      <c r="Z40" s="36">
        <f>IFERROR(IF(Y40=0,"",ROUNDUP(Y40/H40,0)*0.01898),"")</f>
        <v>0.85409999999999997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498.22222222222223</v>
      </c>
      <c r="BN40" s="64">
        <f>IFERROR(Y40*I40/H40,"0")</f>
        <v>504.4500000000001</v>
      </c>
      <c r="BO40" s="64">
        <f>IFERROR(1/J40*(X40/H40),"0")</f>
        <v>0.69444444444444442</v>
      </c>
      <c r="BP40" s="64">
        <f>IFERROR(1/J40*(Y40/H40),"0")</f>
        <v>0.703125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233</v>
      </c>
      <c r="Y42" s="540">
        <f>IFERROR(IF(X42="",0,CEILING((X42/$H42),1)*$H42),"")</f>
        <v>233.10000000000002</v>
      </c>
      <c r="Z42" s="36">
        <f>IFERROR(IF(Y42=0,"",ROUNDUP(Y42/H42,0)*0.00902),"")</f>
        <v>0.56825999999999999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244.96486486486486</v>
      </c>
      <c r="BN42" s="64">
        <f>IFERROR(Y42*I42/H42,"0")</f>
        <v>245.07000000000002</v>
      </c>
      <c r="BO42" s="64">
        <f>IFERROR(1/J42*(X42/H42),"0")</f>
        <v>0.47706797706797704</v>
      </c>
      <c r="BP42" s="64">
        <f>IFERROR(1/J42*(Y42/H42),"0")</f>
        <v>0.47727272727272729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107.41741741741741</v>
      </c>
      <c r="Y43" s="541">
        <f>IFERROR(Y40/H40,"0")+IFERROR(Y41/H41,"0")+IFERROR(Y42/H42,"0")</f>
        <v>108</v>
      </c>
      <c r="Z43" s="541">
        <f>IFERROR(IF(Z40="",0,Z40),"0")+IFERROR(IF(Z41="",0,Z41),"0")+IFERROR(IF(Z42="",0,Z42),"0")</f>
        <v>1.4223599999999998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713</v>
      </c>
      <c r="Y44" s="541">
        <f>IFERROR(SUM(Y40:Y42),"0")</f>
        <v>719.10000000000014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122</v>
      </c>
      <c r="Y51" s="540">
        <f t="shared" ref="Y51:Y56" si="0">IFERROR(IF(X51="",0,CEILING((X51/$H51),1)*$H51),"")</f>
        <v>123.19999999999999</v>
      </c>
      <c r="Z51" s="36">
        <f>IFERROR(IF(Y51=0,"",ROUNDUP(Y51/H51,0)*0.01898),"")</f>
        <v>0.20877999999999999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126.46607142857142</v>
      </c>
      <c r="BN51" s="64">
        <f t="shared" ref="BN51:BN56" si="2">IFERROR(Y51*I51/H51,"0")</f>
        <v>127.71</v>
      </c>
      <c r="BO51" s="64">
        <f t="shared" ref="BO51:BO56" si="3">IFERROR(1/J51*(X51/H51),"0")</f>
        <v>0.17020089285714288</v>
      </c>
      <c r="BP51" s="64">
        <f t="shared" ref="BP51:BP56" si="4">IFERROR(1/J51*(Y51/H51),"0")</f>
        <v>0.171875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165</v>
      </c>
      <c r="Y52" s="540">
        <f t="shared" si="0"/>
        <v>172.8</v>
      </c>
      <c r="Z52" s="36">
        <f>IFERROR(IF(Y52=0,"",ROUNDUP(Y52/H52,0)*0.01898),"")</f>
        <v>0.30368000000000001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171.26388888888889</v>
      </c>
      <c r="BN52" s="64">
        <f t="shared" si="2"/>
        <v>179.36</v>
      </c>
      <c r="BO52" s="64">
        <f t="shared" si="3"/>
        <v>0.23871527777777776</v>
      </c>
      <c r="BP52" s="64">
        <f t="shared" si="4"/>
        <v>0.25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26.170634920634921</v>
      </c>
      <c r="Y57" s="541">
        <f>IFERROR(Y51/H51,"0")+IFERROR(Y52/H52,"0")+IFERROR(Y53/H53,"0")+IFERROR(Y54/H54,"0")+IFERROR(Y55/H55,"0")+IFERROR(Y56/H56,"0")</f>
        <v>27</v>
      </c>
      <c r="Z57" s="541">
        <f>IFERROR(IF(Z51="",0,Z51),"0")+IFERROR(IF(Z52="",0,Z52),"0")+IFERROR(IF(Z53="",0,Z53),"0")+IFERROR(IF(Z54="",0,Z54),"0")+IFERROR(IF(Z55="",0,Z55),"0")+IFERROR(IF(Z56="",0,Z56),"0")</f>
        <v>0.51246000000000003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287</v>
      </c>
      <c r="Y58" s="541">
        <f>IFERROR(SUM(Y51:Y56),"0")</f>
        <v>296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169</v>
      </c>
      <c r="Y60" s="540">
        <f>IFERROR(IF(X60="",0,CEILING((X60/$H60),1)*$H60),"")</f>
        <v>172.8</v>
      </c>
      <c r="Z60" s="36">
        <f>IFERROR(IF(Y60=0,"",ROUNDUP(Y60/H60,0)*0.01898),"")</f>
        <v>0.30368000000000001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175.41574074074074</v>
      </c>
      <c r="BN60" s="64">
        <f>IFERROR(Y60*I60/H60,"0")</f>
        <v>179.36</v>
      </c>
      <c r="BO60" s="64">
        <f>IFERROR(1/J60*(X60/H60),"0")</f>
        <v>0.2445023148148148</v>
      </c>
      <c r="BP60" s="64">
        <f>IFERROR(1/J60*(Y60/H60),"0")</f>
        <v>0.25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15.648148148148147</v>
      </c>
      <c r="Y63" s="541">
        <f>IFERROR(Y60/H60,"0")+IFERROR(Y61/H61,"0")+IFERROR(Y62/H62,"0")</f>
        <v>16</v>
      </c>
      <c r="Z63" s="541">
        <f>IFERROR(IF(Z60="",0,Z60),"0")+IFERROR(IF(Z61="",0,Z61),"0")+IFERROR(IF(Z62="",0,Z62),"0")</f>
        <v>0.30368000000000001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169</v>
      </c>
      <c r="Y64" s="541">
        <f>IFERROR(SUM(Y60:Y62),"0")</f>
        <v>172.8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11</v>
      </c>
      <c r="Y79" s="540">
        <f>IFERROR(IF(X79="",0,CEILING((X79/$H79),1)*$H79),"")</f>
        <v>15.6</v>
      </c>
      <c r="Z79" s="36">
        <f>IFERROR(IF(Y79=0,"",ROUNDUP(Y79/H79,0)*0.01898),"")</f>
        <v>3.7960000000000001E-2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11.578205128205129</v>
      </c>
      <c r="BN79" s="64">
        <f>IFERROR(Y79*I79/H79,"0")</f>
        <v>16.420000000000002</v>
      </c>
      <c r="BO79" s="64">
        <f>IFERROR(1/J79*(X79/H79),"0")</f>
        <v>2.2035256410256412E-2</v>
      </c>
      <c r="BP79" s="64">
        <f>IFERROR(1/J79*(Y79/H79),"0")</f>
        <v>3.125E-2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1.4102564102564104</v>
      </c>
      <c r="Y81" s="541">
        <f>IFERROR(Y79/H79,"0")+IFERROR(Y80/H80,"0")</f>
        <v>2</v>
      </c>
      <c r="Z81" s="541">
        <f>IFERROR(IF(Z79="",0,Z79),"0")+IFERROR(IF(Z80="",0,Z80),"0")</f>
        <v>3.7960000000000001E-2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11</v>
      </c>
      <c r="Y82" s="541">
        <f>IFERROR(SUM(Y79:Y80),"0")</f>
        <v>15.6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478</v>
      </c>
      <c r="Y85" s="540">
        <f>IFERROR(IF(X85="",0,CEILING((X85/$H85),1)*$H85),"")</f>
        <v>486.00000000000006</v>
      </c>
      <c r="Z85" s="36">
        <f>IFERROR(IF(Y85=0,"",ROUNDUP(Y85/H85,0)*0.01898),"")</f>
        <v>0.85409999999999997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496.14629629629627</v>
      </c>
      <c r="BN85" s="64">
        <f>IFERROR(Y85*I85/H85,"0")</f>
        <v>504.4500000000001</v>
      </c>
      <c r="BO85" s="64">
        <f>IFERROR(1/J85*(X85/H85),"0")</f>
        <v>0.69155092592592593</v>
      </c>
      <c r="BP85" s="64">
        <f>IFERROR(1/J85*(Y85/H85),"0")</f>
        <v>0.703125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340</v>
      </c>
      <c r="Y87" s="540">
        <f>IFERROR(IF(X87="",0,CEILING((X87/$H87),1)*$H87),"")</f>
        <v>342</v>
      </c>
      <c r="Z87" s="36">
        <f>IFERROR(IF(Y87=0,"",ROUNDUP(Y87/H87,0)*0.00902),"")</f>
        <v>0.68552000000000002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354.35555555555561</v>
      </c>
      <c r="BN87" s="64">
        <f>IFERROR(Y87*I87/H87,"0")</f>
        <v>356.44000000000005</v>
      </c>
      <c r="BO87" s="64">
        <f>IFERROR(1/J87*(X87/H87),"0")</f>
        <v>0.57239057239057245</v>
      </c>
      <c r="BP87" s="64">
        <f>IFERROR(1/J87*(Y87/H87),"0")</f>
        <v>0.5757575757575758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119.81481481481481</v>
      </c>
      <c r="Y88" s="541">
        <f>IFERROR(Y85/H85,"0")+IFERROR(Y86/H86,"0")+IFERROR(Y87/H87,"0")</f>
        <v>121</v>
      </c>
      <c r="Z88" s="541">
        <f>IFERROR(IF(Z85="",0,Z85),"0")+IFERROR(IF(Z86="",0,Z86),"0")+IFERROR(IF(Z87="",0,Z87),"0")</f>
        <v>1.53962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818</v>
      </c>
      <c r="Y89" s="541">
        <f>IFERROR(SUM(Y85:Y87),"0")</f>
        <v>828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21</v>
      </c>
      <c r="Y91" s="540">
        <f>IFERROR(IF(X91="",0,CEILING((X91/$H91),1)*$H91),"")</f>
        <v>24.299999999999997</v>
      </c>
      <c r="Z91" s="36">
        <f>IFERROR(IF(Y91=0,"",ROUNDUP(Y91/H91,0)*0.01898),"")</f>
        <v>5.6940000000000004E-2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22.28074074074074</v>
      </c>
      <c r="BN91" s="64">
        <f>IFERROR(Y91*I91/H91,"0")</f>
        <v>25.781999999999996</v>
      </c>
      <c r="BO91" s="64">
        <f>IFERROR(1/J91*(X91/H91),"0")</f>
        <v>4.0509259259259259E-2</v>
      </c>
      <c r="BP91" s="64">
        <f>IFERROR(1/J91*(Y91/H91),"0")</f>
        <v>4.6875E-2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114</v>
      </c>
      <c r="Y93" s="540">
        <f>IFERROR(IF(X93="",0,CEILING((X93/$H93),1)*$H93),"")</f>
        <v>116.10000000000001</v>
      </c>
      <c r="Z93" s="36">
        <f>IFERROR(IF(Y93=0,"",ROUNDUP(Y93/H93,0)*0.00651),"")</f>
        <v>0.27993000000000001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124.64</v>
      </c>
      <c r="BN93" s="64">
        <f>IFERROR(Y93*I93/H93,"0")</f>
        <v>126.93600000000001</v>
      </c>
      <c r="BO93" s="64">
        <f>IFERROR(1/J93*(X93/H93),"0")</f>
        <v>0.231990231990232</v>
      </c>
      <c r="BP93" s="64">
        <f>IFERROR(1/J93*(Y93/H93),"0")</f>
        <v>0.23626373626373628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44.814814814814817</v>
      </c>
      <c r="Y95" s="541">
        <f>IFERROR(Y91/H91,"0")+IFERROR(Y92/H92,"0")+IFERROR(Y93/H93,"0")+IFERROR(Y94/H94,"0")</f>
        <v>46</v>
      </c>
      <c r="Z95" s="541">
        <f>IFERROR(IF(Z91="",0,Z91),"0")+IFERROR(IF(Z92="",0,Z92),"0")+IFERROR(IF(Z93="",0,Z93),"0")+IFERROR(IF(Z94="",0,Z94),"0")</f>
        <v>0.33687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135</v>
      </c>
      <c r="Y96" s="541">
        <f>IFERROR(SUM(Y91:Y94),"0")</f>
        <v>140.4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301</v>
      </c>
      <c r="Y99" s="540">
        <f>IFERROR(IF(X99="",0,CEILING((X99/$H99),1)*$H99),"")</f>
        <v>302.40000000000003</v>
      </c>
      <c r="Z99" s="36">
        <f>IFERROR(IF(Y99=0,"",ROUNDUP(Y99/H99,0)*0.01898),"")</f>
        <v>0.53144000000000002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312.42685185185184</v>
      </c>
      <c r="BN99" s="64">
        <f>IFERROR(Y99*I99/H99,"0")</f>
        <v>313.88</v>
      </c>
      <c r="BO99" s="64">
        <f>IFERROR(1/J99*(X99/H99),"0")</f>
        <v>0.43547453703703703</v>
      </c>
      <c r="BP99" s="64">
        <f>IFERROR(1/J99*(Y99/H99),"0")</f>
        <v>0.4375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85</v>
      </c>
      <c r="Y101" s="540">
        <f>IFERROR(IF(X101="",0,CEILING((X101/$H101),1)*$H101),"")</f>
        <v>85.5</v>
      </c>
      <c r="Z101" s="36">
        <f>IFERROR(IF(Y101=0,"",ROUNDUP(Y101/H101,0)*0.00902),"")</f>
        <v>0.17138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88.588888888888903</v>
      </c>
      <c r="BN101" s="64">
        <f>IFERROR(Y101*I101/H101,"0")</f>
        <v>89.110000000000014</v>
      </c>
      <c r="BO101" s="64">
        <f>IFERROR(1/J101*(X101/H101),"0")</f>
        <v>0.14309764309764311</v>
      </c>
      <c r="BP101" s="64">
        <f>IFERROR(1/J101*(Y101/H101),"0")</f>
        <v>0.14393939393939395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46.75925925925926</v>
      </c>
      <c r="Y103" s="541">
        <f>IFERROR(Y99/H99,"0")+IFERROR(Y100/H100,"0")+IFERROR(Y101/H101,"0")+IFERROR(Y102/H102,"0")</f>
        <v>47</v>
      </c>
      <c r="Z103" s="541">
        <f>IFERROR(IF(Z99="",0,Z99),"0")+IFERROR(IF(Z100="",0,Z100),"0")+IFERROR(IF(Z101="",0,Z101),"0")+IFERROR(IF(Z102="",0,Z102),"0")</f>
        <v>0.70282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386</v>
      </c>
      <c r="Y104" s="541">
        <f>IFERROR(SUM(Y99:Y102),"0")</f>
        <v>387.90000000000003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31</v>
      </c>
      <c r="Y106" s="540">
        <f>IFERROR(IF(X106="",0,CEILING((X106/$H106),1)*$H106),"")</f>
        <v>32.400000000000006</v>
      </c>
      <c r="Z106" s="36">
        <f>IFERROR(IF(Y106=0,"",ROUNDUP(Y106/H106,0)*0.01898),"")</f>
        <v>5.6940000000000004E-2</v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32.176851851851858</v>
      </c>
      <c r="BN106" s="64">
        <f>IFERROR(Y106*I106/H106,"0")</f>
        <v>33.630000000000003</v>
      </c>
      <c r="BO106" s="64">
        <f>IFERROR(1/J106*(X106/H106),"0")</f>
        <v>4.4849537037037035E-2</v>
      </c>
      <c r="BP106" s="64">
        <f>IFERROR(1/J106*(Y106/H106),"0")</f>
        <v>4.6875000000000007E-2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44</v>
      </c>
      <c r="Y108" s="540">
        <f>IFERROR(IF(X108="",0,CEILING((X108/$H108),1)*$H108),"")</f>
        <v>45.6</v>
      </c>
      <c r="Z108" s="36">
        <f>IFERROR(IF(Y108=0,"",ROUNDUP(Y108/H108,0)*0.00651),"")</f>
        <v>0.12369000000000001</v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47.300000000000004</v>
      </c>
      <c r="BN108" s="64">
        <f>IFERROR(Y108*I108/H108,"0")</f>
        <v>49.02</v>
      </c>
      <c r="BO108" s="64">
        <f>IFERROR(1/J108*(X108/H108),"0")</f>
        <v>0.10073260073260075</v>
      </c>
      <c r="BP108" s="64">
        <f>IFERROR(1/J108*(Y108/H108),"0")</f>
        <v>0.1043956043956044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21.203703703703706</v>
      </c>
      <c r="Y109" s="541">
        <f>IFERROR(Y106/H106,"0")+IFERROR(Y107/H107,"0")+IFERROR(Y108/H108,"0")</f>
        <v>22</v>
      </c>
      <c r="Z109" s="541">
        <f>IFERROR(IF(Z106="",0,Z106),"0")+IFERROR(IF(Z107="",0,Z107),"0")+IFERROR(IF(Z108="",0,Z108),"0")</f>
        <v>0.18063000000000001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75</v>
      </c>
      <c r="Y110" s="541">
        <f>IFERROR(SUM(Y106:Y108),"0")</f>
        <v>78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182</v>
      </c>
      <c r="Y112" s="540">
        <f>IFERROR(IF(X112="",0,CEILING((X112/$H112),1)*$H112),"")</f>
        <v>186.29999999999998</v>
      </c>
      <c r="Z112" s="36">
        <f>IFERROR(IF(Y112=0,"",ROUNDUP(Y112/H112,0)*0.01898),"")</f>
        <v>0.43653999999999998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192.96493827160492</v>
      </c>
      <c r="BN112" s="64">
        <f>IFERROR(Y112*I112/H112,"0")</f>
        <v>197.52399999999997</v>
      </c>
      <c r="BO112" s="64">
        <f>IFERROR(1/J112*(X112/H112),"0")</f>
        <v>0.35108024691358025</v>
      </c>
      <c r="BP112" s="64">
        <f>IFERROR(1/J112*(Y112/H112),"0")</f>
        <v>0.359375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70</v>
      </c>
      <c r="Y114" s="540">
        <f>IFERROR(IF(X114="",0,CEILING((X114/$H114),1)*$H114),"")</f>
        <v>70.2</v>
      </c>
      <c r="Z114" s="36">
        <f>IFERROR(IF(Y114=0,"",ROUNDUP(Y114/H114,0)*0.00651),"")</f>
        <v>0.16925999999999999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76.533333333333317</v>
      </c>
      <c r="BN114" s="64">
        <f>IFERROR(Y114*I114/H114,"0")</f>
        <v>76.751999999999995</v>
      </c>
      <c r="BO114" s="64">
        <f>IFERROR(1/J114*(X114/H114),"0")</f>
        <v>0.14245014245014245</v>
      </c>
      <c r="BP114" s="64">
        <f>IFERROR(1/J114*(Y114/H114),"0")</f>
        <v>0.14285714285714288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48.395061728395063</v>
      </c>
      <c r="Y116" s="541">
        <f>IFERROR(Y112/H112,"0")+IFERROR(Y113/H113,"0")+IFERROR(Y114/H114,"0")+IFERROR(Y115/H115,"0")</f>
        <v>49</v>
      </c>
      <c r="Z116" s="541">
        <f>IFERROR(IF(Z112="",0,Z112),"0")+IFERROR(IF(Z113="",0,Z113),"0")+IFERROR(IF(Z114="",0,Z114),"0")+IFERROR(IF(Z115="",0,Z115),"0")</f>
        <v>0.60580000000000001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252</v>
      </c>
      <c r="Y117" s="541">
        <f>IFERROR(SUM(Y112:Y115),"0")</f>
        <v>256.5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255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256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135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112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134</v>
      </c>
      <c r="Y162" s="540">
        <f t="shared" ref="Y162:Y170" si="5">IFERROR(IF(X162="",0,CEILING((X162/$H162),1)*$H162),"")</f>
        <v>134.4</v>
      </c>
      <c r="Z162" s="36">
        <f>IFERROR(IF(Y162=0,"",ROUNDUP(Y162/H162,0)*0.00902),"")</f>
        <v>0.28864000000000001</v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141.97619047619048</v>
      </c>
      <c r="BN162" s="64">
        <f t="shared" ref="BN162:BN170" si="7">IFERROR(Y162*I162/H162,"0")</f>
        <v>142.4</v>
      </c>
      <c r="BO162" s="64">
        <f t="shared" ref="BO162:BO170" si="8">IFERROR(1/J162*(X162/H162),"0")</f>
        <v>0.24170274170274172</v>
      </c>
      <c r="BP162" s="64">
        <f t="shared" ref="BP162:BP170" si="9">IFERROR(1/J162*(Y162/H162),"0")</f>
        <v>0.24242424242424243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112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148</v>
      </c>
      <c r="Y164" s="540">
        <f t="shared" si="5"/>
        <v>151.20000000000002</v>
      </c>
      <c r="Z164" s="36">
        <f>IFERROR(IF(Y164=0,"",ROUNDUP(Y164/H164,0)*0.00902),"")</f>
        <v>0.32472000000000001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154.69523809523807</v>
      </c>
      <c r="BN164" s="64">
        <f t="shared" si="7"/>
        <v>158.04</v>
      </c>
      <c r="BO164" s="64">
        <f t="shared" si="8"/>
        <v>0.26695526695526695</v>
      </c>
      <c r="BP164" s="64">
        <f t="shared" si="9"/>
        <v>0.27272727272727271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125</v>
      </c>
      <c r="Y165" s="540">
        <f t="shared" si="5"/>
        <v>126</v>
      </c>
      <c r="Z165" s="36">
        <f>IFERROR(IF(Y165=0,"",ROUNDUP(Y165/H165,0)*0.00502),"")</f>
        <v>0.30120000000000002</v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132.73809523809524</v>
      </c>
      <c r="BN165" s="64">
        <f t="shared" si="7"/>
        <v>133.80000000000001</v>
      </c>
      <c r="BO165" s="64">
        <f t="shared" si="8"/>
        <v>0.25437525437525438</v>
      </c>
      <c r="BP165" s="64">
        <f t="shared" si="9"/>
        <v>0.25641025641025644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 t="s">
        <v>271</v>
      </c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49</v>
      </c>
      <c r="Y167" s="540">
        <f t="shared" si="5"/>
        <v>50.4</v>
      </c>
      <c r="Z167" s="36">
        <f>IFERROR(IF(Y167=0,"",ROUNDUP(Y167/H167,0)*0.00502),"")</f>
        <v>0.14056000000000002</v>
      </c>
      <c r="AA167" s="56"/>
      <c r="AB167" s="57"/>
      <c r="AC167" s="203" t="s">
        <v>276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52.538888888888884</v>
      </c>
      <c r="BN167" s="64">
        <f t="shared" si="7"/>
        <v>54.039999999999992</v>
      </c>
      <c r="BO167" s="64">
        <f t="shared" si="8"/>
        <v>0.11633428300094968</v>
      </c>
      <c r="BP167" s="64">
        <f t="shared" si="9"/>
        <v>0.11965811965811968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309</v>
      </c>
      <c r="Y168" s="540">
        <f t="shared" si="5"/>
        <v>310.8</v>
      </c>
      <c r="Z168" s="36">
        <f>IFERROR(IF(Y168=0,"",ROUNDUP(Y168/H168,0)*0.00502),"")</f>
        <v>0.74296000000000006</v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323.71428571428572</v>
      </c>
      <c r="BN168" s="64">
        <f t="shared" si="7"/>
        <v>325.60000000000002</v>
      </c>
      <c r="BO168" s="64">
        <f t="shared" si="8"/>
        <v>0.62881562881562891</v>
      </c>
      <c r="BP168" s="64">
        <f t="shared" si="9"/>
        <v>0.63247863247863256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301.03174603174602</v>
      </c>
      <c r="Y171" s="541">
        <f>IFERROR(Y162/H162,"0")+IFERROR(Y163/H163,"0")+IFERROR(Y164/H164,"0")+IFERROR(Y165/H165,"0")+IFERROR(Y166/H166,"0")+IFERROR(Y167/H167,"0")+IFERROR(Y168/H168,"0")+IFERROR(Y169/H169,"0")+IFERROR(Y170/H170,"0")</f>
        <v>304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1.7980800000000001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765</v>
      </c>
      <c r="Y172" s="541">
        <f>IFERROR(SUM(Y162:Y170),"0")</f>
        <v>772.8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1</v>
      </c>
      <c r="Y175" s="540">
        <f>IFERROR(IF(X175="",0,CEILING((X175/$H175),1)*$H175),"")</f>
        <v>1.26</v>
      </c>
      <c r="Z175" s="36">
        <f>IFERROR(IF(Y175=0,"",ROUNDUP(Y175/H175,0)*0.0059),"")</f>
        <v>5.8999999999999999E-3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1.1507936507936507</v>
      </c>
      <c r="BN175" s="64">
        <f>IFERROR(Y175*I175/H175,"0")</f>
        <v>1.45</v>
      </c>
      <c r="BO175" s="64">
        <f>IFERROR(1/J175*(X175/H175),"0")</f>
        <v>3.6743092298647849E-3</v>
      </c>
      <c r="BP175" s="64">
        <f>IFERROR(1/J175*(Y175/H175),"0")</f>
        <v>4.6296296296296294E-3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5</v>
      </c>
      <c r="Y176" s="540">
        <f>IFERROR(IF(X176="",0,CEILING((X176/$H176),1)*$H176),"")</f>
        <v>5.04</v>
      </c>
      <c r="Z176" s="36">
        <f>IFERROR(IF(Y176=0,"",ROUNDUP(Y176/H176,0)*0.0059),"")</f>
        <v>2.3599999999999999E-2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5.753968253968254</v>
      </c>
      <c r="BN176" s="64">
        <f>IFERROR(Y176*I176/H176,"0")</f>
        <v>5.8</v>
      </c>
      <c r="BO176" s="64">
        <f>IFERROR(1/J176*(X176/H176),"0")</f>
        <v>1.8371546149323927E-2</v>
      </c>
      <c r="BP176" s="64">
        <f>IFERROR(1/J176*(Y176/H176),"0")</f>
        <v>1.8518518518518517E-2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4.7619047619047619</v>
      </c>
      <c r="Y177" s="541">
        <f>IFERROR(Y174/H174,"0")+IFERROR(Y175/H175,"0")+IFERROR(Y176/H176,"0")</f>
        <v>5</v>
      </c>
      <c r="Z177" s="541">
        <f>IFERROR(IF(Z174="",0,Z174),"0")+IFERROR(IF(Z175="",0,Z175),"0")+IFERROR(IF(Z176="",0,Z176),"0")</f>
        <v>2.9499999999999998E-2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6</v>
      </c>
      <c r="Y178" s="541">
        <f>IFERROR(SUM(Y174:Y176),"0")</f>
        <v>6.3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 t="s">
        <v>206</v>
      </c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112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691</v>
      </c>
      <c r="Y195" s="540">
        <f t="shared" ref="Y195:Y202" si="10">IFERROR(IF(X195="",0,CEILING((X195/$H195),1)*$H195),"")</f>
        <v>691.2</v>
      </c>
      <c r="Z195" s="36">
        <f>IFERROR(IF(Y195=0,"",ROUNDUP(Y195/H195,0)*0.00902),"")</f>
        <v>1.15456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715.31296296296296</v>
      </c>
      <c r="BN195" s="64">
        <f t="shared" ref="BN195:BN202" si="12">IFERROR(Y195*I195/H195,"0")</f>
        <v>715.52</v>
      </c>
      <c r="BO195" s="64">
        <f t="shared" ref="BO195:BO202" si="13">IFERROR(1/J195*(X195/H195),"0")</f>
        <v>0.96941638608305269</v>
      </c>
      <c r="BP195" s="64">
        <f t="shared" ref="BP195:BP202" si="14">IFERROR(1/J195*(Y195/H195),"0")</f>
        <v>0.96969696969696972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112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151</v>
      </c>
      <c r="Y198" s="540">
        <f t="shared" si="10"/>
        <v>151.20000000000002</v>
      </c>
      <c r="Z198" s="36">
        <f>IFERROR(IF(Y198=0,"",ROUNDUP(Y198/H198,0)*0.00902),"")</f>
        <v>0.25256000000000001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156.31296296296296</v>
      </c>
      <c r="BN198" s="64">
        <f t="shared" si="12"/>
        <v>156.52000000000001</v>
      </c>
      <c r="BO198" s="64">
        <f t="shared" si="13"/>
        <v>0.21184062850729518</v>
      </c>
      <c r="BP198" s="64">
        <f t="shared" si="14"/>
        <v>0.21212121212121213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56</v>
      </c>
      <c r="Y199" s="540">
        <f t="shared" si="10"/>
        <v>57.6</v>
      </c>
      <c r="Z199" s="36">
        <f>IFERROR(IF(Y199=0,"",ROUNDUP(Y199/H199,0)*0.00502),"")</f>
        <v>0.16064000000000001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60.044444444444444</v>
      </c>
      <c r="BN199" s="64">
        <f t="shared" si="12"/>
        <v>61.759999999999991</v>
      </c>
      <c r="BO199" s="64">
        <f t="shared" si="13"/>
        <v>0.13295346628679963</v>
      </c>
      <c r="BP199" s="64">
        <f t="shared" si="14"/>
        <v>0.13675213675213677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46</v>
      </c>
      <c r="Y200" s="540">
        <f t="shared" si="10"/>
        <v>46.800000000000004</v>
      </c>
      <c r="Z200" s="36">
        <f>IFERROR(IF(Y200=0,"",ROUNDUP(Y200/H200,0)*0.00502),"")</f>
        <v>0.13052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48.55555555555555</v>
      </c>
      <c r="BN200" s="64">
        <f t="shared" si="12"/>
        <v>49.4</v>
      </c>
      <c r="BO200" s="64">
        <f t="shared" si="13"/>
        <v>0.10921177587844255</v>
      </c>
      <c r="BP200" s="64">
        <f t="shared" si="14"/>
        <v>0.11111111111111112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58</v>
      </c>
      <c r="Y202" s="540">
        <f t="shared" si="10"/>
        <v>59.4</v>
      </c>
      <c r="Z202" s="36">
        <f>IFERROR(IF(Y202=0,"",ROUNDUP(Y202/H202,0)*0.00502),"")</f>
        <v>0.16566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61.222222222222214</v>
      </c>
      <c r="BN202" s="64">
        <f t="shared" si="12"/>
        <v>62.699999999999989</v>
      </c>
      <c r="BO202" s="64">
        <f t="shared" si="13"/>
        <v>0.13770180436847104</v>
      </c>
      <c r="BP202" s="64">
        <f t="shared" si="14"/>
        <v>0.14102564102564105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244.81481481481481</v>
      </c>
      <c r="Y203" s="541">
        <f>IFERROR(Y195/H195,"0")+IFERROR(Y196/H196,"0")+IFERROR(Y197/H197,"0")+IFERROR(Y198/H198,"0")+IFERROR(Y199/H199,"0")+IFERROR(Y200/H200,"0")+IFERROR(Y201/H201,"0")+IFERROR(Y202/H202,"0")</f>
        <v>247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1.8639399999999997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1002</v>
      </c>
      <c r="Y204" s="541">
        <f>IFERROR(SUM(Y195:Y202),"0")</f>
        <v>1006.2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477</v>
      </c>
      <c r="Y208" s="540">
        <f t="shared" si="15"/>
        <v>478.49999999999994</v>
      </c>
      <c r="Z208" s="36">
        <f>IFERROR(IF(Y208=0,"",ROUNDUP(Y208/H208,0)*0.01898),"")</f>
        <v>1.0439000000000001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504.08482758620698</v>
      </c>
      <c r="BN208" s="64">
        <f t="shared" si="17"/>
        <v>505.67</v>
      </c>
      <c r="BO208" s="64">
        <f t="shared" si="18"/>
        <v>0.85668103448275867</v>
      </c>
      <c r="BP208" s="64">
        <f t="shared" si="19"/>
        <v>0.859375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206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120</v>
      </c>
      <c r="Y209" s="540">
        <f t="shared" si="15"/>
        <v>120</v>
      </c>
      <c r="Z209" s="36">
        <f t="shared" ref="Z209:Z214" si="20">IFERROR(IF(Y209=0,"",ROUNDUP(Y209/H209,0)*0.00651),"")</f>
        <v>0.32550000000000001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133.5</v>
      </c>
      <c r="BN209" s="64">
        <f t="shared" si="17"/>
        <v>133.5</v>
      </c>
      <c r="BO209" s="64">
        <f t="shared" si="18"/>
        <v>0.27472527472527475</v>
      </c>
      <c r="BP209" s="64">
        <f t="shared" si="19"/>
        <v>0.27472527472527475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206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868</v>
      </c>
      <c r="Y211" s="540">
        <f t="shared" si="15"/>
        <v>868.8</v>
      </c>
      <c r="Z211" s="36">
        <f t="shared" si="20"/>
        <v>2.3566199999999999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959.1400000000001</v>
      </c>
      <c r="BN211" s="64">
        <f t="shared" si="17"/>
        <v>960.02400000000011</v>
      </c>
      <c r="BO211" s="64">
        <f t="shared" si="18"/>
        <v>1.9871794871794874</v>
      </c>
      <c r="BP211" s="64">
        <f t="shared" si="19"/>
        <v>1.9890109890109893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363</v>
      </c>
      <c r="Y212" s="540">
        <f t="shared" si="15"/>
        <v>364.8</v>
      </c>
      <c r="Z212" s="36">
        <f t="shared" si="20"/>
        <v>0.98952000000000007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401.11500000000001</v>
      </c>
      <c r="BN212" s="64">
        <f t="shared" si="17"/>
        <v>403.10400000000004</v>
      </c>
      <c r="BO212" s="64">
        <f t="shared" si="18"/>
        <v>0.83104395604395609</v>
      </c>
      <c r="BP212" s="64">
        <f t="shared" si="19"/>
        <v>0.8351648351648352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206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151</v>
      </c>
      <c r="Y213" s="540">
        <f t="shared" si="15"/>
        <v>151.19999999999999</v>
      </c>
      <c r="Z213" s="36">
        <f t="shared" si="20"/>
        <v>0.41012999999999999</v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166.85500000000002</v>
      </c>
      <c r="BN213" s="64">
        <f t="shared" si="17"/>
        <v>167.07599999999999</v>
      </c>
      <c r="BO213" s="64">
        <f t="shared" si="18"/>
        <v>0.34569597069597074</v>
      </c>
      <c r="BP213" s="64">
        <f t="shared" si="19"/>
        <v>0.3461538461538462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206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118</v>
      </c>
      <c r="Y214" s="540">
        <f t="shared" si="15"/>
        <v>120</v>
      </c>
      <c r="Z214" s="36">
        <f t="shared" si="20"/>
        <v>0.32550000000000001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130.685</v>
      </c>
      <c r="BN214" s="64">
        <f t="shared" si="17"/>
        <v>132.9</v>
      </c>
      <c r="BO214" s="64">
        <f t="shared" si="18"/>
        <v>0.27014652014652019</v>
      </c>
      <c r="BP214" s="64">
        <f t="shared" si="19"/>
        <v>0.27472527472527475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729.82758620689651</v>
      </c>
      <c r="Y215" s="541">
        <f>IFERROR(Y206/H206,"0")+IFERROR(Y207/H207,"0")+IFERROR(Y208/H208,"0")+IFERROR(Y209/H209,"0")+IFERROR(Y210/H210,"0")+IFERROR(Y211/H211,"0")+IFERROR(Y212/H212,"0")+IFERROR(Y213/H213,"0")+IFERROR(Y214/H214,"0")</f>
        <v>732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5.4511699999999994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2097</v>
      </c>
      <c r="Y216" s="541">
        <f>IFERROR(SUM(Y206:Y214),"0")</f>
        <v>2103.3000000000002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50</v>
      </c>
      <c r="Y218" s="540">
        <f>IFERROR(IF(X218="",0,CEILING((X218/$H218),1)*$H218),"")</f>
        <v>50.4</v>
      </c>
      <c r="Z218" s="36">
        <f>IFERROR(IF(Y218=0,"",ROUNDUP(Y218/H218,0)*0.00651),"")</f>
        <v>0.13671</v>
      </c>
      <c r="AA218" s="56"/>
      <c r="AB218" s="57"/>
      <c r="AC218" s="261" t="s">
        <v>353</v>
      </c>
      <c r="AG218" s="64"/>
      <c r="AJ218" s="68"/>
      <c r="AK218" s="68">
        <v>0</v>
      </c>
      <c r="BB218" s="262" t="s">
        <v>1</v>
      </c>
      <c r="BM218" s="64">
        <f>IFERROR(X218*I218/H218,"0")</f>
        <v>55.25</v>
      </c>
      <c r="BN218" s="64">
        <f>IFERROR(Y218*I218/H218,"0")</f>
        <v>55.692</v>
      </c>
      <c r="BO218" s="64">
        <f>IFERROR(1/J218*(X218/H218),"0")</f>
        <v>0.11446886446886449</v>
      </c>
      <c r="BP218" s="64">
        <f>IFERROR(1/J218*(Y218/H218),"0")</f>
        <v>0.11538461538461539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206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41</v>
      </c>
      <c r="Y219" s="540">
        <f>IFERROR(IF(X219="",0,CEILING((X219/$H219),1)*$H219),"")</f>
        <v>43.199999999999996</v>
      </c>
      <c r="Z219" s="36">
        <f>IFERROR(IF(Y219=0,"",ROUNDUP(Y219/H219,0)*0.00651),"")</f>
        <v>0.11718000000000001</v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45.305</v>
      </c>
      <c r="BN219" s="64">
        <f>IFERROR(Y219*I219/H219,"0")</f>
        <v>47.736000000000004</v>
      </c>
      <c r="BO219" s="64">
        <f>IFERROR(1/J219*(X219/H219),"0")</f>
        <v>9.3864468864468878E-2</v>
      </c>
      <c r="BP219" s="64">
        <f>IFERROR(1/J219*(Y219/H219),"0")</f>
        <v>9.8901098901098911E-2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37.916666666666671</v>
      </c>
      <c r="Y220" s="541">
        <f>IFERROR(Y218/H218,"0")+IFERROR(Y219/H219,"0")</f>
        <v>39</v>
      </c>
      <c r="Z220" s="541">
        <f>IFERROR(IF(Z218="",0,Z218),"0")+IFERROR(IF(Z219="",0,Z219),"0")</f>
        <v>0.25389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91</v>
      </c>
      <c r="Y221" s="541">
        <f>IFERROR(SUM(Y218:Y219),"0")</f>
        <v>93.6</v>
      </c>
      <c r="Z221" s="37"/>
      <c r="AA221" s="542"/>
      <c r="AB221" s="542"/>
      <c r="AC221" s="542"/>
    </row>
    <row r="222" spans="1:68" ht="16.5" customHeight="1" x14ac:dyDescent="0.25">
      <c r="A222" s="552" t="s">
        <v>357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314</v>
      </c>
      <c r="Y224" s="540">
        <f t="shared" ref="Y224:Y233" si="21">IFERROR(IF(X224="",0,CEILING((X224/$H224),1)*$H224),"")</f>
        <v>324.8</v>
      </c>
      <c r="Z224" s="36">
        <f>IFERROR(IF(Y224=0,"",ROUNDUP(Y224/H224,0)*0.01898),"")</f>
        <v>0.53144000000000002</v>
      </c>
      <c r="AA224" s="56"/>
      <c r="AB224" s="57"/>
      <c r="AC224" s="265" t="s">
        <v>360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325.09827586206899</v>
      </c>
      <c r="BN224" s="64">
        <f t="shared" ref="BN224:BN233" si="23">IFERROR(Y224*I224/H224,"0")</f>
        <v>336.28000000000003</v>
      </c>
      <c r="BO224" s="64">
        <f t="shared" ref="BO224:BO233" si="24">IFERROR(1/J224*(X224/H224),"0")</f>
        <v>0.42295258620689657</v>
      </c>
      <c r="BP224" s="64">
        <f t="shared" ref="BP224:BP233" si="25">IFERROR(1/J224*(Y224/H224),"0")</f>
        <v>0.43750000000000006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27.068965517241381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28.000000000000004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0.53144000000000002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314</v>
      </c>
      <c r="Y235" s="541">
        <f>IFERROR(SUM(Y224:Y233),"0")</f>
        <v>324.8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383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387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399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415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426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206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30</v>
      </c>
      <c r="Y272" s="540">
        <f>IFERROR(IF(X272="",0,CEILING((X272/$H272),1)*$H272),"")</f>
        <v>31.2</v>
      </c>
      <c r="Z272" s="36">
        <f>IFERROR(IF(Y272=0,"",ROUNDUP(Y272/H272,0)*0.00651),"")</f>
        <v>8.4629999999999997E-2</v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33.150000000000006</v>
      </c>
      <c r="BN272" s="64">
        <f>IFERROR(Y272*I272/H272,"0")</f>
        <v>34.476000000000006</v>
      </c>
      <c r="BO272" s="64">
        <f>IFERROR(1/J272*(X272/H272),"0")</f>
        <v>6.8681318681318687E-2</v>
      </c>
      <c r="BP272" s="64">
        <f>IFERROR(1/J272*(Y272/H272),"0")</f>
        <v>7.1428571428571438E-2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206</v>
      </c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95</v>
      </c>
      <c r="Y273" s="540">
        <f>IFERROR(IF(X273="",0,CEILING((X273/$H273),1)*$H273),"")</f>
        <v>96</v>
      </c>
      <c r="Z273" s="36">
        <f>IFERROR(IF(Y273=0,"",ROUNDUP(Y273/H273,0)*0.00651),"")</f>
        <v>0.26040000000000002</v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102.125</v>
      </c>
      <c r="BN273" s="64">
        <f>IFERROR(Y273*I273/H273,"0")</f>
        <v>103.2</v>
      </c>
      <c r="BO273" s="64">
        <f>IFERROR(1/J273*(X273/H273),"0")</f>
        <v>0.21749084249084252</v>
      </c>
      <c r="BP273" s="64">
        <f>IFERROR(1/J273*(Y273/H273),"0")</f>
        <v>0.2197802197802198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52.083333333333336</v>
      </c>
      <c r="Y274" s="541">
        <f>IFERROR(Y271/H271,"0")+IFERROR(Y272/H272,"0")+IFERROR(Y273/H273,"0")</f>
        <v>53</v>
      </c>
      <c r="Z274" s="541">
        <f>IFERROR(IF(Z271="",0,Z271),"0")+IFERROR(IF(Z272="",0,Z272),"0")+IFERROR(IF(Z273="",0,Z273),"0")</f>
        <v>0.34503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125</v>
      </c>
      <c r="Y275" s="541">
        <f>IFERROR(SUM(Y271:Y273),"0")</f>
        <v>127.2</v>
      </c>
      <c r="Z275" s="37"/>
      <c r="AA275" s="542"/>
      <c r="AB275" s="542"/>
      <c r="AC275" s="542"/>
    </row>
    <row r="276" spans="1:68" ht="16.5" customHeight="1" x14ac:dyDescent="0.25">
      <c r="A276" s="552" t="s">
        <v>435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445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449</v>
      </c>
      <c r="B289" s="54" t="s">
        <v>450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460</v>
      </c>
      <c r="B296" s="54" t="s">
        <v>461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463</v>
      </c>
      <c r="B297" s="54" t="s">
        <v>464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33</v>
      </c>
      <c r="Y302" s="540">
        <f t="shared" si="26"/>
        <v>34.200000000000003</v>
      </c>
      <c r="Z302" s="36">
        <f>IFERROR(IF(Y302=0,"",ROUNDUP(Y302/H302,0)*0.00651),"")</f>
        <v>0.12369000000000001</v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37.18</v>
      </c>
      <c r="BN302" s="64">
        <f t="shared" si="28"/>
        <v>38.532000000000004</v>
      </c>
      <c r="BO302" s="64">
        <f t="shared" si="29"/>
        <v>0.10073260073260074</v>
      </c>
      <c r="BP302" s="64">
        <f t="shared" si="30"/>
        <v>0.1043956043956044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18.333333333333332</v>
      </c>
      <c r="Y303" s="541">
        <f>IFERROR(Y296/H296,"0")+IFERROR(Y297/H297,"0")+IFERROR(Y298/H298,"0")+IFERROR(Y299/H299,"0")+IFERROR(Y300/H300,"0")+IFERROR(Y301/H301,"0")+IFERROR(Y302/H302,"0")</f>
        <v>19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0.12369000000000001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33</v>
      </c>
      <c r="Y304" s="541">
        <f>IFERROR(SUM(Y296:Y302),"0")</f>
        <v>34.200000000000003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479</v>
      </c>
      <c r="B306" s="54" t="s">
        <v>480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482</v>
      </c>
      <c r="B307" s="54" t="s">
        <v>483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3</v>
      </c>
      <c r="Y310" s="540">
        <f>IFERROR(IF(X310="",0,CEILING((X310/$H310),1)*$H310),"")</f>
        <v>5.4</v>
      </c>
      <c r="Z310" s="36">
        <f>IFERROR(IF(Y310=0,"",ROUNDUP(Y310/H310,0)*0.00651),"")</f>
        <v>1.302E-2</v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3.2866666666666666</v>
      </c>
      <c r="BN310" s="64">
        <f>IFERROR(Y310*I310/H310,"0")</f>
        <v>5.9160000000000004</v>
      </c>
      <c r="BO310" s="64">
        <f>IFERROR(1/J310*(X310/H310),"0")</f>
        <v>6.1050061050061041E-3</v>
      </c>
      <c r="BP310" s="64">
        <f>IFERROR(1/J310*(Y310/H310),"0")</f>
        <v>1.098901098901099E-2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1.1111111111111109</v>
      </c>
      <c r="Y311" s="541">
        <f>IFERROR(Y306/H306,"0")+IFERROR(Y307/H307,"0")+IFERROR(Y308/H308,"0")+IFERROR(Y309/H309,"0")+IFERROR(Y310/H310,"0")</f>
        <v>2</v>
      </c>
      <c r="Z311" s="541">
        <f>IFERROR(IF(Z306="",0,Z306),"0")+IFERROR(IF(Z307="",0,Z307),"0")+IFERROR(IF(Z308="",0,Z308),"0")+IFERROR(IF(Z309="",0,Z309),"0")+IFERROR(IF(Z310="",0,Z310),"0")</f>
        <v>1.302E-2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3</v>
      </c>
      <c r="Y312" s="541">
        <f>IFERROR(SUM(Y306:Y310),"0")</f>
        <v>5.4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77</v>
      </c>
      <c r="Y314" s="540">
        <f>IFERROR(IF(X314="",0,CEILING((X314/$H314),1)*$H314),"")</f>
        <v>84</v>
      </c>
      <c r="Z314" s="36">
        <f>IFERROR(IF(Y314=0,"",ROUNDUP(Y314/H314,0)*0.01898),"")</f>
        <v>0.1898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81.528333333333322</v>
      </c>
      <c r="BN314" s="64">
        <f>IFERROR(Y314*I314/H314,"0")</f>
        <v>88.94</v>
      </c>
      <c r="BO314" s="64">
        <f>IFERROR(1/J314*(X314/H314),"0")</f>
        <v>0.14322916666666666</v>
      </c>
      <c r="BP314" s="64">
        <f>IFERROR(1/J314*(Y314/H314),"0")</f>
        <v>0.15625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383</v>
      </c>
      <c r="Y315" s="540">
        <f>IFERROR(IF(X315="",0,CEILING((X315/$H315),1)*$H315),"")</f>
        <v>390</v>
      </c>
      <c r="Z315" s="36">
        <f>IFERROR(IF(Y315=0,"",ROUNDUP(Y315/H315,0)*0.01898),"")</f>
        <v>0.94900000000000007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407.25666666666672</v>
      </c>
      <c r="BN315" s="64">
        <f>IFERROR(Y315*I315/H315,"0")</f>
        <v>414.70000000000005</v>
      </c>
      <c r="BO315" s="64">
        <f>IFERROR(1/J315*(X315/H315),"0")</f>
        <v>0.7672275641025641</v>
      </c>
      <c r="BP315" s="64">
        <f>IFERROR(1/J315*(Y315/H315),"0")</f>
        <v>0.78125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82</v>
      </c>
      <c r="Y316" s="540">
        <f>IFERROR(IF(X316="",0,CEILING((X316/$H316),1)*$H316),"")</f>
        <v>84</v>
      </c>
      <c r="Z316" s="36">
        <f>IFERROR(IF(Y316=0,"",ROUNDUP(Y316/H316,0)*0.01898),"")</f>
        <v>0.1898</v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86.822380952380954</v>
      </c>
      <c r="BN316" s="64">
        <f>IFERROR(Y316*I316/H316,"0")</f>
        <v>88.94</v>
      </c>
      <c r="BO316" s="64">
        <f>IFERROR(1/J316*(X316/H316),"0")</f>
        <v>0.15252976190476189</v>
      </c>
      <c r="BP316" s="64">
        <f>IFERROR(1/J316*(Y316/H316),"0")</f>
        <v>0.15625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68.031135531135533</v>
      </c>
      <c r="Y317" s="541">
        <f>IFERROR(Y314/H314,"0")+IFERROR(Y315/H315,"0")+IFERROR(Y316/H316,"0")</f>
        <v>70</v>
      </c>
      <c r="Z317" s="541">
        <f>IFERROR(IF(Z314="",0,Z314),"0")+IFERROR(IF(Z315="",0,Z315),"0")+IFERROR(IF(Z316="",0,Z316),"0")</f>
        <v>1.3286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542</v>
      </c>
      <c r="Y318" s="541">
        <f>IFERROR(SUM(Y314:Y316),"0")</f>
        <v>558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508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17</v>
      </c>
      <c r="Y322" s="540">
        <f>IFERROR(IF(X322="",0,CEILING((X322/$H322),1)*$H322),"")</f>
        <v>17.849999999999998</v>
      </c>
      <c r="Z322" s="36">
        <f>IFERROR(IF(Y322=0,"",ROUNDUP(Y322/H322,0)*0.00651),"")</f>
        <v>4.5569999999999999E-2</v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19.700000000000003</v>
      </c>
      <c r="BN322" s="64">
        <f>IFERROR(Y322*I322/H322,"0")</f>
        <v>20.684999999999999</v>
      </c>
      <c r="BO322" s="64">
        <f>IFERROR(1/J322*(X322/H322),"0")</f>
        <v>3.6630036630036632E-2</v>
      </c>
      <c r="BP322" s="64">
        <f>IFERROR(1/J322*(Y322/H322),"0")</f>
        <v>3.8461538461538464E-2</v>
      </c>
    </row>
    <row r="323" spans="1:68" ht="27" customHeight="1" x14ac:dyDescent="0.25">
      <c r="A323" s="54" t="s">
        <v>512</v>
      </c>
      <c r="B323" s="54" t="s">
        <v>513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206</v>
      </c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7</v>
      </c>
      <c r="Y323" s="540">
        <f>IFERROR(IF(X323="",0,CEILING((X323/$H323),1)*$H323),"")</f>
        <v>7.6499999999999995</v>
      </c>
      <c r="Z323" s="36">
        <f>IFERROR(IF(Y323=0,"",ROUNDUP(Y323/H323,0)*0.00651),"")</f>
        <v>1.9529999999999999E-2</v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7.9058823529411768</v>
      </c>
      <c r="BN323" s="64">
        <f>IFERROR(Y323*I323/H323,"0")</f>
        <v>8.6399999999999988</v>
      </c>
      <c r="BO323" s="64">
        <f>IFERROR(1/J323*(X323/H323),"0")</f>
        <v>1.508295625942685E-2</v>
      </c>
      <c r="BP323" s="64">
        <f>IFERROR(1/J323*(Y323/H323),"0")</f>
        <v>1.6483516483516484E-2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9.4117647058823533</v>
      </c>
      <c r="Y324" s="541">
        <f>IFERROR(Y320/H320,"0")+IFERROR(Y321/H321,"0")+IFERROR(Y322/H322,"0")+IFERROR(Y323/H323,"0")</f>
        <v>10</v>
      </c>
      <c r="Z324" s="541">
        <f>IFERROR(IF(Z320="",0,Z320),"0")+IFERROR(IF(Z321="",0,Z321),"0")+IFERROR(IF(Z322="",0,Z322),"0")+IFERROR(IF(Z323="",0,Z323),"0")</f>
        <v>6.5099999999999991E-2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24</v>
      </c>
      <c r="Y325" s="541">
        <f>IFERROR(SUM(Y320:Y323),"0")</f>
        <v>25.499999999999996</v>
      </c>
      <c r="Z325" s="37"/>
      <c r="AA325" s="542"/>
      <c r="AB325" s="542"/>
      <c r="AC325" s="542"/>
    </row>
    <row r="326" spans="1:68" ht="14.25" customHeight="1" x14ac:dyDescent="0.25">
      <c r="A326" s="554" t="s">
        <v>514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517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10</v>
      </c>
      <c r="Y327" s="540">
        <f>IFERROR(IF(X327="",0,CEILING((X327/$H327),1)*$H327),"")</f>
        <v>10</v>
      </c>
      <c r="Z327" s="36">
        <f>IFERROR(IF(Y327=0,"",ROUNDUP(Y327/H327,0)*0.00474),"")</f>
        <v>2.3700000000000002E-2</v>
      </c>
      <c r="AA327" s="56"/>
      <c r="AB327" s="57"/>
      <c r="AC327" s="377" t="s">
        <v>518</v>
      </c>
      <c r="AG327" s="64"/>
      <c r="AJ327" s="68"/>
      <c r="AK327" s="68">
        <v>0</v>
      </c>
      <c r="BB327" s="378" t="s">
        <v>1</v>
      </c>
      <c r="BM327" s="64">
        <f>IFERROR(X327*I327/H327,"0")</f>
        <v>11.200000000000001</v>
      </c>
      <c r="BN327" s="64">
        <f>IFERROR(Y327*I327/H327,"0")</f>
        <v>11.200000000000001</v>
      </c>
      <c r="BO327" s="64">
        <f>IFERROR(1/J327*(X327/H327),"0")</f>
        <v>2.1008403361344536E-2</v>
      </c>
      <c r="BP327" s="64">
        <f>IFERROR(1/J327*(Y327/H327),"0")</f>
        <v>2.1008403361344536E-2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8</v>
      </c>
      <c r="Y328" s="540">
        <f>IFERROR(IF(X328="",0,CEILING((X328/$H328),1)*$H328),"")</f>
        <v>8</v>
      </c>
      <c r="Z328" s="36">
        <f>IFERROR(IF(Y328=0,"",ROUNDUP(Y328/H328,0)*0.00474),"")</f>
        <v>1.8960000000000001E-2</v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8.9600000000000009</v>
      </c>
      <c r="BN328" s="64">
        <f>IFERROR(Y328*I328/H328,"0")</f>
        <v>8.9600000000000009</v>
      </c>
      <c r="BO328" s="64">
        <f>IFERROR(1/J328*(X328/H328),"0")</f>
        <v>1.680672268907563E-2</v>
      </c>
      <c r="BP328" s="64">
        <f>IFERROR(1/J328*(Y328/H328),"0")</f>
        <v>1.680672268907563E-2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9</v>
      </c>
      <c r="Y330" s="541">
        <f>IFERROR(Y327/H327,"0")+IFERROR(Y328/H328,"0")+IFERROR(Y329/H329,"0")</f>
        <v>9</v>
      </c>
      <c r="Z330" s="541">
        <f>IFERROR(IF(Z327="",0,Z327),"0")+IFERROR(IF(Z328="",0,Z328),"0")+IFERROR(IF(Z329="",0,Z329),"0")</f>
        <v>4.2660000000000003E-2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18</v>
      </c>
      <c r="Y331" s="541">
        <f>IFERROR(SUM(Y327:Y329),"0")</f>
        <v>18</v>
      </c>
      <c r="Z331" s="37"/>
      <c r="AA331" s="542"/>
      <c r="AB331" s="542"/>
      <c r="AC331" s="542"/>
    </row>
    <row r="332" spans="1:68" ht="16.5" customHeight="1" x14ac:dyDescent="0.25">
      <c r="A332" s="552" t="s">
        <v>523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524</v>
      </c>
      <c r="B334" s="54" t="s">
        <v>525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27</v>
      </c>
      <c r="Y334" s="540">
        <f>IFERROR(IF(X334="",0,CEILING((X334/$H334),1)*$H334),"")</f>
        <v>32.4</v>
      </c>
      <c r="Z334" s="36">
        <f>IFERROR(IF(Y334=0,"",ROUNDUP(Y334/H334,0)*0.01898),"")</f>
        <v>7.5920000000000001E-2</v>
      </c>
      <c r="AA334" s="56"/>
      <c r="AB334" s="57"/>
      <c r="AC334" s="383" t="s">
        <v>526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28.646666666666665</v>
      </c>
      <c r="BN334" s="64">
        <f>IFERROR(Y334*I334/H334,"0")</f>
        <v>34.375999999999998</v>
      </c>
      <c r="BO334" s="64">
        <f>IFERROR(1/J334*(X334/H334),"0")</f>
        <v>5.2083333333333336E-2</v>
      </c>
      <c r="BP334" s="64">
        <f>IFERROR(1/J334*(Y334/H334),"0")</f>
        <v>6.25E-2</v>
      </c>
    </row>
    <row r="335" spans="1:68" ht="27" customHeight="1" x14ac:dyDescent="0.25">
      <c r="A335" s="54" t="s">
        <v>527</v>
      </c>
      <c r="B335" s="54" t="s">
        <v>528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3.3333333333333335</v>
      </c>
      <c r="Y337" s="541">
        <f>IFERROR(Y334/H334,"0")+IFERROR(Y335/H335,"0")+IFERROR(Y336/H336,"0")</f>
        <v>4</v>
      </c>
      <c r="Z337" s="541">
        <f>IFERROR(IF(Z334="",0,Z334),"0")+IFERROR(IF(Z335="",0,Z335),"0")+IFERROR(IF(Z336="",0,Z336),"0")</f>
        <v>7.5920000000000001E-2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27</v>
      </c>
      <c r="Y338" s="541">
        <f>IFERROR(SUM(Y334:Y336),"0")</f>
        <v>32.4</v>
      </c>
      <c r="Z338" s="37"/>
      <c r="AA338" s="542"/>
      <c r="AB338" s="542"/>
      <c r="AC338" s="542"/>
    </row>
    <row r="339" spans="1:68" ht="27.75" customHeight="1" x14ac:dyDescent="0.2">
      <c r="A339" s="693" t="s">
        <v>533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534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1052</v>
      </c>
      <c r="Y342" s="540">
        <f t="shared" ref="Y342:Y348" si="31">IFERROR(IF(X342="",0,CEILING((X342/$H342),1)*$H342),"")</f>
        <v>1065</v>
      </c>
      <c r="Z342" s="36">
        <f>IFERROR(IF(Y342=0,"",ROUNDUP(Y342/H342,0)*0.02175),"")</f>
        <v>1.5442499999999999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1084.9626666666668</v>
      </c>
      <c r="BN342" s="64">
        <f t="shared" ref="BN342:BN348" si="33">IFERROR(Y342*I342/H342,"0")</f>
        <v>1098.3699999999999</v>
      </c>
      <c r="BO342" s="64">
        <f t="shared" ref="BO342:BO348" si="34">IFERROR(1/J342*(X342/H342),"0")</f>
        <v>1.4611111111111112</v>
      </c>
      <c r="BP342" s="64">
        <f t="shared" ref="BP342:BP348" si="35">IFERROR(1/J342*(Y342/H342),"0")</f>
        <v>1.4791666666666665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832</v>
      </c>
      <c r="Y343" s="540">
        <f t="shared" si="31"/>
        <v>840</v>
      </c>
      <c r="Z343" s="36">
        <f>IFERROR(IF(Y343=0,"",ROUNDUP(Y343/H343,0)*0.02175),"")</f>
        <v>1.218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858.06933333333336</v>
      </c>
      <c r="BN343" s="64">
        <f t="shared" si="33"/>
        <v>866.32</v>
      </c>
      <c r="BO343" s="64">
        <f t="shared" si="34"/>
        <v>1.1555555555555554</v>
      </c>
      <c r="BP343" s="64">
        <f t="shared" si="35"/>
        <v>1.1666666666666665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435</v>
      </c>
      <c r="Y344" s="540">
        <f t="shared" si="31"/>
        <v>435</v>
      </c>
      <c r="Z344" s="36">
        <f>IFERROR(IF(Y344=0,"",ROUNDUP(Y344/H344,0)*0.02175),"")</f>
        <v>0.63074999999999992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448.63000000000005</v>
      </c>
      <c r="BN344" s="64">
        <f t="shared" si="33"/>
        <v>448.63000000000005</v>
      </c>
      <c r="BO344" s="64">
        <f t="shared" si="34"/>
        <v>0.60416666666666663</v>
      </c>
      <c r="BP344" s="64">
        <f t="shared" si="35"/>
        <v>0.60416666666666663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546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722</v>
      </c>
      <c r="Y345" s="540">
        <f t="shared" si="31"/>
        <v>735</v>
      </c>
      <c r="Z345" s="36">
        <f>IFERROR(IF(Y345=0,"",ROUNDUP(Y345/H345,0)*0.02175),"")</f>
        <v>1.06575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744.62266666666665</v>
      </c>
      <c r="BN345" s="64">
        <f t="shared" si="33"/>
        <v>758.03000000000009</v>
      </c>
      <c r="BO345" s="64">
        <f t="shared" si="34"/>
        <v>1.0027777777777778</v>
      </c>
      <c r="BP345" s="64">
        <f t="shared" si="35"/>
        <v>1.0208333333333333</v>
      </c>
    </row>
    <row r="346" spans="1:68" ht="27" customHeight="1" x14ac:dyDescent="0.25">
      <c r="A346" s="54" t="s">
        <v>548</v>
      </c>
      <c r="B346" s="54" t="s">
        <v>549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551</v>
      </c>
      <c r="B347" s="54" t="s">
        <v>552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553</v>
      </c>
      <c r="B348" s="54" t="s">
        <v>554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202.73333333333335</v>
      </c>
      <c r="Y349" s="541">
        <f>IFERROR(Y342/H342,"0")+IFERROR(Y343/H343,"0")+IFERROR(Y344/H344,"0")+IFERROR(Y345/H345,"0")+IFERROR(Y346/H346,"0")+IFERROR(Y347/H347,"0")+IFERROR(Y348/H348,"0")</f>
        <v>205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4.4587500000000002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3041</v>
      </c>
      <c r="Y350" s="541">
        <f>IFERROR(SUM(Y342:Y348),"0")</f>
        <v>3075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891</v>
      </c>
      <c r="Y352" s="540">
        <f>IFERROR(IF(X352="",0,CEILING((X352/$H352),1)*$H352),"")</f>
        <v>900</v>
      </c>
      <c r="Z352" s="36">
        <f>IFERROR(IF(Y352=0,"",ROUNDUP(Y352/H352,0)*0.02175),"")</f>
        <v>1.3049999999999999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918.91800000000001</v>
      </c>
      <c r="BN352" s="64">
        <f>IFERROR(Y352*I352/H352,"0")</f>
        <v>928.2</v>
      </c>
      <c r="BO352" s="64">
        <f>IFERROR(1/J352*(X352/H352),"0")</f>
        <v>1.2374999999999998</v>
      </c>
      <c r="BP352" s="64">
        <f>IFERROR(1/J352*(Y352/H352),"0")</f>
        <v>1.25</v>
      </c>
    </row>
    <row r="353" spans="1:68" ht="16.5" customHeight="1" x14ac:dyDescent="0.25">
      <c r="A353" s="54" t="s">
        <v>558</v>
      </c>
      <c r="B353" s="54" t="s">
        <v>559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59.4</v>
      </c>
      <c r="Y354" s="541">
        <f>IFERROR(Y352/H352,"0")+IFERROR(Y353/H353,"0")</f>
        <v>60</v>
      </c>
      <c r="Z354" s="541">
        <f>IFERROR(IF(Z352="",0,Z352),"0")+IFERROR(IF(Z353="",0,Z353),"0")</f>
        <v>1.3049999999999999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891</v>
      </c>
      <c r="Y355" s="541">
        <f>IFERROR(SUM(Y352:Y353),"0")</f>
        <v>900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560</v>
      </c>
      <c r="B357" s="54" t="s">
        <v>561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8</v>
      </c>
      <c r="Y358" s="540">
        <f>IFERROR(IF(X358="",0,CEILING((X358/$H358),1)*$H358),"")</f>
        <v>9</v>
      </c>
      <c r="Z358" s="36">
        <f>IFERROR(IF(Y358=0,"",ROUNDUP(Y358/H358,0)*0.01898),"")</f>
        <v>1.898E-2</v>
      </c>
      <c r="AA358" s="56"/>
      <c r="AB358" s="57"/>
      <c r="AC358" s="409" t="s">
        <v>565</v>
      </c>
      <c r="AG358" s="64"/>
      <c r="AJ358" s="68"/>
      <c r="AK358" s="68">
        <v>0</v>
      </c>
      <c r="BB358" s="410" t="s">
        <v>1</v>
      </c>
      <c r="BM358" s="64">
        <f>IFERROR(X358*I358/H358,"0")</f>
        <v>8.4391111111111101</v>
      </c>
      <c r="BN358" s="64">
        <f>IFERROR(Y358*I358/H358,"0")</f>
        <v>9.4939999999999998</v>
      </c>
      <c r="BO358" s="64">
        <f>IFERROR(1/J358*(X358/H358),"0")</f>
        <v>1.3888888888888888E-2</v>
      </c>
      <c r="BP358" s="64">
        <f>IFERROR(1/J358*(Y358/H358),"0")</f>
        <v>1.5625E-2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0.88888888888888884</v>
      </c>
      <c r="Y359" s="541">
        <f>IFERROR(Y357/H357,"0")+IFERROR(Y358/H358,"0")</f>
        <v>1</v>
      </c>
      <c r="Z359" s="541">
        <f>IFERROR(IF(Z357="",0,Z357),"0")+IFERROR(IF(Z358="",0,Z358),"0")</f>
        <v>1.898E-2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8</v>
      </c>
      <c r="Y360" s="541">
        <f>IFERROR(SUM(Y357:Y358),"0")</f>
        <v>9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62</v>
      </c>
      <c r="Y362" s="540">
        <f>IFERROR(IF(X362="",0,CEILING((X362/$H362),1)*$H362),"")</f>
        <v>63</v>
      </c>
      <c r="Z362" s="36">
        <f>IFERROR(IF(Y362=0,"",ROUNDUP(Y362/H362,0)*0.01898),"")</f>
        <v>0.13286000000000001</v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65.403111111111102</v>
      </c>
      <c r="BN362" s="64">
        <f>IFERROR(Y362*I362/H362,"0")</f>
        <v>66.457999999999998</v>
      </c>
      <c r="BO362" s="64">
        <f>IFERROR(1/J362*(X362/H362),"0")</f>
        <v>0.1076388888888889</v>
      </c>
      <c r="BP362" s="64">
        <f>IFERROR(1/J362*(Y362/H362),"0")</f>
        <v>0.109375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6.8888888888888893</v>
      </c>
      <c r="Y363" s="541">
        <f>IFERROR(Y362/H362,"0")</f>
        <v>7</v>
      </c>
      <c r="Z363" s="541">
        <f>IFERROR(IF(Z362="",0,Z362),"0")</f>
        <v>0.13286000000000001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62</v>
      </c>
      <c r="Y364" s="541">
        <f>IFERROR(SUM(Y362:Y362),"0")</f>
        <v>63</v>
      </c>
      <c r="Z364" s="37"/>
      <c r="AA364" s="542"/>
      <c r="AB364" s="542"/>
      <c r="AC364" s="542"/>
    </row>
    <row r="365" spans="1:68" ht="16.5" customHeight="1" x14ac:dyDescent="0.25">
      <c r="A365" s="552" t="s">
        <v>569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570</v>
      </c>
      <c r="B367" s="54" t="s">
        <v>571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573</v>
      </c>
      <c r="B368" s="54" t="s">
        <v>574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575</v>
      </c>
      <c r="B372" s="54" t="s">
        <v>576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575</v>
      </c>
      <c r="B373" s="54" t="s">
        <v>578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957</v>
      </c>
      <c r="Y377" s="540">
        <f>IFERROR(IF(X377="",0,CEILING((X377/$H377),1)*$H377),"")</f>
        <v>963</v>
      </c>
      <c r="Z377" s="36">
        <f>IFERROR(IF(Y377=0,"",ROUNDUP(Y377/H377,0)*0.01898),"")</f>
        <v>2.0308600000000001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1009.5286666666666</v>
      </c>
      <c r="BN377" s="64">
        <f>IFERROR(Y377*I377/H377,"0")</f>
        <v>1015.8579999999999</v>
      </c>
      <c r="BO377" s="64">
        <f>IFERROR(1/J377*(X377/H377),"0")</f>
        <v>1.6614583333333333</v>
      </c>
      <c r="BP377" s="64">
        <f>IFERROR(1/J377*(Y377/H377),"0")</f>
        <v>1.671875</v>
      </c>
    </row>
    <row r="378" spans="1:68" ht="27" customHeight="1" x14ac:dyDescent="0.25">
      <c r="A378" s="54" t="s">
        <v>583</v>
      </c>
      <c r="B378" s="54" t="s">
        <v>584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206</v>
      </c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106.33333333333333</v>
      </c>
      <c r="Y379" s="541">
        <f>IFERROR(Y377/H377,"0")+IFERROR(Y378/H378,"0")</f>
        <v>107</v>
      </c>
      <c r="Z379" s="541">
        <f>IFERROR(IF(Z377="",0,Z377),"0")+IFERROR(IF(Z378="",0,Z378),"0")</f>
        <v>2.0308600000000001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957</v>
      </c>
      <c r="Y380" s="541">
        <f>IFERROR(SUM(Y377:Y378),"0")</f>
        <v>963</v>
      </c>
      <c r="Z380" s="37"/>
      <c r="AA380" s="542"/>
      <c r="AB380" s="542"/>
      <c r="AC380" s="542"/>
    </row>
    <row r="381" spans="1:68" ht="27.75" customHeight="1" x14ac:dyDescent="0.2">
      <c r="A381" s="693" t="s">
        <v>585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586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587</v>
      </c>
      <c r="B384" s="54" t="s">
        <v>588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590</v>
      </c>
      <c r="B385" s="54" t="s">
        <v>591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598</v>
      </c>
      <c r="B388" s="54" t="s">
        <v>599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600</v>
      </c>
      <c r="B389" s="54" t="s">
        <v>601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603</v>
      </c>
      <c r="B390" s="54" t="s">
        <v>604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609</v>
      </c>
      <c r="B392" s="54" t="s">
        <v>610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611</v>
      </c>
      <c r="B396" s="54" t="s">
        <v>612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614</v>
      </c>
      <c r="B397" s="54" t="s">
        <v>615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617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618</v>
      </c>
      <c r="B402" s="54" t="s">
        <v>619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621</v>
      </c>
      <c r="B406" s="54" t="s">
        <v>622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624</v>
      </c>
      <c r="B407" s="54" t="s">
        <v>625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632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633</v>
      </c>
      <c r="B414" s="54" t="s">
        <v>634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636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636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76</v>
      </c>
      <c r="Y421" s="540">
        <f t="shared" si="42"/>
        <v>79.2</v>
      </c>
      <c r="Z421" s="36">
        <f t="shared" si="43"/>
        <v>0.1794</v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81.037878787878782</v>
      </c>
      <c r="BN421" s="64">
        <f t="shared" si="45"/>
        <v>84.45</v>
      </c>
      <c r="BO421" s="64">
        <f t="shared" si="46"/>
        <v>0.13840326340326339</v>
      </c>
      <c r="BP421" s="64">
        <f t="shared" si="47"/>
        <v>0.14423076923076925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519</v>
      </c>
      <c r="Y422" s="540">
        <f t="shared" si="42"/>
        <v>522.72</v>
      </c>
      <c r="Z422" s="36">
        <f t="shared" si="43"/>
        <v>1.18404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553.40340909090901</v>
      </c>
      <c r="BN422" s="64">
        <f t="shared" si="45"/>
        <v>557.37</v>
      </c>
      <c r="BO422" s="64">
        <f t="shared" si="46"/>
        <v>0.94514860139860146</v>
      </c>
      <c r="BP422" s="64">
        <f t="shared" si="47"/>
        <v>0.95192307692307698</v>
      </c>
    </row>
    <row r="423" spans="1:68" ht="27" customHeight="1" x14ac:dyDescent="0.25">
      <c r="A423" s="54" t="s">
        <v>645</v>
      </c>
      <c r="B423" s="54" t="s">
        <v>646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648</v>
      </c>
      <c r="B424" s="54" t="s">
        <v>649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1127</v>
      </c>
      <c r="Y425" s="540">
        <f t="shared" si="42"/>
        <v>1129.92</v>
      </c>
      <c r="Z425" s="36">
        <f t="shared" si="43"/>
        <v>2.5594399999999999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1201.7064393939395</v>
      </c>
      <c r="BN425" s="64">
        <f t="shared" si="45"/>
        <v>1204.82</v>
      </c>
      <c r="BO425" s="64">
        <f t="shared" si="46"/>
        <v>2.0523747086247086</v>
      </c>
      <c r="BP425" s="64">
        <f t="shared" si="47"/>
        <v>2.0576923076923079</v>
      </c>
    </row>
    <row r="426" spans="1:68" ht="27" customHeight="1" x14ac:dyDescent="0.25">
      <c r="A426" s="54" t="s">
        <v>654</v>
      </c>
      <c r="B426" s="54" t="s">
        <v>655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656</v>
      </c>
      <c r="B427" s="54" t="s">
        <v>657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326.13636363636363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328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3.9228800000000001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1722</v>
      </c>
      <c r="Y432" s="541">
        <f>IFERROR(SUM(Y420:Y430),"0")</f>
        <v>1731.8400000000001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346</v>
      </c>
      <c r="Y434" s="540">
        <f>IFERROR(IF(X434="",0,CEILING((X434/$H434),1)*$H434),"")</f>
        <v>348.48</v>
      </c>
      <c r="Z434" s="36">
        <f>IFERROR(IF(Y434=0,"",ROUNDUP(Y434/H434,0)*0.01196),"")</f>
        <v>0.78936000000000006</v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368.93560606060606</v>
      </c>
      <c r="BN434" s="64">
        <f>IFERROR(Y434*I434/H434,"0")</f>
        <v>371.58</v>
      </c>
      <c r="BO434" s="64">
        <f>IFERROR(1/J434*(X434/H434),"0")</f>
        <v>0.63009906759906764</v>
      </c>
      <c r="BP434" s="64">
        <f>IFERROR(1/J434*(Y434/H434),"0")</f>
        <v>0.63461538461538469</v>
      </c>
    </row>
    <row r="435" spans="1:68" ht="16.5" customHeight="1" x14ac:dyDescent="0.25">
      <c r="A435" s="54" t="s">
        <v>668</v>
      </c>
      <c r="B435" s="54" t="s">
        <v>669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670</v>
      </c>
      <c r="B436" s="54" t="s">
        <v>671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112</v>
      </c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65.530303030303031</v>
      </c>
      <c r="Y437" s="541">
        <f>IFERROR(Y434/H434,"0")+IFERROR(Y435/H435,"0")+IFERROR(Y436/H436,"0")</f>
        <v>66</v>
      </c>
      <c r="Z437" s="541">
        <f>IFERROR(IF(Z434="",0,Z434),"0")+IFERROR(IF(Z435="",0,Z435),"0")+IFERROR(IF(Z436="",0,Z436),"0")</f>
        <v>0.78936000000000006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346</v>
      </c>
      <c r="Y438" s="541">
        <f>IFERROR(SUM(Y434:Y436),"0")</f>
        <v>348.48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221</v>
      </c>
      <c r="Y440" s="540">
        <f t="shared" ref="Y440:Y445" si="48">IFERROR(IF(X440="",0,CEILING((X440/$H440),1)*$H440),"")</f>
        <v>221.76000000000002</v>
      </c>
      <c r="Z440" s="36">
        <f>IFERROR(IF(Y440=0,"",ROUNDUP(Y440/H440,0)*0.01196),"")</f>
        <v>0.50231999999999999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235.64962121212122</v>
      </c>
      <c r="BN440" s="64">
        <f t="shared" ref="BN440:BN445" si="50">IFERROR(Y440*I440/H440,"0")</f>
        <v>236.46</v>
      </c>
      <c r="BO440" s="64">
        <f t="shared" ref="BO440:BO445" si="51">IFERROR(1/J440*(X440/H440),"0")</f>
        <v>0.40246212121212122</v>
      </c>
      <c r="BP440" s="64">
        <f t="shared" ref="BP440:BP445" si="52">IFERROR(1/J440*(Y440/H440),"0")</f>
        <v>0.40384615384615385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168</v>
      </c>
      <c r="Y441" s="540">
        <f t="shared" si="48"/>
        <v>168.96</v>
      </c>
      <c r="Z441" s="36">
        <f>IFERROR(IF(Y441=0,"",ROUNDUP(Y441/H441,0)*0.01196),"")</f>
        <v>0.38272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179.13636363636363</v>
      </c>
      <c r="BN441" s="64">
        <f t="shared" si="50"/>
        <v>180.16</v>
      </c>
      <c r="BO441" s="64">
        <f t="shared" si="51"/>
        <v>0.30594405594405594</v>
      </c>
      <c r="BP441" s="64">
        <f t="shared" si="52"/>
        <v>0.30769230769230771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414</v>
      </c>
      <c r="Y442" s="540">
        <f t="shared" si="48"/>
        <v>417.12</v>
      </c>
      <c r="Z442" s="36">
        <f>IFERROR(IF(Y442=0,"",ROUNDUP(Y442/H442,0)*0.01196),"")</f>
        <v>0.94484000000000001</v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441.44318181818181</v>
      </c>
      <c r="BN442" s="64">
        <f t="shared" si="50"/>
        <v>444.77</v>
      </c>
      <c r="BO442" s="64">
        <f t="shared" si="51"/>
        <v>0.75393356643356646</v>
      </c>
      <c r="BP442" s="64">
        <f t="shared" si="52"/>
        <v>0.75961538461538469</v>
      </c>
    </row>
    <row r="443" spans="1:68" ht="27" customHeight="1" x14ac:dyDescent="0.25">
      <c r="A443" s="54" t="s">
        <v>681</v>
      </c>
      <c r="B443" s="54" t="s">
        <v>682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683</v>
      </c>
      <c r="B444" s="54" t="s">
        <v>684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152.08333333333331</v>
      </c>
      <c r="Y446" s="541">
        <f>IFERROR(Y440/H440,"0")+IFERROR(Y441/H441,"0")+IFERROR(Y442/H442,"0")+IFERROR(Y443/H443,"0")+IFERROR(Y444/H444,"0")+IFERROR(Y445/H445,"0")</f>
        <v>153</v>
      </c>
      <c r="Z446" s="541">
        <f>IFERROR(IF(Z440="",0,Z440),"0")+IFERROR(IF(Z441="",0,Z441),"0")+IFERROR(IF(Z442="",0,Z442),"0")+IFERROR(IF(Z443="",0,Z443),"0")+IFERROR(IF(Z444="",0,Z444),"0")+IFERROR(IF(Z445="",0,Z445),"0")</f>
        <v>1.8298800000000002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803</v>
      </c>
      <c r="Y447" s="541">
        <f>IFERROR(SUM(Y440:Y445),"0")</f>
        <v>807.84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687</v>
      </c>
      <c r="B449" s="54" t="s">
        <v>688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690</v>
      </c>
      <c r="B450" s="54" t="s">
        <v>691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693</v>
      </c>
      <c r="B451" s="54" t="s">
        <v>694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696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696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697</v>
      </c>
      <c r="B457" s="54" t="s">
        <v>698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700</v>
      </c>
      <c r="B458" s="54" t="s">
        <v>701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708</v>
      </c>
      <c r="B464" s="54" t="s">
        <v>709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711</v>
      </c>
      <c r="B465" s="54" t="s">
        <v>712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717</v>
      </c>
      <c r="B470" s="54" t="s">
        <v>718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 t="s">
        <v>112</v>
      </c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 t="s">
        <v>106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720</v>
      </c>
      <c r="B471" s="54" t="s">
        <v>721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723</v>
      </c>
      <c r="B475" s="54" t="s">
        <v>724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/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/>
      <c r="AK475" s="68">
        <v>0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726</v>
      </c>
      <c r="B479" s="54" t="s">
        <v>727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729</v>
      </c>
      <c r="B480" s="54" t="s">
        <v>730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732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733</v>
      </c>
      <c r="B485" s="54" t="s">
        <v>734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736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15723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15900.16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737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16578.020814171712</v>
      </c>
      <c r="Y489" s="541">
        <f>IFERROR(SUM(BN22:BN485),"0")</f>
        <v>16764.441000000003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738</v>
      </c>
      <c r="Q490" s="629"/>
      <c r="R490" s="629"/>
      <c r="S490" s="629"/>
      <c r="T490" s="629"/>
      <c r="U490" s="629"/>
      <c r="V490" s="630"/>
      <c r="W490" s="37" t="s">
        <v>739</v>
      </c>
      <c r="X490" s="38">
        <f>ROUNDUP(SUM(BO22:BO485),0)</f>
        <v>27</v>
      </c>
      <c r="Y490" s="38">
        <f>ROUNDUP(SUM(BP22:BP485),0)</f>
        <v>28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740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17253.020814171712</v>
      </c>
      <c r="Y491" s="541">
        <f>GrossWeightTotalR+PalletQtyTotalR*25</f>
        <v>17464.441000000003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741</v>
      </c>
      <c r="Q492" s="629"/>
      <c r="R492" s="629"/>
      <c r="S492" s="629"/>
      <c r="T492" s="629"/>
      <c r="U492" s="629"/>
      <c r="V492" s="630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2858.354251009288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2887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742</v>
      </c>
      <c r="Q493" s="629"/>
      <c r="R493" s="629"/>
      <c r="S493" s="629"/>
      <c r="T493" s="629"/>
      <c r="U493" s="629"/>
      <c r="V493" s="630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32.052810000000008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255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533</v>
      </c>
      <c r="T495" s="594"/>
      <c r="U495" s="575" t="s">
        <v>585</v>
      </c>
      <c r="V495" s="593"/>
      <c r="W495" s="594"/>
      <c r="X495" s="536" t="s">
        <v>636</v>
      </c>
      <c r="Y495" s="575" t="s">
        <v>696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745</v>
      </c>
      <c r="B496" s="575" t="s">
        <v>63</v>
      </c>
      <c r="C496" s="575" t="s">
        <v>98</v>
      </c>
      <c r="D496" s="575" t="s">
        <v>116</v>
      </c>
      <c r="E496" s="575" t="s">
        <v>170</v>
      </c>
      <c r="F496" s="575" t="s">
        <v>189</v>
      </c>
      <c r="G496" s="575" t="s">
        <v>220</v>
      </c>
      <c r="H496" s="575" t="s">
        <v>97</v>
      </c>
      <c r="I496" s="575" t="s">
        <v>256</v>
      </c>
      <c r="J496" s="575" t="s">
        <v>297</v>
      </c>
      <c r="K496" s="575" t="s">
        <v>357</v>
      </c>
      <c r="L496" s="575" t="s">
        <v>399</v>
      </c>
      <c r="M496" s="575" t="s">
        <v>415</v>
      </c>
      <c r="N496" s="537"/>
      <c r="O496" s="575" t="s">
        <v>426</v>
      </c>
      <c r="P496" s="575" t="s">
        <v>435</v>
      </c>
      <c r="Q496" s="575" t="s">
        <v>445</v>
      </c>
      <c r="R496" s="575" t="s">
        <v>523</v>
      </c>
      <c r="S496" s="575" t="s">
        <v>534</v>
      </c>
      <c r="T496" s="575" t="s">
        <v>569</v>
      </c>
      <c r="U496" s="575" t="s">
        <v>586</v>
      </c>
      <c r="V496" s="575" t="s">
        <v>617</v>
      </c>
      <c r="W496" s="575" t="s">
        <v>632</v>
      </c>
      <c r="X496" s="575" t="s">
        <v>636</v>
      </c>
      <c r="Y496" s="575" t="s">
        <v>696</v>
      </c>
      <c r="Z496" s="575" t="s">
        <v>732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719.10000000000014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484.40000000000003</v>
      </c>
      <c r="E498" s="46">
        <f>IFERROR(Y85*1,"0")+IFERROR(Y86*1,"0")+IFERROR(Y87*1,"0")+IFERROR(Y91*1,"0")+IFERROR(Y92*1,"0")+IFERROR(Y93*1,"0")+IFERROR(Y94*1,"0")</f>
        <v>968.4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722.40000000000009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779.09999999999991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3203.1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324.8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127.2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641.1</v>
      </c>
      <c r="R498" s="46">
        <f>IFERROR(Y334*1,"0")+IFERROR(Y335*1,"0")+IFERROR(Y336*1,"0")</f>
        <v>32.4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4047</v>
      </c>
      <c r="T498" s="46">
        <f>IFERROR(Y367*1,"0")+IFERROR(Y368*1,"0")+IFERROR(Y372*1,"0")+IFERROR(Y373*1,"0")+IFERROR(Y377*1,"0")+IFERROR(Y378*1,"0")</f>
        <v>963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2888.1600000000003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xJaN2WJoCBZnYlmQZurYqpKg09IW/+XYro1avhN/VBmg+iMMw7kXsyH5jWuEeX9Dv0rLGD4AV3mHxprJXBs1eQ==" saltValue="e/yfKpn9zJlKDCmdQR8k0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2 X164:X165 X167:X168 X191 X195:X196 X198:X200 X202 X208:X209 X211:X214 X219 X224 X272:X273 X314:X316 X323 X334 X342:X344 X352 X377:X378 X420:X422 X425 X434 X436 X440:X442 X470:X47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hPmvKSD2CoA1AXGMIJhhl87qOq2ODqD2weYQ3CXZAAJwA9qkm/VKApfiTwQiHfrQFmZWXernHm7/neFmiNCp9g==" saltValue="bBhRKtyERux/BuRX54Xh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2025-11-12T08:26:55Z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