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C3683E7-7FA8-478F-A35C-419811D187B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2" i="1" s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Z369" i="1"/>
  <c r="D498" i="1"/>
  <c r="H9" i="1"/>
  <c r="B498" i="1"/>
  <c r="X489" i="1"/>
  <c r="X491" i="1" s="1"/>
  <c r="X490" i="1"/>
  <c r="X492" i="1"/>
  <c r="Y24" i="1"/>
  <c r="Z27" i="1"/>
  <c r="Z31" i="1" s="1"/>
  <c r="BN27" i="1"/>
  <c r="Y489" i="1" s="1"/>
  <c r="Z29" i="1"/>
  <c r="BN29" i="1"/>
  <c r="C498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Z215" i="1" s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Z324" i="1" s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Z41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Y370" i="1"/>
  <c r="Y375" i="1"/>
  <c r="BP372" i="1"/>
  <c r="BN372" i="1"/>
  <c r="Z372" i="1"/>
  <c r="Z374" i="1" s="1"/>
  <c r="Y374" i="1"/>
  <c r="Z379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393" i="1"/>
  <c r="Z337" i="1"/>
  <c r="Z304" i="1"/>
  <c r="Z294" i="1"/>
  <c r="Z116" i="1"/>
  <c r="Z437" i="1"/>
  <c r="Z446" i="1"/>
  <c r="Z431" i="1"/>
  <c r="Z349" i="1"/>
  <c r="Z330" i="1"/>
  <c r="Z285" i="1"/>
  <c r="Z267" i="1"/>
  <c r="Z259" i="1"/>
  <c r="Z250" i="1"/>
  <c r="Z203" i="1"/>
  <c r="Z171" i="1"/>
  <c r="Z69" i="1"/>
  <c r="Z493" i="1" s="1"/>
  <c r="Y488" i="1"/>
</calcChain>
</file>

<file path=xl/sharedStrings.xml><?xml version="1.0" encoding="utf-8"?>
<sst xmlns="http://schemas.openxmlformats.org/spreadsheetml/2006/main" count="2310" uniqueCount="759">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</sst>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99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102.75833333333334</v>
      </c>
      <c r="BN40" s="64">
        <f>IFERROR(Y40*I40/H40,"0")</f>
        <v>112.1</v>
      </c>
      <c r="BO40" s="64">
        <f>IFERROR(1/J40*(X40/H40),"0")</f>
        <v>0.14322916666666666</v>
      </c>
      <c r="BP40" s="64">
        <f>IFERROR(1/J40*(Y40/H40),"0")</f>
        <v>0.15625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109</v>
      </c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9.1666666666666661</v>
      </c>
      <c r="Y43" s="541">
        <f>IFERROR(Y40/H40,"0")+IFERROR(Y41/H41,"0")+IFERROR(Y42/H42,"0")</f>
        <v>10</v>
      </c>
      <c r="Z43" s="541">
        <f>IFERROR(IF(Z40="",0,Z40),"0")+IFERROR(IF(Z41="",0,Z41),"0")+IFERROR(IF(Z42="",0,Z42),"0")</f>
        <v>0.1898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99</v>
      </c>
      <c r="Y44" s="541">
        <f>IFERROR(SUM(Y40:Y42),"0")</f>
        <v>108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7</v>
      </c>
      <c r="Y60" s="54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7.2657407407407399</v>
      </c>
      <c r="BN60" s="64">
        <f>IFERROR(Y60*I60/H60,"0")</f>
        <v>11.21</v>
      </c>
      <c r="BO60" s="64">
        <f>IFERROR(1/J60*(X60/H60),"0")</f>
        <v>1.0127314814814815E-2</v>
      </c>
      <c r="BP60" s="64">
        <f>IFERROR(1/J60*(Y60/H60),"0")</f>
        <v>1.5625E-2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0.64814814814814814</v>
      </c>
      <c r="Y63" s="541">
        <f>IFERROR(Y60/H60,"0")+IFERROR(Y61/H61,"0")+IFERROR(Y62/H62,"0")</f>
        <v>1</v>
      </c>
      <c r="Z63" s="541">
        <f>IFERROR(IF(Z60="",0,Z60),"0")+IFERROR(IF(Z61="",0,Z61),"0")+IFERROR(IF(Z62="",0,Z62),"0")</f>
        <v>1.898E-2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7</v>
      </c>
      <c r="Y64" s="541">
        <f>IFERROR(SUM(Y60:Y62),"0")</f>
        <v>10.8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69</v>
      </c>
      <c r="Y85" s="540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71.61944444444444</v>
      </c>
      <c r="BN85" s="64">
        <f>IFERROR(Y85*I85/H85,"0")</f>
        <v>78.47</v>
      </c>
      <c r="BO85" s="64">
        <f>IFERROR(1/J85*(X85/H85),"0")</f>
        <v>9.9826388888888881E-2</v>
      </c>
      <c r="BP85" s="64">
        <f>IFERROR(1/J85*(Y85/H85),"0")</f>
        <v>0.109375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6.3888888888888884</v>
      </c>
      <c r="Y88" s="541">
        <f>IFERROR(Y85/H85,"0")+IFERROR(Y86/H86,"0")+IFERROR(Y87/H87,"0")</f>
        <v>7</v>
      </c>
      <c r="Z88" s="541">
        <f>IFERROR(IF(Z85="",0,Z85),"0")+IFERROR(IF(Z86="",0,Z86),"0")+IFERROR(IF(Z87="",0,Z87),"0")</f>
        <v>0.13286000000000001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69</v>
      </c>
      <c r="Y89" s="541">
        <f>IFERROR(SUM(Y85:Y87),"0")</f>
        <v>75.600000000000009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10</v>
      </c>
      <c r="Y91" s="540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10.609876543209877</v>
      </c>
      <c r="BN91" s="64">
        <f>IFERROR(Y91*I91/H91,"0")</f>
        <v>17.187999999999999</v>
      </c>
      <c r="BO91" s="64">
        <f>IFERROR(1/J91*(X91/H91),"0")</f>
        <v>1.9290123456790126E-2</v>
      </c>
      <c r="BP91" s="64">
        <f>IFERROR(1/J91*(Y91/H91),"0")</f>
        <v>3.125E-2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1.2345679012345681</v>
      </c>
      <c r="Y95" s="541">
        <f>IFERROR(Y91/H91,"0")+IFERROR(Y92/H92,"0")+IFERROR(Y93/H93,"0")+IFERROR(Y94/H94,"0")</f>
        <v>2</v>
      </c>
      <c r="Z95" s="541">
        <f>IFERROR(IF(Z91="",0,Z91),"0")+IFERROR(IF(Z92="",0,Z92),"0")+IFERROR(IF(Z93="",0,Z93),"0")+IFERROR(IF(Z94="",0,Z94),"0")</f>
        <v>3.7960000000000001E-2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10</v>
      </c>
      <c r="Y96" s="541">
        <f>IFERROR(SUM(Y91:Y94),"0")</f>
        <v>16.2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19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19.721296296296295</v>
      </c>
      <c r="BN106" s="64">
        <f>IFERROR(Y106*I106/H106,"0")</f>
        <v>22.42</v>
      </c>
      <c r="BO106" s="64">
        <f>IFERROR(1/J106*(X106/H106),"0")</f>
        <v>2.7488425925925923E-2</v>
      </c>
      <c r="BP106" s="64">
        <f>IFERROR(1/J106*(Y106/H106),"0")</f>
        <v>3.125E-2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185</v>
      </c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3</v>
      </c>
      <c r="Y108" s="540">
        <f>IFERROR(IF(X108="",0,CEILING((X108/$H108),1)*$H108),"")</f>
        <v>4.8</v>
      </c>
      <c r="Z108" s="36">
        <f>IFERROR(IF(Y108=0,"",ROUNDUP(Y108/H108,0)*0.00651),"")</f>
        <v>1.302E-2</v>
      </c>
      <c r="AA108" s="56"/>
      <c r="AB108" s="57"/>
      <c r="AC108" s="153" t="s">
        <v>201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3.2250000000000001</v>
      </c>
      <c r="BN108" s="64">
        <f>IFERROR(Y108*I108/H108,"0")</f>
        <v>5.16</v>
      </c>
      <c r="BO108" s="64">
        <f>IFERROR(1/J108*(X108/H108),"0")</f>
        <v>6.8681318681318689E-3</v>
      </c>
      <c r="BP108" s="64">
        <f>IFERROR(1/J108*(Y108/H108),"0")</f>
        <v>1.098901098901099E-2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3.0092592592592591</v>
      </c>
      <c r="Y109" s="541">
        <f>IFERROR(Y106/H106,"0")+IFERROR(Y107/H107,"0")+IFERROR(Y108/H108,"0")</f>
        <v>4</v>
      </c>
      <c r="Z109" s="541">
        <f>IFERROR(IF(Z106="",0,Z106),"0")+IFERROR(IF(Z107="",0,Z107),"0")+IFERROR(IF(Z108="",0,Z108),"0")</f>
        <v>5.0979999999999998E-2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22</v>
      </c>
      <c r="Y110" s="541">
        <f>IFERROR(SUM(Y106:Y108),"0")</f>
        <v>26.400000000000002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79</v>
      </c>
      <c r="Y112" s="540">
        <f>IFERROR(IF(X112="",0,CEILING((X112/$H112),1)*$H112),"")</f>
        <v>81</v>
      </c>
      <c r="Z112" s="36">
        <f>IFERROR(IF(Y112=0,"",ROUNDUP(Y112/H112,0)*0.01898),"")</f>
        <v>0.1898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83.759506172839494</v>
      </c>
      <c r="BN112" s="64">
        <f>IFERROR(Y112*I112/H112,"0")</f>
        <v>85.88</v>
      </c>
      <c r="BO112" s="64">
        <f>IFERROR(1/J112*(X112/H112),"0")</f>
        <v>0.15239197530864199</v>
      </c>
      <c r="BP112" s="64">
        <f>IFERROR(1/J112*(Y112/H112),"0")</f>
        <v>0.15625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9.7530864197530871</v>
      </c>
      <c r="Y116" s="541">
        <f>IFERROR(Y112/H112,"0")+IFERROR(Y113/H113,"0")+IFERROR(Y114/H114,"0")+IFERROR(Y115/H115,"0")</f>
        <v>10</v>
      </c>
      <c r="Z116" s="541">
        <f>IFERROR(IF(Z112="",0,Z112),"0")+IFERROR(IF(Z113="",0,Z113),"0")+IFERROR(IF(Z114="",0,Z114),"0")+IFERROR(IF(Z115="",0,Z115),"0")</f>
        <v>0.1898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79</v>
      </c>
      <c r="Y117" s="541">
        <f>IFERROR(SUM(Y112:Y115),"0")</f>
        <v>81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109</v>
      </c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37</v>
      </c>
      <c r="Y161" s="540">
        <f t="shared" ref="Y161:Y170" si="5">IFERROR(IF(X161="",0,CEILING((X161/$H161),1)*$H161),"")</f>
        <v>37.800000000000004</v>
      </c>
      <c r="Z161" s="36">
        <f>IFERROR(IF(Y161=0,"",ROUNDUP(Y161/H161,0)*0.00902),"")</f>
        <v>8.1180000000000002E-2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39.202380952380949</v>
      </c>
      <c r="BN161" s="64">
        <f t="shared" ref="BN161:BN170" si="7">IFERROR(Y161*I161/H161,"0")</f>
        <v>40.050000000000004</v>
      </c>
      <c r="BO161" s="64">
        <f t="shared" ref="BO161:BO170" si="8">IFERROR(1/J161*(X161/H161),"0")</f>
        <v>6.6738816738816736E-2</v>
      </c>
      <c r="BP161" s="64">
        <f t="shared" ref="BP161:BP170" si="9">IFERROR(1/J161*(Y161/H161),"0")</f>
        <v>6.8181818181818177E-2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50</v>
      </c>
      <c r="Y163" s="540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52.261904761904752</v>
      </c>
      <c r="BN163" s="64">
        <f t="shared" si="7"/>
        <v>52.68</v>
      </c>
      <c r="BO163" s="64">
        <f t="shared" si="8"/>
        <v>9.0187590187590191E-2</v>
      </c>
      <c r="BP163" s="64">
        <f t="shared" si="9"/>
        <v>9.0909090909090912E-2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7</v>
      </c>
      <c r="Y167" s="540">
        <f t="shared" si="5"/>
        <v>7.2</v>
      </c>
      <c r="Z167" s="36">
        <f>IFERROR(IF(Y167=0,"",ROUNDUP(Y167/H167,0)*0.00502),"")</f>
        <v>2.0080000000000001E-2</v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7.5055555555555555</v>
      </c>
      <c r="BN167" s="64">
        <f t="shared" si="7"/>
        <v>7.7199999999999989</v>
      </c>
      <c r="BO167" s="64">
        <f t="shared" si="8"/>
        <v>1.6619183285849954E-2</v>
      </c>
      <c r="BP167" s="64">
        <f t="shared" si="9"/>
        <v>1.7094017094017096E-2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24.603174603174605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25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0.20950000000000002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94</v>
      </c>
      <c r="Y172" s="541">
        <f>IFERROR(SUM(Y161:Y170),"0")</f>
        <v>95.40000000000002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4</v>
      </c>
      <c r="Y176" s="540">
        <f>IFERROR(IF(X176="",0,CEILING((X176/$H176),1)*$H176),"")</f>
        <v>5.04</v>
      </c>
      <c r="Z176" s="36">
        <f>IFERROR(IF(Y176=0,"",ROUNDUP(Y176/H176,0)*0.0059),"")</f>
        <v>2.3599999999999999E-2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4.6031746031746028</v>
      </c>
      <c r="BN176" s="64">
        <f>IFERROR(Y176*I176/H176,"0")</f>
        <v>5.8</v>
      </c>
      <c r="BO176" s="64">
        <f>IFERROR(1/J176*(X176/H176),"0")</f>
        <v>1.469723691945914E-2</v>
      </c>
      <c r="BP176" s="64">
        <f>IFERROR(1/J176*(Y176/H176),"0")</f>
        <v>1.8518518518518517E-2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3.9682539682539679</v>
      </c>
      <c r="Y177" s="541">
        <f>IFERROR(Y174/H174,"0")+IFERROR(Y175/H175,"0")+IFERROR(Y176/H176,"0")</f>
        <v>5</v>
      </c>
      <c r="Z177" s="541">
        <f>IFERROR(IF(Z174="",0,Z174),"0")+IFERROR(IF(Z175="",0,Z175),"0")+IFERROR(IF(Z176="",0,Z176),"0")</f>
        <v>2.9499999999999998E-2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5</v>
      </c>
      <c r="Y178" s="541">
        <f>IFERROR(SUM(Y174:Y176),"0")</f>
        <v>6.3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3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3.4523809523809521</v>
      </c>
      <c r="BN180" s="64">
        <f>IFERROR(Y180*I180/H180,"0")</f>
        <v>4.3499999999999996</v>
      </c>
      <c r="BO180" s="64">
        <f>IFERROR(1/J180*(X180/H180),"0")</f>
        <v>1.1022927689594356E-2</v>
      </c>
      <c r="BP180" s="64">
        <f>IFERROR(1/J180*(Y180/H180),"0")</f>
        <v>1.3888888888888888E-2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2.3809523809523809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3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185</v>
      </c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84</v>
      </c>
      <c r="Y195" s="540">
        <f t="shared" ref="Y195:Y202" si="10">IFERROR(IF(X195="",0,CEILING((X195/$H195),1)*$H195),"")</f>
        <v>86.4</v>
      </c>
      <c r="Z195" s="36">
        <f>IFERROR(IF(Y195=0,"",ROUNDUP(Y195/H195,0)*0.00902),"")</f>
        <v>0.14432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86.955555555555549</v>
      </c>
      <c r="BN195" s="64">
        <f t="shared" ref="BN195:BN202" si="12">IFERROR(Y195*I195/H195,"0")</f>
        <v>89.44</v>
      </c>
      <c r="BO195" s="64">
        <f t="shared" ref="BO195:BO202" si="13">IFERROR(1/J195*(X195/H195),"0")</f>
        <v>0.11784511784511785</v>
      </c>
      <c r="BP195" s="64">
        <f t="shared" ref="BP195:BP202" si="14">IFERROR(1/J195*(Y195/H195),"0")</f>
        <v>0.12121212121212122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149</v>
      </c>
      <c r="Y198" s="540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154.24259259259259</v>
      </c>
      <c r="BN198" s="64">
        <f t="shared" si="12"/>
        <v>156.52000000000001</v>
      </c>
      <c r="BO198" s="64">
        <f t="shared" si="13"/>
        <v>0.20903479236812569</v>
      </c>
      <c r="BP198" s="64">
        <f t="shared" si="14"/>
        <v>0.21212121212121213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5</v>
      </c>
      <c r="Y202" s="540">
        <f t="shared" si="10"/>
        <v>5.4</v>
      </c>
      <c r="Z202" s="36">
        <f>IFERROR(IF(Y202=0,"",ROUNDUP(Y202/H202,0)*0.00502),"")</f>
        <v>1.506E-2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5.2777777777777777</v>
      </c>
      <c r="BN202" s="64">
        <f t="shared" si="12"/>
        <v>5.7</v>
      </c>
      <c r="BO202" s="64">
        <f t="shared" si="13"/>
        <v>1.1870845204178538E-2</v>
      </c>
      <c r="BP202" s="64">
        <f t="shared" si="14"/>
        <v>1.2820512820512822E-2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45.925925925925924</v>
      </c>
      <c r="Y203" s="541">
        <f>IFERROR(Y195/H195,"0")+IFERROR(Y196/H196,"0")+IFERROR(Y197/H197,"0")+IFERROR(Y198/H198,"0")+IFERROR(Y199/H199,"0")+IFERROR(Y200/H200,"0")+IFERROR(Y201/H201,"0")+IFERROR(Y202/H202,"0")</f>
        <v>47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0.41194000000000003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238</v>
      </c>
      <c r="Y204" s="541">
        <f>IFERROR(SUM(Y195:Y202),"0")</f>
        <v>243.00000000000003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15</v>
      </c>
      <c r="Y206" s="540">
        <f t="shared" ref="Y206:Y214" si="15">IFERROR(IF(X206="",0,CEILING((X206/$H206),1)*$H206),"")</f>
        <v>16.2</v>
      </c>
      <c r="Z206" s="36">
        <f>IFERROR(IF(Y206=0,"",ROUNDUP(Y206/H206,0)*0.01898),"")</f>
        <v>3.7960000000000001E-2</v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15.914814814814815</v>
      </c>
      <c r="BN206" s="64">
        <f t="shared" ref="BN206:BN214" si="17">IFERROR(Y206*I206/H206,"0")</f>
        <v>17.187999999999999</v>
      </c>
      <c r="BO206" s="64">
        <f t="shared" ref="BO206:BO214" si="18">IFERROR(1/J206*(X206/H206),"0")</f>
        <v>2.8935185185185185E-2</v>
      </c>
      <c r="BP206" s="64">
        <f t="shared" ref="BP206:BP214" si="19">IFERROR(1/J206*(Y206/H206),"0")</f>
        <v>3.125E-2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16</v>
      </c>
      <c r="Y207" s="540">
        <f t="shared" si="15"/>
        <v>16.2</v>
      </c>
      <c r="Z207" s="36">
        <f>IFERROR(IF(Y207=0,"",ROUNDUP(Y207/H207,0)*0.01898),"")</f>
        <v>3.7960000000000001E-2</v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16.94024691358025</v>
      </c>
      <c r="BN207" s="64">
        <f t="shared" si="17"/>
        <v>17.152000000000001</v>
      </c>
      <c r="BO207" s="64">
        <f t="shared" si="18"/>
        <v>3.0864197530864199E-2</v>
      </c>
      <c r="BP207" s="64">
        <f t="shared" si="19"/>
        <v>3.125E-2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24</v>
      </c>
      <c r="Y209" s="540">
        <f t="shared" si="15"/>
        <v>24</v>
      </c>
      <c r="Z209" s="36">
        <f t="shared" ref="Z209:Z214" si="20">IFERROR(IF(Y209=0,"",ROUNDUP(Y209/H209,0)*0.00651),"")</f>
        <v>6.5100000000000005E-2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26.7</v>
      </c>
      <c r="BN209" s="64">
        <f t="shared" si="17"/>
        <v>26.7</v>
      </c>
      <c r="BO209" s="64">
        <f t="shared" si="18"/>
        <v>5.4945054945054951E-2</v>
      </c>
      <c r="BP209" s="64">
        <f t="shared" si="19"/>
        <v>5.4945054945054951E-2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30</v>
      </c>
      <c r="Y211" s="540">
        <f t="shared" si="15"/>
        <v>31.2</v>
      </c>
      <c r="Z211" s="36">
        <f t="shared" si="20"/>
        <v>8.4629999999999997E-2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33.150000000000006</v>
      </c>
      <c r="BN211" s="64">
        <f t="shared" si="17"/>
        <v>34.476000000000006</v>
      </c>
      <c r="BO211" s="64">
        <f t="shared" si="18"/>
        <v>6.8681318681318687E-2</v>
      </c>
      <c r="BP211" s="64">
        <f t="shared" si="19"/>
        <v>7.1428571428571438E-2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8</v>
      </c>
      <c r="Y212" s="540">
        <f t="shared" si="15"/>
        <v>9.6</v>
      </c>
      <c r="Z212" s="36">
        <f t="shared" si="20"/>
        <v>2.6040000000000001E-2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8.8400000000000016</v>
      </c>
      <c r="BN212" s="64">
        <f t="shared" si="17"/>
        <v>10.608000000000001</v>
      </c>
      <c r="BO212" s="64">
        <f t="shared" si="18"/>
        <v>1.8315018315018316E-2</v>
      </c>
      <c r="BP212" s="64">
        <f t="shared" si="19"/>
        <v>2.197802197802198E-2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53</v>
      </c>
      <c r="Y213" s="540">
        <f t="shared" si="15"/>
        <v>55.199999999999996</v>
      </c>
      <c r="Z213" s="36">
        <f t="shared" si="20"/>
        <v>0.14973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58.565000000000005</v>
      </c>
      <c r="BN213" s="64">
        <f t="shared" si="17"/>
        <v>60.996000000000002</v>
      </c>
      <c r="BO213" s="64">
        <f t="shared" si="18"/>
        <v>0.12133699633699636</v>
      </c>
      <c r="BP213" s="64">
        <f t="shared" si="19"/>
        <v>0.1263736263736264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51.743827160493829</v>
      </c>
      <c r="Y215" s="541">
        <f>IFERROR(Y206/H206,"0")+IFERROR(Y207/H207,"0")+IFERROR(Y208/H208,"0")+IFERROR(Y209/H209,"0")+IFERROR(Y210/H210,"0")+IFERROR(Y211/H211,"0")+IFERROR(Y212/H212,"0")+IFERROR(Y213/H213,"0")+IFERROR(Y214/H214,"0")</f>
        <v>54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0.40142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146</v>
      </c>
      <c r="Y216" s="541">
        <f>IFERROR(SUM(Y206:Y214),"0")</f>
        <v>152.39999999999998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 t="s">
        <v>185</v>
      </c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105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185</v>
      </c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8</v>
      </c>
      <c r="Y224" s="540">
        <f t="shared" ref="Y224:Y233" si="21">IFERROR(IF(X224="",0,CEILING((X224/$H224),1)*$H224),"")</f>
        <v>11.6</v>
      </c>
      <c r="Z224" s="36">
        <f>IFERROR(IF(Y224=0,"",ROUNDUP(Y224/H224,0)*0.01898),"")</f>
        <v>1.898E-2</v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8.2827586206896555</v>
      </c>
      <c r="BN224" s="64">
        <f t="shared" ref="BN224:BN233" si="23">IFERROR(Y224*I224/H224,"0")</f>
        <v>12.01</v>
      </c>
      <c r="BO224" s="64">
        <f t="shared" ref="BO224:BO233" si="24">IFERROR(1/J224*(X224/H224),"0")</f>
        <v>1.0775862068965518E-2</v>
      </c>
      <c r="BP224" s="64">
        <f t="shared" ref="BP224:BP233" si="25">IFERROR(1/J224*(Y224/H224),"0")</f>
        <v>1.5625E-2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0.68965517241379315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1.898E-2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8</v>
      </c>
      <c r="Y235" s="541">
        <f>IFERROR(SUM(Y224:Y233),"0")</f>
        <v>11.6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2</v>
      </c>
      <c r="Y248" s="540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3.1313131313131315</v>
      </c>
      <c r="Y250" s="541">
        <f>IFERROR(Y245/H245,"0")+IFERROR(Y246/H246,"0")+IFERROR(Y247/H247,"0")+IFERROR(Y248/H248,"0")+IFERROR(Y249/H249,"0")</f>
        <v>5</v>
      </c>
      <c r="Z250" s="541">
        <f>IFERROR(IF(Z245="",0,Z245),"0")+IFERROR(IF(Z246="",0,Z246),"0")+IFERROR(IF(Z247="",0,Z247),"0")+IFERROR(IF(Z248="",0,Z248),"0")+IFERROR(IF(Z249="",0,Z249),"0")</f>
        <v>2.9499999999999998E-2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3</v>
      </c>
      <c r="Y251" s="541">
        <f>IFERROR(SUM(Y245:Y249),"0")</f>
        <v>4.7699999999999996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 t="s">
        <v>266</v>
      </c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105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12</v>
      </c>
      <c r="Y314" s="540">
        <f>IFERROR(IF(X314="",0,CEILING((X314/$H314),1)*$H314),"")</f>
        <v>16.8</v>
      </c>
      <c r="Z314" s="36">
        <f>IFERROR(IF(Y314=0,"",ROUNDUP(Y314/H314,0)*0.01898),"")</f>
        <v>3.7960000000000001E-2</v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12.705714285714286</v>
      </c>
      <c r="BN314" s="64">
        <f>IFERROR(Y314*I314/H314,"0")</f>
        <v>17.788</v>
      </c>
      <c r="BO314" s="64">
        <f>IFERROR(1/J314*(X314/H314),"0")</f>
        <v>2.2321428571428572E-2</v>
      </c>
      <c r="BP314" s="64">
        <f>IFERROR(1/J314*(Y314/H314),"0")</f>
        <v>3.125E-2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1.4285714285714286</v>
      </c>
      <c r="Y317" s="541">
        <f>IFERROR(Y314/H314,"0")+IFERROR(Y315/H315,"0")+IFERROR(Y316/H316,"0")</f>
        <v>2</v>
      </c>
      <c r="Z317" s="541">
        <f>IFERROR(IF(Z314="",0,Z314),"0")+IFERROR(IF(Z315="",0,Z315),"0")+IFERROR(IF(Z316="",0,Z316),"0")</f>
        <v>3.7960000000000001E-2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12</v>
      </c>
      <c r="Y318" s="541">
        <f>IFERROR(SUM(Y314:Y316),"0")</f>
        <v>16.8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5</v>
      </c>
      <c r="Y323" s="540">
        <f>IFERROR(IF(X323="",0,CEILING((X323/$H323),1)*$H323),"")</f>
        <v>5.0999999999999996</v>
      </c>
      <c r="Z323" s="36">
        <f>IFERROR(IF(Y323=0,"",ROUNDUP(Y323/H323,0)*0.00651),"")</f>
        <v>1.302E-2</v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5.6470588235294112</v>
      </c>
      <c r="BN323" s="64">
        <f>IFERROR(Y323*I323/H323,"0")</f>
        <v>5.76</v>
      </c>
      <c r="BO323" s="64">
        <f>IFERROR(1/J323*(X323/H323),"0")</f>
        <v>1.0773540185304893E-2</v>
      </c>
      <c r="BP323" s="64">
        <f>IFERROR(1/J323*(Y323/H323),"0")</f>
        <v>1.098901098901099E-2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1.9607843137254903</v>
      </c>
      <c r="Y324" s="541">
        <f>IFERROR(Y320/H320,"0")+IFERROR(Y321/H321,"0")+IFERROR(Y322/H322,"0")+IFERROR(Y323/H323,"0")</f>
        <v>2</v>
      </c>
      <c r="Z324" s="541">
        <f>IFERROR(IF(Z320="",0,Z320),"0")+IFERROR(IF(Z321="",0,Z321),"0")+IFERROR(IF(Z322="",0,Z322),"0")+IFERROR(IF(Z323="",0,Z323),"0")</f>
        <v>1.302E-2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5</v>
      </c>
      <c r="Y325" s="541">
        <f>IFERROR(SUM(Y320:Y323),"0")</f>
        <v>5.0999999999999996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 t="s">
        <v>185</v>
      </c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105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 t="s">
        <v>185</v>
      </c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105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 t="s">
        <v>185</v>
      </c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105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120</v>
      </c>
      <c r="Y342" s="540">
        <f t="shared" ref="Y342:Y348" si="31">IFERROR(IF(X342="",0,CEILING((X342/$H342),1)*$H342),"")</f>
        <v>120</v>
      </c>
      <c r="Z342" s="36">
        <f>IFERROR(IF(Y342=0,"",ROUNDUP(Y342/H342,0)*0.02175),"")</f>
        <v>0.17399999999999999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123.76</v>
      </c>
      <c r="BN342" s="64">
        <f t="shared" ref="BN342:BN348" si="33">IFERROR(Y342*I342/H342,"0")</f>
        <v>123.76</v>
      </c>
      <c r="BO342" s="64">
        <f t="shared" ref="BO342:BO348" si="34">IFERROR(1/J342*(X342/H342),"0")</f>
        <v>0.16666666666666666</v>
      </c>
      <c r="BP342" s="64">
        <f t="shared" ref="BP342:BP348" si="35">IFERROR(1/J342*(Y342/H342),"0")</f>
        <v>0.16666666666666666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27</v>
      </c>
      <c r="Y343" s="540">
        <f t="shared" si="31"/>
        <v>30</v>
      </c>
      <c r="Z343" s="36">
        <f>IFERROR(IF(Y343=0,"",ROUNDUP(Y343/H343,0)*0.02175),"")</f>
        <v>4.3499999999999997E-2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27.846</v>
      </c>
      <c r="BN343" s="64">
        <f t="shared" si="33"/>
        <v>30.94</v>
      </c>
      <c r="BO343" s="64">
        <f t="shared" si="34"/>
        <v>3.7499999999999999E-2</v>
      </c>
      <c r="BP343" s="64">
        <f t="shared" si="35"/>
        <v>4.1666666666666664E-2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153</v>
      </c>
      <c r="Y344" s="540">
        <f t="shared" si="31"/>
        <v>165</v>
      </c>
      <c r="Z344" s="36">
        <f>IFERROR(IF(Y344=0,"",ROUNDUP(Y344/H344,0)*0.02175),"")</f>
        <v>0.23924999999999999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157.79400000000001</v>
      </c>
      <c r="BN344" s="64">
        <f t="shared" si="33"/>
        <v>170.17000000000002</v>
      </c>
      <c r="BO344" s="64">
        <f t="shared" si="34"/>
        <v>0.21249999999999997</v>
      </c>
      <c r="BP344" s="64">
        <f t="shared" si="35"/>
        <v>0.22916666666666666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20</v>
      </c>
      <c r="Y349" s="541">
        <f>IFERROR(Y342/H342,"0")+IFERROR(Y343/H343,"0")+IFERROR(Y344/H344,"0")+IFERROR(Y345/H345,"0")+IFERROR(Y346/H346,"0")+IFERROR(Y347/H347,"0")+IFERROR(Y348/H348,"0")</f>
        <v>21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0.45674999999999999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300</v>
      </c>
      <c r="Y350" s="541">
        <f>IFERROR(SUM(Y342:Y348),"0")</f>
        <v>315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107</v>
      </c>
      <c r="Y352" s="540">
        <f>IFERROR(IF(X352="",0,CEILING((X352/$H352),1)*$H352),"")</f>
        <v>120</v>
      </c>
      <c r="Z352" s="36">
        <f>IFERROR(IF(Y352=0,"",ROUNDUP(Y352/H352,0)*0.02175),"")</f>
        <v>0.17399999999999999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110.35266666666666</v>
      </c>
      <c r="BN352" s="64">
        <f>IFERROR(Y352*I352/H352,"0")</f>
        <v>123.76</v>
      </c>
      <c r="BO352" s="64">
        <f>IFERROR(1/J352*(X352/H352),"0")</f>
        <v>0.14861111111111111</v>
      </c>
      <c r="BP352" s="64">
        <f>IFERROR(1/J352*(Y352/H352),"0")</f>
        <v>0.16666666666666666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7.1333333333333337</v>
      </c>
      <c r="Y354" s="541">
        <f>IFERROR(Y352/H352,"0")+IFERROR(Y353/H353,"0")</f>
        <v>8</v>
      </c>
      <c r="Z354" s="541">
        <f>IFERROR(IF(Z352="",0,Z352),"0")+IFERROR(IF(Z353="",0,Z353),"0")</f>
        <v>0.17399999999999999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107</v>
      </c>
      <c r="Y355" s="541">
        <f>IFERROR(SUM(Y352:Y353),"0")</f>
        <v>120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 t="s">
        <v>102</v>
      </c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105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35</v>
      </c>
      <c r="Y362" s="540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36.921111111111109</v>
      </c>
      <c r="BN362" s="64">
        <f>IFERROR(Y362*I362/H362,"0")</f>
        <v>37.975999999999999</v>
      </c>
      <c r="BO362" s="64">
        <f>IFERROR(1/J362*(X362/H362),"0")</f>
        <v>6.0763888888888888E-2</v>
      </c>
      <c r="BP362" s="64">
        <f>IFERROR(1/J362*(Y362/H362),"0")</f>
        <v>6.25E-2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3.8888888888888888</v>
      </c>
      <c r="Y363" s="541">
        <f>IFERROR(Y362/H362,"0")</f>
        <v>4</v>
      </c>
      <c r="Z363" s="541">
        <f>IFERROR(IF(Z362="",0,Z362),"0")</f>
        <v>7.5920000000000001E-2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35</v>
      </c>
      <c r="Y364" s="541">
        <f>IFERROR(SUM(Y362:Y362),"0")</f>
        <v>36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60</v>
      </c>
      <c r="Y377" s="540">
        <f>IFERROR(IF(X377="",0,CEILING((X377/$H377),1)*$H377),"")</f>
        <v>63</v>
      </c>
      <c r="Z377" s="36">
        <f>IFERROR(IF(Y377=0,"",ROUNDUP(Y377/H377,0)*0.01898),"")</f>
        <v>0.13286000000000001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63.293333333333329</v>
      </c>
      <c r="BN377" s="64">
        <f>IFERROR(Y377*I377/H377,"0")</f>
        <v>66.457999999999998</v>
      </c>
      <c r="BO377" s="64">
        <f>IFERROR(1/J377*(X377/H377),"0")</f>
        <v>0.10416666666666667</v>
      </c>
      <c r="BP377" s="64">
        <f>IFERROR(1/J377*(Y377/H377),"0")</f>
        <v>0.109375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14</v>
      </c>
      <c r="Y378" s="540">
        <f>IFERROR(IF(X378="",0,CEILING((X378/$H378),1)*$H378),"")</f>
        <v>14.399999999999999</v>
      </c>
      <c r="Z378" s="36">
        <f>IFERROR(IF(Y378=0,"",ROUNDUP(Y378/H378,0)*0.00651),"")</f>
        <v>3.9059999999999997E-2</v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15.540000000000001</v>
      </c>
      <c r="BN378" s="64">
        <f>IFERROR(Y378*I378/H378,"0")</f>
        <v>15.983999999999998</v>
      </c>
      <c r="BO378" s="64">
        <f>IFERROR(1/J378*(X378/H378),"0")</f>
        <v>3.2051282051282055E-2</v>
      </c>
      <c r="BP378" s="64">
        <f>IFERROR(1/J378*(Y378/H378),"0")</f>
        <v>3.2967032967032968E-2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12.5</v>
      </c>
      <c r="Y379" s="541">
        <f>IFERROR(Y377/H377,"0")+IFERROR(Y378/H378,"0")</f>
        <v>13</v>
      </c>
      <c r="Z379" s="541">
        <f>IFERROR(IF(Z377="",0,Z377),"0")+IFERROR(IF(Z378="",0,Z378),"0")</f>
        <v>0.17192000000000002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74</v>
      </c>
      <c r="Y380" s="541">
        <f>IFERROR(SUM(Y377:Y378),"0")</f>
        <v>77.400000000000006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109</v>
      </c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 t="s">
        <v>266</v>
      </c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 t="s">
        <v>105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109</v>
      </c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12</v>
      </c>
      <c r="Y420" s="540">
        <f t="shared" ref="Y420:Y430" si="42">IFERROR(IF(X420="",0,CEILING((X420/$H420),1)*$H420),"")</f>
        <v>15.84</v>
      </c>
      <c r="Z420" s="36">
        <f t="shared" ref="Z420:Z425" si="43">IFERROR(IF(Y420=0,"",ROUNDUP(Y420/H420,0)*0.01196),"")</f>
        <v>3.5880000000000002E-2</v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12.795454545454545</v>
      </c>
      <c r="BN420" s="64">
        <f t="shared" ref="BN420:BN430" si="45">IFERROR(Y420*I420/H420,"0")</f>
        <v>16.889999999999997</v>
      </c>
      <c r="BO420" s="64">
        <f t="shared" ref="BO420:BO430" si="46">IFERROR(1/J420*(X420/H420),"0")</f>
        <v>2.1853146853146852E-2</v>
      </c>
      <c r="BP420" s="64">
        <f t="shared" ref="BP420:BP430" si="47">IFERROR(1/J420*(Y420/H420),"0")</f>
        <v>2.8846153846153848E-2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52</v>
      </c>
      <c r="Y423" s="540">
        <f t="shared" si="42"/>
        <v>52.800000000000004</v>
      </c>
      <c r="Z423" s="36">
        <f t="shared" si="43"/>
        <v>0.1196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55.446969696969695</v>
      </c>
      <c r="BN423" s="64">
        <f t="shared" si="45"/>
        <v>56.3</v>
      </c>
      <c r="BO423" s="64">
        <f t="shared" si="46"/>
        <v>9.4696969696969696E-2</v>
      </c>
      <c r="BP423" s="64">
        <f t="shared" si="47"/>
        <v>9.6153846153846159E-2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74</v>
      </c>
      <c r="Y425" s="540">
        <f t="shared" si="42"/>
        <v>79.2</v>
      </c>
      <c r="Z425" s="36">
        <f t="shared" si="43"/>
        <v>0.1794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78.905303030303031</v>
      </c>
      <c r="BN425" s="64">
        <f t="shared" si="45"/>
        <v>84.45</v>
      </c>
      <c r="BO425" s="64">
        <f t="shared" si="46"/>
        <v>0.13476107226107226</v>
      </c>
      <c r="BP425" s="64">
        <f t="shared" si="47"/>
        <v>0.14423076923076925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 t="s">
        <v>109</v>
      </c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 t="s">
        <v>105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26.136363636363633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28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0.33488000000000001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138</v>
      </c>
      <c r="Y432" s="541">
        <f>IFERROR(SUM(Y420:Y430),"0")</f>
        <v>147.84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51</v>
      </c>
      <c r="Y434" s="540">
        <f>IFERROR(IF(X434="",0,CEILING((X434/$H434),1)*$H434),"")</f>
        <v>52.800000000000004</v>
      </c>
      <c r="Z434" s="36">
        <f>IFERROR(IF(Y434=0,"",ROUNDUP(Y434/H434,0)*0.01196),"")</f>
        <v>0.1196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54.380681818181813</v>
      </c>
      <c r="BN434" s="64">
        <f>IFERROR(Y434*I434/H434,"0")</f>
        <v>56.3</v>
      </c>
      <c r="BO434" s="64">
        <f>IFERROR(1/J434*(X434/H434),"0")</f>
        <v>9.2875874125874128E-2</v>
      </c>
      <c r="BP434" s="64">
        <f>IFERROR(1/J434*(Y434/H434),"0")</f>
        <v>9.6153846153846159E-2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9.6590909090909083</v>
      </c>
      <c r="Y437" s="541">
        <f>IFERROR(Y434/H434,"0")+IFERROR(Y435/H435,"0")+IFERROR(Y436/H436,"0")</f>
        <v>10</v>
      </c>
      <c r="Z437" s="541">
        <f>IFERROR(IF(Z434="",0,Z434),"0")+IFERROR(IF(Z435="",0,Z435),"0")+IFERROR(IF(Z436="",0,Z436),"0")</f>
        <v>0.1196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51</v>
      </c>
      <c r="Y438" s="541">
        <f>IFERROR(SUM(Y434:Y436),"0")</f>
        <v>52.800000000000004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20</v>
      </c>
      <c r="Y441" s="540">
        <f t="shared" si="48"/>
        <v>21.12</v>
      </c>
      <c r="Z441" s="36">
        <f>IFERROR(IF(Y441=0,"",ROUNDUP(Y441/H441,0)*0.01196),"")</f>
        <v>4.7840000000000001E-2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21.325757575757574</v>
      </c>
      <c r="BN441" s="64">
        <f t="shared" si="50"/>
        <v>22.52</v>
      </c>
      <c r="BO441" s="64">
        <f t="shared" si="51"/>
        <v>3.6421911421911424E-2</v>
      </c>
      <c r="BP441" s="64">
        <f t="shared" si="52"/>
        <v>3.8461538461538464E-2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24</v>
      </c>
      <c r="Y442" s="540">
        <f t="shared" si="48"/>
        <v>26.400000000000002</v>
      </c>
      <c r="Z442" s="36">
        <f>IFERROR(IF(Y442=0,"",ROUNDUP(Y442/H442,0)*0.01196),"")</f>
        <v>5.9799999999999999E-2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25.59090909090909</v>
      </c>
      <c r="BN442" s="64">
        <f t="shared" si="50"/>
        <v>28.15</v>
      </c>
      <c r="BO442" s="64">
        <f t="shared" si="51"/>
        <v>4.3706293706293704E-2</v>
      </c>
      <c r="BP442" s="64">
        <f t="shared" si="52"/>
        <v>4.807692307692308E-2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8.3333333333333321</v>
      </c>
      <c r="Y446" s="541">
        <f>IFERROR(Y440/H440,"0")+IFERROR(Y441/H441,"0")+IFERROR(Y442/H442,"0")+IFERROR(Y443/H443,"0")+IFERROR(Y444/H444,"0")+IFERROR(Y445/H445,"0")</f>
        <v>9</v>
      </c>
      <c r="Z446" s="541">
        <f>IFERROR(IF(Z440="",0,Z440),"0")+IFERROR(IF(Z441="",0,Z441),"0")+IFERROR(IF(Z442="",0,Z442),"0")+IFERROR(IF(Z443="",0,Z443),"0")+IFERROR(IF(Z444="",0,Z444),"0")+IFERROR(IF(Z445="",0,Z445),"0")</f>
        <v>0.10764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44</v>
      </c>
      <c r="Y447" s="541">
        <f>IFERROR(SUM(Y440:Y445),"0")</f>
        <v>47.52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109</v>
      </c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109</v>
      </c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98</v>
      </c>
      <c r="Y475" s="540">
        <f>IFERROR(IF(X475="",0,CEILING((X475/$H475),1)*$H475),"")</f>
        <v>99</v>
      </c>
      <c r="Z475" s="36">
        <f>IFERROR(IF(Y475=0,"",ROUNDUP(Y475/H475,0)*0.01898),"")</f>
        <v>0.20877999999999999</v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103.37911111111111</v>
      </c>
      <c r="BN475" s="64">
        <f>IFERROR(Y475*I475/H475,"0")</f>
        <v>104.434</v>
      </c>
      <c r="BO475" s="64">
        <f>IFERROR(1/J475*(X475/H475),"0")</f>
        <v>0.1701388888888889</v>
      </c>
      <c r="BP475" s="64">
        <f>IFERROR(1/J475*(Y475/H475),"0")</f>
        <v>0.171875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10.888888888888889</v>
      </c>
      <c r="Y476" s="541">
        <f>IFERROR(Y475/H475,"0")</f>
        <v>11</v>
      </c>
      <c r="Z476" s="541">
        <f>IFERROR(IF(Z475="",0,Z475),"0")</f>
        <v>0.20877999999999999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98</v>
      </c>
      <c r="Y477" s="541">
        <f>IFERROR(SUM(Y475:Y475),"0")</f>
        <v>99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1647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1752.71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1731.2831548660561</v>
      </c>
      <c r="Y489" s="541">
        <f>IFERROR(SUM(BN22:BN485),"0")</f>
        <v>1842.6280000000004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3</v>
      </c>
      <c r="Y490" s="38">
        <f>ROUNDUP(SUM(BP22:BP485),0)</f>
        <v>3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1806.2831548660561</v>
      </c>
      <c r="Y491" s="541">
        <f>GrossWeightTotalR+PalletQtyTotalR*25</f>
        <v>1917.6280000000004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264.57297435867412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282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3.4393900000000004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189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10.8</v>
      </c>
      <c r="E498" s="46">
        <f>IFERROR(Y85*1,"0")+IFERROR(Y86*1,"0")+IFERROR(Y87*1,"0")+IFERROR(Y91*1,"0")+IFERROR(Y92*1,"0")+IFERROR(Y93*1,"0")+IFERROR(Y94*1,"0")</f>
        <v>91.800000000000011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107.4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105.48000000000003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395.40000000000003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16.37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21.9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471</v>
      </c>
      <c r="T498" s="46">
        <f>IFERROR(Y367*1,"0")+IFERROR(Y368*1,"0")+IFERROR(Y372*1,"0")+IFERROR(Y373*1,"0")+IFERROR(Y377*1,"0")+IFERROR(Y378*1,"0")</f>
        <v>77.400000000000006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248.16000000000003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99</v>
      </c>
      <c r="Z498" s="46">
        <f>IFERROR(Y485*1,"0")</f>
        <v>0</v>
      </c>
      <c r="AB498" s="52"/>
      <c r="AC498" s="52"/>
      <c r="AF498" s="537"/>
    </row>
  </sheetData>
  <sheetProtection algorithmName="SHA-512" hashValue="7ies3SNWDxRWmBdMOtbbwb1JgHHlIgx/IEy5ejHslQIwcLVCVGJIYTz0tGfKIA34Wwg8+fHYYTlAq2xQGNWOIA==" saltValue="Y/RqrpMjNdrJlzCcSZ1Q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4 X386 X391 X406 X420 X422:X423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6p3wTVgvZrSk1EP3e6nhnDbbdvfAJndKamLj2Gzn/uWxsBuMpZxGNKzo/eD6rJKB42GdX2eBFtmi9zWcz8pgxA==" saltValue="ocXP5w6orvhbaYnhsqec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