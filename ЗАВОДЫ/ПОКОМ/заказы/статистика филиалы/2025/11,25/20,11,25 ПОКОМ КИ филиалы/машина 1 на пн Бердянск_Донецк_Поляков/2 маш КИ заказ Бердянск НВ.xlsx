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F3B83904-2B0C-4C21-8D79-7FCEF276BCA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Y398" i="1" s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U498" i="1" s="1"/>
  <c r="P384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8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Y187" i="1" s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BO22" i="1"/>
  <c r="X490" i="1" s="1"/>
  <c r="BM22" i="1"/>
  <c r="Y22" i="1"/>
  <c r="P22" i="1"/>
  <c r="H10" i="1"/>
  <c r="H9" i="1"/>
  <c r="A9" i="1"/>
  <c r="D7" i="1"/>
  <c r="Q6" i="1"/>
  <c r="P2" i="1"/>
  <c r="Z187" i="1" l="1"/>
  <c r="Y23" i="1"/>
  <c r="BP22" i="1"/>
  <c r="BN22" i="1"/>
  <c r="Z22" i="1"/>
  <c r="Z23" i="1" s="1"/>
  <c r="B498" i="1"/>
  <c r="Y24" i="1"/>
  <c r="Y31" i="1"/>
  <c r="BP26" i="1"/>
  <c r="BN26" i="1"/>
  <c r="Z26" i="1"/>
  <c r="Z31" i="1" s="1"/>
  <c r="BP30" i="1"/>
  <c r="BN30" i="1"/>
  <c r="Z30" i="1"/>
  <c r="Y32" i="1"/>
  <c r="Y35" i="1"/>
  <c r="BP34" i="1"/>
  <c r="BN34" i="1"/>
  <c r="Z34" i="1"/>
  <c r="Z35" i="1" s="1"/>
  <c r="Y36" i="1"/>
  <c r="C498" i="1"/>
  <c r="Y43" i="1"/>
  <c r="BP40" i="1"/>
  <c r="BN40" i="1"/>
  <c r="Z40" i="1"/>
  <c r="BP53" i="1"/>
  <c r="BN53" i="1"/>
  <c r="Z53" i="1"/>
  <c r="Y57" i="1"/>
  <c r="BP61" i="1"/>
  <c r="BN61" i="1"/>
  <c r="Z61" i="1"/>
  <c r="Z63" i="1" s="1"/>
  <c r="BP73" i="1"/>
  <c r="BN73" i="1"/>
  <c r="Z73" i="1"/>
  <c r="Z76" i="1" s="1"/>
  <c r="Z88" i="1"/>
  <c r="BP86" i="1"/>
  <c r="BN86" i="1"/>
  <c r="Z86" i="1"/>
  <c r="BP94" i="1"/>
  <c r="BN94" i="1"/>
  <c r="Z94" i="1"/>
  <c r="Y96" i="1"/>
  <c r="F498" i="1"/>
  <c r="Y104" i="1"/>
  <c r="BP99" i="1"/>
  <c r="BN99" i="1"/>
  <c r="Z99" i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8" i="1"/>
  <c r="Y127" i="1"/>
  <c r="BP124" i="1"/>
  <c r="BN124" i="1"/>
  <c r="Z124" i="1"/>
  <c r="Z126" i="1" s="1"/>
  <c r="BP141" i="1"/>
  <c r="BN141" i="1"/>
  <c r="Z141" i="1"/>
  <c r="Z142" i="1" s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Z177" i="1" s="1"/>
  <c r="Z203" i="1"/>
  <c r="Z324" i="1"/>
  <c r="F10" i="1"/>
  <c r="J9" i="1"/>
  <c r="F9" i="1"/>
  <c r="A10" i="1"/>
  <c r="X489" i="1"/>
  <c r="X491" i="1" s="1"/>
  <c r="X492" i="1"/>
  <c r="BP28" i="1"/>
  <c r="BN28" i="1"/>
  <c r="Z28" i="1"/>
  <c r="BP42" i="1"/>
  <c r="BN42" i="1"/>
  <c r="Z42" i="1"/>
  <c r="Y44" i="1"/>
  <c r="Y47" i="1"/>
  <c r="BP46" i="1"/>
  <c r="BN46" i="1"/>
  <c r="Z46" i="1"/>
  <c r="Z47" i="1" s="1"/>
  <c r="Y48" i="1"/>
  <c r="D498" i="1"/>
  <c r="Y58" i="1"/>
  <c r="BP51" i="1"/>
  <c r="BN51" i="1"/>
  <c r="Z51" i="1"/>
  <c r="BP55" i="1"/>
  <c r="BN55" i="1"/>
  <c r="Z55" i="1"/>
  <c r="Y64" i="1"/>
  <c r="Y63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Z171" i="1" s="1"/>
  <c r="BP165" i="1"/>
  <c r="BN165" i="1"/>
  <c r="Z165" i="1"/>
  <c r="BP169" i="1"/>
  <c r="BN169" i="1"/>
  <c r="Z169" i="1"/>
  <c r="Y178" i="1"/>
  <c r="Y177" i="1"/>
  <c r="BP186" i="1"/>
  <c r="BN186" i="1"/>
  <c r="Z186" i="1"/>
  <c r="J498" i="1"/>
  <c r="Y188" i="1"/>
  <c r="Y192" i="1"/>
  <c r="Y204" i="1"/>
  <c r="Y216" i="1"/>
  <c r="Y220" i="1"/>
  <c r="Y235" i="1"/>
  <c r="Y239" i="1"/>
  <c r="Y243" i="1"/>
  <c r="Y251" i="1"/>
  <c r="Y260" i="1"/>
  <c r="M498" i="1"/>
  <c r="Y268" i="1"/>
  <c r="Y267" i="1"/>
  <c r="Z274" i="1"/>
  <c r="BP272" i="1"/>
  <c r="BN272" i="1"/>
  <c r="Z272" i="1"/>
  <c r="BP284" i="1"/>
  <c r="BN284" i="1"/>
  <c r="Z284" i="1"/>
  <c r="Y286" i="1"/>
  <c r="Q498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BP329" i="1"/>
  <c r="BN329" i="1"/>
  <c r="Z329" i="1"/>
  <c r="Y331" i="1"/>
  <c r="R498" i="1"/>
  <c r="Y337" i="1"/>
  <c r="BP334" i="1"/>
  <c r="BN334" i="1"/>
  <c r="Z334" i="1"/>
  <c r="Z337" i="1" s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0" i="1"/>
  <c r="BP377" i="1"/>
  <c r="BN377" i="1"/>
  <c r="Z377" i="1"/>
  <c r="Z379" i="1" s="1"/>
  <c r="BP387" i="1"/>
  <c r="BN387" i="1"/>
  <c r="Z387" i="1"/>
  <c r="BP391" i="1"/>
  <c r="BN391" i="1"/>
  <c r="Z391" i="1"/>
  <c r="BP408" i="1"/>
  <c r="BN408" i="1"/>
  <c r="Z408" i="1"/>
  <c r="BP426" i="1"/>
  <c r="BN426" i="1"/>
  <c r="Z426" i="1"/>
  <c r="BP430" i="1"/>
  <c r="BN430" i="1"/>
  <c r="Z430" i="1"/>
  <c r="Y432" i="1"/>
  <c r="Y437" i="1"/>
  <c r="BP434" i="1"/>
  <c r="BN434" i="1"/>
  <c r="Z434" i="1"/>
  <c r="Y438" i="1"/>
  <c r="BP442" i="1"/>
  <c r="BN442" i="1"/>
  <c r="Z442" i="1"/>
  <c r="Y446" i="1"/>
  <c r="BP450" i="1"/>
  <c r="BN450" i="1"/>
  <c r="Z450" i="1"/>
  <c r="Z452" i="1" s="1"/>
  <c r="Y452" i="1"/>
  <c r="S498" i="1"/>
  <c r="X488" i="1"/>
  <c r="E498" i="1"/>
  <c r="Y89" i="1"/>
  <c r="H498" i="1"/>
  <c r="Y142" i="1"/>
  <c r="I498" i="1"/>
  <c r="Y159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8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Z259" i="1" s="1"/>
  <c r="BN254" i="1"/>
  <c r="BP254" i="1"/>
  <c r="Z256" i="1"/>
  <c r="BN256" i="1"/>
  <c r="Z258" i="1"/>
  <c r="BN258" i="1"/>
  <c r="Y259" i="1"/>
  <c r="Z263" i="1"/>
  <c r="Z267" i="1" s="1"/>
  <c r="BN263" i="1"/>
  <c r="BP263" i="1"/>
  <c r="Z265" i="1"/>
  <c r="BN265" i="1"/>
  <c r="Y275" i="1"/>
  <c r="Y274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Y338" i="1"/>
  <c r="Y349" i="1"/>
  <c r="BP342" i="1"/>
  <c r="BN342" i="1"/>
  <c r="Z342" i="1"/>
  <c r="Z349" i="1" s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Y374" i="1"/>
  <c r="Y379" i="1"/>
  <c r="BP385" i="1"/>
  <c r="BN385" i="1"/>
  <c r="Z385" i="1"/>
  <c r="Z393" i="1" s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Z410" i="1" s="1"/>
  <c r="Y410" i="1"/>
  <c r="BP421" i="1"/>
  <c r="BN421" i="1"/>
  <c r="Z421" i="1"/>
  <c r="BP460" i="1"/>
  <c r="BN460" i="1"/>
  <c r="Z460" i="1"/>
  <c r="Y462" i="1"/>
  <c r="Y467" i="1"/>
  <c r="BP464" i="1"/>
  <c r="BN464" i="1"/>
  <c r="Z464" i="1"/>
  <c r="Y468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0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Z446" i="1" s="1"/>
  <c r="BP444" i="1"/>
  <c r="BN444" i="1"/>
  <c r="Z444" i="1"/>
  <c r="Y453" i="1"/>
  <c r="BP458" i="1"/>
  <c r="BN458" i="1"/>
  <c r="Z458" i="1"/>
  <c r="Z461" i="1" s="1"/>
  <c r="BP466" i="1"/>
  <c r="BN466" i="1"/>
  <c r="Z466" i="1"/>
  <c r="Y473" i="1"/>
  <c r="BP470" i="1"/>
  <c r="BN470" i="1"/>
  <c r="Z470" i="1"/>
  <c r="Z472" i="1" s="1"/>
  <c r="Y481" i="1"/>
  <c r="Y498" i="1"/>
  <c r="Z467" i="1" l="1"/>
  <c r="Z431" i="1"/>
  <c r="Z304" i="1"/>
  <c r="Z103" i="1"/>
  <c r="Z43" i="1"/>
  <c r="Y488" i="1"/>
  <c r="Y490" i="1"/>
  <c r="Z250" i="1"/>
  <c r="Z215" i="1"/>
  <c r="Z437" i="1"/>
  <c r="Z116" i="1"/>
  <c r="Z95" i="1"/>
  <c r="Z57" i="1"/>
  <c r="Z493" i="1" s="1"/>
  <c r="Z148" i="1"/>
  <c r="Y489" i="1"/>
  <c r="Y491" i="1" s="1"/>
  <c r="Y492" i="1"/>
</calcChain>
</file>

<file path=xl/sharedStrings.xml><?xml version="1.0" encoding="utf-8"?>
<sst xmlns="http://schemas.openxmlformats.org/spreadsheetml/2006/main" count="2194" uniqueCount="759">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</sst>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14</v>
      </c>
      <c r="Y40" s="540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14.53148148148148</v>
      </c>
      <c r="BN40" s="64">
        <f>IFERROR(Y40*I40/H40,"0")</f>
        <v>22.42</v>
      </c>
      <c r="BO40" s="64">
        <f>IFERROR(1/J40*(X40/H40),"0")</f>
        <v>2.0254629629629629E-2</v>
      </c>
      <c r="BP40" s="64">
        <f>IFERROR(1/J40*(Y40/H40),"0")</f>
        <v>3.125E-2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1.2962962962962963</v>
      </c>
      <c r="Y43" s="541">
        <f>IFERROR(Y40/H40,"0")+IFERROR(Y41/H41,"0")+IFERROR(Y42/H42,"0")</f>
        <v>2</v>
      </c>
      <c r="Z43" s="541">
        <f>IFERROR(IF(Z40="",0,Z40),"0")+IFERROR(IF(Z41="",0,Z41),"0")+IFERROR(IF(Z42="",0,Z42),"0")</f>
        <v>3.7960000000000001E-2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14</v>
      </c>
      <c r="Y44" s="541">
        <f>IFERROR(SUM(Y40:Y42),"0")</f>
        <v>21.6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111</v>
      </c>
      <c r="B46" s="54" t="s">
        <v>112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113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114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115</v>
      </c>
      <c r="B51" s="54" t="s">
        <v>116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117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118</v>
      </c>
      <c r="B52" s="54" t="s">
        <v>119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/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124</v>
      </c>
      <c r="B54" s="54" t="s">
        <v>125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/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133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134</v>
      </c>
      <c r="B60" s="54" t="s">
        <v>135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/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85</v>
      </c>
      <c r="Y60" s="540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136</v>
      </c>
      <c r="AG60" s="64"/>
      <c r="AJ60" s="68"/>
      <c r="AK60" s="68">
        <v>0</v>
      </c>
      <c r="BB60" s="104" t="s">
        <v>1</v>
      </c>
      <c r="BM60" s="64">
        <f>IFERROR(X60*I60/H60,"0")</f>
        <v>88.226851851851848</v>
      </c>
      <c r="BN60" s="64">
        <f>IFERROR(Y60*I60/H60,"0")</f>
        <v>89.68</v>
      </c>
      <c r="BO60" s="64">
        <f>IFERROR(1/J60*(X60/H60),"0")</f>
        <v>0.12297453703703703</v>
      </c>
      <c r="BP60" s="64">
        <f>IFERROR(1/J60*(Y60/H60),"0")</f>
        <v>0.125</v>
      </c>
    </row>
    <row r="61" spans="1:68" ht="16.5" customHeight="1" x14ac:dyDescent="0.25">
      <c r="A61" s="54" t="s">
        <v>137</v>
      </c>
      <c r="B61" s="54" t="s">
        <v>138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136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139</v>
      </c>
      <c r="B62" s="54" t="s">
        <v>140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136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7.8703703703703702</v>
      </c>
      <c r="Y63" s="541">
        <f>IFERROR(Y60/H60,"0")+IFERROR(Y61/H61,"0")+IFERROR(Y62/H62,"0")</f>
        <v>8</v>
      </c>
      <c r="Z63" s="541">
        <f>IFERROR(IF(Z60="",0,Z60),"0")+IFERROR(IF(Z61="",0,Z61),"0")+IFERROR(IF(Z62="",0,Z62),"0")</f>
        <v>0.15184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85</v>
      </c>
      <c r="Y64" s="541">
        <f>IFERROR(SUM(Y60:Y62),"0")</f>
        <v>86.4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141</v>
      </c>
      <c r="B66" s="54" t="s">
        <v>142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143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144</v>
      </c>
      <c r="B67" s="54" t="s">
        <v>145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161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/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168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/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176</v>
      </c>
      <c r="B91" s="54" t="s">
        <v>177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178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179</v>
      </c>
      <c r="B92" s="54" t="s">
        <v>180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182</v>
      </c>
      <c r="B93" s="54" t="s">
        <v>183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13</v>
      </c>
      <c r="Y93" s="540">
        <f>IFERROR(IF(X93="",0,CEILING((X93/$H93),1)*$H93),"")</f>
        <v>13.5</v>
      </c>
      <c r="Z93" s="36">
        <f>IFERROR(IF(Y93=0,"",ROUNDUP(Y93/H93,0)*0.00651),"")</f>
        <v>3.2550000000000003E-2</v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14.213333333333331</v>
      </c>
      <c r="BN93" s="64">
        <f>IFERROR(Y93*I93/H93,"0")</f>
        <v>14.759999999999998</v>
      </c>
      <c r="BO93" s="64">
        <f>IFERROR(1/J93*(X93/H93),"0")</f>
        <v>2.6455026455026457E-2</v>
      </c>
      <c r="BP93" s="64">
        <f>IFERROR(1/J93*(Y93/H93),"0")</f>
        <v>2.7472527472527476E-2</v>
      </c>
    </row>
    <row r="94" spans="1:68" ht="16.5" customHeight="1" x14ac:dyDescent="0.25">
      <c r="A94" s="54" t="s">
        <v>184</v>
      </c>
      <c r="B94" s="54" t="s">
        <v>185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186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4.8148148148148149</v>
      </c>
      <c r="Y95" s="541">
        <f>IFERROR(Y91/H91,"0")+IFERROR(Y92/H92,"0")+IFERROR(Y93/H93,"0")+IFERROR(Y94/H94,"0")</f>
        <v>5</v>
      </c>
      <c r="Z95" s="541">
        <f>IFERROR(IF(Z91="",0,Z91),"0")+IFERROR(IF(Z92="",0,Z92),"0")+IFERROR(IF(Z93="",0,Z93),"0")+IFERROR(IF(Z94="",0,Z94),"0")</f>
        <v>3.2550000000000003E-2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13</v>
      </c>
      <c r="Y96" s="541">
        <f>IFERROR(SUM(Y91:Y94),"0")</f>
        <v>13.5</v>
      </c>
      <c r="Z96" s="37"/>
      <c r="AA96" s="542"/>
      <c r="AB96" s="542"/>
      <c r="AC96" s="542"/>
    </row>
    <row r="97" spans="1:68" ht="16.5" customHeight="1" x14ac:dyDescent="0.25">
      <c r="A97" s="552" t="s">
        <v>187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188</v>
      </c>
      <c r="B99" s="54" t="s">
        <v>189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190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191</v>
      </c>
      <c r="B100" s="54" t="s">
        <v>192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190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193</v>
      </c>
      <c r="B101" s="54" t="s">
        <v>194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195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190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190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133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/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4</v>
      </c>
      <c r="Y106" s="540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4.1518518518518519</v>
      </c>
      <c r="BN106" s="64">
        <f>IFERROR(Y106*I106/H106,"0")</f>
        <v>11.21</v>
      </c>
      <c r="BO106" s="64">
        <f>IFERROR(1/J106*(X106/H106),"0")</f>
        <v>5.7870370370370367E-3</v>
      </c>
      <c r="BP106" s="64">
        <f>IFERROR(1/J106*(Y106/H106),"0")</f>
        <v>1.5625E-2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0.37037037037037035</v>
      </c>
      <c r="Y109" s="541">
        <f>IFERROR(Y106/H106,"0")+IFERROR(Y107/H107,"0")+IFERROR(Y108/H108,"0")</f>
        <v>1</v>
      </c>
      <c r="Z109" s="541">
        <f>IFERROR(IF(Z106="",0,Z106),"0")+IFERROR(IF(Z107="",0,Z107),"0")+IFERROR(IF(Z108="",0,Z108),"0")</f>
        <v>1.898E-2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4</v>
      </c>
      <c r="Y110" s="541">
        <f>IFERROR(SUM(Y106:Y108),"0")</f>
        <v>10.8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205</v>
      </c>
      <c r="B112" s="54" t="s">
        <v>206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44</v>
      </c>
      <c r="Y112" s="540">
        <f>IFERROR(IF(X112="",0,CEILING((X112/$H112),1)*$H112),"")</f>
        <v>48.599999999999994</v>
      </c>
      <c r="Z112" s="36">
        <f>IFERROR(IF(Y112=0,"",ROUNDUP(Y112/H112,0)*0.01898),"")</f>
        <v>0.11388000000000001</v>
      </c>
      <c r="AA112" s="56"/>
      <c r="AB112" s="57"/>
      <c r="AC112" s="155" t="s">
        <v>207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46.650864197530858</v>
      </c>
      <c r="BN112" s="64">
        <f>IFERROR(Y112*I112/H112,"0")</f>
        <v>51.527999999999992</v>
      </c>
      <c r="BO112" s="64">
        <f>IFERROR(1/J112*(X112/H112),"0")</f>
        <v>8.4876543209876545E-2</v>
      </c>
      <c r="BP112" s="64">
        <f>IFERROR(1/J112*(Y112/H112),"0")</f>
        <v>9.375E-2</v>
      </c>
    </row>
    <row r="113" spans="1:68" ht="27" customHeight="1" x14ac:dyDescent="0.25">
      <c r="A113" s="54" t="s">
        <v>208</v>
      </c>
      <c r="B113" s="54" t="s">
        <v>209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212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207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5.4320987654320989</v>
      </c>
      <c r="Y116" s="541">
        <f>IFERROR(Y112/H112,"0")+IFERROR(Y113/H113,"0")+IFERROR(Y114/H114,"0")+IFERROR(Y115/H115,"0")</f>
        <v>6</v>
      </c>
      <c r="Z116" s="541">
        <f>IFERROR(IF(Z112="",0,Z112),"0")+IFERROR(IF(Z113="",0,Z113),"0")+IFERROR(IF(Z114="",0,Z114),"0")+IFERROR(IF(Z115="",0,Z115),"0")</f>
        <v>0.11388000000000001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44</v>
      </c>
      <c r="Y117" s="541">
        <f>IFERROR(SUM(Y112:Y115),"0")</f>
        <v>48.599999999999994</v>
      </c>
      <c r="Z117" s="37"/>
      <c r="AA117" s="542"/>
      <c r="AB117" s="542"/>
      <c r="AC117" s="542"/>
    </row>
    <row r="118" spans="1:68" ht="14.25" customHeight="1" x14ac:dyDescent="0.25">
      <c r="A118" s="554" t="s">
        <v>161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133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195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114</v>
      </c>
      <c r="Y161" s="540">
        <f t="shared" ref="Y161:Y170" si="5">IFERROR(IF(X161="",0,CEILING((X161/$H161),1)*$H161),"")</f>
        <v>117.60000000000001</v>
      </c>
      <c r="Z161" s="36">
        <f>IFERROR(IF(Y161=0,"",ROUNDUP(Y161/H161,0)*0.00902),"")</f>
        <v>0.25256000000000001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120.78571428571428</v>
      </c>
      <c r="BN161" s="64">
        <f t="shared" ref="BN161:BN170" si="7">IFERROR(Y161*I161/H161,"0")</f>
        <v>124.60000000000001</v>
      </c>
      <c r="BO161" s="64">
        <f t="shared" ref="BO161:BO170" si="8">IFERROR(1/J161*(X161/H161),"0")</f>
        <v>0.20562770562770563</v>
      </c>
      <c r="BP161" s="64">
        <f t="shared" ref="BP161:BP170" si="9">IFERROR(1/J161*(Y161/H161),"0")</f>
        <v>0.21212121212121213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195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189</v>
      </c>
      <c r="Y163" s="540">
        <f t="shared" si="5"/>
        <v>189</v>
      </c>
      <c r="Z163" s="36">
        <f>IFERROR(IF(Y163=0,"",ROUNDUP(Y163/H163,0)*0.00902),"")</f>
        <v>0.40590000000000004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197.54999999999998</v>
      </c>
      <c r="BN163" s="64">
        <f t="shared" si="7"/>
        <v>197.54999999999998</v>
      </c>
      <c r="BO163" s="64">
        <f t="shared" si="8"/>
        <v>0.34090909090909094</v>
      </c>
      <c r="BP163" s="64">
        <f t="shared" si="9"/>
        <v>0.34090909090909094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65</v>
      </c>
      <c r="Y164" s="540">
        <f t="shared" si="5"/>
        <v>65.100000000000009</v>
      </c>
      <c r="Z164" s="36">
        <f>IFERROR(IF(Y164=0,"",ROUNDUP(Y164/H164,0)*0.00502),"")</f>
        <v>0.15562000000000001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69.023809523809518</v>
      </c>
      <c r="BN164" s="64">
        <f t="shared" si="7"/>
        <v>69.13000000000001</v>
      </c>
      <c r="BO164" s="64">
        <f t="shared" si="8"/>
        <v>0.1322751322751323</v>
      </c>
      <c r="BP164" s="64">
        <f t="shared" si="9"/>
        <v>0.13247863247863251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5</v>
      </c>
      <c r="Y167" s="540">
        <f t="shared" si="5"/>
        <v>5.4</v>
      </c>
      <c r="Z167" s="36">
        <f>IFERROR(IF(Y167=0,"",ROUNDUP(Y167/H167,0)*0.00502),"")</f>
        <v>1.506E-2</v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5.3611111111111116</v>
      </c>
      <c r="BN167" s="64">
        <f t="shared" si="7"/>
        <v>5.79</v>
      </c>
      <c r="BO167" s="64">
        <f t="shared" si="8"/>
        <v>1.1870845204178538E-2</v>
      </c>
      <c r="BP167" s="64">
        <f t="shared" si="9"/>
        <v>1.2820512820512822E-2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/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32</v>
      </c>
      <c r="Y168" s="540">
        <f t="shared" si="5"/>
        <v>33.6</v>
      </c>
      <c r="Z168" s="36">
        <f>IFERROR(IF(Y168=0,"",ROUNDUP(Y168/H168,0)*0.00502),"")</f>
        <v>8.0320000000000003E-2</v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33.523809523809526</v>
      </c>
      <c r="BN168" s="64">
        <f t="shared" si="7"/>
        <v>35.200000000000003</v>
      </c>
      <c r="BO168" s="64">
        <f t="shared" si="8"/>
        <v>6.5120065120065129E-2</v>
      </c>
      <c r="BP168" s="64">
        <f t="shared" si="9"/>
        <v>6.8376068376068383E-2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121.1111111111111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123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0.90945999999999994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405</v>
      </c>
      <c r="Y172" s="541">
        <f>IFERROR(SUM(Y161:Y170),"0")</f>
        <v>410.70000000000005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3</v>
      </c>
      <c r="Y175" s="540">
        <f>IFERROR(IF(X175="",0,CEILING((X175/$H175),1)*$H175),"")</f>
        <v>3.7800000000000002</v>
      </c>
      <c r="Z175" s="36">
        <f>IFERROR(IF(Y175=0,"",ROUNDUP(Y175/H175,0)*0.0059),"")</f>
        <v>1.77E-2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3.4523809523809521</v>
      </c>
      <c r="BN175" s="64">
        <f>IFERROR(Y175*I175/H175,"0")</f>
        <v>4.3499999999999996</v>
      </c>
      <c r="BO175" s="64">
        <f>IFERROR(1/J175*(X175/H175),"0")</f>
        <v>1.1022927689594356E-2</v>
      </c>
      <c r="BP175" s="64">
        <f>IFERROR(1/J175*(Y175/H175),"0")</f>
        <v>1.3888888888888888E-2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2</v>
      </c>
      <c r="Y176" s="540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3.9682539682539684</v>
      </c>
      <c r="Y177" s="541">
        <f>IFERROR(Y174/H174,"0")+IFERROR(Y175/H175,"0")+IFERROR(Y176/H176,"0")</f>
        <v>5</v>
      </c>
      <c r="Z177" s="541">
        <f>IFERROR(IF(Z174="",0,Z174),"0")+IFERROR(IF(Z175="",0,Z175),"0")+IFERROR(IF(Z176="",0,Z176),"0")</f>
        <v>2.9499999999999998E-2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5</v>
      </c>
      <c r="Y178" s="541">
        <f>IFERROR(SUM(Y174:Y176),"0")</f>
        <v>6.3000000000000007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133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195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195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60</v>
      </c>
      <c r="Y196" s="540">
        <f t="shared" si="10"/>
        <v>64.800000000000011</v>
      </c>
      <c r="Z196" s="36">
        <f>IFERROR(IF(Y196=0,"",ROUNDUP(Y196/H196,0)*0.00902),"")</f>
        <v>0.10824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62.1111111111111</v>
      </c>
      <c r="BN196" s="64">
        <f t="shared" si="12"/>
        <v>67.08</v>
      </c>
      <c r="BO196" s="64">
        <f t="shared" si="13"/>
        <v>8.4175084175084181E-2</v>
      </c>
      <c r="BP196" s="64">
        <f t="shared" si="14"/>
        <v>9.0909090909090925E-2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195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25</v>
      </c>
      <c r="Y198" s="540">
        <f t="shared" si="10"/>
        <v>27</v>
      </c>
      <c r="Z198" s="36">
        <f>IFERROR(IF(Y198=0,"",ROUNDUP(Y198/H198,0)*0.00902),"")</f>
        <v>4.5100000000000001E-2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25.879629629629626</v>
      </c>
      <c r="BN198" s="64">
        <f t="shared" si="12"/>
        <v>27.95</v>
      </c>
      <c r="BO198" s="64">
        <f t="shared" si="13"/>
        <v>3.5072951739618406E-2</v>
      </c>
      <c r="BP198" s="64">
        <f t="shared" si="14"/>
        <v>3.787878787878788E-2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/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8</v>
      </c>
      <c r="Y199" s="540">
        <f t="shared" si="10"/>
        <v>9</v>
      </c>
      <c r="Z199" s="36">
        <f>IFERROR(IF(Y199=0,"",ROUNDUP(Y199/H199,0)*0.00502),"")</f>
        <v>2.5100000000000001E-2</v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8.5777777777777775</v>
      </c>
      <c r="BN199" s="64">
        <f t="shared" si="12"/>
        <v>9.65</v>
      </c>
      <c r="BO199" s="64">
        <f t="shared" si="13"/>
        <v>1.8993352326685663E-2</v>
      </c>
      <c r="BP199" s="64">
        <f t="shared" si="14"/>
        <v>2.1367521367521368E-2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/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/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20.185185185185183</v>
      </c>
      <c r="Y203" s="541">
        <f>IFERROR(Y195/H195,"0")+IFERROR(Y196/H196,"0")+IFERROR(Y197/H197,"0")+IFERROR(Y198/H198,"0")+IFERROR(Y199/H199,"0")+IFERROR(Y200/H200,"0")+IFERROR(Y201/H201,"0")+IFERROR(Y202/H202,"0")</f>
        <v>22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0.17844000000000002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93</v>
      </c>
      <c r="Y204" s="541">
        <f>IFERROR(SUM(Y195:Y202),"0")</f>
        <v>100.80000000000001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46</v>
      </c>
      <c r="Y206" s="540">
        <f t="shared" ref="Y206:Y214" si="15">IFERROR(IF(X206="",0,CEILING((X206/$H206),1)*$H206),"")</f>
        <v>48.599999999999994</v>
      </c>
      <c r="Z206" s="36">
        <f>IFERROR(IF(Y206=0,"",ROUNDUP(Y206/H206,0)*0.01898),"")</f>
        <v>0.11388000000000001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48.805432098765429</v>
      </c>
      <c r="BN206" s="64">
        <f t="shared" ref="BN206:BN214" si="17">IFERROR(Y206*I206/H206,"0")</f>
        <v>51.563999999999993</v>
      </c>
      <c r="BO206" s="64">
        <f t="shared" ref="BO206:BO214" si="18">IFERROR(1/J206*(X206/H206),"0")</f>
        <v>8.8734567901234573E-2</v>
      </c>
      <c r="BP206" s="64">
        <f t="shared" ref="BP206:BP214" si="19">IFERROR(1/J206*(Y206/H206),"0")</f>
        <v>9.375E-2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31</v>
      </c>
      <c r="Y207" s="540">
        <f t="shared" si="15"/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32.821728395061726</v>
      </c>
      <c r="BN207" s="64">
        <f t="shared" si="17"/>
        <v>34.304000000000002</v>
      </c>
      <c r="BO207" s="64">
        <f t="shared" si="18"/>
        <v>5.9799382716049385E-2</v>
      </c>
      <c r="BP207" s="64">
        <f t="shared" si="19"/>
        <v>6.25E-2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/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212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212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4</v>
      </c>
      <c r="Y211" s="540">
        <f t="shared" si="15"/>
        <v>4.8</v>
      </c>
      <c r="Z211" s="36">
        <f t="shared" si="20"/>
        <v>1.302E-2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4.4200000000000008</v>
      </c>
      <c r="BN211" s="64">
        <f t="shared" si="17"/>
        <v>5.3040000000000003</v>
      </c>
      <c r="BO211" s="64">
        <f t="shared" si="18"/>
        <v>9.1575091575091579E-3</v>
      </c>
      <c r="BP211" s="64">
        <f t="shared" si="19"/>
        <v>1.098901098901099E-2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212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64</v>
      </c>
      <c r="Y212" s="540">
        <f t="shared" si="15"/>
        <v>64.8</v>
      </c>
      <c r="Z212" s="36">
        <f t="shared" si="20"/>
        <v>0.17577000000000001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70.720000000000013</v>
      </c>
      <c r="BN212" s="64">
        <f t="shared" si="17"/>
        <v>71.604000000000013</v>
      </c>
      <c r="BO212" s="64">
        <f t="shared" si="18"/>
        <v>0.14652014652014653</v>
      </c>
      <c r="BP212" s="64">
        <f t="shared" si="19"/>
        <v>0.14835164835164835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212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212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37.839506172839506</v>
      </c>
      <c r="Y215" s="541">
        <f>IFERROR(Y206/H206,"0")+IFERROR(Y207/H207,"0")+IFERROR(Y208/H208,"0")+IFERROR(Y209/H209,"0")+IFERROR(Y210/H210,"0")+IFERROR(Y211/H211,"0")+IFERROR(Y212/H212,"0")+IFERROR(Y213/H213,"0")+IFERROR(Y214/H214,"0")</f>
        <v>39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0.37859000000000004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145</v>
      </c>
      <c r="Y216" s="541">
        <f>IFERROR(SUM(Y206:Y214),"0")</f>
        <v>150.6</v>
      </c>
      <c r="Z216" s="37"/>
      <c r="AA216" s="542"/>
      <c r="AB216" s="542"/>
      <c r="AC216" s="542"/>
    </row>
    <row r="217" spans="1:68" ht="14.25" customHeight="1" x14ac:dyDescent="0.25">
      <c r="A217" s="554" t="s">
        <v>161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4301012196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4301011824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4301012195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4301011722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133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4</v>
      </c>
      <c r="Y241" s="540">
        <f>IFERROR(IF(X241="",0,CEILING((X241/$H241),1)*$H241),"")</f>
        <v>5.4</v>
      </c>
      <c r="Z241" s="36">
        <f>IFERROR(IF(Y241=0,"",ROUNDUP(Y241/H241,0)*0.0059),"")</f>
        <v>1.77E-2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4.3888888888888893</v>
      </c>
      <c r="BN241" s="64">
        <f>IFERROR(Y241*I241/H241,"0")</f>
        <v>5.9250000000000007</v>
      </c>
      <c r="BO241" s="64">
        <f>IFERROR(1/J241*(X241/H241),"0")</f>
        <v>1.0288065843621399E-2</v>
      </c>
      <c r="BP241" s="64">
        <f>IFERROR(1/J241*(Y241/H241),"0")</f>
        <v>1.3888888888888888E-2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2.2222222222222223</v>
      </c>
      <c r="Y242" s="541">
        <f>IFERROR(Y241/H241,"0")</f>
        <v>3</v>
      </c>
      <c r="Z242" s="541">
        <f>IFERROR(IF(Z241="",0,Z241),"0")</f>
        <v>1.77E-2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4</v>
      </c>
      <c r="Y243" s="541">
        <f>IFERROR(SUM(Y241:Y241),"0")</f>
        <v>5.4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212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212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161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37</v>
      </c>
      <c r="Y316" s="540">
        <f>IFERROR(IF(X316="",0,CEILING((X316/$H316),1)*$H316),"")</f>
        <v>42</v>
      </c>
      <c r="Z316" s="36">
        <f>IFERROR(IF(Y316=0,"",ROUNDUP(Y316/H316,0)*0.01898),"")</f>
        <v>9.4899999999999998E-2</v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39.175952380952381</v>
      </c>
      <c r="BN316" s="64">
        <f>IFERROR(Y316*I316/H316,"0")</f>
        <v>44.47</v>
      </c>
      <c r="BO316" s="64">
        <f>IFERROR(1/J316*(X316/H316),"0")</f>
        <v>6.8824404761904753E-2</v>
      </c>
      <c r="BP316" s="64">
        <f>IFERROR(1/J316*(Y316/H316),"0")</f>
        <v>7.8125E-2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4.4047619047619042</v>
      </c>
      <c r="Y317" s="541">
        <f>IFERROR(Y314/H314,"0")+IFERROR(Y315/H315,"0")+IFERROR(Y316/H316,"0")</f>
        <v>5</v>
      </c>
      <c r="Z317" s="541">
        <f>IFERROR(IF(Z314="",0,Z314),"0")+IFERROR(IF(Z315="",0,Z315),"0")+IFERROR(IF(Z316="",0,Z316),"0")</f>
        <v>9.4899999999999998E-2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37</v>
      </c>
      <c r="Y318" s="541">
        <f>IFERROR(SUM(Y314:Y316),"0")</f>
        <v>42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/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404</v>
      </c>
      <c r="Y342" s="540">
        <f t="shared" ref="Y342:Y348" si="31">IFERROR(IF(X342="",0,CEILING((X342/$H342),1)*$H342),"")</f>
        <v>405</v>
      </c>
      <c r="Z342" s="36">
        <f>IFERROR(IF(Y342=0,"",ROUNDUP(Y342/H342,0)*0.02175),"")</f>
        <v>0.58724999999999994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416.65866666666665</v>
      </c>
      <c r="BN342" s="64">
        <f t="shared" ref="BN342:BN348" si="33">IFERROR(Y342*I342/H342,"0")</f>
        <v>417.69</v>
      </c>
      <c r="BO342" s="64">
        <f t="shared" ref="BO342:BO348" si="34">IFERROR(1/J342*(X342/H342),"0")</f>
        <v>0.56111111111111112</v>
      </c>
      <c r="BP342" s="64">
        <f t="shared" ref="BP342:BP348" si="35">IFERROR(1/J342*(Y342/H342),"0")</f>
        <v>0.5625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203</v>
      </c>
      <c r="Y343" s="540">
        <f t="shared" si="31"/>
        <v>210</v>
      </c>
      <c r="Z343" s="36">
        <f>IFERROR(IF(Y343=0,"",ROUNDUP(Y343/H343,0)*0.02175),"")</f>
        <v>0.30449999999999999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209.36066666666667</v>
      </c>
      <c r="BN343" s="64">
        <f t="shared" si="33"/>
        <v>216.58</v>
      </c>
      <c r="BO343" s="64">
        <f t="shared" si="34"/>
        <v>0.28194444444444444</v>
      </c>
      <c r="BP343" s="64">
        <f t="shared" si="35"/>
        <v>0.29166666666666663</v>
      </c>
    </row>
    <row r="344" spans="1:68" ht="27" customHeight="1" x14ac:dyDescent="0.25">
      <c r="A344" s="54" t="s">
        <v>539</v>
      </c>
      <c r="B344" s="54" t="s">
        <v>540</v>
      </c>
      <c r="C344" s="31">
        <v>4301012215</v>
      </c>
      <c r="D344" s="546">
        <v>4680115887046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/>
      <c r="M344" s="33" t="s">
        <v>83</v>
      </c>
      <c r="N344" s="33"/>
      <c r="O344" s="32">
        <v>60</v>
      </c>
      <c r="P344" s="83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6">
        <v>4680115884830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 t="s">
        <v>102</v>
      </c>
      <c r="M345" s="33" t="s">
        <v>67</v>
      </c>
      <c r="N345" s="33"/>
      <c r="O345" s="32">
        <v>60</v>
      </c>
      <c r="P345" s="7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100</v>
      </c>
      <c r="Y345" s="540">
        <f t="shared" si="31"/>
        <v>105</v>
      </c>
      <c r="Z345" s="36">
        <f>IFERROR(IF(Y345=0,"",ROUNDUP(Y345/H345,0)*0.02175),"")</f>
        <v>0.15225</v>
      </c>
      <c r="AA345" s="56"/>
      <c r="AB345" s="57"/>
      <c r="AC345" s="395" t="s">
        <v>544</v>
      </c>
      <c r="AG345" s="64"/>
      <c r="AJ345" s="68" t="s">
        <v>105</v>
      </c>
      <c r="AK345" s="68">
        <v>120</v>
      </c>
      <c r="BB345" s="396" t="s">
        <v>1</v>
      </c>
      <c r="BM345" s="64">
        <f t="shared" si="32"/>
        <v>103.13333333333334</v>
      </c>
      <c r="BN345" s="64">
        <f t="shared" si="33"/>
        <v>108.29</v>
      </c>
      <c r="BO345" s="64">
        <f t="shared" si="34"/>
        <v>0.1388888888888889</v>
      </c>
      <c r="BP345" s="64">
        <f t="shared" si="35"/>
        <v>0.14583333333333331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47.133333333333333</v>
      </c>
      <c r="Y349" s="541">
        <f>IFERROR(Y342/H342,"0")+IFERROR(Y343/H343,"0")+IFERROR(Y344/H344,"0")+IFERROR(Y345/H345,"0")+IFERROR(Y346/H346,"0")+IFERROR(Y347/H347,"0")+IFERROR(Y348/H348,"0")</f>
        <v>48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1.044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707</v>
      </c>
      <c r="Y350" s="541">
        <f>IFERROR(SUM(Y342:Y348),"0")</f>
        <v>720</v>
      </c>
      <c r="Z350" s="37"/>
      <c r="AA350" s="542"/>
      <c r="AB350" s="542"/>
      <c r="AC350" s="542"/>
    </row>
    <row r="351" spans="1:68" ht="14.25" customHeight="1" x14ac:dyDescent="0.25">
      <c r="A351" s="554" t="s">
        <v>133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52</v>
      </c>
      <c r="Y352" s="540">
        <f>IFERROR(IF(X352="",0,CEILING((X352/$H352),1)*$H352),"")</f>
        <v>60</v>
      </c>
      <c r="Z352" s="36">
        <f>IFERROR(IF(Y352=0,"",ROUNDUP(Y352/H352,0)*0.02175),"")</f>
        <v>8.6999999999999994E-2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53.629333333333335</v>
      </c>
      <c r="BN352" s="64">
        <f>IFERROR(Y352*I352/H352,"0")</f>
        <v>61.88</v>
      </c>
      <c r="BO352" s="64">
        <f>IFERROR(1/J352*(X352/H352),"0")</f>
        <v>7.2222222222222215E-2</v>
      </c>
      <c r="BP352" s="64">
        <f>IFERROR(1/J352*(Y352/H352),"0")</f>
        <v>8.3333333333333329E-2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3.4666666666666668</v>
      </c>
      <c r="Y354" s="541">
        <f>IFERROR(Y352/H352,"0")+IFERROR(Y353/H353,"0")</f>
        <v>4</v>
      </c>
      <c r="Z354" s="541">
        <f>IFERROR(IF(Z352="",0,Z352),"0")+IFERROR(IF(Z353="",0,Z353),"0")</f>
        <v>8.6999999999999994E-2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52</v>
      </c>
      <c r="Y355" s="541">
        <f>IFERROR(SUM(Y352:Y353),"0")</f>
        <v>60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161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32</v>
      </c>
      <c r="Y362" s="540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33.75644444444444</v>
      </c>
      <c r="BN362" s="64">
        <f>IFERROR(Y362*I362/H362,"0")</f>
        <v>37.975999999999999</v>
      </c>
      <c r="BO362" s="64">
        <f>IFERROR(1/J362*(X362/H362),"0")</f>
        <v>5.5555555555555552E-2</v>
      </c>
      <c r="BP362" s="64">
        <f>IFERROR(1/J362*(Y362/H362),"0")</f>
        <v>6.25E-2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3.5555555555555554</v>
      </c>
      <c r="Y363" s="541">
        <f>IFERROR(Y362/H362,"0")</f>
        <v>4</v>
      </c>
      <c r="Z363" s="541">
        <f>IFERROR(IF(Z362="",0,Z362),"0")</f>
        <v>7.5920000000000001E-2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32</v>
      </c>
      <c r="Y364" s="541">
        <f>IFERROR(SUM(Y362:Y362),"0")</f>
        <v>36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4301031457</v>
      </c>
      <c r="D372" s="546">
        <v>4607091384802</v>
      </c>
      <c r="E372" s="547"/>
      <c r="F372" s="538">
        <v>0.7</v>
      </c>
      <c r="G372" s="32">
        <v>6</v>
      </c>
      <c r="H372" s="538">
        <v>4.2</v>
      </c>
      <c r="I372" s="538">
        <v>4.45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50</v>
      </c>
      <c r="P372" s="6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4301031303</v>
      </c>
      <c r="D373" s="546">
        <v>4607091384802</v>
      </c>
      <c r="E373" s="547"/>
      <c r="F373" s="538">
        <v>0.73</v>
      </c>
      <c r="G373" s="32">
        <v>6</v>
      </c>
      <c r="H373" s="538">
        <v>4.38</v>
      </c>
      <c r="I373" s="538">
        <v>4.63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35</v>
      </c>
      <c r="P373" s="86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/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81</v>
      </c>
      <c r="Y378" s="540">
        <f>IFERROR(IF(X378="",0,CEILING((X378/$H378),1)*$H378),"")</f>
        <v>81.599999999999994</v>
      </c>
      <c r="Z378" s="36">
        <f>IFERROR(IF(Y378=0,"",ROUNDUP(Y378/H378,0)*0.00651),"")</f>
        <v>0.22134000000000001</v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89.910000000000011</v>
      </c>
      <c r="BN378" s="64">
        <f>IFERROR(Y378*I378/H378,"0")</f>
        <v>90.575999999999993</v>
      </c>
      <c r="BO378" s="64">
        <f>IFERROR(1/J378*(X378/H378),"0")</f>
        <v>0.18543956043956045</v>
      </c>
      <c r="BP378" s="64">
        <f>IFERROR(1/J378*(Y378/H378),"0")</f>
        <v>0.18681318681318682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33.75</v>
      </c>
      <c r="Y379" s="541">
        <f>IFERROR(Y377/H377,"0")+IFERROR(Y378/H378,"0")</f>
        <v>34</v>
      </c>
      <c r="Z379" s="541">
        <f>IFERROR(IF(Z377="",0,Z377),"0")+IFERROR(IF(Z378="",0,Z378),"0")</f>
        <v>0.22134000000000001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81</v>
      </c>
      <c r="Y380" s="541">
        <f>IFERROR(SUM(Y377:Y378),"0")</f>
        <v>81.599999999999994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195</v>
      </c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133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195</v>
      </c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/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54</v>
      </c>
      <c r="Y420" s="540">
        <f t="shared" ref="Y420:Y430" si="42">IFERROR(IF(X420="",0,CEILING((X420/$H420),1)*$H420),"")</f>
        <v>58.080000000000005</v>
      </c>
      <c r="Z420" s="36">
        <f t="shared" ref="Z420:Z425" si="43">IFERROR(IF(Y420=0,"",ROUNDUP(Y420/H420,0)*0.01196),"")</f>
        <v>0.13156000000000001</v>
      </c>
      <c r="AA420" s="56"/>
      <c r="AB420" s="57"/>
      <c r="AC420" s="459" t="s">
        <v>104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57.579545454545446</v>
      </c>
      <c r="BN420" s="64">
        <f t="shared" ref="BN420:BN430" si="45">IFERROR(Y420*I420/H420,"0")</f>
        <v>61.93</v>
      </c>
      <c r="BO420" s="64">
        <f t="shared" ref="BO420:BO430" si="46">IFERROR(1/J420*(X420/H420),"0")</f>
        <v>9.8339160839160833E-2</v>
      </c>
      <c r="BP420" s="64">
        <f t="shared" ref="BP420:BP430" si="47">IFERROR(1/J420*(Y420/H420),"0")</f>
        <v>0.10576923076923078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/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27</v>
      </c>
      <c r="Y423" s="540">
        <f t="shared" si="42"/>
        <v>31.68</v>
      </c>
      <c r="Z423" s="36">
        <f t="shared" si="43"/>
        <v>7.1760000000000004E-2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28.789772727272723</v>
      </c>
      <c r="BN423" s="64">
        <f t="shared" si="45"/>
        <v>33.779999999999994</v>
      </c>
      <c r="BO423" s="64">
        <f t="shared" si="46"/>
        <v>4.9169580419580416E-2</v>
      </c>
      <c r="BP423" s="64">
        <f t="shared" si="47"/>
        <v>5.7692307692307696E-2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115</v>
      </c>
      <c r="Y425" s="540">
        <f t="shared" si="42"/>
        <v>116.16000000000001</v>
      </c>
      <c r="Z425" s="36">
        <f t="shared" si="43"/>
        <v>0.26312000000000002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122.62310606060605</v>
      </c>
      <c r="BN425" s="64">
        <f t="shared" si="45"/>
        <v>123.86</v>
      </c>
      <c r="BO425" s="64">
        <f t="shared" si="46"/>
        <v>0.20942599067599066</v>
      </c>
      <c r="BP425" s="64">
        <f t="shared" si="47"/>
        <v>0.21153846153846156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37.121212121212118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39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0.46644000000000002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196</v>
      </c>
      <c r="Y432" s="541">
        <f>IFERROR(SUM(Y420:Y430),"0")</f>
        <v>205.92000000000002</v>
      </c>
      <c r="Z432" s="37"/>
      <c r="AA432" s="542"/>
      <c r="AB432" s="542"/>
      <c r="AC432" s="542"/>
    </row>
    <row r="433" spans="1:68" ht="14.25" customHeight="1" x14ac:dyDescent="0.25">
      <c r="A433" s="554" t="s">
        <v>133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56</v>
      </c>
      <c r="Y434" s="540">
        <f>IFERROR(IF(X434="",0,CEILING((X434/$H434),1)*$H434),"")</f>
        <v>58.080000000000005</v>
      </c>
      <c r="Z434" s="36">
        <f>IFERROR(IF(Y434=0,"",ROUNDUP(Y434/H434,0)*0.01196),"")</f>
        <v>0.13156000000000001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59.712121212121204</v>
      </c>
      <c r="BN434" s="64">
        <f>IFERROR(Y434*I434/H434,"0")</f>
        <v>61.93</v>
      </c>
      <c r="BO434" s="64">
        <f>IFERROR(1/J434*(X434/H434),"0")</f>
        <v>0.10198135198135198</v>
      </c>
      <c r="BP434" s="64">
        <f>IFERROR(1/J434*(Y434/H434),"0")</f>
        <v>0.10576923076923078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/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10.606060606060606</v>
      </c>
      <c r="Y437" s="541">
        <f>IFERROR(Y434/H434,"0")+IFERROR(Y435/H435,"0")+IFERROR(Y436/H436,"0")</f>
        <v>11</v>
      </c>
      <c r="Z437" s="541">
        <f>IFERROR(IF(Z434="",0,Z434),"0")+IFERROR(IF(Z435="",0,Z435),"0")+IFERROR(IF(Z436="",0,Z436),"0")</f>
        <v>0.13156000000000001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56</v>
      </c>
      <c r="Y438" s="541">
        <f>IFERROR(SUM(Y434:Y436),"0")</f>
        <v>58.080000000000005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14</v>
      </c>
      <c r="Y440" s="540">
        <f t="shared" ref="Y440:Y445" si="48">IFERROR(IF(X440="",0,CEILING((X440/$H440),1)*$H440),"")</f>
        <v>15.84</v>
      </c>
      <c r="Z440" s="36">
        <f>IFERROR(IF(Y440=0,"",ROUNDUP(Y440/H440,0)*0.01196),"")</f>
        <v>3.5880000000000002E-2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14.928030303030301</v>
      </c>
      <c r="BN440" s="64">
        <f t="shared" ref="BN440:BN445" si="50">IFERROR(Y440*I440/H440,"0")</f>
        <v>16.889999999999997</v>
      </c>
      <c r="BO440" s="64">
        <f t="shared" ref="BO440:BO445" si="51">IFERROR(1/J440*(X440/H440),"0")</f>
        <v>2.5495337995337996E-2</v>
      </c>
      <c r="BP440" s="64">
        <f t="shared" ref="BP440:BP445" si="52">IFERROR(1/J440*(Y440/H440),"0")</f>
        <v>2.8846153846153848E-2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4</v>
      </c>
      <c r="Y441" s="540">
        <f t="shared" si="48"/>
        <v>5.28</v>
      </c>
      <c r="Z441" s="36">
        <f>IFERROR(IF(Y441=0,"",ROUNDUP(Y441/H441,0)*0.01196),"")</f>
        <v>1.196E-2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4.2651515151515147</v>
      </c>
      <c r="BN441" s="64">
        <f t="shared" si="50"/>
        <v>5.63</v>
      </c>
      <c r="BO441" s="64">
        <f t="shared" si="51"/>
        <v>7.2843822843822849E-3</v>
      </c>
      <c r="BP441" s="64">
        <f t="shared" si="52"/>
        <v>9.6153846153846159E-3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50</v>
      </c>
      <c r="Y442" s="540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53.314393939393938</v>
      </c>
      <c r="BN442" s="64">
        <f t="shared" si="50"/>
        <v>56.3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12.878787878787879</v>
      </c>
      <c r="Y446" s="541">
        <f>IFERROR(Y440/H440,"0")+IFERROR(Y441/H441,"0")+IFERROR(Y442/H442,"0")+IFERROR(Y443/H443,"0")+IFERROR(Y444/H444,"0")+IFERROR(Y445/H445,"0")</f>
        <v>14</v>
      </c>
      <c r="Z446" s="541">
        <f>IFERROR(IF(Z440="",0,Z440),"0")+IFERROR(IF(Z441="",0,Z441),"0")+IFERROR(IF(Z442="",0,Z442),"0")+IFERROR(IF(Z443="",0,Z443),"0")+IFERROR(IF(Z444="",0,Z444),"0")+IFERROR(IF(Z445="",0,Z445),"0")</f>
        <v>0.16744000000000001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68</v>
      </c>
      <c r="Y447" s="541">
        <f>IFERROR(SUM(Y440:Y445),"0")</f>
        <v>73.92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133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161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133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2041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2132.2200000000003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2144.333881353215</v>
      </c>
      <c r="Y489" s="541">
        <f>IFERROR(SUM(BN22:BN485),"0")</f>
        <v>2240.2810000000004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4</v>
      </c>
      <c r="Y490" s="38">
        <f>ROUNDUP(SUM(BP22:BP485),0)</f>
        <v>4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2244.333881353215</v>
      </c>
      <c r="Y491" s="541">
        <f>GrossWeightTotalR+PalletQtyTotalR*25</f>
        <v>2340.2810000000004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358.02660734327401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373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4.1574999999999998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114</v>
      </c>
      <c r="E496" s="576" t="s">
        <v>168</v>
      </c>
      <c r="F496" s="576" t="s">
        <v>187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21.6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86.4</v>
      </c>
      <c r="E498" s="46">
        <f>IFERROR(Y85*1,"0")+IFERROR(Y86*1,"0")+IFERROR(Y87*1,"0")+IFERROR(Y91*1,"0")+IFERROR(Y92*1,"0")+IFERROR(Y93*1,"0")+IFERROR(Y94*1,"0")</f>
        <v>13.5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59.399999999999991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417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251.40000000000003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5.4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42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816</v>
      </c>
      <c r="T498" s="46">
        <f>IFERROR(Y367*1,"0")+IFERROR(Y368*1,"0")+IFERROR(Y372*1,"0")+IFERROR(Y373*1,"0")+IFERROR(Y377*1,"0")+IFERROR(Y378*1,"0")</f>
        <v>81.599999999999994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337.91999999999996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sjPdOyRhinC/HzYTEOBq0hfreTHGhl3s1Ap+P/BZth+EUaCNRrIuk9VfFcweojzKEjQWuj7+/2DpT42JYLy0XA==" saltValue="Kz5XMYVeZZPnwFENFvzmN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3 X345 X352 X377 X384 X406 X423 X425 X434 X440:X442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o6wLfWe5oGBFJAKlsH9GGAWAkXzT1Bu74OBNBHB51bKTRheP4wNpmjGYgFJiIfZhcKER92wsGCr/B8bXE+BD1g==" saltValue="UZzdPl21l3IVlP/qNmJL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2025-11-21T08:41:15Z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