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0,11,25 ПОКОМ КИ филиалы\"/>
    </mc:Choice>
  </mc:AlternateContent>
  <xr:revisionPtr revIDLastSave="0" documentId="13_ncr:1_{372E7563-F9C4-415D-82C8-792F63B2965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7" i="1" l="1"/>
  <c r="O14" i="1" l="1"/>
  <c r="O11" i="1" l="1"/>
  <c r="C13" i="1" l="1"/>
  <c r="C15" i="1" s="1"/>
  <c r="O4" i="1" l="1"/>
  <c r="O5" i="1"/>
  <c r="O6" i="1"/>
  <c r="O7" i="1"/>
  <c r="O8" i="1"/>
  <c r="O9" i="1"/>
  <c r="O10" i="1"/>
  <c r="O12" i="1"/>
  <c r="O3" i="1"/>
  <c r="N13" i="1"/>
  <c r="M13" i="1"/>
  <c r="L13" i="1"/>
  <c r="D13" i="1" l="1"/>
  <c r="E13" i="1"/>
  <c r="E15" i="1" s="1"/>
  <c r="F13" i="1"/>
  <c r="G13" i="1"/>
  <c r="H13" i="1"/>
  <c r="I13" i="1"/>
  <c r="J13" i="1"/>
  <c r="K13" i="1"/>
  <c r="B13" i="1" l="1"/>
  <c r="O13" i="1" l="1"/>
</calcChain>
</file>

<file path=xl/sharedStrings.xml><?xml version="1.0" encoding="utf-8"?>
<sst xmlns="http://schemas.openxmlformats.org/spreadsheetml/2006/main" count="31" uniqueCount="22">
  <si>
    <t>Бердянск</t>
  </si>
  <si>
    <t>Донецк</t>
  </si>
  <si>
    <t>Луганск</t>
  </si>
  <si>
    <t>Мелитополь</t>
  </si>
  <si>
    <t>Поляков</t>
  </si>
  <si>
    <t>ПОЛУЧАТЕЛЬ</t>
  </si>
  <si>
    <t>ОБЩИИЙ ВЕС</t>
  </si>
  <si>
    <t>Остаток</t>
  </si>
  <si>
    <t>ИТОГОВЫЕ ДАННЫЕ</t>
  </si>
  <si>
    <t>Бутырин</t>
  </si>
  <si>
    <t>нетто</t>
  </si>
  <si>
    <t>брутто</t>
  </si>
  <si>
    <t>паллеты</t>
  </si>
  <si>
    <t>ПРС</t>
  </si>
  <si>
    <t>4 машина</t>
  </si>
  <si>
    <t>Малахутин</t>
  </si>
  <si>
    <t>НПК ЛП</t>
  </si>
  <si>
    <t>Павленко</t>
  </si>
  <si>
    <t>Сыры</t>
  </si>
  <si>
    <t>вс машина</t>
  </si>
  <si>
    <t>пн 1 машина</t>
  </si>
  <si>
    <t>пн 2 машина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</si>
</sst>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6" xfId="0" applyBorder="1"/>
    <xf numFmtId="0" fontId="0" fillId="0" borderId="7" xfId="0" applyBorder="1"/>
    <xf numFmtId="0" fontId="0" fillId="0" borderId="11" xfId="0" applyBorder="1"/>
    <xf numFmtId="0" fontId="0" fillId="0" borderId="12" xfId="0" applyBorder="1"/>
    <xf numFmtId="0" fontId="1" fillId="2" borderId="9" xfId="0" applyFont="1" applyFill="1" applyBorder="1"/>
    <xf numFmtId="0" fontId="0" fillId="0" borderId="15" xfId="0" applyBorder="1"/>
    <xf numFmtId="0" fontId="0" fillId="0" borderId="16" xfId="0" applyBorder="1"/>
    <xf numFmtId="0" fontId="1" fillId="2" borderId="8" xfId="0" applyFont="1" applyFill="1" applyBorder="1"/>
    <xf numFmtId="0" fontId="1" fillId="2" borderId="10" xfId="0" applyFont="1" applyFill="1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1" fillId="0" borderId="24" xfId="0" applyFont="1" applyBorder="1"/>
    <xf numFmtId="0" fontId="1" fillId="0" borderId="25" xfId="0" applyFont="1" applyBorder="1"/>
    <xf numFmtId="0" fontId="1" fillId="0" borderId="26" xfId="0" applyFont="1" applyBorder="1"/>
    <xf numFmtId="0" fontId="1" fillId="0" borderId="27" xfId="0" applyFont="1" applyBorder="1"/>
    <xf numFmtId="0" fontId="1" fillId="0" borderId="28" xfId="0" applyFont="1" applyBorder="1"/>
    <xf numFmtId="0" fontId="0" fillId="3" borderId="24" xfId="0" applyFill="1" applyBorder="1"/>
    <xf numFmtId="0" fontId="0" fillId="3" borderId="25" xfId="0" applyFill="1" applyBorder="1"/>
    <xf numFmtId="0" fontId="0" fillId="3" borderId="26" xfId="0" applyFill="1" applyBorder="1"/>
    <xf numFmtId="0" fontId="0" fillId="3" borderId="27" xfId="0" applyFill="1" applyBorder="1"/>
    <xf numFmtId="0" fontId="0" fillId="3" borderId="28" xfId="0" applyFill="1" applyBorder="1"/>
    <xf numFmtId="0" fontId="1" fillId="2" borderId="17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"/>
  <sheetViews>
    <sheetView tabSelected="1" zoomScale="115" zoomScaleNormal="115" workbookViewId="0">
      <selection activeCell="M19" sqref="M19"/>
    </sheetView>
  </sheetViews>
  <sheetFormatPr defaultRowHeight="15" x14ac:dyDescent="0.25"/>
  <cols>
    <col min="1" max="1" width="19.7109375" bestFit="1" customWidth="1"/>
    <col min="2" max="2" width="13.7109375" bestFit="1" customWidth="1"/>
    <col min="3" max="3" width="9.85546875" bestFit="1" customWidth="1"/>
    <col min="4" max="5" width="9.85546875" customWidth="1"/>
    <col min="6" max="6" width="9.85546875" bestFit="1" customWidth="1"/>
    <col min="7" max="8" width="9.85546875" customWidth="1"/>
    <col min="9" max="9" width="9.85546875" bestFit="1" customWidth="1"/>
    <col min="10" max="14" width="9.85546875" customWidth="1"/>
    <col min="15" max="15" width="8.140625" bestFit="1" customWidth="1"/>
  </cols>
  <sheetData>
    <row r="1" spans="1:15" x14ac:dyDescent="0.25">
      <c r="A1" s="30" t="s">
        <v>5</v>
      </c>
      <c r="B1" s="32" t="s">
        <v>6</v>
      </c>
      <c r="C1" s="30" t="s">
        <v>19</v>
      </c>
      <c r="D1" s="34"/>
      <c r="E1" s="35"/>
      <c r="F1" s="30" t="s">
        <v>20</v>
      </c>
      <c r="G1" s="34"/>
      <c r="H1" s="35"/>
      <c r="I1" s="30" t="s">
        <v>21</v>
      </c>
      <c r="J1" s="34"/>
      <c r="K1" s="35"/>
      <c r="L1" s="30" t="s">
        <v>14</v>
      </c>
      <c r="M1" s="34"/>
      <c r="N1" s="35"/>
      <c r="O1" s="28" t="s">
        <v>7</v>
      </c>
    </row>
    <row r="2" spans="1:15" ht="15.75" thickBot="1" x14ac:dyDescent="0.3">
      <c r="A2" s="31"/>
      <c r="B2" s="33"/>
      <c r="C2" s="11" t="s">
        <v>10</v>
      </c>
      <c r="D2" s="8" t="s">
        <v>11</v>
      </c>
      <c r="E2" s="12" t="s">
        <v>12</v>
      </c>
      <c r="F2" s="11" t="s">
        <v>10</v>
      </c>
      <c r="G2" s="8" t="s">
        <v>11</v>
      </c>
      <c r="H2" s="12" t="s">
        <v>12</v>
      </c>
      <c r="I2" s="11" t="s">
        <v>10</v>
      </c>
      <c r="J2" s="8" t="s">
        <v>11</v>
      </c>
      <c r="K2" s="12" t="s">
        <v>12</v>
      </c>
      <c r="L2" s="11" t="s">
        <v>10</v>
      </c>
      <c r="M2" s="8" t="s">
        <v>11</v>
      </c>
      <c r="N2" s="12" t="s">
        <v>12</v>
      </c>
      <c r="O2" s="29"/>
    </row>
    <row r="3" spans="1:15" x14ac:dyDescent="0.25">
      <c r="A3" s="6" t="s">
        <v>0</v>
      </c>
      <c r="B3" s="9">
        <v>2050</v>
      </c>
      <c r="C3" s="6"/>
      <c r="D3" s="3"/>
      <c r="E3" s="7"/>
      <c r="F3" s="6">
        <v>2050</v>
      </c>
      <c r="G3" s="3">
        <v>2340</v>
      </c>
      <c r="H3" s="7">
        <v>4</v>
      </c>
      <c r="I3" s="6"/>
      <c r="J3" s="3"/>
      <c r="K3" s="7"/>
      <c r="L3" s="6"/>
      <c r="M3" s="3"/>
      <c r="N3" s="7"/>
      <c r="O3" s="13">
        <f>B3-C3-F3-I3-L3</f>
        <v>0</v>
      </c>
    </row>
    <row r="4" spans="1:15" x14ac:dyDescent="0.25">
      <c r="A4" s="4" t="s">
        <v>1</v>
      </c>
      <c r="B4" s="10">
        <v>8250</v>
      </c>
      <c r="C4" s="4">
        <v>3250</v>
      </c>
      <c r="D4" s="2">
        <v>3605</v>
      </c>
      <c r="E4" s="5">
        <v>6</v>
      </c>
      <c r="F4" s="4">
        <v>5000</v>
      </c>
      <c r="G4" s="2">
        <v>5750</v>
      </c>
      <c r="H4" s="5">
        <v>10</v>
      </c>
      <c r="I4" s="4"/>
      <c r="J4" s="2"/>
      <c r="K4" s="5"/>
      <c r="L4" s="4"/>
      <c r="M4" s="2"/>
      <c r="N4" s="5"/>
      <c r="O4" s="13">
        <f t="shared" ref="O4:O12" si="0">B4-C4-F4-I4-L4</f>
        <v>0</v>
      </c>
    </row>
    <row r="5" spans="1:15" x14ac:dyDescent="0.25">
      <c r="A5" s="4" t="s">
        <v>2</v>
      </c>
      <c r="B5" s="10">
        <v>9870</v>
      </c>
      <c r="C5" s="4">
        <v>9870</v>
      </c>
      <c r="D5" s="2">
        <v>11106</v>
      </c>
      <c r="E5" s="5">
        <v>18</v>
      </c>
      <c r="F5" s="4"/>
      <c r="G5" s="2"/>
      <c r="H5" s="5"/>
      <c r="I5" s="4"/>
      <c r="J5" s="2"/>
      <c r="K5" s="5"/>
      <c r="L5" s="4"/>
      <c r="M5" s="2"/>
      <c r="N5" s="5"/>
      <c r="O5" s="13">
        <f t="shared" si="0"/>
        <v>0</v>
      </c>
    </row>
    <row r="6" spans="1:15" x14ac:dyDescent="0.25">
      <c r="A6" s="4" t="s">
        <v>3</v>
      </c>
      <c r="B6" s="10">
        <v>1650</v>
      </c>
      <c r="C6" s="4"/>
      <c r="D6" s="2"/>
      <c r="E6" s="5"/>
      <c r="F6" s="4"/>
      <c r="G6" s="2"/>
      <c r="H6" s="5"/>
      <c r="I6" s="4">
        <v>1650</v>
      </c>
      <c r="J6" s="2">
        <v>1917</v>
      </c>
      <c r="K6" s="5">
        <v>3</v>
      </c>
      <c r="L6" s="4"/>
      <c r="M6" s="2"/>
      <c r="N6" s="5"/>
      <c r="O6" s="13">
        <f t="shared" si="0"/>
        <v>0</v>
      </c>
    </row>
    <row r="7" spans="1:15" x14ac:dyDescent="0.25">
      <c r="A7" s="4" t="s">
        <v>16</v>
      </c>
      <c r="B7" s="10">
        <v>8370</v>
      </c>
      <c r="C7" s="4"/>
      <c r="D7" s="2"/>
      <c r="E7" s="5"/>
      <c r="F7" s="4"/>
      <c r="G7" s="2"/>
      <c r="H7" s="5"/>
      <c r="I7" s="4">
        <v>8370</v>
      </c>
      <c r="J7" s="2">
        <v>9423</v>
      </c>
      <c r="K7" s="5">
        <v>16</v>
      </c>
      <c r="L7" s="4"/>
      <c r="M7" s="2"/>
      <c r="N7" s="5"/>
      <c r="O7" s="13">
        <f t="shared" si="0"/>
        <v>0</v>
      </c>
    </row>
    <row r="8" spans="1:15" x14ac:dyDescent="0.25">
      <c r="A8" s="4" t="s">
        <v>17</v>
      </c>
      <c r="B8" s="10">
        <v>2875</v>
      </c>
      <c r="C8" s="4"/>
      <c r="D8" s="2"/>
      <c r="E8" s="5"/>
      <c r="F8" s="4"/>
      <c r="G8" s="2"/>
      <c r="H8" s="5"/>
      <c r="I8" s="4">
        <v>2875</v>
      </c>
      <c r="J8" s="2">
        <v>3238</v>
      </c>
      <c r="K8" s="5">
        <v>5</v>
      </c>
      <c r="L8" s="4"/>
      <c r="M8" s="2"/>
      <c r="N8" s="5"/>
      <c r="O8" s="13">
        <f t="shared" si="0"/>
        <v>0</v>
      </c>
    </row>
    <row r="9" spans="1:15" x14ac:dyDescent="0.25">
      <c r="A9" s="4" t="s">
        <v>4</v>
      </c>
      <c r="B9" s="10">
        <v>10040</v>
      </c>
      <c r="C9" s="4"/>
      <c r="D9" s="2"/>
      <c r="E9" s="5"/>
      <c r="F9" s="4">
        <v>10040</v>
      </c>
      <c r="G9" s="2">
        <v>10916</v>
      </c>
      <c r="H9" s="5">
        <v>16</v>
      </c>
      <c r="I9" s="4"/>
      <c r="J9" s="2"/>
      <c r="K9" s="5"/>
      <c r="L9" s="4"/>
      <c r="M9" s="2"/>
      <c r="N9" s="5"/>
      <c r="O9" s="13">
        <f t="shared" si="0"/>
        <v>0</v>
      </c>
    </row>
    <row r="10" spans="1:15" x14ac:dyDescent="0.25">
      <c r="A10" s="14" t="s">
        <v>13</v>
      </c>
      <c r="B10" s="15">
        <v>4062</v>
      </c>
      <c r="C10" s="14"/>
      <c r="D10" s="16"/>
      <c r="E10" s="17"/>
      <c r="F10" s="14"/>
      <c r="G10" s="16"/>
      <c r="H10" s="17"/>
      <c r="I10" s="14">
        <v>4062</v>
      </c>
      <c r="J10" s="16">
        <v>4776</v>
      </c>
      <c r="K10" s="17">
        <v>10</v>
      </c>
      <c r="L10" s="14"/>
      <c r="M10" s="16"/>
      <c r="N10" s="17"/>
      <c r="O10" s="13">
        <f t="shared" si="0"/>
        <v>0</v>
      </c>
    </row>
    <row r="11" spans="1:15" x14ac:dyDescent="0.25">
      <c r="A11" s="14" t="s">
        <v>9</v>
      </c>
      <c r="B11" s="15"/>
      <c r="C11" s="14"/>
      <c r="D11" s="16"/>
      <c r="E11" s="17"/>
      <c r="F11" s="14"/>
      <c r="G11" s="16"/>
      <c r="H11" s="17"/>
      <c r="I11" s="14"/>
      <c r="J11" s="16"/>
      <c r="K11" s="17"/>
      <c r="L11" s="14"/>
      <c r="M11" s="16"/>
      <c r="N11" s="17"/>
      <c r="O11" s="13">
        <f t="shared" ref="O11" si="1">B11-C11-F11-I11-L11</f>
        <v>0</v>
      </c>
    </row>
    <row r="12" spans="1:15" ht="15.75" thickBot="1" x14ac:dyDescent="0.3">
      <c r="A12" s="14" t="s">
        <v>15</v>
      </c>
      <c r="B12" s="15"/>
      <c r="C12" s="4"/>
      <c r="D12" s="16"/>
      <c r="E12" s="17"/>
      <c r="F12" s="14"/>
      <c r="G12" s="16"/>
      <c r="H12" s="17"/>
      <c r="I12" s="14"/>
      <c r="J12" s="16"/>
      <c r="K12" s="17"/>
      <c r="L12" s="14"/>
      <c r="M12" s="16"/>
      <c r="N12" s="17"/>
      <c r="O12" s="13">
        <f t="shared" si="0"/>
        <v>0</v>
      </c>
    </row>
    <row r="13" spans="1:15" s="1" customFormat="1" ht="15.75" thickBot="1" x14ac:dyDescent="0.3">
      <c r="A13" s="18" t="s">
        <v>8</v>
      </c>
      <c r="B13" s="19">
        <f>SUM(B3:B12)</f>
        <v>47167</v>
      </c>
      <c r="C13" s="18">
        <f>SUM(C3:C12)</f>
        <v>13120</v>
      </c>
      <c r="D13" s="20">
        <f t="shared" ref="D13:K13" si="2">SUM(D3:D12)</f>
        <v>14711</v>
      </c>
      <c r="E13" s="21">
        <f t="shared" si="2"/>
        <v>24</v>
      </c>
      <c r="F13" s="18">
        <f t="shared" si="2"/>
        <v>17090</v>
      </c>
      <c r="G13" s="20">
        <f t="shared" si="2"/>
        <v>19006</v>
      </c>
      <c r="H13" s="21">
        <f t="shared" si="2"/>
        <v>30</v>
      </c>
      <c r="I13" s="18">
        <f t="shared" si="2"/>
        <v>16957</v>
      </c>
      <c r="J13" s="20">
        <f t="shared" si="2"/>
        <v>19354</v>
      </c>
      <c r="K13" s="21">
        <f t="shared" si="2"/>
        <v>34</v>
      </c>
      <c r="L13" s="18">
        <f t="shared" ref="L13:N13" si="3">SUM(L3:L12)</f>
        <v>0</v>
      </c>
      <c r="M13" s="20">
        <f t="shared" si="3"/>
        <v>0</v>
      </c>
      <c r="N13" s="21">
        <f t="shared" si="3"/>
        <v>0</v>
      </c>
      <c r="O13" s="22">
        <f>SUM(O3:O12)</f>
        <v>0</v>
      </c>
    </row>
    <row r="14" spans="1:15" ht="15.75" thickBot="1" x14ac:dyDescent="0.3">
      <c r="A14" s="23" t="s">
        <v>18</v>
      </c>
      <c r="B14" s="24">
        <v>3700</v>
      </c>
      <c r="C14" s="23">
        <v>3700</v>
      </c>
      <c r="D14" s="25"/>
      <c r="E14" s="26">
        <v>8</v>
      </c>
      <c r="F14" s="23"/>
      <c r="G14" s="25"/>
      <c r="H14" s="26"/>
      <c r="I14" s="23"/>
      <c r="J14" s="25"/>
      <c r="K14" s="26"/>
      <c r="L14" s="23"/>
      <c r="M14" s="25"/>
      <c r="N14" s="26"/>
      <c r="O14" s="27">
        <f t="shared" ref="O14" si="4">B14-C14-F14-I14-L14</f>
        <v>0</v>
      </c>
    </row>
    <row r="15" spans="1:15" x14ac:dyDescent="0.25">
      <c r="C15">
        <f>SUM(C13:C14)</f>
        <v>16820</v>
      </c>
      <c r="E15">
        <f>SUM(E13:E14)</f>
        <v>32</v>
      </c>
    </row>
    <row r="17" spans="2:5" x14ac:dyDescent="0.25">
      <c r="B17">
        <f>B13-C17</f>
        <v>34047</v>
      </c>
      <c r="C17">
        <v>13120</v>
      </c>
      <c r="E17">
        <v>26</v>
      </c>
    </row>
  </sheetData>
  <mergeCells count="7">
    <mergeCell ref="O1:O2"/>
    <mergeCell ref="A1:A2"/>
    <mergeCell ref="B1:B2"/>
    <mergeCell ref="C1:E1"/>
    <mergeCell ref="F1:H1"/>
    <mergeCell ref="I1:K1"/>
    <mergeCell ref="L1:N1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2025-11-21T08:49:32Z</dcterms:modified>
</cp:coreProperties>
</file>