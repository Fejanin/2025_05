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B92FEC9-47D1-48C7-B8F4-EC382FB5A53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Y411" i="1" s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U499" i="1" s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Y375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Y360" i="1" s="1"/>
  <c r="P358" i="1"/>
  <c r="X356" i="1"/>
  <c r="X355" i="1"/>
  <c r="BO354" i="1"/>
  <c r="BM354" i="1"/>
  <c r="Z354" i="1"/>
  <c r="Y354" i="1"/>
  <c r="BP354" i="1" s="1"/>
  <c r="P354" i="1"/>
  <c r="BO353" i="1"/>
  <c r="BM353" i="1"/>
  <c r="Y353" i="1"/>
  <c r="Y355" i="1" s="1"/>
  <c r="P353" i="1"/>
  <c r="X351" i="1"/>
  <c r="X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O346" i="1"/>
  <c r="BM346" i="1"/>
  <c r="Y346" i="1"/>
  <c r="BP346" i="1" s="1"/>
  <c r="P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R499" i="1" s="1"/>
  <c r="P335" i="1"/>
  <c r="X332" i="1"/>
  <c r="X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1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O315" i="1"/>
  <c r="BM315" i="1"/>
  <c r="Y315" i="1"/>
  <c r="Y319" i="1" s="1"/>
  <c r="P315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Y313" i="1" s="1"/>
  <c r="P309" i="1"/>
  <c r="BP308" i="1"/>
  <c r="BO308" i="1"/>
  <c r="BN308" i="1"/>
  <c r="BM308" i="1"/>
  <c r="Z308" i="1"/>
  <c r="Y308" i="1"/>
  <c r="Y312" i="1" s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Y305" i="1" s="1"/>
  <c r="P299" i="1"/>
  <c r="BP298" i="1"/>
  <c r="BO298" i="1"/>
  <c r="BN298" i="1"/>
  <c r="BM298" i="1"/>
  <c r="Z298" i="1"/>
  <c r="Y298" i="1"/>
  <c r="Y306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Q499" i="1" s="1"/>
  <c r="P289" i="1"/>
  <c r="X286" i="1"/>
  <c r="X285" i="1"/>
  <c r="BO284" i="1"/>
  <c r="BM284" i="1"/>
  <c r="Y284" i="1"/>
  <c r="BP284" i="1" s="1"/>
  <c r="BO283" i="1"/>
  <c r="BM283" i="1"/>
  <c r="Y283" i="1"/>
  <c r="Y286" i="1" s="1"/>
  <c r="P283" i="1"/>
  <c r="X281" i="1"/>
  <c r="X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Y274" i="1" s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M499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Y260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Y88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3" i="1" s="1"/>
  <c r="BO22" i="1"/>
  <c r="BM22" i="1"/>
  <c r="Y22" i="1"/>
  <c r="P22" i="1"/>
  <c r="H10" i="1"/>
  <c r="A9" i="1"/>
  <c r="D7" i="1"/>
  <c r="Q6" i="1"/>
  <c r="P2" i="1"/>
  <c r="S499" i="1" l="1"/>
  <c r="Z346" i="1"/>
  <c r="BN346" i="1"/>
  <c r="Z131" i="1"/>
  <c r="Z187" i="1"/>
  <c r="F10" i="1"/>
  <c r="J9" i="1"/>
  <c r="F9" i="1"/>
  <c r="A10" i="1"/>
  <c r="X490" i="1"/>
  <c r="BP28" i="1"/>
  <c r="BN28" i="1"/>
  <c r="Z28" i="1"/>
  <c r="BP42" i="1"/>
  <c r="BN42" i="1"/>
  <c r="Z42" i="1"/>
  <c r="Y44" i="1"/>
  <c r="Y47" i="1"/>
  <c r="BP46" i="1"/>
  <c r="BN46" i="1"/>
  <c r="Z46" i="1"/>
  <c r="Z47" i="1" s="1"/>
  <c r="Y48" i="1"/>
  <c r="D499" i="1"/>
  <c r="Y58" i="1"/>
  <c r="BP51" i="1"/>
  <c r="BN51" i="1"/>
  <c r="Z51" i="1"/>
  <c r="Z57" i="1" s="1"/>
  <c r="BP55" i="1"/>
  <c r="BN55" i="1"/>
  <c r="Z55" i="1"/>
  <c r="Z69" i="1"/>
  <c r="BP67" i="1"/>
  <c r="BN67" i="1"/>
  <c r="Z67" i="1"/>
  <c r="BP75" i="1"/>
  <c r="BN75" i="1"/>
  <c r="Z75" i="1"/>
  <c r="Y77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Z171" i="1" s="1"/>
  <c r="BP165" i="1"/>
  <c r="BN165" i="1"/>
  <c r="Z165" i="1"/>
  <c r="BP169" i="1"/>
  <c r="BN169" i="1"/>
  <c r="Z169" i="1"/>
  <c r="BP186" i="1"/>
  <c r="BN186" i="1"/>
  <c r="Z186" i="1"/>
  <c r="Y193" i="1"/>
  <c r="BP190" i="1"/>
  <c r="BN190" i="1"/>
  <c r="Z190" i="1"/>
  <c r="Z192" i="1" s="1"/>
  <c r="Y192" i="1"/>
  <c r="H9" i="1"/>
  <c r="B499" i="1"/>
  <c r="Y23" i="1"/>
  <c r="BP22" i="1"/>
  <c r="BN22" i="1"/>
  <c r="Z22" i="1"/>
  <c r="Z23" i="1" s="1"/>
  <c r="X491" i="1"/>
  <c r="Y24" i="1"/>
  <c r="Y31" i="1"/>
  <c r="BP26" i="1"/>
  <c r="BN26" i="1"/>
  <c r="Z26" i="1"/>
  <c r="Z31" i="1" s="1"/>
  <c r="BP30" i="1"/>
  <c r="BN30" i="1"/>
  <c r="Z30" i="1"/>
  <c r="Y32" i="1"/>
  <c r="Y35" i="1"/>
  <c r="BP34" i="1"/>
  <c r="BN34" i="1"/>
  <c r="Z34" i="1"/>
  <c r="Z35" i="1" s="1"/>
  <c r="Y36" i="1"/>
  <c r="C499" i="1"/>
  <c r="Y43" i="1"/>
  <c r="BP40" i="1"/>
  <c r="BN40" i="1"/>
  <c r="Z40" i="1"/>
  <c r="Z43" i="1" s="1"/>
  <c r="BP53" i="1"/>
  <c r="BN53" i="1"/>
  <c r="Z53" i="1"/>
  <c r="Y57" i="1"/>
  <c r="BP61" i="1"/>
  <c r="BN61" i="1"/>
  <c r="Z61" i="1"/>
  <c r="Z63" i="1" s="1"/>
  <c r="Y70" i="1"/>
  <c r="Y69" i="1"/>
  <c r="BP73" i="1"/>
  <c r="BN73" i="1"/>
  <c r="Z73" i="1"/>
  <c r="Y81" i="1"/>
  <c r="BP86" i="1"/>
  <c r="BN86" i="1"/>
  <c r="Z86" i="1"/>
  <c r="Z88" i="1" s="1"/>
  <c r="Y95" i="1"/>
  <c r="BP94" i="1"/>
  <c r="BN94" i="1"/>
  <c r="Z94" i="1"/>
  <c r="Y96" i="1"/>
  <c r="F499" i="1"/>
  <c r="Y104" i="1"/>
  <c r="BP99" i="1"/>
  <c r="BN99" i="1"/>
  <c r="Z99" i="1"/>
  <c r="Z103" i="1" s="1"/>
  <c r="Y103" i="1"/>
  <c r="Z109" i="1"/>
  <c r="BP107" i="1"/>
  <c r="BN107" i="1"/>
  <c r="Z107" i="1"/>
  <c r="Y116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Y136" i="1"/>
  <c r="BP141" i="1"/>
  <c r="BN141" i="1"/>
  <c r="Z141" i="1"/>
  <c r="Z142" i="1" s="1"/>
  <c r="Y143" i="1"/>
  <c r="Y148" i="1"/>
  <c r="BP145" i="1"/>
  <c r="BN145" i="1"/>
  <c r="Z145" i="1"/>
  <c r="Z148" i="1" s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BP198" i="1"/>
  <c r="BN198" i="1"/>
  <c r="Z198" i="1"/>
  <c r="BP202" i="1"/>
  <c r="BN202" i="1"/>
  <c r="Z202" i="1"/>
  <c r="Y204" i="1"/>
  <c r="Y216" i="1"/>
  <c r="Y215" i="1"/>
  <c r="BP206" i="1"/>
  <c r="BN206" i="1"/>
  <c r="Z206" i="1"/>
  <c r="BP210" i="1"/>
  <c r="BN210" i="1"/>
  <c r="Z210" i="1"/>
  <c r="BP214" i="1"/>
  <c r="BN214" i="1"/>
  <c r="Z214" i="1"/>
  <c r="Y188" i="1"/>
  <c r="X489" i="1"/>
  <c r="E499" i="1"/>
  <c r="Y89" i="1"/>
  <c r="H499" i="1"/>
  <c r="Y142" i="1"/>
  <c r="I499" i="1"/>
  <c r="Y159" i="1"/>
  <c r="J499" i="1"/>
  <c r="Y187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Z280" i="1"/>
  <c r="Z380" i="1"/>
  <c r="Z218" i="1"/>
  <c r="Z220" i="1" s="1"/>
  <c r="BN218" i="1"/>
  <c r="BP218" i="1"/>
  <c r="Y221" i="1"/>
  <c r="K499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7" i="1"/>
  <c r="BN247" i="1"/>
  <c r="Z249" i="1"/>
  <c r="BN249" i="1"/>
  <c r="Y250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Y268" i="1"/>
  <c r="O499" i="1"/>
  <c r="Z272" i="1"/>
  <c r="Z274" i="1" s="1"/>
  <c r="BN272" i="1"/>
  <c r="BP272" i="1"/>
  <c r="Y275" i="1"/>
  <c r="P499" i="1"/>
  <c r="Z279" i="1"/>
  <c r="BN279" i="1"/>
  <c r="BP279" i="1"/>
  <c r="Y280" i="1"/>
  <c r="Z283" i="1"/>
  <c r="BN283" i="1"/>
  <c r="BP283" i="1"/>
  <c r="Z284" i="1"/>
  <c r="BN284" i="1"/>
  <c r="Y285" i="1"/>
  <c r="Z289" i="1"/>
  <c r="BN289" i="1"/>
  <c r="BP289" i="1"/>
  <c r="Z291" i="1"/>
  <c r="BN291" i="1"/>
  <c r="Z293" i="1"/>
  <c r="BN293" i="1"/>
  <c r="Y296" i="1"/>
  <c r="Z299" i="1"/>
  <c r="Z305" i="1" s="1"/>
  <c r="BN299" i="1"/>
  <c r="BP299" i="1"/>
  <c r="Z301" i="1"/>
  <c r="BN301" i="1"/>
  <c r="Z303" i="1"/>
  <c r="BN303" i="1"/>
  <c r="Z309" i="1"/>
  <c r="Z312" i="1" s="1"/>
  <c r="BN309" i="1"/>
  <c r="BP309" i="1"/>
  <c r="Z311" i="1"/>
  <c r="BN311" i="1"/>
  <c r="Z315" i="1"/>
  <c r="BN315" i="1"/>
  <c r="BP315" i="1"/>
  <c r="Y318" i="1"/>
  <c r="Y326" i="1"/>
  <c r="Y332" i="1"/>
  <c r="Y339" i="1"/>
  <c r="Y351" i="1"/>
  <c r="BN354" i="1"/>
  <c r="BP369" i="1"/>
  <c r="BN369" i="1"/>
  <c r="Z369" i="1"/>
  <c r="Z370" i="1" s="1"/>
  <c r="Y371" i="1"/>
  <c r="Y376" i="1"/>
  <c r="BP373" i="1"/>
  <c r="BN373" i="1"/>
  <c r="Z373" i="1"/>
  <c r="Z375" i="1" s="1"/>
  <c r="Y380" i="1"/>
  <c r="BP387" i="1"/>
  <c r="BN387" i="1"/>
  <c r="Z387" i="1"/>
  <c r="BP391" i="1"/>
  <c r="BN391" i="1"/>
  <c r="Z391" i="1"/>
  <c r="BP408" i="1"/>
  <c r="BN408" i="1"/>
  <c r="Z408" i="1"/>
  <c r="BP423" i="1"/>
  <c r="BN423" i="1"/>
  <c r="Z423" i="1"/>
  <c r="BP459" i="1"/>
  <c r="BN459" i="1"/>
  <c r="Z459" i="1"/>
  <c r="Z462" i="1" s="1"/>
  <c r="Y463" i="1"/>
  <c r="BP467" i="1"/>
  <c r="BN467" i="1"/>
  <c r="Z467" i="1"/>
  <c r="Y469" i="1"/>
  <c r="Y474" i="1"/>
  <c r="BP471" i="1"/>
  <c r="BN471" i="1"/>
  <c r="Z471" i="1"/>
  <c r="Z473" i="1" s="1"/>
  <c r="Y473" i="1"/>
  <c r="L499" i="1"/>
  <c r="Y235" i="1"/>
  <c r="Y267" i="1"/>
  <c r="Y295" i="1"/>
  <c r="Z316" i="1"/>
  <c r="BN316" i="1"/>
  <c r="Z322" i="1"/>
  <c r="Z325" i="1" s="1"/>
  <c r="BN322" i="1"/>
  <c r="Z324" i="1"/>
  <c r="BN324" i="1"/>
  <c r="Z328" i="1"/>
  <c r="Z331" i="1" s="1"/>
  <c r="BN328" i="1"/>
  <c r="BP328" i="1"/>
  <c r="Z330" i="1"/>
  <c r="BN330" i="1"/>
  <c r="Z335" i="1"/>
  <c r="BN335" i="1"/>
  <c r="BP335" i="1"/>
  <c r="Z337" i="1"/>
  <c r="BN337" i="1"/>
  <c r="Y338" i="1"/>
  <c r="Z343" i="1"/>
  <c r="BN343" i="1"/>
  <c r="BP343" i="1"/>
  <c r="Z345" i="1"/>
  <c r="BN345" i="1"/>
  <c r="Z347" i="1"/>
  <c r="BN347" i="1"/>
  <c r="Z349" i="1"/>
  <c r="BN349" i="1"/>
  <c r="Y350" i="1"/>
  <c r="Z353" i="1"/>
  <c r="Z355" i="1" s="1"/>
  <c r="BN353" i="1"/>
  <c r="BP353" i="1"/>
  <c r="Y356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BP410" i="1"/>
  <c r="BN410" i="1"/>
  <c r="Z410" i="1"/>
  <c r="Y412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Y499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94" i="1" l="1"/>
  <c r="Z215" i="1"/>
  <c r="Y489" i="1"/>
  <c r="Y491" i="1"/>
  <c r="Z468" i="1"/>
  <c r="Z447" i="1"/>
  <c r="Z432" i="1"/>
  <c r="Z350" i="1"/>
  <c r="Z338" i="1"/>
  <c r="Z411" i="1"/>
  <c r="Z318" i="1"/>
  <c r="Z295" i="1"/>
  <c r="Z285" i="1"/>
  <c r="Z267" i="1"/>
  <c r="Z259" i="1"/>
  <c r="Z250" i="1"/>
  <c r="Z203" i="1"/>
  <c r="Z76" i="1"/>
  <c r="Z494" i="1" s="1"/>
  <c r="Y490" i="1"/>
  <c r="Y493" i="1"/>
  <c r="X492" i="1"/>
  <c r="Y492" i="1" l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<sst xmlns="http://schemas.openxmlformats.org/spreadsheetml/2006/main" count="2337" uniqueCount="763">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</sst>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8"/>
      <c r="C5" s="629"/>
      <c r="D5" s="616"/>
      <c r="E5" s="617"/>
      <c r="F5" s="825" t="s">
        <v>9</v>
      </c>
      <c r="G5" s="629"/>
      <c r="H5" s="616"/>
      <c r="I5" s="763"/>
      <c r="J5" s="763"/>
      <c r="K5" s="763"/>
      <c r="L5" s="763"/>
      <c r="M5" s="617"/>
      <c r="N5" s="58"/>
      <c r="P5" s="24" t="s">
        <v>10</v>
      </c>
      <c r="Q5" s="839">
        <v>45988</v>
      </c>
      <c r="R5" s="651"/>
      <c r="T5" s="699" t="s">
        <v>11</v>
      </c>
      <c r="U5" s="700"/>
      <c r="V5" s="702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6" t="s">
        <v>16</v>
      </c>
      <c r="U6" s="700"/>
      <c r="V6" s="751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0"/>
      <c r="V7" s="752"/>
      <c r="W7" s="753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7" t="s">
        <v>19</v>
      </c>
      <c r="E8" s="608"/>
      <c r="F8" s="608"/>
      <c r="G8" s="608"/>
      <c r="H8" s="608"/>
      <c r="I8" s="608"/>
      <c r="J8" s="608"/>
      <c r="K8" s="608"/>
      <c r="L8" s="608"/>
      <c r="M8" s="609"/>
      <c r="N8" s="61"/>
      <c r="P8" s="24" t="s">
        <v>20</v>
      </c>
      <c r="Q8" s="660">
        <v>0.41666666666666669</v>
      </c>
      <c r="R8" s="599"/>
      <c r="T8" s="555"/>
      <c r="U8" s="700"/>
      <c r="V8" s="752"/>
      <c r="W8" s="753"/>
      <c r="AB8" s="51"/>
      <c r="AC8" s="51"/>
      <c r="AD8" s="51"/>
      <c r="AE8" s="51"/>
    </row>
    <row r="9" spans="1:32" s="535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0"/>
      <c r="V9" s="754"/>
      <c r="W9" s="75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3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0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3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3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9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150</v>
      </c>
      <c r="Y52" s="542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450</v>
      </c>
      <c r="Y56" s="542">
        <f t="shared" si="0"/>
        <v>450</v>
      </c>
      <c r="Z56" s="36">
        <f>IFERROR(IF(Y56=0,"",ROUNDUP(Y56/H56,0)*0.00902),"")</f>
        <v>0.90200000000000002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469</v>
      </c>
      <c r="BN56" s="64">
        <f t="shared" si="2"/>
        <v>469</v>
      </c>
      <c r="BO56" s="64">
        <f t="shared" si="3"/>
        <v>0.75757575757575757</v>
      </c>
      <c r="BP56" s="64">
        <f t="shared" si="4"/>
        <v>0.75757575757575757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113.88888888888889</v>
      </c>
      <c r="Y57" s="543">
        <f>IFERROR(Y51/H51,"0")+IFERROR(Y52/H52,"0")+IFERROR(Y53/H53,"0")+IFERROR(Y54/H54,"0")+IFERROR(Y55/H55,"0")+IFERROR(Y56/H56,"0")</f>
        <v>114</v>
      </c>
      <c r="Z57" s="543">
        <f>IFERROR(IF(Z51="",0,Z51),"0")+IFERROR(IF(Z52="",0,Z52),"0")+IFERROR(IF(Z53="",0,Z53),"0")+IFERROR(IF(Z54="",0,Z54),"0")+IFERROR(IF(Z55="",0,Z55),"0")+IFERROR(IF(Z56="",0,Z56),"0")</f>
        <v>1.1677200000000001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600</v>
      </c>
      <c r="Y58" s="543">
        <f>IFERROR(SUM(Y51:Y56),"0")</f>
        <v>601.20000000000005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50</v>
      </c>
      <c r="Y60" s="542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4.6296296296296298</v>
      </c>
      <c r="Y63" s="543">
        <f>IFERROR(Y60/H60,"0")+IFERROR(Y61/H61,"0")+IFERROR(Y62/H62,"0")</f>
        <v>5</v>
      </c>
      <c r="Z63" s="543">
        <f>IFERROR(IF(Z60="",0,Z60),"0")+IFERROR(IF(Z61="",0,Z61),"0")+IFERROR(IF(Z62="",0,Z62),"0")</f>
        <v>9.4899999999999998E-2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50</v>
      </c>
      <c r="Y64" s="543">
        <f>IFERROR(SUM(Y60:Y62),"0")</f>
        <v>54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500</v>
      </c>
      <c r="Y85" s="542">
        <f>IFERROR(IF(X85="",0,CEILING((X85/$H85),1)*$H85),"")</f>
        <v>507.6</v>
      </c>
      <c r="Z85" s="36">
        <f>IFERROR(IF(Y85=0,"",ROUNDUP(Y85/H85,0)*0.01898),"")</f>
        <v>0.89205999999999996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518.98148148148141</v>
      </c>
      <c r="BN85" s="64">
        <f>IFERROR(Y85*I85/H85,"0")</f>
        <v>526.87</v>
      </c>
      <c r="BO85" s="64">
        <f>IFERROR(1/J85*(X85/H85),"0")</f>
        <v>0.72337962962962954</v>
      </c>
      <c r="BP85" s="64">
        <f>IFERROR(1/J85*(Y85/H85),"0")</f>
        <v>0.734375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46.296296296296291</v>
      </c>
      <c r="Y88" s="543">
        <f>IFERROR(Y85/H85,"0")+IFERROR(Y86/H86,"0")+IFERROR(Y87/H87,"0")</f>
        <v>47</v>
      </c>
      <c r="Z88" s="543">
        <f>IFERROR(IF(Z85="",0,Z85),"0")+IFERROR(IF(Z86="",0,Z86),"0")+IFERROR(IF(Z87="",0,Z87),"0")</f>
        <v>0.89205999999999996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500</v>
      </c>
      <c r="Y89" s="543">
        <f>IFERROR(SUM(Y85:Y87),"0")</f>
        <v>507.6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150</v>
      </c>
      <c r="Y91" s="542">
        <f>IFERROR(IF(X91="",0,CEILING((X91/$H91),1)*$H91),"")</f>
        <v>153.9</v>
      </c>
      <c r="Z91" s="36">
        <f>IFERROR(IF(Y91=0,"",ROUNDUP(Y91/H91,0)*0.01898),"")</f>
        <v>0.36062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159.14814814814815</v>
      </c>
      <c r="BN91" s="64">
        <f>IFERROR(Y91*I91/H91,"0")</f>
        <v>163.286</v>
      </c>
      <c r="BO91" s="64">
        <f>IFERROR(1/J91*(X91/H91),"0")</f>
        <v>0.28935185185185186</v>
      </c>
      <c r="BP91" s="64">
        <f>IFERROR(1/J91*(Y91/H91),"0")</f>
        <v>0.296875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50</v>
      </c>
      <c r="Y94" s="542">
        <f>IFERROR(IF(X94="",0,CEILING((X94/$H94),1)*$H94),"")</f>
        <v>51.48</v>
      </c>
      <c r="Z94" s="36">
        <f>IFERROR(IF(Y94=0,"",ROUNDUP(Y94/H94,0)*0.00651),"")</f>
        <v>0.16925999999999999</v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56.515151515151516</v>
      </c>
      <c r="BN94" s="64">
        <f>IFERROR(Y94*I94/H94,"0")</f>
        <v>58.187999999999995</v>
      </c>
      <c r="BO94" s="64">
        <f>IFERROR(1/J94*(X94/H94),"0")</f>
        <v>0.13875013875013875</v>
      </c>
      <c r="BP94" s="64">
        <f>IFERROR(1/J94*(Y94/H94),"0")</f>
        <v>0.14285714285714288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43.771043771043772</v>
      </c>
      <c r="Y95" s="543">
        <f>IFERROR(Y91/H91,"0")+IFERROR(Y92/H92,"0")+IFERROR(Y93/H93,"0")+IFERROR(Y94/H94,"0")</f>
        <v>45</v>
      </c>
      <c r="Z95" s="543">
        <f>IFERROR(IF(Z91="",0,Z91),"0")+IFERROR(IF(Z92="",0,Z92),"0")+IFERROR(IF(Z93="",0,Z93),"0")+IFERROR(IF(Z94="",0,Z94),"0")</f>
        <v>0.52988000000000002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200</v>
      </c>
      <c r="Y96" s="543">
        <f>IFERROR(SUM(Y91:Y94),"0")</f>
        <v>205.38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50</v>
      </c>
      <c r="Y100" s="542">
        <f>IFERROR(IF(X100="",0,CEILING((X100/$H100),1)*$H100),"")</f>
        <v>52.5</v>
      </c>
      <c r="Z100" s="36">
        <f>IFERROR(IF(Y100=0,"",ROUNDUP(Y100/H100,0)*0.00902),"")</f>
        <v>0.12628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52.533333333333331</v>
      </c>
      <c r="BN100" s="64">
        <f>IFERROR(Y100*I100/H100,"0")</f>
        <v>55.16</v>
      </c>
      <c r="BO100" s="64">
        <f>IFERROR(1/J100*(X100/H100),"0")</f>
        <v>0.10101010101010102</v>
      </c>
      <c r="BP100" s="64">
        <f>IFERROR(1/J100*(Y100/H100),"0")</f>
        <v>0.10606060606060606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13.333333333333334</v>
      </c>
      <c r="Y103" s="543">
        <f>IFERROR(Y99/H99,"0")+IFERROR(Y100/H100,"0")+IFERROR(Y101/H101,"0")+IFERROR(Y102/H102,"0")</f>
        <v>14</v>
      </c>
      <c r="Z103" s="543">
        <f>IFERROR(IF(Z99="",0,Z99),"0")+IFERROR(IF(Z100="",0,Z100),"0")+IFERROR(IF(Z101="",0,Z101),"0")+IFERROR(IF(Z102="",0,Z102),"0")</f>
        <v>0.12628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50</v>
      </c>
      <c r="Y104" s="543">
        <f>IFERROR(SUM(Y99:Y102),"0")</f>
        <v>52.5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350</v>
      </c>
      <c r="Y112" s="542">
        <f>IFERROR(IF(X112="",0,CEILING((X112/$H112),1)*$H112),"")</f>
        <v>356.4</v>
      </c>
      <c r="Z112" s="36">
        <f>IFERROR(IF(Y112=0,"",ROUNDUP(Y112/H112,0)*0.01898),"")</f>
        <v>0.83511999999999997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371.08641975308637</v>
      </c>
      <c r="BN112" s="64">
        <f>IFERROR(Y112*I112/H112,"0")</f>
        <v>377.87199999999996</v>
      </c>
      <c r="BO112" s="64">
        <f>IFERROR(1/J112*(X112/H112),"0")</f>
        <v>0.67515432098765438</v>
      </c>
      <c r="BP112" s="64">
        <f>IFERROR(1/J112*(Y112/H112),"0")</f>
        <v>0.6875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450</v>
      </c>
      <c r="Y114" s="542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209.87654320987653</v>
      </c>
      <c r="Y116" s="543">
        <f>IFERROR(Y112/H112,"0")+IFERROR(Y113/H113,"0")+IFERROR(Y114/H114,"0")+IFERROR(Y115/H115,"0")</f>
        <v>211</v>
      </c>
      <c r="Z116" s="543">
        <f>IFERROR(IF(Z112="",0,Z112),"0")+IFERROR(IF(Z113="",0,Z113),"0")+IFERROR(IF(Z114="",0,Z114),"0")+IFERROR(IF(Z115="",0,Z115),"0")</f>
        <v>1.9222899999999998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800</v>
      </c>
      <c r="Y117" s="543">
        <f>IFERROR(SUM(Y112:Y115),"0")</f>
        <v>807.3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8" t="s">
        <v>136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270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100</v>
      </c>
      <c r="Y195" s="542">
        <f t="shared" ref="Y195:Y202" si="10">IFERROR(IF(X195="",0,CEILING((X195/$H195),1)*$H195),"")</f>
        <v>102.60000000000001</v>
      </c>
      <c r="Z195" s="36">
        <f>IFERROR(IF(Y195=0,"",ROUNDUP(Y195/H195,0)*0.00902),"")</f>
        <v>0.17138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103.5185185185185</v>
      </c>
      <c r="BN195" s="64">
        <f t="shared" ref="BN195:BN202" si="12">IFERROR(Y195*I195/H195,"0")</f>
        <v>106.21</v>
      </c>
      <c r="BO195" s="64">
        <f t="shared" ref="BO195:BO202" si="13">IFERROR(1/J195*(X195/H195),"0")</f>
        <v>0.14029180695847362</v>
      </c>
      <c r="BP195" s="64">
        <f t="shared" ref="BP195:BP202" si="14">IFERROR(1/J195*(Y195/H195),"0")</f>
        <v>0.14393939393939395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100</v>
      </c>
      <c r="Y196" s="542">
        <f t="shared" si="10"/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103.5185185185185</v>
      </c>
      <c r="BN196" s="64">
        <f t="shared" si="12"/>
        <v>106.21</v>
      </c>
      <c r="BO196" s="64">
        <f t="shared" si="13"/>
        <v>0.14029180695847362</v>
      </c>
      <c r="BP196" s="64">
        <f t="shared" si="14"/>
        <v>0.14393939393939395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200</v>
      </c>
      <c r="Y197" s="542">
        <f t="shared" si="10"/>
        <v>205.20000000000002</v>
      </c>
      <c r="Z197" s="36">
        <f>IFERROR(IF(Y197=0,"",ROUNDUP(Y197/H197,0)*0.00902),"")</f>
        <v>0.34276000000000001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207.03703703703701</v>
      </c>
      <c r="BN197" s="64">
        <f t="shared" si="12"/>
        <v>212.42</v>
      </c>
      <c r="BO197" s="64">
        <f t="shared" si="13"/>
        <v>0.28058361391694725</v>
      </c>
      <c r="BP197" s="64">
        <f t="shared" si="14"/>
        <v>0.2878787878787879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100</v>
      </c>
      <c r="Y198" s="542">
        <f t="shared" si="10"/>
        <v>102.60000000000001</v>
      </c>
      <c r="Z198" s="36">
        <f>IFERROR(IF(Y198=0,"",ROUNDUP(Y198/H198,0)*0.00902),"")</f>
        <v>0.17138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103.5185185185185</v>
      </c>
      <c r="BN198" s="64">
        <f t="shared" si="12"/>
        <v>106.21</v>
      </c>
      <c r="BO198" s="64">
        <f t="shared" si="13"/>
        <v>0.14029180695847362</v>
      </c>
      <c r="BP198" s="64">
        <f t="shared" si="14"/>
        <v>0.14393939393939395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92.592592592592595</v>
      </c>
      <c r="Y203" s="543">
        <f>IFERROR(Y195/H195,"0")+IFERROR(Y196/H196,"0")+IFERROR(Y197/H197,"0")+IFERROR(Y198/H198,"0")+IFERROR(Y199/H199,"0")+IFERROR(Y200/H200,"0")+IFERROR(Y201/H201,"0")+IFERROR(Y202/H202,"0")</f>
        <v>95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0.8569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500</v>
      </c>
      <c r="Y204" s="543">
        <f>IFERROR(SUM(Y195:Y202),"0")</f>
        <v>513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100</v>
      </c>
      <c r="Y206" s="542">
        <f t="shared" ref="Y206:Y214" si="15">IFERROR(IF(X206="",0,CEILING((X206/$H206),1)*$H206),"")</f>
        <v>105.3</v>
      </c>
      <c r="Z206" s="36">
        <f>IFERROR(IF(Y206=0,"",ROUNDUP(Y206/H206,0)*0.01898),"")</f>
        <v>0.24674000000000001</v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106.09876543209877</v>
      </c>
      <c r="BN206" s="64">
        <f t="shared" ref="BN206:BN214" si="17">IFERROR(Y206*I206/H206,"0")</f>
        <v>111.72199999999999</v>
      </c>
      <c r="BO206" s="64">
        <f t="shared" ref="BO206:BO214" si="18">IFERROR(1/J206*(X206/H206),"0")</f>
        <v>0.19290123456790123</v>
      </c>
      <c r="BP206" s="64">
        <f t="shared" ref="BP206:BP214" si="19">IFERROR(1/J206*(Y206/H206),"0")</f>
        <v>0.203125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100</v>
      </c>
      <c r="Y207" s="542">
        <f t="shared" si="15"/>
        <v>105.3</v>
      </c>
      <c r="Z207" s="36">
        <f>IFERROR(IF(Y207=0,"",ROUNDUP(Y207/H207,0)*0.01898),"")</f>
        <v>0.24674000000000001</v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105.87654320987654</v>
      </c>
      <c r="BN207" s="64">
        <f t="shared" si="17"/>
        <v>111.48800000000001</v>
      </c>
      <c r="BO207" s="64">
        <f t="shared" si="18"/>
        <v>0.19290123456790123</v>
      </c>
      <c r="BP207" s="64">
        <f t="shared" si="19"/>
        <v>0.203125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100</v>
      </c>
      <c r="Y208" s="542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300</v>
      </c>
      <c r="Y211" s="542">
        <f t="shared" si="15"/>
        <v>300</v>
      </c>
      <c r="Z211" s="36">
        <f t="shared" si="20"/>
        <v>0.81374999999999997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331.5</v>
      </c>
      <c r="BN211" s="64">
        <f t="shared" si="17"/>
        <v>331.5</v>
      </c>
      <c r="BO211" s="64">
        <f t="shared" si="18"/>
        <v>0.68681318681318682</v>
      </c>
      <c r="BP211" s="64">
        <f t="shared" si="19"/>
        <v>0.68681318681318682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300</v>
      </c>
      <c r="Y212" s="542">
        <f t="shared" si="15"/>
        <v>300</v>
      </c>
      <c r="Z212" s="36">
        <f t="shared" si="20"/>
        <v>0.81374999999999997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331.5</v>
      </c>
      <c r="BN212" s="64">
        <f t="shared" si="17"/>
        <v>331.5</v>
      </c>
      <c r="BO212" s="64">
        <f t="shared" si="18"/>
        <v>0.68681318681318682</v>
      </c>
      <c r="BP212" s="64">
        <f t="shared" si="19"/>
        <v>0.68681318681318682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100</v>
      </c>
      <c r="Y213" s="542">
        <f t="shared" si="15"/>
        <v>100.8</v>
      </c>
      <c r="Z213" s="36">
        <f t="shared" si="20"/>
        <v>0.27342</v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110.5</v>
      </c>
      <c r="BN213" s="64">
        <f t="shared" si="17"/>
        <v>111.384</v>
      </c>
      <c r="BO213" s="64">
        <f t="shared" si="18"/>
        <v>0.22893772893772898</v>
      </c>
      <c r="BP213" s="64">
        <f t="shared" si="19"/>
        <v>0.23076923076923078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50</v>
      </c>
      <c r="Y214" s="542">
        <f t="shared" si="15"/>
        <v>50.4</v>
      </c>
      <c r="Z214" s="36">
        <f t="shared" si="20"/>
        <v>0.13671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55.375000000000007</v>
      </c>
      <c r="BN214" s="64">
        <f t="shared" si="17"/>
        <v>55.818000000000005</v>
      </c>
      <c r="BO214" s="64">
        <f t="shared" si="18"/>
        <v>0.11446886446886449</v>
      </c>
      <c r="BP214" s="64">
        <f t="shared" si="19"/>
        <v>0.11538461538461539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348.68561089825459</v>
      </c>
      <c r="Y215" s="543">
        <f>IFERROR(Y206/H206,"0")+IFERROR(Y207/H207,"0")+IFERROR(Y208/H208,"0")+IFERROR(Y209/H209,"0")+IFERROR(Y210/H210,"0")+IFERROR(Y211/H211,"0")+IFERROR(Y212/H212,"0")+IFERROR(Y213/H213,"0")+IFERROR(Y214/H214,"0")</f>
        <v>351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2.7588699999999999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1050</v>
      </c>
      <c r="Y216" s="543">
        <f>IFERROR(SUM(Y206:Y214),"0")</f>
        <v>1066.2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50</v>
      </c>
      <c r="Y254" s="542">
        <f>IFERROR(IF(X254="",0,CEILING((X254/$H254),1)*$H254),"")</f>
        <v>54</v>
      </c>
      <c r="Z254" s="36">
        <f>IFERROR(IF(Y254=0,"",ROUNDUP(Y254/H254,0)*0.01898),"")</f>
        <v>9.4899999999999998E-2</v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51.898148148148145</v>
      </c>
      <c r="BN254" s="64">
        <f>IFERROR(Y254*I254/H254,"0")</f>
        <v>56.05</v>
      </c>
      <c r="BO254" s="64">
        <f>IFERROR(1/J254*(X254/H254),"0")</f>
        <v>7.2337962962962965E-2</v>
      </c>
      <c r="BP254" s="64">
        <f>IFERROR(1/J254*(Y254/H254),"0")</f>
        <v>7.8125E-2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50</v>
      </c>
      <c r="Y256" s="542">
        <f>IFERROR(IF(X256="",0,CEILING((X256/$H256),1)*$H256),"")</f>
        <v>54</v>
      </c>
      <c r="Z256" s="36">
        <f>IFERROR(IF(Y256=0,"",ROUNDUP(Y256/H256,0)*0.01898),"")</f>
        <v>9.4899999999999998E-2</v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51.898148148148145</v>
      </c>
      <c r="BN256" s="64">
        <f>IFERROR(Y256*I256/H256,"0")</f>
        <v>56.05</v>
      </c>
      <c r="BO256" s="64">
        <f>IFERROR(1/J256*(X256/H256),"0")</f>
        <v>7.2337962962962965E-2</v>
      </c>
      <c r="BP256" s="64">
        <f>IFERROR(1/J256*(Y256/H256),"0")</f>
        <v>7.8125E-2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9.2592592592592595</v>
      </c>
      <c r="Y259" s="543">
        <f>IFERROR(Y254/H254,"0")+IFERROR(Y255/H255,"0")+IFERROR(Y256/H256,"0")+IFERROR(Y257/H257,"0")+IFERROR(Y258/H258,"0")</f>
        <v>10</v>
      </c>
      <c r="Z259" s="543">
        <f>IFERROR(IF(Z254="",0,Z254),"0")+IFERROR(IF(Z255="",0,Z255),"0")+IFERROR(IF(Z256="",0,Z256),"0")+IFERROR(IF(Z257="",0,Z257),"0")+IFERROR(IF(Z258="",0,Z258),"0")</f>
        <v>0.1898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100</v>
      </c>
      <c r="Y260" s="543">
        <f>IFERROR(SUM(Y254:Y258),"0")</f>
        <v>108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8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100</v>
      </c>
      <c r="Y316" s="542">
        <f>IFERROR(IF(X316="",0,CEILING((X316/$H316),1)*$H316),"")</f>
        <v>101.39999999999999</v>
      </c>
      <c r="Z316" s="36">
        <f>IFERROR(IF(Y316=0,"",ROUNDUP(Y316/H316,0)*0.01898),"")</f>
        <v>0.24674000000000001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106.33333333333334</v>
      </c>
      <c r="BN316" s="64">
        <f>IFERROR(Y316*I316/H316,"0")</f>
        <v>107.82199999999999</v>
      </c>
      <c r="BO316" s="64">
        <f>IFERROR(1/J316*(X316/H316),"0")</f>
        <v>0.20032051282051283</v>
      </c>
      <c r="BP316" s="64">
        <f>IFERROR(1/J316*(Y316/H316),"0")</f>
        <v>0.203125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12.820512820512821</v>
      </c>
      <c r="Y318" s="543">
        <f>IFERROR(Y315/H315,"0")+IFERROR(Y316/H316,"0")+IFERROR(Y317/H317,"0")</f>
        <v>13</v>
      </c>
      <c r="Z318" s="543">
        <f>IFERROR(IF(Z315="",0,Z315),"0")+IFERROR(IF(Z316="",0,Z316),"0")+IFERROR(IF(Z317="",0,Z317),"0")</f>
        <v>0.24674000000000001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100</v>
      </c>
      <c r="Y319" s="543">
        <f>IFERROR(SUM(Y315:Y317),"0")</f>
        <v>101.39999999999999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70</v>
      </c>
      <c r="Y336" s="542">
        <f>IFERROR(IF(X336="",0,CEILING((X336/$H336),1)*$H336),"")</f>
        <v>71.400000000000006</v>
      </c>
      <c r="Z336" s="36">
        <f>IFERROR(IF(Y336=0,"",ROUNDUP(Y336/H336,0)*0.00651),"")</f>
        <v>0.22134000000000001</v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78.399999999999991</v>
      </c>
      <c r="BN336" s="64">
        <f>IFERROR(Y336*I336/H336,"0")</f>
        <v>79.968000000000004</v>
      </c>
      <c r="BO336" s="64">
        <f>IFERROR(1/J336*(X336/H336),"0")</f>
        <v>0.18315018315018314</v>
      </c>
      <c r="BP336" s="64">
        <f>IFERROR(1/J336*(Y336/H336),"0")</f>
        <v>0.18681318681318682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50</v>
      </c>
      <c r="Y337" s="542">
        <f>IFERROR(IF(X337="",0,CEILING((X337/$H337),1)*$H337),"")</f>
        <v>50.400000000000006</v>
      </c>
      <c r="Z337" s="36">
        <f>IFERROR(IF(Y337=0,"",ROUNDUP(Y337/H337,0)*0.00651),"")</f>
        <v>0.15623999999999999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55.714285714285715</v>
      </c>
      <c r="BN337" s="64">
        <f>IFERROR(Y337*I337/H337,"0")</f>
        <v>56.160000000000004</v>
      </c>
      <c r="BO337" s="64">
        <f>IFERROR(1/J337*(X337/H337),"0")</f>
        <v>0.13082155939298798</v>
      </c>
      <c r="BP337" s="64">
        <f>IFERROR(1/J337*(Y337/H337),"0")</f>
        <v>0.13186813186813187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57.142857142857139</v>
      </c>
      <c r="Y338" s="543">
        <f>IFERROR(Y335/H335,"0")+IFERROR(Y336/H336,"0")+IFERROR(Y337/H337,"0")</f>
        <v>58</v>
      </c>
      <c r="Z338" s="543">
        <f>IFERROR(IF(Z335="",0,Z335),"0")+IFERROR(IF(Z336="",0,Z336),"0")+IFERROR(IF(Z337="",0,Z337),"0")</f>
        <v>0.37758000000000003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120</v>
      </c>
      <c r="Y339" s="543">
        <f>IFERROR(SUM(Y335:Y337),"0")</f>
        <v>121.80000000000001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100</v>
      </c>
      <c r="Y344" s="542">
        <f t="shared" si="36"/>
        <v>105</v>
      </c>
      <c r="Z344" s="36">
        <f>IFERROR(IF(Y344=0,"",ROUNDUP(Y344/H344,0)*0.02175),"")</f>
        <v>0.15225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103.13333333333334</v>
      </c>
      <c r="BN344" s="64">
        <f t="shared" si="38"/>
        <v>108.29</v>
      </c>
      <c r="BO344" s="64">
        <f t="shared" si="39"/>
        <v>0.1388888888888889</v>
      </c>
      <c r="BP344" s="64">
        <f t="shared" si="40"/>
        <v>0.14583333333333331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100</v>
      </c>
      <c r="Y346" s="542">
        <f t="shared" si="36"/>
        <v>105</v>
      </c>
      <c r="Z346" s="36">
        <f>IFERROR(IF(Y346=0,"",ROUNDUP(Y346/H346,0)*0.02175),"")</f>
        <v>0.15225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103.13333333333334</v>
      </c>
      <c r="BN346" s="64">
        <f t="shared" si="38"/>
        <v>108.29</v>
      </c>
      <c r="BO346" s="64">
        <f t="shared" si="39"/>
        <v>0.1388888888888889</v>
      </c>
      <c r="BP346" s="64">
        <f t="shared" si="40"/>
        <v>0.14583333333333331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13.333333333333334</v>
      </c>
      <c r="Y350" s="543">
        <f>IFERROR(Y343/H343,"0")+IFERROR(Y344/H344,"0")+IFERROR(Y345/H345,"0")+IFERROR(Y346/H346,"0")+IFERROR(Y347/H347,"0")+IFERROR(Y348/H348,"0")+IFERROR(Y349/H349,"0")</f>
        <v>14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0.30449999999999999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200</v>
      </c>
      <c r="Y351" s="543">
        <f>IFERROR(SUM(Y343:Y349),"0")</f>
        <v>210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200</v>
      </c>
      <c r="Y353" s="542">
        <f>IFERROR(IF(X353="",0,CEILING((X353/$H353),1)*$H353),"")</f>
        <v>210</v>
      </c>
      <c r="Z353" s="36">
        <f>IFERROR(IF(Y353=0,"",ROUNDUP(Y353/H353,0)*0.02175),"")</f>
        <v>0.30449999999999999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206.26666666666668</v>
      </c>
      <c r="BN353" s="64">
        <f>IFERROR(Y353*I353/H353,"0")</f>
        <v>216.58</v>
      </c>
      <c r="BO353" s="64">
        <f>IFERROR(1/J353*(X353/H353),"0")</f>
        <v>0.27777777777777779</v>
      </c>
      <c r="BP353" s="64">
        <f>IFERROR(1/J353*(Y353/H353),"0")</f>
        <v>0.29166666666666663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13.333333333333334</v>
      </c>
      <c r="Y355" s="543">
        <f>IFERROR(Y353/H353,"0")+IFERROR(Y354/H354,"0")</f>
        <v>14</v>
      </c>
      <c r="Z355" s="543">
        <f>IFERROR(IF(Z353="",0,Z353),"0")+IFERROR(IF(Z354="",0,Z354),"0")</f>
        <v>0.30449999999999999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200</v>
      </c>
      <c r="Y356" s="543">
        <f>IFERROR(SUM(Y353:Y354),"0")</f>
        <v>210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100</v>
      </c>
      <c r="Y363" s="542">
        <f>IFERROR(IF(X363="",0,CEILING((X363/$H363),1)*$H363),"")</f>
        <v>108</v>
      </c>
      <c r="Z363" s="36">
        <f>IFERROR(IF(Y363=0,"",ROUNDUP(Y363/H363,0)*0.01898),"")</f>
        <v>0.22776000000000002</v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105.48888888888888</v>
      </c>
      <c r="BN363" s="64">
        <f>IFERROR(Y363*I363/H363,"0")</f>
        <v>113.92799999999998</v>
      </c>
      <c r="BO363" s="64">
        <f>IFERROR(1/J363*(X363/H363),"0")</f>
        <v>0.1736111111111111</v>
      </c>
      <c r="BP363" s="64">
        <f>IFERROR(1/J363*(Y363/H363),"0")</f>
        <v>0.1875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11.111111111111111</v>
      </c>
      <c r="Y364" s="543">
        <f>IFERROR(Y363/H363,"0")</f>
        <v>12</v>
      </c>
      <c r="Z364" s="543">
        <f>IFERROR(IF(Z363="",0,Z363),"0")</f>
        <v>0.22776000000000002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100</v>
      </c>
      <c r="Y365" s="543">
        <f>IFERROR(SUM(Y363:Y363),"0")</f>
        <v>108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150</v>
      </c>
      <c r="Y368" s="542">
        <f>IFERROR(IF(X368="",0,CEILING((X368/$H368),1)*$H368),"")</f>
        <v>156</v>
      </c>
      <c r="Z368" s="36">
        <f>IFERROR(IF(Y368=0,"",ROUNDUP(Y368/H368,0)*0.01898),"")</f>
        <v>0.24674000000000001</v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155.125</v>
      </c>
      <c r="BN368" s="64">
        <f>IFERROR(Y368*I368/H368,"0")</f>
        <v>161.33000000000001</v>
      </c>
      <c r="BO368" s="64">
        <f>IFERROR(1/J368*(X368/H368),"0")</f>
        <v>0.1953125</v>
      </c>
      <c r="BP368" s="64">
        <f>IFERROR(1/J368*(Y368/H368),"0")</f>
        <v>0.203125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12.5</v>
      </c>
      <c r="Y370" s="543">
        <f>IFERROR(Y368/H368,"0")+IFERROR(Y369/H369,"0")</f>
        <v>13</v>
      </c>
      <c r="Z370" s="543">
        <f>IFERROR(IF(Z368="",0,Z368),"0")+IFERROR(IF(Z369="",0,Z369),"0")</f>
        <v>0.24674000000000001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150</v>
      </c>
      <c r="Y371" s="543">
        <f>IFERROR(SUM(Y368:Y369),"0")</f>
        <v>156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800</v>
      </c>
      <c r="Y378" s="542">
        <f>IFERROR(IF(X378="",0,CEILING((X378/$H378),1)*$H378),"")</f>
        <v>801</v>
      </c>
      <c r="Z378" s="36">
        <f>IFERROR(IF(Y378=0,"",ROUNDUP(Y378/H378,0)*0.01898),"")</f>
        <v>1.6892199999999999</v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843.91111111111104</v>
      </c>
      <c r="BN378" s="64">
        <f>IFERROR(Y378*I378/H378,"0")</f>
        <v>844.96599999999989</v>
      </c>
      <c r="BO378" s="64">
        <f>IFERROR(1/J378*(X378/H378),"0")</f>
        <v>1.3888888888888888</v>
      </c>
      <c r="BP378" s="64">
        <f>IFERROR(1/J378*(Y378/H378),"0")</f>
        <v>1.390625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200</v>
      </c>
      <c r="Y379" s="542">
        <f>IFERROR(IF(X379="",0,CEILING((X379/$H379),1)*$H379),"")</f>
        <v>201.6</v>
      </c>
      <c r="Z379" s="36">
        <f>IFERROR(IF(Y379=0,"",ROUNDUP(Y379/H379,0)*0.00651),"")</f>
        <v>0.54683999999999999</v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222.00000000000003</v>
      </c>
      <c r="BN379" s="64">
        <f>IFERROR(Y379*I379/H379,"0")</f>
        <v>223.77600000000001</v>
      </c>
      <c r="BO379" s="64">
        <f>IFERROR(1/J379*(X379/H379),"0")</f>
        <v>0.45787545787545797</v>
      </c>
      <c r="BP379" s="64">
        <f>IFERROR(1/J379*(Y379/H379),"0")</f>
        <v>0.46153846153846156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172.22222222222223</v>
      </c>
      <c r="Y380" s="543">
        <f>IFERROR(Y378/H378,"0")+IFERROR(Y379/H379,"0")</f>
        <v>173</v>
      </c>
      <c r="Z380" s="543">
        <f>IFERROR(IF(Z378="",0,Z378),"0")+IFERROR(IF(Z379="",0,Z379),"0")</f>
        <v>2.2360600000000002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1000</v>
      </c>
      <c r="Y381" s="543">
        <f>IFERROR(SUM(Y378:Y379),"0")</f>
        <v>1002.6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50</v>
      </c>
      <c r="Y386" s="542">
        <f t="shared" si="41"/>
        <v>54</v>
      </c>
      <c r="Z386" s="36">
        <f>IFERROR(IF(Y386=0,"",ROUNDUP(Y386/H386,0)*0.00902),"")</f>
        <v>9.0200000000000002E-2</v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51.759259259259252</v>
      </c>
      <c r="BN386" s="64">
        <f t="shared" si="43"/>
        <v>55.9</v>
      </c>
      <c r="BO386" s="64">
        <f t="shared" si="44"/>
        <v>7.0145903479236812E-2</v>
      </c>
      <c r="BP386" s="64">
        <f t="shared" si="45"/>
        <v>7.575757575757576E-2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9.2592592592592595</v>
      </c>
      <c r="Y394" s="543">
        <f>IFERROR(Y385/H385,"0")+IFERROR(Y386/H386,"0")+IFERROR(Y387/H387,"0")+IFERROR(Y388/H388,"0")+IFERROR(Y389/H389,"0")+IFERROR(Y390/H390,"0")+IFERROR(Y391/H391,"0")+IFERROR(Y392/H392,"0")+IFERROR(Y393/H393,"0")</f>
        <v>10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9.0200000000000002E-2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50</v>
      </c>
      <c r="Y395" s="543">
        <f>IFERROR(SUM(Y385:Y393),"0")</f>
        <v>54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136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200</v>
      </c>
      <c r="Y423" s="542">
        <f t="shared" si="47"/>
        <v>200.64000000000001</v>
      </c>
      <c r="Z423" s="36">
        <f t="shared" si="48"/>
        <v>0.45448</v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213.25757575757575</v>
      </c>
      <c r="BN423" s="64">
        <f t="shared" si="50"/>
        <v>213.94</v>
      </c>
      <c r="BO423" s="64">
        <f t="shared" si="51"/>
        <v>0.36421911421911418</v>
      </c>
      <c r="BP423" s="64">
        <f t="shared" si="52"/>
        <v>0.36538461538461542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500</v>
      </c>
      <c r="Y426" s="542">
        <f t="shared" si="47"/>
        <v>501.6</v>
      </c>
      <c r="Z426" s="36">
        <f t="shared" si="48"/>
        <v>1.1362000000000001</v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533.14393939393938</v>
      </c>
      <c r="BN426" s="64">
        <f t="shared" si="50"/>
        <v>534.85</v>
      </c>
      <c r="BO426" s="64">
        <f t="shared" si="51"/>
        <v>0.91054778554778548</v>
      </c>
      <c r="BP426" s="64">
        <f t="shared" si="52"/>
        <v>0.91346153846153855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132.57575757575756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133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1.5906800000000001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700</v>
      </c>
      <c r="Y433" s="543">
        <f>IFERROR(SUM(Y421:Y431),"0")</f>
        <v>702.24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800</v>
      </c>
      <c r="Y435" s="542">
        <f>IFERROR(IF(X435="",0,CEILING((X435/$H435),1)*$H435),"")</f>
        <v>802.56000000000006</v>
      </c>
      <c r="Z435" s="36">
        <f>IFERROR(IF(Y435=0,"",ROUNDUP(Y435/H435,0)*0.01196),"")</f>
        <v>1.81792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853.030303030303</v>
      </c>
      <c r="BN435" s="64">
        <f>IFERROR(Y435*I435/H435,"0")</f>
        <v>855.76</v>
      </c>
      <c r="BO435" s="64">
        <f>IFERROR(1/J435*(X435/H435),"0")</f>
        <v>1.4568764568764567</v>
      </c>
      <c r="BP435" s="64">
        <f>IFERROR(1/J435*(Y435/H435),"0")</f>
        <v>1.4615384615384617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151.5151515151515</v>
      </c>
      <c r="Y438" s="543">
        <f>IFERROR(Y435/H435,"0")+IFERROR(Y436/H436,"0")+IFERROR(Y437/H437,"0")</f>
        <v>152</v>
      </c>
      <c r="Z438" s="543">
        <f>IFERROR(IF(Z435="",0,Z435),"0")+IFERROR(IF(Z436="",0,Z436),"0")+IFERROR(IF(Z437="",0,Z437),"0")</f>
        <v>1.81792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800</v>
      </c>
      <c r="Y439" s="543">
        <f>IFERROR(SUM(Y435:Y437),"0")</f>
        <v>802.56000000000006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300</v>
      </c>
      <c r="Y441" s="542">
        <f t="shared" ref="Y441:Y446" si="53">IFERROR(IF(X441="",0,CEILING((X441/$H441),1)*$H441),"")</f>
        <v>300.96000000000004</v>
      </c>
      <c r="Z441" s="36">
        <f>IFERROR(IF(Y441=0,"",ROUNDUP(Y441/H441,0)*0.01196),"")</f>
        <v>0.68171999999999999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319.88636363636363</v>
      </c>
      <c r="BN441" s="64">
        <f t="shared" ref="BN441:BN446" si="55">IFERROR(Y441*I441/H441,"0")</f>
        <v>320.91000000000003</v>
      </c>
      <c r="BO441" s="64">
        <f t="shared" ref="BO441:BO446" si="56">IFERROR(1/J441*(X441/H441),"0")</f>
        <v>0.54632867132867136</v>
      </c>
      <c r="BP441" s="64">
        <f t="shared" ref="BP441:BP446" si="57">IFERROR(1/J441*(Y441/H441),"0")</f>
        <v>0.54807692307692313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300</v>
      </c>
      <c r="Y442" s="542">
        <f t="shared" si="53"/>
        <v>300.96000000000004</v>
      </c>
      <c r="Z442" s="36">
        <f>IFERROR(IF(Y442=0,"",ROUNDUP(Y442/H442,0)*0.01196),"")</f>
        <v>0.68171999999999999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319.88636363636363</v>
      </c>
      <c r="BN442" s="64">
        <f t="shared" si="55"/>
        <v>320.91000000000003</v>
      </c>
      <c r="BO442" s="64">
        <f t="shared" si="56"/>
        <v>0.54632867132867136</v>
      </c>
      <c r="BP442" s="64">
        <f t="shared" si="57"/>
        <v>0.54807692307692313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200</v>
      </c>
      <c r="Y443" s="542">
        <f t="shared" si="53"/>
        <v>200.64000000000001</v>
      </c>
      <c r="Z443" s="36">
        <f>IFERROR(IF(Y443=0,"",ROUNDUP(Y443/H443,0)*0.01196),"")</f>
        <v>0.45448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213.25757575757575</v>
      </c>
      <c r="BN443" s="64">
        <f t="shared" si="55"/>
        <v>213.94</v>
      </c>
      <c r="BO443" s="64">
        <f t="shared" si="56"/>
        <v>0.36421911421911418</v>
      </c>
      <c r="BP443" s="64">
        <f t="shared" si="57"/>
        <v>0.36538461538461542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151.5151515151515</v>
      </c>
      <c r="Y447" s="543">
        <f>IFERROR(Y441/H441,"0")+IFERROR(Y442/H442,"0")+IFERROR(Y443/H443,"0")+IFERROR(Y444/H444,"0")+IFERROR(Y445/H445,"0")+IFERROR(Y446/H446,"0")</f>
        <v>152</v>
      </c>
      <c r="Z447" s="543">
        <f>IFERROR(IF(Z441="",0,Z441),"0")+IFERROR(IF(Z442="",0,Z442),"0")+IFERROR(IF(Z443="",0,Z443),"0")+IFERROR(IF(Z444="",0,Z444),"0")+IFERROR(IF(Z445="",0,Z445),"0")+IFERROR(IF(Z446="",0,Z446),"0")</f>
        <v>1.81792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800</v>
      </c>
      <c r="Y448" s="543">
        <f>IFERROR(SUM(Y441:Y446),"0")</f>
        <v>802.56000000000006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300</v>
      </c>
      <c r="Y476" s="542">
        <f>IFERROR(IF(X476="",0,CEILING((X476/$H476),1)*$H476),"")</f>
        <v>306</v>
      </c>
      <c r="Z476" s="36">
        <f>IFERROR(IF(Y476=0,"",ROUNDUP(Y476/H476,0)*0.01898),"")</f>
        <v>0.64532</v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316.46666666666664</v>
      </c>
      <c r="BN476" s="64">
        <f>IFERROR(Y476*I476/H476,"0")</f>
        <v>322.79599999999999</v>
      </c>
      <c r="BO476" s="64">
        <f>IFERROR(1/J476*(X476/H476),"0")</f>
        <v>0.52083333333333337</v>
      </c>
      <c r="BP476" s="64">
        <f>IFERROR(1/J476*(Y476/H476),"0")</f>
        <v>0.53125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33.333333333333336</v>
      </c>
      <c r="Y477" s="543">
        <f>IFERROR(Y476/H476,"0")</f>
        <v>34</v>
      </c>
      <c r="Z477" s="543">
        <f>IFERROR(IF(Z476="",0,Z476),"0")</f>
        <v>0.64532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300</v>
      </c>
      <c r="Y478" s="543">
        <f>IFERROR(SUM(Y476:Y476),"0")</f>
        <v>306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0"/>
      <c r="P489" s="627" t="s">
        <v>737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8370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8492.34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0"/>
      <c r="P490" s="627" t="s">
        <v>738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8894.9684847931985</v>
      </c>
      <c r="Y490" s="543">
        <f>IFERROR(SUM(BN22:BN486),"0")</f>
        <v>9023.3560000000016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0"/>
      <c r="P491" s="627" t="s">
        <v>739</v>
      </c>
      <c r="Q491" s="628"/>
      <c r="R491" s="628"/>
      <c r="S491" s="628"/>
      <c r="T491" s="628"/>
      <c r="U491" s="628"/>
      <c r="V491" s="629"/>
      <c r="W491" s="37" t="s">
        <v>740</v>
      </c>
      <c r="X491" s="38">
        <f>ROUNDUP(SUM(BO22:BO486),0)</f>
        <v>16</v>
      </c>
      <c r="Y491" s="38">
        <f>ROUNDUP(SUM(BP22:BP486),0)</f>
        <v>16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0"/>
      <c r="P492" s="627" t="s">
        <v>741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9294.9684847931985</v>
      </c>
      <c r="Y492" s="543">
        <f>GrossWeightTotalR+PalletQtyTotalR*25</f>
        <v>9423.3560000000016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0"/>
      <c r="P493" s="627" t="s">
        <v>742</v>
      </c>
      <c r="Q493" s="628"/>
      <c r="R493" s="628"/>
      <c r="S493" s="628"/>
      <c r="T493" s="628"/>
      <c r="U493" s="628"/>
      <c r="V493" s="629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1652.995221041198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1670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0"/>
      <c r="P494" s="627" t="s">
        <v>743</v>
      </c>
      <c r="Q494" s="628"/>
      <c r="R494" s="628"/>
      <c r="S494" s="628"/>
      <c r="T494" s="628"/>
      <c r="U494" s="628"/>
      <c r="V494" s="629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18.444620000000004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8" t="s">
        <v>637</v>
      </c>
      <c r="Y496" s="592" t="s">
        <v>697</v>
      </c>
      <c r="Z496" s="621"/>
      <c r="AB496" s="52"/>
      <c r="AC496" s="52"/>
      <c r="AF496" s="539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9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655.20000000000005</v>
      </c>
      <c r="E499" s="46">
        <f>IFERROR(Y85*1,"0")+IFERROR(Y86*1,"0")+IFERROR(Y87*1,"0")+IFERROR(Y91*1,"0")+IFERROR(Y92*1,"0")+IFERROR(Y93*1,"0")+IFERROR(Y94*1,"0")</f>
        <v>712.98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859.8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1579.2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108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101.39999999999999</v>
      </c>
      <c r="R499" s="46">
        <f>IFERROR(Y335*1,"0")+IFERROR(Y336*1,"0")+IFERROR(Y337*1,"0")</f>
        <v>121.80000000000001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528</v>
      </c>
      <c r="T499" s="46">
        <f>IFERROR(Y368*1,"0")+IFERROR(Y369*1,"0")+IFERROR(Y373*1,"0")+IFERROR(Y374*1,"0")+IFERROR(Y378*1,"0")+IFERROR(Y379*1,"0")</f>
        <v>1158.5999999999999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54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2307.36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306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A447:O448"/>
    <mergeCell ref="Q6:R6"/>
    <mergeCell ref="P200:T200"/>
    <mergeCell ref="P134:T134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I496:R49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65:T465"/>
    <mergeCell ref="D386:E386"/>
    <mergeCell ref="P250:V250"/>
    <mergeCell ref="A364:O365"/>
    <mergeCell ref="B497:B498"/>
    <mergeCell ref="P492:V492"/>
    <mergeCell ref="A103:O104"/>
    <mergeCell ref="S496:T496"/>
    <mergeCell ref="P415:T415"/>
    <mergeCell ref="P286:V286"/>
    <mergeCell ref="P336:T336"/>
    <mergeCell ref="P131:V131"/>
    <mergeCell ref="P187:V187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83:V483"/>
    <mergeCell ref="D298:E298"/>
    <mergeCell ref="P91:T91"/>
    <mergeCell ref="P404:V404"/>
    <mergeCell ref="D273:E273"/>
    <mergeCell ref="P468:V468"/>
    <mergeCell ref="A464:Z464"/>
    <mergeCell ref="A160:Z160"/>
    <mergeCell ref="P212:T212"/>
    <mergeCell ref="P405:V405"/>
    <mergeCell ref="A401:Z401"/>
    <mergeCell ref="A152:O153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96:Z396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D426:E426"/>
    <mergeCell ref="A63:O64"/>
    <mergeCell ref="P306:V3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2025-11-21T07:04:37Z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