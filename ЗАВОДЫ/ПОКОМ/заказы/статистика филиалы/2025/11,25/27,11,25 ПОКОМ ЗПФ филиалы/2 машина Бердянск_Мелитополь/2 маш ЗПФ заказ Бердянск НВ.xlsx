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0C59921D-0EA4-4896-B03C-69D1AABE0D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Z114" i="1" s="1"/>
  <c r="Y112" i="1"/>
  <c r="Y115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1" i="1" l="1"/>
  <c r="Y274" i="1" s="1"/>
  <c r="Y38" i="1"/>
  <c r="Y45" i="1"/>
  <c r="Y278" i="1" s="1"/>
  <c r="Y60" i="1"/>
  <c r="Y66" i="1"/>
  <c r="Y71" i="1"/>
  <c r="Y83" i="1"/>
  <c r="Y92" i="1"/>
  <c r="Y99" i="1"/>
  <c r="Y110" i="1"/>
  <c r="Y114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BN36" i="1"/>
  <c r="BN41" i="1"/>
  <c r="BP41" i="1"/>
  <c r="Y276" i="1" s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C287" i="1" l="1"/>
  <c r="Y277" i="1"/>
  <c r="B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<sst xmlns="http://schemas.openxmlformats.org/spreadsheetml/2006/main" count="1229" uniqueCount="396">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</sst>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7</v>
      </c>
      <c r="B5" s="319"/>
      <c r="C5" s="320"/>
      <c r="D5" s="326"/>
      <c r="E5" s="327"/>
      <c r="F5" s="439" t="s">
        <v>8</v>
      </c>
      <c r="G5" s="320"/>
      <c r="H5" s="326"/>
      <c r="I5" s="411"/>
      <c r="J5" s="411"/>
      <c r="K5" s="411"/>
      <c r="L5" s="411"/>
      <c r="M5" s="327"/>
      <c r="N5" s="61"/>
      <c r="P5" s="24" t="s">
        <v>9</v>
      </c>
      <c r="Q5" s="446">
        <v>45985</v>
      </c>
      <c r="R5" s="349"/>
      <c r="T5" s="371" t="s">
        <v>10</v>
      </c>
      <c r="U5" s="372"/>
      <c r="V5" s="373" t="s">
        <v>11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12</v>
      </c>
      <c r="B6" s="319"/>
      <c r="C6" s="320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7" t="s">
        <v>15</v>
      </c>
      <c r="U6" s="372"/>
      <c r="V6" s="399" t="s">
        <v>16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9"/>
      <c r="C8" s="280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20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21</v>
      </c>
      <c r="Q10" s="378"/>
      <c r="R10" s="379"/>
      <c r="U10" s="24" t="s">
        <v>22</v>
      </c>
      <c r="V10" s="298" t="s">
        <v>23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19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29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30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31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32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33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35</v>
      </c>
      <c r="B17" s="294" t="s">
        <v>36</v>
      </c>
      <c r="C17" s="358" t="s">
        <v>37</v>
      </c>
      <c r="D17" s="294" t="s">
        <v>38</v>
      </c>
      <c r="E17" s="336"/>
      <c r="F17" s="294" t="s">
        <v>39</v>
      </c>
      <c r="G17" s="294" t="s">
        <v>40</v>
      </c>
      <c r="H17" s="294" t="s">
        <v>41</v>
      </c>
      <c r="I17" s="294" t="s">
        <v>42</v>
      </c>
      <c r="J17" s="294" t="s">
        <v>43</v>
      </c>
      <c r="K17" s="294" t="s">
        <v>44</v>
      </c>
      <c r="L17" s="294" t="s">
        <v>45</v>
      </c>
      <c r="M17" s="294" t="s">
        <v>46</v>
      </c>
      <c r="N17" s="294" t="s">
        <v>47</v>
      </c>
      <c r="O17" s="294" t="s">
        <v>48</v>
      </c>
      <c r="P17" s="294" t="s">
        <v>49</v>
      </c>
      <c r="Q17" s="335"/>
      <c r="R17" s="335"/>
      <c r="S17" s="335"/>
      <c r="T17" s="336"/>
      <c r="U17" s="453" t="s">
        <v>50</v>
      </c>
      <c r="V17" s="320"/>
      <c r="W17" s="294" t="s">
        <v>51</v>
      </c>
      <c r="X17" s="294" t="s">
        <v>52</v>
      </c>
      <c r="Y17" s="454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5"/>
      <c r="X18" s="295"/>
      <c r="Y18" s="455"/>
      <c r="Z18" s="410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62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72</v>
      </c>
      <c r="Q23" s="279"/>
      <c r="R23" s="279"/>
      <c r="S23" s="279"/>
      <c r="T23" s="279"/>
      <c r="U23" s="279"/>
      <c r="V23" s="28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72</v>
      </c>
      <c r="Q24" s="279"/>
      <c r="R24" s="279"/>
      <c r="S24" s="279"/>
      <c r="T24" s="279"/>
      <c r="U24" s="279"/>
      <c r="V24" s="28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74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75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76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28</v>
      </c>
      <c r="Y28" s="269">
        <f>IFERROR(IF(X28="","",X28),"")</f>
        <v>28</v>
      </c>
      <c r="Z28" s="36">
        <f>IFERROR(IF(X28="","",X28*0.00941),"")</f>
        <v>0.26347999999999999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53.810400000000001</v>
      </c>
      <c r="BN28" s="67">
        <f>IFERROR(Y28*I28,"0")</f>
        <v>53.810400000000001</v>
      </c>
      <c r="BO28" s="67">
        <f>IFERROR(X28/J28,"0")</f>
        <v>0.2</v>
      </c>
      <c r="BP28" s="67">
        <f>IFERROR(Y28/J28,"0")</f>
        <v>0.2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72</v>
      </c>
      <c r="Q30" s="279"/>
      <c r="R30" s="279"/>
      <c r="S30" s="279"/>
      <c r="T30" s="279"/>
      <c r="U30" s="279"/>
      <c r="V30" s="280"/>
      <c r="W30" s="37" t="s">
        <v>69</v>
      </c>
      <c r="X30" s="270">
        <f>IFERROR(SUM(X28:X29),"0")</f>
        <v>28</v>
      </c>
      <c r="Y30" s="270">
        <f>IFERROR(SUM(Y28:Y29),"0")</f>
        <v>28</v>
      </c>
      <c r="Z30" s="270">
        <f>IFERROR(IF(Z28="",0,Z28),"0")+IFERROR(IF(Z29="",0,Z29),"0")</f>
        <v>0.26347999999999999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72</v>
      </c>
      <c r="Q31" s="279"/>
      <c r="R31" s="279"/>
      <c r="S31" s="279"/>
      <c r="T31" s="279"/>
      <c r="U31" s="279"/>
      <c r="V31" s="280"/>
      <c r="W31" s="37" t="s">
        <v>73</v>
      </c>
      <c r="X31" s="270">
        <f>IFERROR(SUMPRODUCT(X28:X29*H28:H29),"0")</f>
        <v>42</v>
      </c>
      <c r="Y31" s="270">
        <f>IFERROR(SUMPRODUCT(Y28:Y29*H28:H29),"0")</f>
        <v>42</v>
      </c>
      <c r="Z31" s="37"/>
      <c r="AA31" s="271"/>
      <c r="AB31" s="271"/>
      <c r="AC31" s="271"/>
    </row>
    <row r="32" spans="1:68" ht="16.5" customHeight="1" x14ac:dyDescent="0.25">
      <c r="A32" s="281" t="s">
        <v>86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63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72</v>
      </c>
      <c r="Q37" s="279"/>
      <c r="R37" s="279"/>
      <c r="S37" s="279"/>
      <c r="T37" s="279"/>
      <c r="U37" s="279"/>
      <c r="V37" s="280"/>
      <c r="W37" s="37" t="s">
        <v>69</v>
      </c>
      <c r="X37" s="270">
        <f>IFERROR(SUM(X34:X36),"0")</f>
        <v>48</v>
      </c>
      <c r="Y37" s="270">
        <f>IFERROR(SUM(Y34:Y36),"0")</f>
        <v>48</v>
      </c>
      <c r="Z37" s="270">
        <f>IFERROR(IF(Z34="",0,Z34),"0")+IFERROR(IF(Z35="",0,Z35),"0")+IFERROR(IF(Z36="",0,Z36),"0")</f>
        <v>0.74399999999999999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72</v>
      </c>
      <c r="Q38" s="279"/>
      <c r="R38" s="279"/>
      <c r="S38" s="279"/>
      <c r="T38" s="279"/>
      <c r="U38" s="279"/>
      <c r="V38" s="280"/>
      <c r="W38" s="37" t="s">
        <v>73</v>
      </c>
      <c r="X38" s="270">
        <f>IFERROR(SUMPRODUCT(X34:X36*H34:H36),"0")</f>
        <v>268.79999999999995</v>
      </c>
      <c r="Y38" s="270">
        <f>IFERROR(SUMPRODUCT(Y34:Y36*H34:H36),"0")</f>
        <v>268.79999999999995</v>
      </c>
      <c r="Z38" s="37"/>
      <c r="AA38" s="271"/>
      <c r="AB38" s="271"/>
      <c r="AC38" s="271"/>
    </row>
    <row r="39" spans="1:68" ht="16.5" customHeight="1" x14ac:dyDescent="0.25">
      <c r="A39" s="281" t="s">
        <v>96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63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12</v>
      </c>
      <c r="Y42" s="269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24</v>
      </c>
      <c r="Y44" s="269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72</v>
      </c>
      <c r="Q45" s="279"/>
      <c r="R45" s="279"/>
      <c r="S45" s="279"/>
      <c r="T45" s="279"/>
      <c r="U45" s="279"/>
      <c r="V45" s="280"/>
      <c r="W45" s="37" t="s">
        <v>69</v>
      </c>
      <c r="X45" s="270">
        <f>IFERROR(SUM(X41:X44),"0")</f>
        <v>60</v>
      </c>
      <c r="Y45" s="270">
        <f>IFERROR(SUM(Y41:Y44),"0")</f>
        <v>60</v>
      </c>
      <c r="Z45" s="270">
        <f>IFERROR(IF(Z41="",0,Z41),"0")+IFERROR(IF(Z42="",0,Z42),"0")+IFERROR(IF(Z43="",0,Z43),"0")+IFERROR(IF(Z44="",0,Z44),"0")</f>
        <v>0.93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72</v>
      </c>
      <c r="Q46" s="279"/>
      <c r="R46" s="279"/>
      <c r="S46" s="279"/>
      <c r="T46" s="279"/>
      <c r="U46" s="279"/>
      <c r="V46" s="280"/>
      <c r="W46" s="37" t="s">
        <v>73</v>
      </c>
      <c r="X46" s="270">
        <f>IFERROR(SUMPRODUCT(X41:X44*H41:H44),"0")</f>
        <v>420</v>
      </c>
      <c r="Y46" s="270">
        <f>IFERROR(SUMPRODUCT(Y41:Y44*H41:H44),"0")</f>
        <v>420</v>
      </c>
      <c r="Z46" s="37"/>
      <c r="AA46" s="271"/>
      <c r="AB46" s="271"/>
      <c r="AC46" s="271"/>
    </row>
    <row r="47" spans="1:68" ht="16.5" customHeight="1" x14ac:dyDescent="0.25">
      <c r="A47" s="281" t="s">
        <v>107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63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72</v>
      </c>
      <c r="Q50" s="279"/>
      <c r="R50" s="279"/>
      <c r="S50" s="279"/>
      <c r="T50" s="279"/>
      <c r="U50" s="279"/>
      <c r="V50" s="28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72</v>
      </c>
      <c r="Q51" s="279"/>
      <c r="R51" s="279"/>
      <c r="S51" s="279"/>
      <c r="T51" s="279"/>
      <c r="U51" s="279"/>
      <c r="V51" s="28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76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72</v>
      </c>
      <c r="Q54" s="279"/>
      <c r="R54" s="279"/>
      <c r="S54" s="279"/>
      <c r="T54" s="279"/>
      <c r="U54" s="279"/>
      <c r="V54" s="28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72</v>
      </c>
      <c r="Q55" s="279"/>
      <c r="R55" s="279"/>
      <c r="S55" s="279"/>
      <c r="T55" s="279"/>
      <c r="U55" s="279"/>
      <c r="V55" s="28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72</v>
      </c>
      <c r="Q59" s="279"/>
      <c r="R59" s="279"/>
      <c r="S59" s="279"/>
      <c r="T59" s="279"/>
      <c r="U59" s="279"/>
      <c r="V59" s="28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72</v>
      </c>
      <c r="Q60" s="279"/>
      <c r="R60" s="279"/>
      <c r="S60" s="279"/>
      <c r="T60" s="279"/>
      <c r="U60" s="279"/>
      <c r="V60" s="28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120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72</v>
      </c>
      <c r="Q65" s="279"/>
      <c r="R65" s="279"/>
      <c r="S65" s="279"/>
      <c r="T65" s="279"/>
      <c r="U65" s="279"/>
      <c r="V65" s="28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72</v>
      </c>
      <c r="Q66" s="279"/>
      <c r="R66" s="279"/>
      <c r="S66" s="279"/>
      <c r="T66" s="279"/>
      <c r="U66" s="279"/>
      <c r="V66" s="28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1" t="s">
        <v>128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63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60</v>
      </c>
      <c r="Y70" s="269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72</v>
      </c>
      <c r="Q71" s="279"/>
      <c r="R71" s="279"/>
      <c r="S71" s="279"/>
      <c r="T71" s="279"/>
      <c r="U71" s="279"/>
      <c r="V71" s="280"/>
      <c r="W71" s="37" t="s">
        <v>69</v>
      </c>
      <c r="X71" s="270">
        <f>IFERROR(SUM(X69:X70),"0")</f>
        <v>60</v>
      </c>
      <c r="Y71" s="270">
        <f>IFERROR(SUM(Y69:Y70),"0")</f>
        <v>60</v>
      </c>
      <c r="Z71" s="270">
        <f>IFERROR(IF(Z69="",0,Z69),"0")+IFERROR(IF(Z70="",0,Z70),"0")</f>
        <v>0.51959999999999995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72</v>
      </c>
      <c r="Q72" s="279"/>
      <c r="R72" s="279"/>
      <c r="S72" s="279"/>
      <c r="T72" s="279"/>
      <c r="U72" s="279"/>
      <c r="V72" s="280"/>
      <c r="W72" s="37" t="s">
        <v>73</v>
      </c>
      <c r="X72" s="270">
        <f>IFERROR(SUMPRODUCT(X69:X70*H69:H70),"0")</f>
        <v>300</v>
      </c>
      <c r="Y72" s="270">
        <f>IFERROR(SUMPRODUCT(Y69:Y70*H69:H70),"0")</f>
        <v>300</v>
      </c>
      <c r="Z72" s="37"/>
      <c r="AA72" s="271"/>
      <c r="AB72" s="271"/>
      <c r="AC72" s="271"/>
    </row>
    <row r="73" spans="1:68" ht="16.5" customHeight="1" x14ac:dyDescent="0.25">
      <c r="A73" s="281" t="s">
        <v>135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120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72</v>
      </c>
      <c r="Q76" s="279"/>
      <c r="R76" s="279"/>
      <c r="S76" s="279"/>
      <c r="T76" s="279"/>
      <c r="U76" s="279"/>
      <c r="V76" s="280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72</v>
      </c>
      <c r="Q77" s="279"/>
      <c r="R77" s="279"/>
      <c r="S77" s="279"/>
      <c r="T77" s="279"/>
      <c r="U77" s="279"/>
      <c r="V77" s="280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1" t="s">
        <v>139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140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72</v>
      </c>
      <c r="Q82" s="279"/>
      <c r="R82" s="279"/>
      <c r="S82" s="279"/>
      <c r="T82" s="279"/>
      <c r="U82" s="279"/>
      <c r="V82" s="280"/>
      <c r="W82" s="37" t="s">
        <v>69</v>
      </c>
      <c r="X82" s="270">
        <f>IFERROR(SUM(X80:X81),"0")</f>
        <v>98</v>
      </c>
      <c r="Y82" s="270">
        <f>IFERROR(SUM(Y80:Y81),"0")</f>
        <v>98</v>
      </c>
      <c r="Z82" s="270">
        <f>IFERROR(IF(Z80="",0,Z80),"0")+IFERROR(IF(Z81="",0,Z81),"0")</f>
        <v>1.75224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72</v>
      </c>
      <c r="Q83" s="279"/>
      <c r="R83" s="279"/>
      <c r="S83" s="279"/>
      <c r="T83" s="279"/>
      <c r="U83" s="279"/>
      <c r="V83" s="280"/>
      <c r="W83" s="37" t="s">
        <v>73</v>
      </c>
      <c r="X83" s="270">
        <f>IFERROR(SUMPRODUCT(X80:X81*H80:H81),"0")</f>
        <v>352.8</v>
      </c>
      <c r="Y83" s="270">
        <f>IFERROR(SUMPRODUCT(Y80:Y81*H80:H81),"0")</f>
        <v>352.8</v>
      </c>
      <c r="Z83" s="37"/>
      <c r="AA83" s="271"/>
      <c r="AB83" s="271"/>
      <c r="AC83" s="271"/>
    </row>
    <row r="84" spans="1:68" ht="16.5" customHeight="1" x14ac:dyDescent="0.25">
      <c r="A84" s="281" t="s">
        <v>147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120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42</v>
      </c>
      <c r="Y86" s="269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42</v>
      </c>
      <c r="Y88" s="269">
        <f t="shared" si="0"/>
        <v>42</v>
      </c>
      <c r="Z88" s="36">
        <f t="shared" si="1"/>
        <v>0.75095999999999996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150.5112</v>
      </c>
      <c r="BN88" s="67">
        <f t="shared" si="3"/>
        <v>150.5112</v>
      </c>
      <c r="BO88" s="67">
        <f t="shared" si="4"/>
        <v>0.6</v>
      </c>
      <c r="BP88" s="67">
        <f t="shared" si="5"/>
        <v>0.6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28</v>
      </c>
      <c r="Y89" s="269">
        <f t="shared" si="0"/>
        <v>28</v>
      </c>
      <c r="Z89" s="36">
        <f t="shared" si="1"/>
        <v>0.50063999999999997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100.3408</v>
      </c>
      <c r="BN89" s="67">
        <f t="shared" si="3"/>
        <v>100.3408</v>
      </c>
      <c r="BO89" s="67">
        <f t="shared" si="4"/>
        <v>0.4</v>
      </c>
      <c r="BP89" s="67">
        <f t="shared" si="5"/>
        <v>0.4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14</v>
      </c>
      <c r="Y90" s="269">
        <f t="shared" si="0"/>
        <v>14</v>
      </c>
      <c r="Z90" s="36">
        <f t="shared" si="1"/>
        <v>0.25031999999999999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62.283200000000008</v>
      </c>
      <c r="BN90" s="67">
        <f t="shared" si="3"/>
        <v>62.283200000000008</v>
      </c>
      <c r="BO90" s="67">
        <f t="shared" si="4"/>
        <v>0.2</v>
      </c>
      <c r="BP90" s="67">
        <f t="shared" si="5"/>
        <v>0.2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67</v>
      </c>
      <c r="M91" s="33" t="s">
        <v>68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71</v>
      </c>
      <c r="AK91" s="71">
        <v>1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72</v>
      </c>
      <c r="Q92" s="279"/>
      <c r="R92" s="279"/>
      <c r="S92" s="279"/>
      <c r="T92" s="279"/>
      <c r="U92" s="279"/>
      <c r="V92" s="280"/>
      <c r="W92" s="37" t="s">
        <v>69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3.2541599999999997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72</v>
      </c>
      <c r="Q93" s="279"/>
      <c r="R93" s="279"/>
      <c r="S93" s="279"/>
      <c r="T93" s="279"/>
      <c r="U93" s="279"/>
      <c r="V93" s="280"/>
      <c r="W93" s="37" t="s">
        <v>73</v>
      </c>
      <c r="X93" s="270">
        <f>IFERROR(SUMPRODUCT(X86:X91*H86:H91),"0")</f>
        <v>556.07999999999993</v>
      </c>
      <c r="Y93" s="270">
        <f>IFERROR(SUMPRODUCT(Y86:Y91*H86:H91),"0")</f>
        <v>556.07999999999993</v>
      </c>
      <c r="Z93" s="37"/>
      <c r="AA93" s="271"/>
      <c r="AB93" s="271"/>
      <c r="AC93" s="271"/>
    </row>
    <row r="94" spans="1:68" ht="16.5" customHeight="1" x14ac:dyDescent="0.25">
      <c r="A94" s="281" t="s">
        <v>162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72</v>
      </c>
      <c r="Q98" s="279"/>
      <c r="R98" s="279"/>
      <c r="S98" s="279"/>
      <c r="T98" s="279"/>
      <c r="U98" s="279"/>
      <c r="V98" s="280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72</v>
      </c>
      <c r="Q99" s="279"/>
      <c r="R99" s="279"/>
      <c r="S99" s="279"/>
      <c r="T99" s="279"/>
      <c r="U99" s="279"/>
      <c r="V99" s="280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1" t="s">
        <v>168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36</v>
      </c>
      <c r="Y104" s="269">
        <f t="shared" si="6"/>
        <v>36</v>
      </c>
      <c r="Z104" s="36">
        <f t="shared" si="7"/>
        <v>0.55800000000000005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262.8</v>
      </c>
      <c r="BN104" s="67">
        <f t="shared" si="9"/>
        <v>262.8</v>
      </c>
      <c r="BO104" s="67">
        <f t="shared" si="10"/>
        <v>0.42857142857142855</v>
      </c>
      <c r="BP104" s="67">
        <f t="shared" si="11"/>
        <v>0.42857142857142855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108</v>
      </c>
      <c r="Y107" s="269">
        <f t="shared" si="6"/>
        <v>108</v>
      </c>
      <c r="Z107" s="36">
        <f t="shared" si="7"/>
        <v>1.6739999999999999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788.4</v>
      </c>
      <c r="BN107" s="67">
        <f t="shared" si="9"/>
        <v>788.4</v>
      </c>
      <c r="BO107" s="67">
        <f t="shared" si="10"/>
        <v>1.2857142857142858</v>
      </c>
      <c r="BP107" s="67">
        <f t="shared" si="11"/>
        <v>1.2857142857142858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7"/>
      <c r="P109" s="278" t="s">
        <v>72</v>
      </c>
      <c r="Q109" s="279"/>
      <c r="R109" s="279"/>
      <c r="S109" s="279"/>
      <c r="T109" s="279"/>
      <c r="U109" s="279"/>
      <c r="V109" s="280"/>
      <c r="W109" s="37" t="s">
        <v>69</v>
      </c>
      <c r="X109" s="270">
        <f>IFERROR(SUM(X102:X108),"0")</f>
        <v>156</v>
      </c>
      <c r="Y109" s="270">
        <f>IFERROR(SUM(Y102:Y108),"0")</f>
        <v>156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2.4180000000000001</v>
      </c>
      <c r="AA109" s="271"/>
      <c r="AB109" s="271"/>
      <c r="AC109" s="271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72</v>
      </c>
      <c r="Q110" s="279"/>
      <c r="R110" s="279"/>
      <c r="S110" s="279"/>
      <c r="T110" s="279"/>
      <c r="U110" s="279"/>
      <c r="V110" s="280"/>
      <c r="W110" s="37" t="s">
        <v>73</v>
      </c>
      <c r="X110" s="270">
        <f>IFERROR(SUMPRODUCT(X102:X108*H102:H108),"0")</f>
        <v>1092</v>
      </c>
      <c r="Y110" s="270">
        <f>IFERROR(SUMPRODUCT(Y102:Y108*H102:H108),"0")</f>
        <v>1092</v>
      </c>
      <c r="Z110" s="37"/>
      <c r="AA110" s="271"/>
      <c r="AB110" s="271"/>
      <c r="AC110" s="271"/>
    </row>
    <row r="111" spans="1:68" ht="14.25" customHeight="1" x14ac:dyDescent="0.25">
      <c r="A111" s="304" t="s">
        <v>120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2"/>
      <c r="AB111" s="262"/>
      <c r="AC111" s="262"/>
    </row>
    <row r="112" spans="1:68" ht="27" customHeight="1" x14ac:dyDescent="0.25">
      <c r="A112" s="54" t="s">
        <v>186</v>
      </c>
      <c r="B112" s="54" t="s">
        <v>187</v>
      </c>
      <c r="C112" s="31">
        <v>4301135670</v>
      </c>
      <c r="D112" s="272">
        <v>4620207490983</v>
      </c>
      <c r="E112" s="273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72</v>
      </c>
      <c r="Q114" s="279"/>
      <c r="R114" s="279"/>
      <c r="S114" s="279"/>
      <c r="T114" s="279"/>
      <c r="U114" s="279"/>
      <c r="V114" s="280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72</v>
      </c>
      <c r="Q115" s="279"/>
      <c r="R115" s="279"/>
      <c r="S115" s="279"/>
      <c r="T115" s="279"/>
      <c r="U115" s="279"/>
      <c r="V115" s="280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192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193</v>
      </c>
      <c r="B117" s="54" t="s">
        <v>194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72</v>
      </c>
      <c r="Q118" s="279"/>
      <c r="R118" s="279"/>
      <c r="S118" s="279"/>
      <c r="T118" s="279"/>
      <c r="U118" s="279"/>
      <c r="V118" s="280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72</v>
      </c>
      <c r="Q119" s="279"/>
      <c r="R119" s="279"/>
      <c r="S119" s="279"/>
      <c r="T119" s="279"/>
      <c r="U119" s="279"/>
      <c r="V119" s="280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196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120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42</v>
      </c>
      <c r="Y122" s="269">
        <f>IFERROR(IF(X122="","",X122),"")</f>
        <v>42</v>
      </c>
      <c r="Z122" s="36">
        <f>IFERROR(IF(X122="","",X122*0.01788),"")</f>
        <v>0.75095999999999996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155.55119999999999</v>
      </c>
      <c r="BN122" s="67">
        <f>IFERROR(Y122*I122,"0")</f>
        <v>155.55119999999999</v>
      </c>
      <c r="BO122" s="67">
        <f>IFERROR(X122/J122,"0")</f>
        <v>0.6</v>
      </c>
      <c r="BP122" s="67">
        <f>IFERROR(Y122/J122,"0")</f>
        <v>0.6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69</v>
      </c>
      <c r="X123" s="268">
        <v>56</v>
      </c>
      <c r="Y123" s="269">
        <f>IFERROR(IF(X123="","",X123),"")</f>
        <v>56</v>
      </c>
      <c r="Z123" s="36">
        <f>IFERROR(IF(X123="","",X123*0.01788),"")</f>
        <v>1.0012799999999999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207.40159999999997</v>
      </c>
      <c r="BN123" s="67">
        <f>IFERROR(Y123*I123,"0")</f>
        <v>207.40159999999997</v>
      </c>
      <c r="BO123" s="67">
        <f>IFERROR(X123/J123,"0")</f>
        <v>0.8</v>
      </c>
      <c r="BP123" s="67">
        <f>IFERROR(Y123/J123,"0")</f>
        <v>0.8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72</v>
      </c>
      <c r="Q124" s="279"/>
      <c r="R124" s="279"/>
      <c r="S124" s="279"/>
      <c r="T124" s="279"/>
      <c r="U124" s="279"/>
      <c r="V124" s="280"/>
      <c r="W124" s="37" t="s">
        <v>69</v>
      </c>
      <c r="X124" s="270">
        <f>IFERROR(SUM(X122:X123),"0")</f>
        <v>98</v>
      </c>
      <c r="Y124" s="270">
        <f>IFERROR(SUM(Y122:Y123),"0")</f>
        <v>98</v>
      </c>
      <c r="Z124" s="270">
        <f>IFERROR(IF(Z122="",0,Z122),"0")+IFERROR(IF(Z123="",0,Z123),"0")</f>
        <v>1.75224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72</v>
      </c>
      <c r="Q125" s="279"/>
      <c r="R125" s="279"/>
      <c r="S125" s="279"/>
      <c r="T125" s="279"/>
      <c r="U125" s="279"/>
      <c r="V125" s="280"/>
      <c r="W125" s="37" t="s">
        <v>73</v>
      </c>
      <c r="X125" s="270">
        <f>IFERROR(SUMPRODUCT(X122:X123*H122:H123),"0")</f>
        <v>294</v>
      </c>
      <c r="Y125" s="270">
        <f>IFERROR(SUMPRODUCT(Y122:Y123*H122:H123),"0")</f>
        <v>294</v>
      </c>
      <c r="Z125" s="37"/>
      <c r="AA125" s="271"/>
      <c r="AB125" s="271"/>
      <c r="AC125" s="271"/>
    </row>
    <row r="126" spans="1:68" ht="16.5" customHeight="1" x14ac:dyDescent="0.25">
      <c r="A126" s="281" t="s">
        <v>204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120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69</v>
      </c>
      <c r="X129" s="268">
        <v>28</v>
      </c>
      <c r="Y129" s="269">
        <f>IFERROR(IF(X129="","",X129),"")</f>
        <v>28</v>
      </c>
      <c r="Z129" s="36">
        <f>IFERROR(IF(X129="","",X129*0.01788),"")</f>
        <v>0.50063999999999997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103.70079999999999</v>
      </c>
      <c r="BN129" s="67">
        <f>IFERROR(Y129*I129,"0")</f>
        <v>103.70079999999999</v>
      </c>
      <c r="BO129" s="67">
        <f>IFERROR(X129/J129,"0")</f>
        <v>0.4</v>
      </c>
      <c r="BP129" s="67">
        <f>IFERROR(Y129/J129,"0")</f>
        <v>0.4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72</v>
      </c>
      <c r="Q130" s="279"/>
      <c r="R130" s="279"/>
      <c r="S130" s="279"/>
      <c r="T130" s="279"/>
      <c r="U130" s="279"/>
      <c r="V130" s="280"/>
      <c r="W130" s="37" t="s">
        <v>69</v>
      </c>
      <c r="X130" s="270">
        <f>IFERROR(SUM(X128:X129),"0")</f>
        <v>28</v>
      </c>
      <c r="Y130" s="270">
        <f>IFERROR(SUM(Y128:Y129),"0")</f>
        <v>28</v>
      </c>
      <c r="Z130" s="270">
        <f>IFERROR(IF(Z128="",0,Z128),"0")+IFERROR(IF(Z129="",0,Z129),"0")</f>
        <v>0.50063999999999997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72</v>
      </c>
      <c r="Q131" s="279"/>
      <c r="R131" s="279"/>
      <c r="S131" s="279"/>
      <c r="T131" s="279"/>
      <c r="U131" s="279"/>
      <c r="V131" s="280"/>
      <c r="W131" s="37" t="s">
        <v>73</v>
      </c>
      <c r="X131" s="270">
        <f>IFERROR(SUMPRODUCT(X128:X129*H128:H129),"0")</f>
        <v>84</v>
      </c>
      <c r="Y131" s="270">
        <f>IFERROR(SUMPRODUCT(Y128:Y129*H128:H129),"0")</f>
        <v>84</v>
      </c>
      <c r="Z131" s="37"/>
      <c r="AA131" s="271"/>
      <c r="AB131" s="271"/>
      <c r="AC131" s="271"/>
    </row>
    <row r="132" spans="1:68" ht="16.5" customHeight="1" x14ac:dyDescent="0.25">
      <c r="A132" s="281" t="s">
        <v>211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120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69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199</v>
      </c>
      <c r="AG135" s="67"/>
      <c r="AJ135" s="71" t="s">
        <v>71</v>
      </c>
      <c r="AK135" s="71">
        <v>1</v>
      </c>
      <c r="BB135" s="163" t="s">
        <v>83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72</v>
      </c>
      <c r="Q136" s="279"/>
      <c r="R136" s="279"/>
      <c r="S136" s="279"/>
      <c r="T136" s="279"/>
      <c r="U136" s="279"/>
      <c r="V136" s="280"/>
      <c r="W136" s="37" t="s">
        <v>69</v>
      </c>
      <c r="X136" s="270">
        <f>IFERROR(SUM(X134:X135),"0")</f>
        <v>28</v>
      </c>
      <c r="Y136" s="270">
        <f>IFERROR(SUM(Y134:Y135),"0")</f>
        <v>28</v>
      </c>
      <c r="Z136" s="270">
        <f>IFERROR(IF(Z134="",0,Z134),"0")+IFERROR(IF(Z135="",0,Z135),"0")</f>
        <v>0.50063999999999997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72</v>
      </c>
      <c r="Q137" s="279"/>
      <c r="R137" s="279"/>
      <c r="S137" s="279"/>
      <c r="T137" s="279"/>
      <c r="U137" s="279"/>
      <c r="V137" s="280"/>
      <c r="W137" s="37" t="s">
        <v>73</v>
      </c>
      <c r="X137" s="270">
        <f>IFERROR(SUMPRODUCT(X134:X135*H134:H135),"0")</f>
        <v>67.2</v>
      </c>
      <c r="Y137" s="270">
        <f>IFERROR(SUMPRODUCT(Y134:Y135*H134:H135),"0")</f>
        <v>67.2</v>
      </c>
      <c r="Z137" s="37"/>
      <c r="AA137" s="271"/>
      <c r="AB137" s="271"/>
      <c r="AC137" s="271"/>
    </row>
    <row r="138" spans="1:68" ht="16.5" customHeight="1" x14ac:dyDescent="0.25">
      <c r="A138" s="281" t="s">
        <v>216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120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72</v>
      </c>
      <c r="Q141" s="279"/>
      <c r="R141" s="279"/>
      <c r="S141" s="279"/>
      <c r="T141" s="279"/>
      <c r="U141" s="279"/>
      <c r="V141" s="280"/>
      <c r="W141" s="37" t="s">
        <v>69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72</v>
      </c>
      <c r="Q142" s="279"/>
      <c r="R142" s="279"/>
      <c r="S142" s="279"/>
      <c r="T142" s="279"/>
      <c r="U142" s="279"/>
      <c r="V142" s="280"/>
      <c r="W142" s="37" t="s">
        <v>73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customHeight="1" x14ac:dyDescent="0.25">
      <c r="A143" s="281" t="s">
        <v>220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120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71</v>
      </c>
      <c r="AK145" s="71">
        <v>1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72</v>
      </c>
      <c r="Q146" s="279"/>
      <c r="R146" s="279"/>
      <c r="S146" s="279"/>
      <c r="T146" s="279"/>
      <c r="U146" s="279"/>
      <c r="V146" s="280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72</v>
      </c>
      <c r="Q147" s="279"/>
      <c r="R147" s="279"/>
      <c r="S147" s="279"/>
      <c r="T147" s="279"/>
      <c r="U147" s="279"/>
      <c r="V147" s="280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223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192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67</v>
      </c>
      <c r="M150" s="33" t="s">
        <v>68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71</v>
      </c>
      <c r="AK150" s="71">
        <v>1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72</v>
      </c>
      <c r="Q151" s="279"/>
      <c r="R151" s="279"/>
      <c r="S151" s="279"/>
      <c r="T151" s="279"/>
      <c r="U151" s="279"/>
      <c r="V151" s="280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72</v>
      </c>
      <c r="Q152" s="279"/>
      <c r="R152" s="279"/>
      <c r="S152" s="279"/>
      <c r="T152" s="279"/>
      <c r="U152" s="279"/>
      <c r="V152" s="280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1" t="s">
        <v>228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120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69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72</v>
      </c>
      <c r="Q156" s="279"/>
      <c r="R156" s="279"/>
      <c r="S156" s="279"/>
      <c r="T156" s="279"/>
      <c r="U156" s="279"/>
      <c r="V156" s="280"/>
      <c r="W156" s="37" t="s">
        <v>69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72</v>
      </c>
      <c r="Q157" s="279"/>
      <c r="R157" s="279"/>
      <c r="S157" s="279"/>
      <c r="T157" s="279"/>
      <c r="U157" s="279"/>
      <c r="V157" s="280"/>
      <c r="W157" s="37" t="s">
        <v>73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232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233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63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69</v>
      </c>
      <c r="X162" s="268">
        <v>84</v>
      </c>
      <c r="Y162" s="269">
        <f>IFERROR(IF(X162="","",X162),"")</f>
        <v>84</v>
      </c>
      <c r="Z162" s="36">
        <f>IFERROR(IF(X162="","",X162*0.00866),"")</f>
        <v>0.72743999999999998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437.90879999999999</v>
      </c>
      <c r="BN162" s="67">
        <f>IFERROR(Y162*I162,"0")</f>
        <v>437.90879999999999</v>
      </c>
      <c r="BO162" s="67">
        <f>IFERROR(X162/J162,"0")</f>
        <v>0.58333333333333337</v>
      </c>
      <c r="BP162" s="67">
        <f>IFERROR(Y162/J162,"0")</f>
        <v>0.58333333333333337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72</v>
      </c>
      <c r="Q163" s="279"/>
      <c r="R163" s="279"/>
      <c r="S163" s="279"/>
      <c r="T163" s="279"/>
      <c r="U163" s="279"/>
      <c r="V163" s="280"/>
      <c r="W163" s="37" t="s">
        <v>69</v>
      </c>
      <c r="X163" s="270">
        <f>IFERROR(SUM(X161:X162),"0")</f>
        <v>84</v>
      </c>
      <c r="Y163" s="270">
        <f>IFERROR(SUM(Y161:Y162),"0")</f>
        <v>84</v>
      </c>
      <c r="Z163" s="270">
        <f>IFERROR(IF(Z161="",0,Z161),"0")+IFERROR(IF(Z162="",0,Z162),"0")</f>
        <v>0.72743999999999998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72</v>
      </c>
      <c r="Q164" s="279"/>
      <c r="R164" s="279"/>
      <c r="S164" s="279"/>
      <c r="T164" s="279"/>
      <c r="U164" s="279"/>
      <c r="V164" s="280"/>
      <c r="W164" s="37" t="s">
        <v>73</v>
      </c>
      <c r="X164" s="270">
        <f>IFERROR(SUMPRODUCT(X161:X162*H161:H162),"0")</f>
        <v>420</v>
      </c>
      <c r="Y164" s="270">
        <f>IFERROR(SUMPRODUCT(Y161:Y162*H161:H162),"0")</f>
        <v>420</v>
      </c>
      <c r="Z164" s="37"/>
      <c r="AA164" s="271"/>
      <c r="AB164" s="271"/>
      <c r="AC164" s="271"/>
    </row>
    <row r="165" spans="1:68" ht="27.75" customHeight="1" x14ac:dyDescent="0.2">
      <c r="A165" s="321" t="s">
        <v>240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241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76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28</v>
      </c>
      <c r="Y168" s="269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72</v>
      </c>
      <c r="Q171" s="279"/>
      <c r="R171" s="279"/>
      <c r="S171" s="279"/>
      <c r="T171" s="279"/>
      <c r="U171" s="279"/>
      <c r="V171" s="280"/>
      <c r="W171" s="37" t="s">
        <v>69</v>
      </c>
      <c r="X171" s="270">
        <f>IFERROR(SUM(X168:X170),"0")</f>
        <v>70</v>
      </c>
      <c r="Y171" s="270">
        <f>IFERROR(SUM(Y168:Y170),"0")</f>
        <v>70</v>
      </c>
      <c r="Z171" s="270">
        <f>IFERROR(IF(Z168="",0,Z168),"0")+IFERROR(IF(Z169="",0,Z169),"0")+IFERROR(IF(Z170="",0,Z170),"0")</f>
        <v>1.2515999999999998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72</v>
      </c>
      <c r="Q172" s="279"/>
      <c r="R172" s="279"/>
      <c r="S172" s="279"/>
      <c r="T172" s="279"/>
      <c r="U172" s="279"/>
      <c r="V172" s="280"/>
      <c r="W172" s="37" t="s">
        <v>73</v>
      </c>
      <c r="X172" s="270">
        <f>IFERROR(SUMPRODUCT(X168:X170*H168:H170),"0")</f>
        <v>210</v>
      </c>
      <c r="Y172" s="270">
        <f>IFERROR(SUMPRODUCT(Y168:Y170*H168:H170),"0")</f>
        <v>210</v>
      </c>
      <c r="Z172" s="37"/>
      <c r="AA172" s="271"/>
      <c r="AB172" s="271"/>
      <c r="AC172" s="271"/>
    </row>
    <row r="173" spans="1:68" ht="14.25" customHeight="1" x14ac:dyDescent="0.25">
      <c r="A173" s="304" t="s">
        <v>251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52" t="s">
        <v>256</v>
      </c>
      <c r="Q174" s="284"/>
      <c r="R174" s="284"/>
      <c r="S174" s="284"/>
      <c r="T174" s="285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72</v>
      </c>
      <c r="Q175" s="279"/>
      <c r="R175" s="279"/>
      <c r="S175" s="279"/>
      <c r="T175" s="279"/>
      <c r="U175" s="279"/>
      <c r="V175" s="280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72</v>
      </c>
      <c r="Q176" s="279"/>
      <c r="R176" s="279"/>
      <c r="S176" s="279"/>
      <c r="T176" s="279"/>
      <c r="U176" s="279"/>
      <c r="V176" s="280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259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260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76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72</v>
      </c>
      <c r="Q181" s="279"/>
      <c r="R181" s="279"/>
      <c r="S181" s="279"/>
      <c r="T181" s="279"/>
      <c r="U181" s="279"/>
      <c r="V181" s="280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72</v>
      </c>
      <c r="Q182" s="279"/>
      <c r="R182" s="279"/>
      <c r="S182" s="279"/>
      <c r="T182" s="279"/>
      <c r="U182" s="279"/>
      <c r="V182" s="280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120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7" t="s">
        <v>269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72</v>
      </c>
      <c r="Q188" s="279"/>
      <c r="R188" s="279"/>
      <c r="S188" s="279"/>
      <c r="T188" s="279"/>
      <c r="U188" s="279"/>
      <c r="V188" s="280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72</v>
      </c>
      <c r="Q189" s="279"/>
      <c r="R189" s="279"/>
      <c r="S189" s="279"/>
      <c r="T189" s="279"/>
      <c r="U189" s="279"/>
      <c r="V189" s="280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276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72</v>
      </c>
      <c r="Q196" s="279"/>
      <c r="R196" s="279"/>
      <c r="S196" s="279"/>
      <c r="T196" s="279"/>
      <c r="U196" s="279"/>
      <c r="V196" s="280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72</v>
      </c>
      <c r="Q197" s="279"/>
      <c r="R197" s="279"/>
      <c r="S197" s="279"/>
      <c r="T197" s="279"/>
      <c r="U197" s="279"/>
      <c r="V197" s="280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customHeight="1" x14ac:dyDescent="0.25">
      <c r="A198" s="281" t="s">
        <v>286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63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24</v>
      </c>
      <c r="Y200" s="269">
        <f>IFERROR(IF(X200="","",X200),"")</f>
        <v>24</v>
      </c>
      <c r="Z200" s="36">
        <f>IFERROR(IF(X200="","",X200*0.0155),"")</f>
        <v>0.372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125.52000000000001</v>
      </c>
      <c r="BN200" s="67">
        <f>IFERROR(Y200*I200,"0")</f>
        <v>125.52000000000001</v>
      </c>
      <c r="BO200" s="67">
        <f>IFERROR(X200/J200,"0")</f>
        <v>0.2857142857142857</v>
      </c>
      <c r="BP200" s="67">
        <f>IFERROR(Y200/J200,"0")</f>
        <v>0.2857142857142857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72</v>
      </c>
      <c r="Q201" s="279"/>
      <c r="R201" s="279"/>
      <c r="S201" s="279"/>
      <c r="T201" s="279"/>
      <c r="U201" s="279"/>
      <c r="V201" s="280"/>
      <c r="W201" s="37" t="s">
        <v>69</v>
      </c>
      <c r="X201" s="270">
        <f>IFERROR(SUM(X200:X200),"0")</f>
        <v>24</v>
      </c>
      <c r="Y201" s="270">
        <f>IFERROR(SUM(Y200:Y200),"0")</f>
        <v>24</v>
      </c>
      <c r="Z201" s="270">
        <f>IFERROR(IF(Z200="",0,Z200),"0")</f>
        <v>0.372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72</v>
      </c>
      <c r="Q202" s="279"/>
      <c r="R202" s="279"/>
      <c r="S202" s="279"/>
      <c r="T202" s="279"/>
      <c r="U202" s="279"/>
      <c r="V202" s="280"/>
      <c r="W202" s="37" t="s">
        <v>73</v>
      </c>
      <c r="X202" s="270">
        <f>IFERROR(SUMPRODUCT(X200:X200*H200:H200),"0")</f>
        <v>120</v>
      </c>
      <c r="Y202" s="270">
        <f>IFERROR(SUMPRODUCT(Y200:Y200*H200:H200),"0")</f>
        <v>120</v>
      </c>
      <c r="Z202" s="37"/>
      <c r="AA202" s="271"/>
      <c r="AB202" s="271"/>
      <c r="AC202" s="271"/>
    </row>
    <row r="203" spans="1:68" ht="16.5" customHeight="1" x14ac:dyDescent="0.25">
      <c r="A203" s="281" t="s">
        <v>290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63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72</v>
      </c>
      <c r="Q206" s="279"/>
      <c r="R206" s="279"/>
      <c r="S206" s="279"/>
      <c r="T206" s="279"/>
      <c r="U206" s="279"/>
      <c r="V206" s="28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72</v>
      </c>
      <c r="Q207" s="279"/>
      <c r="R207" s="279"/>
      <c r="S207" s="279"/>
      <c r="T207" s="279"/>
      <c r="U207" s="279"/>
      <c r="V207" s="28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120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72</v>
      </c>
      <c r="Q212" s="279"/>
      <c r="R212" s="279"/>
      <c r="S212" s="279"/>
      <c r="T212" s="279"/>
      <c r="U212" s="279"/>
      <c r="V212" s="280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72</v>
      </c>
      <c r="Q213" s="279"/>
      <c r="R213" s="279"/>
      <c r="S213" s="279"/>
      <c r="T213" s="279"/>
      <c r="U213" s="279"/>
      <c r="V213" s="280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1" t="s">
        <v>301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63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72</v>
      </c>
      <c r="Q218" s="279"/>
      <c r="R218" s="279"/>
      <c r="S218" s="279"/>
      <c r="T218" s="279"/>
      <c r="U218" s="279"/>
      <c r="V218" s="28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72</v>
      </c>
      <c r="Q219" s="279"/>
      <c r="R219" s="279"/>
      <c r="S219" s="279"/>
      <c r="T219" s="279"/>
      <c r="U219" s="279"/>
      <c r="V219" s="28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307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308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63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72</v>
      </c>
      <c r="Q224" s="279"/>
      <c r="R224" s="279"/>
      <c r="S224" s="279"/>
      <c r="T224" s="279"/>
      <c r="U224" s="279"/>
      <c r="V224" s="28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72</v>
      </c>
      <c r="Q225" s="279"/>
      <c r="R225" s="279"/>
      <c r="S225" s="279"/>
      <c r="T225" s="279"/>
      <c r="U225" s="279"/>
      <c r="V225" s="28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312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313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63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24</v>
      </c>
      <c r="Y229" s="269">
        <f>IFERROR(IF(X229="","",X229),"")</f>
        <v>24</v>
      </c>
      <c r="Z229" s="36">
        <f>IFERROR(IF(X229="","",X229*0.0155),"")</f>
        <v>0.372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126.28799999999998</v>
      </c>
      <c r="BN229" s="67">
        <f>IFERROR(Y229*I229,"0")</f>
        <v>126.28799999999998</v>
      </c>
      <c r="BO229" s="67">
        <f>IFERROR(X229/J229,"0")</f>
        <v>0.2857142857142857</v>
      </c>
      <c r="BP229" s="67">
        <f>IFERROR(Y229/J229,"0")</f>
        <v>0.2857142857142857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72</v>
      </c>
      <c r="Q230" s="279"/>
      <c r="R230" s="279"/>
      <c r="S230" s="279"/>
      <c r="T230" s="279"/>
      <c r="U230" s="279"/>
      <c r="V230" s="280"/>
      <c r="W230" s="37" t="s">
        <v>69</v>
      </c>
      <c r="X230" s="270">
        <f>IFERROR(SUM(X229:X229),"0")</f>
        <v>24</v>
      </c>
      <c r="Y230" s="270">
        <f>IFERROR(SUM(Y229:Y229),"0")</f>
        <v>24</v>
      </c>
      <c r="Z230" s="270">
        <f>IFERROR(IF(Z229="",0,Z229),"0")</f>
        <v>0.372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72</v>
      </c>
      <c r="Q231" s="279"/>
      <c r="R231" s="279"/>
      <c r="S231" s="279"/>
      <c r="T231" s="279"/>
      <c r="U231" s="279"/>
      <c r="V231" s="280"/>
      <c r="W231" s="37" t="s">
        <v>73</v>
      </c>
      <c r="X231" s="270">
        <f>IFERROR(SUMPRODUCT(X229:X229*H229:H229),"0")</f>
        <v>120</v>
      </c>
      <c r="Y231" s="270">
        <f>IFERROR(SUMPRODUCT(Y229:Y229*H229:H229),"0")</f>
        <v>120</v>
      </c>
      <c r="Z231" s="37"/>
      <c r="AA231" s="271"/>
      <c r="AB231" s="271"/>
      <c r="AC231" s="271"/>
    </row>
    <row r="232" spans="1:68" ht="27.75" customHeight="1" x14ac:dyDescent="0.2">
      <c r="A232" s="321" t="s">
        <v>316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317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318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72</v>
      </c>
      <c r="Q236" s="279"/>
      <c r="R236" s="279"/>
      <c r="S236" s="279"/>
      <c r="T236" s="279"/>
      <c r="U236" s="279"/>
      <c r="V236" s="28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72</v>
      </c>
      <c r="Q237" s="279"/>
      <c r="R237" s="279"/>
      <c r="S237" s="279"/>
      <c r="T237" s="279"/>
      <c r="U237" s="279"/>
      <c r="V237" s="28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120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72</v>
      </c>
      <c r="Q240" s="279"/>
      <c r="R240" s="279"/>
      <c r="S240" s="279"/>
      <c r="T240" s="279"/>
      <c r="U240" s="279"/>
      <c r="V240" s="28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72</v>
      </c>
      <c r="Q241" s="279"/>
      <c r="R241" s="279"/>
      <c r="S241" s="279"/>
      <c r="T241" s="279"/>
      <c r="U241" s="279"/>
      <c r="V241" s="28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324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63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24</v>
      </c>
      <c r="Y246" s="269">
        <f>IFERROR(IF(X246="","",X246),"")</f>
        <v>24</v>
      </c>
      <c r="Z246" s="36">
        <f>IFERROR(IF(X246="","",X246*0.0155),"")</f>
        <v>0.372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174.72</v>
      </c>
      <c r="BN246" s="67">
        <f>IFERROR(Y246*I246,"0")</f>
        <v>174.72</v>
      </c>
      <c r="BO246" s="67">
        <f>IFERROR(X246/J246,"0")</f>
        <v>0.2857142857142857</v>
      </c>
      <c r="BP246" s="67">
        <f>IFERROR(Y246/J246,"0")</f>
        <v>0.2857142857142857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72</v>
      </c>
      <c r="Q248" s="279"/>
      <c r="R248" s="279"/>
      <c r="S248" s="279"/>
      <c r="T248" s="279"/>
      <c r="U248" s="279"/>
      <c r="V248" s="280"/>
      <c r="W248" s="37" t="s">
        <v>69</v>
      </c>
      <c r="X248" s="270">
        <f>IFERROR(SUM(X245:X247),"0")</f>
        <v>24</v>
      </c>
      <c r="Y248" s="270">
        <f>IFERROR(SUM(Y245:Y247),"0")</f>
        <v>24</v>
      </c>
      <c r="Z248" s="270">
        <f>IFERROR(IF(Z245="",0,Z245),"0")+IFERROR(IF(Z246="",0,Z246),"0")+IFERROR(IF(Z247="",0,Z247),"0")</f>
        <v>0.372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72</v>
      </c>
      <c r="Q249" s="279"/>
      <c r="R249" s="279"/>
      <c r="S249" s="279"/>
      <c r="T249" s="279"/>
      <c r="U249" s="279"/>
      <c r="V249" s="280"/>
      <c r="W249" s="37" t="s">
        <v>73</v>
      </c>
      <c r="X249" s="270">
        <f>IFERROR(SUMPRODUCT(X245:X247*H245:H247),"0")</f>
        <v>168</v>
      </c>
      <c r="Y249" s="270">
        <f>IFERROR(SUMPRODUCT(Y245:Y247*H245:H247),"0")</f>
        <v>168</v>
      </c>
      <c r="Z249" s="37"/>
      <c r="AA249" s="271"/>
      <c r="AB249" s="271"/>
      <c r="AC249" s="271"/>
    </row>
    <row r="250" spans="1:68" ht="14.25" customHeight="1" x14ac:dyDescent="0.25">
      <c r="A250" s="304" t="s">
        <v>76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72</v>
      </c>
      <c r="Q253" s="279"/>
      <c r="R253" s="279"/>
      <c r="S253" s="279"/>
      <c r="T253" s="279"/>
      <c r="U253" s="279"/>
      <c r="V253" s="280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72</v>
      </c>
      <c r="Q254" s="279"/>
      <c r="R254" s="279"/>
      <c r="S254" s="279"/>
      <c r="T254" s="279"/>
      <c r="U254" s="279"/>
      <c r="V254" s="280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304" t="s">
        <v>114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72</v>
      </c>
      <c r="Q259" s="279"/>
      <c r="R259" s="279"/>
      <c r="S259" s="279"/>
      <c r="T259" s="279"/>
      <c r="U259" s="279"/>
      <c r="V259" s="280"/>
      <c r="W259" s="37" t="s">
        <v>69</v>
      </c>
      <c r="X259" s="270">
        <f>IFERROR(SUM(X256:X258),"0")</f>
        <v>60</v>
      </c>
      <c r="Y259" s="270">
        <f>IFERROR(SUM(Y256:Y258),"0")</f>
        <v>60</v>
      </c>
      <c r="Z259" s="270">
        <f>IFERROR(IF(Z256="",0,Z256),"0")+IFERROR(IF(Z257="",0,Z257),"0")+IFERROR(IF(Z258="",0,Z258),"0")</f>
        <v>0.92999999999999994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72</v>
      </c>
      <c r="Q260" s="279"/>
      <c r="R260" s="279"/>
      <c r="S260" s="279"/>
      <c r="T260" s="279"/>
      <c r="U260" s="279"/>
      <c r="V260" s="280"/>
      <c r="W260" s="37" t="s">
        <v>73</v>
      </c>
      <c r="X260" s="270">
        <f>IFERROR(SUMPRODUCT(X256:X258*H256:H258),"0")</f>
        <v>300</v>
      </c>
      <c r="Y260" s="270">
        <f>IFERROR(SUMPRODUCT(Y256:Y258*H256:H258),"0")</f>
        <v>300</v>
      </c>
      <c r="Z260" s="37"/>
      <c r="AA260" s="271"/>
      <c r="AB260" s="271"/>
      <c r="AC260" s="271"/>
    </row>
    <row r="261" spans="1:68" ht="14.25" customHeight="1" x14ac:dyDescent="0.25">
      <c r="A261" s="304" t="s">
        <v>120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350</v>
      </c>
      <c r="AG265" s="67"/>
      <c r="AJ265" s="71" t="s">
        <v>71</v>
      </c>
      <c r="AK265" s="71">
        <v>1</v>
      </c>
      <c r="BB265" s="247" t="s">
        <v>83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67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71</v>
      </c>
      <c r="AK266" s="71">
        <v>1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72</v>
      </c>
      <c r="Q272" s="279"/>
      <c r="R272" s="279"/>
      <c r="S272" s="279"/>
      <c r="T272" s="279"/>
      <c r="U272" s="279"/>
      <c r="V272" s="280"/>
      <c r="W272" s="37" t="s">
        <v>69</v>
      </c>
      <c r="X272" s="270">
        <f>IFERROR(SUM(X262:X271),"0")</f>
        <v>28</v>
      </c>
      <c r="Y272" s="270">
        <f>IFERROR(SUM(Y262:Y271),"0")</f>
        <v>28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0.26207999999999998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72</v>
      </c>
      <c r="Q273" s="279"/>
      <c r="R273" s="279"/>
      <c r="S273" s="279"/>
      <c r="T273" s="279"/>
      <c r="U273" s="279"/>
      <c r="V273" s="280"/>
      <c r="W273" s="37" t="s">
        <v>73</v>
      </c>
      <c r="X273" s="270">
        <f>IFERROR(SUMPRODUCT(X262:X271*H262:H271),"0")</f>
        <v>84</v>
      </c>
      <c r="Y273" s="270">
        <f>IFERROR(SUMPRODUCT(Y262:Y271*H262:H271),"0")</f>
        <v>84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367</v>
      </c>
      <c r="Q274" s="319"/>
      <c r="R274" s="319"/>
      <c r="S274" s="319"/>
      <c r="T274" s="319"/>
      <c r="U274" s="319"/>
      <c r="V274" s="320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4937.5199999999995</v>
      </c>
      <c r="Y274" s="270">
        <f>IFERROR(Y24+Y31+Y38+Y46+Y51+Y55+Y60+Y66+Y72+Y77+Y83+Y93+Y99+Y110+Y115+Y119+Y125+Y131+Y137+Y142+Y147+Y152+Y157+Y164+Y172+Y176+Y182+Y189+Y197+Y202+Y207+Y213+Y219+Y225+Y231+Y237+Y241+Y249+Y254+Y260+Y273,"0")</f>
        <v>4937.5199999999995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368</v>
      </c>
      <c r="Q275" s="319"/>
      <c r="R275" s="319"/>
      <c r="S275" s="319"/>
      <c r="T275" s="319"/>
      <c r="U275" s="319"/>
      <c r="V275" s="320"/>
      <c r="W275" s="37" t="s">
        <v>73</v>
      </c>
      <c r="X275" s="270">
        <f>IFERROR(SUM(BM22:BM271),"0")</f>
        <v>5422.304000000001</v>
      </c>
      <c r="Y275" s="270">
        <f>IFERROR(SUM(BN22:BN271),"0")</f>
        <v>5422.304000000001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369</v>
      </c>
      <c r="Q276" s="319"/>
      <c r="R276" s="319"/>
      <c r="S276" s="319"/>
      <c r="T276" s="319"/>
      <c r="U276" s="319"/>
      <c r="V276" s="320"/>
      <c r="W276" s="37" t="s">
        <v>370</v>
      </c>
      <c r="X276" s="38">
        <f>ROUNDUP(SUM(BO22:BO271),0)</f>
        <v>14</v>
      </c>
      <c r="Y276" s="38">
        <f>ROUNDUP(SUM(BP22:BP271),0)</f>
        <v>14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371</v>
      </c>
      <c r="Q277" s="319"/>
      <c r="R277" s="319"/>
      <c r="S277" s="319"/>
      <c r="T277" s="319"/>
      <c r="U277" s="319"/>
      <c r="V277" s="320"/>
      <c r="W277" s="37" t="s">
        <v>73</v>
      </c>
      <c r="X277" s="270">
        <f>GrossWeightTotal+PalletQtyTotal*25</f>
        <v>5772.304000000001</v>
      </c>
      <c r="Y277" s="270">
        <f>GrossWeightTotalR+PalletQtyTotalR*25</f>
        <v>5772.304000000001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372</v>
      </c>
      <c r="Q278" s="319"/>
      <c r="R278" s="319"/>
      <c r="S278" s="319"/>
      <c r="T278" s="319"/>
      <c r="U278" s="319"/>
      <c r="V278" s="320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1114</v>
      </c>
      <c r="Y278" s="270">
        <f>IFERROR(Y23+Y30+Y37+Y45+Y50+Y54+Y59+Y65+Y71+Y76+Y82+Y92+Y98+Y109+Y114+Y118+Y124+Y130+Y136+Y141+Y146+Y151+Y156+Y163+Y171+Y175+Y181+Y188+Y196+Y201+Y206+Y212+Y218+Y224+Y230+Y236+Y240+Y248+Y253+Y259+Y272,"0")</f>
        <v>1114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373</v>
      </c>
      <c r="Q279" s="319"/>
      <c r="R279" s="319"/>
      <c r="S279" s="319"/>
      <c r="T279" s="319"/>
      <c r="U279" s="319"/>
      <c r="V279" s="320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17.172440000000002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4" t="s">
        <v>74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232</v>
      </c>
      <c r="V281" s="260" t="s">
        <v>240</v>
      </c>
      <c r="W281" s="274" t="s">
        <v>259</v>
      </c>
      <c r="X281" s="309"/>
      <c r="Y281" s="309"/>
      <c r="Z281" s="309"/>
      <c r="AA281" s="310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301" t="s">
        <v>376</v>
      </c>
      <c r="B282" s="274" t="s">
        <v>62</v>
      </c>
      <c r="C282" s="274" t="s">
        <v>75</v>
      </c>
      <c r="D282" s="274" t="s">
        <v>86</v>
      </c>
      <c r="E282" s="274" t="s">
        <v>96</v>
      </c>
      <c r="F282" s="274" t="s">
        <v>107</v>
      </c>
      <c r="G282" s="274" t="s">
        <v>128</v>
      </c>
      <c r="H282" s="274" t="s">
        <v>135</v>
      </c>
      <c r="I282" s="274" t="s">
        <v>139</v>
      </c>
      <c r="J282" s="274" t="s">
        <v>147</v>
      </c>
      <c r="K282" s="274" t="s">
        <v>162</v>
      </c>
      <c r="L282" s="274" t="s">
        <v>168</v>
      </c>
      <c r="M282" s="274" t="s">
        <v>196</v>
      </c>
      <c r="N282" s="261"/>
      <c r="O282" s="274" t="s">
        <v>204</v>
      </c>
      <c r="P282" s="274" t="s">
        <v>211</v>
      </c>
      <c r="Q282" s="274" t="s">
        <v>216</v>
      </c>
      <c r="R282" s="274" t="s">
        <v>220</v>
      </c>
      <c r="S282" s="274" t="s">
        <v>223</v>
      </c>
      <c r="T282" s="274" t="s">
        <v>228</v>
      </c>
      <c r="U282" s="274" t="s">
        <v>233</v>
      </c>
      <c r="V282" s="274" t="s">
        <v>241</v>
      </c>
      <c r="W282" s="274" t="s">
        <v>260</v>
      </c>
      <c r="X282" s="274" t="s">
        <v>276</v>
      </c>
      <c r="Y282" s="274" t="s">
        <v>286</v>
      </c>
      <c r="Z282" s="274" t="s">
        <v>290</v>
      </c>
      <c r="AA282" s="274" t="s">
        <v>301</v>
      </c>
      <c r="AB282" s="274" t="s">
        <v>308</v>
      </c>
      <c r="AC282" s="274" t="s">
        <v>313</v>
      </c>
      <c r="AD282" s="274" t="s">
        <v>317</v>
      </c>
      <c r="AE282" s="274" t="s">
        <v>324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42</v>
      </c>
      <c r="D284" s="46">
        <f>IFERROR(X34*H34,"0")+IFERROR(X35*H35,"0")+IFERROR(X36*H36,"0")</f>
        <v>268.79999999999995</v>
      </c>
      <c r="E284" s="46">
        <f>IFERROR(X41*H41,"0")+IFERROR(X42*H42,"0")+IFERROR(X43*H43,"0")+IFERROR(X44*H44,"0")</f>
        <v>420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300</v>
      </c>
      <c r="H284" s="46">
        <f>IFERROR(X75*H75,"0")</f>
        <v>0</v>
      </c>
      <c r="I284" s="46">
        <f>IFERROR(X80*H80,"0")+IFERROR(X81*H81,"0")</f>
        <v>352.8</v>
      </c>
      <c r="J284" s="46">
        <f>IFERROR(X86*H86,"0")+IFERROR(X87*H87,"0")+IFERROR(X88*H88,"0")+IFERROR(X89*H89,"0")+IFERROR(X90*H90,"0")+IFERROR(X91*H91,"0")</f>
        <v>556.07999999999993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1092</v>
      </c>
      <c r="M284" s="46">
        <f>IFERROR(X122*H122,"0")+IFERROR(X123*H123,"0")</f>
        <v>294</v>
      </c>
      <c r="N284" s="261"/>
      <c r="O284" s="46">
        <f>IFERROR(X128*H128,"0")+IFERROR(X129*H129,"0")</f>
        <v>84</v>
      </c>
      <c r="P284" s="46">
        <f>IFERROR(X134*H134,"0")+IFERROR(X135*H135,"0")</f>
        <v>67.2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420</v>
      </c>
      <c r="V284" s="46">
        <f>IFERROR(X168*H168,"0")+IFERROR(X169*H169,"0")+IFERROR(X170*H170,"0")+IFERROR(X174*H174,"0")</f>
        <v>210</v>
      </c>
      <c r="W284" s="46">
        <f>IFERROR(X180*H180,"0")+IFERROR(X184*H184,"0")+IFERROR(X185*H185,"0")+IFERROR(X186*H186,"0")+IFERROR(X187*H187,"0")</f>
        <v>38.64</v>
      </c>
      <c r="X284" s="46">
        <f>IFERROR(X192*H192,"0")+IFERROR(X193*H193,"0")+IFERROR(X194*H194,"0")+IFERROR(X195*H195,"0")</f>
        <v>0</v>
      </c>
      <c r="Y284" s="46">
        <f>IFERROR(X200*H200,"0")</f>
        <v>120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120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552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2908.8</v>
      </c>
      <c r="B287" s="60">
        <f>SUMPRODUCT(--(BB:BB="ПГП"),--(W:W="кор"),H:H,Y:Y)+SUMPRODUCT(--(BB:BB="ПГП"),--(W:W="кг"),Y:Y)</f>
        <v>2028.72</v>
      </c>
      <c r="C287" s="60">
        <f>SUMPRODUCT(--(BB:BB="КИЗ"),--(W:W="кор"),H:H,Y:Y)+SUMPRODUCT(--(BB:BB="КИЗ"),--(W:W="кг"),Y:Y)</f>
        <v>0</v>
      </c>
    </row>
  </sheetData>
  <sheetProtection algorithmName="SHA-512" hashValue="+lH4fr7cDfDukX1hmT+h9q4bHFSjFFMEzdUpJt90yLTbPflxfqVUk6lgB08XX5qKcSN7RvW8i8rs2uuqryfLEw==" saltValue="rACsCHWag8IS7iYeg3N3G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107:T107"/>
    <mergeCell ref="D150:E150"/>
    <mergeCell ref="P50:V50"/>
    <mergeCell ref="A233:Z233"/>
    <mergeCell ref="D271:E271"/>
    <mergeCell ref="P249:V249"/>
    <mergeCell ref="P172:V172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A5:C5"/>
    <mergeCell ref="P51:V51"/>
    <mergeCell ref="A17:A18"/>
    <mergeCell ref="K17:K18"/>
    <mergeCell ref="P195:T195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64:E264"/>
    <mergeCell ref="D251:E251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A95:Z95"/>
    <mergeCell ref="A68:Z68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A234:Z234"/>
    <mergeCell ref="A244:Z244"/>
    <mergeCell ref="A100:Z100"/>
    <mergeCell ref="A165:Z165"/>
    <mergeCell ref="P125:V125"/>
    <mergeCell ref="P192:T192"/>
    <mergeCell ref="P277:V27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3 X117 X128 X134:X135 X145 X150 X161 X174 X184:X187 X192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12 X122 X129 X140 X155 X162 X168:X170 X180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kcBGxEkl4u1RyQc2vosPxBpeGAoNR122I7TFuxrNjVvqQraldMnS6q56fyVq1ZKhXMT7RdrnBHZpUV/QhlVAA==" saltValue="qQ5WW1MVisB+gYPr4maM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