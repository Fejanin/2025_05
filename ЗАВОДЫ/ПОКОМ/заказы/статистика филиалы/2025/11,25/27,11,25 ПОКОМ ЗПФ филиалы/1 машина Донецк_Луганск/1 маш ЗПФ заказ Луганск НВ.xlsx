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1 машина Донецк_Луганск\"/>
    </mc:Choice>
  </mc:AlternateContent>
  <xr:revisionPtr revIDLastSave="0" documentId="13_ncr:1_{681FBB1F-0658-499C-AE40-D45BEE00C0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Y196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Y189" i="1" s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Z171" i="1" s="1"/>
  <c r="Y169" i="1"/>
  <c r="P169" i="1"/>
  <c r="BO168" i="1"/>
  <c r="BM168" i="1"/>
  <c r="Z168" i="1"/>
  <c r="Y168" i="1"/>
  <c r="P168" i="1"/>
  <c r="Y164" i="1"/>
  <c r="X164" i="1"/>
  <c r="Z163" i="1"/>
  <c r="X163" i="1"/>
  <c r="BO162" i="1"/>
  <c r="BM162" i="1"/>
  <c r="Z162" i="1"/>
  <c r="Y162" i="1"/>
  <c r="P162" i="1"/>
  <c r="BP161" i="1"/>
  <c r="BO161" i="1"/>
  <c r="BN161" i="1"/>
  <c r="BM161" i="1"/>
  <c r="Z161" i="1"/>
  <c r="Y161" i="1"/>
  <c r="Y163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Z279" i="1" s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<sst xmlns="http://schemas.openxmlformats.org/spreadsheetml/2006/main" count="1229" uniqueCount="396">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</sst>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3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36</v>
      </c>
      <c r="Y35" s="269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36</v>
      </c>
      <c r="Y36" s="269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96</v>
      </c>
      <c r="Y37" s="270">
        <f>IFERROR(SUM(Y34:Y36),"0")</f>
        <v>96</v>
      </c>
      <c r="Z37" s="270">
        <f>IFERROR(IF(Z34="",0,Z34),"0")+IFERROR(IF(Z35="",0,Z35),"0")+IFERROR(IF(Z36="",0,Z36),"0")</f>
        <v>1.488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537.6</v>
      </c>
      <c r="Y38" s="270">
        <f>IFERROR(SUMPRODUCT(Y34:Y36*H34:H36),"0")</f>
        <v>537.6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24</v>
      </c>
      <c r="Y45" s="270">
        <f>IFERROR(SUM(Y41:Y44),"0")</f>
        <v>24</v>
      </c>
      <c r="Z45" s="270">
        <f>IFERROR(IF(Z41="",0,Z41),"0")+IFERROR(IF(Z42="",0,Z42),"0")+IFERROR(IF(Z43="",0,Z43),"0")+IFERROR(IF(Z44="",0,Z44),"0")</f>
        <v>0.372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168</v>
      </c>
      <c r="Y46" s="270">
        <f>IFERROR(SUMPRODUCT(Y41:Y44*H41:H44),"0")</f>
        <v>168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128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12</v>
      </c>
      <c r="Y71" s="270">
        <f>IFERROR(SUM(Y69:Y70),"0")</f>
        <v>12</v>
      </c>
      <c r="Z71" s="270">
        <f>IFERROR(IF(Z69="",0,Z69),"0")+IFERROR(IF(Z70="",0,Z70),"0")</f>
        <v>0.10391999999999998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60</v>
      </c>
      <c r="Y72" s="270">
        <f>IFERROR(SUMPRODUCT(Y69:Y70*H69:H70),"0")</f>
        <v>60</v>
      </c>
      <c r="Z72" s="37"/>
      <c r="AA72" s="271"/>
      <c r="AB72" s="271"/>
      <c r="AC72" s="271"/>
    </row>
    <row r="73" spans="1:68" ht="16.5" customHeight="1" x14ac:dyDescent="0.25">
      <c r="A73" s="281" t="s">
        <v>135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1" t="s">
        <v>139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140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112</v>
      </c>
      <c r="Y82" s="270">
        <f>IFERROR(SUM(Y80:Y81),"0")</f>
        <v>112</v>
      </c>
      <c r="Z82" s="270">
        <f>IFERROR(IF(Z80="",0,Z80),"0")+IFERROR(IF(Z81="",0,Z81),"0")</f>
        <v>2.0025599999999999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403.2</v>
      </c>
      <c r="Y83" s="270">
        <f>IFERROR(SUMPRODUCT(Y80:Y81*H80:H81),"0")</f>
        <v>403.2</v>
      </c>
      <c r="Z83" s="37"/>
      <c r="AA83" s="271"/>
      <c r="AB83" s="271"/>
      <c r="AC83" s="271"/>
    </row>
    <row r="84" spans="1:68" ht="16.5" customHeight="1" x14ac:dyDescent="0.25">
      <c r="A84" s="281" t="s">
        <v>147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56</v>
      </c>
      <c r="Y88" s="269">
        <f t="shared" si="0"/>
        <v>56</v>
      </c>
      <c r="Z88" s="36">
        <f t="shared" si="1"/>
        <v>1.0012799999999999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200.6816</v>
      </c>
      <c r="BN88" s="67">
        <f t="shared" si="3"/>
        <v>200.6816</v>
      </c>
      <c r="BO88" s="67">
        <f t="shared" si="4"/>
        <v>0.8</v>
      </c>
      <c r="BP88" s="67">
        <f t="shared" si="5"/>
        <v>0.8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2.2528799999999998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381.36</v>
      </c>
      <c r="Y93" s="270">
        <f>IFERROR(SUMPRODUCT(Y86:Y91*H86:H91),"0")</f>
        <v>381.36</v>
      </c>
      <c r="Z93" s="37"/>
      <c r="AA93" s="271"/>
      <c r="AB93" s="271"/>
      <c r="AC93" s="271"/>
    </row>
    <row r="94" spans="1:68" ht="16.5" customHeight="1" x14ac:dyDescent="0.25">
      <c r="A94" s="281" t="s">
        <v>162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56</v>
      </c>
      <c r="Y96" s="269">
        <f>IFERROR(IF(X96="","",X96),"")</f>
        <v>56</v>
      </c>
      <c r="Z96" s="36">
        <f>IFERROR(IF(X96="","",X96*0.00936),"")</f>
        <v>0.52415999999999996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139.50720000000001</v>
      </c>
      <c r="BN96" s="67">
        <f>IFERROR(Y96*I96,"0")</f>
        <v>139.50720000000001</v>
      </c>
      <c r="BO96" s="67">
        <f>IFERROR(X96/J96,"0")</f>
        <v>0.44444444444444442</v>
      </c>
      <c r="BP96" s="67">
        <f>IFERROR(Y96/J96,"0")</f>
        <v>0.44444444444444442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84</v>
      </c>
      <c r="Y98" s="270">
        <f>IFERROR(SUM(Y96:Y97),"0")</f>
        <v>84</v>
      </c>
      <c r="Z98" s="270">
        <f>IFERROR(IF(Z96="",0,Z96),"0")+IFERROR(IF(Z97="",0,Z97),"0")</f>
        <v>1.0247999999999999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221.76</v>
      </c>
      <c r="Y99" s="270">
        <f>IFERROR(SUMPRODUCT(Y96:Y97*H96:H97),"0")</f>
        <v>221.76</v>
      </c>
      <c r="Z99" s="37"/>
      <c r="AA99" s="271"/>
      <c r="AB99" s="271"/>
      <c r="AC99" s="271"/>
    </row>
    <row r="100" spans="1:68" ht="16.5" customHeight="1" x14ac:dyDescent="0.25">
      <c r="A100" s="281" t="s">
        <v>168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12</v>
      </c>
      <c r="Y109" s="270">
        <f>IFERROR(SUM(Y102:Y108),"0")</f>
        <v>12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0.186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76.800000000000011</v>
      </c>
      <c r="Y110" s="270">
        <f>IFERROR(SUMPRODUCT(Y102:Y108*H102:H108),"0")</f>
        <v>76.800000000000011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186</v>
      </c>
      <c r="B112" s="54" t="s">
        <v>187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14</v>
      </c>
      <c r="Y114" s="270">
        <f>IFERROR(SUM(Y112:Y113),"0")</f>
        <v>14</v>
      </c>
      <c r="Z114" s="270">
        <f>IFERROR(IF(Z112="",0,Z112),"0")+IFERROR(IF(Z113="",0,Z113),"0")</f>
        <v>0.25031999999999999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36.96</v>
      </c>
      <c r="Y115" s="270">
        <f>IFERROR(SUMPRODUCT(Y112:Y113*H112:H113),"0")</f>
        <v>36.96</v>
      </c>
      <c r="Z115" s="37"/>
      <c r="AA115" s="271"/>
      <c r="AB115" s="271"/>
      <c r="AC115" s="271"/>
    </row>
    <row r="116" spans="1:68" ht="14.25" customHeight="1" x14ac:dyDescent="0.25">
      <c r="A116" s="304" t="s">
        <v>192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193</v>
      </c>
      <c r="B117" s="54" t="s">
        <v>194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196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14</v>
      </c>
      <c r="Y122" s="269">
        <f>IFERROR(IF(X122="","",X122),"")</f>
        <v>14</v>
      </c>
      <c r="Z122" s="36">
        <f>IFERROR(IF(X122="","",X122*0.01788),"")</f>
        <v>0.25031999999999999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51.850399999999993</v>
      </c>
      <c r="BN122" s="67">
        <f>IFERROR(Y122*I122,"0")</f>
        <v>51.850399999999993</v>
      </c>
      <c r="BO122" s="67">
        <f>IFERROR(X122/J122,"0")</f>
        <v>0.2</v>
      </c>
      <c r="BP122" s="67">
        <f>IFERROR(Y122/J122,"0")</f>
        <v>0.2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42</v>
      </c>
      <c r="Y123" s="269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56</v>
      </c>
      <c r="Y124" s="270">
        <f>IFERROR(SUM(Y122:Y123),"0")</f>
        <v>56</v>
      </c>
      <c r="Z124" s="270">
        <f>IFERROR(IF(Z122="",0,Z122),"0")+IFERROR(IF(Z123="",0,Z123),"0")</f>
        <v>1.0012799999999999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168</v>
      </c>
      <c r="Y125" s="270">
        <f>IFERROR(SUMPRODUCT(Y122:Y123*H122:H123),"0")</f>
        <v>168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70</v>
      </c>
      <c r="Y129" s="269">
        <f>IFERROR(IF(X129="","",X129),"")</f>
        <v>70</v>
      </c>
      <c r="Z129" s="36">
        <f>IFERROR(IF(X129="","",X129*0.01788),"")</f>
        <v>1.2516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259.25200000000001</v>
      </c>
      <c r="BN129" s="67">
        <f>IFERROR(Y129*I129,"0")</f>
        <v>259.25200000000001</v>
      </c>
      <c r="BO129" s="67">
        <f>IFERROR(X129/J129,"0")</f>
        <v>1</v>
      </c>
      <c r="BP129" s="67">
        <f>IFERROR(Y129/J129,"0")</f>
        <v>1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199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192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196</v>
      </c>
      <c r="Y155" s="269">
        <f>IFERROR(IF(X155="","",X155),"")</f>
        <v>196</v>
      </c>
      <c r="Z155" s="36">
        <f>IFERROR(IF(X155="","",X155*0.00941),"")</f>
        <v>1.84436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411.95279999999997</v>
      </c>
      <c r="BN155" s="67">
        <f>IFERROR(Y155*I155,"0")</f>
        <v>411.95279999999997</v>
      </c>
      <c r="BO155" s="67">
        <f>IFERROR(X155/J155,"0")</f>
        <v>1.4</v>
      </c>
      <c r="BP155" s="67">
        <f>IFERROR(Y155/J155,"0")</f>
        <v>1.4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196</v>
      </c>
      <c r="Y156" s="270">
        <f>IFERROR(SUM(Y155:Y155),"0")</f>
        <v>196</v>
      </c>
      <c r="Z156" s="270">
        <f>IFERROR(IF(Z155="",0,Z155),"0")</f>
        <v>1.84436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329.28</v>
      </c>
      <c r="Y157" s="270">
        <f>IFERROR(SUMPRODUCT(Y155:Y155*H155:H155),"0")</f>
        <v>329.28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24</v>
      </c>
      <c r="Y162" s="269">
        <f>IFERROR(IF(X162="","",X162),"")</f>
        <v>24</v>
      </c>
      <c r="Z162" s="36">
        <f>IFERROR(IF(X162="","",X162*0.00866),"")</f>
        <v>0.20783999999999997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125.11679999999998</v>
      </c>
      <c r="BN162" s="67">
        <f>IFERROR(Y162*I162,"0")</f>
        <v>125.11679999999998</v>
      </c>
      <c r="BO162" s="67">
        <f>IFERROR(X162/J162,"0")</f>
        <v>0.16666666666666666</v>
      </c>
      <c r="BP162" s="67">
        <f>IFERROR(Y162/J162,"0")</f>
        <v>0.16666666666666666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24</v>
      </c>
      <c r="Y163" s="270">
        <f>IFERROR(SUM(Y161:Y162),"0")</f>
        <v>24</v>
      </c>
      <c r="Z163" s="270">
        <f>IFERROR(IF(Z161="",0,Z161),"0")+IFERROR(IF(Z162="",0,Z162),"0")</f>
        <v>0.20783999999999997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120</v>
      </c>
      <c r="Y164" s="270">
        <f>IFERROR(SUMPRODUCT(Y161:Y162*H161:H162),"0")</f>
        <v>120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56</v>
      </c>
      <c r="Y168" s="269">
        <f>IFERROR(IF(X168="","",X168),"")</f>
        <v>56</v>
      </c>
      <c r="Z168" s="36">
        <f>IFERROR(IF(X168="","",X168*0.01788),"")</f>
        <v>1.0012799999999999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189.72800000000001</v>
      </c>
      <c r="BN168" s="67">
        <f>IFERROR(Y168*I168,"0")</f>
        <v>189.72800000000001</v>
      </c>
      <c r="BO168" s="67">
        <f>IFERROR(X168/J168,"0")</f>
        <v>0.8</v>
      </c>
      <c r="BP168" s="67">
        <f>IFERROR(Y168/J168,"0")</f>
        <v>0.8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84</v>
      </c>
      <c r="Y171" s="270">
        <f>IFERROR(SUM(Y168:Y170),"0")</f>
        <v>84</v>
      </c>
      <c r="Z171" s="270">
        <f>IFERROR(IF(Z168="",0,Z168),"0")+IFERROR(IF(Z169="",0,Z169),"0")+IFERROR(IF(Z170="",0,Z170),"0")</f>
        <v>1.5019199999999999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252</v>
      </c>
      <c r="Y172" s="270">
        <f>IFERROR(SUMPRODUCT(Y168:Y170*H168:H170),"0")</f>
        <v>252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144</v>
      </c>
      <c r="Y200" s="269">
        <f>IFERROR(IF(X200="","",X200),"")</f>
        <v>144</v>
      </c>
      <c r="Z200" s="36">
        <f>IFERROR(IF(X200="","",X200*0.0155),"")</f>
        <v>2.2320000000000002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753.12000000000012</v>
      </c>
      <c r="BN200" s="67">
        <f>IFERROR(Y200*I200,"0")</f>
        <v>753.12000000000012</v>
      </c>
      <c r="BO200" s="67">
        <f>IFERROR(X200/J200,"0")</f>
        <v>1.7142857142857142</v>
      </c>
      <c r="BP200" s="67">
        <f>IFERROR(Y200/J200,"0")</f>
        <v>1.7142857142857142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144</v>
      </c>
      <c r="Y201" s="270">
        <f>IFERROR(SUM(Y200:Y200),"0")</f>
        <v>144</v>
      </c>
      <c r="Z201" s="270">
        <f>IFERROR(IF(Z200="",0,Z200),"0")</f>
        <v>2.2320000000000002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720</v>
      </c>
      <c r="Y202" s="270">
        <f>IFERROR(SUMPRODUCT(Y200:Y200*H200:H200),"0")</f>
        <v>720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84</v>
      </c>
      <c r="Y257" s="269">
        <f>IFERROR(IF(X257="","",X257),"")</f>
        <v>84</v>
      </c>
      <c r="Z257" s="36">
        <f>IFERROR(IF(X257="","",X257*0.0155),"")</f>
        <v>1.302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439.74</v>
      </c>
      <c r="BN257" s="67">
        <f>IFERROR(Y257*I257,"0")</f>
        <v>439.74</v>
      </c>
      <c r="BO257" s="67">
        <f>IFERROR(X257/J257,"0")</f>
        <v>1</v>
      </c>
      <c r="BP257" s="67">
        <f>IFERROR(Y257/J257,"0")</f>
        <v>1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84</v>
      </c>
      <c r="Y259" s="270">
        <f>IFERROR(SUM(Y256:Y258),"0")</f>
        <v>84</v>
      </c>
      <c r="Z259" s="270">
        <f>IFERROR(IF(Z256="",0,Z256),"0")+IFERROR(IF(Z257="",0,Z257),"0")+IFERROR(IF(Z258="",0,Z258),"0")</f>
        <v>1.302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420</v>
      </c>
      <c r="Y260" s="270">
        <f>IFERROR(SUMPRODUCT(Y256:Y258*H256:H258),"0")</f>
        <v>420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84</v>
      </c>
      <c r="Y263" s="269">
        <f t="shared" si="12"/>
        <v>84</v>
      </c>
      <c r="Z263" s="36">
        <f>IFERROR(IF(X263="","",X263*0.00936),"")</f>
        <v>0.78624000000000005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326.928</v>
      </c>
      <c r="BN263" s="67">
        <f t="shared" si="14"/>
        <v>326.928</v>
      </c>
      <c r="BO263" s="67">
        <f t="shared" si="15"/>
        <v>0.66666666666666663</v>
      </c>
      <c r="BP263" s="67">
        <f t="shared" si="16"/>
        <v>0.66666666666666663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48</v>
      </c>
      <c r="Y264" s="269">
        <f t="shared" si="12"/>
        <v>48</v>
      </c>
      <c r="Z264" s="36">
        <f>IFERROR(IF(X264="","",X264*0.0155),"")</f>
        <v>0.74399999999999999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275.28000000000003</v>
      </c>
      <c r="BN264" s="67">
        <f t="shared" si="14"/>
        <v>275.28000000000003</v>
      </c>
      <c r="BO264" s="67">
        <f t="shared" si="15"/>
        <v>0.5714285714285714</v>
      </c>
      <c r="BP264" s="67">
        <f t="shared" si="16"/>
        <v>0.5714285714285714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202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84</v>
      </c>
      <c r="Y266" s="269">
        <f t="shared" si="12"/>
        <v>84</v>
      </c>
      <c r="Z266" s="36">
        <f t="shared" si="17"/>
        <v>0.78624000000000005</v>
      </c>
      <c r="AA266" s="56"/>
      <c r="AB266" s="57"/>
      <c r="AC266" s="248" t="s">
        <v>347</v>
      </c>
      <c r="AG266" s="67"/>
      <c r="AJ266" s="71" t="s">
        <v>203</v>
      </c>
      <c r="AK266" s="71">
        <v>126</v>
      </c>
      <c r="BB266" s="249" t="s">
        <v>83</v>
      </c>
      <c r="BM266" s="67">
        <f t="shared" si="13"/>
        <v>326.928</v>
      </c>
      <c r="BN266" s="67">
        <f t="shared" si="14"/>
        <v>326.928</v>
      </c>
      <c r="BO266" s="67">
        <f t="shared" si="15"/>
        <v>0.66666666666666663</v>
      </c>
      <c r="BP266" s="67">
        <f t="shared" si="16"/>
        <v>0.66666666666666663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230</v>
      </c>
      <c r="Y272" s="270">
        <f>IFERROR(SUM(Y262:Y271),"0")</f>
        <v>230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2.4475199999999999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927.59999999999991</v>
      </c>
      <c r="Y273" s="270">
        <f>IFERROR(SUMPRODUCT(Y262:Y271*H262:H271),"0")</f>
        <v>927.59999999999991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5919.6</v>
      </c>
      <c r="Y274" s="270">
        <f>IFERROR(Y24+Y31+Y38+Y46+Y51+Y55+Y60+Y66+Y72+Y77+Y83+Y93+Y99+Y110+Y115+Y119+Y125+Y131+Y137+Y142+Y147+Y152+Y157+Y164+Y172+Y176+Y182+Y189+Y197+Y202+Y207+Y213+Y219+Y225+Y231+Y237+Y241+Y249+Y254+Y260+Y273,"0")</f>
        <v>5919.6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6567.9807999999985</v>
      </c>
      <c r="Y275" s="270">
        <f>IFERROR(SUM(BN22:BN271),"0")</f>
        <v>6567.9807999999985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7017.9807999999985</v>
      </c>
      <c r="Y277" s="270">
        <f>GrossWeightTotalR+PalletQtyTotalR*25</f>
        <v>7017.9807999999985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1562</v>
      </c>
      <c r="Y278" s="270">
        <f>IFERROR(Y23+Y30+Y37+Y45+Y50+Y54+Y59+Y65+Y71+Y76+Y82+Y92+Y98+Y109+Y114+Y118+Y124+Y130+Y136+Y141+Y146+Y151+Y156+Y163+Y171+Y175+Y181+Y188+Y196+Y201+Y206+Y212+Y218+Y224+Y230+Y236+Y240+Y248+Y253+Y259+Y272,"0")</f>
        <v>1562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22.709239999999998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128</v>
      </c>
      <c r="H282" s="274" t="s">
        <v>135</v>
      </c>
      <c r="I282" s="274" t="s">
        <v>139</v>
      </c>
      <c r="J282" s="274" t="s">
        <v>147</v>
      </c>
      <c r="K282" s="274" t="s">
        <v>162</v>
      </c>
      <c r="L282" s="274" t="s">
        <v>168</v>
      </c>
      <c r="M282" s="274" t="s">
        <v>196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537.6</v>
      </c>
      <c r="E284" s="46">
        <f>IFERROR(X41*H41,"0")+IFERROR(X42*H42,"0")+IFERROR(X43*H43,"0")+IFERROR(X44*H44,"0")</f>
        <v>168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60</v>
      </c>
      <c r="H284" s="46">
        <f>IFERROR(X75*H75,"0")</f>
        <v>50.4</v>
      </c>
      <c r="I284" s="46">
        <f>IFERROR(X80*H80,"0")+IFERROR(X81*H81,"0")</f>
        <v>403.2</v>
      </c>
      <c r="J284" s="46">
        <f>IFERROR(X86*H86,"0")+IFERROR(X87*H87,"0")+IFERROR(X88*H88,"0")+IFERROR(X89*H89,"0")+IFERROR(X90*H90,"0")+IFERROR(X91*H91,"0")</f>
        <v>381.36</v>
      </c>
      <c r="K284" s="46">
        <f>IFERROR(X96*H96,"0")+IFERROR(X97*H97,"0")</f>
        <v>221.76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113.76000000000002</v>
      </c>
      <c r="M284" s="46">
        <f>IFERROR(X122*H122,"0")+IFERROR(X123*H123,"0")</f>
        <v>168</v>
      </c>
      <c r="N284" s="261"/>
      <c r="O284" s="46">
        <f>IFERROR(X128*H128,"0")+IFERROR(X129*H129,"0")</f>
        <v>294</v>
      </c>
      <c r="P284" s="46">
        <f>IFERROR(X134*H134,"0")+IFERROR(X135*H135,"0")</f>
        <v>33.6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329.28</v>
      </c>
      <c r="U284" s="46">
        <f>IFERROR(X161*H161,"0")+IFERROR(X162*H162,"0")</f>
        <v>120</v>
      </c>
      <c r="V284" s="46">
        <f>IFERROR(X168*H168,"0")+IFERROR(X169*H169,"0")+IFERROR(X170*H170,"0")+IFERROR(X174*H174,"0")</f>
        <v>252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172.8</v>
      </c>
      <c r="Y284" s="46">
        <f>IFERROR(X200*H200,"0")</f>
        <v>720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1779.6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1855.2000000000003</v>
      </c>
      <c r="B287" s="60">
        <f>SUMPRODUCT(--(BB:BB="ПГП"),--(W:W="кор"),H:H,Y:Y)+SUMPRODUCT(--(BB:BB="ПГП"),--(W:W="кг"),Y:Y)</f>
        <v>4064.4</v>
      </c>
      <c r="C287" s="60">
        <f>SUMPRODUCT(--(BB:BB="КИЗ"),--(W:W="кор"),H:H,Y:Y)+SUMPRODUCT(--(BB:BB="КИЗ"),--(W:W="кг"),Y:Y)</f>
        <v>0</v>
      </c>
    </row>
  </sheetData>
  <sheetProtection algorithmName="SHA-512" hashValue="Q0pB6qcIrpuR9rS++yZKh4OU8lxppT/JGVr0NNSh4QT+l/ckCxOf3zS7MM1AIDohhkw6t/9//SE1AjPkx1uMVg==" saltValue="fOXDAs31qw9yxL/TvtcTj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3 X117 X128 X134 X161 X174 X185 X187 X192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12 X122 X129 X135 X140 X145 X150 X155 X162 X168:X170 X180 X184 X186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6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/eGL3CPNUpWmP+FkxMeuK4vNReOQtyCufcVfaVovovX6svTIbuDR4sFdednw6jMmB4ee9J8nM7gmNSTbu5qZtQ==" saltValue="6lbT8R9TL6NepVRof8DH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