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A502E52C-7497-4808-B224-01BE41DD35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6" i="1" l="1"/>
  <c r="U6" i="1" s="1"/>
  <c r="AJ6" i="1" l="1"/>
  <c r="Q6" i="1"/>
  <c r="Y6" i="1" s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T6" i="1" l="1"/>
  <c r="AI6" i="1" s="1"/>
  <c r="F5" i="1"/>
  <c r="E5" i="1"/>
  <c r="R6" i="1"/>
  <c r="Q5" i="1" l="1"/>
  <c r="X6" i="1"/>
  <c r="L5" i="1"/>
  <c r="R5" i="1" l="1"/>
  <c r="AJ5" i="1" l="1"/>
  <c r="U5" i="1"/>
  <c r="S5" i="1"/>
  <c r="AI5" i="1" l="1"/>
  <c r="T5" i="1"/>
</calcChain>
</file>

<file path=xl/sharedStrings.xml><?xml version="1.0" encoding="utf-8"?>
<sst xmlns="http://schemas.openxmlformats.org/spreadsheetml/2006/main" count="54" uniqueCount="42">
  <si>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</si>
  <si>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</si>
  <si>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</si>
  <si>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</si>
  <si>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</si>
  <si>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</si>
  <si>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</si>
  <si>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</si>
  <si>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</si>
  <si>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</si>
  <si>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</si>
  <si>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</si>
  <si>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</si>
  <si>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</si>
  <si>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</si>
  <si>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</si>
  <si>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</si>
  <si>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</si>
  <si>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</si>
  <si>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</si>
  <si>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</si>
  <si>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</si>
  <si>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</si>
  <si>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</si>
  <si>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25,01,</t>
  </si>
  <si>
    <t>26,01,</t>
  </si>
  <si>
    <t>27,01,</t>
  </si>
  <si>
    <t>20,01,</t>
  </si>
  <si>
    <t>13,01,</t>
  </si>
  <si>
    <t>29,12,</t>
  </si>
  <si>
    <t>22,12,</t>
  </si>
  <si>
    <t>15,12,</t>
  </si>
  <si>
    <t>09,12,</t>
  </si>
  <si>
    <t>02,12,</t>
  </si>
  <si>
    <t>25,11,</t>
  </si>
  <si>
    <t>3215 ВЕТЧ.МЯСНАЯ Папа может п/о 0.4кг 8шт.    ОСТАНКИНО</t>
  </si>
  <si>
    <t>шт</t>
  </si>
  <si>
    <t>ВНИМАНИЕ / в матрице</t>
  </si>
  <si>
    <t>итого</t>
  </si>
  <si>
    <t>заказ</t>
  </si>
  <si>
    <t>01,02,</t>
  </si>
  <si>
    <t>02,02,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</si>
</sst>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b/>
      <sz val="10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13E22E"/>
        <bgColor rgb="FF13E22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 applyBorder="1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3" fillId="2" borderId="0" xfId="1" applyNumberFormat="1" applyFont="1" applyFill="1"/>
    <xf numFmtId="164" fontId="2" fillId="5" borderId="0" xfId="1" applyNumberFormat="1" applyFont="1" applyFill="1"/>
    <xf numFmtId="9" fontId="1" fillId="0" borderId="0" xfId="1" applyNumberFormat="1"/>
    <xf numFmtId="164" fontId="4" fillId="4" borderId="0" xfId="1" applyNumberFormat="1" applyFont="1" applyFill="1"/>
    <xf numFmtId="2" fontId="4" fillId="4" borderId="0" xfId="1" applyNumberFormat="1" applyFont="1" applyFill="1"/>
    <xf numFmtId="164" fontId="4" fillId="4" borderId="1" xfId="1" applyNumberFormat="1" applyFont="1" applyFill="1" applyBorder="1"/>
    <xf numFmtId="164" fontId="4" fillId="0" borderId="0" xfId="1" applyNumberFormat="1" applyFont="1"/>
    <xf numFmtId="0" fontId="5" fillId="0" borderId="0" xfId="0" applyFont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02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A12" sqref="A12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2" width="7" customWidth="1"/>
    <col min="23" max="23" width="21" customWidth="1"/>
    <col min="24" max="25" width="5" customWidth="1"/>
    <col min="26" max="33" width="6" customWidth="1"/>
    <col min="34" max="34" width="28.7109375" customWidth="1"/>
    <col min="35" max="36" width="7" customWidth="1"/>
    <col min="37" max="52" width="3" customWidth="1"/>
  </cols>
  <sheetData>
    <row r="1" spans="1:52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9">
        <v>0.56499999999999995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14</v>
      </c>
      <c r="Q3" s="4" t="s">
        <v>15</v>
      </c>
      <c r="R3" s="7" t="s">
        <v>16</v>
      </c>
      <c r="S3" s="7" t="s">
        <v>38</v>
      </c>
      <c r="T3" s="7" t="s">
        <v>39</v>
      </c>
      <c r="U3" s="7" t="s">
        <v>39</v>
      </c>
      <c r="V3" s="8" t="s">
        <v>17</v>
      </c>
      <c r="W3" s="8" t="s">
        <v>18</v>
      </c>
      <c r="X3" s="4" t="s">
        <v>19</v>
      </c>
      <c r="Y3" s="4" t="s">
        <v>20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21</v>
      </c>
      <c r="AG3" s="4" t="s">
        <v>21</v>
      </c>
      <c r="AH3" s="4" t="s">
        <v>22</v>
      </c>
      <c r="AI3" s="4" t="s">
        <v>23</v>
      </c>
      <c r="AJ3" s="4" t="s">
        <v>23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24</v>
      </c>
      <c r="P4" s="2" t="s">
        <v>25</v>
      </c>
      <c r="Q4" s="2" t="s">
        <v>26</v>
      </c>
      <c r="R4" s="2"/>
      <c r="S4" s="2"/>
      <c r="T4" s="2" t="s">
        <v>40</v>
      </c>
      <c r="U4" s="2" t="s">
        <v>41</v>
      </c>
      <c r="V4" s="2"/>
      <c r="W4" s="2"/>
      <c r="X4" s="2"/>
      <c r="Y4" s="2"/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/>
      <c r="AI4" s="2" t="s">
        <v>40</v>
      </c>
      <c r="AJ4" s="2" t="s">
        <v>41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2"/>
      <c r="B5" s="2"/>
      <c r="C5" s="2"/>
      <c r="D5" s="2"/>
      <c r="E5" s="6">
        <f>SUM(E6:E402)</f>
        <v>297</v>
      </c>
      <c r="F5" s="6">
        <f>SUM(F6:F402)</f>
        <v>321</v>
      </c>
      <c r="G5" s="3"/>
      <c r="H5" s="2"/>
      <c r="I5" s="2"/>
      <c r="J5" s="2"/>
      <c r="K5" s="6">
        <f>SUM(K6:K402)</f>
        <v>314</v>
      </c>
      <c r="L5" s="6">
        <f>SUM(L6:L402)</f>
        <v>-17</v>
      </c>
      <c r="M5" s="6">
        <f>SUM(M6:M402)</f>
        <v>0</v>
      </c>
      <c r="N5" s="6">
        <f>SUM(N6:N402)</f>
        <v>0</v>
      </c>
      <c r="O5" s="6">
        <f>SUM(O6:O402)</f>
        <v>140</v>
      </c>
      <c r="P5" s="6">
        <f>SUM(P6:P402)</f>
        <v>319</v>
      </c>
      <c r="Q5" s="6">
        <f>SUM(Q6:Q402)</f>
        <v>59.4</v>
      </c>
      <c r="R5" s="6">
        <f>SUM(R6:R402)</f>
        <v>51.600000000000023</v>
      </c>
      <c r="S5" s="6">
        <f>SUM(S6:S402)</f>
        <v>150</v>
      </c>
      <c r="T5" s="6">
        <f>SUM(T6:T402)</f>
        <v>65</v>
      </c>
      <c r="U5" s="6">
        <f>SUM(U6:U402)</f>
        <v>85</v>
      </c>
      <c r="V5" s="6">
        <f>SUM(V6:V402)</f>
        <v>150</v>
      </c>
      <c r="W5" s="2"/>
      <c r="X5" s="2"/>
      <c r="Y5" s="2"/>
      <c r="Z5" s="6">
        <f>SUM(Z6:Z402)</f>
        <v>77.2</v>
      </c>
      <c r="AA5" s="6">
        <f>SUM(AA6:AA402)</f>
        <v>61.8</v>
      </c>
      <c r="AB5" s="6">
        <f>SUM(AB6:AB402)</f>
        <v>82.4</v>
      </c>
      <c r="AC5" s="6">
        <f>SUM(AC6:AC402)</f>
        <v>60</v>
      </c>
      <c r="AD5" s="6">
        <f>SUM(AD6:AD402)</f>
        <v>51.4</v>
      </c>
      <c r="AE5" s="6">
        <f>SUM(AE6:AE402)</f>
        <v>47.4</v>
      </c>
      <c r="AF5" s="6">
        <f>SUM(AF6:AF402)</f>
        <v>59.2</v>
      </c>
      <c r="AG5" s="6">
        <f>SUM(AG6:AG402)</f>
        <v>48.2</v>
      </c>
      <c r="AH5" s="2"/>
      <c r="AI5" s="6">
        <f>SUM(AI6:AI402)</f>
        <v>26</v>
      </c>
      <c r="AJ5" s="6">
        <f>SUM(AJ6:AJ402)</f>
        <v>34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s="14" customFormat="1">
      <c r="A6" s="10" t="s">
        <v>35</v>
      </c>
      <c r="B6" s="10" t="s">
        <v>36</v>
      </c>
      <c r="C6" s="10">
        <v>272</v>
      </c>
      <c r="D6" s="10">
        <v>364</v>
      </c>
      <c r="E6" s="10">
        <v>297</v>
      </c>
      <c r="F6" s="10">
        <v>321</v>
      </c>
      <c r="G6" s="11">
        <v>0.4</v>
      </c>
      <c r="H6" s="10">
        <v>60</v>
      </c>
      <c r="I6" s="10" t="s">
        <v>37</v>
      </c>
      <c r="J6" s="10"/>
      <c r="K6" s="10">
        <v>314</v>
      </c>
      <c r="L6" s="10">
        <f t="shared" ref="L6" si="0">E6-K6</f>
        <v>-17</v>
      </c>
      <c r="M6" s="10"/>
      <c r="N6" s="10"/>
      <c r="O6" s="10">
        <v>140</v>
      </c>
      <c r="P6" s="10">
        <v>319</v>
      </c>
      <c r="Q6" s="10">
        <f t="shared" ref="Q6" si="1">E6/5</f>
        <v>59.4</v>
      </c>
      <c r="R6" s="12">
        <f>14*Q6-P6-O6-F6</f>
        <v>51.600000000000023</v>
      </c>
      <c r="S6" s="12">
        <f>V6</f>
        <v>150</v>
      </c>
      <c r="T6" s="12">
        <f>ROUND(S6-U6,0)</f>
        <v>65</v>
      </c>
      <c r="U6" s="12">
        <f>ROUND($U$1*S6,0)</f>
        <v>85</v>
      </c>
      <c r="V6" s="12">
        <v>150</v>
      </c>
      <c r="W6" s="10"/>
      <c r="X6" s="10">
        <f>(F6+O6+P6+S6)/Q6</f>
        <v>15.656565656565657</v>
      </c>
      <c r="Y6" s="10">
        <f t="shared" ref="Y6" si="2">(F6+O6+P6)/Q6</f>
        <v>13.131313131313131</v>
      </c>
      <c r="Z6" s="10">
        <v>77.2</v>
      </c>
      <c r="AA6" s="10">
        <v>61.8</v>
      </c>
      <c r="AB6" s="10">
        <v>82.4</v>
      </c>
      <c r="AC6" s="10">
        <v>60</v>
      </c>
      <c r="AD6" s="10">
        <v>51.4</v>
      </c>
      <c r="AE6" s="10">
        <v>47.4</v>
      </c>
      <c r="AF6" s="10">
        <v>59.2</v>
      </c>
      <c r="AG6" s="10">
        <v>48.2</v>
      </c>
      <c r="AH6" s="10"/>
      <c r="AI6" s="10">
        <f>G6*T6</f>
        <v>26</v>
      </c>
      <c r="AJ6" s="10">
        <f>G6*U6</f>
        <v>34</v>
      </c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</row>
    <row r="7" spans="1:52">
      <c r="A7" s="2"/>
      <c r="B7" s="2"/>
      <c r="C7" s="2"/>
      <c r="D7" s="2"/>
      <c r="E7" s="2"/>
      <c r="F7" s="2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2"/>
      <c r="B8" s="2"/>
      <c r="C8" s="2"/>
      <c r="D8" s="2"/>
      <c r="E8" s="2"/>
      <c r="F8" s="2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/>
      <c r="B9" s="2"/>
      <c r="C9" s="2"/>
      <c r="D9" s="2"/>
      <c r="E9" s="2"/>
      <c r="F9" s="2"/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/>
      <c r="B10" s="2"/>
      <c r="C10" s="2"/>
      <c r="D10" s="2"/>
      <c r="E10" s="2"/>
      <c r="F10" s="2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2"/>
      <c r="B11" s="2"/>
      <c r="C11" s="2"/>
      <c r="D11" s="2"/>
      <c r="E11" s="2"/>
      <c r="F11" s="2"/>
      <c r="G11" s="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/>
      <c r="B12" s="2"/>
      <c r="C12" s="2"/>
      <c r="D12" s="2"/>
      <c r="E12" s="2"/>
      <c r="F12" s="2"/>
      <c r="G12" s="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/>
      <c r="B13" s="2"/>
      <c r="C13" s="2"/>
      <c r="D13" s="2"/>
      <c r="E13" s="2"/>
      <c r="F13" s="2"/>
      <c r="G13" s="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/>
      <c r="B14" s="2"/>
      <c r="C14" s="2"/>
      <c r="D14" s="2"/>
      <c r="E14" s="2"/>
      <c r="F14" s="2"/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/>
      <c r="B15" s="2"/>
      <c r="C15" s="2"/>
      <c r="D15" s="2"/>
      <c r="E15" s="2"/>
      <c r="F15" s="2"/>
      <c r="G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/>
      <c r="B16" s="2"/>
      <c r="C16" s="2"/>
      <c r="D16" s="2"/>
      <c r="E16" s="2"/>
      <c r="F16" s="2"/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/>
      <c r="B17" s="2"/>
      <c r="C17" s="2"/>
      <c r="D17" s="2"/>
      <c r="E17" s="2"/>
      <c r="F17" s="2"/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/>
      <c r="B18" s="2"/>
      <c r="C18" s="2"/>
      <c r="D18" s="2"/>
      <c r="E18" s="2"/>
      <c r="F18" s="2"/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2"/>
      <c r="B19" s="2"/>
      <c r="C19" s="2"/>
      <c r="D19" s="2"/>
      <c r="E19" s="2"/>
      <c r="F19" s="2"/>
      <c r="G19" s="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2"/>
      <c r="B20" s="2"/>
      <c r="C20" s="2"/>
      <c r="D20" s="2"/>
      <c r="E20" s="2"/>
      <c r="F20" s="2"/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2"/>
      <c r="B21" s="2"/>
      <c r="C21" s="2"/>
      <c r="D21" s="2"/>
      <c r="E21" s="2"/>
      <c r="F21" s="2"/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/>
      <c r="B22" s="2"/>
      <c r="C22" s="2"/>
      <c r="D22" s="2"/>
      <c r="E22" s="2"/>
      <c r="F22" s="2"/>
      <c r="G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/>
      <c r="B23" s="2"/>
      <c r="C23" s="2"/>
      <c r="D23" s="2"/>
      <c r="E23" s="2"/>
      <c r="F23" s="2"/>
      <c r="G23" s="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/>
      <c r="B24" s="2"/>
      <c r="C24" s="2"/>
      <c r="D24" s="2"/>
      <c r="E24" s="2"/>
      <c r="F24" s="2"/>
      <c r="G24" s="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"/>
      <c r="B25" s="2"/>
      <c r="C25" s="2"/>
      <c r="D25" s="2"/>
      <c r="E25" s="2"/>
      <c r="F25" s="2"/>
      <c r="G25" s="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/>
      <c r="B26" s="2"/>
      <c r="C26" s="2"/>
      <c r="D26" s="2"/>
      <c r="E26" s="2"/>
      <c r="F26" s="2"/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/>
      <c r="B27" s="2"/>
      <c r="C27" s="2"/>
      <c r="D27" s="2"/>
      <c r="E27" s="2"/>
      <c r="F27" s="2"/>
      <c r="G27" s="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/>
      <c r="B28" s="2"/>
      <c r="C28" s="2"/>
      <c r="D28" s="2"/>
      <c r="E28" s="2"/>
      <c r="F28" s="2"/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/>
      <c r="B29" s="2"/>
      <c r="C29" s="2"/>
      <c r="D29" s="2"/>
      <c r="E29" s="2"/>
      <c r="F29" s="2"/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/>
      <c r="B30" s="2"/>
      <c r="C30" s="2"/>
      <c r="D30" s="2"/>
      <c r="E30" s="2"/>
      <c r="F30" s="2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/>
      <c r="B31" s="2"/>
      <c r="C31" s="2"/>
      <c r="D31" s="2"/>
      <c r="E31" s="2"/>
      <c r="F31" s="2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/>
      <c r="B32" s="2"/>
      <c r="C32" s="2"/>
      <c r="D32" s="2"/>
      <c r="E32" s="2"/>
      <c r="F32" s="2"/>
      <c r="G32" s="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/>
      <c r="B33" s="2"/>
      <c r="C33" s="2"/>
      <c r="D33" s="2"/>
      <c r="E33" s="2"/>
      <c r="F33" s="2"/>
      <c r="G33" s="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/>
      <c r="B34" s="2"/>
      <c r="C34" s="2"/>
      <c r="D34" s="2"/>
      <c r="E34" s="2"/>
      <c r="F34" s="2"/>
      <c r="G34" s="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/>
      <c r="B35" s="2"/>
      <c r="C35" s="2"/>
      <c r="D35" s="2"/>
      <c r="E35" s="2"/>
      <c r="F35" s="2"/>
      <c r="G35" s="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2"/>
      <c r="B36" s="2"/>
      <c r="C36" s="2"/>
      <c r="D36" s="2"/>
      <c r="E36" s="2"/>
      <c r="F36" s="2"/>
      <c r="G36" s="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2"/>
      <c r="B37" s="2"/>
      <c r="C37" s="2"/>
      <c r="D37" s="2"/>
      <c r="E37" s="2"/>
      <c r="F37" s="2"/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/>
      <c r="B38" s="2"/>
      <c r="C38" s="2"/>
      <c r="D38" s="2"/>
      <c r="E38" s="2"/>
      <c r="F38" s="2"/>
      <c r="G38" s="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/>
      <c r="B39" s="2"/>
      <c r="C39" s="2"/>
      <c r="D39" s="2"/>
      <c r="E39" s="2"/>
      <c r="F39" s="2"/>
      <c r="G39" s="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/>
      <c r="B40" s="2"/>
      <c r="C40" s="2"/>
      <c r="D40" s="2"/>
      <c r="E40" s="2"/>
      <c r="F40" s="2"/>
      <c r="G40" s="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/>
      <c r="B41" s="2"/>
      <c r="C41" s="2"/>
      <c r="D41" s="2"/>
      <c r="E41" s="2"/>
      <c r="F41" s="2"/>
      <c r="G41" s="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/>
      <c r="B42" s="2"/>
      <c r="C42" s="2"/>
      <c r="D42" s="2"/>
      <c r="E42" s="2"/>
      <c r="F42" s="2"/>
      <c r="G42" s="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/>
      <c r="B43" s="2"/>
      <c r="C43" s="2"/>
      <c r="D43" s="2"/>
      <c r="E43" s="2"/>
      <c r="F43" s="2"/>
      <c r="G43" s="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/>
      <c r="B44" s="2"/>
      <c r="C44" s="2"/>
      <c r="D44" s="2"/>
      <c r="E44" s="2"/>
      <c r="F44" s="2"/>
      <c r="G44" s="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/>
      <c r="B45" s="2"/>
      <c r="C45" s="2"/>
      <c r="D45" s="2"/>
      <c r="E45" s="2"/>
      <c r="F45" s="2"/>
      <c r="G45" s="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/>
      <c r="B46" s="2"/>
      <c r="C46" s="2"/>
      <c r="D46" s="2"/>
      <c r="E46" s="2"/>
      <c r="F46" s="2"/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/>
      <c r="B47" s="2"/>
      <c r="C47" s="2"/>
      <c r="D47" s="2"/>
      <c r="E47" s="2"/>
      <c r="F47" s="2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/>
      <c r="B48" s="2"/>
      <c r="C48" s="2"/>
      <c r="D48" s="2"/>
      <c r="E48" s="2"/>
      <c r="F48" s="2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/>
      <c r="B49" s="2"/>
      <c r="C49" s="2"/>
      <c r="D49" s="2"/>
      <c r="E49" s="2"/>
      <c r="F49" s="2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/>
      <c r="B51" s="2"/>
      <c r="C51" s="2"/>
      <c r="D51" s="2"/>
      <c r="E51" s="2"/>
      <c r="F51" s="2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/>
      <c r="B52" s="2"/>
      <c r="C52" s="2"/>
      <c r="D52" s="2"/>
      <c r="E52" s="2"/>
      <c r="F52" s="2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/>
      <c r="B53" s="2"/>
      <c r="C53" s="2"/>
      <c r="D53" s="2"/>
      <c r="E53" s="2"/>
      <c r="F53" s="2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/>
      <c r="B54" s="2"/>
      <c r="C54" s="2"/>
      <c r="D54" s="2"/>
      <c r="E54" s="2"/>
      <c r="F54" s="2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/>
      <c r="B55" s="2"/>
      <c r="C55" s="2"/>
      <c r="D55" s="2"/>
      <c r="E55" s="2"/>
      <c r="F55" s="2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/>
      <c r="B56" s="2"/>
      <c r="C56" s="2"/>
      <c r="D56" s="2"/>
      <c r="E56" s="2"/>
      <c r="F56" s="2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/>
      <c r="B57" s="2"/>
      <c r="C57" s="2"/>
      <c r="D57" s="2"/>
      <c r="E57" s="2"/>
      <c r="F57" s="2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/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/>
      <c r="B59" s="2"/>
      <c r="C59" s="2"/>
      <c r="D59" s="2"/>
      <c r="E59" s="2"/>
      <c r="F59" s="2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/>
      <c r="B60" s="2"/>
      <c r="C60" s="2"/>
      <c r="D60" s="2"/>
      <c r="E60" s="2"/>
      <c r="F60" s="2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/>
      <c r="B61" s="2"/>
      <c r="C61" s="2"/>
      <c r="D61" s="2"/>
      <c r="E61" s="2"/>
      <c r="F61" s="2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/>
      <c r="B62" s="2"/>
      <c r="C62" s="2"/>
      <c r="D62" s="2"/>
      <c r="E62" s="2"/>
      <c r="F62" s="2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/>
      <c r="B63" s="2"/>
      <c r="C63" s="2"/>
      <c r="D63" s="2"/>
      <c r="E63" s="2"/>
      <c r="F63" s="2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/>
      <c r="B64" s="2"/>
      <c r="C64" s="2"/>
      <c r="D64" s="2"/>
      <c r="E64" s="2"/>
      <c r="F64" s="2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/>
      <c r="B65" s="2"/>
      <c r="C65" s="2"/>
      <c r="D65" s="2"/>
      <c r="E65" s="2"/>
      <c r="F65" s="2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/>
      <c r="B66" s="2"/>
      <c r="C66" s="2"/>
      <c r="D66" s="2"/>
      <c r="E66" s="2"/>
      <c r="F66" s="2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/>
      <c r="B67" s="2"/>
      <c r="C67" s="2"/>
      <c r="D67" s="2"/>
      <c r="E67" s="2"/>
      <c r="F67" s="2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/>
      <c r="B68" s="2"/>
      <c r="C68" s="2"/>
      <c r="D68" s="2"/>
      <c r="E68" s="2"/>
      <c r="F68" s="2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/>
      <c r="B69" s="2"/>
      <c r="C69" s="2"/>
      <c r="D69" s="2"/>
      <c r="E69" s="2"/>
      <c r="F69" s="2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/>
      <c r="B70" s="2"/>
      <c r="C70" s="2"/>
      <c r="D70" s="2"/>
      <c r="E70" s="2"/>
      <c r="F70" s="2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/>
      <c r="B71" s="2"/>
      <c r="C71" s="2"/>
      <c r="D71" s="2"/>
      <c r="E71" s="2"/>
      <c r="F71" s="2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/>
      <c r="B72" s="2"/>
      <c r="C72" s="2"/>
      <c r="D72" s="2"/>
      <c r="E72" s="2"/>
      <c r="F72" s="2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/>
      <c r="B73" s="2"/>
      <c r="C73" s="2"/>
      <c r="D73" s="2"/>
      <c r="E73" s="2"/>
      <c r="F73" s="2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/>
      <c r="B74" s="2"/>
      <c r="C74" s="2"/>
      <c r="D74" s="2"/>
      <c r="E74" s="2"/>
      <c r="F74" s="2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/>
      <c r="B75" s="2"/>
      <c r="C75" s="2"/>
      <c r="D75" s="2"/>
      <c r="E75" s="2"/>
      <c r="F75" s="2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/>
      <c r="B76" s="2"/>
      <c r="C76" s="2"/>
      <c r="D76" s="2"/>
      <c r="E76" s="2"/>
      <c r="F76" s="2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/>
      <c r="B77" s="2"/>
      <c r="C77" s="2"/>
      <c r="D77" s="2"/>
      <c r="E77" s="2"/>
      <c r="F77" s="2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/>
      <c r="B78" s="2"/>
      <c r="C78" s="2"/>
      <c r="D78" s="2"/>
      <c r="E78" s="2"/>
      <c r="F78" s="2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/>
      <c r="B79" s="2"/>
      <c r="C79" s="2"/>
      <c r="D79" s="2"/>
      <c r="E79" s="2"/>
      <c r="F79" s="2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/>
      <c r="B80" s="2"/>
      <c r="C80" s="2"/>
      <c r="D80" s="2"/>
      <c r="E80" s="2"/>
      <c r="F80" s="2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/>
      <c r="B81" s="2"/>
      <c r="C81" s="2"/>
      <c r="D81" s="2"/>
      <c r="E81" s="2"/>
      <c r="F81" s="2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/>
      <c r="B82" s="2"/>
      <c r="C82" s="2"/>
      <c r="D82" s="2"/>
      <c r="E82" s="2"/>
      <c r="F82" s="2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/>
      <c r="B83" s="2"/>
      <c r="C83" s="2"/>
      <c r="D83" s="2"/>
      <c r="E83" s="2"/>
      <c r="F83" s="2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/>
      <c r="B84" s="2"/>
      <c r="C84" s="2"/>
      <c r="D84" s="2"/>
      <c r="E84" s="2"/>
      <c r="F84" s="2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/>
      <c r="B85" s="2"/>
      <c r="C85" s="2"/>
      <c r="D85" s="2"/>
      <c r="E85" s="2"/>
      <c r="F85" s="2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/>
      <c r="B86" s="2"/>
      <c r="C86" s="2"/>
      <c r="D86" s="2"/>
      <c r="E86" s="2"/>
      <c r="F86" s="2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/>
      <c r="B87" s="2"/>
      <c r="C87" s="2"/>
      <c r="D87" s="2"/>
      <c r="E87" s="2"/>
      <c r="F87" s="2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/>
      <c r="B88" s="2"/>
      <c r="C88" s="2"/>
      <c r="D88" s="2"/>
      <c r="E88" s="2"/>
      <c r="F88" s="2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/>
      <c r="B89" s="2"/>
      <c r="C89" s="2"/>
      <c r="D89" s="2"/>
      <c r="E89" s="2"/>
      <c r="F89" s="2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/>
      <c r="B90" s="2"/>
      <c r="C90" s="2"/>
      <c r="D90" s="2"/>
      <c r="E90" s="2"/>
      <c r="F90" s="2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/>
      <c r="B91" s="2"/>
      <c r="C91" s="2"/>
      <c r="D91" s="2"/>
      <c r="E91" s="2"/>
      <c r="F91" s="2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/>
      <c r="B92" s="2"/>
      <c r="C92" s="2"/>
      <c r="D92" s="2"/>
      <c r="E92" s="2"/>
      <c r="F92" s="2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/>
      <c r="B93" s="2"/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/>
      <c r="B94" s="2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/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</sheetData>
  <autoFilter ref="A3:AI6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2026-01-27T09:49:00Z</dcterms:created>
  <dcterms:modified xsi:type="dcterms:W3CDTF">2026-06-29T07:10:07Z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85F17CF64C014896925AE42A039CA1C8_12</vt:lpwstr>
  </property>
  <property fmtid="{D5CDD505-2E9C-101B-9397-08002B2CF9AE}" pid="3" name="KSOProductBuildVer">
    <vt:lpwstr>1049-12.2.0.23196</vt:lpwstr>
  </property>
</Properties>
</file>