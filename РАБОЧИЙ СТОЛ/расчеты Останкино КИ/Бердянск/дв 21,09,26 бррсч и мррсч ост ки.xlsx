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0E28B7F9-FEE2-4C37-980C-7FABF69747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Sheet!$A$3:$AN$119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24" i="1" l="1"/>
  <c r="Y27" i="1"/>
  <c r="AO27" i="1" s="1"/>
  <c r="Y33" i="1"/>
  <c r="Y35" i="1"/>
  <c r="AO35" i="1" s="1"/>
  <c r="Y36" i="1"/>
  <c r="AO36" i="1" s="1"/>
  <c r="Y37" i="1"/>
  <c r="Y38" i="1"/>
  <c r="AO38" i="1" s="1"/>
  <c r="AO39" i="1"/>
  <c r="Y50" i="1"/>
  <c r="AO50" i="1" s="1"/>
  <c r="AO56" i="1"/>
  <c r="Y57" i="1"/>
  <c r="Y59" i="1"/>
  <c r="AO59" i="1" s="1"/>
  <c r="Y61" i="1"/>
  <c r="Y75" i="1"/>
  <c r="AO75" i="1" s="1"/>
  <c r="Y77" i="1"/>
  <c r="Y81" i="1"/>
  <c r="AO81" i="1" s="1"/>
  <c r="Y86" i="1"/>
  <c r="Y89" i="1"/>
  <c r="AO89" i="1" s="1"/>
  <c r="Y91" i="1"/>
  <c r="Y92" i="1"/>
  <c r="AO92" i="1" s="1"/>
  <c r="Y108" i="1"/>
  <c r="AO108" i="1" s="1"/>
  <c r="Y110" i="1"/>
  <c r="AO110" i="1" s="1"/>
  <c r="Y111" i="1"/>
  <c r="Y114" i="1"/>
  <c r="AO114" i="1" s="1"/>
  <c r="Y117" i="1"/>
  <c r="Y119" i="1"/>
  <c r="V24" i="1"/>
  <c r="V27" i="1"/>
  <c r="V29" i="1"/>
  <c r="V33" i="1"/>
  <c r="V35" i="1"/>
  <c r="V36" i="1"/>
  <c r="V37" i="1"/>
  <c r="V38" i="1"/>
  <c r="V39" i="1"/>
  <c r="V43" i="1"/>
  <c r="V50" i="1"/>
  <c r="V51" i="1"/>
  <c r="V56" i="1"/>
  <c r="V57" i="1"/>
  <c r="V59" i="1"/>
  <c r="V61" i="1"/>
  <c r="V75" i="1"/>
  <c r="V77" i="1"/>
  <c r="V81" i="1"/>
  <c r="V86" i="1"/>
  <c r="V89" i="1"/>
  <c r="V91" i="1"/>
  <c r="V92" i="1"/>
  <c r="V108" i="1"/>
  <c r="V110" i="1"/>
  <c r="V111" i="1"/>
  <c r="V114" i="1"/>
  <c r="V117" i="1"/>
  <c r="V119" i="1"/>
  <c r="AO24" i="1"/>
  <c r="AO33" i="1"/>
  <c r="AO37" i="1"/>
  <c r="AO43" i="1"/>
  <c r="AO51" i="1"/>
  <c r="AO57" i="1"/>
  <c r="AO61" i="1"/>
  <c r="AO77" i="1"/>
  <c r="AO86" i="1"/>
  <c r="AO91" i="1"/>
  <c r="AO111" i="1"/>
  <c r="AO117" i="1"/>
  <c r="AO119" i="1"/>
  <c r="AN24" i="1"/>
  <c r="AN27" i="1"/>
  <c r="AN29" i="1"/>
  <c r="AN33" i="1"/>
  <c r="AN35" i="1"/>
  <c r="AN36" i="1"/>
  <c r="AN37" i="1"/>
  <c r="AN38" i="1"/>
  <c r="AN39" i="1"/>
  <c r="AN43" i="1"/>
  <c r="AN50" i="1"/>
  <c r="AN51" i="1"/>
  <c r="AN56" i="1"/>
  <c r="AN57" i="1"/>
  <c r="AN59" i="1"/>
  <c r="AN61" i="1"/>
  <c r="AN75" i="1"/>
  <c r="AN77" i="1"/>
  <c r="AN81" i="1"/>
  <c r="AN86" i="1"/>
  <c r="AN89" i="1"/>
  <c r="AN91" i="1"/>
  <c r="AN92" i="1"/>
  <c r="AN108" i="1"/>
  <c r="AN110" i="1"/>
  <c r="AN111" i="1"/>
  <c r="AN114" i="1"/>
  <c r="AN117" i="1"/>
  <c r="AN119" i="1"/>
  <c r="Z7" i="1"/>
  <c r="Z8" i="1"/>
  <c r="Z9" i="1"/>
  <c r="Z10" i="1"/>
  <c r="Z12" i="1"/>
  <c r="Z13" i="1"/>
  <c r="Z14" i="1"/>
  <c r="Z16" i="1"/>
  <c r="Z17" i="1"/>
  <c r="Z18" i="1"/>
  <c r="Z20" i="1"/>
  <c r="Z21" i="1"/>
  <c r="Z23" i="1"/>
  <c r="Z25" i="1"/>
  <c r="Z26" i="1"/>
  <c r="Z28" i="1"/>
  <c r="Z29" i="1"/>
  <c r="Z30" i="1"/>
  <c r="Z31" i="1"/>
  <c r="Z32" i="1"/>
  <c r="Z34" i="1"/>
  <c r="Z39" i="1"/>
  <c r="Z41" i="1"/>
  <c r="Z42" i="1"/>
  <c r="Z43" i="1"/>
  <c r="Z44" i="1"/>
  <c r="Z45" i="1"/>
  <c r="Z46" i="1"/>
  <c r="Z47" i="1"/>
  <c r="Z48" i="1"/>
  <c r="Z49" i="1"/>
  <c r="Z51" i="1"/>
  <c r="Z52" i="1"/>
  <c r="Z53" i="1"/>
  <c r="Z56" i="1"/>
  <c r="Z58" i="1"/>
  <c r="Z60" i="1"/>
  <c r="Z62" i="1"/>
  <c r="Z63" i="1"/>
  <c r="Z64" i="1"/>
  <c r="Z65" i="1"/>
  <c r="Z68" i="1"/>
  <c r="Z70" i="1"/>
  <c r="Z72" i="1"/>
  <c r="Z74" i="1"/>
  <c r="Z78" i="1"/>
  <c r="Z79" i="1"/>
  <c r="Z80" i="1"/>
  <c r="Z82" i="1"/>
  <c r="Z83" i="1"/>
  <c r="Z85" i="1"/>
  <c r="Z87" i="1"/>
  <c r="Z90" i="1"/>
  <c r="Z93" i="1"/>
  <c r="Z94" i="1"/>
  <c r="Z95" i="1"/>
  <c r="Z96" i="1"/>
  <c r="Z97" i="1"/>
  <c r="Z99" i="1"/>
  <c r="Z100" i="1"/>
  <c r="Z101" i="1"/>
  <c r="Z103" i="1"/>
  <c r="Z104" i="1"/>
  <c r="Z106" i="1"/>
  <c r="Z109" i="1"/>
  <c r="Z112" i="1"/>
  <c r="Z113" i="1"/>
  <c r="Z118" i="1"/>
  <c r="W12" i="1"/>
  <c r="V12" i="1" s="1"/>
  <c r="W20" i="1"/>
  <c r="V20" i="1" s="1"/>
  <c r="W21" i="1"/>
  <c r="V21" i="1" s="1"/>
  <c r="W23" i="1"/>
  <c r="V23" i="1" s="1"/>
  <c r="W25" i="1"/>
  <c r="V25" i="1" s="1"/>
  <c r="W26" i="1"/>
  <c r="V26" i="1" s="1"/>
  <c r="W30" i="1"/>
  <c r="V30" i="1" s="1"/>
  <c r="W34" i="1"/>
  <c r="V34" i="1" s="1"/>
  <c r="W41" i="1"/>
  <c r="V41" i="1" s="1"/>
  <c r="W68" i="1"/>
  <c r="V68" i="1" s="1"/>
  <c r="W70" i="1"/>
  <c r="V70" i="1" s="1"/>
  <c r="W94" i="1"/>
  <c r="V94" i="1" s="1"/>
  <c r="W5" i="1" l="1"/>
  <c r="Z5" i="1"/>
  <c r="T7" i="1"/>
  <c r="X7" i="1" s="1"/>
  <c r="AO7" i="1" s="1"/>
  <c r="T8" i="1"/>
  <c r="T9" i="1"/>
  <c r="X9" i="1" s="1"/>
  <c r="AO9" i="1" s="1"/>
  <c r="T10" i="1"/>
  <c r="X10" i="1" s="1"/>
  <c r="AO10" i="1" s="1"/>
  <c r="T11" i="1"/>
  <c r="X11" i="1" s="1"/>
  <c r="Y11" i="1" s="1"/>
  <c r="AO11" i="1" s="1"/>
  <c r="T12" i="1"/>
  <c r="T13" i="1"/>
  <c r="X13" i="1" s="1"/>
  <c r="AO13" i="1" s="1"/>
  <c r="T14" i="1"/>
  <c r="X14" i="1" s="1"/>
  <c r="AO14" i="1" s="1"/>
  <c r="T15" i="1"/>
  <c r="X15" i="1" s="1"/>
  <c r="Y15" i="1" s="1"/>
  <c r="AO15" i="1" s="1"/>
  <c r="T16" i="1"/>
  <c r="X16" i="1" s="1"/>
  <c r="T17" i="1"/>
  <c r="X17" i="1" s="1"/>
  <c r="AO17" i="1" s="1"/>
  <c r="T18" i="1"/>
  <c r="X18" i="1" s="1"/>
  <c r="AO18" i="1" s="1"/>
  <c r="T19" i="1"/>
  <c r="T20" i="1"/>
  <c r="T21" i="1"/>
  <c r="X21" i="1" s="1"/>
  <c r="AO21" i="1" s="1"/>
  <c r="T22" i="1"/>
  <c r="X22" i="1" s="1"/>
  <c r="Y22" i="1" s="1"/>
  <c r="AO22" i="1" s="1"/>
  <c r="T23" i="1"/>
  <c r="X23" i="1" s="1"/>
  <c r="AO23" i="1" s="1"/>
  <c r="T24" i="1"/>
  <c r="T25" i="1"/>
  <c r="X25" i="1" s="1"/>
  <c r="AO25" i="1" s="1"/>
  <c r="T26" i="1"/>
  <c r="T27" i="1"/>
  <c r="T28" i="1"/>
  <c r="T29" i="1"/>
  <c r="X29" i="1" s="1"/>
  <c r="T30" i="1"/>
  <c r="T31" i="1"/>
  <c r="X31" i="1" s="1"/>
  <c r="AO31" i="1" s="1"/>
  <c r="T32" i="1"/>
  <c r="T33" i="1"/>
  <c r="T34" i="1"/>
  <c r="T35" i="1"/>
  <c r="T36" i="1"/>
  <c r="T37" i="1"/>
  <c r="T38" i="1"/>
  <c r="T39" i="1"/>
  <c r="T40" i="1"/>
  <c r="X40" i="1" s="1"/>
  <c r="Y40" i="1" s="1"/>
  <c r="AO40" i="1" s="1"/>
  <c r="T41" i="1"/>
  <c r="T42" i="1"/>
  <c r="X42" i="1" s="1"/>
  <c r="T43" i="1"/>
  <c r="T44" i="1"/>
  <c r="X44" i="1" s="1"/>
  <c r="T45" i="1"/>
  <c r="T46" i="1"/>
  <c r="X46" i="1" s="1"/>
  <c r="AO46" i="1" s="1"/>
  <c r="T47" i="1"/>
  <c r="T48" i="1"/>
  <c r="X48" i="1" s="1"/>
  <c r="T49" i="1"/>
  <c r="T50" i="1"/>
  <c r="T51" i="1"/>
  <c r="T52" i="1"/>
  <c r="X52" i="1" s="1"/>
  <c r="AO52" i="1" s="1"/>
  <c r="T53" i="1"/>
  <c r="X53" i="1" s="1"/>
  <c r="AO53" i="1" s="1"/>
  <c r="T54" i="1"/>
  <c r="X54" i="1" s="1"/>
  <c r="T55" i="1"/>
  <c r="X55" i="1" s="1"/>
  <c r="Y55" i="1" s="1"/>
  <c r="AO55" i="1" s="1"/>
  <c r="T56" i="1"/>
  <c r="T57" i="1"/>
  <c r="T58" i="1"/>
  <c r="X58" i="1" s="1"/>
  <c r="AO58" i="1" s="1"/>
  <c r="T59" i="1"/>
  <c r="T60" i="1"/>
  <c r="T61" i="1"/>
  <c r="T62" i="1"/>
  <c r="X62" i="1" s="1"/>
  <c r="AO62" i="1" s="1"/>
  <c r="T63" i="1"/>
  <c r="T64" i="1"/>
  <c r="X64" i="1" s="1"/>
  <c r="T65" i="1"/>
  <c r="X65" i="1" s="1"/>
  <c r="AO65" i="1" s="1"/>
  <c r="T66" i="1"/>
  <c r="X66" i="1" s="1"/>
  <c r="Y66" i="1" s="1"/>
  <c r="AO66" i="1" s="1"/>
  <c r="T67" i="1"/>
  <c r="X67" i="1" s="1"/>
  <c r="Y67" i="1" s="1"/>
  <c r="AO67" i="1" s="1"/>
  <c r="T68" i="1"/>
  <c r="T69" i="1"/>
  <c r="X69" i="1" s="1"/>
  <c r="Y69" i="1" s="1"/>
  <c r="AO69" i="1" s="1"/>
  <c r="T70" i="1"/>
  <c r="T71" i="1"/>
  <c r="T72" i="1"/>
  <c r="T73" i="1"/>
  <c r="T74" i="1"/>
  <c r="X74" i="1" s="1"/>
  <c r="AO74" i="1" s="1"/>
  <c r="T75" i="1"/>
  <c r="T76" i="1"/>
  <c r="X76" i="1" s="1"/>
  <c r="Y76" i="1" s="1"/>
  <c r="AO76" i="1" s="1"/>
  <c r="T77" i="1"/>
  <c r="T78" i="1"/>
  <c r="T79" i="1"/>
  <c r="T80" i="1"/>
  <c r="X80" i="1" s="1"/>
  <c r="T81" i="1"/>
  <c r="T82" i="1"/>
  <c r="X82" i="1" s="1"/>
  <c r="T83" i="1"/>
  <c r="T84" i="1"/>
  <c r="X84" i="1" s="1"/>
  <c r="Y84" i="1" s="1"/>
  <c r="AO84" i="1" s="1"/>
  <c r="T85" i="1"/>
  <c r="T86" i="1"/>
  <c r="T87" i="1"/>
  <c r="T88" i="1"/>
  <c r="T89" i="1"/>
  <c r="T90" i="1"/>
  <c r="X90" i="1" s="1"/>
  <c r="AO90" i="1" s="1"/>
  <c r="T91" i="1"/>
  <c r="T92" i="1"/>
  <c r="T93" i="1"/>
  <c r="T94" i="1"/>
  <c r="T95" i="1"/>
  <c r="X95" i="1" s="1"/>
  <c r="AO95" i="1" s="1"/>
  <c r="T96" i="1"/>
  <c r="T97" i="1"/>
  <c r="T98" i="1"/>
  <c r="T99" i="1"/>
  <c r="T100" i="1"/>
  <c r="T101" i="1"/>
  <c r="T102" i="1"/>
  <c r="T103" i="1"/>
  <c r="X103" i="1" s="1"/>
  <c r="AO103" i="1" s="1"/>
  <c r="T104" i="1"/>
  <c r="T105" i="1"/>
  <c r="X105" i="1" s="1"/>
  <c r="Y105" i="1" s="1"/>
  <c r="AO105" i="1" s="1"/>
  <c r="T106" i="1"/>
  <c r="T107" i="1"/>
  <c r="X107" i="1" s="1"/>
  <c r="Y107" i="1" s="1"/>
  <c r="AO107" i="1" s="1"/>
  <c r="T108" i="1"/>
  <c r="T109" i="1"/>
  <c r="X109" i="1" s="1"/>
  <c r="AO109" i="1" s="1"/>
  <c r="T110" i="1"/>
  <c r="T111" i="1"/>
  <c r="T112" i="1"/>
  <c r="T113" i="1"/>
  <c r="X113" i="1" s="1"/>
  <c r="AO113" i="1" s="1"/>
  <c r="T114" i="1"/>
  <c r="T115" i="1"/>
  <c r="T116" i="1"/>
  <c r="X116" i="1" s="1"/>
  <c r="T117" i="1"/>
  <c r="T118" i="1"/>
  <c r="T119" i="1"/>
  <c r="T6" i="1"/>
  <c r="X6" i="1" s="1"/>
  <c r="Y6" i="1" s="1"/>
  <c r="AO6" i="1" s="1"/>
  <c r="AO29" i="1" l="1"/>
  <c r="U116" i="1"/>
  <c r="V116" i="1" s="1"/>
  <c r="Y116" i="1"/>
  <c r="AO116" i="1" s="1"/>
  <c r="U82" i="1"/>
  <c r="V82" i="1" s="1"/>
  <c r="AO82" i="1"/>
  <c r="U80" i="1"/>
  <c r="V80" i="1" s="1"/>
  <c r="AO80" i="1"/>
  <c r="U64" i="1"/>
  <c r="V64" i="1" s="1"/>
  <c r="AO64" i="1"/>
  <c r="U54" i="1"/>
  <c r="V54" i="1" s="1"/>
  <c r="Y54" i="1"/>
  <c r="AO54" i="1" s="1"/>
  <c r="U48" i="1"/>
  <c r="V48" i="1" s="1"/>
  <c r="AO48" i="1"/>
  <c r="U44" i="1"/>
  <c r="V44" i="1" s="1"/>
  <c r="AO44" i="1"/>
  <c r="U42" i="1"/>
  <c r="V42" i="1" s="1"/>
  <c r="AO42" i="1"/>
  <c r="U16" i="1"/>
  <c r="V16" i="1" s="1"/>
  <c r="AO16" i="1"/>
  <c r="U6" i="1"/>
  <c r="V6" i="1" s="1"/>
  <c r="U69" i="1"/>
  <c r="V69" i="1" s="1"/>
  <c r="U67" i="1"/>
  <c r="V67" i="1" s="1"/>
  <c r="AN67" i="1" s="1"/>
  <c r="U65" i="1"/>
  <c r="V65" i="1" s="1"/>
  <c r="U90" i="1"/>
  <c r="V90" i="1" s="1"/>
  <c r="U84" i="1"/>
  <c r="V84" i="1" s="1"/>
  <c r="U76" i="1"/>
  <c r="V76" i="1" s="1"/>
  <c r="U74" i="1"/>
  <c r="V74" i="1" s="1"/>
  <c r="U66" i="1"/>
  <c r="V66" i="1" s="1"/>
  <c r="U62" i="1"/>
  <c r="V62" i="1" s="1"/>
  <c r="U58" i="1"/>
  <c r="V58" i="1" s="1"/>
  <c r="U52" i="1"/>
  <c r="V52" i="1" s="1"/>
  <c r="U46" i="1"/>
  <c r="V46" i="1" s="1"/>
  <c r="U40" i="1"/>
  <c r="V40" i="1" s="1"/>
  <c r="U22" i="1"/>
  <c r="V22" i="1" s="1"/>
  <c r="U18" i="1"/>
  <c r="V18" i="1" s="1"/>
  <c r="U14" i="1"/>
  <c r="V14" i="1" s="1"/>
  <c r="U10" i="1"/>
  <c r="V10" i="1" s="1"/>
  <c r="U113" i="1"/>
  <c r="V113" i="1" s="1"/>
  <c r="AN113" i="1" s="1"/>
  <c r="U109" i="1"/>
  <c r="V109" i="1" s="1"/>
  <c r="U107" i="1"/>
  <c r="V107" i="1" s="1"/>
  <c r="U105" i="1"/>
  <c r="V105" i="1" s="1"/>
  <c r="U103" i="1"/>
  <c r="V103" i="1" s="1"/>
  <c r="U95" i="1"/>
  <c r="V95" i="1" s="1"/>
  <c r="AN95" i="1" s="1"/>
  <c r="U55" i="1"/>
  <c r="V55" i="1" s="1"/>
  <c r="AN55" i="1" s="1"/>
  <c r="U53" i="1"/>
  <c r="V53" i="1" s="1"/>
  <c r="AN53" i="1" s="1"/>
  <c r="U31" i="1"/>
  <c r="V31" i="1" s="1"/>
  <c r="U25" i="1"/>
  <c r="AN25" i="1" s="1"/>
  <c r="U23" i="1"/>
  <c r="U21" i="1"/>
  <c r="AN21" i="1" s="1"/>
  <c r="U17" i="1"/>
  <c r="V17" i="1" s="1"/>
  <c r="AN17" i="1" s="1"/>
  <c r="U15" i="1"/>
  <c r="V15" i="1" s="1"/>
  <c r="AN15" i="1" s="1"/>
  <c r="U13" i="1"/>
  <c r="V13" i="1" s="1"/>
  <c r="AN13" i="1" s="1"/>
  <c r="U11" i="1"/>
  <c r="V11" i="1" s="1"/>
  <c r="AN11" i="1" s="1"/>
  <c r="U9" i="1"/>
  <c r="V9" i="1" s="1"/>
  <c r="AN9" i="1" s="1"/>
  <c r="U7" i="1"/>
  <c r="V7" i="1" s="1"/>
  <c r="AN7" i="1" s="1"/>
  <c r="AN23" i="1" l="1"/>
  <c r="AN31" i="1"/>
  <c r="AN103" i="1"/>
  <c r="AN107" i="1"/>
  <c r="AN14" i="1"/>
  <c r="AN22" i="1"/>
  <c r="AN46" i="1"/>
  <c r="AN58" i="1"/>
  <c r="AN66" i="1"/>
  <c r="AN76" i="1"/>
  <c r="AN90" i="1"/>
  <c r="AN6" i="1"/>
  <c r="AN105" i="1"/>
  <c r="AN109" i="1"/>
  <c r="AN10" i="1"/>
  <c r="AN18" i="1"/>
  <c r="AN40" i="1"/>
  <c r="AN52" i="1"/>
  <c r="AN62" i="1"/>
  <c r="AN74" i="1"/>
  <c r="AN84" i="1"/>
  <c r="AN65" i="1"/>
  <c r="AN69" i="1"/>
  <c r="AN16" i="1"/>
  <c r="AN42" i="1"/>
  <c r="AN44" i="1"/>
  <c r="AN48" i="1"/>
  <c r="AN54" i="1"/>
  <c r="AN64" i="1"/>
  <c r="AN80" i="1"/>
  <c r="AN82" i="1"/>
  <c r="AN116" i="1"/>
  <c r="N11" i="1"/>
  <c r="R11" i="1" s="1"/>
  <c r="N12" i="1"/>
  <c r="R12" i="1" s="1"/>
  <c r="N18" i="1"/>
  <c r="R18" i="1" s="1"/>
  <c r="AA18" i="1" s="1"/>
  <c r="N21" i="1"/>
  <c r="R21" i="1" s="1"/>
  <c r="N23" i="1"/>
  <c r="R23" i="1" s="1"/>
  <c r="AA23" i="1" s="1"/>
  <c r="N24" i="1"/>
  <c r="R24" i="1" s="1"/>
  <c r="AA24" i="1" s="1"/>
  <c r="N26" i="1"/>
  <c r="R26" i="1" s="1"/>
  <c r="N27" i="1"/>
  <c r="R27" i="1" s="1"/>
  <c r="AA27" i="1" s="1"/>
  <c r="N28" i="1"/>
  <c r="R28" i="1" s="1"/>
  <c r="N29" i="1"/>
  <c r="R29" i="1" s="1"/>
  <c r="AA29" i="1" s="1"/>
  <c r="N31" i="1"/>
  <c r="R31" i="1" s="1"/>
  <c r="AA31" i="1" s="1"/>
  <c r="N33" i="1"/>
  <c r="R33" i="1" s="1"/>
  <c r="AA33" i="1" s="1"/>
  <c r="N35" i="1"/>
  <c r="R35" i="1" s="1"/>
  <c r="AA35" i="1" s="1"/>
  <c r="N36" i="1"/>
  <c r="R36" i="1" s="1"/>
  <c r="AA36" i="1" s="1"/>
  <c r="N41" i="1"/>
  <c r="R41" i="1" s="1"/>
  <c r="N43" i="1"/>
  <c r="R43" i="1" s="1"/>
  <c r="N45" i="1"/>
  <c r="R45" i="1" s="1"/>
  <c r="N50" i="1"/>
  <c r="R50" i="1" s="1"/>
  <c r="AA50" i="1" s="1"/>
  <c r="N51" i="1"/>
  <c r="R51" i="1" s="1"/>
  <c r="AA51" i="1" s="1"/>
  <c r="N52" i="1"/>
  <c r="R52" i="1" s="1"/>
  <c r="AA52" i="1" s="1"/>
  <c r="N54" i="1"/>
  <c r="R54" i="1" s="1"/>
  <c r="AA54" i="1" s="1"/>
  <c r="N55" i="1"/>
  <c r="R55" i="1" s="1"/>
  <c r="N57" i="1"/>
  <c r="R57" i="1" s="1"/>
  <c r="AA57" i="1" s="1"/>
  <c r="N58" i="1"/>
  <c r="R58" i="1" s="1"/>
  <c r="AA58" i="1" s="1"/>
  <c r="N59" i="1"/>
  <c r="R59" i="1" s="1"/>
  <c r="AA59" i="1" s="1"/>
  <c r="N60" i="1"/>
  <c r="R60" i="1" s="1"/>
  <c r="N61" i="1"/>
  <c r="R61" i="1" s="1"/>
  <c r="N62" i="1"/>
  <c r="R62" i="1" s="1"/>
  <c r="N63" i="1"/>
  <c r="R63" i="1" s="1"/>
  <c r="N64" i="1"/>
  <c r="R64" i="1" s="1"/>
  <c r="AA64" i="1" s="1"/>
  <c r="N65" i="1"/>
  <c r="R65" i="1" s="1"/>
  <c r="AA65" i="1" s="1"/>
  <c r="N69" i="1"/>
  <c r="R69" i="1" s="1"/>
  <c r="AA69" i="1" s="1"/>
  <c r="N71" i="1"/>
  <c r="R71" i="1" s="1"/>
  <c r="N74" i="1"/>
  <c r="R74" i="1" s="1"/>
  <c r="AA74" i="1" s="1"/>
  <c r="N75" i="1"/>
  <c r="R75" i="1" s="1"/>
  <c r="AA75" i="1" s="1"/>
  <c r="N77" i="1"/>
  <c r="R77" i="1" s="1"/>
  <c r="AA77" i="1" s="1"/>
  <c r="N83" i="1"/>
  <c r="R83" i="1" s="1"/>
  <c r="S83" i="1" s="1"/>
  <c r="N86" i="1"/>
  <c r="R86" i="1" s="1"/>
  <c r="AA86" i="1" s="1"/>
  <c r="N89" i="1"/>
  <c r="R89" i="1" s="1"/>
  <c r="AA89" i="1" s="1"/>
  <c r="N90" i="1"/>
  <c r="R90" i="1" s="1"/>
  <c r="AA90" i="1" s="1"/>
  <c r="N91" i="1"/>
  <c r="R91" i="1" s="1"/>
  <c r="AA91" i="1" s="1"/>
  <c r="N92" i="1"/>
  <c r="R92" i="1" s="1"/>
  <c r="AA92" i="1" s="1"/>
  <c r="N93" i="1"/>
  <c r="R93" i="1" s="1"/>
  <c r="AB93" i="1" s="1"/>
  <c r="N94" i="1"/>
  <c r="R94" i="1" s="1"/>
  <c r="S94" i="1" s="1"/>
  <c r="N96" i="1"/>
  <c r="R96" i="1" s="1"/>
  <c r="S96" i="1" s="1"/>
  <c r="N97" i="1"/>
  <c r="R97" i="1" s="1"/>
  <c r="S97" i="1" s="1"/>
  <c r="N98" i="1"/>
  <c r="R98" i="1" s="1"/>
  <c r="N99" i="1"/>
  <c r="R99" i="1" s="1"/>
  <c r="S99" i="1" s="1"/>
  <c r="N100" i="1"/>
  <c r="R100" i="1" s="1"/>
  <c r="S100" i="1" s="1"/>
  <c r="N101" i="1"/>
  <c r="R101" i="1" s="1"/>
  <c r="S101" i="1" s="1"/>
  <c r="N102" i="1"/>
  <c r="R102" i="1" s="1"/>
  <c r="AB102" i="1" s="1"/>
  <c r="N103" i="1"/>
  <c r="R103" i="1" s="1"/>
  <c r="AA103" i="1" s="1"/>
  <c r="N105" i="1"/>
  <c r="R105" i="1" s="1"/>
  <c r="AA105" i="1" s="1"/>
  <c r="N106" i="1"/>
  <c r="R106" i="1" s="1"/>
  <c r="N107" i="1"/>
  <c r="R107" i="1" s="1"/>
  <c r="AA107" i="1" s="1"/>
  <c r="N108" i="1"/>
  <c r="R108" i="1" s="1"/>
  <c r="AA108" i="1" s="1"/>
  <c r="N110" i="1"/>
  <c r="R110" i="1" s="1"/>
  <c r="AA110" i="1" s="1"/>
  <c r="N111" i="1"/>
  <c r="R111" i="1" s="1"/>
  <c r="AA111" i="1" s="1"/>
  <c r="N112" i="1"/>
  <c r="R112" i="1" s="1"/>
  <c r="S112" i="1" s="1"/>
  <c r="N113" i="1"/>
  <c r="R113" i="1" s="1"/>
  <c r="N114" i="1"/>
  <c r="R114" i="1" s="1"/>
  <c r="AA114" i="1" s="1"/>
  <c r="N116" i="1"/>
  <c r="R116" i="1" s="1"/>
  <c r="N117" i="1"/>
  <c r="R117" i="1" s="1"/>
  <c r="N118" i="1"/>
  <c r="R118" i="1" s="1"/>
  <c r="N119" i="1"/>
  <c r="R119" i="1" s="1"/>
  <c r="AA119" i="1" s="1"/>
  <c r="N6" i="1"/>
  <c r="R6" i="1" s="1"/>
  <c r="AA6" i="1" s="1"/>
  <c r="O7" i="1"/>
  <c r="N7" i="1" s="1"/>
  <c r="R7" i="1" s="1"/>
  <c r="O8" i="1"/>
  <c r="O9" i="1"/>
  <c r="N9" i="1" s="1"/>
  <c r="R9" i="1" s="1"/>
  <c r="O10" i="1"/>
  <c r="N10" i="1" s="1"/>
  <c r="R10" i="1" s="1"/>
  <c r="O13" i="1"/>
  <c r="N13" i="1" s="1"/>
  <c r="R13" i="1" s="1"/>
  <c r="O14" i="1"/>
  <c r="N14" i="1" s="1"/>
  <c r="R14" i="1" s="1"/>
  <c r="O15" i="1"/>
  <c r="N15" i="1" s="1"/>
  <c r="R15" i="1" s="1"/>
  <c r="O16" i="1"/>
  <c r="N16" i="1" s="1"/>
  <c r="R16" i="1" s="1"/>
  <c r="O17" i="1"/>
  <c r="N17" i="1" s="1"/>
  <c r="R17" i="1" s="1"/>
  <c r="O19" i="1"/>
  <c r="N19" i="1" s="1"/>
  <c r="R19" i="1" s="1"/>
  <c r="O20" i="1"/>
  <c r="N20" i="1" s="1"/>
  <c r="R20" i="1" s="1"/>
  <c r="S20" i="1" s="1"/>
  <c r="O22" i="1"/>
  <c r="N22" i="1" s="1"/>
  <c r="R22" i="1" s="1"/>
  <c r="O25" i="1"/>
  <c r="N25" i="1" s="1"/>
  <c r="R25" i="1" s="1"/>
  <c r="O30" i="1"/>
  <c r="N30" i="1" s="1"/>
  <c r="R30" i="1" s="1"/>
  <c r="O32" i="1"/>
  <c r="N32" i="1" s="1"/>
  <c r="R32" i="1" s="1"/>
  <c r="O34" i="1"/>
  <c r="N34" i="1" s="1"/>
  <c r="R34" i="1" s="1"/>
  <c r="O37" i="1"/>
  <c r="N37" i="1" s="1"/>
  <c r="R37" i="1" s="1"/>
  <c r="AA37" i="1" s="1"/>
  <c r="O38" i="1"/>
  <c r="N38" i="1" s="1"/>
  <c r="R38" i="1" s="1"/>
  <c r="AA38" i="1" s="1"/>
  <c r="O39" i="1"/>
  <c r="N39" i="1" s="1"/>
  <c r="R39" i="1" s="1"/>
  <c r="O40" i="1"/>
  <c r="N40" i="1" s="1"/>
  <c r="R40" i="1" s="1"/>
  <c r="O42" i="1"/>
  <c r="N42" i="1" s="1"/>
  <c r="R42" i="1" s="1"/>
  <c r="O44" i="1"/>
  <c r="N44" i="1" s="1"/>
  <c r="R44" i="1" s="1"/>
  <c r="AA44" i="1" s="1"/>
  <c r="O46" i="1"/>
  <c r="N46" i="1" s="1"/>
  <c r="R46" i="1" s="1"/>
  <c r="AA46" i="1" s="1"/>
  <c r="O47" i="1"/>
  <c r="N47" i="1" s="1"/>
  <c r="R47" i="1" s="1"/>
  <c r="O48" i="1"/>
  <c r="N48" i="1" s="1"/>
  <c r="R48" i="1" s="1"/>
  <c r="AA48" i="1" s="1"/>
  <c r="O49" i="1"/>
  <c r="N49" i="1" s="1"/>
  <c r="R49" i="1" s="1"/>
  <c r="O53" i="1"/>
  <c r="N53" i="1" s="1"/>
  <c r="R53" i="1" s="1"/>
  <c r="O56" i="1"/>
  <c r="N56" i="1" s="1"/>
  <c r="R56" i="1" s="1"/>
  <c r="AA56" i="1" s="1"/>
  <c r="O66" i="1"/>
  <c r="N66" i="1" s="1"/>
  <c r="R66" i="1" s="1"/>
  <c r="O67" i="1"/>
  <c r="N67" i="1" s="1"/>
  <c r="R67" i="1" s="1"/>
  <c r="O68" i="1"/>
  <c r="N68" i="1" s="1"/>
  <c r="R68" i="1" s="1"/>
  <c r="O70" i="1"/>
  <c r="N70" i="1" s="1"/>
  <c r="R70" i="1" s="1"/>
  <c r="O72" i="1"/>
  <c r="N72" i="1" s="1"/>
  <c r="R72" i="1" s="1"/>
  <c r="O73" i="1"/>
  <c r="N73" i="1" s="1"/>
  <c r="R73" i="1" s="1"/>
  <c r="O76" i="1"/>
  <c r="N76" i="1" s="1"/>
  <c r="R76" i="1" s="1"/>
  <c r="O78" i="1"/>
  <c r="N78" i="1" s="1"/>
  <c r="R78" i="1" s="1"/>
  <c r="O79" i="1"/>
  <c r="N79" i="1" s="1"/>
  <c r="R79" i="1" s="1"/>
  <c r="S79" i="1" s="1"/>
  <c r="O80" i="1"/>
  <c r="N80" i="1" s="1"/>
  <c r="R80" i="1" s="1"/>
  <c r="O81" i="1"/>
  <c r="N81" i="1" s="1"/>
  <c r="R81" i="1" s="1"/>
  <c r="AA81" i="1" s="1"/>
  <c r="O82" i="1"/>
  <c r="N82" i="1" s="1"/>
  <c r="R82" i="1" s="1"/>
  <c r="AA82" i="1" s="1"/>
  <c r="O84" i="1"/>
  <c r="N84" i="1" s="1"/>
  <c r="R84" i="1" s="1"/>
  <c r="O85" i="1"/>
  <c r="N85" i="1" s="1"/>
  <c r="R85" i="1" s="1"/>
  <c r="O87" i="1"/>
  <c r="N87" i="1" s="1"/>
  <c r="R87" i="1" s="1"/>
  <c r="O88" i="1"/>
  <c r="N88" i="1" s="1"/>
  <c r="R88" i="1" s="1"/>
  <c r="O95" i="1"/>
  <c r="N95" i="1" s="1"/>
  <c r="R95" i="1" s="1"/>
  <c r="O104" i="1"/>
  <c r="N104" i="1" s="1"/>
  <c r="R104" i="1" s="1"/>
  <c r="O109" i="1"/>
  <c r="N109" i="1" s="1"/>
  <c r="R109" i="1" s="1"/>
  <c r="AA109" i="1" s="1"/>
  <c r="O115" i="1"/>
  <c r="N115" i="1" s="1"/>
  <c r="R115" i="1" s="1"/>
  <c r="G7" i="1"/>
  <c r="AA7" i="1" s="1"/>
  <c r="G8" i="1"/>
  <c r="G9" i="1"/>
  <c r="AA9" i="1" s="1"/>
  <c r="G10" i="1"/>
  <c r="AA10" i="1" s="1"/>
  <c r="G11" i="1"/>
  <c r="AA11" i="1" s="1"/>
  <c r="G12" i="1"/>
  <c r="G13" i="1"/>
  <c r="AA13" i="1" s="1"/>
  <c r="G14" i="1"/>
  <c r="AA14" i="1" s="1"/>
  <c r="G15" i="1"/>
  <c r="AA15" i="1" s="1"/>
  <c r="G16" i="1"/>
  <c r="AA16" i="1" s="1"/>
  <c r="G17" i="1"/>
  <c r="AA17" i="1" s="1"/>
  <c r="G19" i="1"/>
  <c r="G21" i="1"/>
  <c r="AA21" i="1" s="1"/>
  <c r="G22" i="1"/>
  <c r="AA22" i="1" s="1"/>
  <c r="G25" i="1"/>
  <c r="AA25" i="1" s="1"/>
  <c r="G26" i="1"/>
  <c r="G30" i="1"/>
  <c r="G32" i="1"/>
  <c r="G34" i="1"/>
  <c r="G39" i="1"/>
  <c r="AA39" i="1" s="1"/>
  <c r="G40" i="1"/>
  <c r="AA40" i="1" s="1"/>
  <c r="G41" i="1"/>
  <c r="G42" i="1"/>
  <c r="AA42" i="1" s="1"/>
  <c r="G43" i="1"/>
  <c r="AA43" i="1" s="1"/>
  <c r="G47" i="1"/>
  <c r="G49" i="1"/>
  <c r="G53" i="1"/>
  <c r="AA53" i="1" s="1"/>
  <c r="G55" i="1"/>
  <c r="AA55" i="1" s="1"/>
  <c r="G61" i="1"/>
  <c r="AA61" i="1" s="1"/>
  <c r="G62" i="1"/>
  <c r="AA62" i="1" s="1"/>
  <c r="G63" i="1"/>
  <c r="G66" i="1"/>
  <c r="AA66" i="1" s="1"/>
  <c r="G67" i="1"/>
  <c r="AA67" i="1" s="1"/>
  <c r="G70" i="1"/>
  <c r="G71" i="1"/>
  <c r="G72" i="1"/>
  <c r="G73" i="1"/>
  <c r="G76" i="1"/>
  <c r="G78" i="1"/>
  <c r="G80" i="1"/>
  <c r="AA80" i="1" s="1"/>
  <c r="G84" i="1"/>
  <c r="AA84" i="1" s="1"/>
  <c r="G85" i="1"/>
  <c r="G87" i="1"/>
  <c r="G88" i="1"/>
  <c r="G95" i="1"/>
  <c r="AA95" i="1" s="1"/>
  <c r="G98" i="1"/>
  <c r="G104" i="1"/>
  <c r="G106" i="1"/>
  <c r="G115" i="1"/>
  <c r="G116" i="1"/>
  <c r="AA116" i="1" s="1"/>
  <c r="G117" i="1"/>
  <c r="AA117" i="1" s="1"/>
  <c r="G118" i="1"/>
  <c r="M119" i="1"/>
  <c r="M118" i="1"/>
  <c r="M117" i="1"/>
  <c r="M116" i="1"/>
  <c r="M115" i="1"/>
  <c r="M114" i="1"/>
  <c r="M113" i="1"/>
  <c r="F113" i="1"/>
  <c r="AA113" i="1" s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F76" i="1"/>
  <c r="AA76" i="1" s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L5" i="1"/>
  <c r="AK5" i="1"/>
  <c r="AJ5" i="1"/>
  <c r="AI5" i="1"/>
  <c r="AH5" i="1"/>
  <c r="AG5" i="1"/>
  <c r="AF5" i="1"/>
  <c r="AE5" i="1"/>
  <c r="AD5" i="1"/>
  <c r="AC5" i="1"/>
  <c r="Q5" i="1"/>
  <c r="P5" i="1"/>
  <c r="L5" i="1"/>
  <c r="E5" i="1"/>
  <c r="AB44" i="1" l="1"/>
  <c r="AB111" i="1"/>
  <c r="AB108" i="1"/>
  <c r="AB92" i="1"/>
  <c r="AB77" i="1"/>
  <c r="AB36" i="1"/>
  <c r="AB24" i="1"/>
  <c r="AB109" i="1"/>
  <c r="AB81" i="1"/>
  <c r="AB119" i="1"/>
  <c r="AB107" i="1"/>
  <c r="AB105" i="1"/>
  <c r="AB91" i="1"/>
  <c r="AB89" i="1"/>
  <c r="AB75" i="1"/>
  <c r="AB65" i="1"/>
  <c r="X79" i="1"/>
  <c r="AO79" i="1" s="1"/>
  <c r="X20" i="1"/>
  <c r="AO20" i="1" s="1"/>
  <c r="X112" i="1"/>
  <c r="AO112" i="1" s="1"/>
  <c r="X100" i="1"/>
  <c r="AO100" i="1" s="1"/>
  <c r="X96" i="1"/>
  <c r="AO96" i="1" s="1"/>
  <c r="X83" i="1"/>
  <c r="AO83" i="1" s="1"/>
  <c r="X101" i="1"/>
  <c r="AO101" i="1" s="1"/>
  <c r="X99" i="1"/>
  <c r="AO99" i="1" s="1"/>
  <c r="X97" i="1"/>
  <c r="AO97" i="1" s="1"/>
  <c r="X94" i="1"/>
  <c r="AO94" i="1" s="1"/>
  <c r="S118" i="1"/>
  <c r="S102" i="1"/>
  <c r="AB79" i="1"/>
  <c r="S72" i="1"/>
  <c r="S32" i="1"/>
  <c r="S117" i="1"/>
  <c r="S26" i="1"/>
  <c r="S87" i="1"/>
  <c r="S71" i="1"/>
  <c r="S115" i="1"/>
  <c r="S104" i="1"/>
  <c r="S88" i="1"/>
  <c r="S85" i="1"/>
  <c r="S78" i="1"/>
  <c r="S73" i="1"/>
  <c r="S70" i="1"/>
  <c r="S49" i="1"/>
  <c r="S47" i="1"/>
  <c r="S34" i="1"/>
  <c r="S30" i="1"/>
  <c r="S19" i="1"/>
  <c r="S106" i="1"/>
  <c r="S63" i="1"/>
  <c r="S93" i="1"/>
  <c r="AB56" i="1"/>
  <c r="AB103" i="1"/>
  <c r="AB94" i="1"/>
  <c r="AB69" i="1"/>
  <c r="AB52" i="1"/>
  <c r="S45" i="1"/>
  <c r="AB45" i="1"/>
  <c r="AB20" i="1"/>
  <c r="AB68" i="1"/>
  <c r="S68" i="1"/>
  <c r="AB28" i="1"/>
  <c r="S28" i="1"/>
  <c r="AB46" i="1"/>
  <c r="S39" i="1"/>
  <c r="AB100" i="1"/>
  <c r="S98" i="1"/>
  <c r="AB64" i="1"/>
  <c r="AB60" i="1"/>
  <c r="S60" i="1"/>
  <c r="AB54" i="1"/>
  <c r="AB51" i="1"/>
  <c r="S51" i="1"/>
  <c r="AB48" i="1"/>
  <c r="S41" i="1"/>
  <c r="S12" i="1"/>
  <c r="AB96" i="1"/>
  <c r="AB113" i="1"/>
  <c r="O5" i="1"/>
  <c r="N8" i="1"/>
  <c r="AB66" i="1"/>
  <c r="AB22" i="1"/>
  <c r="AB14" i="1"/>
  <c r="AB70" i="1"/>
  <c r="AB26" i="1"/>
  <c r="AB10" i="1"/>
  <c r="AB50" i="1"/>
  <c r="AB76" i="1"/>
  <c r="AB98" i="1"/>
  <c r="AB106" i="1"/>
  <c r="AB118" i="1"/>
  <c r="AB104" i="1"/>
  <c r="AB73" i="1"/>
  <c r="AB71" i="1"/>
  <c r="AB67" i="1"/>
  <c r="AB63" i="1"/>
  <c r="AB40" i="1"/>
  <c r="AB74" i="1"/>
  <c r="AB58" i="1"/>
  <c r="AB38" i="1"/>
  <c r="AB84" i="1"/>
  <c r="AB116" i="1"/>
  <c r="AB88" i="1"/>
  <c r="AB80" i="1"/>
  <c r="AB72" i="1"/>
  <c r="AB32" i="1"/>
  <c r="AB16" i="1"/>
  <c r="AB12" i="1"/>
  <c r="AB110" i="1"/>
  <c r="AB62" i="1"/>
  <c r="AB18" i="1"/>
  <c r="AB83" i="1"/>
  <c r="AB97" i="1"/>
  <c r="AB99" i="1"/>
  <c r="AB101" i="1"/>
  <c r="AB117" i="1"/>
  <c r="AB115" i="1"/>
  <c r="AB95" i="1"/>
  <c r="AB87" i="1"/>
  <c r="AB61" i="1"/>
  <c r="AB53" i="1"/>
  <c r="AB47" i="1"/>
  <c r="AB25" i="1"/>
  <c r="AB21" i="1"/>
  <c r="AB17" i="1"/>
  <c r="AB15" i="1"/>
  <c r="AB13" i="1"/>
  <c r="AB11" i="1"/>
  <c r="AB9" i="1"/>
  <c r="AB7" i="1"/>
  <c r="AB114" i="1"/>
  <c r="AB90" i="1"/>
  <c r="AB86" i="1"/>
  <c r="AB82" i="1"/>
  <c r="AB78" i="1"/>
  <c r="AB42" i="1"/>
  <c r="AB34" i="1"/>
  <c r="AB30" i="1"/>
  <c r="AB23" i="1"/>
  <c r="AB27" i="1"/>
  <c r="AB29" i="1"/>
  <c r="AB31" i="1"/>
  <c r="AB33" i="1"/>
  <c r="AB35" i="1"/>
  <c r="AB37" i="1"/>
  <c r="AB57" i="1"/>
  <c r="AB59" i="1"/>
  <c r="AB85" i="1"/>
  <c r="AB55" i="1"/>
  <c r="AB49" i="1"/>
  <c r="AB43" i="1"/>
  <c r="AB41" i="1"/>
  <c r="AB39" i="1"/>
  <c r="AB19" i="1"/>
  <c r="AB6" i="1"/>
  <c r="AB112" i="1"/>
  <c r="G5" i="1"/>
  <c r="M5" i="1"/>
  <c r="F5" i="1"/>
  <c r="U94" i="1" l="1"/>
  <c r="U99" i="1"/>
  <c r="V99" i="1" s="1"/>
  <c r="U83" i="1"/>
  <c r="V83" i="1" s="1"/>
  <c r="U100" i="1"/>
  <c r="V100" i="1" s="1"/>
  <c r="U20" i="1"/>
  <c r="U97" i="1"/>
  <c r="V97" i="1" s="1"/>
  <c r="U101" i="1"/>
  <c r="V101" i="1" s="1"/>
  <c r="U96" i="1"/>
  <c r="V96" i="1" s="1"/>
  <c r="U112" i="1"/>
  <c r="V112" i="1" s="1"/>
  <c r="U79" i="1"/>
  <c r="V79" i="1" s="1"/>
  <c r="X41" i="1"/>
  <c r="AO41" i="1" s="1"/>
  <c r="X63" i="1"/>
  <c r="AO63" i="1" s="1"/>
  <c r="X19" i="1"/>
  <c r="Y19" i="1" s="1"/>
  <c r="AO19" i="1" s="1"/>
  <c r="X34" i="1"/>
  <c r="AO34" i="1" s="1"/>
  <c r="X49" i="1"/>
  <c r="AO49" i="1" s="1"/>
  <c r="X73" i="1"/>
  <c r="Y73" i="1" s="1"/>
  <c r="AO73" i="1" s="1"/>
  <c r="X85" i="1"/>
  <c r="AO85" i="1" s="1"/>
  <c r="X104" i="1"/>
  <c r="AO104" i="1" s="1"/>
  <c r="X71" i="1"/>
  <c r="Y71" i="1" s="1"/>
  <c r="AO71" i="1" s="1"/>
  <c r="X26" i="1"/>
  <c r="AO26" i="1" s="1"/>
  <c r="X32" i="1"/>
  <c r="AO32" i="1" s="1"/>
  <c r="X118" i="1"/>
  <c r="AO118" i="1" s="1"/>
  <c r="X12" i="1"/>
  <c r="AO12" i="1" s="1"/>
  <c r="X60" i="1"/>
  <c r="AO60" i="1" s="1"/>
  <c r="X98" i="1"/>
  <c r="Y98" i="1" s="1"/>
  <c r="AO98" i="1" s="1"/>
  <c r="X28" i="1"/>
  <c r="AO28" i="1" s="1"/>
  <c r="X68" i="1"/>
  <c r="AO68" i="1" s="1"/>
  <c r="X45" i="1"/>
  <c r="AO45" i="1" s="1"/>
  <c r="X93" i="1"/>
  <c r="AO93" i="1" s="1"/>
  <c r="X106" i="1"/>
  <c r="AO106" i="1" s="1"/>
  <c r="X30" i="1"/>
  <c r="AO30" i="1" s="1"/>
  <c r="X47" i="1"/>
  <c r="AO47" i="1" s="1"/>
  <c r="X70" i="1"/>
  <c r="AO70" i="1" s="1"/>
  <c r="X78" i="1"/>
  <c r="AO78" i="1" s="1"/>
  <c r="X88" i="1"/>
  <c r="Y88" i="1" s="1"/>
  <c r="AO88" i="1" s="1"/>
  <c r="X115" i="1"/>
  <c r="Y115" i="1" s="1"/>
  <c r="AO115" i="1" s="1"/>
  <c r="X87" i="1"/>
  <c r="AO87" i="1" s="1"/>
  <c r="X72" i="1"/>
  <c r="AO72" i="1" s="1"/>
  <c r="X102" i="1"/>
  <c r="Y102" i="1" s="1"/>
  <c r="AO102" i="1" s="1"/>
  <c r="R8" i="1"/>
  <c r="S8" i="1" s="1"/>
  <c r="N5" i="1"/>
  <c r="AN79" i="1" l="1"/>
  <c r="AA79" i="1"/>
  <c r="AA96" i="1"/>
  <c r="AN96" i="1"/>
  <c r="AN97" i="1"/>
  <c r="AA97" i="1"/>
  <c r="AA100" i="1"/>
  <c r="AN100" i="1"/>
  <c r="AN99" i="1"/>
  <c r="AA99" i="1"/>
  <c r="AA112" i="1"/>
  <c r="AN112" i="1"/>
  <c r="AN101" i="1"/>
  <c r="AA101" i="1"/>
  <c r="AA20" i="1"/>
  <c r="AN20" i="1"/>
  <c r="AN83" i="1"/>
  <c r="AA83" i="1"/>
  <c r="AA94" i="1"/>
  <c r="AN94" i="1"/>
  <c r="U102" i="1"/>
  <c r="V102" i="1" s="1"/>
  <c r="U87" i="1"/>
  <c r="V87" i="1" s="1"/>
  <c r="U88" i="1"/>
  <c r="V88" i="1" s="1"/>
  <c r="U70" i="1"/>
  <c r="U30" i="1"/>
  <c r="U45" i="1"/>
  <c r="V45" i="1" s="1"/>
  <c r="U28" i="1"/>
  <c r="V28" i="1" s="1"/>
  <c r="U60" i="1"/>
  <c r="V60" i="1" s="1"/>
  <c r="U118" i="1"/>
  <c r="V118" i="1" s="1"/>
  <c r="U26" i="1"/>
  <c r="U104" i="1"/>
  <c r="V104" i="1" s="1"/>
  <c r="U73" i="1"/>
  <c r="V73" i="1" s="1"/>
  <c r="U34" i="1"/>
  <c r="U63" i="1"/>
  <c r="V63" i="1" s="1"/>
  <c r="U72" i="1"/>
  <c r="V72" i="1" s="1"/>
  <c r="U115" i="1"/>
  <c r="V115" i="1" s="1"/>
  <c r="U78" i="1"/>
  <c r="V78" i="1" s="1"/>
  <c r="U47" i="1"/>
  <c r="V47" i="1" s="1"/>
  <c r="U106" i="1"/>
  <c r="V106" i="1" s="1"/>
  <c r="U93" i="1"/>
  <c r="V93" i="1" s="1"/>
  <c r="U68" i="1"/>
  <c r="U98" i="1"/>
  <c r="V98" i="1" s="1"/>
  <c r="U12" i="1"/>
  <c r="U32" i="1"/>
  <c r="V32" i="1" s="1"/>
  <c r="U71" i="1"/>
  <c r="V71" i="1" s="1"/>
  <c r="U85" i="1"/>
  <c r="V85" i="1" s="1"/>
  <c r="U49" i="1"/>
  <c r="V49" i="1" s="1"/>
  <c r="U19" i="1"/>
  <c r="V19" i="1" s="1"/>
  <c r="U41" i="1"/>
  <c r="S5" i="1"/>
  <c r="X8" i="1"/>
  <c r="R5" i="1"/>
  <c r="AB8" i="1"/>
  <c r="AN19" i="1" l="1"/>
  <c r="AA19" i="1"/>
  <c r="AN85" i="1"/>
  <c r="AA85" i="1"/>
  <c r="AA32" i="1"/>
  <c r="AN32" i="1"/>
  <c r="AA98" i="1"/>
  <c r="AN98" i="1"/>
  <c r="AN93" i="1"/>
  <c r="AA93" i="1"/>
  <c r="AN47" i="1"/>
  <c r="AA47" i="1"/>
  <c r="AN115" i="1"/>
  <c r="AA115" i="1"/>
  <c r="AN63" i="1"/>
  <c r="AA63" i="1"/>
  <c r="AN73" i="1"/>
  <c r="AA73" i="1"/>
  <c r="AA26" i="1"/>
  <c r="AN26" i="1"/>
  <c r="AA60" i="1"/>
  <c r="AN60" i="1"/>
  <c r="AN45" i="1"/>
  <c r="AA45" i="1"/>
  <c r="AA70" i="1"/>
  <c r="AN70" i="1"/>
  <c r="AN87" i="1"/>
  <c r="AA87" i="1"/>
  <c r="X5" i="1"/>
  <c r="AN41" i="1"/>
  <c r="AA41" i="1"/>
  <c r="AN49" i="1"/>
  <c r="AA49" i="1"/>
  <c r="AN71" i="1"/>
  <c r="AA71" i="1"/>
  <c r="AA12" i="1"/>
  <c r="AN12" i="1"/>
  <c r="AA68" i="1"/>
  <c r="AN68" i="1"/>
  <c r="AA106" i="1"/>
  <c r="AN106" i="1"/>
  <c r="AA78" i="1"/>
  <c r="AN78" i="1"/>
  <c r="AA72" i="1"/>
  <c r="AN72" i="1"/>
  <c r="AA34" i="1"/>
  <c r="AN34" i="1"/>
  <c r="AA104" i="1"/>
  <c r="AN104" i="1"/>
  <c r="AA118" i="1"/>
  <c r="AN118" i="1"/>
  <c r="AA28" i="1"/>
  <c r="AN28" i="1"/>
  <c r="AA30" i="1"/>
  <c r="AN30" i="1"/>
  <c r="AA88" i="1"/>
  <c r="AN88" i="1"/>
  <c r="AA102" i="1"/>
  <c r="AN102" i="1"/>
  <c r="U8" i="1"/>
  <c r="V8" i="1" s="1"/>
  <c r="AA8" i="1" l="1"/>
  <c r="AN8" i="1"/>
  <c r="V5" i="1"/>
  <c r="AO8" i="1"/>
  <c r="AO5" i="1" s="1"/>
  <c r="Y5" i="1"/>
  <c r="U5" i="1"/>
  <c r="AN5" i="1"/>
</calcChain>
</file>

<file path=xl/sharedStrings.xml><?xml version="1.0" encoding="utf-8"?>
<sst xmlns="http://schemas.openxmlformats.org/spreadsheetml/2006/main" count="471" uniqueCount="189">
  <si>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</si>
  <si>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</si>
  <si>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</si>
  <si>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</si>
  <si>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</si>
  <si>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</si>
  <si>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</si>
  <si>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</si>
  <si>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</si>
  <si>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</si>
  <si>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</si>
  <si>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</si>
  <si>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</si>
  <si>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</si>
  <si>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</si>
  <si>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</si>
  <si>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</si>
  <si>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</si>
  <si>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</si>
  <si>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</si>
  <si>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</si>
  <si>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</si>
  <si>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</si>
  <si>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22,09,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</si>
  <si>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</si>
  <si>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</si>
  <si>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</si>
  <si>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</si>
  <si>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</si>
  <si>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</si>
  <si>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</si>
  <si>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</si>
  <si>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</si>
  <si>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</si>
  <si>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</si>
  <si>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</si>
  <si>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</si>
  <si>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</si>
  <si>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</si>
  <si>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</si>
  <si>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</si>
  <si>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</si>
  <si>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</si>
  <si>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</si>
  <si>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</si>
  <si>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</si>
  <si>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</si>
  <si>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</si>
  <si>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</si>
  <si>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</si>
  <si>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</si>
  <si>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</si>
  <si>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</si>
  <si>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</si>
  <si>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</si>
  <si>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</si>
  <si>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</si>
  <si>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</si>
  <si>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</si>
  <si>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</si>
  <si>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</si>
  <si>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</si>
  <si>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</si>
  <si>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</si>
  <si>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</si>
  <si>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</si>
  <si>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</si>
  <si>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</si>
  <si>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</si>
  <si>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</si>
  <si>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</si>
  <si>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</si>
  <si>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</si>
  <si>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</si>
  <si>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</si>
  <si>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</si>
  <si>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</si>
  <si>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</si>
  <si>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</si>
  <si>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</si>
  <si>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</si>
  <si>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</si>
  <si>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</si>
  <si>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</si>
  <si>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</si>
  <si>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</si>
  <si>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</si>
  <si>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</si>
  <si>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</si>
  <si>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</si>
  <si>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</si>
  <si>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</si>
  <si>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</si>
  <si>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</si>
  <si>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</si>
  <si>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</si>
  <si>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</si>
  <si>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</si>
  <si>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</si>
  <si>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</si>
  <si>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</si>
  <si>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</si>
  <si>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</si>
  <si>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</si>
  <si>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</si>
  <si>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</si>
  <si>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</si>
  <si>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</si>
  <si>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</si>
  <si>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</si>
  <si>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</si>
  <si>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</si>
  <si>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</si>
  <si>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</si>
  <si>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</si>
  <si>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</si>
  <si>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</si>
  <si>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</si>
  <si>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</si>
  <si>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</si>
  <si>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</si>
  <si>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</si>
  <si>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</si>
  <si>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</si>
  <si>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</si>
  <si>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</si>
  <si>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</si>
  <si>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</si>
  <si>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</si>
  <si>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</si>
  <si>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</si>
  <si>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</si>
  <si>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</si>
  <si>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</si>
  <si>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</si>
  <si>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</si>
  <si>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</si>
  <si>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</si>
  <si>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</si>
  <si>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</si>
  <si>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</si>
  <si>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</si>
  <si>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</si>
  <si>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</si>
  <si>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</si>
  <si>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</si>
  <si>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</si>
  <si>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</si>
  <si>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</si>
  <si>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</si>
  <si>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</si>
  <si>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</si>
  <si>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</si>
  <si>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</si>
  <si>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</si>
  <si>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</si>
  <si>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</si>
  <si>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</si>
  <si>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</si>
  <si>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</si>
  <si>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</si>
  <si>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</si>
  <si>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374шт списание (11,08,26)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</si>
  <si>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</si>
  <si>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</si>
  <si>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</si>
  <si>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</si>
  <si>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</si>
  <si>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</si>
  <si>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</si>
  <si>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</si>
  <si>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</si>
  <si>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</si>
  <si>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</si>
  <si>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</si>
  <si>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</si>
  <si>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Бердянск</t>
  </si>
  <si>
    <t>Мариуполь</t>
  </si>
  <si>
    <t>нужно увеличить продажи / плюсом 5 дней</t>
  </si>
  <si>
    <t>81шт списано (19,09,26)</t>
  </si>
  <si>
    <t>102шт списано (19,09,26)</t>
  </si>
  <si>
    <t>192шт списано (11,08,26)</t>
  </si>
  <si>
    <t>%</t>
  </si>
  <si>
    <t>Общий</t>
  </si>
  <si>
    <t>ТК</t>
  </si>
  <si>
    <t>Титенок</t>
  </si>
  <si>
    <t>заказ</t>
  </si>
  <si>
    <t>29,09,б</t>
  </si>
  <si>
    <t>29,09,м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</si>
</sst>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4" borderId="1" xfId="1" applyNumberFormat="1" applyFont="1" applyFill="1"/>
    <xf numFmtId="164" fontId="6" fillId="6" borderId="1" xfId="1" applyNumberFormat="1" applyFont="1" applyFill="1"/>
    <xf numFmtId="164" fontId="1" fillId="5" borderId="1" xfId="1" applyNumberFormat="1" applyFill="1"/>
    <xf numFmtId="10" fontId="1" fillId="0" borderId="1" xfId="1" applyNumberFormat="1"/>
    <xf numFmtId="10" fontId="3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 applyBorder="1"/>
    <xf numFmtId="0" fontId="0" fillId="0" borderId="1" xfId="0" applyBorder="1"/>
    <xf numFmtId="164" fontId="1" fillId="0" borderId="3" xfId="1" applyNumberFormat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1" fillId="0" borderId="5" xfId="1" applyNumberFormat="1" applyBorder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_&#1052;&#1072;&#1088;&#1080;&#1091;&#1087;&#1086;&#1083;&#1100;/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_&#1052;&#1072;&#1088;&#1080;&#1091;&#1087;&#1086;&#1083;&#1100;/&#1076;&#1074;%2021,09,26%20&#1084;&#1088;&#1088;&#1089;&#1095;%20&#1086;&#1089;&#1090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_&#1052;&#1072;&#1088;&#1080;&#1091;&#1087;&#1086;&#1083;&#1100;/&#1087;&#1088;&#1086;&#1076;&#1072;&#1078;&#1080;%20&#1054;&#1055;&#1058;%2015,09,26-21,09,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1,09,26%20&#1073;&#1088;&#1088;&#1089;&#1095;%20&#1080;%20&#1084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14.09.2026 - 21.09.2026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Останкино" И
Номенклатура В группе из списка "ООО Останкино-Краснодар (...; Останкино КОРОВИНО (ВЕС); Останкино КОРОВИНО (ШТ); Останкино КУМАЧ (ШТ); ООО Останкино-Краснодар"</v>
          </cell>
        </row>
        <row r="8">
          <cell r="A8" t="str">
            <v>Номенклатура</v>
          </cell>
          <cell r="D8" t="str">
            <v>Количество</v>
          </cell>
          <cell r="J8" t="str">
            <v>Вес (нетто), кг</v>
          </cell>
        </row>
        <row r="9">
          <cell r="D9" t="str">
            <v>Начальный остаток</v>
          </cell>
          <cell r="F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>3215 ВЕТЧ.МЯСНАЯ Папа может п/о 0.4кг 8шт.    ОСТАНКИНО</v>
          </cell>
          <cell r="F10">
            <v>72</v>
          </cell>
          <cell r="I10">
            <v>72</v>
          </cell>
          <cell r="K10">
            <v>28.8</v>
          </cell>
          <cell r="M10">
            <v>28.8</v>
          </cell>
        </row>
        <row r="11">
          <cell r="A11" t="str">
            <v>3287 САЛЯМИ ИТАЛЬЯНСКАЯ с/к в/у ОСТАНКИНО</v>
          </cell>
          <cell r="F11">
            <v>8.0419999999999998</v>
          </cell>
          <cell r="I11">
            <v>8.0419999999999998</v>
          </cell>
          <cell r="K11">
            <v>8.0419999999999998</v>
          </cell>
          <cell r="M11">
            <v>8.0419999999999998</v>
          </cell>
        </row>
        <row r="12">
          <cell r="A12" t="str">
            <v>3986 Ароматная с/к в/у 1/250 ОСТАНКИНО</v>
          </cell>
          <cell r="F12">
            <v>72</v>
          </cell>
          <cell r="I12">
            <v>72</v>
          </cell>
          <cell r="K12">
            <v>18</v>
          </cell>
          <cell r="M12">
            <v>18</v>
          </cell>
        </row>
        <row r="13">
          <cell r="A13" t="str">
            <v>4063 МЯСНАЯ Папа может вар п/о_Л   ОСТАНКИНО</v>
          </cell>
          <cell r="F13">
            <v>169.85499999999999</v>
          </cell>
          <cell r="I13">
            <v>169.85499999999999</v>
          </cell>
          <cell r="K13">
            <v>169.85499999999999</v>
          </cell>
          <cell r="M13">
            <v>169.85499999999999</v>
          </cell>
        </row>
        <row r="14">
          <cell r="A14" t="str">
            <v>4117 ЭКСТРА Папа может с/к в/у_Л   ОСТАНКИНО</v>
          </cell>
          <cell r="F14">
            <v>28.311</v>
          </cell>
          <cell r="I14">
            <v>28.311</v>
          </cell>
          <cell r="K14">
            <v>28.311</v>
          </cell>
          <cell r="M14">
            <v>28.311</v>
          </cell>
        </row>
        <row r="15">
          <cell r="A15" t="str">
            <v>4574 Мясная со шпиком Папа может вар п/о ОСТАНКИНО</v>
          </cell>
          <cell r="F15">
            <v>40.392000000000003</v>
          </cell>
          <cell r="I15">
            <v>40.392000000000003</v>
          </cell>
          <cell r="K15">
            <v>40.392000000000003</v>
          </cell>
          <cell r="M15">
            <v>40.392000000000003</v>
          </cell>
        </row>
        <row r="16">
          <cell r="A16" t="str">
            <v>4813 ФИЛЕЙНАЯ Папа может вар п/о_Л   ОСТАНКИНО</v>
          </cell>
          <cell r="F16">
            <v>293.66199999999998</v>
          </cell>
          <cell r="I16">
            <v>293.66199999999998</v>
          </cell>
          <cell r="K16">
            <v>293.66199999999998</v>
          </cell>
          <cell r="M16">
            <v>293.66199999999998</v>
          </cell>
        </row>
        <row r="17">
          <cell r="A17" t="str">
            <v>4993 САЛЯМИ ИТАЛЬЯНСКАЯ с/к в/у 1/250*8_120c ОСТАНКИНО</v>
          </cell>
          <cell r="F17">
            <v>128</v>
          </cell>
          <cell r="H17">
            <v>2</v>
          </cell>
          <cell r="I17">
            <v>126</v>
          </cell>
          <cell r="K17">
            <v>32</v>
          </cell>
          <cell r="L17">
            <v>0.5</v>
          </cell>
          <cell r="M17">
            <v>31.5</v>
          </cell>
        </row>
        <row r="18">
          <cell r="A18" t="str">
            <v>5452 ВЕТЧ.МЯСНАЯ Папа может п/о    ОСТАНКИНО</v>
          </cell>
          <cell r="F18">
            <v>61.256999999999998</v>
          </cell>
          <cell r="I18">
            <v>61.256999999999998</v>
          </cell>
          <cell r="K18">
            <v>61.256999999999998</v>
          </cell>
          <cell r="M18">
            <v>61.256999999999998</v>
          </cell>
        </row>
        <row r="19">
          <cell r="A19" t="str">
            <v>5483 ЭКСТРА Папа может с/к в/у 1/250 8шт.   ОСТАНКИНО</v>
          </cell>
          <cell r="F19">
            <v>128</v>
          </cell>
          <cell r="H19">
            <v>1</v>
          </cell>
          <cell r="I19">
            <v>127</v>
          </cell>
          <cell r="K19">
            <v>32</v>
          </cell>
          <cell r="L19">
            <v>0.25</v>
          </cell>
          <cell r="M19">
            <v>31.75</v>
          </cell>
        </row>
        <row r="20">
          <cell r="A20" t="str">
            <v>5495 ВЕТЧ.С ИНДЕЙКОЙ Папа может п/о 400*6  Останкино</v>
          </cell>
          <cell r="F20">
            <v>150</v>
          </cell>
          <cell r="I20">
            <v>150</v>
          </cell>
          <cell r="K20">
            <v>60</v>
          </cell>
          <cell r="M20">
            <v>60</v>
          </cell>
        </row>
        <row r="21">
          <cell r="A21" t="str">
            <v>5708 ПОСОЛЬСКАЯ Папа может с/к в/у ОСТАНКИНО</v>
          </cell>
          <cell r="F21">
            <v>16.548999999999999</v>
          </cell>
          <cell r="I21">
            <v>16.548999999999999</v>
          </cell>
          <cell r="K21">
            <v>16.548999999999999</v>
          </cell>
          <cell r="M21">
            <v>16.548999999999999</v>
          </cell>
        </row>
        <row r="22">
          <cell r="A22" t="str">
            <v>5851 ЭКСТРА Папа может вар п/о   ОСТАНКИНО</v>
          </cell>
          <cell r="F22">
            <v>40.296999999999997</v>
          </cell>
          <cell r="I22">
            <v>40.296999999999997</v>
          </cell>
          <cell r="K22">
            <v>40.296999999999997</v>
          </cell>
          <cell r="M22">
            <v>40.296999999999997</v>
          </cell>
        </row>
        <row r="23">
          <cell r="A23" t="str">
            <v>5931 ОХОТНИЧЬЯ Папа может с/к в/у 1/220 8шт.   ОСТАНКИНО</v>
          </cell>
          <cell r="F23">
            <v>224</v>
          </cell>
          <cell r="H23">
            <v>1</v>
          </cell>
          <cell r="I23">
            <v>223</v>
          </cell>
          <cell r="K23">
            <v>49.28</v>
          </cell>
          <cell r="L23">
            <v>0.22</v>
          </cell>
          <cell r="M23">
            <v>49.06</v>
          </cell>
        </row>
        <row r="24">
          <cell r="A24" t="str">
            <v>6220 ГОВЯЖЬЯ папа может вар п/о  Останкино</v>
          </cell>
          <cell r="F24">
            <v>12.153</v>
          </cell>
          <cell r="H24">
            <v>1.349</v>
          </cell>
          <cell r="I24">
            <v>10.804</v>
          </cell>
          <cell r="K24">
            <v>12.153</v>
          </cell>
          <cell r="L24">
            <v>1.349</v>
          </cell>
          <cell r="M24">
            <v>10.804</v>
          </cell>
        </row>
        <row r="25">
          <cell r="A25" t="str">
            <v>6221 НЕОПОЛИТАНСКИЙ ДУЭТ с/к с/н мгс 1/90  Останкино</v>
          </cell>
          <cell r="F25">
            <v>20</v>
          </cell>
          <cell r="I25">
            <v>20</v>
          </cell>
          <cell r="K25">
            <v>1.8</v>
          </cell>
          <cell r="M25">
            <v>1.8</v>
          </cell>
        </row>
        <row r="26">
          <cell r="A26" t="str">
            <v>6303 Мясные Папа может сос п/о мгс 1,5*3  Останкино</v>
          </cell>
          <cell r="F26">
            <v>115.601</v>
          </cell>
          <cell r="I26">
            <v>115.601</v>
          </cell>
          <cell r="K26">
            <v>115.601</v>
          </cell>
          <cell r="M26">
            <v>115.601</v>
          </cell>
        </row>
        <row r="27">
          <cell r="A27" t="str">
            <v>6333 МЯСНАЯ Папа может вар п/о 0.4кг 8шт.  ОСТАНКИНО</v>
          </cell>
          <cell r="F27">
            <v>168</v>
          </cell>
          <cell r="H27">
            <v>3</v>
          </cell>
          <cell r="I27">
            <v>165</v>
          </cell>
          <cell r="K27">
            <v>67.2</v>
          </cell>
          <cell r="L27">
            <v>1.2</v>
          </cell>
          <cell r="M27">
            <v>66</v>
          </cell>
        </row>
        <row r="28">
          <cell r="A28" t="str">
            <v>6392 ФИЛЕЙНАЯ Папа может вар п/о 0,4кг  ОСТАНКИНО</v>
          </cell>
          <cell r="F28">
            <v>168</v>
          </cell>
          <cell r="H28">
            <v>4</v>
          </cell>
          <cell r="I28">
            <v>164</v>
          </cell>
          <cell r="K28">
            <v>67.2</v>
          </cell>
          <cell r="L28">
            <v>1.6</v>
          </cell>
          <cell r="M28">
            <v>65.599999999999994</v>
          </cell>
        </row>
        <row r="29">
          <cell r="A29" t="str">
            <v>6495 ВЕТЧ.МРАМОРНАЯ в/у срез 0,3кг 6шт_45с  Останкино</v>
          </cell>
          <cell r="F29">
            <v>30</v>
          </cell>
          <cell r="H29">
            <v>1</v>
          </cell>
          <cell r="I29">
            <v>29</v>
          </cell>
          <cell r="K29">
            <v>9</v>
          </cell>
          <cell r="L29">
            <v>0.3</v>
          </cell>
          <cell r="M29">
            <v>8.6999999999999993</v>
          </cell>
        </row>
        <row r="30">
          <cell r="A30" t="str">
            <v>6498 МОЛОЧНАЯ Папа может вар п/о  ОСТАНКИНО</v>
          </cell>
          <cell r="F30">
            <v>370.803</v>
          </cell>
          <cell r="I30">
            <v>370.803</v>
          </cell>
          <cell r="K30">
            <v>370.803</v>
          </cell>
          <cell r="M30">
            <v>370.803</v>
          </cell>
        </row>
        <row r="31">
          <cell r="A31" t="str">
            <v>6527 ШПИКАЧКИ СОЧНЫЕ ПМ сар б/о мгс 1*3 45с ОСТАНКИНО</v>
          </cell>
          <cell r="F31">
            <v>6.34</v>
          </cell>
          <cell r="I31">
            <v>6.34</v>
          </cell>
          <cell r="K31">
            <v>6.34</v>
          </cell>
          <cell r="M31">
            <v>6.34</v>
          </cell>
        </row>
        <row r="32">
          <cell r="A32" t="str">
            <v>6550 МЯСНЫЕ Папа может сар б/о мгс 1*3 О 45с  Останкино</v>
          </cell>
          <cell r="F32">
            <v>31.033999999999999</v>
          </cell>
          <cell r="H32">
            <v>1.0549999999999999</v>
          </cell>
          <cell r="I32">
            <v>29.978999999999999</v>
          </cell>
          <cell r="K32">
            <v>31.033999999999999</v>
          </cell>
          <cell r="L32">
            <v>1.0549999999999999</v>
          </cell>
          <cell r="M32">
            <v>29.978999999999999</v>
          </cell>
        </row>
        <row r="33">
          <cell r="A33" t="str">
            <v>6608 С ГОВЯДИНОЙ ОРИГИН. сар б/о мгс 1*3_45с  ОСТАНКИНО</v>
          </cell>
          <cell r="F33">
            <v>3.1379999999999999</v>
          </cell>
          <cell r="I33">
            <v>3.1379999999999999</v>
          </cell>
          <cell r="K33">
            <v>3.1379999999999999</v>
          </cell>
          <cell r="M33">
            <v>3.1379999999999999</v>
          </cell>
        </row>
        <row r="34">
          <cell r="A34" t="str">
            <v>6697 СЕРВЕЛАТ ФИНСКИЙ ПМ в/к в/у 0,35кг 8шт  ОСТАНКИНО</v>
          </cell>
          <cell r="F34">
            <v>96</v>
          </cell>
          <cell r="H34">
            <v>4</v>
          </cell>
          <cell r="I34">
            <v>92</v>
          </cell>
          <cell r="K34">
            <v>33.6</v>
          </cell>
          <cell r="L34">
            <v>1.4</v>
          </cell>
          <cell r="M34">
            <v>32.200000000000003</v>
          </cell>
        </row>
        <row r="35">
          <cell r="A35" t="str">
            <v>6724 МОЛОЧНЫЕ ПМ сос п/о мгс 0,41кг 10шт  Останкино</v>
          </cell>
          <cell r="F35">
            <v>160</v>
          </cell>
          <cell r="H35">
            <v>2</v>
          </cell>
          <cell r="I35">
            <v>158</v>
          </cell>
          <cell r="K35">
            <v>65.599999999999994</v>
          </cell>
          <cell r="L35">
            <v>0.82</v>
          </cell>
          <cell r="M35">
            <v>64.78</v>
          </cell>
        </row>
        <row r="36">
          <cell r="A36" t="str">
            <v>6797 С ИНДЕЙКОЙ Папа может вар п/о 0,4кг 8шт. ОСТАНКИНО</v>
          </cell>
          <cell r="H36">
            <v>2</v>
          </cell>
          <cell r="I36">
            <v>-2</v>
          </cell>
          <cell r="L36">
            <v>0.8</v>
          </cell>
          <cell r="M36">
            <v>-0.8</v>
          </cell>
        </row>
        <row r="37">
          <cell r="A37" t="str">
            <v>6829  МОЛОЧНЫЕ КЛАССИЧЕСКИЕ сос п/о мгс 2*4 С  Останккино</v>
          </cell>
          <cell r="F37">
            <v>8.4250000000000007</v>
          </cell>
          <cell r="H37">
            <v>2.0680000000000001</v>
          </cell>
          <cell r="I37">
            <v>6.3570000000000002</v>
          </cell>
          <cell r="K37">
            <v>8.4250000000000007</v>
          </cell>
          <cell r="L37">
            <v>2.0680000000000001</v>
          </cell>
          <cell r="M37">
            <v>6.3570000000000002</v>
          </cell>
        </row>
        <row r="38">
          <cell r="A38" t="str">
            <v>6937 САЛЯМИ Папа может с/к в/у 1/250 8шт  Останкино</v>
          </cell>
          <cell r="F38">
            <v>120</v>
          </cell>
          <cell r="I38">
            <v>120</v>
          </cell>
          <cell r="K38">
            <v>30</v>
          </cell>
          <cell r="M38">
            <v>30</v>
          </cell>
        </row>
        <row r="39">
          <cell r="A39" t="str">
            <v>6967 БУРГУНДИЯ Папа может с/к в/у 1/250 8шт  Останкино</v>
          </cell>
          <cell r="F39">
            <v>64</v>
          </cell>
          <cell r="I39">
            <v>64</v>
          </cell>
          <cell r="K39">
            <v>16</v>
          </cell>
          <cell r="M39">
            <v>16</v>
          </cell>
        </row>
        <row r="40">
          <cell r="A40" t="str">
            <v>7001 КЛАССИЧЕСКИЕ Папа может сар б/о мгс 1*3  Останкино</v>
          </cell>
          <cell r="F40">
            <v>6.234</v>
          </cell>
          <cell r="I40">
            <v>6.234</v>
          </cell>
          <cell r="K40">
            <v>6.234</v>
          </cell>
          <cell r="M40">
            <v>6.234</v>
          </cell>
        </row>
        <row r="41">
          <cell r="A41" t="str">
            <v>7066 СОЧНЫЕ ПМ сос п/о мгс 0,41кг 10шт 50с  Останкино</v>
          </cell>
          <cell r="F41">
            <v>440</v>
          </cell>
          <cell r="H41">
            <v>6</v>
          </cell>
          <cell r="I41">
            <v>434</v>
          </cell>
          <cell r="K41">
            <v>180.4</v>
          </cell>
          <cell r="L41">
            <v>2.46</v>
          </cell>
          <cell r="M41">
            <v>177.94</v>
          </cell>
        </row>
        <row r="42">
          <cell r="A42" t="str">
            <v>7070 СОЧНЫЕ ПМ сос п/о 1,5*4_А_50с  Останкино</v>
          </cell>
          <cell r="F42">
            <v>191.774</v>
          </cell>
          <cell r="H42">
            <v>1.554</v>
          </cell>
          <cell r="I42">
            <v>190.22</v>
          </cell>
          <cell r="K42">
            <v>191.774</v>
          </cell>
          <cell r="L42">
            <v>1.554</v>
          </cell>
          <cell r="M42">
            <v>190.22</v>
          </cell>
        </row>
        <row r="43">
          <cell r="A43" t="str">
            <v>7080 СЛИВОЧНЫЕ ПМ сос п/о мгс 0,41кг 10шт 50с  Останкино</v>
          </cell>
          <cell r="F43">
            <v>240</v>
          </cell>
          <cell r="H43">
            <v>3</v>
          </cell>
          <cell r="I43">
            <v>237</v>
          </cell>
          <cell r="K43">
            <v>98.4</v>
          </cell>
          <cell r="L43">
            <v>1.23</v>
          </cell>
          <cell r="M43">
            <v>97.17</v>
          </cell>
        </row>
        <row r="44">
          <cell r="A44" t="str">
            <v>7083 СЛИВОЧНЫЕ ПМ сос п/о мгс 1.5*4_А_50с  ОСТАНКИНО</v>
          </cell>
          <cell r="F44">
            <v>6.2969999999999997</v>
          </cell>
          <cell r="I44">
            <v>6.2969999999999997</v>
          </cell>
          <cell r="K44">
            <v>6.2969999999999997</v>
          </cell>
          <cell r="M44">
            <v>6.2969999999999997</v>
          </cell>
        </row>
        <row r="45">
          <cell r="A45" t="str">
            <v>7090 СВИНИНА ПО-ДОМ.к/в мл/к в/у 0,3кг_50с  Останкино</v>
          </cell>
          <cell r="F45">
            <v>66</v>
          </cell>
          <cell r="I45">
            <v>66</v>
          </cell>
          <cell r="K45">
            <v>19.8</v>
          </cell>
          <cell r="M45">
            <v>19.8</v>
          </cell>
        </row>
        <row r="46">
          <cell r="A46" t="str">
            <v>7103 БЕКОН Останкино с/к с/н в/у 1/180_50с  Останкино</v>
          </cell>
          <cell r="F46">
            <v>100</v>
          </cell>
          <cell r="I46">
            <v>100</v>
          </cell>
          <cell r="K46">
            <v>18</v>
          </cell>
          <cell r="M46">
            <v>18</v>
          </cell>
        </row>
        <row r="47">
          <cell r="A47" t="str">
            <v>7154 СЕРВЕЛАТ ЗЕРНИСТЫЙ ПМ в/к в/у 0,35кг_50с  Останкино</v>
          </cell>
          <cell r="F47">
            <v>392</v>
          </cell>
          <cell r="H47">
            <v>3</v>
          </cell>
          <cell r="I47">
            <v>389</v>
          </cell>
          <cell r="K47">
            <v>137.19999999999999</v>
          </cell>
          <cell r="L47">
            <v>1.05</v>
          </cell>
          <cell r="M47">
            <v>136.15</v>
          </cell>
        </row>
        <row r="48">
          <cell r="A48" t="str">
            <v>7157 СЕРВЕЛАТ ЗЕРНИСТЫЙ ПМ в/к в/у_50с  Останкино</v>
          </cell>
          <cell r="F48">
            <v>5.4180000000000001</v>
          </cell>
          <cell r="I48">
            <v>5.4180000000000001</v>
          </cell>
          <cell r="K48">
            <v>5.4180000000000001</v>
          </cell>
          <cell r="M48">
            <v>5.4180000000000001</v>
          </cell>
        </row>
        <row r="49">
          <cell r="A49" t="str">
            <v>7169 СЕРВЕЛАТ ОХОТНИЧИЙ ПМ в/к в/у 0,35кг_50с  Останкино</v>
          </cell>
          <cell r="F49">
            <v>104</v>
          </cell>
          <cell r="H49">
            <v>3</v>
          </cell>
          <cell r="I49">
            <v>101</v>
          </cell>
          <cell r="K49">
            <v>36.4</v>
          </cell>
          <cell r="L49">
            <v>1.05</v>
          </cell>
          <cell r="M49">
            <v>35.35</v>
          </cell>
        </row>
        <row r="50">
          <cell r="A50" t="str">
            <v>7232 БОЯNСКАЯ ПМ п/к в/у 0,28кг 8шт_209к  Останкино</v>
          </cell>
          <cell r="F50">
            <v>200</v>
          </cell>
          <cell r="I50">
            <v>200</v>
          </cell>
          <cell r="K50">
            <v>56</v>
          </cell>
          <cell r="M50">
            <v>56</v>
          </cell>
        </row>
        <row r="51">
          <cell r="A51" t="str">
            <v>7236 СЕРВЕЛАТ КАРЕЛЬСКИЙ в/к в/у 0,28кг_209к  Останкино</v>
          </cell>
          <cell r="F51">
            <v>200</v>
          </cell>
          <cell r="H51">
            <v>3</v>
          </cell>
          <cell r="I51">
            <v>197</v>
          </cell>
          <cell r="K51">
            <v>56</v>
          </cell>
          <cell r="L51">
            <v>0.84</v>
          </cell>
          <cell r="M51">
            <v>55.16</v>
          </cell>
        </row>
        <row r="52">
          <cell r="A52" t="str">
            <v>7241 САЛЯМИ Папа может п/к в/у 0,28кг ОСТАНКИНО</v>
          </cell>
          <cell r="F52">
            <v>72</v>
          </cell>
          <cell r="H52">
            <v>2</v>
          </cell>
          <cell r="I52">
            <v>70</v>
          </cell>
          <cell r="K52">
            <v>20.16</v>
          </cell>
          <cell r="L52">
            <v>0.56000000000000005</v>
          </cell>
          <cell r="M52">
            <v>19.600000000000001</v>
          </cell>
        </row>
        <row r="53">
          <cell r="A53" t="str">
            <v>7255 МЯСНЫЕ С ГОВЯД.ПМ сос п/о мгс 0.4кг 6шт.  ОСТАНКИНО</v>
          </cell>
          <cell r="F53">
            <v>528</v>
          </cell>
          <cell r="H53">
            <v>5</v>
          </cell>
          <cell r="I53">
            <v>523</v>
          </cell>
          <cell r="K53">
            <v>211.2</v>
          </cell>
          <cell r="L53">
            <v>2</v>
          </cell>
          <cell r="M53">
            <v>209.2</v>
          </cell>
        </row>
        <row r="54">
          <cell r="A54" t="str">
            <v>7382  САЛЯМИ МЕЛКОЗЕРНЕНАЯ с/к в/у1/120 8шт.  ОСТАНКИНО</v>
          </cell>
          <cell r="F54">
            <v>32</v>
          </cell>
          <cell r="I54">
            <v>32</v>
          </cell>
          <cell r="K54">
            <v>3.84</v>
          </cell>
          <cell r="M54">
            <v>3.84</v>
          </cell>
        </row>
        <row r="55">
          <cell r="A55" t="str">
            <v>7461 ДЛЯ ДЕТЕЙ Папа Может сос п/о мгс 0,33кг ОСТАНКИНО</v>
          </cell>
          <cell r="F55">
            <v>72</v>
          </cell>
          <cell r="H55">
            <v>2</v>
          </cell>
          <cell r="I55">
            <v>70</v>
          </cell>
          <cell r="K55">
            <v>23.76</v>
          </cell>
          <cell r="L55">
            <v>0.66</v>
          </cell>
          <cell r="M55">
            <v>23.1</v>
          </cell>
        </row>
        <row r="56">
          <cell r="A56" t="str">
            <v>7523 ГОВЯЖЬЯ Папа Может вар п/о 0,4кг 6шт. ОСТАНКИНО</v>
          </cell>
          <cell r="F56">
            <v>132</v>
          </cell>
          <cell r="H56">
            <v>4</v>
          </cell>
          <cell r="I56">
            <v>128</v>
          </cell>
          <cell r="K56">
            <v>52.8</v>
          </cell>
          <cell r="L56">
            <v>1.6</v>
          </cell>
          <cell r="M56">
            <v>51.2</v>
          </cell>
        </row>
        <row r="57">
          <cell r="A57" t="str">
            <v>7562 КРАКОВСКАЯ ГОСТ Останкино п/к н/о мгс  ОСТАНКИНО</v>
          </cell>
          <cell r="F57">
            <v>52.542000000000002</v>
          </cell>
          <cell r="I57">
            <v>52.542000000000002</v>
          </cell>
          <cell r="K57">
            <v>52.542000000000002</v>
          </cell>
          <cell r="M57">
            <v>52.542000000000002</v>
          </cell>
        </row>
        <row r="58">
          <cell r="A58" t="str">
            <v>7632 ЭКСТРА Папа может вар п/о 0.4кг 8шт_195к  ОСТАНКИНО</v>
          </cell>
          <cell r="F58">
            <v>168</v>
          </cell>
          <cell r="I58">
            <v>168</v>
          </cell>
          <cell r="K58">
            <v>67.2</v>
          </cell>
          <cell r="M58">
            <v>67.2</v>
          </cell>
        </row>
        <row r="59">
          <cell r="A59" t="str">
            <v>7647 ХОЧУ ВЕТЧ.ИЗ СВ.ОТРУБА с/н мгс 1/100_Л11  ОСТАНКИНО</v>
          </cell>
          <cell r="F59">
            <v>56</v>
          </cell>
          <cell r="H59">
            <v>1</v>
          </cell>
          <cell r="I59">
            <v>55</v>
          </cell>
          <cell r="K59">
            <v>5.6</v>
          </cell>
          <cell r="L59">
            <v>0.1</v>
          </cell>
          <cell r="M59">
            <v>5.5</v>
          </cell>
        </row>
        <row r="60">
          <cell r="A60" t="str">
            <v>7651 ХОЧУ ВЕТЧ.МРАМОР. ПМ с/н мгс 1/100_Л11  ОСТАНКИНО</v>
          </cell>
          <cell r="F60">
            <v>56</v>
          </cell>
          <cell r="H60">
            <v>1</v>
          </cell>
          <cell r="I60">
            <v>55</v>
          </cell>
          <cell r="K60">
            <v>5.6</v>
          </cell>
          <cell r="L60">
            <v>0.1</v>
          </cell>
          <cell r="M60">
            <v>5.5</v>
          </cell>
        </row>
        <row r="61">
          <cell r="A61" t="str">
            <v>7710 КРАКОВСКАЯ ГОСТ п/к н/о мгс 0.3кг  ОСТАНКИНО</v>
          </cell>
          <cell r="F61">
            <v>56</v>
          </cell>
          <cell r="I61">
            <v>56</v>
          </cell>
          <cell r="K61">
            <v>16.8</v>
          </cell>
          <cell r="M61">
            <v>16.8</v>
          </cell>
        </row>
        <row r="62">
          <cell r="A62" t="str">
            <v>Итого</v>
          </cell>
          <cell r="K62">
            <v>2987.7640000000001</v>
          </cell>
          <cell r="L62">
            <v>24.765999999999998</v>
          </cell>
          <cell r="M62">
            <v>2962.998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15.09.2026 - 21.09.2026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В группе из списка "ФУД МАРКЕТ ГРУП ООО (г.Мариуполь, б-р Шевченко, д.321,...;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 ФУД МАРКЕТ ГРУП ООО (пгт.Сартана, ул.Челюскинцев, д.39...;..." И
Склад / комиссионер  / подразделение В списке "АСП Бердянск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38.4</v>
          </cell>
          <cell r="G7">
            <v>96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4.0010000000000003</v>
          </cell>
          <cell r="G8">
            <v>4.0010000000000003</v>
          </cell>
        </row>
        <row r="9">
          <cell r="A9" t="str">
            <v>3986 Ароматная с/к в/у 1/250 ОСТАНКИНО</v>
          </cell>
          <cell r="D9" t="str">
            <v>00-00000744</v>
          </cell>
          <cell r="F9">
            <v>18</v>
          </cell>
          <cell r="G9">
            <v>72</v>
          </cell>
        </row>
        <row r="10">
          <cell r="A10" t="str">
            <v>4063 МЯСНАЯ Папа может вар п/о_Л   ОСТАНКИНО</v>
          </cell>
          <cell r="D10" t="str">
            <v>00-00006364</v>
          </cell>
          <cell r="F10">
            <v>64.772000000000006</v>
          </cell>
          <cell r="G10">
            <v>64.772000000000006</v>
          </cell>
        </row>
        <row r="11">
          <cell r="A11" t="str">
            <v>4813 ФИЛЕЙНАЯ Папа может вар п/о_Л   ОСТАНКИНО</v>
          </cell>
          <cell r="D11" t="str">
            <v>00-00006365</v>
          </cell>
          <cell r="F11">
            <v>52.941000000000003</v>
          </cell>
          <cell r="G11">
            <v>52.941000000000003</v>
          </cell>
        </row>
        <row r="12">
          <cell r="A12" t="str">
            <v>4993 САЛЯМИ ИТАЛЬЯНСКАЯ с/к в/у 1/250*8_120c ОСТАНКИНО</v>
          </cell>
          <cell r="D12" t="str">
            <v>00-00000753</v>
          </cell>
          <cell r="F12">
            <v>16</v>
          </cell>
          <cell r="G12">
            <v>64</v>
          </cell>
        </row>
        <row r="13">
          <cell r="A13" t="str">
            <v>5452 ВЕТЧ.МЯСНАЯ Папа может п/о    ОСТАНКИНО</v>
          </cell>
          <cell r="D13" t="str">
            <v>00-00005378</v>
          </cell>
          <cell r="F13">
            <v>24.725999999999999</v>
          </cell>
          <cell r="G13">
            <v>24.725999999999999</v>
          </cell>
        </row>
        <row r="14">
          <cell r="A14" t="str">
            <v>5483 ЭКСТРА Папа может с/к в/у 1/250 8шт.   ОСТАНКИНО</v>
          </cell>
          <cell r="D14" t="str">
            <v>00-00005436</v>
          </cell>
          <cell r="F14">
            <v>28</v>
          </cell>
          <cell r="G14">
            <v>112</v>
          </cell>
        </row>
        <row r="15">
          <cell r="A15" t="str">
            <v>5495 ВЕТЧ.С ИНДЕЙКОЙ Папа может п/о 400*6  Останкино</v>
          </cell>
          <cell r="D15" t="str">
            <v>00-ko009672</v>
          </cell>
          <cell r="F15">
            <v>28.8</v>
          </cell>
          <cell r="G15">
            <v>72</v>
          </cell>
        </row>
        <row r="16">
          <cell r="A16" t="str">
            <v>5708 ПОСОЛЬСКАЯ Папа может с/к в/у ОСТАНКИНО</v>
          </cell>
          <cell r="D16" t="str">
            <v>00-00005867</v>
          </cell>
          <cell r="F16">
            <v>7.9580000000000002</v>
          </cell>
          <cell r="G16">
            <v>7.9580000000000002</v>
          </cell>
        </row>
        <row r="17">
          <cell r="A17" t="str">
            <v>5819 Сосиски Папа может 400г Мясные  ОСТАНКИНО</v>
          </cell>
          <cell r="D17" t="str">
            <v>00-00009307</v>
          </cell>
          <cell r="F17">
            <v>8</v>
          </cell>
          <cell r="G17">
            <v>20</v>
          </cell>
        </row>
        <row r="18">
          <cell r="A18" t="str">
            <v>5931 ОХОТНИЧЬЯ Папа может с/к в/у 1/220 8шт.   ОСТАНКИНО</v>
          </cell>
          <cell r="D18" t="str">
            <v>00-00006294</v>
          </cell>
          <cell r="F18">
            <v>24.86</v>
          </cell>
          <cell r="G18">
            <v>113</v>
          </cell>
        </row>
        <row r="19">
          <cell r="A19" t="str">
            <v>6220 ГОВЯЖЬЯ папа может вар п/о  Останкино</v>
          </cell>
          <cell r="D19" t="str">
            <v>00-ko009211</v>
          </cell>
          <cell r="F19">
            <v>12.211</v>
          </cell>
          <cell r="G19">
            <v>12.211</v>
          </cell>
        </row>
        <row r="20">
          <cell r="A20" t="str">
            <v>6303 Мясные Папа может сос п/о мгс 1,5*3  Останкино</v>
          </cell>
          <cell r="D20" t="str">
            <v>00-00009145</v>
          </cell>
          <cell r="F20">
            <v>33.195999999999998</v>
          </cell>
          <cell r="G20">
            <v>33.195999999999998</v>
          </cell>
        </row>
        <row r="21">
          <cell r="A21" t="str">
            <v>6333 МЯСНАЯ Папа может вар п/о 0.4кг 8шт.  ОСТАНКИНО</v>
          </cell>
          <cell r="D21" t="str">
            <v>00-00007020</v>
          </cell>
          <cell r="F21">
            <v>54.4</v>
          </cell>
          <cell r="G21">
            <v>136</v>
          </cell>
        </row>
        <row r="22">
          <cell r="A22" t="str">
            <v>6392 ФИЛЕЙНАЯ Папа может вар п/о 0,4кг  ОСТАНКИНО</v>
          </cell>
          <cell r="D22" t="str">
            <v>00-00008829</v>
          </cell>
          <cell r="F22">
            <v>44.8</v>
          </cell>
          <cell r="G22">
            <v>112</v>
          </cell>
        </row>
        <row r="23">
          <cell r="A23" t="str">
            <v>6470 ВЕТЧ.МРАМОРНАЯ в/у_45с  ОСТАНКИНО</v>
          </cell>
          <cell r="D23" t="str">
            <v>00-ko010639</v>
          </cell>
          <cell r="F23">
            <v>39.238</v>
          </cell>
          <cell r="G23">
            <v>39.238</v>
          </cell>
        </row>
        <row r="24">
          <cell r="A24" t="str">
            <v>6475 Сосиски Папа может 400г С сыром  ОСТАНКИНО</v>
          </cell>
          <cell r="D24" t="str">
            <v>00-00009308</v>
          </cell>
          <cell r="F24">
            <v>12</v>
          </cell>
          <cell r="G24">
            <v>30</v>
          </cell>
        </row>
        <row r="25">
          <cell r="A25" t="str">
            <v>6495 ВЕТЧ.МРАМОРНАЯ в/у срез 0,3кг 6шт_45с  Останкино</v>
          </cell>
          <cell r="D25" t="str">
            <v>00-ko009959</v>
          </cell>
          <cell r="F25">
            <v>5.4</v>
          </cell>
          <cell r="G25">
            <v>18</v>
          </cell>
        </row>
        <row r="26">
          <cell r="A26" t="str">
            <v>6498 МОЛОЧНАЯ Папа может вар п/о  ОСТАНКИНО</v>
          </cell>
          <cell r="D26" t="str">
            <v>00-00008386</v>
          </cell>
          <cell r="F26">
            <v>89.195999999999998</v>
          </cell>
          <cell r="G26">
            <v>89.195999999999998</v>
          </cell>
        </row>
        <row r="27">
          <cell r="A27" t="str">
            <v>6550 МЯСНЫЕ Папа может сар б/о мгс 1*3 О 45с  Останкино</v>
          </cell>
          <cell r="D27" t="str">
            <v>00-ko009350</v>
          </cell>
          <cell r="F27">
            <v>15.686999999999999</v>
          </cell>
          <cell r="G27">
            <v>15.686999999999999</v>
          </cell>
        </row>
        <row r="28">
          <cell r="A28" t="str">
            <v>6616 МОЛОЧНЫЕ КЛАССИЧЕСКИЕ сос п/о в/у 0,3 кг  Останкино</v>
          </cell>
          <cell r="D28" t="str">
            <v>00-ko010530</v>
          </cell>
          <cell r="F28">
            <v>4.8</v>
          </cell>
          <cell r="G28">
            <v>16</v>
          </cell>
        </row>
        <row r="29">
          <cell r="A29" t="str">
            <v>6661 СОЧНЫЙ ГРИЛЬ ПМ сос п/о мгс 1,5*4_Маяк Останкино</v>
          </cell>
          <cell r="D29" t="str">
            <v>00-00009144</v>
          </cell>
          <cell r="F29">
            <v>31.347000000000001</v>
          </cell>
          <cell r="G29">
            <v>31.347000000000001</v>
          </cell>
        </row>
        <row r="30">
          <cell r="A30" t="str">
            <v>6697 СЕРВЕЛАТ ФИНСКИЙ ПМ в/к в/у 0,35кг 8шт  ОСТАНКИНО</v>
          </cell>
          <cell r="D30" t="str">
            <v>00-00008789</v>
          </cell>
          <cell r="F30">
            <v>53.55</v>
          </cell>
          <cell r="G30">
            <v>153</v>
          </cell>
        </row>
        <row r="31">
          <cell r="A31" t="str">
            <v>6713 СОЧНЫЙ ГРИЛЬ ПМ сос п/о мгс 0,41кг 8 шт.  ОСТАНКИНО</v>
          </cell>
          <cell r="D31" t="str">
            <v>00-00009132</v>
          </cell>
          <cell r="F31">
            <v>9.84</v>
          </cell>
          <cell r="G31">
            <v>24</v>
          </cell>
        </row>
        <row r="32">
          <cell r="A32" t="str">
            <v>6724 МОЛОЧНЫЕ ПМ сос п/о мгс 0,41кг 10шт  Останкино</v>
          </cell>
          <cell r="D32" t="str">
            <v>00-ko010964</v>
          </cell>
          <cell r="F32">
            <v>45.1</v>
          </cell>
          <cell r="G32">
            <v>110</v>
          </cell>
        </row>
        <row r="33">
          <cell r="A33" t="str">
            <v>6797 С ИНДЕЙКОЙ Папа может вар п/о 0,4кг 8шт. ОСТАНКИНО</v>
          </cell>
          <cell r="D33" t="str">
            <v>00-ko011300</v>
          </cell>
          <cell r="F33">
            <v>9.6</v>
          </cell>
          <cell r="G33">
            <v>24</v>
          </cell>
        </row>
        <row r="34">
          <cell r="A34" t="str">
            <v>6837 ФИЛЕЙНЫЕ Папа Может сос ц/о мгс 0,4кг  Останкино</v>
          </cell>
          <cell r="D34" t="str">
            <v>00-ko010963</v>
          </cell>
          <cell r="F34">
            <v>28.8</v>
          </cell>
          <cell r="G34">
            <v>72</v>
          </cell>
        </row>
        <row r="35">
          <cell r="A35" t="str">
            <v>7066 СОЧНЫЕ ПМ сос п/о мгс 0,41кг 10шт 50с  Останкино</v>
          </cell>
          <cell r="D35" t="str">
            <v>00-ko010284</v>
          </cell>
          <cell r="F35">
            <v>53.3</v>
          </cell>
          <cell r="G35">
            <v>130</v>
          </cell>
        </row>
        <row r="36">
          <cell r="A36" t="str">
            <v>7070 СОЧНЫЕ ПМ сос п/о 1,5*4_А_50с  Останкино</v>
          </cell>
          <cell r="D36" t="str">
            <v>00-ko010282</v>
          </cell>
          <cell r="F36">
            <v>74.405000000000001</v>
          </cell>
          <cell r="G36">
            <v>74.405000000000001</v>
          </cell>
        </row>
        <row r="37">
          <cell r="A37" t="str">
            <v>7073 МОЛОЧ.ПРЕМИУМ ПМ сос п/о в/у 1/350_50с  Останкино</v>
          </cell>
          <cell r="D37" t="str">
            <v>00-ko010301</v>
          </cell>
          <cell r="F37">
            <v>5.6</v>
          </cell>
          <cell r="G37">
            <v>16</v>
          </cell>
        </row>
        <row r="38">
          <cell r="A38" t="str">
            <v>7080 СЛИВОЧНЫЕ ПМ сос п/о мгс 0,41кг 10шт 50с  Останкино</v>
          </cell>
          <cell r="D38" t="str">
            <v>00-ko010283</v>
          </cell>
          <cell r="F38">
            <v>57.4</v>
          </cell>
          <cell r="G38">
            <v>140</v>
          </cell>
        </row>
        <row r="39">
          <cell r="A39" t="str">
            <v>7090 СВИНИНА ПО-ДОМ.к/в мл/к в/у 0,3кг_50с  Останкино</v>
          </cell>
          <cell r="D39" t="str">
            <v>00-ko010286</v>
          </cell>
          <cell r="F39">
            <v>23.4</v>
          </cell>
          <cell r="G39">
            <v>78</v>
          </cell>
        </row>
        <row r="40">
          <cell r="A40" t="str">
            <v>7103 БЕКОН Останкино с/к с/н в/у 1/180_50с  Останкино</v>
          </cell>
          <cell r="D40" t="str">
            <v>00-ko010254</v>
          </cell>
          <cell r="F40">
            <v>3.6</v>
          </cell>
          <cell r="G40">
            <v>20</v>
          </cell>
        </row>
        <row r="41">
          <cell r="A41" t="str">
            <v>7154 СЕРВЕЛАТ ЗЕРНИСТЫЙ ПМ в/к в/у 0,35кг_50с  Останкино</v>
          </cell>
          <cell r="D41" t="str">
            <v>00-ko010401</v>
          </cell>
          <cell r="F41">
            <v>54.95</v>
          </cell>
          <cell r="G41">
            <v>157</v>
          </cell>
        </row>
        <row r="42">
          <cell r="A42" t="str">
            <v>7157 СЕРВЕЛАТ ЗЕРНИСТЫЙ ПМ в/к в/у_50с  Останкино</v>
          </cell>
          <cell r="D42" t="str">
            <v>00-ko010432</v>
          </cell>
          <cell r="F42">
            <v>50.262</v>
          </cell>
          <cell r="G42">
            <v>50.262</v>
          </cell>
        </row>
        <row r="43">
          <cell r="A43" t="str">
            <v>7166 СЕРВЕЛАТ ОХОТНИЧИЙ ПМ в/к в/у_50с  Останкино</v>
          </cell>
          <cell r="D43" t="str">
            <v>00-ko010400</v>
          </cell>
          <cell r="F43">
            <v>33.838000000000001</v>
          </cell>
          <cell r="G43">
            <v>33.838000000000001</v>
          </cell>
        </row>
        <row r="44">
          <cell r="A44" t="str">
            <v>7169 СЕРВЕЛАТ ОХОТНИЧИЙ ПМ в/к в/у 0,35кг_50с  Останкино</v>
          </cell>
          <cell r="D44" t="str">
            <v>00-ko010399</v>
          </cell>
          <cell r="F44">
            <v>62.3</v>
          </cell>
          <cell r="G44">
            <v>178</v>
          </cell>
        </row>
        <row r="45">
          <cell r="A45" t="str">
            <v>7177 ЧЕСНОЧНАЯ ПМ п/к в/у 0,35кг 8шт_50с  Останкино</v>
          </cell>
          <cell r="D45" t="str">
            <v>00-ko010429</v>
          </cell>
          <cell r="F45">
            <v>11.2</v>
          </cell>
          <cell r="G45">
            <v>32</v>
          </cell>
        </row>
        <row r="46">
          <cell r="A46" t="str">
            <v>7187 ГРУДИНКА ПРЕМИУМ к/в мл/к в/у 0,3кг_50с  Останкино</v>
          </cell>
          <cell r="D46" t="str">
            <v>00-ko010604</v>
          </cell>
          <cell r="F46">
            <v>16.2</v>
          </cell>
          <cell r="G46">
            <v>54</v>
          </cell>
        </row>
        <row r="47">
          <cell r="A47" t="str">
            <v>7232 БОЯNСКАЯ ПМ п/к в/у 0,28кг 8шт_209к  Останкино</v>
          </cell>
          <cell r="D47" t="str">
            <v>00-ko010557</v>
          </cell>
          <cell r="F47">
            <v>33.6</v>
          </cell>
          <cell r="G47">
            <v>120</v>
          </cell>
        </row>
        <row r="48">
          <cell r="A48" t="str">
            <v>7236 СЕРВЕЛАТ КАРЕЛЬСКИЙ в/к в/у 0,28кг_209к  Останкино</v>
          </cell>
          <cell r="D48" t="str">
            <v>00-ko010598</v>
          </cell>
          <cell r="F48">
            <v>42.56</v>
          </cell>
          <cell r="G48">
            <v>152</v>
          </cell>
        </row>
        <row r="49">
          <cell r="A49" t="str">
            <v>7241 САЛЯМИ Папа может п/к в/у 0,28кг ОСТАНКИНО</v>
          </cell>
          <cell r="D49" t="str">
            <v>00-ko010555</v>
          </cell>
          <cell r="F49">
            <v>36.4</v>
          </cell>
          <cell r="G49">
            <v>130</v>
          </cell>
        </row>
        <row r="50">
          <cell r="A50" t="str">
            <v>7255 МЯСНЫЕ С ГОВЯД.ПМ сос п/о мгс 0.4кг 6шт.  ОСТАНКИНО</v>
          </cell>
          <cell r="D50" t="str">
            <v>00-ko011229</v>
          </cell>
          <cell r="F50">
            <v>21.6</v>
          </cell>
          <cell r="G50">
            <v>54</v>
          </cell>
        </row>
        <row r="51">
          <cell r="A51" t="str">
            <v>7382  САЛЯМИ МЕЛКОЗЕРНЕНАЯ с/к в/у1/120 8шт.  ОСТАНКИНО</v>
          </cell>
          <cell r="D51" t="str">
            <v>00-ko011257</v>
          </cell>
          <cell r="F51">
            <v>5.76</v>
          </cell>
          <cell r="G51">
            <v>48</v>
          </cell>
        </row>
        <row r="52">
          <cell r="A52" t="str">
            <v>7489 СЫРРРВЕЛАТ Папа Может в/к в/у 0,28кг 8шт. ОСТАНКИНО</v>
          </cell>
          <cell r="D52" t="str">
            <v>00-ko011701</v>
          </cell>
          <cell r="F52">
            <v>4.4800000000000004</v>
          </cell>
          <cell r="G52">
            <v>16</v>
          </cell>
        </row>
        <row r="53">
          <cell r="A53" t="str">
            <v>7523 ГОВЯЖЬЯ Папа Может вар п/о 0,4кг 6шт. ОСТАНКИНО</v>
          </cell>
          <cell r="D53" t="str">
            <v>00-ko011656</v>
          </cell>
          <cell r="F53">
            <v>38.4</v>
          </cell>
          <cell r="G53">
            <v>96</v>
          </cell>
        </row>
        <row r="54">
          <cell r="A54" t="str">
            <v>7603 БАЛЫКОВАЯ в/к в/у 0.33кг 8шт. ОСТАНКИНО</v>
          </cell>
          <cell r="D54" t="str">
            <v>00-ko011685</v>
          </cell>
          <cell r="F54">
            <v>18.48</v>
          </cell>
          <cell r="G54">
            <v>56</v>
          </cell>
        </row>
        <row r="55">
          <cell r="A55" t="str">
            <v>7632 ЭКСТРА Папа может вар п/о 0.4кг 8шт_195к  ОСТАНКИНО</v>
          </cell>
          <cell r="D55" t="str">
            <v>00-ko011715</v>
          </cell>
          <cell r="F55">
            <v>6.4</v>
          </cell>
          <cell r="G55">
            <v>16</v>
          </cell>
        </row>
        <row r="56">
          <cell r="A56" t="str">
            <v>Итого</v>
          </cell>
          <cell r="F56">
            <v>1459.758</v>
          </cell>
          <cell r="G56">
            <v>3270.7779999999998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F2" t="str">
            <v>Бердянск</v>
          </cell>
          <cell r="G2" t="str">
            <v>Мариуполь</v>
          </cell>
          <cell r="S2" t="str">
            <v>Общий</v>
          </cell>
          <cell r="U2" t="str">
            <v>Бердянск</v>
          </cell>
          <cell r="W2" t="str">
            <v>Мариуполь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Конечный остаток</v>
          </cell>
          <cell r="H3" t="str">
            <v>крат</v>
          </cell>
          <cell r="I3" t="str">
            <v>сроки</v>
          </cell>
          <cell r="J3" t="str">
            <v>метка</v>
          </cell>
          <cell r="K3" t="str">
            <v>метка2</v>
          </cell>
          <cell r="L3" t="str">
            <v>заяв</v>
          </cell>
          <cell r="M3" t="str">
            <v>разн</v>
          </cell>
          <cell r="N3" t="str">
            <v>без опта</v>
          </cell>
          <cell r="O3" t="str">
            <v>опт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  <cell r="T3" t="str">
            <v>%</v>
          </cell>
          <cell r="U3" t="str">
            <v>расчет</v>
          </cell>
          <cell r="W3" t="str">
            <v>расчет</v>
          </cell>
        </row>
        <row r="4">
          <cell r="P4" t="str">
            <v>15,09,</v>
          </cell>
          <cell r="Q4" t="str">
            <v>22,09,</v>
          </cell>
          <cell r="R4" t="str">
            <v>21,09,</v>
          </cell>
        </row>
        <row r="5">
          <cell r="E5">
            <v>15921.592000000001</v>
          </cell>
          <cell r="F5">
            <v>6318.4279999999999</v>
          </cell>
          <cell r="G5">
            <v>5923.097999999999</v>
          </cell>
          <cell r="L5">
            <v>20579.584999999995</v>
          </cell>
          <cell r="M5">
            <v>-4657.9929999999995</v>
          </cell>
          <cell r="N5">
            <v>12666.813999999998</v>
          </cell>
          <cell r="O5">
            <v>3254.7780000000002</v>
          </cell>
          <cell r="P5">
            <v>16977</v>
          </cell>
          <cell r="Q5">
            <v>8865</v>
          </cell>
          <cell r="R5">
            <v>2533.3627999999994</v>
          </cell>
          <cell r="S5">
            <v>5215.9290000000001</v>
          </cell>
          <cell r="U5">
            <v>2959.5354896290719</v>
          </cell>
          <cell r="V5">
            <v>1770</v>
          </cell>
          <cell r="W5">
            <v>2305.7806071451209</v>
          </cell>
          <cell r="X5">
            <v>8080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10.625999999999999</v>
          </cell>
          <cell r="E6">
            <v>6.8579999999999997</v>
          </cell>
          <cell r="H6">
            <v>1</v>
          </cell>
          <cell r="I6">
            <v>120</v>
          </cell>
          <cell r="J6" t="str">
            <v>матрица</v>
          </cell>
          <cell r="L6">
            <v>13.8</v>
          </cell>
          <cell r="M6">
            <v>-6.9420000000000011</v>
          </cell>
          <cell r="N6">
            <v>6.8579999999999997</v>
          </cell>
          <cell r="P6">
            <v>0</v>
          </cell>
          <cell r="Q6">
            <v>18</v>
          </cell>
          <cell r="R6">
            <v>1.3715999999999999</v>
          </cell>
          <cell r="S6">
            <v>8</v>
          </cell>
          <cell r="T6">
            <v>0.49718042798394446</v>
          </cell>
          <cell r="U6">
            <v>4.0225565761284443</v>
          </cell>
          <cell r="W6">
            <v>3.9774434238715557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319</v>
          </cell>
          <cell r="D7">
            <v>704</v>
          </cell>
          <cell r="E7">
            <v>245</v>
          </cell>
          <cell r="F7">
            <v>70</v>
          </cell>
          <cell r="G7">
            <v>72</v>
          </cell>
          <cell r="H7">
            <v>0.4</v>
          </cell>
          <cell r="I7">
            <v>60</v>
          </cell>
          <cell r="J7" t="str">
            <v>матрица</v>
          </cell>
          <cell r="L7">
            <v>257</v>
          </cell>
          <cell r="M7">
            <v>-12</v>
          </cell>
          <cell r="N7">
            <v>149</v>
          </cell>
          <cell r="O7">
            <v>96</v>
          </cell>
          <cell r="P7">
            <v>600</v>
          </cell>
          <cell r="Q7">
            <v>100</v>
          </cell>
          <cell r="R7">
            <v>29.8</v>
          </cell>
          <cell r="T7">
            <v>0.58595041322314056</v>
          </cell>
          <cell r="U7">
            <v>0</v>
          </cell>
          <cell r="W7">
            <v>0</v>
          </cell>
          <cell r="X7">
            <v>150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220.505</v>
          </cell>
          <cell r="D8">
            <v>66.265000000000001</v>
          </cell>
          <cell r="E8">
            <v>21.099</v>
          </cell>
          <cell r="F8">
            <v>12.848000000000001</v>
          </cell>
          <cell r="G8">
            <v>8.0419999999999998</v>
          </cell>
          <cell r="H8">
            <v>1</v>
          </cell>
          <cell r="I8">
            <v>120</v>
          </cell>
          <cell r="J8" t="str">
            <v>матрица</v>
          </cell>
          <cell r="L8">
            <v>24.3</v>
          </cell>
          <cell r="M8">
            <v>-3.2010000000000005</v>
          </cell>
          <cell r="N8">
            <v>17.097999999999999</v>
          </cell>
          <cell r="O8">
            <v>4.0010000000000003</v>
          </cell>
          <cell r="P8">
            <v>22</v>
          </cell>
          <cell r="Q8">
            <v>0</v>
          </cell>
          <cell r="R8">
            <v>3.4196</v>
          </cell>
          <cell r="S8">
            <v>8.4039999999999946</v>
          </cell>
          <cell r="T8">
            <v>0.51642644750970512</v>
          </cell>
          <cell r="U8">
            <v>4.0639521351284351</v>
          </cell>
          <cell r="W8">
            <v>4.3400478648715595</v>
          </cell>
          <cell r="X8">
            <v>150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306</v>
          </cell>
          <cell r="D9">
            <v>320</v>
          </cell>
          <cell r="E9">
            <v>247</v>
          </cell>
          <cell r="F9">
            <v>71</v>
          </cell>
          <cell r="G9">
            <v>72</v>
          </cell>
          <cell r="H9">
            <v>0.25</v>
          </cell>
          <cell r="I9">
            <v>120</v>
          </cell>
          <cell r="J9" t="str">
            <v>матрица</v>
          </cell>
          <cell r="L9">
            <v>274</v>
          </cell>
          <cell r="M9">
            <v>-27</v>
          </cell>
          <cell r="N9">
            <v>175</v>
          </cell>
          <cell r="O9">
            <v>72</v>
          </cell>
          <cell r="P9">
            <v>744</v>
          </cell>
          <cell r="Q9">
            <v>0</v>
          </cell>
          <cell r="R9">
            <v>35</v>
          </cell>
          <cell r="T9">
            <v>0.4478442280945758</v>
          </cell>
          <cell r="U9">
            <v>0</v>
          </cell>
          <cell r="W9">
            <v>0</v>
          </cell>
          <cell r="X9">
            <v>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1012.8579999999999</v>
          </cell>
          <cell r="D10">
            <v>1340.066</v>
          </cell>
          <cell r="E10">
            <v>234.31299999999999</v>
          </cell>
          <cell r="F10">
            <v>378.79399999999998</v>
          </cell>
          <cell r="G10">
            <v>169.85499999999999</v>
          </cell>
          <cell r="H10">
            <v>1</v>
          </cell>
          <cell r="I10">
            <v>60</v>
          </cell>
          <cell r="J10" t="str">
            <v>матрица</v>
          </cell>
          <cell r="L10">
            <v>237.4</v>
          </cell>
          <cell r="M10">
            <v>-3.0870000000000175</v>
          </cell>
          <cell r="N10">
            <v>169.541</v>
          </cell>
          <cell r="O10">
            <v>64.772000000000006</v>
          </cell>
          <cell r="P10">
            <v>100</v>
          </cell>
          <cell r="Q10">
            <v>0</v>
          </cell>
          <cell r="R10">
            <v>33.908200000000001</v>
          </cell>
          <cell r="T10">
            <v>0.63715226215226217</v>
          </cell>
          <cell r="U10">
            <v>0</v>
          </cell>
          <cell r="W10">
            <v>0</v>
          </cell>
          <cell r="X10">
            <v>300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108.30800000000001</v>
          </cell>
          <cell r="D11">
            <v>90.453000000000003</v>
          </cell>
          <cell r="E11">
            <v>16.155999999999999</v>
          </cell>
          <cell r="F11">
            <v>32.4</v>
          </cell>
          <cell r="G11">
            <v>28.311</v>
          </cell>
          <cell r="H11">
            <v>1</v>
          </cell>
          <cell r="I11">
            <v>120</v>
          </cell>
          <cell r="J11" t="str">
            <v>матрица</v>
          </cell>
          <cell r="L11">
            <v>22.2</v>
          </cell>
          <cell r="M11">
            <v>-6.0440000000000005</v>
          </cell>
          <cell r="N11">
            <v>16.155999999999999</v>
          </cell>
          <cell r="P11">
            <v>0</v>
          </cell>
          <cell r="Q11">
            <v>0</v>
          </cell>
          <cell r="R11">
            <v>3.2311999999999999</v>
          </cell>
          <cell r="T11">
            <v>0.67659440419256001</v>
          </cell>
          <cell r="U11">
            <v>0</v>
          </cell>
          <cell r="W11">
            <v>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109.43300000000001</v>
          </cell>
          <cell r="D12">
            <v>26.465</v>
          </cell>
          <cell r="E12">
            <v>38.902999999999999</v>
          </cell>
          <cell r="F12">
            <v>28.4</v>
          </cell>
          <cell r="G12">
            <v>40.392000000000003</v>
          </cell>
          <cell r="H12">
            <v>1</v>
          </cell>
          <cell r="I12">
            <v>60</v>
          </cell>
          <cell r="J12" t="str">
            <v>матрица</v>
          </cell>
          <cell r="L12">
            <v>51.1</v>
          </cell>
          <cell r="M12">
            <v>-12.197000000000003</v>
          </cell>
          <cell r="N12">
            <v>38.902999999999999</v>
          </cell>
          <cell r="P12">
            <v>0</v>
          </cell>
          <cell r="Q12">
            <v>0</v>
          </cell>
          <cell r="R12">
            <v>7.7805999999999997</v>
          </cell>
          <cell r="S12">
            <v>47.917000000000009</v>
          </cell>
          <cell r="T12">
            <v>0.64048501759638832</v>
          </cell>
          <cell r="U12">
            <v>17.226879411833863</v>
          </cell>
          <cell r="V12">
            <v>70</v>
          </cell>
          <cell r="W12">
            <v>30.690120588166145</v>
          </cell>
          <cell r="X12">
            <v>100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959.14499999999998</v>
          </cell>
          <cell r="D13">
            <v>841.68799999999999</v>
          </cell>
          <cell r="E13">
            <v>229.1</v>
          </cell>
          <cell r="F13">
            <v>228.285</v>
          </cell>
          <cell r="G13">
            <v>293.66199999999998</v>
          </cell>
          <cell r="H13">
            <v>1</v>
          </cell>
          <cell r="I13">
            <v>60</v>
          </cell>
          <cell r="J13" t="str">
            <v>матрица</v>
          </cell>
          <cell r="L13">
            <v>222</v>
          </cell>
          <cell r="M13">
            <v>7.0999999999999943</v>
          </cell>
          <cell r="N13">
            <v>176.15899999999999</v>
          </cell>
          <cell r="O13">
            <v>52.941000000000003</v>
          </cell>
          <cell r="P13">
            <v>100</v>
          </cell>
          <cell r="Q13">
            <v>0</v>
          </cell>
          <cell r="R13">
            <v>35.2318</v>
          </cell>
          <cell r="T13">
            <v>0.72316201488996323</v>
          </cell>
          <cell r="U13">
            <v>0</v>
          </cell>
          <cell r="W13">
            <v>0</v>
          </cell>
          <cell r="X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391</v>
          </cell>
          <cell r="D14">
            <v>564</v>
          </cell>
          <cell r="E14">
            <v>176</v>
          </cell>
          <cell r="F14">
            <v>132</v>
          </cell>
          <cell r="G14">
            <v>126</v>
          </cell>
          <cell r="H14">
            <v>0.25</v>
          </cell>
          <cell r="I14">
            <v>120</v>
          </cell>
          <cell r="J14" t="str">
            <v>матрица</v>
          </cell>
          <cell r="L14">
            <v>203</v>
          </cell>
          <cell r="M14">
            <v>-27</v>
          </cell>
          <cell r="N14">
            <v>112</v>
          </cell>
          <cell r="O14">
            <v>64</v>
          </cell>
          <cell r="P14">
            <v>142</v>
          </cell>
          <cell r="Q14">
            <v>0</v>
          </cell>
          <cell r="R14">
            <v>22.4</v>
          </cell>
          <cell r="T14">
            <v>0.67886178861788615</v>
          </cell>
          <cell r="U14">
            <v>0</v>
          </cell>
          <cell r="W14">
            <v>0</v>
          </cell>
          <cell r="X14">
            <v>50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313.59500000000003</v>
          </cell>
          <cell r="D15">
            <v>446.91899999999998</v>
          </cell>
          <cell r="E15">
            <v>76.566999999999993</v>
          </cell>
          <cell r="F15">
            <v>10.881</v>
          </cell>
          <cell r="G15">
            <v>61.256999999999998</v>
          </cell>
          <cell r="H15">
            <v>1</v>
          </cell>
          <cell r="I15">
            <v>60</v>
          </cell>
          <cell r="J15" t="str">
            <v>матрица</v>
          </cell>
          <cell r="L15">
            <v>70.3</v>
          </cell>
          <cell r="M15">
            <v>6.2669999999999959</v>
          </cell>
          <cell r="N15">
            <v>51.840999999999994</v>
          </cell>
          <cell r="O15">
            <v>24.725999999999999</v>
          </cell>
          <cell r="P15">
            <v>0</v>
          </cell>
          <cell r="Q15">
            <v>120</v>
          </cell>
          <cell r="R15">
            <v>10.368199999999998</v>
          </cell>
          <cell r="T15">
            <v>0.75044648655669566</v>
          </cell>
          <cell r="U15">
            <v>0</v>
          </cell>
          <cell r="W15">
            <v>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407</v>
          </cell>
          <cell r="D16">
            <v>508</v>
          </cell>
          <cell r="E16">
            <v>277</v>
          </cell>
          <cell r="F16">
            <v>50</v>
          </cell>
          <cell r="G16">
            <v>127</v>
          </cell>
          <cell r="H16">
            <v>0.25</v>
          </cell>
          <cell r="I16">
            <v>120</v>
          </cell>
          <cell r="J16" t="str">
            <v>матрица</v>
          </cell>
          <cell r="L16">
            <v>304</v>
          </cell>
          <cell r="M16">
            <v>-27</v>
          </cell>
          <cell r="N16">
            <v>165</v>
          </cell>
          <cell r="O16">
            <v>112</v>
          </cell>
          <cell r="P16">
            <v>542</v>
          </cell>
          <cell r="Q16">
            <v>150</v>
          </cell>
          <cell r="R16">
            <v>33</v>
          </cell>
          <cell r="T16">
            <v>0.49424552429667518</v>
          </cell>
          <cell r="U16">
            <v>0</v>
          </cell>
          <cell r="W16">
            <v>0</v>
          </cell>
          <cell r="X16">
            <v>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417</v>
          </cell>
          <cell r="D17">
            <v>323</v>
          </cell>
          <cell r="E17">
            <v>196</v>
          </cell>
          <cell r="F17">
            <v>145</v>
          </cell>
          <cell r="G17">
            <v>150</v>
          </cell>
          <cell r="H17">
            <v>0.4</v>
          </cell>
          <cell r="I17">
            <v>60</v>
          </cell>
          <cell r="J17" t="str">
            <v>матрица</v>
          </cell>
          <cell r="L17">
            <v>196</v>
          </cell>
          <cell r="M17">
            <v>0</v>
          </cell>
          <cell r="N17">
            <v>124</v>
          </cell>
          <cell r="O17">
            <v>72</v>
          </cell>
          <cell r="P17">
            <v>0</v>
          </cell>
          <cell r="Q17">
            <v>170</v>
          </cell>
          <cell r="R17">
            <v>24.8</v>
          </cell>
          <cell r="T17">
            <v>0.47460087082728591</v>
          </cell>
          <cell r="U17">
            <v>0</v>
          </cell>
          <cell r="W17">
            <v>0</v>
          </cell>
          <cell r="X17">
            <v>50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136.60400000000001</v>
          </cell>
          <cell r="D18">
            <v>350.005</v>
          </cell>
          <cell r="E18">
            <v>149.24799999999999</v>
          </cell>
          <cell r="F18">
            <v>1.724</v>
          </cell>
          <cell r="H18">
            <v>1</v>
          </cell>
          <cell r="I18">
            <v>45</v>
          </cell>
          <cell r="J18" t="str">
            <v>матрица</v>
          </cell>
          <cell r="L18">
            <v>267.04700000000003</v>
          </cell>
          <cell r="M18">
            <v>-117.79900000000004</v>
          </cell>
          <cell r="N18">
            <v>149.24799999999999</v>
          </cell>
          <cell r="P18">
            <v>500</v>
          </cell>
          <cell r="Q18">
            <v>19</v>
          </cell>
          <cell r="R18">
            <v>29.849599999999999</v>
          </cell>
          <cell r="T18">
            <v>0.46306756150407541</v>
          </cell>
          <cell r="U18">
            <v>0</v>
          </cell>
          <cell r="W18">
            <v>0</v>
          </cell>
          <cell r="X18">
            <v>200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60.061</v>
          </cell>
          <cell r="D19">
            <v>88.58</v>
          </cell>
          <cell r="E19">
            <v>23.347999999999999</v>
          </cell>
          <cell r="F19">
            <v>18.379000000000001</v>
          </cell>
          <cell r="G19">
            <v>16.548999999999999</v>
          </cell>
          <cell r="H19">
            <v>1</v>
          </cell>
          <cell r="I19">
            <v>120</v>
          </cell>
          <cell r="J19" t="str">
            <v>матрица</v>
          </cell>
          <cell r="L19">
            <v>26.2</v>
          </cell>
          <cell r="M19">
            <v>-2.8520000000000003</v>
          </cell>
          <cell r="N19">
            <v>15.389999999999999</v>
          </cell>
          <cell r="O19">
            <v>7.9580000000000002</v>
          </cell>
          <cell r="P19">
            <v>0</v>
          </cell>
          <cell r="Q19">
            <v>0</v>
          </cell>
          <cell r="R19">
            <v>3.0779999999999998</v>
          </cell>
          <cell r="S19">
            <v>11.241999999999994</v>
          </cell>
          <cell r="T19">
            <v>0.67197701996579451</v>
          </cell>
          <cell r="U19">
            <v>3.6876343415445358</v>
          </cell>
          <cell r="W19">
            <v>7.5543656584554579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271</v>
          </cell>
          <cell r="D20">
            <v>620</v>
          </cell>
          <cell r="E20">
            <v>118</v>
          </cell>
          <cell r="H20">
            <v>0.4</v>
          </cell>
          <cell r="I20">
            <v>45</v>
          </cell>
          <cell r="J20" t="str">
            <v>матрица</v>
          </cell>
          <cell r="L20">
            <v>185</v>
          </cell>
          <cell r="M20">
            <v>-67</v>
          </cell>
          <cell r="N20">
            <v>98</v>
          </cell>
          <cell r="O20">
            <v>20</v>
          </cell>
          <cell r="P20">
            <v>0</v>
          </cell>
          <cell r="Q20">
            <v>40</v>
          </cell>
          <cell r="R20">
            <v>19.600000000000001</v>
          </cell>
          <cell r="S20">
            <v>156</v>
          </cell>
          <cell r="T20">
            <v>1</v>
          </cell>
          <cell r="U20">
            <v>0</v>
          </cell>
          <cell r="V20">
            <v>100</v>
          </cell>
          <cell r="W20">
            <v>156</v>
          </cell>
          <cell r="X20">
            <v>300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193.572</v>
          </cell>
          <cell r="D21">
            <v>221.18700000000001</v>
          </cell>
          <cell r="E21">
            <v>135.261</v>
          </cell>
          <cell r="F21">
            <v>36.090000000000003</v>
          </cell>
          <cell r="G21">
            <v>40.296999999999997</v>
          </cell>
          <cell r="H21">
            <v>1</v>
          </cell>
          <cell r="I21">
            <v>60</v>
          </cell>
          <cell r="J21" t="str">
            <v>матрица</v>
          </cell>
          <cell r="L21">
            <v>159</v>
          </cell>
          <cell r="M21">
            <v>-23.739000000000004</v>
          </cell>
          <cell r="N21">
            <v>135.261</v>
          </cell>
          <cell r="P21">
            <v>300</v>
          </cell>
          <cell r="Q21">
            <v>40</v>
          </cell>
          <cell r="R21">
            <v>27.052199999999999</v>
          </cell>
          <cell r="T21">
            <v>0.55205808835300629</v>
          </cell>
          <cell r="U21">
            <v>0</v>
          </cell>
          <cell r="V21">
            <v>50</v>
          </cell>
          <cell r="W21">
            <v>0</v>
          </cell>
          <cell r="X21">
            <v>100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607</v>
          </cell>
          <cell r="D22">
            <v>1105</v>
          </cell>
          <cell r="E22">
            <v>315</v>
          </cell>
          <cell r="F22">
            <v>174</v>
          </cell>
          <cell r="G22">
            <v>223</v>
          </cell>
          <cell r="H22">
            <v>0.22</v>
          </cell>
          <cell r="I22">
            <v>120</v>
          </cell>
          <cell r="J22" t="str">
            <v>матрица</v>
          </cell>
          <cell r="L22">
            <v>419</v>
          </cell>
          <cell r="M22">
            <v>-104</v>
          </cell>
          <cell r="N22">
            <v>202</v>
          </cell>
          <cell r="O22">
            <v>113</v>
          </cell>
          <cell r="P22">
            <v>0</v>
          </cell>
          <cell r="Q22">
            <v>270</v>
          </cell>
          <cell r="R22">
            <v>40.4</v>
          </cell>
          <cell r="T22">
            <v>0.52799552071668532</v>
          </cell>
          <cell r="U22">
            <v>0</v>
          </cell>
          <cell r="W22">
            <v>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11.868</v>
          </cell>
          <cell r="D23">
            <v>8.1999999999999993</v>
          </cell>
          <cell r="E23">
            <v>17.306000000000001</v>
          </cell>
          <cell r="H23">
            <v>1</v>
          </cell>
          <cell r="I23">
            <v>40</v>
          </cell>
          <cell r="J23" t="str">
            <v>матрица</v>
          </cell>
          <cell r="L23">
            <v>31.85</v>
          </cell>
          <cell r="M23">
            <v>-14.544</v>
          </cell>
          <cell r="N23">
            <v>17.306000000000001</v>
          </cell>
          <cell r="P23">
            <v>34</v>
          </cell>
          <cell r="Q23">
            <v>40</v>
          </cell>
          <cell r="R23">
            <v>3.4612000000000003</v>
          </cell>
          <cell r="T23">
            <v>7.5181076372971486E-2</v>
          </cell>
          <cell r="U23">
            <v>0</v>
          </cell>
          <cell r="V23">
            <v>50</v>
          </cell>
          <cell r="W23">
            <v>0</v>
          </cell>
          <cell r="X23">
            <v>70</v>
          </cell>
        </row>
        <row r="24">
          <cell r="A24" t="str">
            <v>6025 ВЕТЧ.ФИРМЕННАЯ С ИНДЕЙКОЙ п/о   ОСТАНКИНО</v>
          </cell>
          <cell r="B24" t="str">
            <v>кг</v>
          </cell>
          <cell r="C24">
            <v>39.21</v>
          </cell>
          <cell r="H24">
            <v>0</v>
          </cell>
          <cell r="J24" t="str">
            <v>не в матрице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63.238999999999997</v>
          </cell>
          <cell r="D25">
            <v>203.38</v>
          </cell>
          <cell r="E25">
            <v>57.768000000000001</v>
          </cell>
          <cell r="F25">
            <v>5.5</v>
          </cell>
          <cell r="G25">
            <v>10.804</v>
          </cell>
          <cell r="H25">
            <v>1</v>
          </cell>
          <cell r="I25">
            <v>60</v>
          </cell>
          <cell r="J25" t="str">
            <v>матрица</v>
          </cell>
          <cell r="L25">
            <v>73.599999999999994</v>
          </cell>
          <cell r="M25">
            <v>-15.831999999999994</v>
          </cell>
          <cell r="N25">
            <v>45.557000000000002</v>
          </cell>
          <cell r="O25">
            <v>12.211</v>
          </cell>
          <cell r="P25">
            <v>170</v>
          </cell>
          <cell r="Q25">
            <v>0</v>
          </cell>
          <cell r="R25">
            <v>9.1113999999999997</v>
          </cell>
          <cell r="T25">
            <v>0.61142635621350516</v>
          </cell>
          <cell r="U25">
            <v>0</v>
          </cell>
          <cell r="V25">
            <v>50</v>
          </cell>
          <cell r="W25">
            <v>0</v>
          </cell>
          <cell r="X25">
            <v>50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249</v>
          </cell>
          <cell r="D26">
            <v>842</v>
          </cell>
          <cell r="E26">
            <v>195</v>
          </cell>
          <cell r="F26">
            <v>15</v>
          </cell>
          <cell r="G26">
            <v>20</v>
          </cell>
          <cell r="H26">
            <v>0.09</v>
          </cell>
          <cell r="I26">
            <v>60</v>
          </cell>
          <cell r="J26" t="str">
            <v>матрица</v>
          </cell>
          <cell r="L26">
            <v>218</v>
          </cell>
          <cell r="M26">
            <v>-23</v>
          </cell>
          <cell r="N26">
            <v>195</v>
          </cell>
          <cell r="P26">
            <v>0</v>
          </cell>
          <cell r="Q26">
            <v>357</v>
          </cell>
          <cell r="R26">
            <v>39</v>
          </cell>
          <cell r="S26">
            <v>193</v>
          </cell>
          <cell r="T26">
            <v>0.43263288009888751</v>
          </cell>
          <cell r="U26">
            <v>109.50185414091472</v>
          </cell>
          <cell r="V26">
            <v>200</v>
          </cell>
          <cell r="W26">
            <v>83.498145859085284</v>
          </cell>
          <cell r="X26">
            <v>200</v>
          </cell>
        </row>
        <row r="27">
          <cell r="A27" t="str">
            <v>6222 ИТАЛЬЯНСКОЕ АССОРТИ с/в с/н мгс 1/90 ОСТАНКИНО</v>
          </cell>
          <cell r="B27" t="str">
            <v>шт</v>
          </cell>
          <cell r="C27">
            <v>68</v>
          </cell>
          <cell r="D27">
            <v>10</v>
          </cell>
          <cell r="F27">
            <v>68</v>
          </cell>
          <cell r="H27">
            <v>0</v>
          </cell>
          <cell r="J27" t="str">
            <v>не в матрице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  <cell r="T27">
            <v>1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66</v>
          </cell>
          <cell r="D28">
            <v>216</v>
          </cell>
          <cell r="E28">
            <v>45</v>
          </cell>
          <cell r="H28">
            <v>0.09</v>
          </cell>
          <cell r="I28">
            <v>45</v>
          </cell>
          <cell r="J28" t="str">
            <v>матрица</v>
          </cell>
          <cell r="L28">
            <v>48</v>
          </cell>
          <cell r="M28">
            <v>-3</v>
          </cell>
          <cell r="N28">
            <v>45</v>
          </cell>
          <cell r="P28">
            <v>56</v>
          </cell>
          <cell r="Q28">
            <v>67</v>
          </cell>
          <cell r="R28">
            <v>9</v>
          </cell>
          <cell r="S28">
            <v>12</v>
          </cell>
          <cell r="T28">
            <v>0.55172413793103448</v>
          </cell>
          <cell r="U28">
            <v>5.3793103448275863</v>
          </cell>
          <cell r="W28">
            <v>6.6206896551724137</v>
          </cell>
          <cell r="X28">
            <v>50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81</v>
          </cell>
          <cell r="D29">
            <v>184</v>
          </cell>
          <cell r="E29">
            <v>-2</v>
          </cell>
          <cell r="H29">
            <v>0.15</v>
          </cell>
          <cell r="I29">
            <v>45</v>
          </cell>
          <cell r="J29" t="str">
            <v>матрица</v>
          </cell>
          <cell r="L29">
            <v>13</v>
          </cell>
          <cell r="M29">
            <v>-15</v>
          </cell>
          <cell r="N29">
            <v>-2</v>
          </cell>
          <cell r="P29">
            <v>0</v>
          </cell>
          <cell r="Q29">
            <v>0</v>
          </cell>
          <cell r="R29">
            <v>-0.4</v>
          </cell>
          <cell r="S29">
            <v>25</v>
          </cell>
          <cell r="T29">
            <v>0.93548387096774177</v>
          </cell>
          <cell r="U29">
            <v>8</v>
          </cell>
          <cell r="W29">
            <v>23.387096774193544</v>
          </cell>
          <cell r="X29">
            <v>50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1211.2349999999999</v>
          </cell>
          <cell r="D30">
            <v>1943.808</v>
          </cell>
          <cell r="E30">
            <v>442.649</v>
          </cell>
          <cell r="F30">
            <v>415.16</v>
          </cell>
          <cell r="G30">
            <v>115.601</v>
          </cell>
          <cell r="H30">
            <v>1</v>
          </cell>
          <cell r="I30">
            <v>45</v>
          </cell>
          <cell r="J30" t="str">
            <v>матрица</v>
          </cell>
          <cell r="L30">
            <v>427.7</v>
          </cell>
          <cell r="M30">
            <v>14.949000000000012</v>
          </cell>
          <cell r="N30">
            <v>409.45299999999997</v>
          </cell>
          <cell r="O30">
            <v>33.195999999999998</v>
          </cell>
          <cell r="P30">
            <v>0</v>
          </cell>
          <cell r="Q30">
            <v>394</v>
          </cell>
          <cell r="R30">
            <v>81.890599999999992</v>
          </cell>
          <cell r="S30">
            <v>303.5979999999999</v>
          </cell>
          <cell r="T30">
            <v>0.19659807091924739</v>
          </cell>
          <cell r="U30">
            <v>243.91121886505826</v>
          </cell>
          <cell r="V30">
            <v>350</v>
          </cell>
          <cell r="W30">
            <v>59.686781134941647</v>
          </cell>
          <cell r="X30">
            <v>150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26</v>
          </cell>
          <cell r="D31">
            <v>160</v>
          </cell>
          <cell r="E31">
            <v>24</v>
          </cell>
          <cell r="H31">
            <v>0.4</v>
          </cell>
          <cell r="I31">
            <v>60</v>
          </cell>
          <cell r="J31" t="str">
            <v>матрица</v>
          </cell>
          <cell r="L31">
            <v>149</v>
          </cell>
          <cell r="M31">
            <v>-125</v>
          </cell>
          <cell r="N31">
            <v>24</v>
          </cell>
          <cell r="P31">
            <v>274</v>
          </cell>
          <cell r="Q31">
            <v>87</v>
          </cell>
          <cell r="R31">
            <v>4.8</v>
          </cell>
          <cell r="T31">
            <v>0.56488549618320616</v>
          </cell>
          <cell r="U31">
            <v>0</v>
          </cell>
          <cell r="W31">
            <v>0</v>
          </cell>
          <cell r="X31">
            <v>50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691</v>
          </cell>
          <cell r="D32">
            <v>713</v>
          </cell>
          <cell r="E32">
            <v>526</v>
          </cell>
          <cell r="F32">
            <v>144</v>
          </cell>
          <cell r="G32">
            <v>165</v>
          </cell>
          <cell r="H32">
            <v>0.4</v>
          </cell>
          <cell r="I32">
            <v>60</v>
          </cell>
          <cell r="J32" t="str">
            <v>матрица</v>
          </cell>
          <cell r="L32">
            <v>566</v>
          </cell>
          <cell r="M32">
            <v>-40</v>
          </cell>
          <cell r="N32">
            <v>390</v>
          </cell>
          <cell r="O32">
            <v>136</v>
          </cell>
          <cell r="P32">
            <v>606</v>
          </cell>
          <cell r="Q32">
            <v>200</v>
          </cell>
          <cell r="R32">
            <v>78</v>
          </cell>
          <cell r="S32">
            <v>55</v>
          </cell>
          <cell r="T32">
            <v>0.56711409395973145</v>
          </cell>
          <cell r="U32">
            <v>23.808724832214772</v>
          </cell>
          <cell r="W32">
            <v>31.191275167785228</v>
          </cell>
          <cell r="X32">
            <v>150</v>
          </cell>
        </row>
        <row r="33">
          <cell r="A33" t="str">
            <v>6364 СЕРВЕЛАТ ЗЕРНИСТЫЙ ПМ в/к в/у 0.35кг  ОСТАНКИНО</v>
          </cell>
          <cell r="B33" t="str">
            <v>шт</v>
          </cell>
          <cell r="C33">
            <v>-1</v>
          </cell>
          <cell r="F33">
            <v>-1</v>
          </cell>
          <cell r="H33">
            <v>0</v>
          </cell>
          <cell r="J33" t="str">
            <v>не в матрице</v>
          </cell>
          <cell r="K33" t="str">
            <v>7154 СЕРВЕЛАТ ЗЕРНИСТЫЙ ПМ в/к в/у 0,35кг_50с  Останкино</v>
          </cell>
          <cell r="M33">
            <v>0</v>
          </cell>
          <cell r="N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607</v>
          </cell>
          <cell r="D34">
            <v>968</v>
          </cell>
          <cell r="E34">
            <v>417</v>
          </cell>
          <cell r="F34">
            <v>145</v>
          </cell>
          <cell r="G34">
            <v>164</v>
          </cell>
          <cell r="H34">
            <v>0.4</v>
          </cell>
          <cell r="I34">
            <v>60</v>
          </cell>
          <cell r="J34" t="str">
            <v>матрица</v>
          </cell>
          <cell r="L34">
            <v>453</v>
          </cell>
          <cell r="M34">
            <v>-36</v>
          </cell>
          <cell r="N34">
            <v>305</v>
          </cell>
          <cell r="O34">
            <v>112</v>
          </cell>
          <cell r="P34">
            <v>453</v>
          </cell>
          <cell r="Q34">
            <v>0</v>
          </cell>
          <cell r="R34">
            <v>61</v>
          </cell>
          <cell r="S34">
            <v>153</v>
          </cell>
          <cell r="T34">
            <v>0.61348077935755663</v>
          </cell>
          <cell r="U34">
            <v>59.137440758293835</v>
          </cell>
          <cell r="V34">
            <v>120</v>
          </cell>
          <cell r="W34">
            <v>93.862559241706165</v>
          </cell>
          <cell r="X34">
            <v>200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82</v>
          </cell>
          <cell r="E35">
            <v>-2</v>
          </cell>
          <cell r="H35">
            <v>0</v>
          </cell>
          <cell r="I35">
            <v>45</v>
          </cell>
          <cell r="J35" t="str">
            <v>вывод</v>
          </cell>
          <cell r="L35">
            <v>32</v>
          </cell>
          <cell r="M35">
            <v>-34</v>
          </cell>
          <cell r="N35">
            <v>-2</v>
          </cell>
          <cell r="P35">
            <v>0</v>
          </cell>
          <cell r="Q35">
            <v>0</v>
          </cell>
          <cell r="R35">
            <v>-0.4</v>
          </cell>
          <cell r="T35">
            <v>0.23214285714285712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2</v>
          </cell>
          <cell r="F36">
            <v>2</v>
          </cell>
          <cell r="H36">
            <v>0</v>
          </cell>
          <cell r="I36">
            <v>60</v>
          </cell>
          <cell r="J36" t="str">
            <v>не в матрице</v>
          </cell>
          <cell r="K36" t="str">
            <v>7616 ЭКСТРА Папа может с/к с/н в/у 1/100_  ОСТАНКИНО</v>
          </cell>
          <cell r="M36">
            <v>0</v>
          </cell>
          <cell r="N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C37">
            <v>14.555</v>
          </cell>
          <cell r="D37">
            <v>318.95100000000002</v>
          </cell>
          <cell r="E37">
            <v>39.238</v>
          </cell>
          <cell r="H37">
            <v>0</v>
          </cell>
          <cell r="I37">
            <v>45</v>
          </cell>
          <cell r="J37" t="str">
            <v>не в матрице</v>
          </cell>
          <cell r="L37">
            <v>47.2</v>
          </cell>
          <cell r="M37">
            <v>-7.9620000000000033</v>
          </cell>
          <cell r="N37">
            <v>0</v>
          </cell>
          <cell r="O37">
            <v>39.238</v>
          </cell>
          <cell r="P37">
            <v>0</v>
          </cell>
          <cell r="Q37">
            <v>0</v>
          </cell>
          <cell r="R37">
            <v>0</v>
          </cell>
          <cell r="T37">
            <v>1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78</v>
          </cell>
          <cell r="D38">
            <v>216</v>
          </cell>
          <cell r="E38">
            <v>30</v>
          </cell>
          <cell r="F38">
            <v>12</v>
          </cell>
          <cell r="H38">
            <v>0</v>
          </cell>
          <cell r="J38" t="str">
            <v>не в матрице</v>
          </cell>
          <cell r="L38">
            <v>145</v>
          </cell>
          <cell r="M38">
            <v>-115</v>
          </cell>
          <cell r="N38">
            <v>0</v>
          </cell>
          <cell r="O38">
            <v>30</v>
          </cell>
          <cell r="P38">
            <v>0</v>
          </cell>
          <cell r="Q38">
            <v>0</v>
          </cell>
          <cell r="R38">
            <v>0</v>
          </cell>
          <cell r="T38">
            <v>1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126</v>
          </cell>
          <cell r="D39">
            <v>329</v>
          </cell>
          <cell r="E39">
            <v>75</v>
          </cell>
          <cell r="F39">
            <v>18</v>
          </cell>
          <cell r="G39">
            <v>29</v>
          </cell>
          <cell r="H39">
            <v>0.3</v>
          </cell>
          <cell r="I39">
            <v>45</v>
          </cell>
          <cell r="J39" t="str">
            <v>матрица</v>
          </cell>
          <cell r="L39">
            <v>86</v>
          </cell>
          <cell r="M39">
            <v>-11</v>
          </cell>
          <cell r="N39">
            <v>57</v>
          </cell>
          <cell r="O39">
            <v>18</v>
          </cell>
          <cell r="P39">
            <v>0</v>
          </cell>
          <cell r="Q39">
            <v>117</v>
          </cell>
          <cell r="R39">
            <v>11.4</v>
          </cell>
          <cell r="S39">
            <v>7</v>
          </cell>
          <cell r="T39">
            <v>0.49881796690307323</v>
          </cell>
          <cell r="U39">
            <v>4</v>
          </cell>
          <cell r="W39">
            <v>4</v>
          </cell>
          <cell r="X39">
            <v>30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1123.6590000000001</v>
          </cell>
          <cell r="D40">
            <v>1623.806</v>
          </cell>
          <cell r="E40">
            <v>228.76</v>
          </cell>
          <cell r="F40">
            <v>208.24700000000001</v>
          </cell>
          <cell r="G40">
            <v>370.803</v>
          </cell>
          <cell r="H40">
            <v>1</v>
          </cell>
          <cell r="I40">
            <v>60</v>
          </cell>
          <cell r="J40" t="str">
            <v>матрица</v>
          </cell>
          <cell r="L40">
            <v>227.4</v>
          </cell>
          <cell r="M40">
            <v>1.3599999999999852</v>
          </cell>
          <cell r="N40">
            <v>139.56399999999999</v>
          </cell>
          <cell r="O40">
            <v>89.195999999999998</v>
          </cell>
          <cell r="P40">
            <v>0</v>
          </cell>
          <cell r="Q40">
            <v>0</v>
          </cell>
          <cell r="R40">
            <v>27.912799999999997</v>
          </cell>
          <cell r="T40">
            <v>0.76191685830446043</v>
          </cell>
          <cell r="U40">
            <v>0</v>
          </cell>
          <cell r="W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127.858</v>
          </cell>
          <cell r="D41">
            <v>28.533000000000001</v>
          </cell>
          <cell r="E41">
            <v>88.04</v>
          </cell>
          <cell r="F41">
            <v>29.452000000000002</v>
          </cell>
          <cell r="G41">
            <v>6.34</v>
          </cell>
          <cell r="H41">
            <v>1</v>
          </cell>
          <cell r="I41">
            <v>45</v>
          </cell>
          <cell r="J41" t="str">
            <v>матрица</v>
          </cell>
          <cell r="L41">
            <v>88.3</v>
          </cell>
          <cell r="M41">
            <v>-0.25999999999999091</v>
          </cell>
          <cell r="N41">
            <v>88.04</v>
          </cell>
          <cell r="P41">
            <v>160</v>
          </cell>
          <cell r="Q41">
            <v>0</v>
          </cell>
          <cell r="R41">
            <v>17.608000000000001</v>
          </cell>
          <cell r="S41">
            <v>68.328000000000003</v>
          </cell>
          <cell r="T41">
            <v>0.11367880237399236</v>
          </cell>
          <cell r="U41">
            <v>60.560554791389855</v>
          </cell>
          <cell r="V41">
            <v>150</v>
          </cell>
          <cell r="W41">
            <v>7.76744520861015</v>
          </cell>
          <cell r="X41">
            <v>50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227.56100000000001</v>
          </cell>
          <cell r="D42">
            <v>340.13799999999998</v>
          </cell>
          <cell r="E42">
            <v>80.932000000000002</v>
          </cell>
          <cell r="F42">
            <v>45.564</v>
          </cell>
          <cell r="G42">
            <v>29.978999999999999</v>
          </cell>
          <cell r="H42">
            <v>1</v>
          </cell>
          <cell r="I42">
            <v>45</v>
          </cell>
          <cell r="J42" t="str">
            <v>матрица</v>
          </cell>
          <cell r="L42">
            <v>82.2</v>
          </cell>
          <cell r="M42">
            <v>-1.2680000000000007</v>
          </cell>
          <cell r="N42">
            <v>65.245000000000005</v>
          </cell>
          <cell r="O42">
            <v>15.686999999999999</v>
          </cell>
          <cell r="P42">
            <v>340</v>
          </cell>
          <cell r="Q42">
            <v>0</v>
          </cell>
          <cell r="R42">
            <v>13.049000000000001</v>
          </cell>
          <cell r="T42">
            <v>0.39876802257807226</v>
          </cell>
          <cell r="U42">
            <v>0</v>
          </cell>
          <cell r="W42">
            <v>0</v>
          </cell>
          <cell r="X42">
            <v>50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68.498000000000005</v>
          </cell>
          <cell r="D43">
            <v>159.62899999999999</v>
          </cell>
          <cell r="E43">
            <v>38.027000000000001</v>
          </cell>
          <cell r="F43">
            <v>12.492000000000001</v>
          </cell>
          <cell r="G43">
            <v>3.1379999999999999</v>
          </cell>
          <cell r="H43">
            <v>1</v>
          </cell>
          <cell r="I43">
            <v>45</v>
          </cell>
          <cell r="J43" t="str">
            <v>матрица</v>
          </cell>
          <cell r="L43">
            <v>48</v>
          </cell>
          <cell r="M43">
            <v>-9.972999999999999</v>
          </cell>
          <cell r="N43">
            <v>38.027000000000001</v>
          </cell>
          <cell r="P43">
            <v>47</v>
          </cell>
          <cell r="Q43">
            <v>50</v>
          </cell>
          <cell r="R43">
            <v>7.6054000000000004</v>
          </cell>
          <cell r="S43">
            <v>4</v>
          </cell>
          <cell r="T43">
            <v>0.14720124335219406</v>
          </cell>
          <cell r="U43">
            <v>4</v>
          </cell>
          <cell r="W43">
            <v>4</v>
          </cell>
          <cell r="X43">
            <v>50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363</v>
          </cell>
          <cell r="D44">
            <v>723</v>
          </cell>
          <cell r="E44">
            <v>248</v>
          </cell>
          <cell r="F44">
            <v>2</v>
          </cell>
          <cell r="H44">
            <v>0.3</v>
          </cell>
          <cell r="I44">
            <v>45</v>
          </cell>
          <cell r="J44" t="str">
            <v>матрица</v>
          </cell>
          <cell r="L44">
            <v>325</v>
          </cell>
          <cell r="M44">
            <v>-77</v>
          </cell>
          <cell r="N44">
            <v>232</v>
          </cell>
          <cell r="O44">
            <v>16</v>
          </cell>
          <cell r="P44">
            <v>964</v>
          </cell>
          <cell r="Q44">
            <v>0</v>
          </cell>
          <cell r="R44">
            <v>46.4</v>
          </cell>
          <cell r="T44">
            <v>0.29040404040404044</v>
          </cell>
          <cell r="U44">
            <v>0</v>
          </cell>
          <cell r="W44">
            <v>0</v>
          </cell>
          <cell r="X44">
            <v>150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94.372</v>
          </cell>
          <cell r="D45">
            <v>58.308</v>
          </cell>
          <cell r="E45">
            <v>45.103999999999999</v>
          </cell>
          <cell r="H45">
            <v>1</v>
          </cell>
          <cell r="J45" t="str">
            <v>матрица</v>
          </cell>
          <cell r="L45">
            <v>91.5</v>
          </cell>
          <cell r="M45">
            <v>-46.396000000000001</v>
          </cell>
          <cell r="N45">
            <v>45.103999999999999</v>
          </cell>
          <cell r="P45">
            <v>120</v>
          </cell>
          <cell r="Q45">
            <v>0</v>
          </cell>
          <cell r="R45">
            <v>9.0207999999999995</v>
          </cell>
          <cell r="S45">
            <v>15.311999999999983</v>
          </cell>
          <cell r="T45">
            <v>0</v>
          </cell>
          <cell r="U45">
            <v>15.311999999999983</v>
          </cell>
          <cell r="W45">
            <v>0</v>
          </cell>
          <cell r="X45">
            <v>30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170.042</v>
          </cell>
          <cell r="D46">
            <v>383.024</v>
          </cell>
          <cell r="E46">
            <v>84.411000000000001</v>
          </cell>
          <cell r="F46">
            <v>37.223999999999997</v>
          </cell>
          <cell r="H46">
            <v>1</v>
          </cell>
          <cell r="I46">
            <v>45</v>
          </cell>
          <cell r="J46" t="str">
            <v>матрица</v>
          </cell>
          <cell r="L46">
            <v>96.5</v>
          </cell>
          <cell r="M46">
            <v>-12.088999999999999</v>
          </cell>
          <cell r="N46">
            <v>53.064</v>
          </cell>
          <cell r="O46">
            <v>31.347000000000001</v>
          </cell>
          <cell r="P46">
            <v>0</v>
          </cell>
          <cell r="Q46">
            <v>126</v>
          </cell>
          <cell r="R46">
            <v>10.6128</v>
          </cell>
          <cell r="T46">
            <v>0.40149635777271597</v>
          </cell>
          <cell r="U46">
            <v>0</v>
          </cell>
          <cell r="W46">
            <v>0</v>
          </cell>
          <cell r="X46">
            <v>100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659</v>
          </cell>
          <cell r="D47">
            <v>1645</v>
          </cell>
          <cell r="E47">
            <v>716</v>
          </cell>
          <cell r="F47">
            <v>46</v>
          </cell>
          <cell r="G47">
            <v>92</v>
          </cell>
          <cell r="H47">
            <v>0.35</v>
          </cell>
          <cell r="I47">
            <v>45</v>
          </cell>
          <cell r="J47" t="str">
            <v>матрица</v>
          </cell>
          <cell r="L47">
            <v>778</v>
          </cell>
          <cell r="M47">
            <v>-62</v>
          </cell>
          <cell r="N47">
            <v>563</v>
          </cell>
          <cell r="O47">
            <v>153</v>
          </cell>
          <cell r="P47">
            <v>1400</v>
          </cell>
          <cell r="Q47">
            <v>0</v>
          </cell>
          <cell r="R47">
            <v>112.6</v>
          </cell>
          <cell r="S47">
            <v>151</v>
          </cell>
          <cell r="T47">
            <v>0.59639759839893258</v>
          </cell>
          <cell r="U47">
            <v>60.943962641761175</v>
          </cell>
          <cell r="W47">
            <v>90.056037358238825</v>
          </cell>
          <cell r="X47">
            <v>200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889</v>
          </cell>
          <cell r="D48">
            <v>1488</v>
          </cell>
          <cell r="E48">
            <v>23</v>
          </cell>
          <cell r="H48">
            <v>0.41</v>
          </cell>
          <cell r="I48">
            <v>45</v>
          </cell>
          <cell r="J48" t="str">
            <v>матрица</v>
          </cell>
          <cell r="L48">
            <v>374</v>
          </cell>
          <cell r="M48">
            <v>-351</v>
          </cell>
          <cell r="N48">
            <v>-1</v>
          </cell>
          <cell r="O48">
            <v>24</v>
          </cell>
          <cell r="P48">
            <v>0</v>
          </cell>
          <cell r="Q48">
            <v>42</v>
          </cell>
          <cell r="R48">
            <v>-0.2</v>
          </cell>
          <cell r="T48">
            <v>0.60706401766004414</v>
          </cell>
          <cell r="U48">
            <v>0</v>
          </cell>
          <cell r="W48">
            <v>0</v>
          </cell>
          <cell r="X48">
            <v>50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619</v>
          </cell>
          <cell r="D49">
            <v>790</v>
          </cell>
          <cell r="E49">
            <v>342</v>
          </cell>
          <cell r="F49">
            <v>134</v>
          </cell>
          <cell r="G49">
            <v>158</v>
          </cell>
          <cell r="H49">
            <v>0.41</v>
          </cell>
          <cell r="I49">
            <v>45</v>
          </cell>
          <cell r="J49" t="str">
            <v>матрица</v>
          </cell>
          <cell r="L49">
            <v>343</v>
          </cell>
          <cell r="M49">
            <v>-1</v>
          </cell>
          <cell r="N49">
            <v>232</v>
          </cell>
          <cell r="O49">
            <v>110</v>
          </cell>
          <cell r="P49">
            <v>102</v>
          </cell>
          <cell r="Q49">
            <v>108</v>
          </cell>
          <cell r="R49">
            <v>46.4</v>
          </cell>
          <cell r="S49">
            <v>194</v>
          </cell>
          <cell r="T49">
            <v>0.41992551210428308</v>
          </cell>
          <cell r="U49">
            <v>112.53445065176908</v>
          </cell>
          <cell r="W49">
            <v>81.465549348230923</v>
          </cell>
          <cell r="X49">
            <v>200</v>
          </cell>
        </row>
        <row r="50">
          <cell r="A50" t="str">
            <v>6761 МОЛОЧНЫЕ ГОСТ сос ц/о мгс 1*4  Останкино</v>
          </cell>
          <cell r="B50" t="str">
            <v>кг</v>
          </cell>
          <cell r="C50">
            <v>16.449000000000002</v>
          </cell>
          <cell r="F50">
            <v>16.449000000000002</v>
          </cell>
          <cell r="H50">
            <v>0</v>
          </cell>
          <cell r="I50">
            <v>30</v>
          </cell>
          <cell r="J50" t="str">
            <v>не в матрице</v>
          </cell>
          <cell r="M50">
            <v>0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50</v>
          </cell>
          <cell r="D51">
            <v>14</v>
          </cell>
          <cell r="E51">
            <v>43</v>
          </cell>
          <cell r="H51">
            <v>0.36</v>
          </cell>
          <cell r="I51">
            <v>45</v>
          </cell>
          <cell r="J51" t="str">
            <v>матрица</v>
          </cell>
          <cell r="L51">
            <v>65</v>
          </cell>
          <cell r="M51">
            <v>-22</v>
          </cell>
          <cell r="N51">
            <v>43</v>
          </cell>
          <cell r="P51">
            <v>117</v>
          </cell>
          <cell r="Q51">
            <v>0</v>
          </cell>
          <cell r="R51">
            <v>8.6</v>
          </cell>
          <cell r="S51">
            <v>12</v>
          </cell>
          <cell r="T51">
            <v>8.1967213114754092E-2</v>
          </cell>
          <cell r="U51">
            <v>12</v>
          </cell>
          <cell r="W51">
            <v>6</v>
          </cell>
          <cell r="X51">
            <v>30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107</v>
          </cell>
          <cell r="D52">
            <v>297</v>
          </cell>
          <cell r="E52">
            <v>105</v>
          </cell>
          <cell r="F52">
            <v>147</v>
          </cell>
          <cell r="H52">
            <v>0.33</v>
          </cell>
          <cell r="I52">
            <v>45</v>
          </cell>
          <cell r="J52" t="str">
            <v>матрица</v>
          </cell>
          <cell r="L52">
            <v>137</v>
          </cell>
          <cell r="M52">
            <v>-32</v>
          </cell>
          <cell r="N52">
            <v>105</v>
          </cell>
          <cell r="P52">
            <v>211</v>
          </cell>
          <cell r="Q52">
            <v>0</v>
          </cell>
          <cell r="R52">
            <v>21</v>
          </cell>
          <cell r="T52">
            <v>0.38644067796610171</v>
          </cell>
          <cell r="U52">
            <v>0</v>
          </cell>
          <cell r="W52">
            <v>0</v>
          </cell>
          <cell r="X52">
            <v>40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154</v>
          </cell>
          <cell r="D53">
            <v>79</v>
          </cell>
          <cell r="E53">
            <v>147</v>
          </cell>
          <cell r="F53">
            <v>1</v>
          </cell>
          <cell r="G53">
            <v>-2</v>
          </cell>
          <cell r="H53">
            <v>0.4</v>
          </cell>
          <cell r="I53">
            <v>60</v>
          </cell>
          <cell r="J53" t="str">
            <v>матрица</v>
          </cell>
          <cell r="L53">
            <v>203</v>
          </cell>
          <cell r="M53">
            <v>-56</v>
          </cell>
          <cell r="N53">
            <v>123</v>
          </cell>
          <cell r="O53">
            <v>24</v>
          </cell>
          <cell r="P53">
            <v>306</v>
          </cell>
          <cell r="Q53">
            <v>110</v>
          </cell>
          <cell r="R53">
            <v>24.6</v>
          </cell>
          <cell r="T53">
            <v>0.50269541778975735</v>
          </cell>
          <cell r="U53">
            <v>0</v>
          </cell>
          <cell r="W53">
            <v>0</v>
          </cell>
          <cell r="X53">
            <v>30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9</v>
          </cell>
          <cell r="D54">
            <v>148</v>
          </cell>
          <cell r="E54">
            <v>8</v>
          </cell>
          <cell r="H54">
            <v>0.33</v>
          </cell>
          <cell r="I54">
            <v>45</v>
          </cell>
          <cell r="J54" t="str">
            <v>матрица</v>
          </cell>
          <cell r="L54">
            <v>19</v>
          </cell>
          <cell r="M54">
            <v>-11</v>
          </cell>
          <cell r="N54">
            <v>8</v>
          </cell>
          <cell r="P54">
            <v>19</v>
          </cell>
          <cell r="Q54">
            <v>5</v>
          </cell>
          <cell r="R54">
            <v>1.6</v>
          </cell>
          <cell r="S54">
            <v>8</v>
          </cell>
          <cell r="T54">
            <v>3.7037037037037035E-2</v>
          </cell>
          <cell r="U54">
            <v>7.7037037037037042</v>
          </cell>
          <cell r="W54">
            <v>0.29629629629629628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301.26400000000001</v>
          </cell>
          <cell r="D55">
            <v>128.60499999999999</v>
          </cell>
          <cell r="E55">
            <v>206.43299999999999</v>
          </cell>
          <cell r="F55">
            <v>79.326999999999998</v>
          </cell>
          <cell r="G55">
            <v>6.3570000000000002</v>
          </cell>
          <cell r="H55">
            <v>1</v>
          </cell>
          <cell r="I55">
            <v>45</v>
          </cell>
          <cell r="J55" t="str">
            <v>матрица</v>
          </cell>
          <cell r="L55">
            <v>199.9</v>
          </cell>
          <cell r="M55">
            <v>6.532999999999987</v>
          </cell>
          <cell r="N55">
            <v>206.43299999999999</v>
          </cell>
          <cell r="P55">
            <v>664</v>
          </cell>
          <cell r="Q55">
            <v>0</v>
          </cell>
          <cell r="R55">
            <v>41.2866</v>
          </cell>
          <cell r="T55">
            <v>0.12663247957849127</v>
          </cell>
          <cell r="U55">
            <v>0</v>
          </cell>
          <cell r="W55">
            <v>0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162</v>
          </cell>
          <cell r="D56">
            <v>270</v>
          </cell>
          <cell r="E56">
            <v>71</v>
          </cell>
          <cell r="H56">
            <v>0.4</v>
          </cell>
          <cell r="I56">
            <v>45</v>
          </cell>
          <cell r="J56" t="str">
            <v>матрица</v>
          </cell>
          <cell r="L56">
            <v>128</v>
          </cell>
          <cell r="M56">
            <v>-57</v>
          </cell>
          <cell r="N56">
            <v>-1</v>
          </cell>
          <cell r="O56">
            <v>72</v>
          </cell>
          <cell r="P56">
            <v>0</v>
          </cell>
          <cell r="R56">
            <v>-0.2</v>
          </cell>
          <cell r="T56">
            <v>1</v>
          </cell>
          <cell r="U56">
            <v>10</v>
          </cell>
          <cell r="W56">
            <v>20</v>
          </cell>
          <cell r="X56">
            <v>150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H57">
            <v>0</v>
          </cell>
          <cell r="J57" t="str">
            <v>матрица</v>
          </cell>
          <cell r="L57">
            <v>1.3</v>
          </cell>
          <cell r="M57">
            <v>-1.3</v>
          </cell>
          <cell r="N57">
            <v>0</v>
          </cell>
          <cell r="P57">
            <v>0</v>
          </cell>
          <cell r="Q57">
            <v>0</v>
          </cell>
          <cell r="R57">
            <v>0</v>
          </cell>
          <cell r="T57" t="e">
            <v>#N/A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182.66</v>
          </cell>
          <cell r="D58">
            <v>302.99599999999998</v>
          </cell>
          <cell r="E58">
            <v>19.704999999999998</v>
          </cell>
          <cell r="F58">
            <v>37.700000000000003</v>
          </cell>
          <cell r="H58">
            <v>1</v>
          </cell>
          <cell r="I58">
            <v>60</v>
          </cell>
          <cell r="J58" t="str">
            <v>матрица</v>
          </cell>
          <cell r="L58">
            <v>19.5</v>
          </cell>
          <cell r="M58">
            <v>0.20499999999999829</v>
          </cell>
          <cell r="N58">
            <v>19.704999999999998</v>
          </cell>
          <cell r="P58">
            <v>0</v>
          </cell>
          <cell r="Q58">
            <v>200</v>
          </cell>
          <cell r="R58">
            <v>3.9409999999999998</v>
          </cell>
          <cell r="T58">
            <v>0.36221305452517327</v>
          </cell>
          <cell r="U58">
            <v>0</v>
          </cell>
          <cell r="W58">
            <v>0</v>
          </cell>
          <cell r="X58">
            <v>70</v>
          </cell>
        </row>
        <row r="59">
          <cell r="A59" t="str">
            <v>6925 ВЕТЧ.КЛАССИЧЕСКАЯ в/у 0,6кг 8шт. ОСТАНКИНО</v>
          </cell>
          <cell r="B59" t="str">
            <v>шт</v>
          </cell>
          <cell r="C59">
            <v>62</v>
          </cell>
          <cell r="D59">
            <v>72</v>
          </cell>
          <cell r="E59">
            <v>25</v>
          </cell>
          <cell r="H59">
            <v>0</v>
          </cell>
          <cell r="I59">
            <v>45</v>
          </cell>
          <cell r="J59" t="str">
            <v>вывод</v>
          </cell>
          <cell r="L59">
            <v>29</v>
          </cell>
          <cell r="M59">
            <v>-4</v>
          </cell>
          <cell r="N59">
            <v>25</v>
          </cell>
          <cell r="P59">
            <v>0</v>
          </cell>
          <cell r="Q59">
            <v>0</v>
          </cell>
          <cell r="R59">
            <v>5</v>
          </cell>
          <cell r="T59">
            <v>0.39999999999999997</v>
          </cell>
        </row>
        <row r="60">
          <cell r="A60" t="str">
            <v>6929 КАРБОНАД ДОМАШНИЙ ПМ к/в кр/к в/у  ОСТАНКИНО</v>
          </cell>
          <cell r="B60" t="str">
            <v>кг</v>
          </cell>
          <cell r="C60">
            <v>97.18</v>
          </cell>
          <cell r="D60">
            <v>2.504</v>
          </cell>
          <cell r="E60">
            <v>58.686</v>
          </cell>
          <cell r="F60">
            <v>35.963999999999999</v>
          </cell>
          <cell r="H60">
            <v>1</v>
          </cell>
          <cell r="I60">
            <v>45</v>
          </cell>
          <cell r="J60" t="str">
            <v>матрица</v>
          </cell>
          <cell r="L60">
            <v>54.6</v>
          </cell>
          <cell r="M60">
            <v>4.0859999999999985</v>
          </cell>
          <cell r="N60">
            <v>58.686</v>
          </cell>
          <cell r="P60">
            <v>0</v>
          </cell>
          <cell r="Q60">
            <v>50</v>
          </cell>
          <cell r="R60">
            <v>11.7372</v>
          </cell>
          <cell r="S60">
            <v>90.093999999999994</v>
          </cell>
          <cell r="T60">
            <v>0</v>
          </cell>
          <cell r="U60">
            <v>90.093999999999994</v>
          </cell>
          <cell r="W60">
            <v>0</v>
          </cell>
          <cell r="X60">
            <v>100</v>
          </cell>
        </row>
        <row r="61">
          <cell r="A61" t="str">
            <v>6937 САЛЯМИ Папа может с/к в/у 1/250 8шт  Останкино</v>
          </cell>
          <cell r="B61" t="str">
            <v>шт</v>
          </cell>
          <cell r="C61">
            <v>119</v>
          </cell>
          <cell r="D61">
            <v>1</v>
          </cell>
          <cell r="G61">
            <v>120</v>
          </cell>
          <cell r="H61">
            <v>0</v>
          </cell>
          <cell r="J61" t="str">
            <v>не в матрице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T61">
            <v>1</v>
          </cell>
        </row>
        <row r="62">
          <cell r="A62" t="str">
            <v>6967 БУРГУНДИЯ Папа может с/к в/у 1/250 8шт  Останкино</v>
          </cell>
          <cell r="B62" t="str">
            <v>шт</v>
          </cell>
          <cell r="C62">
            <v>213</v>
          </cell>
          <cell r="D62">
            <v>288</v>
          </cell>
          <cell r="E62">
            <v>63</v>
          </cell>
          <cell r="F62">
            <v>66</v>
          </cell>
          <cell r="G62">
            <v>64</v>
          </cell>
          <cell r="H62">
            <v>0.25</v>
          </cell>
          <cell r="I62">
            <v>120</v>
          </cell>
          <cell r="J62" t="str">
            <v>матрица</v>
          </cell>
          <cell r="L62">
            <v>73</v>
          </cell>
          <cell r="M62">
            <v>-10</v>
          </cell>
          <cell r="N62">
            <v>63</v>
          </cell>
          <cell r="P62">
            <v>122</v>
          </cell>
          <cell r="Q62">
            <v>0</v>
          </cell>
          <cell r="R62">
            <v>12.6</v>
          </cell>
          <cell r="T62">
            <v>0.56802721088435371</v>
          </cell>
          <cell r="U62">
            <v>0</v>
          </cell>
          <cell r="W62">
            <v>0</v>
          </cell>
          <cell r="X62">
            <v>70</v>
          </cell>
        </row>
        <row r="63">
          <cell r="A63" t="str">
            <v>7001 КЛАССИЧЕСКИЕ Папа может сар б/о мгс 1*3  Останкино</v>
          </cell>
          <cell r="B63" t="str">
            <v>кг</v>
          </cell>
          <cell r="C63">
            <v>69.918000000000006</v>
          </cell>
          <cell r="D63">
            <v>7.1449999999999996</v>
          </cell>
          <cell r="E63">
            <v>22.555</v>
          </cell>
          <cell r="F63">
            <v>37.524000000000001</v>
          </cell>
          <cell r="G63">
            <v>6.234</v>
          </cell>
          <cell r="H63">
            <v>1</v>
          </cell>
          <cell r="I63">
            <v>45</v>
          </cell>
          <cell r="J63" t="str">
            <v>матрица</v>
          </cell>
          <cell r="L63">
            <v>24</v>
          </cell>
          <cell r="M63">
            <v>-1.4450000000000003</v>
          </cell>
          <cell r="N63">
            <v>22.555</v>
          </cell>
          <cell r="P63">
            <v>0</v>
          </cell>
          <cell r="Q63">
            <v>0</v>
          </cell>
          <cell r="R63">
            <v>4.5110000000000001</v>
          </cell>
          <cell r="S63">
            <v>23.907000000000004</v>
          </cell>
          <cell r="T63">
            <v>0.15956918726214295</v>
          </cell>
          <cell r="U63">
            <v>20.092179440123953</v>
          </cell>
          <cell r="W63">
            <v>3.8148205598760518</v>
          </cell>
          <cell r="X63">
            <v>50</v>
          </cell>
        </row>
        <row r="64">
          <cell r="A64" t="str">
            <v>7040 С ИНДЕЙКОЙ ПМ сос ц/о в/у 1/270 8шт.  ОСТАНКИНО</v>
          </cell>
          <cell r="B64" t="str">
            <v>шт</v>
          </cell>
          <cell r="C64">
            <v>28</v>
          </cell>
          <cell r="D64">
            <v>28</v>
          </cell>
          <cell r="E64">
            <v>28</v>
          </cell>
          <cell r="H64">
            <v>0.27</v>
          </cell>
          <cell r="J64" t="str">
            <v>матрица</v>
          </cell>
          <cell r="L64">
            <v>165</v>
          </cell>
          <cell r="M64">
            <v>-137</v>
          </cell>
          <cell r="N64">
            <v>28</v>
          </cell>
          <cell r="P64">
            <v>246</v>
          </cell>
          <cell r="Q64">
            <v>101</v>
          </cell>
          <cell r="R64">
            <v>5.6</v>
          </cell>
          <cell r="T64">
            <v>5.7142857142857143E-3</v>
          </cell>
          <cell r="U64">
            <v>0</v>
          </cell>
          <cell r="W64">
            <v>0</v>
          </cell>
          <cell r="X64">
            <v>50</v>
          </cell>
        </row>
        <row r="65">
          <cell r="A65" t="str">
            <v>7059 ШПИКАЧКИ СОЧНЫЕ С БЕК. п/о мгс 0,3кг 60с ОСТАНКИНО</v>
          </cell>
          <cell r="B65" t="str">
            <v>шт</v>
          </cell>
          <cell r="C65">
            <v>50</v>
          </cell>
          <cell r="D65">
            <v>39</v>
          </cell>
          <cell r="E65">
            <v>39</v>
          </cell>
          <cell r="H65">
            <v>0.3</v>
          </cell>
          <cell r="I65">
            <v>60</v>
          </cell>
          <cell r="J65" t="str">
            <v>матрица</v>
          </cell>
          <cell r="L65">
            <v>150</v>
          </cell>
          <cell r="M65">
            <v>-111</v>
          </cell>
          <cell r="N65">
            <v>39</v>
          </cell>
          <cell r="P65">
            <v>400</v>
          </cell>
          <cell r="Q65">
            <v>0</v>
          </cell>
          <cell r="R65">
            <v>7.8</v>
          </cell>
          <cell r="T65">
            <v>0.19747899159663865</v>
          </cell>
          <cell r="U65">
            <v>0</v>
          </cell>
          <cell r="W65">
            <v>0</v>
          </cell>
          <cell r="X65">
            <v>50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2280</v>
          </cell>
          <cell r="D66">
            <v>3044</v>
          </cell>
          <cell r="E66">
            <v>939</v>
          </cell>
          <cell r="F66">
            <v>417</v>
          </cell>
          <cell r="G66">
            <v>434</v>
          </cell>
          <cell r="H66">
            <v>0.41</v>
          </cell>
          <cell r="I66">
            <v>50</v>
          </cell>
          <cell r="J66" t="str">
            <v>матрица</v>
          </cell>
          <cell r="L66">
            <v>1103</v>
          </cell>
          <cell r="M66">
            <v>-164</v>
          </cell>
          <cell r="N66">
            <v>809</v>
          </cell>
          <cell r="O66">
            <v>130</v>
          </cell>
          <cell r="P66">
            <v>0</v>
          </cell>
          <cell r="Q66">
            <v>2000</v>
          </cell>
          <cell r="R66">
            <v>161.80000000000001</v>
          </cell>
          <cell r="T66">
            <v>0.44748274980833119</v>
          </cell>
          <cell r="U66">
            <v>0</v>
          </cell>
          <cell r="W66">
            <v>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729.48400000000004</v>
          </cell>
          <cell r="D67">
            <v>399.14499999999998</v>
          </cell>
          <cell r="E67">
            <v>192.06899999999999</v>
          </cell>
          <cell r="F67">
            <v>190.38499999999999</v>
          </cell>
          <cell r="G67">
            <v>190.22</v>
          </cell>
          <cell r="H67">
            <v>1</v>
          </cell>
          <cell r="I67">
            <v>50</v>
          </cell>
          <cell r="J67" t="str">
            <v>матрица</v>
          </cell>
          <cell r="L67">
            <v>166.4</v>
          </cell>
          <cell r="M67">
            <v>25.668999999999983</v>
          </cell>
          <cell r="N67">
            <v>117.66399999999999</v>
          </cell>
          <cell r="O67">
            <v>74.405000000000001</v>
          </cell>
          <cell r="P67">
            <v>0</v>
          </cell>
          <cell r="Q67">
            <v>107</v>
          </cell>
          <cell r="R67">
            <v>23.532799999999998</v>
          </cell>
          <cell r="T67">
            <v>0.50829720715410276</v>
          </cell>
          <cell r="U67">
            <v>0</v>
          </cell>
          <cell r="W67">
            <v>0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286</v>
          </cell>
          <cell r="D68">
            <v>507</v>
          </cell>
          <cell r="E68">
            <v>216</v>
          </cell>
          <cell r="F68">
            <v>2</v>
          </cell>
          <cell r="H68">
            <v>0.35</v>
          </cell>
          <cell r="I68">
            <v>50</v>
          </cell>
          <cell r="J68" t="str">
            <v>матрица</v>
          </cell>
          <cell r="L68">
            <v>280</v>
          </cell>
          <cell r="M68">
            <v>-64</v>
          </cell>
          <cell r="N68">
            <v>200</v>
          </cell>
          <cell r="O68">
            <v>16</v>
          </cell>
          <cell r="P68">
            <v>361</v>
          </cell>
          <cell r="Q68">
            <v>93</v>
          </cell>
          <cell r="R68">
            <v>40</v>
          </cell>
          <cell r="S68">
            <v>144</v>
          </cell>
          <cell r="T68">
            <v>0.62863795110593723</v>
          </cell>
          <cell r="U68">
            <v>53.476135040745035</v>
          </cell>
          <cell r="V68">
            <v>130</v>
          </cell>
          <cell r="W68">
            <v>90.523864959254965</v>
          </cell>
          <cell r="X68">
            <v>200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-3.0760000000000001</v>
          </cell>
          <cell r="D69">
            <v>21.46</v>
          </cell>
          <cell r="E69">
            <v>3.1659999999999999</v>
          </cell>
          <cell r="H69">
            <v>1</v>
          </cell>
          <cell r="I69">
            <v>50</v>
          </cell>
          <cell r="J69" t="str">
            <v>матрица</v>
          </cell>
          <cell r="L69">
            <v>43</v>
          </cell>
          <cell r="M69">
            <v>-39.834000000000003</v>
          </cell>
          <cell r="N69">
            <v>3.1659999999999999</v>
          </cell>
          <cell r="P69">
            <v>61</v>
          </cell>
          <cell r="Q69">
            <v>4</v>
          </cell>
          <cell r="R69">
            <v>0.63319999999999999</v>
          </cell>
          <cell r="T69">
            <v>0</v>
          </cell>
          <cell r="U69">
            <v>0</v>
          </cell>
          <cell r="W69">
            <v>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1257</v>
          </cell>
          <cell r="D70">
            <v>1713</v>
          </cell>
          <cell r="E70">
            <v>739</v>
          </cell>
          <cell r="F70">
            <v>219</v>
          </cell>
          <cell r="G70">
            <v>237</v>
          </cell>
          <cell r="H70">
            <v>0.41</v>
          </cell>
          <cell r="I70">
            <v>50</v>
          </cell>
          <cell r="J70" t="str">
            <v>матрица</v>
          </cell>
          <cell r="L70">
            <v>765</v>
          </cell>
          <cell r="M70">
            <v>-26</v>
          </cell>
          <cell r="N70">
            <v>599</v>
          </cell>
          <cell r="O70">
            <v>140</v>
          </cell>
          <cell r="P70">
            <v>1181</v>
          </cell>
          <cell r="Q70">
            <v>0</v>
          </cell>
          <cell r="R70">
            <v>119.8</v>
          </cell>
          <cell r="S70">
            <v>160</v>
          </cell>
          <cell r="T70">
            <v>0.49294045426642114</v>
          </cell>
          <cell r="U70">
            <v>81.12952731737262</v>
          </cell>
          <cell r="V70">
            <v>150</v>
          </cell>
          <cell r="W70">
            <v>78.87047268262738</v>
          </cell>
          <cell r="X70">
            <v>200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198.357</v>
          </cell>
          <cell r="D71">
            <v>201.333</v>
          </cell>
          <cell r="E71">
            <v>70.457999999999998</v>
          </cell>
          <cell r="F71">
            <v>132.59399999999999</v>
          </cell>
          <cell r="G71">
            <v>6.2969999999999997</v>
          </cell>
          <cell r="H71">
            <v>1</v>
          </cell>
          <cell r="I71">
            <v>50</v>
          </cell>
          <cell r="J71" t="str">
            <v>матрица</v>
          </cell>
          <cell r="L71">
            <v>61.3</v>
          </cell>
          <cell r="M71">
            <v>9.1580000000000013</v>
          </cell>
          <cell r="N71">
            <v>70.457999999999998</v>
          </cell>
          <cell r="P71">
            <v>0</v>
          </cell>
          <cell r="Q71">
            <v>0</v>
          </cell>
          <cell r="R71">
            <v>14.0916</v>
          </cell>
          <cell r="S71">
            <v>72.483000000000004</v>
          </cell>
          <cell r="T71">
            <v>5.13818006740491E-2</v>
          </cell>
          <cell r="U71">
            <v>68.758692941742908</v>
          </cell>
          <cell r="W71">
            <v>3.724307058257101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286</v>
          </cell>
          <cell r="D72">
            <v>635</v>
          </cell>
          <cell r="E72">
            <v>235</v>
          </cell>
          <cell r="F72">
            <v>35</v>
          </cell>
          <cell r="G72">
            <v>66</v>
          </cell>
          <cell r="H72">
            <v>0.3</v>
          </cell>
          <cell r="I72">
            <v>50</v>
          </cell>
          <cell r="J72" t="str">
            <v>матрица</v>
          </cell>
          <cell r="L72">
            <v>241</v>
          </cell>
          <cell r="M72">
            <v>-6</v>
          </cell>
          <cell r="N72">
            <v>157</v>
          </cell>
          <cell r="O72">
            <v>78</v>
          </cell>
          <cell r="P72">
            <v>0</v>
          </cell>
          <cell r="Q72">
            <v>275</v>
          </cell>
          <cell r="R72">
            <v>31.4</v>
          </cell>
          <cell r="S72">
            <v>95</v>
          </cell>
          <cell r="T72">
            <v>0.60492379835873389</v>
          </cell>
          <cell r="U72">
            <v>37.53223915592028</v>
          </cell>
          <cell r="W72">
            <v>57.46776084407972</v>
          </cell>
          <cell r="X72">
            <v>130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277</v>
          </cell>
          <cell r="D73">
            <v>429</v>
          </cell>
          <cell r="E73">
            <v>111</v>
          </cell>
          <cell r="F73">
            <v>54</v>
          </cell>
          <cell r="G73">
            <v>100</v>
          </cell>
          <cell r="H73">
            <v>0.18</v>
          </cell>
          <cell r="I73">
            <v>50</v>
          </cell>
          <cell r="J73" t="str">
            <v>матрица</v>
          </cell>
          <cell r="L73">
            <v>231</v>
          </cell>
          <cell r="M73">
            <v>-120</v>
          </cell>
          <cell r="N73">
            <v>91</v>
          </cell>
          <cell r="O73">
            <v>20</v>
          </cell>
          <cell r="P73">
            <v>0</v>
          </cell>
          <cell r="Q73">
            <v>59</v>
          </cell>
          <cell r="R73">
            <v>18.2</v>
          </cell>
          <cell r="S73">
            <v>60</v>
          </cell>
          <cell r="T73">
            <v>0.69161290322580649</v>
          </cell>
          <cell r="U73">
            <v>18.50322580645161</v>
          </cell>
          <cell r="W73">
            <v>41.49677419354839</v>
          </cell>
        </row>
        <row r="74">
          <cell r="A74" t="str">
            <v>7143 БРАУНШВЕЙГСКАЯ ГОСТ с/к в/у 1/220 8шт.  ОСТАНКИНО</v>
          </cell>
          <cell r="B74" t="str">
            <v>шт</v>
          </cell>
          <cell r="C74">
            <v>120</v>
          </cell>
          <cell r="D74">
            <v>144</v>
          </cell>
          <cell r="E74">
            <v>6</v>
          </cell>
          <cell r="F74">
            <v>108</v>
          </cell>
          <cell r="H74">
            <v>0.22</v>
          </cell>
          <cell r="I74">
            <v>120</v>
          </cell>
          <cell r="J74" t="str">
            <v>матрица</v>
          </cell>
          <cell r="L74">
            <v>7</v>
          </cell>
          <cell r="M74">
            <v>-1</v>
          </cell>
          <cell r="N74">
            <v>6</v>
          </cell>
          <cell r="P74">
            <v>0</v>
          </cell>
          <cell r="Q74">
            <v>0</v>
          </cell>
          <cell r="R74">
            <v>1.2</v>
          </cell>
          <cell r="T74">
            <v>0</v>
          </cell>
          <cell r="U74">
            <v>0</v>
          </cell>
          <cell r="W74">
            <v>0</v>
          </cell>
          <cell r="X74">
            <v>70</v>
          </cell>
        </row>
        <row r="75">
          <cell r="A75" t="str">
            <v>7149 БАЛЫКОВАЯ Коровино п/к в/у 0,84кг_50с  Останкино</v>
          </cell>
          <cell r="B75" t="str">
            <v>кг</v>
          </cell>
          <cell r="H75">
            <v>0</v>
          </cell>
          <cell r="J75" t="str">
            <v>матрица</v>
          </cell>
          <cell r="L75">
            <v>54</v>
          </cell>
          <cell r="M75">
            <v>-54</v>
          </cell>
          <cell r="N75">
            <v>0</v>
          </cell>
          <cell r="P75">
            <v>0</v>
          </cell>
          <cell r="Q75">
            <v>0</v>
          </cell>
          <cell r="R75">
            <v>0</v>
          </cell>
          <cell r="T75" t="e">
            <v>#N/A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1315</v>
          </cell>
          <cell r="D76">
            <v>911</v>
          </cell>
          <cell r="E76">
            <v>511</v>
          </cell>
          <cell r="F76">
            <v>363</v>
          </cell>
          <cell r="G76">
            <v>389</v>
          </cell>
          <cell r="H76">
            <v>0.35</v>
          </cell>
          <cell r="I76">
            <v>50</v>
          </cell>
          <cell r="J76" t="str">
            <v>матрица</v>
          </cell>
          <cell r="L76">
            <v>563</v>
          </cell>
          <cell r="M76">
            <v>-52</v>
          </cell>
          <cell r="N76">
            <v>354</v>
          </cell>
          <cell r="O76">
            <v>157</v>
          </cell>
          <cell r="P76">
            <v>415</v>
          </cell>
          <cell r="Q76">
            <v>170</v>
          </cell>
          <cell r="R76">
            <v>70.8</v>
          </cell>
          <cell r="T76">
            <v>0.61917293233082715</v>
          </cell>
          <cell r="U76">
            <v>0</v>
          </cell>
          <cell r="W76">
            <v>0</v>
          </cell>
        </row>
        <row r="77">
          <cell r="A77" t="str">
            <v>7156 СЕРВЕЛАТ КОПЧ.НА БУКЕ в/к в/у 0.35кг_50с</v>
          </cell>
          <cell r="B77" t="str">
            <v>шт</v>
          </cell>
          <cell r="H77">
            <v>0</v>
          </cell>
          <cell r="J77" t="str">
            <v>матрица</v>
          </cell>
          <cell r="M77">
            <v>0</v>
          </cell>
          <cell r="N77">
            <v>0</v>
          </cell>
          <cell r="P77">
            <v>0</v>
          </cell>
          <cell r="Q77">
            <v>0</v>
          </cell>
          <cell r="R77">
            <v>0</v>
          </cell>
          <cell r="T77" t="e">
            <v>#N/A</v>
          </cell>
        </row>
        <row r="78">
          <cell r="A78" t="str">
            <v>7157 СЕРВЕЛАТ ЗЕРНИСТЫЙ ПМ в/к в/у_50с  Останкино</v>
          </cell>
          <cell r="B78" t="str">
            <v>кг</v>
          </cell>
          <cell r="C78">
            <v>343.61900000000003</v>
          </cell>
          <cell r="D78">
            <v>673.82</v>
          </cell>
          <cell r="E78">
            <v>223.71799999999999</v>
          </cell>
          <cell r="F78">
            <v>2.0169999999999999</v>
          </cell>
          <cell r="G78">
            <v>5.4180000000000001</v>
          </cell>
          <cell r="H78">
            <v>1</v>
          </cell>
          <cell r="I78">
            <v>50</v>
          </cell>
          <cell r="J78" t="str">
            <v>матрица</v>
          </cell>
          <cell r="L78">
            <v>235.6</v>
          </cell>
          <cell r="M78">
            <v>-11.882000000000005</v>
          </cell>
          <cell r="N78">
            <v>173.45599999999999</v>
          </cell>
          <cell r="O78">
            <v>50.262</v>
          </cell>
          <cell r="P78">
            <v>124</v>
          </cell>
          <cell r="Q78">
            <v>300</v>
          </cell>
          <cell r="R78">
            <v>34.691199999999995</v>
          </cell>
          <cell r="S78">
            <v>88.932999999999936</v>
          </cell>
          <cell r="T78">
            <v>0.49845613343158723</v>
          </cell>
          <cell r="U78">
            <v>44.603800685528618</v>
          </cell>
          <cell r="W78">
            <v>44.329199314471317</v>
          </cell>
          <cell r="X78">
            <v>100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586.96100000000001</v>
          </cell>
          <cell r="D79">
            <v>492.49400000000003</v>
          </cell>
          <cell r="E79">
            <v>340.18799999999999</v>
          </cell>
          <cell r="F79">
            <v>35.420999999999999</v>
          </cell>
          <cell r="H79">
            <v>1</v>
          </cell>
          <cell r="I79">
            <v>50</v>
          </cell>
          <cell r="J79" t="str">
            <v>матрица</v>
          </cell>
          <cell r="L79">
            <v>319.60500000000002</v>
          </cell>
          <cell r="M79">
            <v>20.58299999999997</v>
          </cell>
          <cell r="N79">
            <v>306.34999999999997</v>
          </cell>
          <cell r="O79">
            <v>33.838000000000001</v>
          </cell>
          <cell r="P79">
            <v>277</v>
          </cell>
          <cell r="Q79">
            <v>400</v>
          </cell>
          <cell r="R79">
            <v>61.269999999999996</v>
          </cell>
          <cell r="S79">
            <v>206.62899999999996</v>
          </cell>
          <cell r="T79">
            <v>0.48903541207700518</v>
          </cell>
          <cell r="U79">
            <v>105.58010183794048</v>
          </cell>
          <cell r="W79">
            <v>101.04889816205949</v>
          </cell>
          <cell r="X79">
            <v>250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786</v>
          </cell>
          <cell r="D80">
            <v>2520</v>
          </cell>
          <cell r="E80">
            <v>715</v>
          </cell>
          <cell r="F80">
            <v>24</v>
          </cell>
          <cell r="G80">
            <v>101</v>
          </cell>
          <cell r="H80">
            <v>0.35</v>
          </cell>
          <cell r="I80">
            <v>50</v>
          </cell>
          <cell r="J80" t="str">
            <v>матрица</v>
          </cell>
          <cell r="L80">
            <v>790</v>
          </cell>
          <cell r="M80">
            <v>-75</v>
          </cell>
          <cell r="N80">
            <v>537</v>
          </cell>
          <cell r="O80">
            <v>178</v>
          </cell>
          <cell r="P80">
            <v>900</v>
          </cell>
          <cell r="Q80">
            <v>600</v>
          </cell>
          <cell r="R80">
            <v>107.4</v>
          </cell>
          <cell r="T80">
            <v>0.54810049019607832</v>
          </cell>
          <cell r="U80">
            <v>0</v>
          </cell>
          <cell r="W80">
            <v>0</v>
          </cell>
          <cell r="X80">
            <v>70</v>
          </cell>
        </row>
        <row r="81">
          <cell r="A81" t="str">
            <v>7177 ЧЕСНОЧНАЯ ПМ п/к в/у 0,35кг 8шт_50с  Останкино</v>
          </cell>
          <cell r="B81" t="str">
            <v>шт</v>
          </cell>
          <cell r="C81">
            <v>71</v>
          </cell>
          <cell r="D81">
            <v>48</v>
          </cell>
          <cell r="E81">
            <v>32</v>
          </cell>
          <cell r="H81">
            <v>0</v>
          </cell>
          <cell r="J81" t="str">
            <v>не в матрице</v>
          </cell>
          <cell r="L81">
            <v>146</v>
          </cell>
          <cell r="M81">
            <v>-114</v>
          </cell>
          <cell r="N81">
            <v>0</v>
          </cell>
          <cell r="O81">
            <v>32</v>
          </cell>
          <cell r="P81">
            <v>0</v>
          </cell>
          <cell r="Q81">
            <v>0</v>
          </cell>
          <cell r="R81">
            <v>0</v>
          </cell>
          <cell r="T81">
            <v>0.5960264900662251</v>
          </cell>
        </row>
        <row r="82">
          <cell r="A82" t="str">
            <v>7187 ГРУДИНКА ПРЕМИУМ к/в мл/к в/у 0,3кг_50с  Останкино</v>
          </cell>
          <cell r="B82" t="str">
            <v>шт</v>
          </cell>
          <cell r="C82">
            <v>24</v>
          </cell>
          <cell r="D82">
            <v>538</v>
          </cell>
          <cell r="E82">
            <v>89</v>
          </cell>
          <cell r="H82">
            <v>0.3</v>
          </cell>
          <cell r="I82">
            <v>50</v>
          </cell>
          <cell r="J82" t="str">
            <v>матрица</v>
          </cell>
          <cell r="L82">
            <v>293</v>
          </cell>
          <cell r="M82">
            <v>-204</v>
          </cell>
          <cell r="N82">
            <v>35</v>
          </cell>
          <cell r="O82">
            <v>54</v>
          </cell>
          <cell r="P82">
            <v>325</v>
          </cell>
          <cell r="Q82">
            <v>275</v>
          </cell>
          <cell r="R82">
            <v>7</v>
          </cell>
          <cell r="T82">
            <v>0.4534075104311544</v>
          </cell>
          <cell r="U82">
            <v>0</v>
          </cell>
          <cell r="W82">
            <v>0</v>
          </cell>
          <cell r="X82">
            <v>100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47</v>
          </cell>
          <cell r="D83">
            <v>42</v>
          </cell>
          <cell r="E83">
            <v>44</v>
          </cell>
          <cell r="H83">
            <v>0.3</v>
          </cell>
          <cell r="I83">
            <v>60</v>
          </cell>
          <cell r="J83" t="str">
            <v>матрица</v>
          </cell>
          <cell r="L83">
            <v>63</v>
          </cell>
          <cell r="M83">
            <v>-19</v>
          </cell>
          <cell r="N83">
            <v>44</v>
          </cell>
          <cell r="P83">
            <v>99</v>
          </cell>
          <cell r="Q83">
            <v>0</v>
          </cell>
          <cell r="R83">
            <v>8.8000000000000007</v>
          </cell>
          <cell r="S83">
            <v>33</v>
          </cell>
          <cell r="T83">
            <v>0.20731707317073167</v>
          </cell>
          <cell r="U83">
            <v>26.158536585365855</v>
          </cell>
          <cell r="W83">
            <v>6.8414634146341449</v>
          </cell>
          <cell r="X83">
            <v>100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623</v>
          </cell>
          <cell r="D84">
            <v>810</v>
          </cell>
          <cell r="E84">
            <v>352</v>
          </cell>
          <cell r="F84">
            <v>173</v>
          </cell>
          <cell r="G84">
            <v>200</v>
          </cell>
          <cell r="H84">
            <v>0.28000000000000003</v>
          </cell>
          <cell r="I84">
            <v>50</v>
          </cell>
          <cell r="J84" t="str">
            <v>матрица</v>
          </cell>
          <cell r="L84">
            <v>459</v>
          </cell>
          <cell r="M84">
            <v>-107</v>
          </cell>
          <cell r="N84">
            <v>232</v>
          </cell>
          <cell r="O84">
            <v>120</v>
          </cell>
          <cell r="P84">
            <v>425</v>
          </cell>
          <cell r="Q84">
            <v>0</v>
          </cell>
          <cell r="R84">
            <v>46.4</v>
          </cell>
          <cell r="T84">
            <v>0.55424836601307192</v>
          </cell>
          <cell r="U84">
            <v>0</v>
          </cell>
          <cell r="W84">
            <v>0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673</v>
          </cell>
          <cell r="D85">
            <v>664</v>
          </cell>
          <cell r="E85">
            <v>436</v>
          </cell>
          <cell r="F85">
            <v>170</v>
          </cell>
          <cell r="G85">
            <v>197</v>
          </cell>
          <cell r="H85">
            <v>0.28000000000000003</v>
          </cell>
          <cell r="I85">
            <v>45</v>
          </cell>
          <cell r="J85" t="str">
            <v>матрица</v>
          </cell>
          <cell r="L85">
            <v>457</v>
          </cell>
          <cell r="M85">
            <v>-21</v>
          </cell>
          <cell r="N85">
            <v>284</v>
          </cell>
          <cell r="O85">
            <v>152</v>
          </cell>
          <cell r="P85">
            <v>291</v>
          </cell>
          <cell r="Q85">
            <v>86</v>
          </cell>
          <cell r="R85">
            <v>56.8</v>
          </cell>
          <cell r="S85">
            <v>108</v>
          </cell>
          <cell r="T85">
            <v>0.65466101694915257</v>
          </cell>
          <cell r="U85">
            <v>37.296610169491515</v>
          </cell>
          <cell r="W85">
            <v>70.703389830508485</v>
          </cell>
          <cell r="X85">
            <v>150</v>
          </cell>
        </row>
        <row r="86">
          <cell r="A86" t="str">
            <v>7238 СЕРВЕЛАТ ОРЕХОВЫЙ в/к в/у 0,31кг_209к  Останкино</v>
          </cell>
          <cell r="B86" t="str">
            <v>шт</v>
          </cell>
          <cell r="C86">
            <v>140</v>
          </cell>
          <cell r="D86">
            <v>288</v>
          </cell>
          <cell r="H86">
            <v>0</v>
          </cell>
          <cell r="J86" t="str">
            <v>не в матрице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T86">
            <v>1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375</v>
          </cell>
          <cell r="D87">
            <v>409</v>
          </cell>
          <cell r="E87">
            <v>384</v>
          </cell>
          <cell r="F87">
            <v>28</v>
          </cell>
          <cell r="G87">
            <v>70</v>
          </cell>
          <cell r="H87">
            <v>0.28000000000000003</v>
          </cell>
          <cell r="I87">
            <v>45</v>
          </cell>
          <cell r="J87" t="str">
            <v>матрица</v>
          </cell>
          <cell r="L87">
            <v>406</v>
          </cell>
          <cell r="M87">
            <v>-22</v>
          </cell>
          <cell r="N87">
            <v>254</v>
          </cell>
          <cell r="O87">
            <v>130</v>
          </cell>
          <cell r="P87">
            <v>566</v>
          </cell>
          <cell r="Q87">
            <v>0</v>
          </cell>
          <cell r="R87">
            <v>50.8</v>
          </cell>
          <cell r="S87">
            <v>98</v>
          </cell>
          <cell r="T87">
            <v>0.65590062111801239</v>
          </cell>
          <cell r="U87">
            <v>33.721739130434784</v>
          </cell>
          <cell r="W87">
            <v>64.278260869565216</v>
          </cell>
          <cell r="X87">
            <v>150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1384</v>
          </cell>
          <cell r="D88">
            <v>1768</v>
          </cell>
          <cell r="E88">
            <v>563</v>
          </cell>
          <cell r="F88">
            <v>229</v>
          </cell>
          <cell r="G88">
            <v>523</v>
          </cell>
          <cell r="H88">
            <v>0.4</v>
          </cell>
          <cell r="I88">
            <v>50</v>
          </cell>
          <cell r="J88" t="str">
            <v>матрица</v>
          </cell>
          <cell r="L88">
            <v>587</v>
          </cell>
          <cell r="M88">
            <v>-24</v>
          </cell>
          <cell r="N88">
            <v>509</v>
          </cell>
          <cell r="O88">
            <v>54</v>
          </cell>
          <cell r="P88">
            <v>688</v>
          </cell>
          <cell r="Q88">
            <v>0</v>
          </cell>
          <cell r="R88">
            <v>101.8</v>
          </cell>
          <cell r="S88">
            <v>87</v>
          </cell>
          <cell r="T88">
            <v>0.53124018838304554</v>
          </cell>
          <cell r="U88">
            <v>40.782103610675037</v>
          </cell>
          <cell r="W88">
            <v>46.217896389324963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-6</v>
          </cell>
          <cell r="D89">
            <v>6</v>
          </cell>
          <cell r="H89">
            <v>0</v>
          </cell>
          <cell r="J89" t="str">
            <v>не в матрице</v>
          </cell>
          <cell r="K89" t="str">
            <v>7461 ДЛЯ ДЕТЕЙ Папа Может сос п/о мгс 0,33кг ОСТАНКИНО</v>
          </cell>
          <cell r="M89">
            <v>0</v>
          </cell>
          <cell r="N89">
            <v>0</v>
          </cell>
          <cell r="P89">
            <v>0</v>
          </cell>
          <cell r="Q89">
            <v>0</v>
          </cell>
          <cell r="R89">
            <v>0</v>
          </cell>
          <cell r="T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45.125</v>
          </cell>
          <cell r="D90">
            <v>5.48</v>
          </cell>
          <cell r="E90">
            <v>-2.5590000000000002</v>
          </cell>
          <cell r="H90">
            <v>1</v>
          </cell>
          <cell r="I90">
            <v>30</v>
          </cell>
          <cell r="J90" t="str">
            <v>матрица</v>
          </cell>
          <cell r="L90">
            <v>35.423000000000002</v>
          </cell>
          <cell r="M90">
            <v>-37.981999999999999</v>
          </cell>
          <cell r="N90">
            <v>-2.5590000000000002</v>
          </cell>
          <cell r="P90">
            <v>0</v>
          </cell>
          <cell r="Q90">
            <v>80</v>
          </cell>
          <cell r="R90">
            <v>-0.51180000000000003</v>
          </cell>
          <cell r="T90">
            <v>0.41066279365617847</v>
          </cell>
          <cell r="U90">
            <v>0</v>
          </cell>
          <cell r="W90">
            <v>0</v>
          </cell>
          <cell r="X90">
            <v>200</v>
          </cell>
        </row>
        <row r="91">
          <cell r="A91" t="str">
            <v>7332 БОЯРСКАЯ ПМ п/к в/у 0,28кг ОСТАНКИНО</v>
          </cell>
          <cell r="B91" t="str">
            <v>шт</v>
          </cell>
          <cell r="C91">
            <v>3</v>
          </cell>
          <cell r="D91">
            <v>22</v>
          </cell>
          <cell r="E91">
            <v>1</v>
          </cell>
          <cell r="H91">
            <v>0</v>
          </cell>
          <cell r="I91">
            <v>50</v>
          </cell>
          <cell r="J91" t="str">
            <v>вывод</v>
          </cell>
          <cell r="L91">
            <v>60</v>
          </cell>
          <cell r="M91">
            <v>-59</v>
          </cell>
          <cell r="N91">
            <v>1</v>
          </cell>
          <cell r="P91">
            <v>0</v>
          </cell>
          <cell r="Q91">
            <v>0</v>
          </cell>
          <cell r="R91">
            <v>0.2</v>
          </cell>
          <cell r="T91">
            <v>9.45945945945946E-2</v>
          </cell>
        </row>
        <row r="92">
          <cell r="A92" t="str">
            <v>7334 МЯСНАЯ СО ШПИКОМ ПМ вар п/о 0.4кг 8шт.</v>
          </cell>
          <cell r="B92" t="str">
            <v>шт</v>
          </cell>
          <cell r="C92">
            <v>280</v>
          </cell>
          <cell r="H92">
            <v>0</v>
          </cell>
          <cell r="J92" t="str">
            <v>не в матрице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T92">
            <v>0</v>
          </cell>
        </row>
        <row r="93">
          <cell r="A93" t="str">
            <v>7344 КОНСЕРВЫ МЯС.ГОВЯДИНА ТУШ. В/С 338г_ЧЗ  ОСТАНКИНО</v>
          </cell>
          <cell r="B93" t="str">
            <v>шт</v>
          </cell>
          <cell r="C93">
            <v>296</v>
          </cell>
          <cell r="D93">
            <v>188</v>
          </cell>
          <cell r="E93">
            <v>109</v>
          </cell>
          <cell r="F93">
            <v>179</v>
          </cell>
          <cell r="H93">
            <v>0.33800000000000002</v>
          </cell>
          <cell r="I93" t="str">
            <v>3 года</v>
          </cell>
          <cell r="J93" t="str">
            <v>матрица</v>
          </cell>
          <cell r="L93">
            <v>142</v>
          </cell>
          <cell r="M93">
            <v>-33</v>
          </cell>
          <cell r="N93">
            <v>109</v>
          </cell>
          <cell r="P93">
            <v>0</v>
          </cell>
          <cell r="Q93">
            <v>0</v>
          </cell>
          <cell r="R93">
            <v>21.8</v>
          </cell>
          <cell r="S93">
            <v>148</v>
          </cell>
          <cell r="T93">
            <v>0</v>
          </cell>
          <cell r="U93">
            <v>148</v>
          </cell>
          <cell r="W93">
            <v>0</v>
          </cell>
          <cell r="X93">
            <v>200</v>
          </cell>
        </row>
        <row r="94">
          <cell r="A94" t="str">
            <v>7345 КОНСЕРВЫ МЯС.СВИНИНА ТУШ. В/С 325г_ЧЗ  ОСТАНКИНО</v>
          </cell>
          <cell r="B94" t="str">
            <v>шт</v>
          </cell>
          <cell r="C94">
            <v>286</v>
          </cell>
          <cell r="D94">
            <v>1</v>
          </cell>
          <cell r="E94">
            <v>156</v>
          </cell>
          <cell r="F94">
            <v>121</v>
          </cell>
          <cell r="H94">
            <v>0.32500000000000001</v>
          </cell>
          <cell r="I94" t="str">
            <v>3 года</v>
          </cell>
          <cell r="J94" t="str">
            <v>матрица</v>
          </cell>
          <cell r="L94">
            <v>187</v>
          </cell>
          <cell r="M94">
            <v>-31</v>
          </cell>
          <cell r="N94">
            <v>156</v>
          </cell>
          <cell r="P94">
            <v>0</v>
          </cell>
          <cell r="Q94">
            <v>0</v>
          </cell>
          <cell r="R94">
            <v>31.2</v>
          </cell>
          <cell r="S94">
            <v>253.39999999999998</v>
          </cell>
          <cell r="T94">
            <v>0</v>
          </cell>
          <cell r="U94">
            <v>253.39999999999998</v>
          </cell>
          <cell r="V94">
            <v>350</v>
          </cell>
          <cell r="W94">
            <v>0</v>
          </cell>
          <cell r="X94">
            <v>200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268</v>
          </cell>
          <cell r="D95">
            <v>562</v>
          </cell>
          <cell r="E95">
            <v>233</v>
          </cell>
          <cell r="F95">
            <v>26</v>
          </cell>
          <cell r="G95">
            <v>32</v>
          </cell>
          <cell r="H95">
            <v>0.12</v>
          </cell>
          <cell r="I95">
            <v>60</v>
          </cell>
          <cell r="J95" t="str">
            <v>матрица</v>
          </cell>
          <cell r="L95">
            <v>239</v>
          </cell>
          <cell r="M95">
            <v>-6</v>
          </cell>
          <cell r="N95">
            <v>185</v>
          </cell>
          <cell r="O95">
            <v>48</v>
          </cell>
          <cell r="P95">
            <v>639</v>
          </cell>
          <cell r="Q95">
            <v>0</v>
          </cell>
          <cell r="R95">
            <v>37</v>
          </cell>
          <cell r="T95">
            <v>0.54972375690607733</v>
          </cell>
          <cell r="U95">
            <v>0</v>
          </cell>
          <cell r="W95">
            <v>0</v>
          </cell>
          <cell r="X95">
            <v>70</v>
          </cell>
        </row>
        <row r="96">
          <cell r="A96" t="str">
            <v>7386 БАРСЕЛОНА ПМ с/к в/у 1/150  ОСТАНКИНО</v>
          </cell>
          <cell r="B96" t="str">
            <v>шт</v>
          </cell>
          <cell r="C96">
            <v>139</v>
          </cell>
          <cell r="D96">
            <v>181</v>
          </cell>
          <cell r="E96">
            <v>124</v>
          </cell>
          <cell r="F96">
            <v>2</v>
          </cell>
          <cell r="H96">
            <v>0.15</v>
          </cell>
          <cell r="I96">
            <v>90</v>
          </cell>
          <cell r="J96" t="str">
            <v>матрица</v>
          </cell>
          <cell r="L96">
            <v>290</v>
          </cell>
          <cell r="M96">
            <v>-166</v>
          </cell>
          <cell r="N96">
            <v>124</v>
          </cell>
          <cell r="P96">
            <v>0</v>
          </cell>
          <cell r="Q96">
            <v>60</v>
          </cell>
          <cell r="R96">
            <v>24.8</v>
          </cell>
          <cell r="S96">
            <v>210.8</v>
          </cell>
          <cell r="T96">
            <v>0.65546218487394947</v>
          </cell>
          <cell r="U96">
            <v>72.628571428571462</v>
          </cell>
          <cell r="W96">
            <v>138.17142857142855</v>
          </cell>
          <cell r="X96">
            <v>200</v>
          </cell>
        </row>
        <row r="97">
          <cell r="A97" t="str">
            <v>7456 САЛЯМИ ФИНСКАЯ Папа может с/к в/у 1/150  ОСТАНКИНО</v>
          </cell>
          <cell r="B97" t="str">
            <v>шт</v>
          </cell>
          <cell r="C97">
            <v>114</v>
          </cell>
          <cell r="D97">
            <v>9</v>
          </cell>
          <cell r="E97">
            <v>108</v>
          </cell>
          <cell r="F97">
            <v>3</v>
          </cell>
          <cell r="H97">
            <v>0.15</v>
          </cell>
          <cell r="I97">
            <v>90</v>
          </cell>
          <cell r="J97" t="str">
            <v>матрица</v>
          </cell>
          <cell r="L97">
            <v>282</v>
          </cell>
          <cell r="M97">
            <v>-174</v>
          </cell>
          <cell r="N97">
            <v>108</v>
          </cell>
          <cell r="P97">
            <v>0</v>
          </cell>
          <cell r="Q97">
            <v>150</v>
          </cell>
          <cell r="R97">
            <v>21.6</v>
          </cell>
          <cell r="S97">
            <v>171</v>
          </cell>
          <cell r="T97">
            <v>0.15384615384615385</v>
          </cell>
          <cell r="U97">
            <v>144.69230769230768</v>
          </cell>
          <cell r="W97">
            <v>26.30769230769231</v>
          </cell>
          <cell r="X97">
            <v>70</v>
          </cell>
        </row>
        <row r="98">
          <cell r="A98" t="str">
            <v>7461 ДЛЯ ДЕТЕЙ Папа Может сос п/о мгс 0,33кг ОСТАНКИНО</v>
          </cell>
          <cell r="B98" t="str">
            <v>шт</v>
          </cell>
          <cell r="C98">
            <v>206</v>
          </cell>
          <cell r="D98">
            <v>96</v>
          </cell>
          <cell r="E98">
            <v>151</v>
          </cell>
          <cell r="F98">
            <v>27</v>
          </cell>
          <cell r="G98">
            <v>70</v>
          </cell>
          <cell r="H98">
            <v>0.33</v>
          </cell>
          <cell r="I98">
            <v>30</v>
          </cell>
          <cell r="J98" t="str">
            <v>матрица</v>
          </cell>
          <cell r="L98">
            <v>179</v>
          </cell>
          <cell r="M98">
            <v>-28</v>
          </cell>
          <cell r="N98">
            <v>151</v>
          </cell>
          <cell r="P98">
            <v>79</v>
          </cell>
          <cell r="Q98">
            <v>87</v>
          </cell>
          <cell r="R98">
            <v>30.2</v>
          </cell>
          <cell r="S98">
            <v>190</v>
          </cell>
          <cell r="T98">
            <v>0.40757575757575754</v>
          </cell>
          <cell r="U98">
            <v>112.56060606060606</v>
          </cell>
          <cell r="W98">
            <v>77.439393939393938</v>
          </cell>
        </row>
        <row r="99">
          <cell r="A99" t="str">
            <v>7485 РИЕТ МЯСНОЙ С ГРИБАМИ ПМ п/о 1/150  ОСТАНКИНО</v>
          </cell>
          <cell r="B99" t="str">
            <v>шт</v>
          </cell>
          <cell r="C99">
            <v>148</v>
          </cell>
          <cell r="D99">
            <v>38</v>
          </cell>
          <cell r="E99">
            <v>150</v>
          </cell>
          <cell r="H99">
            <v>0.15</v>
          </cell>
          <cell r="I99">
            <v>60</v>
          </cell>
          <cell r="J99" t="str">
            <v>матрица</v>
          </cell>
          <cell r="L99">
            <v>445</v>
          </cell>
          <cell r="M99">
            <v>-295</v>
          </cell>
          <cell r="N99">
            <v>150</v>
          </cell>
          <cell r="P99">
            <v>0</v>
          </cell>
          <cell r="Q99">
            <v>200</v>
          </cell>
          <cell r="R99">
            <v>30</v>
          </cell>
          <cell r="S99">
            <v>250</v>
          </cell>
          <cell r="T99">
            <v>0.3141891891891892</v>
          </cell>
          <cell r="U99">
            <v>171.45270270270271</v>
          </cell>
          <cell r="W99">
            <v>78.547297297297305</v>
          </cell>
          <cell r="X99">
            <v>200</v>
          </cell>
        </row>
        <row r="100">
          <cell r="A100" t="str">
            <v>7513 ВОСКРЕСЕНСКАЯ ВЯЛЕНАЯ в/к в/у срез 1/260  ОСТАНКИНО</v>
          </cell>
          <cell r="B100" t="str">
            <v>шт</v>
          </cell>
          <cell r="C100">
            <v>186</v>
          </cell>
          <cell r="D100">
            <v>40</v>
          </cell>
          <cell r="E100">
            <v>181</v>
          </cell>
          <cell r="F100">
            <v>4</v>
          </cell>
          <cell r="H100">
            <v>0.26</v>
          </cell>
          <cell r="I100">
            <v>45</v>
          </cell>
          <cell r="J100" t="str">
            <v>матрица</v>
          </cell>
          <cell r="L100">
            <v>249</v>
          </cell>
          <cell r="M100">
            <v>-68</v>
          </cell>
          <cell r="N100">
            <v>181</v>
          </cell>
          <cell r="P100">
            <v>0</v>
          </cell>
          <cell r="Q100">
            <v>30</v>
          </cell>
          <cell r="R100">
            <v>36.200000000000003</v>
          </cell>
          <cell r="S100">
            <v>255.60000000000002</v>
          </cell>
          <cell r="T100">
            <v>0.51412429378531066</v>
          </cell>
          <cell r="U100">
            <v>124.18983050847461</v>
          </cell>
          <cell r="W100">
            <v>131.41016949152541</v>
          </cell>
          <cell r="X100">
            <v>200</v>
          </cell>
        </row>
        <row r="101">
          <cell r="A101" t="str">
            <v>7514 ЛЮБИТЕЛЬСКАЯ ОСТАНКИНСКАЯ вар п/о в/у  ОСТАНКИНО</v>
          </cell>
          <cell r="B101" t="str">
            <v>кг</v>
          </cell>
          <cell r="C101">
            <v>100.914</v>
          </cell>
          <cell r="E101">
            <v>45.429000000000002</v>
          </cell>
          <cell r="F101">
            <v>50.475000000000001</v>
          </cell>
          <cell r="H101">
            <v>1</v>
          </cell>
          <cell r="I101">
            <v>30</v>
          </cell>
          <cell r="J101" t="str">
            <v>матрица</v>
          </cell>
          <cell r="L101">
            <v>36.5</v>
          </cell>
          <cell r="M101">
            <v>8.929000000000002</v>
          </cell>
          <cell r="N101">
            <v>45.429000000000002</v>
          </cell>
          <cell r="P101">
            <v>0</v>
          </cell>
          <cell r="Q101">
            <v>50</v>
          </cell>
          <cell r="R101">
            <v>9.0858000000000008</v>
          </cell>
          <cell r="S101">
            <v>35.812000000000005</v>
          </cell>
          <cell r="T101">
            <v>0</v>
          </cell>
          <cell r="U101">
            <v>35.812000000000005</v>
          </cell>
          <cell r="W101">
            <v>0</v>
          </cell>
          <cell r="X101">
            <v>50</v>
          </cell>
        </row>
        <row r="102">
          <cell r="A102" t="str">
            <v>7516 НОВОМОСКОВСКАЯ в/к в/у срез 0.31кг  ОСТАНКИНО</v>
          </cell>
          <cell r="B102" t="str">
            <v>шт</v>
          </cell>
          <cell r="C102">
            <v>182</v>
          </cell>
          <cell r="D102">
            <v>58</v>
          </cell>
          <cell r="E102">
            <v>174</v>
          </cell>
          <cell r="F102">
            <v>4</v>
          </cell>
          <cell r="H102">
            <v>0.31</v>
          </cell>
          <cell r="I102">
            <v>45</v>
          </cell>
          <cell r="J102" t="str">
            <v>матрица</v>
          </cell>
          <cell r="L102">
            <v>244</v>
          </cell>
          <cell r="M102">
            <v>-70</v>
          </cell>
          <cell r="N102">
            <v>174</v>
          </cell>
          <cell r="P102">
            <v>0</v>
          </cell>
          <cell r="Q102">
            <v>30</v>
          </cell>
          <cell r="R102">
            <v>34.799999999999997</v>
          </cell>
          <cell r="S102">
            <v>244.39999999999998</v>
          </cell>
          <cell r="T102">
            <v>0.4705882352941177</v>
          </cell>
          <cell r="U102">
            <v>129.38823529411764</v>
          </cell>
          <cell r="W102">
            <v>115.01176470588236</v>
          </cell>
        </row>
        <row r="103">
          <cell r="A103" t="str">
            <v>7518 ТЕЛЯЧЬЯ ГОСТ Останкино вар п/о в/у  ОСТАНКИНО</v>
          </cell>
          <cell r="B103" t="str">
            <v>кг</v>
          </cell>
          <cell r="C103">
            <v>101.369</v>
          </cell>
          <cell r="D103">
            <v>3.4</v>
          </cell>
          <cell r="E103">
            <v>32.076999999999998</v>
          </cell>
          <cell r="F103">
            <v>68.28</v>
          </cell>
          <cell r="H103">
            <v>1</v>
          </cell>
          <cell r="I103">
            <v>30</v>
          </cell>
          <cell r="J103" t="str">
            <v>матрица</v>
          </cell>
          <cell r="L103">
            <v>35.799999999999997</v>
          </cell>
          <cell r="M103">
            <v>-3.722999999999999</v>
          </cell>
          <cell r="N103">
            <v>32.076999999999998</v>
          </cell>
          <cell r="P103">
            <v>0</v>
          </cell>
          <cell r="Q103">
            <v>50</v>
          </cell>
          <cell r="R103">
            <v>6.4154</v>
          </cell>
          <cell r="T103">
            <v>0</v>
          </cell>
          <cell r="U103">
            <v>0</v>
          </cell>
          <cell r="W103">
            <v>0</v>
          </cell>
          <cell r="X103">
            <v>70</v>
          </cell>
        </row>
        <row r="104">
          <cell r="A104" t="str">
            <v>7523 ГОВЯЖЬЯ Папа Может вар п/о 0,4кг 6шт. ОСТАНКИНО</v>
          </cell>
          <cell r="B104" t="str">
            <v>шт</v>
          </cell>
          <cell r="C104">
            <v>386</v>
          </cell>
          <cell r="D104">
            <v>919</v>
          </cell>
          <cell r="E104">
            <v>253</v>
          </cell>
          <cell r="F104">
            <v>117</v>
          </cell>
          <cell r="G104">
            <v>128</v>
          </cell>
          <cell r="H104">
            <v>0.4</v>
          </cell>
          <cell r="I104">
            <v>60</v>
          </cell>
          <cell r="J104" t="str">
            <v>матрица</v>
          </cell>
          <cell r="L104">
            <v>267</v>
          </cell>
          <cell r="M104">
            <v>-14</v>
          </cell>
          <cell r="N104">
            <v>157</v>
          </cell>
          <cell r="O104">
            <v>96</v>
          </cell>
          <cell r="P104">
            <v>49</v>
          </cell>
          <cell r="Q104">
            <v>42</v>
          </cell>
          <cell r="R104">
            <v>31.4</v>
          </cell>
          <cell r="S104">
            <v>135</v>
          </cell>
          <cell r="T104">
            <v>0.68349514563106806</v>
          </cell>
          <cell r="U104">
            <v>42.728155339805809</v>
          </cell>
          <cell r="W104">
            <v>92.271844660194191</v>
          </cell>
          <cell r="X104">
            <v>200</v>
          </cell>
        </row>
        <row r="105">
          <cell r="A105" t="str">
            <v>7539 ДОКТОРСКАЯ ГОСТ вар п/о 0,35кг ОСТАНКИНО</v>
          </cell>
          <cell r="B105" t="str">
            <v>шт</v>
          </cell>
          <cell r="C105">
            <v>8</v>
          </cell>
          <cell r="D105">
            <v>152</v>
          </cell>
          <cell r="E105">
            <v>3</v>
          </cell>
          <cell r="F105">
            <v>5</v>
          </cell>
          <cell r="H105">
            <v>0.35</v>
          </cell>
          <cell r="I105">
            <v>60</v>
          </cell>
          <cell r="J105" t="str">
            <v>матрица</v>
          </cell>
          <cell r="L105">
            <v>115</v>
          </cell>
          <cell r="M105">
            <v>-112</v>
          </cell>
          <cell r="N105">
            <v>3</v>
          </cell>
          <cell r="P105">
            <v>116</v>
          </cell>
          <cell r="Q105">
            <v>0</v>
          </cell>
          <cell r="R105">
            <v>0.6</v>
          </cell>
          <cell r="T105">
            <v>0.5</v>
          </cell>
          <cell r="U105">
            <v>0</v>
          </cell>
          <cell r="W105">
            <v>0</v>
          </cell>
        </row>
        <row r="106">
          <cell r="A106" t="str">
            <v>7562 КРАКОВСКАЯ ГОСТ Останкино п/к н/о мгс  ОСТАНКИНО</v>
          </cell>
          <cell r="B106" t="str">
            <v>кг</v>
          </cell>
          <cell r="C106">
            <v>172.86199999999999</v>
          </cell>
          <cell r="D106">
            <v>3.3919999999999999</v>
          </cell>
          <cell r="E106">
            <v>61.000999999999998</v>
          </cell>
          <cell r="F106">
            <v>54.991</v>
          </cell>
          <cell r="G106">
            <v>52.542000000000002</v>
          </cell>
          <cell r="H106">
            <v>1</v>
          </cell>
          <cell r="I106">
            <v>45</v>
          </cell>
          <cell r="J106" t="str">
            <v>матрица</v>
          </cell>
          <cell r="L106">
            <v>57.3</v>
          </cell>
          <cell r="M106">
            <v>3.7010000000000005</v>
          </cell>
          <cell r="N106">
            <v>61.000999999999998</v>
          </cell>
          <cell r="P106">
            <v>0</v>
          </cell>
          <cell r="Q106">
            <v>0</v>
          </cell>
          <cell r="R106">
            <v>12.200199999999999</v>
          </cell>
          <cell r="S106">
            <v>75.469999999999985</v>
          </cell>
          <cell r="T106">
            <v>0.4465351162598869</v>
          </cell>
          <cell r="U106">
            <v>41.76999477586633</v>
          </cell>
          <cell r="W106">
            <v>33.700005224133655</v>
          </cell>
          <cell r="X106">
            <v>100</v>
          </cell>
        </row>
        <row r="107">
          <cell r="A107" t="str">
            <v>7564 Балыковая в/к в/у Останкино Вес  ОСТАНКИНО</v>
          </cell>
          <cell r="B107" t="str">
            <v>кг</v>
          </cell>
          <cell r="C107">
            <v>16.876000000000001</v>
          </cell>
          <cell r="D107">
            <v>43.433999999999997</v>
          </cell>
          <cell r="E107">
            <v>25.577999999999999</v>
          </cell>
          <cell r="F107">
            <v>0.86099999999999999</v>
          </cell>
          <cell r="H107">
            <v>1</v>
          </cell>
          <cell r="I107">
            <v>45</v>
          </cell>
          <cell r="J107" t="str">
            <v>матрица</v>
          </cell>
          <cell r="L107">
            <v>68.760000000000005</v>
          </cell>
          <cell r="M107">
            <v>-43.182000000000002</v>
          </cell>
          <cell r="N107">
            <v>25.577999999999999</v>
          </cell>
          <cell r="P107">
            <v>0</v>
          </cell>
          <cell r="Q107">
            <v>129</v>
          </cell>
          <cell r="R107">
            <v>5.1155999999999997</v>
          </cell>
          <cell r="T107">
            <v>0.40681027729125813</v>
          </cell>
          <cell r="U107">
            <v>0</v>
          </cell>
          <cell r="W107">
            <v>0</v>
          </cell>
        </row>
        <row r="108">
          <cell r="A108" t="str">
            <v>7601 ДЛЯ ДЕТЕЙ Папа может сос п/о мгс 0.264кг  ОСТАНКИНО</v>
          </cell>
          <cell r="B108" t="str">
            <v>шт</v>
          </cell>
          <cell r="C108">
            <v>158</v>
          </cell>
          <cell r="H108">
            <v>0</v>
          </cell>
          <cell r="J108" t="str">
            <v>не в матрице</v>
          </cell>
          <cell r="L108">
            <v>25</v>
          </cell>
          <cell r="M108">
            <v>-25</v>
          </cell>
          <cell r="N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0.42307692307692307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79</v>
          </cell>
          <cell r="D109">
            <v>401</v>
          </cell>
          <cell r="E109">
            <v>109</v>
          </cell>
          <cell r="F109">
            <v>2</v>
          </cell>
          <cell r="H109">
            <v>0.33</v>
          </cell>
          <cell r="I109">
            <v>45</v>
          </cell>
          <cell r="J109" t="str">
            <v>матрица</v>
          </cell>
          <cell r="L109">
            <v>267</v>
          </cell>
          <cell r="M109">
            <v>-158</v>
          </cell>
          <cell r="N109">
            <v>53</v>
          </cell>
          <cell r="O109">
            <v>56</v>
          </cell>
          <cell r="P109">
            <v>0</v>
          </cell>
          <cell r="Q109">
            <v>0</v>
          </cell>
          <cell r="R109">
            <v>10.6</v>
          </cell>
          <cell r="S109">
            <v>160</v>
          </cell>
          <cell r="T109">
            <v>0.7021276595744681</v>
          </cell>
          <cell r="U109">
            <v>47.659574468085111</v>
          </cell>
          <cell r="W109">
            <v>112.34042553191489</v>
          </cell>
          <cell r="X109">
            <v>200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46</v>
          </cell>
          <cell r="E110">
            <v>-1</v>
          </cell>
          <cell r="H110">
            <v>0</v>
          </cell>
          <cell r="I110">
            <v>45</v>
          </cell>
          <cell r="J110" t="str">
            <v>вывод</v>
          </cell>
          <cell r="L110">
            <v>16</v>
          </cell>
          <cell r="M110">
            <v>-17</v>
          </cell>
          <cell r="N110">
            <v>-1</v>
          </cell>
          <cell r="P110">
            <v>0</v>
          </cell>
          <cell r="Q110">
            <v>0</v>
          </cell>
          <cell r="R110">
            <v>-0.2</v>
          </cell>
          <cell r="T110">
            <v>0.90909090909090906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C111">
            <v>4</v>
          </cell>
          <cell r="D111">
            <v>319</v>
          </cell>
          <cell r="H111">
            <v>0</v>
          </cell>
          <cell r="I111">
            <v>60</v>
          </cell>
          <cell r="J111" t="str">
            <v>вывод</v>
          </cell>
          <cell r="L111">
            <v>94</v>
          </cell>
          <cell r="M111">
            <v>-94</v>
          </cell>
          <cell r="N111">
            <v>0</v>
          </cell>
          <cell r="P111">
            <v>0</v>
          </cell>
          <cell r="Q111">
            <v>0</v>
          </cell>
          <cell r="R111">
            <v>0</v>
          </cell>
          <cell r="T111">
            <v>0.51694915254237284</v>
          </cell>
        </row>
        <row r="112">
          <cell r="A112" t="str">
            <v>7613 АРОМАТНАЯ с/к с/н в/у 1/100 10шт_Л10  ОСТАНКИНО</v>
          </cell>
          <cell r="B112" t="str">
            <v>шт</v>
          </cell>
          <cell r="C112">
            <v>193</v>
          </cell>
          <cell r="D112">
            <v>260</v>
          </cell>
          <cell r="E112">
            <v>128</v>
          </cell>
          <cell r="F112">
            <v>2</v>
          </cell>
          <cell r="H112">
            <v>0.1</v>
          </cell>
          <cell r="I112">
            <v>60</v>
          </cell>
          <cell r="J112" t="str">
            <v>матрица</v>
          </cell>
          <cell r="L112">
            <v>226</v>
          </cell>
          <cell r="M112">
            <v>-98</v>
          </cell>
          <cell r="N112">
            <v>128</v>
          </cell>
          <cell r="P112">
            <v>90</v>
          </cell>
          <cell r="Q112">
            <v>155</v>
          </cell>
          <cell r="R112">
            <v>25.6</v>
          </cell>
          <cell r="S112">
            <v>137</v>
          </cell>
          <cell r="T112">
            <v>0.24617737003058104</v>
          </cell>
          <cell r="U112">
            <v>103.27370030581039</v>
          </cell>
          <cell r="W112">
            <v>33.726299694189606</v>
          </cell>
          <cell r="X112">
            <v>150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C113">
            <v>135</v>
          </cell>
          <cell r="D113">
            <v>352</v>
          </cell>
          <cell r="E113">
            <v>124</v>
          </cell>
          <cell r="F113">
            <v>5</v>
          </cell>
          <cell r="H113">
            <v>0.1</v>
          </cell>
          <cell r="I113">
            <v>60</v>
          </cell>
          <cell r="J113" t="str">
            <v>матрица</v>
          </cell>
          <cell r="L113">
            <v>268</v>
          </cell>
          <cell r="M113">
            <v>-144</v>
          </cell>
          <cell r="N113">
            <v>124</v>
          </cell>
          <cell r="P113">
            <v>0</v>
          </cell>
          <cell r="Q113">
            <v>444</v>
          </cell>
          <cell r="R113">
            <v>24.8</v>
          </cell>
          <cell r="T113">
            <v>0.50526315789473686</v>
          </cell>
          <cell r="U113">
            <v>0</v>
          </cell>
          <cell r="W113">
            <v>0</v>
          </cell>
          <cell r="X113">
            <v>100</v>
          </cell>
        </row>
        <row r="114">
          <cell r="A114" t="str">
            <v>7626 БРАУНШВЕЙГСКАЯ с/к с/н мгс 1/100_Л10  ОСТАНКИНО</v>
          </cell>
          <cell r="B114" t="str">
            <v>шт</v>
          </cell>
          <cell r="C114">
            <v>-3</v>
          </cell>
          <cell r="D114">
            <v>4</v>
          </cell>
          <cell r="E114">
            <v>1</v>
          </cell>
          <cell r="H114">
            <v>0</v>
          </cell>
          <cell r="J114" t="str">
            <v>не в матрице</v>
          </cell>
          <cell r="L114">
            <v>29</v>
          </cell>
          <cell r="M114">
            <v>-28</v>
          </cell>
          <cell r="N114">
            <v>1</v>
          </cell>
          <cell r="Q114">
            <v>0</v>
          </cell>
          <cell r="R114">
            <v>0.2</v>
          </cell>
          <cell r="T114">
            <v>0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654</v>
          </cell>
          <cell r="D115">
            <v>745</v>
          </cell>
          <cell r="E115">
            <v>324</v>
          </cell>
          <cell r="F115">
            <v>159</v>
          </cell>
          <cell r="G115">
            <v>168</v>
          </cell>
          <cell r="H115">
            <v>0.4</v>
          </cell>
          <cell r="I115">
            <v>60</v>
          </cell>
          <cell r="J115" t="str">
            <v>матрица</v>
          </cell>
          <cell r="L115">
            <v>352</v>
          </cell>
          <cell r="M115">
            <v>-28</v>
          </cell>
          <cell r="N115">
            <v>308</v>
          </cell>
          <cell r="O115">
            <v>16</v>
          </cell>
          <cell r="P115">
            <v>430</v>
          </cell>
          <cell r="Q115">
            <v>8</v>
          </cell>
          <cell r="R115">
            <v>61.6</v>
          </cell>
          <cell r="S115">
            <v>159</v>
          </cell>
          <cell r="T115">
            <v>0.34303977272727271</v>
          </cell>
          <cell r="U115">
            <v>104.45667613636364</v>
          </cell>
          <cell r="W115">
            <v>54.54332386363636</v>
          </cell>
        </row>
        <row r="116">
          <cell r="A116" t="str">
            <v>7647 ХОЧУ ВЕТЧ.ИЗ СВ.ОТРУБА с/н мгс 1/100_Л11  ОСТАНКИНО</v>
          </cell>
          <cell r="B116" t="str">
            <v>шт</v>
          </cell>
          <cell r="C116">
            <v>181</v>
          </cell>
          <cell r="D116">
            <v>14</v>
          </cell>
          <cell r="E116">
            <v>34</v>
          </cell>
          <cell r="F116">
            <v>80</v>
          </cell>
          <cell r="G116">
            <v>55</v>
          </cell>
          <cell r="H116">
            <v>0.1</v>
          </cell>
          <cell r="J116" t="str">
            <v>матрица</v>
          </cell>
          <cell r="L116">
            <v>42</v>
          </cell>
          <cell r="M116">
            <v>-8</v>
          </cell>
          <cell r="N116">
            <v>34</v>
          </cell>
          <cell r="P116">
            <v>0</v>
          </cell>
          <cell r="Q116">
            <v>0</v>
          </cell>
          <cell r="R116">
            <v>6.8</v>
          </cell>
          <cell r="T116">
            <v>0.30463576158940397</v>
          </cell>
          <cell r="U116">
            <v>0</v>
          </cell>
          <cell r="W116">
            <v>0</v>
          </cell>
        </row>
        <row r="117">
          <cell r="A117" t="str">
            <v>7651 ХОЧУ ВЕТЧ.МРАМОР. ПМ с/н мгс 1/100_Л11  ОСТАНКИНО</v>
          </cell>
          <cell r="B117" t="str">
            <v>шт</v>
          </cell>
          <cell r="C117">
            <v>179</v>
          </cell>
          <cell r="D117">
            <v>13</v>
          </cell>
          <cell r="E117">
            <v>44</v>
          </cell>
          <cell r="F117">
            <v>71</v>
          </cell>
          <cell r="G117">
            <v>55</v>
          </cell>
          <cell r="H117">
            <v>0.1</v>
          </cell>
          <cell r="J117" t="str">
            <v>матрица</v>
          </cell>
          <cell r="L117">
            <v>48</v>
          </cell>
          <cell r="M117">
            <v>-4</v>
          </cell>
          <cell r="N117">
            <v>44</v>
          </cell>
          <cell r="P117">
            <v>0</v>
          </cell>
          <cell r="Q117">
            <v>0</v>
          </cell>
          <cell r="R117">
            <v>8.8000000000000007</v>
          </cell>
          <cell r="S117">
            <v>6</v>
          </cell>
          <cell r="T117">
            <v>0.30722891566265054</v>
          </cell>
          <cell r="U117">
            <v>4</v>
          </cell>
          <cell r="W117">
            <v>4</v>
          </cell>
        </row>
        <row r="118">
          <cell r="A118" t="str">
            <v>7710 КРАКОВСКАЯ ГОСТ п/к н/о мгс 0.3кг  ОСТАНКИНО</v>
          </cell>
          <cell r="B118" t="str">
            <v>шт</v>
          </cell>
          <cell r="C118">
            <v>117</v>
          </cell>
          <cell r="D118">
            <v>7</v>
          </cell>
          <cell r="E118">
            <v>52</v>
          </cell>
          <cell r="F118">
            <v>5</v>
          </cell>
          <cell r="G118">
            <v>56</v>
          </cell>
          <cell r="H118">
            <v>0.3</v>
          </cell>
          <cell r="I118">
            <v>45</v>
          </cell>
          <cell r="J118" t="str">
            <v>матрица</v>
          </cell>
          <cell r="L118">
            <v>65</v>
          </cell>
          <cell r="M118">
            <v>-13</v>
          </cell>
          <cell r="N118">
            <v>52</v>
          </cell>
          <cell r="P118">
            <v>0</v>
          </cell>
          <cell r="Q118">
            <v>0</v>
          </cell>
          <cell r="R118">
            <v>10.4</v>
          </cell>
          <cell r="S118">
            <v>84.6</v>
          </cell>
          <cell r="T118">
            <v>1</v>
          </cell>
          <cell r="U118">
            <v>0</v>
          </cell>
          <cell r="W118">
            <v>84.6</v>
          </cell>
          <cell r="X118">
            <v>180</v>
          </cell>
        </row>
        <row r="119">
          <cell r="A119" t="str">
            <v>8014 ДОКТОРСКАЯ ПРЕМИУМ вар п/о(п)</v>
          </cell>
          <cell r="B119" t="str">
            <v>кг</v>
          </cell>
          <cell r="H119">
            <v>0</v>
          </cell>
          <cell r="J119" t="str">
            <v>матрица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T119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N2" sqref="N2"/>
    </sheetView>
  </sheetViews>
  <sheetFormatPr defaultRowHeight="15" x14ac:dyDescent="0.25"/>
  <cols>
    <col min="1" max="1" width="54.85546875" customWidth="1"/>
    <col min="2" max="2" width="3" customWidth="1"/>
    <col min="3" max="4" width="6" customWidth="1"/>
    <col min="5" max="5" width="7" customWidth="1"/>
    <col min="6" max="7" width="9.28515625" customWidth="1"/>
    <col min="8" max="8" width="5" style="6" customWidth="1"/>
    <col min="9" max="9" width="5" customWidth="1"/>
    <col min="10" max="10" width="7.42578125" customWidth="1"/>
    <col min="11" max="11" width="1" customWidth="1"/>
    <col min="12" max="19" width="7" customWidth="1"/>
    <col min="20" max="20" width="9.140625" style="20" customWidth="1"/>
    <col min="21" max="21" width="7" customWidth="1"/>
    <col min="22" max="22" width="7" style="21" customWidth="1"/>
    <col min="23" max="24" width="7" customWidth="1"/>
    <col min="25" max="25" width="7" style="21" customWidth="1"/>
    <col min="26" max="26" width="7" customWidth="1"/>
    <col min="27" max="28" width="5" customWidth="1"/>
    <col min="29" max="30" width="6" customWidth="1"/>
    <col min="31" max="36" width="6" hidden="1" customWidth="1"/>
    <col min="37" max="38" width="6" customWidth="1"/>
    <col min="39" max="39" width="24.28515625" customWidth="1"/>
    <col min="40" max="41" width="7" customWidth="1"/>
  </cols>
  <sheetData>
    <row r="1" spans="1:41" ht="15.75" thickBot="1" x14ac:dyDescent="0.3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6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thickBot="1" x14ac:dyDescent="0.3">
      <c r="A2" s="1"/>
      <c r="B2" s="1"/>
      <c r="C2" s="1"/>
      <c r="D2" s="1"/>
      <c r="E2" s="1"/>
      <c r="F2" s="1" t="s">
        <v>176</v>
      </c>
      <c r="G2" s="1" t="s">
        <v>177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6"/>
      <c r="U2" s="22" t="s">
        <v>176</v>
      </c>
      <c r="V2" s="23"/>
      <c r="W2" s="24"/>
      <c r="X2" s="22" t="s">
        <v>177</v>
      </c>
      <c r="Y2" s="23"/>
      <c r="Z2" s="2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15</v>
      </c>
      <c r="S3" s="3" t="s">
        <v>16</v>
      </c>
      <c r="T3" s="17" t="s">
        <v>182</v>
      </c>
      <c r="U3" s="3" t="s">
        <v>16</v>
      </c>
      <c r="V3" s="3" t="s">
        <v>186</v>
      </c>
      <c r="W3" s="3" t="s">
        <v>184</v>
      </c>
      <c r="X3" s="3" t="s">
        <v>16</v>
      </c>
      <c r="Y3" s="3" t="s">
        <v>186</v>
      </c>
      <c r="Z3" s="3" t="s">
        <v>184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2" t="s">
        <v>21</v>
      </c>
    </row>
    <row r="4" spans="1:41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/>
      <c r="T4" s="16"/>
      <c r="U4" s="1"/>
      <c r="V4" s="1" t="s">
        <v>187</v>
      </c>
      <c r="W4" s="1" t="s">
        <v>185</v>
      </c>
      <c r="X4" s="1"/>
      <c r="Y4" s="1" t="s">
        <v>188</v>
      </c>
      <c r="Z4" s="1" t="s">
        <v>185</v>
      </c>
      <c r="AA4" s="1"/>
      <c r="AB4" s="1"/>
      <c r="AC4" s="1" t="s">
        <v>25</v>
      </c>
      <c r="AD4" s="1" t="s">
        <v>26</v>
      </c>
      <c r="AE4" s="1" t="s">
        <v>27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/>
      <c r="AN4" s="1" t="s">
        <v>176</v>
      </c>
      <c r="AO4" s="1" t="s">
        <v>177</v>
      </c>
    </row>
    <row r="5" spans="1:41" x14ac:dyDescent="0.25">
      <c r="A5" s="1"/>
      <c r="B5" s="1"/>
      <c r="C5" s="1"/>
      <c r="D5" s="1"/>
      <c r="E5" s="4">
        <f>SUM(E6:E496)</f>
        <v>15921.592000000001</v>
      </c>
      <c r="F5" s="4">
        <f>SUM(F6:F496)</f>
        <v>6318.4279999999999</v>
      </c>
      <c r="G5" s="4">
        <f>SUM(G6:G496)</f>
        <v>5923.097999999999</v>
      </c>
      <c r="H5" s="7"/>
      <c r="I5" s="1"/>
      <c r="J5" s="1"/>
      <c r="K5" s="1"/>
      <c r="L5" s="4">
        <f t="shared" ref="L5:S5" si="0">SUM(L6:L496)</f>
        <v>20579.584999999995</v>
      </c>
      <c r="M5" s="4">
        <f t="shared" si="0"/>
        <v>-4657.9929999999995</v>
      </c>
      <c r="N5" s="4">
        <f t="shared" si="0"/>
        <v>12666.813999999998</v>
      </c>
      <c r="O5" s="4">
        <f t="shared" si="0"/>
        <v>3254.7780000000002</v>
      </c>
      <c r="P5" s="4">
        <f t="shared" si="0"/>
        <v>16977</v>
      </c>
      <c r="Q5" s="4">
        <f t="shared" si="0"/>
        <v>8865</v>
      </c>
      <c r="R5" s="4">
        <f t="shared" si="0"/>
        <v>2533.3627999999994</v>
      </c>
      <c r="S5" s="4">
        <f t="shared" si="0"/>
        <v>5215.9290000000001</v>
      </c>
      <c r="T5" s="18"/>
      <c r="U5" s="4">
        <f t="shared" ref="U5:Z5" si="1">SUM(U6:U496)</f>
        <v>2959.5354896290719</v>
      </c>
      <c r="V5" s="4">
        <f t="shared" si="1"/>
        <v>3854</v>
      </c>
      <c r="W5" s="4">
        <f t="shared" si="1"/>
        <v>1770</v>
      </c>
      <c r="X5" s="4">
        <f t="shared" si="1"/>
        <v>2305.7806071451209</v>
      </c>
      <c r="Y5" s="4">
        <f t="shared" si="1"/>
        <v>7774</v>
      </c>
      <c r="Z5" s="4">
        <f t="shared" si="1"/>
        <v>8080</v>
      </c>
      <c r="AA5" s="1"/>
      <c r="AB5" s="1"/>
      <c r="AC5" s="4">
        <f t="shared" ref="AC5:AL5" si="2">SUM(AC6:AC496)</f>
        <v>2821.0762000000004</v>
      </c>
      <c r="AD5" s="4">
        <f t="shared" si="2"/>
        <v>3399.7716000000014</v>
      </c>
      <c r="AE5" s="4">
        <f t="shared" si="2"/>
        <v>2006.4104000000002</v>
      </c>
      <c r="AF5" s="4">
        <f t="shared" si="2"/>
        <v>3945.1628000000014</v>
      </c>
      <c r="AG5" s="4">
        <f t="shared" si="2"/>
        <v>3700.6237999999994</v>
      </c>
      <c r="AH5" s="4">
        <f t="shared" si="2"/>
        <v>2207.3885999999998</v>
      </c>
      <c r="AI5" s="4">
        <f t="shared" si="2"/>
        <v>2571.2086000000004</v>
      </c>
      <c r="AJ5" s="4">
        <f t="shared" si="2"/>
        <v>3192.5596000000005</v>
      </c>
      <c r="AK5" s="4">
        <f t="shared" si="2"/>
        <v>2915.7354</v>
      </c>
      <c r="AL5" s="4">
        <f t="shared" si="2"/>
        <v>2107.6981999999998</v>
      </c>
      <c r="AM5" s="1"/>
      <c r="AN5" s="4">
        <f>SUM(AN6:AN496)</f>
        <v>1938.9740000000002</v>
      </c>
      <c r="AO5" s="4">
        <f>SUM(AO6:AO496)</f>
        <v>3786.1400000000003</v>
      </c>
    </row>
    <row r="6" spans="1:41" x14ac:dyDescent="0.25">
      <c r="A6" s="1" t="s">
        <v>35</v>
      </c>
      <c r="B6" s="1" t="s">
        <v>36</v>
      </c>
      <c r="C6" s="1">
        <v>10.625999999999999</v>
      </c>
      <c r="D6" s="1"/>
      <c r="E6" s="1">
        <v>6.8579999999999997</v>
      </c>
      <c r="F6" s="1"/>
      <c r="G6" s="1"/>
      <c r="H6" s="7">
        <v>1</v>
      </c>
      <c r="I6" s="1">
        <v>120</v>
      </c>
      <c r="J6" s="1" t="s">
        <v>37</v>
      </c>
      <c r="K6" s="1"/>
      <c r="L6" s="1">
        <v>13.8</v>
      </c>
      <c r="M6" s="1">
        <f t="shared" ref="M6:M37" si="3">E6-L6</f>
        <v>-6.9420000000000011</v>
      </c>
      <c r="N6" s="1">
        <f>E6-O6</f>
        <v>6.8579999999999997</v>
      </c>
      <c r="O6" s="1"/>
      <c r="P6" s="1">
        <v>0</v>
      </c>
      <c r="Q6" s="1">
        <v>18</v>
      </c>
      <c r="R6" s="1">
        <f>N6/5</f>
        <v>1.3715999999999999</v>
      </c>
      <c r="S6" s="5">
        <v>8</v>
      </c>
      <c r="T6" s="19">
        <f>VLOOKUP(A6,[1]TDSheet!$D:$J,7,0)</f>
        <v>0.49718042798394446</v>
      </c>
      <c r="U6" s="5">
        <f>S6-X6</f>
        <v>4.0225565761284443</v>
      </c>
      <c r="V6" s="5">
        <f>ROUND(U6,0)</f>
        <v>4</v>
      </c>
      <c r="W6" s="5"/>
      <c r="X6" s="5">
        <f>S6*T6</f>
        <v>3.9774434238715557</v>
      </c>
      <c r="Y6" s="5">
        <f>ROUND(X6,0)</f>
        <v>4</v>
      </c>
      <c r="Z6" s="5"/>
      <c r="AA6" s="1">
        <f>(F6+G6+P6+Q6+V6+Y6)/R6</f>
        <v>18.955963837853602</v>
      </c>
      <c r="AB6" s="1">
        <f t="shared" ref="AB6:AB37" si="4">(F6+G6+P6+Q6)/R6</f>
        <v>13.123359580052494</v>
      </c>
      <c r="AC6" s="1">
        <v>2.3786</v>
      </c>
      <c r="AD6" s="1">
        <v>0.79720000000000002</v>
      </c>
      <c r="AE6" s="1">
        <v>0.3392</v>
      </c>
      <c r="AF6" s="1">
        <v>3.1198000000000001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 t="s">
        <v>38</v>
      </c>
      <c r="AN6" s="1">
        <f>H6*V6</f>
        <v>4</v>
      </c>
      <c r="AO6" s="1">
        <f>H6*Y6</f>
        <v>4</v>
      </c>
    </row>
    <row r="7" spans="1:41" x14ac:dyDescent="0.25">
      <c r="A7" s="1" t="s">
        <v>39</v>
      </c>
      <c r="B7" s="1" t="s">
        <v>40</v>
      </c>
      <c r="C7" s="1">
        <v>319</v>
      </c>
      <c r="D7" s="1">
        <v>704</v>
      </c>
      <c r="E7" s="1">
        <v>245</v>
      </c>
      <c r="F7" s="1">
        <v>70</v>
      </c>
      <c r="G7" s="1">
        <f>VLOOKUP(A7,[2]TDSheet!$A:$M,9,0)</f>
        <v>72</v>
      </c>
      <c r="H7" s="7">
        <v>0.4</v>
      </c>
      <c r="I7" s="1">
        <v>60</v>
      </c>
      <c r="J7" s="1" t="s">
        <v>37</v>
      </c>
      <c r="K7" s="1"/>
      <c r="L7" s="1">
        <v>257</v>
      </c>
      <c r="M7" s="1">
        <f t="shared" si="3"/>
        <v>-12</v>
      </c>
      <c r="N7" s="1">
        <f t="shared" ref="N7:N70" si="5">E7-O7</f>
        <v>149</v>
      </c>
      <c r="O7" s="1">
        <f>VLOOKUP(A7,[3]TDSheet!$A:$AX,7,0)</f>
        <v>96</v>
      </c>
      <c r="P7" s="1">
        <v>600</v>
      </c>
      <c r="Q7" s="1">
        <v>100</v>
      </c>
      <c r="R7" s="1">
        <f t="shared" ref="R7:R70" si="6">N7/5</f>
        <v>29.8</v>
      </c>
      <c r="S7" s="5"/>
      <c r="T7" s="19">
        <f>VLOOKUP(A7,[1]TDSheet!$D:$J,7,0)</f>
        <v>0.58595041322314056</v>
      </c>
      <c r="U7" s="5">
        <f t="shared" ref="U7:U23" si="7">S7-X7</f>
        <v>0</v>
      </c>
      <c r="V7" s="5">
        <f t="shared" ref="V7:V69" si="8">ROUND(U7,0)</f>
        <v>0</v>
      </c>
      <c r="W7" s="5"/>
      <c r="X7" s="5">
        <f t="shared" ref="X7:X23" si="9">S7*T7</f>
        <v>0</v>
      </c>
      <c r="Y7" s="5">
        <v>100</v>
      </c>
      <c r="Z7" s="5">
        <f>VLOOKUP(A7,[4]Sheet!$A:$X,24,0)</f>
        <v>150</v>
      </c>
      <c r="AA7" s="1">
        <f t="shared" ref="AA7:AA70" si="10">(F7+G7+P7+Q7+V7+Y7)/R7</f>
        <v>31.610738255033556</v>
      </c>
      <c r="AB7" s="1">
        <f t="shared" si="4"/>
        <v>28.255033557046978</v>
      </c>
      <c r="AC7" s="1">
        <v>43.6</v>
      </c>
      <c r="AD7" s="1">
        <v>69.400000000000006</v>
      </c>
      <c r="AE7" s="1">
        <v>26.6</v>
      </c>
      <c r="AF7" s="1">
        <v>68.8</v>
      </c>
      <c r="AG7" s="1">
        <v>75.599999999999994</v>
      </c>
      <c r="AH7" s="1">
        <v>35.4</v>
      </c>
      <c r="AI7" s="1">
        <v>54.2</v>
      </c>
      <c r="AJ7" s="1">
        <v>62.6</v>
      </c>
      <c r="AK7" s="1">
        <v>55.6</v>
      </c>
      <c r="AL7" s="1">
        <v>41.2</v>
      </c>
      <c r="AM7" s="12" t="s">
        <v>49</v>
      </c>
      <c r="AN7" s="1">
        <f t="shared" ref="AN7:AN70" si="11">H7*V7</f>
        <v>0</v>
      </c>
      <c r="AO7" s="1">
        <f t="shared" ref="AO7:AO70" si="12">H7*Y7</f>
        <v>40</v>
      </c>
    </row>
    <row r="8" spans="1:41" x14ac:dyDescent="0.25">
      <c r="A8" s="1" t="s">
        <v>42</v>
      </c>
      <c r="B8" s="1" t="s">
        <v>36</v>
      </c>
      <c r="C8" s="1">
        <v>220.505</v>
      </c>
      <c r="D8" s="1">
        <v>66.265000000000001</v>
      </c>
      <c r="E8" s="1">
        <v>21.099</v>
      </c>
      <c r="F8" s="1">
        <v>12.848000000000001</v>
      </c>
      <c r="G8" s="1">
        <f>VLOOKUP(A8,[2]TDSheet!$A:$M,9,0)</f>
        <v>8.0419999999999998</v>
      </c>
      <c r="H8" s="7">
        <v>1</v>
      </c>
      <c r="I8" s="1">
        <v>120</v>
      </c>
      <c r="J8" s="1" t="s">
        <v>37</v>
      </c>
      <c r="K8" s="1"/>
      <c r="L8" s="1">
        <v>24.3</v>
      </c>
      <c r="M8" s="1">
        <f t="shared" si="3"/>
        <v>-3.2010000000000005</v>
      </c>
      <c r="N8" s="1">
        <f t="shared" si="5"/>
        <v>17.097999999999999</v>
      </c>
      <c r="O8" s="1">
        <f>VLOOKUP(A8,[3]TDSheet!$A:$AX,7,0)</f>
        <v>4.0010000000000003</v>
      </c>
      <c r="P8" s="1">
        <v>22</v>
      </c>
      <c r="Q8" s="1">
        <v>0</v>
      </c>
      <c r="R8" s="1">
        <f t="shared" si="6"/>
        <v>3.4196</v>
      </c>
      <c r="S8" s="5">
        <f t="shared" ref="S8:S19" si="13">15*R8-Q8-P8-G8-F8</f>
        <v>8.4039999999999946</v>
      </c>
      <c r="T8" s="19">
        <f>VLOOKUP(A8,[1]TDSheet!$D:$J,7,0)</f>
        <v>0.51642644750970512</v>
      </c>
      <c r="U8" s="5">
        <f t="shared" si="7"/>
        <v>4.0639521351284351</v>
      </c>
      <c r="V8" s="5">
        <f t="shared" si="8"/>
        <v>4</v>
      </c>
      <c r="W8" s="5"/>
      <c r="X8" s="5">
        <f t="shared" si="9"/>
        <v>4.3400478648715595</v>
      </c>
      <c r="Y8" s="5">
        <v>50</v>
      </c>
      <c r="Z8" s="5">
        <f>VLOOKUP(A8,[4]Sheet!$A:$X,24,0)</f>
        <v>150</v>
      </c>
      <c r="AA8" s="1">
        <f t="shared" si="10"/>
        <v>28.333723242484503</v>
      </c>
      <c r="AB8" s="1">
        <f t="shared" si="4"/>
        <v>12.542402620189495</v>
      </c>
      <c r="AC8" s="1">
        <v>3.7907999999999999</v>
      </c>
      <c r="AD8" s="1">
        <v>3.9006000000000012</v>
      </c>
      <c r="AE8" s="1">
        <v>3.4222000000000001</v>
      </c>
      <c r="AF8" s="1">
        <v>5.2168000000000001</v>
      </c>
      <c r="AG8" s="1">
        <v>4.2012</v>
      </c>
      <c r="AH8" s="1">
        <v>3.2757999999999998</v>
      </c>
      <c r="AI8" s="1">
        <v>0.29959999999999998</v>
      </c>
      <c r="AJ8" s="1">
        <v>0.99220000000000008</v>
      </c>
      <c r="AK8" s="1">
        <v>4.3465999999999996</v>
      </c>
      <c r="AL8" s="1">
        <v>1.4268000000000001</v>
      </c>
      <c r="AM8" s="1" t="s">
        <v>44</v>
      </c>
      <c r="AN8" s="1">
        <f t="shared" si="11"/>
        <v>4</v>
      </c>
      <c r="AO8" s="1">
        <f t="shared" si="12"/>
        <v>50</v>
      </c>
    </row>
    <row r="9" spans="1:41" x14ac:dyDescent="0.25">
      <c r="A9" s="1" t="s">
        <v>43</v>
      </c>
      <c r="B9" s="1" t="s">
        <v>40</v>
      </c>
      <c r="C9" s="1">
        <v>306</v>
      </c>
      <c r="D9" s="1">
        <v>320</v>
      </c>
      <c r="E9" s="1">
        <v>247</v>
      </c>
      <c r="F9" s="1">
        <v>71</v>
      </c>
      <c r="G9" s="1">
        <f>VLOOKUP(A9,[2]TDSheet!$A:$M,9,0)</f>
        <v>72</v>
      </c>
      <c r="H9" s="7">
        <v>0.25</v>
      </c>
      <c r="I9" s="1">
        <v>120</v>
      </c>
      <c r="J9" s="1" t="s">
        <v>37</v>
      </c>
      <c r="K9" s="1"/>
      <c r="L9" s="1">
        <v>274</v>
      </c>
      <c r="M9" s="1">
        <f t="shared" si="3"/>
        <v>-27</v>
      </c>
      <c r="N9" s="1">
        <f t="shared" si="5"/>
        <v>175</v>
      </c>
      <c r="O9" s="1">
        <f>VLOOKUP(A9,[3]TDSheet!$A:$AX,7,0)</f>
        <v>72</v>
      </c>
      <c r="P9" s="1">
        <v>744</v>
      </c>
      <c r="Q9" s="1">
        <v>0</v>
      </c>
      <c r="R9" s="1">
        <f t="shared" si="6"/>
        <v>35</v>
      </c>
      <c r="S9" s="5"/>
      <c r="T9" s="19">
        <f>VLOOKUP(A9,[1]TDSheet!$D:$J,7,0)</f>
        <v>0.4478442280945758</v>
      </c>
      <c r="U9" s="5">
        <f t="shared" si="7"/>
        <v>0</v>
      </c>
      <c r="V9" s="5">
        <f t="shared" si="8"/>
        <v>0</v>
      </c>
      <c r="W9" s="5"/>
      <c r="X9" s="5">
        <f t="shared" si="9"/>
        <v>0</v>
      </c>
      <c r="Y9" s="5">
        <v>50</v>
      </c>
      <c r="Z9" s="5">
        <f>VLOOKUP(A9,[4]Sheet!$A:$X,24,0)</f>
        <v>50</v>
      </c>
      <c r="AA9" s="1">
        <f t="shared" si="10"/>
        <v>26.771428571428572</v>
      </c>
      <c r="AB9" s="1">
        <f t="shared" si="4"/>
        <v>25.342857142857142</v>
      </c>
      <c r="AC9" s="1">
        <v>54</v>
      </c>
      <c r="AD9" s="1">
        <v>88</v>
      </c>
      <c r="AE9" s="1">
        <v>23.2</v>
      </c>
      <c r="AF9" s="1">
        <v>97.8</v>
      </c>
      <c r="AG9" s="1">
        <v>70</v>
      </c>
      <c r="AH9" s="1">
        <v>29.8</v>
      </c>
      <c r="AI9" s="1">
        <v>37.4</v>
      </c>
      <c r="AJ9" s="1">
        <v>61.4</v>
      </c>
      <c r="AK9" s="1">
        <v>31.4</v>
      </c>
      <c r="AL9" s="1">
        <v>25</v>
      </c>
      <c r="AM9" s="15" t="s">
        <v>178</v>
      </c>
      <c r="AN9" s="1">
        <f t="shared" si="11"/>
        <v>0</v>
      </c>
      <c r="AO9" s="1">
        <f t="shared" si="12"/>
        <v>12.5</v>
      </c>
    </row>
    <row r="10" spans="1:41" x14ac:dyDescent="0.25">
      <c r="A10" s="1" t="s">
        <v>45</v>
      </c>
      <c r="B10" s="1" t="s">
        <v>36</v>
      </c>
      <c r="C10" s="1">
        <v>1012.8579999999999</v>
      </c>
      <c r="D10" s="1">
        <v>1340.066</v>
      </c>
      <c r="E10" s="1">
        <v>234.31299999999999</v>
      </c>
      <c r="F10" s="1">
        <v>378.79399999999998</v>
      </c>
      <c r="G10" s="1">
        <f>VLOOKUP(A10,[2]TDSheet!$A:$M,9,0)</f>
        <v>169.85499999999999</v>
      </c>
      <c r="H10" s="7">
        <v>1</v>
      </c>
      <c r="I10" s="1">
        <v>60</v>
      </c>
      <c r="J10" s="1" t="s">
        <v>37</v>
      </c>
      <c r="K10" s="1"/>
      <c r="L10" s="1">
        <v>237.4</v>
      </c>
      <c r="M10" s="1">
        <f t="shared" si="3"/>
        <v>-3.0870000000000175</v>
      </c>
      <c r="N10" s="1">
        <f t="shared" si="5"/>
        <v>169.541</v>
      </c>
      <c r="O10" s="1">
        <f>VLOOKUP(A10,[3]TDSheet!$A:$AX,7,0)</f>
        <v>64.772000000000006</v>
      </c>
      <c r="P10" s="1">
        <v>100</v>
      </c>
      <c r="Q10" s="1">
        <v>0</v>
      </c>
      <c r="R10" s="1">
        <f t="shared" si="6"/>
        <v>33.908200000000001</v>
      </c>
      <c r="S10" s="5"/>
      <c r="T10" s="19">
        <f>VLOOKUP(A10,[1]TDSheet!$D:$J,7,0)</f>
        <v>0.63715226215226217</v>
      </c>
      <c r="U10" s="5">
        <f t="shared" si="7"/>
        <v>0</v>
      </c>
      <c r="V10" s="5">
        <f t="shared" si="8"/>
        <v>0</v>
      </c>
      <c r="W10" s="5"/>
      <c r="X10" s="5">
        <f t="shared" si="9"/>
        <v>0</v>
      </c>
      <c r="Y10" s="5">
        <v>250</v>
      </c>
      <c r="Z10" s="5">
        <f>VLOOKUP(A10,[4]Sheet!$A:$X,24,0)</f>
        <v>300</v>
      </c>
      <c r="AA10" s="1">
        <f t="shared" si="10"/>
        <v>26.502409446682513</v>
      </c>
      <c r="AB10" s="1">
        <f t="shared" si="4"/>
        <v>19.129561580974514</v>
      </c>
      <c r="AC10" s="1">
        <v>44.263199999999998</v>
      </c>
      <c r="AD10" s="1">
        <v>46.027599999999993</v>
      </c>
      <c r="AE10" s="1">
        <v>57.752200000000002</v>
      </c>
      <c r="AF10" s="1">
        <v>47.667999999999999</v>
      </c>
      <c r="AG10" s="1">
        <v>71.5244</v>
      </c>
      <c r="AH10" s="1">
        <v>59.996400000000008</v>
      </c>
      <c r="AI10" s="1">
        <v>49.260599999999997</v>
      </c>
      <c r="AJ10" s="1">
        <v>56.257199999999997</v>
      </c>
      <c r="AK10" s="1">
        <v>69.917000000000002</v>
      </c>
      <c r="AL10" s="1">
        <v>42.271000000000001</v>
      </c>
      <c r="AM10" s="15" t="s">
        <v>41</v>
      </c>
      <c r="AN10" s="1">
        <f t="shared" si="11"/>
        <v>0</v>
      </c>
      <c r="AO10" s="1">
        <f t="shared" si="12"/>
        <v>250</v>
      </c>
    </row>
    <row r="11" spans="1:41" x14ac:dyDescent="0.25">
      <c r="A11" s="1" t="s">
        <v>46</v>
      </c>
      <c r="B11" s="1" t="s">
        <v>36</v>
      </c>
      <c r="C11" s="1">
        <v>108.30800000000001</v>
      </c>
      <c r="D11" s="1">
        <v>90.453000000000003</v>
      </c>
      <c r="E11" s="1">
        <v>16.155999999999999</v>
      </c>
      <c r="F11" s="1">
        <v>32.4</v>
      </c>
      <c r="G11" s="1">
        <f>VLOOKUP(A11,[2]TDSheet!$A:$M,9,0)</f>
        <v>28.311</v>
      </c>
      <c r="H11" s="7">
        <v>1</v>
      </c>
      <c r="I11" s="1">
        <v>120</v>
      </c>
      <c r="J11" s="1" t="s">
        <v>37</v>
      </c>
      <c r="K11" s="1"/>
      <c r="L11" s="1">
        <v>22.2</v>
      </c>
      <c r="M11" s="1">
        <f t="shared" si="3"/>
        <v>-6.0440000000000005</v>
      </c>
      <c r="N11" s="1">
        <f t="shared" si="5"/>
        <v>16.155999999999999</v>
      </c>
      <c r="O11" s="1"/>
      <c r="P11" s="1">
        <v>0</v>
      </c>
      <c r="Q11" s="1">
        <v>0</v>
      </c>
      <c r="R11" s="1">
        <f t="shared" si="6"/>
        <v>3.2311999999999999</v>
      </c>
      <c r="S11" s="5"/>
      <c r="T11" s="19">
        <f>VLOOKUP(A11,[1]TDSheet!$D:$J,7,0)</f>
        <v>0.67659440419256001</v>
      </c>
      <c r="U11" s="5">
        <f t="shared" si="7"/>
        <v>0</v>
      </c>
      <c r="V11" s="5">
        <f t="shared" si="8"/>
        <v>0</v>
      </c>
      <c r="W11" s="5"/>
      <c r="X11" s="5">
        <f t="shared" si="9"/>
        <v>0</v>
      </c>
      <c r="Y11" s="5">
        <f t="shared" ref="Y11:Y69" si="14">ROUND(X11,0)</f>
        <v>0</v>
      </c>
      <c r="Z11" s="5"/>
      <c r="AA11" s="1">
        <f t="shared" si="10"/>
        <v>18.788994800693242</v>
      </c>
      <c r="AB11" s="1">
        <f t="shared" si="4"/>
        <v>18.788994800693242</v>
      </c>
      <c r="AC11" s="1">
        <v>2.4188000000000001</v>
      </c>
      <c r="AD11" s="1">
        <v>4.3449999999999998</v>
      </c>
      <c r="AE11" s="1">
        <v>4.2176</v>
      </c>
      <c r="AF11" s="1">
        <v>10.532</v>
      </c>
      <c r="AG11" s="1">
        <v>6.9102000000000006</v>
      </c>
      <c r="AH11" s="1">
        <v>4.5746000000000002</v>
      </c>
      <c r="AI11" s="1">
        <v>8.6004000000000005</v>
      </c>
      <c r="AJ11" s="1">
        <v>5.0928000000000004</v>
      </c>
      <c r="AK11" s="1">
        <v>2.7075999999999998</v>
      </c>
      <c r="AL11" s="1">
        <v>4.4042000000000003</v>
      </c>
      <c r="AM11" s="15" t="s">
        <v>178</v>
      </c>
      <c r="AN11" s="1">
        <f t="shared" si="11"/>
        <v>0</v>
      </c>
      <c r="AO11" s="1">
        <f t="shared" si="12"/>
        <v>0</v>
      </c>
    </row>
    <row r="12" spans="1:41" x14ac:dyDescent="0.25">
      <c r="A12" s="1" t="s">
        <v>47</v>
      </c>
      <c r="B12" s="1" t="s">
        <v>36</v>
      </c>
      <c r="C12" s="1">
        <v>109.43300000000001</v>
      </c>
      <c r="D12" s="1">
        <v>26.465</v>
      </c>
      <c r="E12" s="1">
        <v>38.902999999999999</v>
      </c>
      <c r="F12" s="1">
        <v>28.4</v>
      </c>
      <c r="G12" s="1">
        <f>VLOOKUP(A12,[2]TDSheet!$A:$M,9,0)</f>
        <v>40.392000000000003</v>
      </c>
      <c r="H12" s="7">
        <v>1</v>
      </c>
      <c r="I12" s="1">
        <v>60</v>
      </c>
      <c r="J12" s="1" t="s">
        <v>37</v>
      </c>
      <c r="K12" s="1"/>
      <c r="L12" s="1">
        <v>51.1</v>
      </c>
      <c r="M12" s="1">
        <f t="shared" si="3"/>
        <v>-12.197000000000003</v>
      </c>
      <c r="N12" s="1">
        <f t="shared" si="5"/>
        <v>38.902999999999999</v>
      </c>
      <c r="O12" s="1"/>
      <c r="P12" s="1">
        <v>0</v>
      </c>
      <c r="Q12" s="1">
        <v>0</v>
      </c>
      <c r="R12" s="1">
        <f t="shared" si="6"/>
        <v>7.7805999999999997</v>
      </c>
      <c r="S12" s="5">
        <f t="shared" si="13"/>
        <v>47.917000000000009</v>
      </c>
      <c r="T12" s="19">
        <f>VLOOKUP(A12,[1]TDSheet!$D:$J,7,0)</f>
        <v>0.64048501759638832</v>
      </c>
      <c r="U12" s="5">
        <f t="shared" si="7"/>
        <v>17.226879411833863</v>
      </c>
      <c r="V12" s="5">
        <f>W12</f>
        <v>70</v>
      </c>
      <c r="W12" s="5">
        <f>VLOOKUP(A12,[4]Sheet!$A:$V,22,0)</f>
        <v>70</v>
      </c>
      <c r="X12" s="5">
        <f t="shared" si="9"/>
        <v>30.690120588166145</v>
      </c>
      <c r="Y12" s="5">
        <v>100</v>
      </c>
      <c r="Z12" s="5">
        <f>VLOOKUP(A12,[4]Sheet!$A:$X,24,0)</f>
        <v>100</v>
      </c>
      <c r="AA12" s="1">
        <f t="shared" si="10"/>
        <v>30.690692234532044</v>
      </c>
      <c r="AB12" s="1">
        <f t="shared" si="4"/>
        <v>8.8414775210138039</v>
      </c>
      <c r="AC12" s="1">
        <v>1.5187999999999999</v>
      </c>
      <c r="AD12" s="1">
        <v>6.2080000000000002</v>
      </c>
      <c r="AE12" s="1">
        <v>8.642199999999999</v>
      </c>
      <c r="AF12" s="1">
        <v>5.4014000000000006</v>
      </c>
      <c r="AG12" s="1">
        <v>2.4533999999999998</v>
      </c>
      <c r="AH12" s="1">
        <v>4.0156000000000001</v>
      </c>
      <c r="AI12" s="1">
        <v>8.7403999999999993</v>
      </c>
      <c r="AJ12" s="1">
        <v>3.5335999999999999</v>
      </c>
      <c r="AK12" s="1">
        <v>3.8138000000000001</v>
      </c>
      <c r="AL12" s="1">
        <v>0.81980000000000008</v>
      </c>
      <c r="AM12" s="1"/>
      <c r="AN12" s="1">
        <f t="shared" si="11"/>
        <v>70</v>
      </c>
      <c r="AO12" s="1">
        <f t="shared" si="12"/>
        <v>100</v>
      </c>
    </row>
    <row r="13" spans="1:41" x14ac:dyDescent="0.25">
      <c r="A13" s="1" t="s">
        <v>48</v>
      </c>
      <c r="B13" s="1" t="s">
        <v>36</v>
      </c>
      <c r="C13" s="1">
        <v>959.14499999999998</v>
      </c>
      <c r="D13" s="1">
        <v>841.68799999999999</v>
      </c>
      <c r="E13" s="1">
        <v>229.1</v>
      </c>
      <c r="F13" s="1">
        <v>228.285</v>
      </c>
      <c r="G13" s="1">
        <f>VLOOKUP(A13,[2]TDSheet!$A:$M,9,0)</f>
        <v>293.66199999999998</v>
      </c>
      <c r="H13" s="7">
        <v>1</v>
      </c>
      <c r="I13" s="1">
        <v>60</v>
      </c>
      <c r="J13" s="1" t="s">
        <v>37</v>
      </c>
      <c r="K13" s="1"/>
      <c r="L13" s="1">
        <v>222</v>
      </c>
      <c r="M13" s="1">
        <f t="shared" si="3"/>
        <v>7.0999999999999943</v>
      </c>
      <c r="N13" s="1">
        <f t="shared" si="5"/>
        <v>176.15899999999999</v>
      </c>
      <c r="O13" s="1">
        <f>VLOOKUP(A13,[3]TDSheet!$A:$AX,7,0)</f>
        <v>52.941000000000003</v>
      </c>
      <c r="P13" s="1">
        <v>100</v>
      </c>
      <c r="Q13" s="1">
        <v>0</v>
      </c>
      <c r="R13" s="1">
        <f t="shared" si="6"/>
        <v>35.2318</v>
      </c>
      <c r="S13" s="5"/>
      <c r="T13" s="19">
        <f>VLOOKUP(A13,[1]TDSheet!$D:$J,7,0)</f>
        <v>0.72316201488996323</v>
      </c>
      <c r="U13" s="5">
        <f t="shared" si="7"/>
        <v>0</v>
      </c>
      <c r="V13" s="5">
        <f t="shared" si="8"/>
        <v>0</v>
      </c>
      <c r="W13" s="5"/>
      <c r="X13" s="5">
        <f t="shared" si="9"/>
        <v>0</v>
      </c>
      <c r="Y13" s="5">
        <v>100</v>
      </c>
      <c r="Z13" s="5">
        <f>VLOOKUP(A13,[4]Sheet!$A:$X,24,0)</f>
        <v>150</v>
      </c>
      <c r="AA13" s="1">
        <f t="shared" si="10"/>
        <v>20.491345886386732</v>
      </c>
      <c r="AB13" s="1">
        <f t="shared" si="4"/>
        <v>17.653000982067336</v>
      </c>
      <c r="AC13" s="1">
        <v>38.9786</v>
      </c>
      <c r="AD13" s="1">
        <v>46.416999999999987</v>
      </c>
      <c r="AE13" s="1">
        <v>60.004800000000003</v>
      </c>
      <c r="AF13" s="1">
        <v>59.633799999999987</v>
      </c>
      <c r="AG13" s="1">
        <v>64.598800000000011</v>
      </c>
      <c r="AH13" s="1">
        <v>47.507800000000003</v>
      </c>
      <c r="AI13" s="1">
        <v>63.072600000000001</v>
      </c>
      <c r="AJ13" s="1">
        <v>49.145600000000002</v>
      </c>
      <c r="AK13" s="1">
        <v>63.110400000000013</v>
      </c>
      <c r="AL13" s="1">
        <v>35.663600000000002</v>
      </c>
      <c r="AM13" s="12" t="s">
        <v>49</v>
      </c>
      <c r="AN13" s="1">
        <f t="shared" si="11"/>
        <v>0</v>
      </c>
      <c r="AO13" s="1">
        <f t="shared" si="12"/>
        <v>100</v>
      </c>
    </row>
    <row r="14" spans="1:41" x14ac:dyDescent="0.25">
      <c r="A14" s="1" t="s">
        <v>50</v>
      </c>
      <c r="B14" s="1" t="s">
        <v>40</v>
      </c>
      <c r="C14" s="1">
        <v>391</v>
      </c>
      <c r="D14" s="1">
        <v>564</v>
      </c>
      <c r="E14" s="1">
        <v>176</v>
      </c>
      <c r="F14" s="1">
        <v>132</v>
      </c>
      <c r="G14" s="1">
        <f>VLOOKUP(A14,[2]TDSheet!$A:$M,9,0)</f>
        <v>126</v>
      </c>
      <c r="H14" s="7">
        <v>0.25</v>
      </c>
      <c r="I14" s="1">
        <v>120</v>
      </c>
      <c r="J14" s="1" t="s">
        <v>37</v>
      </c>
      <c r="K14" s="1"/>
      <c r="L14" s="1">
        <v>203</v>
      </c>
      <c r="M14" s="1">
        <f t="shared" si="3"/>
        <v>-27</v>
      </c>
      <c r="N14" s="1">
        <f t="shared" si="5"/>
        <v>112</v>
      </c>
      <c r="O14" s="1">
        <f>VLOOKUP(A14,[3]TDSheet!$A:$AX,7,0)</f>
        <v>64</v>
      </c>
      <c r="P14" s="1">
        <v>142</v>
      </c>
      <c r="Q14" s="1">
        <v>0</v>
      </c>
      <c r="R14" s="1">
        <f t="shared" si="6"/>
        <v>22.4</v>
      </c>
      <c r="S14" s="5"/>
      <c r="T14" s="19">
        <f>VLOOKUP(A14,[1]TDSheet!$D:$J,7,0)</f>
        <v>0.67886178861788615</v>
      </c>
      <c r="U14" s="5">
        <f t="shared" si="7"/>
        <v>0</v>
      </c>
      <c r="V14" s="5">
        <f t="shared" si="8"/>
        <v>0</v>
      </c>
      <c r="W14" s="5"/>
      <c r="X14" s="5">
        <f t="shared" si="9"/>
        <v>0</v>
      </c>
      <c r="Y14" s="5">
        <v>50</v>
      </c>
      <c r="Z14" s="5">
        <f>VLOOKUP(A14,[4]Sheet!$A:$X,24,0)</f>
        <v>50</v>
      </c>
      <c r="AA14" s="1">
        <f t="shared" si="10"/>
        <v>20.089285714285715</v>
      </c>
      <c r="AB14" s="1">
        <f t="shared" si="4"/>
        <v>17.857142857142858</v>
      </c>
      <c r="AC14" s="1">
        <v>29.2</v>
      </c>
      <c r="AD14" s="1">
        <v>44.6</v>
      </c>
      <c r="AE14" s="1">
        <v>30.6</v>
      </c>
      <c r="AF14" s="1">
        <v>70.400000000000006</v>
      </c>
      <c r="AG14" s="1">
        <v>62</v>
      </c>
      <c r="AH14" s="1">
        <v>37</v>
      </c>
      <c r="AI14" s="1">
        <v>33</v>
      </c>
      <c r="AJ14" s="1">
        <v>47.4</v>
      </c>
      <c r="AK14" s="1">
        <v>53.6</v>
      </c>
      <c r="AL14" s="1">
        <v>24.2</v>
      </c>
      <c r="AM14" s="1" t="s">
        <v>44</v>
      </c>
      <c r="AN14" s="1">
        <f t="shared" si="11"/>
        <v>0</v>
      </c>
      <c r="AO14" s="1">
        <f t="shared" si="12"/>
        <v>12.5</v>
      </c>
    </row>
    <row r="15" spans="1:41" x14ac:dyDescent="0.25">
      <c r="A15" s="1" t="s">
        <v>51</v>
      </c>
      <c r="B15" s="1" t="s">
        <v>36</v>
      </c>
      <c r="C15" s="1">
        <v>313.59500000000003</v>
      </c>
      <c r="D15" s="1">
        <v>446.91899999999998</v>
      </c>
      <c r="E15" s="1">
        <v>76.566999999999993</v>
      </c>
      <c r="F15" s="1">
        <v>10.881</v>
      </c>
      <c r="G15" s="1">
        <f>VLOOKUP(A15,[2]TDSheet!$A:$M,9,0)</f>
        <v>61.256999999999998</v>
      </c>
      <c r="H15" s="7">
        <v>1</v>
      </c>
      <c r="I15" s="1">
        <v>60</v>
      </c>
      <c r="J15" s="1" t="s">
        <v>37</v>
      </c>
      <c r="K15" s="1"/>
      <c r="L15" s="1">
        <v>70.3</v>
      </c>
      <c r="M15" s="1">
        <f t="shared" si="3"/>
        <v>6.2669999999999959</v>
      </c>
      <c r="N15" s="1">
        <f t="shared" si="5"/>
        <v>51.840999999999994</v>
      </c>
      <c r="O15" s="1">
        <f>VLOOKUP(A15,[3]TDSheet!$A:$AX,7,0)</f>
        <v>24.725999999999999</v>
      </c>
      <c r="P15" s="1">
        <v>0</v>
      </c>
      <c r="Q15" s="1">
        <v>120</v>
      </c>
      <c r="R15" s="1">
        <f t="shared" si="6"/>
        <v>10.368199999999998</v>
      </c>
      <c r="S15" s="5"/>
      <c r="T15" s="19">
        <f>VLOOKUP(A15,[1]TDSheet!$D:$J,7,0)</f>
        <v>0.75044648655669566</v>
      </c>
      <c r="U15" s="5">
        <f t="shared" si="7"/>
        <v>0</v>
      </c>
      <c r="V15" s="5">
        <f t="shared" si="8"/>
        <v>0</v>
      </c>
      <c r="W15" s="5"/>
      <c r="X15" s="5">
        <f t="shared" si="9"/>
        <v>0</v>
      </c>
      <c r="Y15" s="5">
        <f t="shared" si="14"/>
        <v>0</v>
      </c>
      <c r="Z15" s="5"/>
      <c r="AA15" s="1">
        <f t="shared" si="10"/>
        <v>18.531471229335857</v>
      </c>
      <c r="AB15" s="1">
        <f t="shared" si="4"/>
        <v>18.531471229335857</v>
      </c>
      <c r="AC15" s="1">
        <v>12.847799999999999</v>
      </c>
      <c r="AD15" s="1">
        <v>13.256399999999999</v>
      </c>
      <c r="AE15" s="1">
        <v>14.061199999999999</v>
      </c>
      <c r="AF15" s="1">
        <v>19.492999999999999</v>
      </c>
      <c r="AG15" s="1">
        <v>0.47199999999999998</v>
      </c>
      <c r="AH15" s="1">
        <v>8.4016000000000002</v>
      </c>
      <c r="AI15" s="1">
        <v>26.634799999999998</v>
      </c>
      <c r="AJ15" s="1">
        <v>14.544</v>
      </c>
      <c r="AK15" s="1">
        <v>9.7308000000000003</v>
      </c>
      <c r="AL15" s="1">
        <v>0.81180000000000008</v>
      </c>
      <c r="AM15" s="1"/>
      <c r="AN15" s="1">
        <f t="shared" si="11"/>
        <v>0</v>
      </c>
      <c r="AO15" s="1">
        <f t="shared" si="12"/>
        <v>0</v>
      </c>
    </row>
    <row r="16" spans="1:41" x14ac:dyDescent="0.25">
      <c r="A16" s="1" t="s">
        <v>52</v>
      </c>
      <c r="B16" s="1" t="s">
        <v>40</v>
      </c>
      <c r="C16" s="1">
        <v>407</v>
      </c>
      <c r="D16" s="1">
        <v>508</v>
      </c>
      <c r="E16" s="1">
        <v>277</v>
      </c>
      <c r="F16" s="1">
        <v>50</v>
      </c>
      <c r="G16" s="1">
        <f>VLOOKUP(A16,[2]TDSheet!$A:$M,9,0)</f>
        <v>127</v>
      </c>
      <c r="H16" s="7">
        <v>0.25</v>
      </c>
      <c r="I16" s="1">
        <v>120</v>
      </c>
      <c r="J16" s="1" t="s">
        <v>37</v>
      </c>
      <c r="K16" s="1"/>
      <c r="L16" s="1">
        <v>304</v>
      </c>
      <c r="M16" s="1">
        <f t="shared" si="3"/>
        <v>-27</v>
      </c>
      <c r="N16" s="1">
        <f t="shared" si="5"/>
        <v>165</v>
      </c>
      <c r="O16" s="1">
        <f>VLOOKUP(A16,[3]TDSheet!$A:$AX,7,0)</f>
        <v>112</v>
      </c>
      <c r="P16" s="1">
        <v>542</v>
      </c>
      <c r="Q16" s="1">
        <v>150</v>
      </c>
      <c r="R16" s="1">
        <f t="shared" si="6"/>
        <v>33</v>
      </c>
      <c r="S16" s="5"/>
      <c r="T16" s="19">
        <f>VLOOKUP(A16,[1]TDSheet!$D:$J,7,0)</f>
        <v>0.49424552429667518</v>
      </c>
      <c r="U16" s="5">
        <f t="shared" si="7"/>
        <v>0</v>
      </c>
      <c r="V16" s="5">
        <f t="shared" si="8"/>
        <v>0</v>
      </c>
      <c r="W16" s="5"/>
      <c r="X16" s="5">
        <f t="shared" si="9"/>
        <v>0</v>
      </c>
      <c r="Y16" s="5">
        <v>50</v>
      </c>
      <c r="Z16" s="5">
        <f>VLOOKUP(A16,[4]Sheet!$A:$X,24,0)</f>
        <v>50</v>
      </c>
      <c r="AA16" s="1">
        <f t="shared" si="10"/>
        <v>27.848484848484848</v>
      </c>
      <c r="AB16" s="1">
        <f t="shared" si="4"/>
        <v>26.333333333333332</v>
      </c>
      <c r="AC16" s="1">
        <v>59.2</v>
      </c>
      <c r="AD16" s="1">
        <v>82.6</v>
      </c>
      <c r="AE16" s="1">
        <v>19.600000000000001</v>
      </c>
      <c r="AF16" s="1">
        <v>119.2</v>
      </c>
      <c r="AG16" s="1">
        <v>76</v>
      </c>
      <c r="AH16" s="1">
        <v>40.200000000000003</v>
      </c>
      <c r="AI16" s="1">
        <v>40.4</v>
      </c>
      <c r="AJ16" s="1">
        <v>55.8</v>
      </c>
      <c r="AK16" s="1">
        <v>48.2</v>
      </c>
      <c r="AL16" s="1">
        <v>24.2</v>
      </c>
      <c r="AM16" s="15" t="s">
        <v>178</v>
      </c>
      <c r="AN16" s="1">
        <f t="shared" si="11"/>
        <v>0</v>
      </c>
      <c r="AO16" s="1">
        <f t="shared" si="12"/>
        <v>12.5</v>
      </c>
    </row>
    <row r="17" spans="1:41" x14ac:dyDescent="0.25">
      <c r="A17" s="1" t="s">
        <v>53</v>
      </c>
      <c r="B17" s="1" t="s">
        <v>40</v>
      </c>
      <c r="C17" s="1">
        <v>417</v>
      </c>
      <c r="D17" s="1">
        <v>323</v>
      </c>
      <c r="E17" s="1">
        <v>196</v>
      </c>
      <c r="F17" s="1">
        <v>145</v>
      </c>
      <c r="G17" s="1">
        <f>VLOOKUP(A17,[2]TDSheet!$A:$M,9,0)</f>
        <v>150</v>
      </c>
      <c r="H17" s="7">
        <v>0.4</v>
      </c>
      <c r="I17" s="1">
        <v>60</v>
      </c>
      <c r="J17" s="1" t="s">
        <v>37</v>
      </c>
      <c r="K17" s="1"/>
      <c r="L17" s="1">
        <v>196</v>
      </c>
      <c r="M17" s="1">
        <f t="shared" si="3"/>
        <v>0</v>
      </c>
      <c r="N17" s="1">
        <f t="shared" si="5"/>
        <v>124</v>
      </c>
      <c r="O17" s="1">
        <f>VLOOKUP(A17,[3]TDSheet!$A:$AX,7,0)</f>
        <v>72</v>
      </c>
      <c r="P17" s="1">
        <v>0</v>
      </c>
      <c r="Q17" s="1">
        <v>170</v>
      </c>
      <c r="R17" s="1">
        <f t="shared" si="6"/>
        <v>24.8</v>
      </c>
      <c r="S17" s="5"/>
      <c r="T17" s="19">
        <f>VLOOKUP(A17,[1]TDSheet!$D:$J,7,0)</f>
        <v>0.47460087082728591</v>
      </c>
      <c r="U17" s="5">
        <f t="shared" si="7"/>
        <v>0</v>
      </c>
      <c r="V17" s="5">
        <f t="shared" si="8"/>
        <v>0</v>
      </c>
      <c r="W17" s="5"/>
      <c r="X17" s="5">
        <f t="shared" si="9"/>
        <v>0</v>
      </c>
      <c r="Y17" s="5">
        <v>50</v>
      </c>
      <c r="Z17" s="5">
        <f>VLOOKUP(A17,[4]Sheet!$A:$X,24,0)</f>
        <v>50</v>
      </c>
      <c r="AA17" s="1">
        <f t="shared" si="10"/>
        <v>20.766129032258064</v>
      </c>
      <c r="AB17" s="1">
        <f t="shared" si="4"/>
        <v>18.75</v>
      </c>
      <c r="AC17" s="1">
        <v>33.200000000000003</v>
      </c>
      <c r="AD17" s="1">
        <v>37.6</v>
      </c>
      <c r="AE17" s="1">
        <v>7.4</v>
      </c>
      <c r="AF17" s="1">
        <v>43.8</v>
      </c>
      <c r="AG17" s="1">
        <v>40</v>
      </c>
      <c r="AH17" s="1">
        <v>24.6</v>
      </c>
      <c r="AI17" s="1">
        <v>22.8</v>
      </c>
      <c r="AJ17" s="1">
        <v>36.799999999999997</v>
      </c>
      <c r="AK17" s="1">
        <v>37</v>
      </c>
      <c r="AL17" s="1">
        <v>34.799999999999997</v>
      </c>
      <c r="AM17" s="1"/>
      <c r="AN17" s="1">
        <f t="shared" si="11"/>
        <v>0</v>
      </c>
      <c r="AO17" s="1">
        <f t="shared" si="12"/>
        <v>20</v>
      </c>
    </row>
    <row r="18" spans="1:41" x14ac:dyDescent="0.25">
      <c r="A18" s="1" t="s">
        <v>54</v>
      </c>
      <c r="B18" s="1" t="s">
        <v>36</v>
      </c>
      <c r="C18" s="1">
        <v>136.60400000000001</v>
      </c>
      <c r="D18" s="1">
        <v>350.005</v>
      </c>
      <c r="E18" s="1">
        <v>149.24799999999999</v>
      </c>
      <c r="F18" s="1">
        <v>1.724</v>
      </c>
      <c r="G18" s="1"/>
      <c r="H18" s="7">
        <v>1</v>
      </c>
      <c r="I18" s="1">
        <v>45</v>
      </c>
      <c r="J18" s="1" t="s">
        <v>37</v>
      </c>
      <c r="K18" s="1"/>
      <c r="L18" s="1">
        <v>267.04700000000003</v>
      </c>
      <c r="M18" s="1">
        <f t="shared" si="3"/>
        <v>-117.79900000000004</v>
      </c>
      <c r="N18" s="1">
        <f t="shared" si="5"/>
        <v>149.24799999999999</v>
      </c>
      <c r="O18" s="1"/>
      <c r="P18" s="1">
        <v>500</v>
      </c>
      <c r="Q18" s="1">
        <v>19</v>
      </c>
      <c r="R18" s="1">
        <f t="shared" si="6"/>
        <v>29.849599999999999</v>
      </c>
      <c r="S18" s="5"/>
      <c r="T18" s="19">
        <f>VLOOKUP(A18,[1]TDSheet!$D:$J,7,0)</f>
        <v>0.46306756150407541</v>
      </c>
      <c r="U18" s="5">
        <f t="shared" si="7"/>
        <v>0</v>
      </c>
      <c r="V18" s="5">
        <f t="shared" si="8"/>
        <v>0</v>
      </c>
      <c r="W18" s="5"/>
      <c r="X18" s="5">
        <f t="shared" si="9"/>
        <v>0</v>
      </c>
      <c r="Y18" s="5">
        <v>200</v>
      </c>
      <c r="Z18" s="5">
        <f>VLOOKUP(A18,[4]Sheet!$A:$X,24,0)</f>
        <v>200</v>
      </c>
      <c r="AA18" s="1">
        <f t="shared" si="10"/>
        <v>24.145181174957116</v>
      </c>
      <c r="AB18" s="1">
        <f t="shared" si="4"/>
        <v>17.444923885077184</v>
      </c>
      <c r="AC18" s="1">
        <v>43.903599999999997</v>
      </c>
      <c r="AD18" s="1">
        <v>54.553999999999988</v>
      </c>
      <c r="AE18" s="1">
        <v>12.0352</v>
      </c>
      <c r="AF18" s="1">
        <v>43.809600000000003</v>
      </c>
      <c r="AG18" s="1">
        <v>38.122</v>
      </c>
      <c r="AH18" s="1">
        <v>31.1738</v>
      </c>
      <c r="AI18" s="1">
        <v>36.706800000000001</v>
      </c>
      <c r="AJ18" s="1">
        <v>45.036999999999999</v>
      </c>
      <c r="AK18" s="1">
        <v>38.583599999999997</v>
      </c>
      <c r="AL18" s="1">
        <v>38.170400000000001</v>
      </c>
      <c r="AM18" s="1"/>
      <c r="AN18" s="1">
        <f t="shared" si="11"/>
        <v>0</v>
      </c>
      <c r="AO18" s="1">
        <f t="shared" si="12"/>
        <v>200</v>
      </c>
    </row>
    <row r="19" spans="1:41" x14ac:dyDescent="0.25">
      <c r="A19" s="1" t="s">
        <v>55</v>
      </c>
      <c r="B19" s="1" t="s">
        <v>36</v>
      </c>
      <c r="C19" s="1">
        <v>60.061</v>
      </c>
      <c r="D19" s="1">
        <v>88.58</v>
      </c>
      <c r="E19" s="1">
        <v>23.347999999999999</v>
      </c>
      <c r="F19" s="1">
        <v>18.379000000000001</v>
      </c>
      <c r="G19" s="1">
        <f>VLOOKUP(A19,[2]TDSheet!$A:$M,9,0)</f>
        <v>16.548999999999999</v>
      </c>
      <c r="H19" s="7">
        <v>1</v>
      </c>
      <c r="I19" s="1">
        <v>120</v>
      </c>
      <c r="J19" s="1" t="s">
        <v>37</v>
      </c>
      <c r="K19" s="1"/>
      <c r="L19" s="1">
        <v>26.2</v>
      </c>
      <c r="M19" s="1">
        <f t="shared" si="3"/>
        <v>-2.8520000000000003</v>
      </c>
      <c r="N19" s="1">
        <f t="shared" si="5"/>
        <v>15.389999999999999</v>
      </c>
      <c r="O19" s="1">
        <f>VLOOKUP(A19,[3]TDSheet!$A:$AX,7,0)</f>
        <v>7.9580000000000002</v>
      </c>
      <c r="P19" s="1">
        <v>0</v>
      </c>
      <c r="Q19" s="1">
        <v>0</v>
      </c>
      <c r="R19" s="1">
        <f t="shared" si="6"/>
        <v>3.0779999999999998</v>
      </c>
      <c r="S19" s="5">
        <f t="shared" si="13"/>
        <v>11.241999999999994</v>
      </c>
      <c r="T19" s="19">
        <f>VLOOKUP(A19,[1]TDSheet!$D:$J,7,0)</f>
        <v>0.67197701996579451</v>
      </c>
      <c r="U19" s="5">
        <f t="shared" si="7"/>
        <v>3.6876343415445358</v>
      </c>
      <c r="V19" s="5">
        <f t="shared" si="8"/>
        <v>4</v>
      </c>
      <c r="W19" s="5"/>
      <c r="X19" s="5">
        <f t="shared" si="9"/>
        <v>7.5543656584554579</v>
      </c>
      <c r="Y19" s="5">
        <f t="shared" si="14"/>
        <v>8</v>
      </c>
      <c r="Z19" s="5"/>
      <c r="AA19" s="1">
        <f t="shared" si="10"/>
        <v>15.246263807667317</v>
      </c>
      <c r="AB19" s="1">
        <f t="shared" si="4"/>
        <v>11.34762833008447</v>
      </c>
      <c r="AC19" s="1">
        <v>1.7467999999999999</v>
      </c>
      <c r="AD19" s="1">
        <v>3.6257999999999999</v>
      </c>
      <c r="AE19" s="1">
        <v>4.1105999999999998</v>
      </c>
      <c r="AF19" s="1">
        <v>11.1694</v>
      </c>
      <c r="AG19" s="1">
        <v>5.2294</v>
      </c>
      <c r="AH19" s="1">
        <v>2.7151999999999998</v>
      </c>
      <c r="AI19" s="1">
        <v>5.2648000000000001</v>
      </c>
      <c r="AJ19" s="1">
        <v>4.2115999999999998</v>
      </c>
      <c r="AK19" s="1">
        <v>3.5571999999999999</v>
      </c>
      <c r="AL19" s="1">
        <v>3.2544</v>
      </c>
      <c r="AM19" s="1" t="s">
        <v>44</v>
      </c>
      <c r="AN19" s="1">
        <f t="shared" si="11"/>
        <v>4</v>
      </c>
      <c r="AO19" s="1">
        <f t="shared" si="12"/>
        <v>8</v>
      </c>
    </row>
    <row r="20" spans="1:41" x14ac:dyDescent="0.25">
      <c r="A20" s="1" t="s">
        <v>56</v>
      </c>
      <c r="B20" s="1" t="s">
        <v>40</v>
      </c>
      <c r="C20" s="1">
        <v>271</v>
      </c>
      <c r="D20" s="1">
        <v>620</v>
      </c>
      <c r="E20" s="1">
        <v>118</v>
      </c>
      <c r="F20" s="1"/>
      <c r="G20" s="1"/>
      <c r="H20" s="7">
        <v>0.4</v>
      </c>
      <c r="I20" s="1">
        <v>45</v>
      </c>
      <c r="J20" s="1" t="s">
        <v>37</v>
      </c>
      <c r="K20" s="1"/>
      <c r="L20" s="1">
        <v>185</v>
      </c>
      <c r="M20" s="1">
        <f t="shared" si="3"/>
        <v>-67</v>
      </c>
      <c r="N20" s="1">
        <f t="shared" si="5"/>
        <v>98</v>
      </c>
      <c r="O20" s="1">
        <f>VLOOKUP(A20,[3]TDSheet!$A:$AX,7,0)</f>
        <v>20</v>
      </c>
      <c r="P20" s="1">
        <v>0</v>
      </c>
      <c r="Q20" s="1">
        <v>40</v>
      </c>
      <c r="R20" s="1">
        <f t="shared" si="6"/>
        <v>19.600000000000001</v>
      </c>
      <c r="S20" s="5">
        <f>10*R20-Q20-P20-G20-F20</f>
        <v>156</v>
      </c>
      <c r="T20" s="19">
        <f>VLOOKUP(A20,[1]TDSheet!$D:$J,7,0)</f>
        <v>1</v>
      </c>
      <c r="U20" s="5">
        <f t="shared" si="7"/>
        <v>0</v>
      </c>
      <c r="V20" s="5">
        <f t="shared" ref="V20:V21" si="15">W20</f>
        <v>100</v>
      </c>
      <c r="W20" s="5">
        <f>VLOOKUP(A20,[4]Sheet!$A:$V,22,0)</f>
        <v>100</v>
      </c>
      <c r="X20" s="5">
        <f t="shared" si="9"/>
        <v>156</v>
      </c>
      <c r="Y20" s="5">
        <v>220</v>
      </c>
      <c r="Z20" s="5">
        <f>VLOOKUP(A20,[4]Sheet!$A:$X,24,0)</f>
        <v>300</v>
      </c>
      <c r="AA20" s="1">
        <f t="shared" si="10"/>
        <v>18.367346938775508</v>
      </c>
      <c r="AB20" s="1">
        <f t="shared" si="4"/>
        <v>2.0408163265306123</v>
      </c>
      <c r="AC20" s="1">
        <v>0.2</v>
      </c>
      <c r="AD20" s="1">
        <v>0</v>
      </c>
      <c r="AE20" s="1">
        <v>0</v>
      </c>
      <c r="AF20" s="1">
        <v>0</v>
      </c>
      <c r="AG20" s="1">
        <v>-1.2</v>
      </c>
      <c r="AH20" s="1">
        <v>-0.2</v>
      </c>
      <c r="AI20" s="1">
        <v>-3.8</v>
      </c>
      <c r="AJ20" s="1">
        <v>-0.2</v>
      </c>
      <c r="AK20" s="1">
        <v>5</v>
      </c>
      <c r="AL20" s="1">
        <v>9.6</v>
      </c>
      <c r="AM20" s="1" t="s">
        <v>181</v>
      </c>
      <c r="AN20" s="1">
        <f t="shared" si="11"/>
        <v>40</v>
      </c>
      <c r="AO20" s="1">
        <f t="shared" si="12"/>
        <v>88</v>
      </c>
    </row>
    <row r="21" spans="1:41" x14ac:dyDescent="0.25">
      <c r="A21" s="1" t="s">
        <v>57</v>
      </c>
      <c r="B21" s="1" t="s">
        <v>36</v>
      </c>
      <c r="C21" s="1">
        <v>193.572</v>
      </c>
      <c r="D21" s="1">
        <v>221.18700000000001</v>
      </c>
      <c r="E21" s="1">
        <v>135.261</v>
      </c>
      <c r="F21" s="1">
        <v>36.090000000000003</v>
      </c>
      <c r="G21" s="1">
        <f>VLOOKUP(A21,[2]TDSheet!$A:$M,9,0)</f>
        <v>40.296999999999997</v>
      </c>
      <c r="H21" s="7">
        <v>1</v>
      </c>
      <c r="I21" s="1">
        <v>60</v>
      </c>
      <c r="J21" s="1" t="s">
        <v>37</v>
      </c>
      <c r="K21" s="1"/>
      <c r="L21" s="1">
        <v>159</v>
      </c>
      <c r="M21" s="1">
        <f t="shared" si="3"/>
        <v>-23.739000000000004</v>
      </c>
      <c r="N21" s="1">
        <f t="shared" si="5"/>
        <v>135.261</v>
      </c>
      <c r="O21" s="1"/>
      <c r="P21" s="1">
        <v>300</v>
      </c>
      <c r="Q21" s="1">
        <v>40</v>
      </c>
      <c r="R21" s="1">
        <f t="shared" si="6"/>
        <v>27.052199999999999</v>
      </c>
      <c r="S21" s="5"/>
      <c r="T21" s="19">
        <f>VLOOKUP(A21,[1]TDSheet!$D:$J,7,0)</f>
        <v>0.55205808835300629</v>
      </c>
      <c r="U21" s="5">
        <f t="shared" si="7"/>
        <v>0</v>
      </c>
      <c r="V21" s="5">
        <f t="shared" si="15"/>
        <v>50</v>
      </c>
      <c r="W21" s="5">
        <f>VLOOKUP(A21,[4]Sheet!$A:$V,22,0)</f>
        <v>50</v>
      </c>
      <c r="X21" s="5">
        <f t="shared" si="9"/>
        <v>0</v>
      </c>
      <c r="Y21" s="5">
        <v>100</v>
      </c>
      <c r="Z21" s="5">
        <f>VLOOKUP(A21,[4]Sheet!$A:$X,24,0)</f>
        <v>100</v>
      </c>
      <c r="AA21" s="1">
        <f t="shared" si="10"/>
        <v>20.936818447298187</v>
      </c>
      <c r="AB21" s="1">
        <f t="shared" si="4"/>
        <v>15.391982907120308</v>
      </c>
      <c r="AC21" s="1">
        <v>25.654599999999999</v>
      </c>
      <c r="AD21" s="1">
        <v>35.742199999999997</v>
      </c>
      <c r="AE21" s="1">
        <v>24.3264</v>
      </c>
      <c r="AF21" s="1">
        <v>38.0486</v>
      </c>
      <c r="AG21" s="1">
        <v>34.205199999999998</v>
      </c>
      <c r="AH21" s="1">
        <v>22.615200000000002</v>
      </c>
      <c r="AI21" s="1">
        <v>32.779600000000002</v>
      </c>
      <c r="AJ21" s="1">
        <v>30.880400000000002</v>
      </c>
      <c r="AK21" s="1">
        <v>43.971800000000002</v>
      </c>
      <c r="AL21" s="1">
        <v>24.540600000000001</v>
      </c>
      <c r="AM21" s="15" t="s">
        <v>41</v>
      </c>
      <c r="AN21" s="1">
        <f t="shared" si="11"/>
        <v>50</v>
      </c>
      <c r="AO21" s="1">
        <f t="shared" si="12"/>
        <v>100</v>
      </c>
    </row>
    <row r="22" spans="1:41" x14ac:dyDescent="0.25">
      <c r="A22" s="1" t="s">
        <v>58</v>
      </c>
      <c r="B22" s="1" t="s">
        <v>40</v>
      </c>
      <c r="C22" s="1">
        <v>607</v>
      </c>
      <c r="D22" s="1">
        <v>1105</v>
      </c>
      <c r="E22" s="1">
        <v>315</v>
      </c>
      <c r="F22" s="1">
        <v>174</v>
      </c>
      <c r="G22" s="1">
        <f>VLOOKUP(A22,[2]TDSheet!$A:$M,9,0)</f>
        <v>223</v>
      </c>
      <c r="H22" s="7">
        <v>0.22</v>
      </c>
      <c r="I22" s="1">
        <v>120</v>
      </c>
      <c r="J22" s="1" t="s">
        <v>37</v>
      </c>
      <c r="K22" s="1"/>
      <c r="L22" s="1">
        <v>419</v>
      </c>
      <c r="M22" s="1">
        <f t="shared" si="3"/>
        <v>-104</v>
      </c>
      <c r="N22" s="1">
        <f t="shared" si="5"/>
        <v>202</v>
      </c>
      <c r="O22" s="1">
        <f>VLOOKUP(A22,[3]TDSheet!$A:$AX,7,0)</f>
        <v>113</v>
      </c>
      <c r="P22" s="1">
        <v>0</v>
      </c>
      <c r="Q22" s="1">
        <v>270</v>
      </c>
      <c r="R22" s="1">
        <f t="shared" si="6"/>
        <v>40.4</v>
      </c>
      <c r="S22" s="5"/>
      <c r="T22" s="19">
        <f>VLOOKUP(A22,[1]TDSheet!$D:$J,7,0)</f>
        <v>0.52799552071668532</v>
      </c>
      <c r="U22" s="5">
        <f t="shared" si="7"/>
        <v>0</v>
      </c>
      <c r="V22" s="5">
        <f t="shared" si="8"/>
        <v>0</v>
      </c>
      <c r="W22" s="5"/>
      <c r="X22" s="5">
        <f t="shared" si="9"/>
        <v>0</v>
      </c>
      <c r="Y22" s="5">
        <f t="shared" si="14"/>
        <v>0</v>
      </c>
      <c r="Z22" s="5"/>
      <c r="AA22" s="1">
        <f t="shared" si="10"/>
        <v>16.509900990099009</v>
      </c>
      <c r="AB22" s="1">
        <f t="shared" si="4"/>
        <v>16.509900990099009</v>
      </c>
      <c r="AC22" s="1">
        <v>50.2</v>
      </c>
      <c r="AD22" s="1">
        <v>44</v>
      </c>
      <c r="AE22" s="1">
        <v>71.599999999999994</v>
      </c>
      <c r="AF22" s="1">
        <v>133.6</v>
      </c>
      <c r="AG22" s="1">
        <v>105.8</v>
      </c>
      <c r="AH22" s="1">
        <v>63.4</v>
      </c>
      <c r="AI22" s="1">
        <v>72.2</v>
      </c>
      <c r="AJ22" s="1">
        <v>83.4</v>
      </c>
      <c r="AK22" s="1">
        <v>44.2</v>
      </c>
      <c r="AL22" s="1">
        <v>39.6</v>
      </c>
      <c r="AM22" s="1" t="s">
        <v>44</v>
      </c>
      <c r="AN22" s="1">
        <f t="shared" si="11"/>
        <v>0</v>
      </c>
      <c r="AO22" s="1">
        <f t="shared" si="12"/>
        <v>0</v>
      </c>
    </row>
    <row r="23" spans="1:41" x14ac:dyDescent="0.25">
      <c r="A23" s="1" t="s">
        <v>59</v>
      </c>
      <c r="B23" s="1" t="s">
        <v>36</v>
      </c>
      <c r="C23" s="1">
        <v>11.868</v>
      </c>
      <c r="D23" s="1">
        <v>8.1999999999999993</v>
      </c>
      <c r="E23" s="1">
        <v>17.306000000000001</v>
      </c>
      <c r="F23" s="1"/>
      <c r="G23" s="1"/>
      <c r="H23" s="7">
        <v>1</v>
      </c>
      <c r="I23" s="1">
        <v>40</v>
      </c>
      <c r="J23" s="1" t="s">
        <v>37</v>
      </c>
      <c r="K23" s="1"/>
      <c r="L23" s="1">
        <v>31.85</v>
      </c>
      <c r="M23" s="1">
        <f t="shared" si="3"/>
        <v>-14.544</v>
      </c>
      <c r="N23" s="1">
        <f t="shared" si="5"/>
        <v>17.306000000000001</v>
      </c>
      <c r="O23" s="1"/>
      <c r="P23" s="1">
        <v>34</v>
      </c>
      <c r="Q23" s="1">
        <v>40</v>
      </c>
      <c r="R23" s="1">
        <f t="shared" si="6"/>
        <v>3.4612000000000003</v>
      </c>
      <c r="S23" s="5"/>
      <c r="T23" s="19">
        <f>VLOOKUP(A23,[1]TDSheet!$D:$J,7,0)</f>
        <v>7.5181076372971486E-2</v>
      </c>
      <c r="U23" s="5">
        <f t="shared" si="7"/>
        <v>0</v>
      </c>
      <c r="V23" s="5">
        <f>W23</f>
        <v>50</v>
      </c>
      <c r="W23" s="5">
        <f>VLOOKUP(A23,[4]Sheet!$A:$V,22,0)</f>
        <v>50</v>
      </c>
      <c r="X23" s="5">
        <f t="shared" si="9"/>
        <v>0</v>
      </c>
      <c r="Y23" s="5">
        <v>30</v>
      </c>
      <c r="Z23" s="5">
        <f>VLOOKUP(A23,[4]Sheet!$A:$X,24,0)</f>
        <v>70</v>
      </c>
      <c r="AA23" s="1">
        <f t="shared" si="10"/>
        <v>44.493239338957586</v>
      </c>
      <c r="AB23" s="1">
        <f t="shared" si="4"/>
        <v>21.379868253784814</v>
      </c>
      <c r="AC23" s="1">
        <v>1.8988</v>
      </c>
      <c r="AD23" s="1">
        <v>4.2084000000000001</v>
      </c>
      <c r="AE23" s="1">
        <v>0</v>
      </c>
      <c r="AF23" s="1">
        <v>-0.17599999999999999</v>
      </c>
      <c r="AG23" s="1">
        <v>-0.27</v>
      </c>
      <c r="AH23" s="1">
        <v>1.016</v>
      </c>
      <c r="AI23" s="1">
        <v>0.62519999999999998</v>
      </c>
      <c r="AJ23" s="1">
        <v>3.5935999999999999</v>
      </c>
      <c r="AK23" s="1">
        <v>9.9719999999999995</v>
      </c>
      <c r="AL23" s="1">
        <v>8.8043999999999993</v>
      </c>
      <c r="AM23" s="1" t="s">
        <v>60</v>
      </c>
      <c r="AN23" s="1">
        <f t="shared" si="11"/>
        <v>50</v>
      </c>
      <c r="AO23" s="1">
        <f t="shared" si="12"/>
        <v>30</v>
      </c>
    </row>
    <row r="24" spans="1:41" x14ac:dyDescent="0.25">
      <c r="A24" s="9" t="s">
        <v>61</v>
      </c>
      <c r="B24" s="9" t="s">
        <v>36</v>
      </c>
      <c r="C24" s="9">
        <v>39.21</v>
      </c>
      <c r="D24" s="9"/>
      <c r="E24" s="9"/>
      <c r="F24" s="9"/>
      <c r="G24" s="9"/>
      <c r="H24" s="10">
        <v>0</v>
      </c>
      <c r="I24" s="9"/>
      <c r="J24" s="9" t="s">
        <v>62</v>
      </c>
      <c r="K24" s="9"/>
      <c r="L24" s="9"/>
      <c r="M24" s="9">
        <f t="shared" si="3"/>
        <v>0</v>
      </c>
      <c r="N24" s="9">
        <f t="shared" si="5"/>
        <v>0</v>
      </c>
      <c r="O24" s="9"/>
      <c r="P24" s="9">
        <v>0</v>
      </c>
      <c r="Q24" s="9">
        <v>0</v>
      </c>
      <c r="R24" s="9">
        <f t="shared" si="6"/>
        <v>0</v>
      </c>
      <c r="S24" s="11"/>
      <c r="T24" s="19">
        <f>VLOOKUP(A24,[1]TDSheet!$D:$J,7,0)</f>
        <v>0</v>
      </c>
      <c r="U24" s="11"/>
      <c r="V24" s="5">
        <f t="shared" si="8"/>
        <v>0</v>
      </c>
      <c r="W24" s="11"/>
      <c r="X24" s="11"/>
      <c r="Y24" s="5">
        <f t="shared" si="14"/>
        <v>0</v>
      </c>
      <c r="Z24" s="11"/>
      <c r="AA24" s="1" t="e">
        <f t="shared" si="10"/>
        <v>#DIV/0!</v>
      </c>
      <c r="AB24" s="9" t="e">
        <f t="shared" si="4"/>
        <v>#DIV/0!</v>
      </c>
      <c r="AC24" s="9">
        <v>0</v>
      </c>
      <c r="AD24" s="9">
        <v>0</v>
      </c>
      <c r="AE24" s="9">
        <v>0</v>
      </c>
      <c r="AF24" s="9">
        <v>2.4140000000000001</v>
      </c>
      <c r="AG24" s="9">
        <v>3.625</v>
      </c>
      <c r="AH24" s="9">
        <v>0</v>
      </c>
      <c r="AI24" s="9">
        <v>5.444</v>
      </c>
      <c r="AJ24" s="9">
        <v>0</v>
      </c>
      <c r="AK24" s="9">
        <v>0</v>
      </c>
      <c r="AL24" s="9">
        <v>0</v>
      </c>
      <c r="AM24" s="9" t="s">
        <v>63</v>
      </c>
      <c r="AN24" s="1">
        <f t="shared" si="11"/>
        <v>0</v>
      </c>
      <c r="AO24" s="1">
        <f t="shared" si="12"/>
        <v>0</v>
      </c>
    </row>
    <row r="25" spans="1:41" x14ac:dyDescent="0.25">
      <c r="A25" s="1" t="s">
        <v>64</v>
      </c>
      <c r="B25" s="1" t="s">
        <v>36</v>
      </c>
      <c r="C25" s="1">
        <v>63.238999999999997</v>
      </c>
      <c r="D25" s="1">
        <v>203.38</v>
      </c>
      <c r="E25" s="1">
        <v>57.768000000000001</v>
      </c>
      <c r="F25" s="1">
        <v>5.5</v>
      </c>
      <c r="G25" s="1">
        <f>VLOOKUP(A25,[2]TDSheet!$A:$M,9,0)</f>
        <v>10.804</v>
      </c>
      <c r="H25" s="7">
        <v>1</v>
      </c>
      <c r="I25" s="1">
        <v>60</v>
      </c>
      <c r="J25" s="1" t="s">
        <v>37</v>
      </c>
      <c r="K25" s="1"/>
      <c r="L25" s="1">
        <v>73.599999999999994</v>
      </c>
      <c r="M25" s="1">
        <f t="shared" si="3"/>
        <v>-15.831999999999994</v>
      </c>
      <c r="N25" s="1">
        <f t="shared" si="5"/>
        <v>45.557000000000002</v>
      </c>
      <c r="O25" s="1">
        <f>VLOOKUP(A25,[3]TDSheet!$A:$AX,7,0)</f>
        <v>12.211</v>
      </c>
      <c r="P25" s="1">
        <v>170</v>
      </c>
      <c r="Q25" s="1">
        <v>0</v>
      </c>
      <c r="R25" s="1">
        <f t="shared" si="6"/>
        <v>9.1113999999999997</v>
      </c>
      <c r="S25" s="5"/>
      <c r="T25" s="19">
        <f>VLOOKUP(A25,[1]TDSheet!$D:$J,7,0)</f>
        <v>0.61142635621350516</v>
      </c>
      <c r="U25" s="5">
        <f t="shared" ref="U25:U26" si="16">S25-X25</f>
        <v>0</v>
      </c>
      <c r="V25" s="5">
        <f t="shared" ref="V25:V26" si="17">W25</f>
        <v>50</v>
      </c>
      <c r="W25" s="5">
        <f>VLOOKUP(A25,[4]Sheet!$A:$V,22,0)</f>
        <v>50</v>
      </c>
      <c r="X25" s="5">
        <f t="shared" ref="X25:X26" si="18">S25*T25</f>
        <v>0</v>
      </c>
      <c r="Y25" s="5">
        <v>50</v>
      </c>
      <c r="Z25" s="5">
        <f>VLOOKUP(A25,[4]Sheet!$A:$X,24,0)</f>
        <v>50</v>
      </c>
      <c r="AA25" s="1">
        <f t="shared" si="10"/>
        <v>31.422613429330287</v>
      </c>
      <c r="AB25" s="1">
        <f t="shared" si="4"/>
        <v>20.447351669337316</v>
      </c>
      <c r="AC25" s="1">
        <v>9.9635999999999996</v>
      </c>
      <c r="AD25" s="1">
        <v>18.268599999999999</v>
      </c>
      <c r="AE25" s="1">
        <v>0.24260000000000001</v>
      </c>
      <c r="AF25" s="1">
        <v>10.1114</v>
      </c>
      <c r="AG25" s="1">
        <v>16.404199999999999</v>
      </c>
      <c r="AH25" s="1">
        <v>2.4239999999999999</v>
      </c>
      <c r="AI25" s="1">
        <v>13.7454</v>
      </c>
      <c r="AJ25" s="1">
        <v>15.651999999999999</v>
      </c>
      <c r="AK25" s="1">
        <v>11.1342</v>
      </c>
      <c r="AL25" s="1">
        <v>14.042400000000001</v>
      </c>
      <c r="AM25" s="1"/>
      <c r="AN25" s="1">
        <f t="shared" si="11"/>
        <v>50</v>
      </c>
      <c r="AO25" s="1">
        <f t="shared" si="12"/>
        <v>50</v>
      </c>
    </row>
    <row r="26" spans="1:41" x14ac:dyDescent="0.25">
      <c r="A26" s="1" t="s">
        <v>65</v>
      </c>
      <c r="B26" s="1" t="s">
        <v>40</v>
      </c>
      <c r="C26" s="1">
        <v>249</v>
      </c>
      <c r="D26" s="1">
        <v>842</v>
      </c>
      <c r="E26" s="1">
        <v>195</v>
      </c>
      <c r="F26" s="1">
        <v>15</v>
      </c>
      <c r="G26" s="1">
        <f>VLOOKUP(A26,[2]TDSheet!$A:$M,9,0)</f>
        <v>20</v>
      </c>
      <c r="H26" s="7">
        <v>0.09</v>
      </c>
      <c r="I26" s="1">
        <v>60</v>
      </c>
      <c r="J26" s="1" t="s">
        <v>37</v>
      </c>
      <c r="K26" s="1"/>
      <c r="L26" s="1">
        <v>218</v>
      </c>
      <c r="M26" s="1">
        <f t="shared" si="3"/>
        <v>-23</v>
      </c>
      <c r="N26" s="1">
        <f t="shared" si="5"/>
        <v>195</v>
      </c>
      <c r="O26" s="1"/>
      <c r="P26" s="1">
        <v>0</v>
      </c>
      <c r="Q26" s="1">
        <v>357</v>
      </c>
      <c r="R26" s="1">
        <f t="shared" si="6"/>
        <v>39</v>
      </c>
      <c r="S26" s="5">
        <f t="shared" ref="S26" si="19">15*R26-Q26-P26-G26-F26</f>
        <v>193</v>
      </c>
      <c r="T26" s="19">
        <f>VLOOKUP(A26,[1]TDSheet!$D:$J,7,0)</f>
        <v>0.43263288009888751</v>
      </c>
      <c r="U26" s="5">
        <f t="shared" si="16"/>
        <v>109.50185414091472</v>
      </c>
      <c r="V26" s="5">
        <f t="shared" si="17"/>
        <v>200</v>
      </c>
      <c r="W26" s="5">
        <f>VLOOKUP(A26,[4]Sheet!$A:$V,22,0)</f>
        <v>200</v>
      </c>
      <c r="X26" s="5">
        <f t="shared" si="18"/>
        <v>83.498145859085284</v>
      </c>
      <c r="Y26" s="5">
        <v>200</v>
      </c>
      <c r="Z26" s="5">
        <f>VLOOKUP(A26,[4]Sheet!$A:$X,24,0)</f>
        <v>200</v>
      </c>
      <c r="AA26" s="1">
        <f t="shared" si="10"/>
        <v>20.307692307692307</v>
      </c>
      <c r="AB26" s="1">
        <f t="shared" si="4"/>
        <v>10.051282051282051</v>
      </c>
      <c r="AC26" s="1">
        <v>46.6</v>
      </c>
      <c r="AD26" s="1">
        <v>25.6</v>
      </c>
      <c r="AE26" s="1">
        <v>35.4</v>
      </c>
      <c r="AF26" s="1">
        <v>48.8</v>
      </c>
      <c r="AG26" s="1">
        <v>39.6</v>
      </c>
      <c r="AH26" s="1">
        <v>38.799999999999997</v>
      </c>
      <c r="AI26" s="1">
        <v>13.2</v>
      </c>
      <c r="AJ26" s="1">
        <v>47.8</v>
      </c>
      <c r="AK26" s="1">
        <v>38.799999999999997</v>
      </c>
      <c r="AL26" s="1">
        <v>20</v>
      </c>
      <c r="AM26" s="1"/>
      <c r="AN26" s="1">
        <f t="shared" si="11"/>
        <v>18</v>
      </c>
      <c r="AO26" s="1">
        <f t="shared" si="12"/>
        <v>18</v>
      </c>
    </row>
    <row r="27" spans="1:41" x14ac:dyDescent="0.25">
      <c r="A27" s="9" t="s">
        <v>66</v>
      </c>
      <c r="B27" s="9" t="s">
        <v>40</v>
      </c>
      <c r="C27" s="9">
        <v>68</v>
      </c>
      <c r="D27" s="9">
        <v>10</v>
      </c>
      <c r="E27" s="9"/>
      <c r="F27" s="9">
        <v>68</v>
      </c>
      <c r="G27" s="9"/>
      <c r="H27" s="10">
        <v>0</v>
      </c>
      <c r="I27" s="9"/>
      <c r="J27" s="9" t="s">
        <v>62</v>
      </c>
      <c r="K27" s="9"/>
      <c r="L27" s="9"/>
      <c r="M27" s="9">
        <f t="shared" si="3"/>
        <v>0</v>
      </c>
      <c r="N27" s="9">
        <f t="shared" si="5"/>
        <v>0</v>
      </c>
      <c r="O27" s="9"/>
      <c r="P27" s="9">
        <v>0</v>
      </c>
      <c r="Q27" s="9">
        <v>0</v>
      </c>
      <c r="R27" s="9">
        <f t="shared" si="6"/>
        <v>0</v>
      </c>
      <c r="S27" s="11"/>
      <c r="T27" s="19">
        <f>VLOOKUP(A27,[1]TDSheet!$D:$J,7,0)</f>
        <v>1</v>
      </c>
      <c r="U27" s="11"/>
      <c r="V27" s="5">
        <f t="shared" si="8"/>
        <v>0</v>
      </c>
      <c r="W27" s="11"/>
      <c r="X27" s="11"/>
      <c r="Y27" s="5">
        <f t="shared" si="14"/>
        <v>0</v>
      </c>
      <c r="Z27" s="11"/>
      <c r="AA27" s="1" t="e">
        <f t="shared" si="10"/>
        <v>#DIV/0!</v>
      </c>
      <c r="AB27" s="9" t="e">
        <f t="shared" si="4"/>
        <v>#DIV/0!</v>
      </c>
      <c r="AC27" s="9">
        <v>0.4</v>
      </c>
      <c r="AD27" s="9">
        <v>0</v>
      </c>
      <c r="AE27" s="9">
        <v>0</v>
      </c>
      <c r="AF27" s="9">
        <v>0</v>
      </c>
      <c r="AG27" s="9">
        <v>6</v>
      </c>
      <c r="AH27" s="9">
        <v>0</v>
      </c>
      <c r="AI27" s="9">
        <v>4.2</v>
      </c>
      <c r="AJ27" s="9">
        <v>0</v>
      </c>
      <c r="AK27" s="9">
        <v>0</v>
      </c>
      <c r="AL27" s="9">
        <v>0</v>
      </c>
      <c r="AM27" s="12" t="s">
        <v>67</v>
      </c>
      <c r="AN27" s="1">
        <f t="shared" si="11"/>
        <v>0</v>
      </c>
      <c r="AO27" s="1">
        <f t="shared" si="12"/>
        <v>0</v>
      </c>
    </row>
    <row r="28" spans="1:41" x14ac:dyDescent="0.25">
      <c r="A28" s="1" t="s">
        <v>68</v>
      </c>
      <c r="B28" s="1" t="s">
        <v>40</v>
      </c>
      <c r="C28" s="1">
        <v>66</v>
      </c>
      <c r="D28" s="1">
        <v>216</v>
      </c>
      <c r="E28" s="1">
        <v>45</v>
      </c>
      <c r="F28" s="1"/>
      <c r="G28" s="1"/>
      <c r="H28" s="7">
        <v>0.09</v>
      </c>
      <c r="I28" s="1">
        <v>45</v>
      </c>
      <c r="J28" s="1" t="s">
        <v>37</v>
      </c>
      <c r="K28" s="1"/>
      <c r="L28" s="1">
        <v>48</v>
      </c>
      <c r="M28" s="1">
        <f t="shared" si="3"/>
        <v>-3</v>
      </c>
      <c r="N28" s="1">
        <f t="shared" si="5"/>
        <v>45</v>
      </c>
      <c r="O28" s="1"/>
      <c r="P28" s="1">
        <v>56</v>
      </c>
      <c r="Q28" s="1">
        <v>67</v>
      </c>
      <c r="R28" s="1">
        <f t="shared" si="6"/>
        <v>9</v>
      </c>
      <c r="S28" s="5">
        <f t="shared" ref="S28:S32" si="20">15*R28-Q28-P28-G28-F28</f>
        <v>12</v>
      </c>
      <c r="T28" s="19">
        <f>VLOOKUP(A28,[1]TDSheet!$D:$J,7,0)</f>
        <v>0.55172413793103448</v>
      </c>
      <c r="U28" s="5">
        <f t="shared" ref="U28:U32" si="21">S28-X28</f>
        <v>5.3793103448275863</v>
      </c>
      <c r="V28" s="5">
        <f t="shared" si="8"/>
        <v>5</v>
      </c>
      <c r="W28" s="5"/>
      <c r="X28" s="5">
        <f t="shared" ref="X28:X32" si="22">S28*T28</f>
        <v>6.6206896551724137</v>
      </c>
      <c r="Y28" s="5">
        <v>50</v>
      </c>
      <c r="Z28" s="5">
        <f>VLOOKUP(A28,[4]Sheet!$A:$X,24,0)</f>
        <v>50</v>
      </c>
      <c r="AA28" s="1">
        <f t="shared" si="10"/>
        <v>19.777777777777779</v>
      </c>
      <c r="AB28" s="1">
        <f t="shared" si="4"/>
        <v>13.666666666666666</v>
      </c>
      <c r="AC28" s="1">
        <v>12.6</v>
      </c>
      <c r="AD28" s="1">
        <v>12.2</v>
      </c>
      <c r="AE28" s="1">
        <v>0.8</v>
      </c>
      <c r="AF28" s="1">
        <v>1.8</v>
      </c>
      <c r="AG28" s="1">
        <v>14.2</v>
      </c>
      <c r="AH28" s="1">
        <v>7.2</v>
      </c>
      <c r="AI28" s="1">
        <v>6.2</v>
      </c>
      <c r="AJ28" s="1">
        <v>11</v>
      </c>
      <c r="AK28" s="1">
        <v>14.8</v>
      </c>
      <c r="AL28" s="1">
        <v>8.1999999999999993</v>
      </c>
      <c r="AM28" s="1"/>
      <c r="AN28" s="1">
        <f t="shared" si="11"/>
        <v>0.44999999999999996</v>
      </c>
      <c r="AO28" s="1">
        <f t="shared" si="12"/>
        <v>4.5</v>
      </c>
    </row>
    <row r="29" spans="1:41" x14ac:dyDescent="0.25">
      <c r="A29" s="1" t="s">
        <v>69</v>
      </c>
      <c r="B29" s="1" t="s">
        <v>40</v>
      </c>
      <c r="C29" s="1">
        <v>81</v>
      </c>
      <c r="D29" s="1">
        <v>184</v>
      </c>
      <c r="E29" s="1">
        <v>-2</v>
      </c>
      <c r="F29" s="1"/>
      <c r="G29" s="1"/>
      <c r="H29" s="7">
        <v>0.15</v>
      </c>
      <c r="I29" s="1">
        <v>45</v>
      </c>
      <c r="J29" s="1" t="s">
        <v>37</v>
      </c>
      <c r="K29" s="1"/>
      <c r="L29" s="1">
        <v>13</v>
      </c>
      <c r="M29" s="1">
        <f t="shared" si="3"/>
        <v>-15</v>
      </c>
      <c r="N29" s="1">
        <f t="shared" si="5"/>
        <v>-2</v>
      </c>
      <c r="O29" s="1"/>
      <c r="P29" s="1">
        <v>0</v>
      </c>
      <c r="Q29" s="1">
        <v>0</v>
      </c>
      <c r="R29" s="1">
        <f t="shared" si="6"/>
        <v>-0.4</v>
      </c>
      <c r="S29" s="5">
        <v>25</v>
      </c>
      <c r="T29" s="19">
        <f>VLOOKUP(A29,[1]TDSheet!$D:$J,7,0)</f>
        <v>0.93548387096774177</v>
      </c>
      <c r="U29" s="5">
        <v>8</v>
      </c>
      <c r="V29" s="5">
        <f t="shared" si="8"/>
        <v>8</v>
      </c>
      <c r="W29" s="5"/>
      <c r="X29" s="5">
        <f t="shared" si="22"/>
        <v>23.387096774193544</v>
      </c>
      <c r="Y29" s="5">
        <v>40</v>
      </c>
      <c r="Z29" s="5">
        <f>VLOOKUP(A29,[4]Sheet!$A:$X,24,0)</f>
        <v>50</v>
      </c>
      <c r="AA29" s="1">
        <f t="shared" si="10"/>
        <v>-120</v>
      </c>
      <c r="AB29" s="1">
        <f t="shared" si="4"/>
        <v>0</v>
      </c>
      <c r="AC29" s="1">
        <v>0</v>
      </c>
      <c r="AD29" s="1">
        <v>6.2</v>
      </c>
      <c r="AE29" s="1">
        <v>0</v>
      </c>
      <c r="AF29" s="1">
        <v>0</v>
      </c>
      <c r="AG29" s="1">
        <v>8</v>
      </c>
      <c r="AH29" s="1">
        <v>2</v>
      </c>
      <c r="AI29" s="1">
        <v>1.8</v>
      </c>
      <c r="AJ29" s="1">
        <v>2.2000000000000002</v>
      </c>
      <c r="AK29" s="1">
        <v>6</v>
      </c>
      <c r="AL29" s="1">
        <v>8.8000000000000007</v>
      </c>
      <c r="AM29" s="1" t="s">
        <v>179</v>
      </c>
      <c r="AN29" s="1">
        <f t="shared" si="11"/>
        <v>1.2</v>
      </c>
      <c r="AO29" s="1">
        <f t="shared" si="12"/>
        <v>6</v>
      </c>
    </row>
    <row r="30" spans="1:41" x14ac:dyDescent="0.25">
      <c r="A30" s="1" t="s">
        <v>70</v>
      </c>
      <c r="B30" s="1" t="s">
        <v>36</v>
      </c>
      <c r="C30" s="1">
        <v>1211.2349999999999</v>
      </c>
      <c r="D30" s="1">
        <v>1943.808</v>
      </c>
      <c r="E30" s="1">
        <v>442.649</v>
      </c>
      <c r="F30" s="1">
        <v>415.16</v>
      </c>
      <c r="G30" s="1">
        <f>VLOOKUP(A30,[2]TDSheet!$A:$M,9,0)</f>
        <v>115.601</v>
      </c>
      <c r="H30" s="7">
        <v>1</v>
      </c>
      <c r="I30" s="1">
        <v>45</v>
      </c>
      <c r="J30" s="1" t="s">
        <v>37</v>
      </c>
      <c r="K30" s="1"/>
      <c r="L30" s="1">
        <v>427.7</v>
      </c>
      <c r="M30" s="1">
        <f t="shared" si="3"/>
        <v>14.949000000000012</v>
      </c>
      <c r="N30" s="1">
        <f t="shared" si="5"/>
        <v>409.45299999999997</v>
      </c>
      <c r="O30" s="1">
        <f>VLOOKUP(A30,[3]TDSheet!$A:$AX,7,0)</f>
        <v>33.195999999999998</v>
      </c>
      <c r="P30" s="1">
        <v>0</v>
      </c>
      <c r="Q30" s="1">
        <v>394</v>
      </c>
      <c r="R30" s="1">
        <f t="shared" si="6"/>
        <v>81.890599999999992</v>
      </c>
      <c r="S30" s="5">
        <f t="shared" si="20"/>
        <v>303.5979999999999</v>
      </c>
      <c r="T30" s="19">
        <f>VLOOKUP(A30,[1]TDSheet!$D:$J,7,0)</f>
        <v>0.19659807091924739</v>
      </c>
      <c r="U30" s="5">
        <f t="shared" si="21"/>
        <v>243.91121886505826</v>
      </c>
      <c r="V30" s="5">
        <f>W30</f>
        <v>350</v>
      </c>
      <c r="W30" s="5">
        <f>VLOOKUP(A30,[4]Sheet!$A:$V,22,0)</f>
        <v>350</v>
      </c>
      <c r="X30" s="5">
        <f t="shared" si="22"/>
        <v>59.686781134941647</v>
      </c>
      <c r="Y30" s="5">
        <v>150</v>
      </c>
      <c r="Z30" s="5">
        <f>VLOOKUP(A30,[4]Sheet!$A:$X,24,0)</f>
        <v>150</v>
      </c>
      <c r="AA30" s="1">
        <f t="shared" si="10"/>
        <v>17.398346086119776</v>
      </c>
      <c r="AB30" s="1">
        <f t="shared" si="4"/>
        <v>11.292639204011206</v>
      </c>
      <c r="AC30" s="1">
        <v>85.432600000000008</v>
      </c>
      <c r="AD30" s="1">
        <v>49.553600000000003</v>
      </c>
      <c r="AE30" s="1">
        <v>55.760399999999997</v>
      </c>
      <c r="AF30" s="1">
        <v>95.490800000000007</v>
      </c>
      <c r="AG30" s="1">
        <v>113.20059999999999</v>
      </c>
      <c r="AH30" s="1">
        <v>18.4908</v>
      </c>
      <c r="AI30" s="1">
        <v>75.172600000000003</v>
      </c>
      <c r="AJ30" s="1">
        <v>78.514399999999995</v>
      </c>
      <c r="AK30" s="1">
        <v>67.384799999999998</v>
      </c>
      <c r="AL30" s="1">
        <v>59.207000000000008</v>
      </c>
      <c r="AM30" s="1"/>
      <c r="AN30" s="1">
        <f t="shared" si="11"/>
        <v>350</v>
      </c>
      <c r="AO30" s="1">
        <f t="shared" si="12"/>
        <v>150</v>
      </c>
    </row>
    <row r="31" spans="1:41" x14ac:dyDescent="0.25">
      <c r="A31" s="1" t="s">
        <v>71</v>
      </c>
      <c r="B31" s="1" t="s">
        <v>40</v>
      </c>
      <c r="C31" s="1">
        <v>26</v>
      </c>
      <c r="D31" s="1">
        <v>160</v>
      </c>
      <c r="E31" s="1">
        <v>24</v>
      </c>
      <c r="F31" s="1"/>
      <c r="G31" s="1"/>
      <c r="H31" s="7">
        <v>0.4</v>
      </c>
      <c r="I31" s="1">
        <v>60</v>
      </c>
      <c r="J31" s="1" t="s">
        <v>37</v>
      </c>
      <c r="K31" s="1"/>
      <c r="L31" s="1">
        <v>149</v>
      </c>
      <c r="M31" s="1">
        <f t="shared" si="3"/>
        <v>-125</v>
      </c>
      <c r="N31" s="1">
        <f t="shared" si="5"/>
        <v>24</v>
      </c>
      <c r="O31" s="1"/>
      <c r="P31" s="1">
        <v>274</v>
      </c>
      <c r="Q31" s="1">
        <v>87</v>
      </c>
      <c r="R31" s="1">
        <f t="shared" si="6"/>
        <v>4.8</v>
      </c>
      <c r="S31" s="5"/>
      <c r="T31" s="19">
        <f>VLOOKUP(A31,[1]TDSheet!$D:$J,7,0)</f>
        <v>0.56488549618320616</v>
      </c>
      <c r="U31" s="5">
        <f t="shared" si="21"/>
        <v>0</v>
      </c>
      <c r="V31" s="5">
        <f t="shared" si="8"/>
        <v>0</v>
      </c>
      <c r="W31" s="5"/>
      <c r="X31" s="5">
        <f t="shared" si="22"/>
        <v>0</v>
      </c>
      <c r="Y31" s="5">
        <v>50</v>
      </c>
      <c r="Z31" s="5">
        <f>VLOOKUP(A31,[4]Sheet!$A:$X,24,0)</f>
        <v>50</v>
      </c>
      <c r="AA31" s="1">
        <f t="shared" si="10"/>
        <v>85.625</v>
      </c>
      <c r="AB31" s="1">
        <f t="shared" si="4"/>
        <v>75.208333333333343</v>
      </c>
      <c r="AC31" s="1">
        <v>25.8</v>
      </c>
      <c r="AD31" s="1">
        <v>35</v>
      </c>
      <c r="AE31" s="1">
        <v>3.4</v>
      </c>
      <c r="AF31" s="1">
        <v>24</v>
      </c>
      <c r="AG31" s="1">
        <v>24</v>
      </c>
      <c r="AH31" s="1">
        <v>7.4</v>
      </c>
      <c r="AI31" s="1">
        <v>16</v>
      </c>
      <c r="AJ31" s="1">
        <v>24.8</v>
      </c>
      <c r="AK31" s="1">
        <v>16.600000000000001</v>
      </c>
      <c r="AL31" s="1">
        <v>16.600000000000001</v>
      </c>
      <c r="AM31" s="1"/>
      <c r="AN31" s="1">
        <f t="shared" si="11"/>
        <v>0</v>
      </c>
      <c r="AO31" s="1">
        <f t="shared" si="12"/>
        <v>20</v>
      </c>
    </row>
    <row r="32" spans="1:41" x14ac:dyDescent="0.25">
      <c r="A32" s="1" t="s">
        <v>72</v>
      </c>
      <c r="B32" s="1" t="s">
        <v>40</v>
      </c>
      <c r="C32" s="1">
        <v>691</v>
      </c>
      <c r="D32" s="1">
        <v>713</v>
      </c>
      <c r="E32" s="1">
        <v>526</v>
      </c>
      <c r="F32" s="1">
        <v>144</v>
      </c>
      <c r="G32" s="1">
        <f>VLOOKUP(A32,[2]TDSheet!$A:$M,9,0)</f>
        <v>165</v>
      </c>
      <c r="H32" s="7">
        <v>0.4</v>
      </c>
      <c r="I32" s="1">
        <v>60</v>
      </c>
      <c r="J32" s="1" t="s">
        <v>37</v>
      </c>
      <c r="K32" s="1"/>
      <c r="L32" s="1">
        <v>566</v>
      </c>
      <c r="M32" s="1">
        <f t="shared" si="3"/>
        <v>-40</v>
      </c>
      <c r="N32" s="1">
        <f t="shared" si="5"/>
        <v>390</v>
      </c>
      <c r="O32" s="1">
        <f>VLOOKUP(A32,[3]TDSheet!$A:$AX,7,0)</f>
        <v>136</v>
      </c>
      <c r="P32" s="1">
        <v>606</v>
      </c>
      <c r="Q32" s="1">
        <v>200</v>
      </c>
      <c r="R32" s="1">
        <f t="shared" si="6"/>
        <v>78</v>
      </c>
      <c r="S32" s="5">
        <f t="shared" si="20"/>
        <v>55</v>
      </c>
      <c r="T32" s="19">
        <f>VLOOKUP(A32,[1]TDSheet!$D:$J,7,0)</f>
        <v>0.56711409395973145</v>
      </c>
      <c r="U32" s="5">
        <f t="shared" si="21"/>
        <v>23.808724832214772</v>
      </c>
      <c r="V32" s="5">
        <f t="shared" si="8"/>
        <v>24</v>
      </c>
      <c r="W32" s="5"/>
      <c r="X32" s="5">
        <f t="shared" si="22"/>
        <v>31.191275167785228</v>
      </c>
      <c r="Y32" s="5">
        <v>150</v>
      </c>
      <c r="Z32" s="5">
        <f>VLOOKUP(A32,[4]Sheet!$A:$X,24,0)</f>
        <v>150</v>
      </c>
      <c r="AA32" s="1">
        <f t="shared" si="10"/>
        <v>16.525641025641026</v>
      </c>
      <c r="AB32" s="1">
        <f t="shared" si="4"/>
        <v>14.294871794871796</v>
      </c>
      <c r="AC32" s="1">
        <v>93.8</v>
      </c>
      <c r="AD32" s="1">
        <v>116.6</v>
      </c>
      <c r="AE32" s="1">
        <v>78.599999999999994</v>
      </c>
      <c r="AF32" s="1">
        <v>127.2</v>
      </c>
      <c r="AG32" s="1">
        <v>120</v>
      </c>
      <c r="AH32" s="1">
        <v>82.4</v>
      </c>
      <c r="AI32" s="1">
        <v>83.8</v>
      </c>
      <c r="AJ32" s="1">
        <v>120.6</v>
      </c>
      <c r="AK32" s="1">
        <v>106.6</v>
      </c>
      <c r="AL32" s="1">
        <v>74.8</v>
      </c>
      <c r="AM32" s="1"/>
      <c r="AN32" s="1">
        <f t="shared" si="11"/>
        <v>9.6000000000000014</v>
      </c>
      <c r="AO32" s="1">
        <f t="shared" si="12"/>
        <v>60</v>
      </c>
    </row>
    <row r="33" spans="1:41" x14ac:dyDescent="0.25">
      <c r="A33" s="9" t="s">
        <v>73</v>
      </c>
      <c r="B33" s="9" t="s">
        <v>40</v>
      </c>
      <c r="C33" s="9">
        <v>-1</v>
      </c>
      <c r="D33" s="9"/>
      <c r="E33" s="9"/>
      <c r="F33" s="14">
        <v>-1</v>
      </c>
      <c r="G33" s="9"/>
      <c r="H33" s="10">
        <v>0</v>
      </c>
      <c r="I33" s="9"/>
      <c r="J33" s="9" t="s">
        <v>62</v>
      </c>
      <c r="K33" s="9" t="s">
        <v>74</v>
      </c>
      <c r="L33" s="9"/>
      <c r="M33" s="9">
        <f t="shared" si="3"/>
        <v>0</v>
      </c>
      <c r="N33" s="9">
        <f t="shared" si="5"/>
        <v>0</v>
      </c>
      <c r="O33" s="9"/>
      <c r="P33" s="9">
        <v>0</v>
      </c>
      <c r="Q33" s="9">
        <v>0</v>
      </c>
      <c r="R33" s="9">
        <f t="shared" si="6"/>
        <v>0</v>
      </c>
      <c r="S33" s="11"/>
      <c r="T33" s="19">
        <f>VLOOKUP(A33,[1]TDSheet!$D:$J,7,0)</f>
        <v>0</v>
      </c>
      <c r="U33" s="11"/>
      <c r="V33" s="5">
        <f t="shared" si="8"/>
        <v>0</v>
      </c>
      <c r="W33" s="11"/>
      <c r="X33" s="11"/>
      <c r="Y33" s="5">
        <f t="shared" si="14"/>
        <v>0</v>
      </c>
      <c r="Z33" s="11"/>
      <c r="AA33" s="1" t="e">
        <f t="shared" si="10"/>
        <v>#DIV/0!</v>
      </c>
      <c r="AB33" s="9" t="e">
        <f t="shared" si="4"/>
        <v>#DIV/0!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/>
      <c r="AN33" s="1">
        <f t="shared" si="11"/>
        <v>0</v>
      </c>
      <c r="AO33" s="1">
        <f t="shared" si="12"/>
        <v>0</v>
      </c>
    </row>
    <row r="34" spans="1:41" x14ac:dyDescent="0.25">
      <c r="A34" s="1" t="s">
        <v>75</v>
      </c>
      <c r="B34" s="1" t="s">
        <v>40</v>
      </c>
      <c r="C34" s="1">
        <v>607</v>
      </c>
      <c r="D34" s="1">
        <v>968</v>
      </c>
      <c r="E34" s="1">
        <v>417</v>
      </c>
      <c r="F34" s="1">
        <v>145</v>
      </c>
      <c r="G34" s="1">
        <f>VLOOKUP(A34,[2]TDSheet!$A:$M,9,0)</f>
        <v>164</v>
      </c>
      <c r="H34" s="7">
        <v>0.4</v>
      </c>
      <c r="I34" s="1">
        <v>60</v>
      </c>
      <c r="J34" s="1" t="s">
        <v>37</v>
      </c>
      <c r="K34" s="1"/>
      <c r="L34" s="1">
        <v>453</v>
      </c>
      <c r="M34" s="1">
        <f t="shared" si="3"/>
        <v>-36</v>
      </c>
      <c r="N34" s="1">
        <f t="shared" si="5"/>
        <v>305</v>
      </c>
      <c r="O34" s="1">
        <f>VLOOKUP(A34,[3]TDSheet!$A:$AX,7,0)</f>
        <v>112</v>
      </c>
      <c r="P34" s="1">
        <v>453</v>
      </c>
      <c r="Q34" s="1">
        <v>0</v>
      </c>
      <c r="R34" s="1">
        <f t="shared" si="6"/>
        <v>61</v>
      </c>
      <c r="S34" s="5">
        <f>15*R34-Q34-P34-G34-F34</f>
        <v>153</v>
      </c>
      <c r="T34" s="19">
        <f>VLOOKUP(A34,[1]TDSheet!$D:$J,7,0)</f>
        <v>0.61348077935755663</v>
      </c>
      <c r="U34" s="5">
        <f>S34-X34</f>
        <v>59.137440758293835</v>
      </c>
      <c r="V34" s="5">
        <f>W34</f>
        <v>120</v>
      </c>
      <c r="W34" s="5">
        <f>VLOOKUP(A34,[4]Sheet!$A:$V,22,0)</f>
        <v>120</v>
      </c>
      <c r="X34" s="5">
        <f>S34*T34</f>
        <v>93.862559241706165</v>
      </c>
      <c r="Y34" s="5">
        <v>200</v>
      </c>
      <c r="Z34" s="5">
        <f>VLOOKUP(A34,[4]Sheet!$A:$X,24,0)</f>
        <v>200</v>
      </c>
      <c r="AA34" s="1">
        <f t="shared" si="10"/>
        <v>17.737704918032787</v>
      </c>
      <c r="AB34" s="1">
        <f t="shared" si="4"/>
        <v>12.491803278688524</v>
      </c>
      <c r="AC34" s="1">
        <v>68</v>
      </c>
      <c r="AD34" s="1">
        <v>92.8</v>
      </c>
      <c r="AE34" s="1">
        <v>62</v>
      </c>
      <c r="AF34" s="1">
        <v>104.8</v>
      </c>
      <c r="AG34" s="1">
        <v>105.6</v>
      </c>
      <c r="AH34" s="1">
        <v>60</v>
      </c>
      <c r="AI34" s="1">
        <v>94.2</v>
      </c>
      <c r="AJ34" s="1">
        <v>83.8</v>
      </c>
      <c r="AK34" s="1">
        <v>105</v>
      </c>
      <c r="AL34" s="1">
        <v>61.8</v>
      </c>
      <c r="AM34" s="1"/>
      <c r="AN34" s="1">
        <f t="shared" si="11"/>
        <v>48</v>
      </c>
      <c r="AO34" s="1">
        <f t="shared" si="12"/>
        <v>80</v>
      </c>
    </row>
    <row r="35" spans="1:41" x14ac:dyDescent="0.25">
      <c r="A35" s="9" t="s">
        <v>76</v>
      </c>
      <c r="B35" s="9" t="s">
        <v>40</v>
      </c>
      <c r="C35" s="9">
        <v>82</v>
      </c>
      <c r="D35" s="9"/>
      <c r="E35" s="9">
        <v>-2</v>
      </c>
      <c r="F35" s="9"/>
      <c r="G35" s="9"/>
      <c r="H35" s="10">
        <v>0</v>
      </c>
      <c r="I35" s="9">
        <v>45</v>
      </c>
      <c r="J35" s="9" t="s">
        <v>77</v>
      </c>
      <c r="K35" s="9"/>
      <c r="L35" s="9">
        <v>32</v>
      </c>
      <c r="M35" s="9">
        <f t="shared" si="3"/>
        <v>-34</v>
      </c>
      <c r="N35" s="9">
        <f t="shared" si="5"/>
        <v>-2</v>
      </c>
      <c r="O35" s="9"/>
      <c r="P35" s="9">
        <v>0</v>
      </c>
      <c r="Q35" s="9">
        <v>0</v>
      </c>
      <c r="R35" s="9">
        <f t="shared" si="6"/>
        <v>-0.4</v>
      </c>
      <c r="S35" s="11"/>
      <c r="T35" s="19">
        <f>VLOOKUP(A35,[1]TDSheet!$D:$J,7,0)</f>
        <v>0.23214285714285712</v>
      </c>
      <c r="U35" s="11"/>
      <c r="V35" s="5">
        <f t="shared" si="8"/>
        <v>0</v>
      </c>
      <c r="W35" s="11"/>
      <c r="X35" s="11"/>
      <c r="Y35" s="5">
        <f t="shared" si="14"/>
        <v>0</v>
      </c>
      <c r="Z35" s="11"/>
      <c r="AA35" s="1">
        <f t="shared" si="10"/>
        <v>0</v>
      </c>
      <c r="AB35" s="9">
        <f t="shared" si="4"/>
        <v>0</v>
      </c>
      <c r="AC35" s="9">
        <v>7.2</v>
      </c>
      <c r="AD35" s="9">
        <v>6</v>
      </c>
      <c r="AE35" s="9">
        <v>5.8</v>
      </c>
      <c r="AF35" s="9">
        <v>3.8</v>
      </c>
      <c r="AG35" s="9">
        <v>0</v>
      </c>
      <c r="AH35" s="9">
        <v>0.4</v>
      </c>
      <c r="AI35" s="9">
        <v>0</v>
      </c>
      <c r="AJ35" s="9">
        <v>0</v>
      </c>
      <c r="AK35" s="9">
        <v>0</v>
      </c>
      <c r="AL35" s="9">
        <v>0</v>
      </c>
      <c r="AM35" s="9"/>
      <c r="AN35" s="1">
        <f t="shared" si="11"/>
        <v>0</v>
      </c>
      <c r="AO35" s="1">
        <f t="shared" si="12"/>
        <v>0</v>
      </c>
    </row>
    <row r="36" spans="1:41" x14ac:dyDescent="0.25">
      <c r="A36" s="9" t="s">
        <v>78</v>
      </c>
      <c r="B36" s="9" t="s">
        <v>40</v>
      </c>
      <c r="C36" s="9">
        <v>2</v>
      </c>
      <c r="D36" s="9"/>
      <c r="E36" s="9"/>
      <c r="F36" s="14">
        <v>2</v>
      </c>
      <c r="G36" s="9"/>
      <c r="H36" s="10">
        <v>0</v>
      </c>
      <c r="I36" s="9">
        <v>60</v>
      </c>
      <c r="J36" s="9" t="s">
        <v>62</v>
      </c>
      <c r="K36" s="9" t="s">
        <v>79</v>
      </c>
      <c r="L36" s="9"/>
      <c r="M36" s="9">
        <f t="shared" si="3"/>
        <v>0</v>
      </c>
      <c r="N36" s="9">
        <f t="shared" si="5"/>
        <v>0</v>
      </c>
      <c r="O36" s="9"/>
      <c r="P36" s="9">
        <v>0</v>
      </c>
      <c r="Q36" s="9">
        <v>0</v>
      </c>
      <c r="R36" s="9">
        <f t="shared" si="6"/>
        <v>0</v>
      </c>
      <c r="S36" s="11"/>
      <c r="T36" s="19">
        <f>VLOOKUP(A36,[1]TDSheet!$D:$J,7,0)</f>
        <v>0</v>
      </c>
      <c r="U36" s="11"/>
      <c r="V36" s="5">
        <f t="shared" si="8"/>
        <v>0</v>
      </c>
      <c r="W36" s="11"/>
      <c r="X36" s="11"/>
      <c r="Y36" s="5">
        <f t="shared" si="14"/>
        <v>0</v>
      </c>
      <c r="Z36" s="11"/>
      <c r="AA36" s="1" t="e">
        <f t="shared" si="10"/>
        <v>#DIV/0!</v>
      </c>
      <c r="AB36" s="9" t="e">
        <f t="shared" si="4"/>
        <v>#DIV/0!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0.2</v>
      </c>
      <c r="AK36" s="9">
        <v>-0.4</v>
      </c>
      <c r="AL36" s="9">
        <v>20.6</v>
      </c>
      <c r="AM36" s="9" t="s">
        <v>80</v>
      </c>
      <c r="AN36" s="1">
        <f t="shared" si="11"/>
        <v>0</v>
      </c>
      <c r="AO36" s="1">
        <f t="shared" si="12"/>
        <v>0</v>
      </c>
    </row>
    <row r="37" spans="1:41" x14ac:dyDescent="0.25">
      <c r="A37" s="9" t="s">
        <v>81</v>
      </c>
      <c r="B37" s="9" t="s">
        <v>36</v>
      </c>
      <c r="C37" s="9">
        <v>14.555</v>
      </c>
      <c r="D37" s="9">
        <v>318.95100000000002</v>
      </c>
      <c r="E37" s="9">
        <v>39.238</v>
      </c>
      <c r="F37" s="9"/>
      <c r="G37" s="9"/>
      <c r="H37" s="10">
        <v>0</v>
      </c>
      <c r="I37" s="9">
        <v>45</v>
      </c>
      <c r="J37" s="9" t="s">
        <v>62</v>
      </c>
      <c r="K37" s="9"/>
      <c r="L37" s="9">
        <v>47.2</v>
      </c>
      <c r="M37" s="9">
        <f t="shared" si="3"/>
        <v>-7.9620000000000033</v>
      </c>
      <c r="N37" s="9">
        <f t="shared" si="5"/>
        <v>0</v>
      </c>
      <c r="O37" s="9">
        <f>VLOOKUP(A37,[3]TDSheet!$A:$AX,7,0)</f>
        <v>39.238</v>
      </c>
      <c r="P37" s="9">
        <v>0</v>
      </c>
      <c r="Q37" s="9">
        <v>0</v>
      </c>
      <c r="R37" s="9">
        <f t="shared" si="6"/>
        <v>0</v>
      </c>
      <c r="S37" s="11"/>
      <c r="T37" s="19">
        <f>VLOOKUP(A37,[1]TDSheet!$D:$J,7,0)</f>
        <v>1</v>
      </c>
      <c r="U37" s="11"/>
      <c r="V37" s="5">
        <f t="shared" si="8"/>
        <v>0</v>
      </c>
      <c r="W37" s="11"/>
      <c r="X37" s="11"/>
      <c r="Y37" s="5">
        <f t="shared" si="14"/>
        <v>0</v>
      </c>
      <c r="Z37" s="11"/>
      <c r="AA37" s="1" t="e">
        <f t="shared" si="10"/>
        <v>#DIV/0!</v>
      </c>
      <c r="AB37" s="9" t="e">
        <f t="shared" si="4"/>
        <v>#DIV/0!</v>
      </c>
      <c r="AC37" s="9">
        <v>0</v>
      </c>
      <c r="AD37" s="9">
        <v>1.9390000000000009</v>
      </c>
      <c r="AE37" s="9">
        <v>2.6938</v>
      </c>
      <c r="AF37" s="9">
        <v>9.0944000000000003</v>
      </c>
      <c r="AG37" s="9">
        <v>3.9171999999999998</v>
      </c>
      <c r="AH37" s="9">
        <v>0</v>
      </c>
      <c r="AI37" s="9">
        <v>11.114000000000001</v>
      </c>
      <c r="AJ37" s="9">
        <v>13.551</v>
      </c>
      <c r="AK37" s="9">
        <v>8.1720000000000006</v>
      </c>
      <c r="AL37" s="9">
        <v>2.6469999999999998</v>
      </c>
      <c r="AM37" s="9"/>
      <c r="AN37" s="1">
        <f t="shared" si="11"/>
        <v>0</v>
      </c>
      <c r="AO37" s="1">
        <f t="shared" si="12"/>
        <v>0</v>
      </c>
    </row>
    <row r="38" spans="1:41" x14ac:dyDescent="0.25">
      <c r="A38" s="9" t="s">
        <v>82</v>
      </c>
      <c r="B38" s="9" t="s">
        <v>40</v>
      </c>
      <c r="C38" s="9">
        <v>78</v>
      </c>
      <c r="D38" s="9">
        <v>216</v>
      </c>
      <c r="E38" s="9">
        <v>30</v>
      </c>
      <c r="F38" s="9">
        <v>12</v>
      </c>
      <c r="G38" s="9"/>
      <c r="H38" s="10">
        <v>0</v>
      </c>
      <c r="I38" s="9"/>
      <c r="J38" s="9" t="s">
        <v>62</v>
      </c>
      <c r="K38" s="9"/>
      <c r="L38" s="9">
        <v>145</v>
      </c>
      <c r="M38" s="9">
        <f t="shared" ref="M38:M69" si="23">E38-L38</f>
        <v>-115</v>
      </c>
      <c r="N38" s="9">
        <f t="shared" si="5"/>
        <v>0</v>
      </c>
      <c r="O38" s="9">
        <f>VLOOKUP(A38,[3]TDSheet!$A:$AX,7,0)</f>
        <v>30</v>
      </c>
      <c r="P38" s="9">
        <v>0</v>
      </c>
      <c r="Q38" s="9">
        <v>0</v>
      </c>
      <c r="R38" s="9">
        <f t="shared" si="6"/>
        <v>0</v>
      </c>
      <c r="S38" s="11"/>
      <c r="T38" s="19">
        <f>VLOOKUP(A38,[1]TDSheet!$D:$J,7,0)</f>
        <v>1</v>
      </c>
      <c r="U38" s="11"/>
      <c r="V38" s="5">
        <f t="shared" si="8"/>
        <v>0</v>
      </c>
      <c r="W38" s="11"/>
      <c r="X38" s="11"/>
      <c r="Y38" s="5">
        <f t="shared" si="14"/>
        <v>0</v>
      </c>
      <c r="Z38" s="11"/>
      <c r="AA38" s="1" t="e">
        <f t="shared" si="10"/>
        <v>#DIV/0!</v>
      </c>
      <c r="AB38" s="9" t="e">
        <f t="shared" ref="AB38:AB69" si="24">(F38+G38+P38+Q38)/R38</f>
        <v>#DIV/0!</v>
      </c>
      <c r="AC38" s="9">
        <v>0</v>
      </c>
      <c r="AD38" s="9">
        <v>2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/>
      <c r="AN38" s="1">
        <f t="shared" si="11"/>
        <v>0</v>
      </c>
      <c r="AO38" s="1">
        <f t="shared" si="12"/>
        <v>0</v>
      </c>
    </row>
    <row r="39" spans="1:41" x14ac:dyDescent="0.25">
      <c r="A39" s="1" t="s">
        <v>83</v>
      </c>
      <c r="B39" s="1" t="s">
        <v>40</v>
      </c>
      <c r="C39" s="1">
        <v>126</v>
      </c>
      <c r="D39" s="1">
        <v>329</v>
      </c>
      <c r="E39" s="1">
        <v>75</v>
      </c>
      <c r="F39" s="1">
        <v>18</v>
      </c>
      <c r="G39" s="1">
        <f>VLOOKUP(A39,[2]TDSheet!$A:$M,9,0)</f>
        <v>29</v>
      </c>
      <c r="H39" s="7">
        <v>0.3</v>
      </c>
      <c r="I39" s="1">
        <v>45</v>
      </c>
      <c r="J39" s="1" t="s">
        <v>37</v>
      </c>
      <c r="K39" s="1"/>
      <c r="L39" s="1">
        <v>86</v>
      </c>
      <c r="M39" s="1">
        <f t="shared" si="23"/>
        <v>-11</v>
      </c>
      <c r="N39" s="1">
        <f t="shared" si="5"/>
        <v>57</v>
      </c>
      <c r="O39" s="1">
        <f>VLOOKUP(A39,[3]TDSheet!$A:$AX,7,0)</f>
        <v>18</v>
      </c>
      <c r="P39" s="1">
        <v>0</v>
      </c>
      <c r="Q39" s="1">
        <v>117</v>
      </c>
      <c r="R39" s="1">
        <f t="shared" si="6"/>
        <v>11.4</v>
      </c>
      <c r="S39" s="5">
        <f t="shared" ref="S39:S49" si="25">15*R39-Q39-P39-G39-F39</f>
        <v>7</v>
      </c>
      <c r="T39" s="19">
        <f>VLOOKUP(A39,[1]TDSheet!$D:$J,7,0)</f>
        <v>0.49881796690307323</v>
      </c>
      <c r="U39" s="5">
        <v>4</v>
      </c>
      <c r="V39" s="5">
        <f t="shared" si="8"/>
        <v>4</v>
      </c>
      <c r="W39" s="5"/>
      <c r="X39" s="5">
        <v>4</v>
      </c>
      <c r="Y39" s="5">
        <v>30</v>
      </c>
      <c r="Z39" s="5">
        <f>VLOOKUP(A39,[4]Sheet!$A:$X,24,0)</f>
        <v>30</v>
      </c>
      <c r="AA39" s="1">
        <f t="shared" si="10"/>
        <v>17.368421052631579</v>
      </c>
      <c r="AB39" s="1">
        <f t="shared" si="24"/>
        <v>14.385964912280702</v>
      </c>
      <c r="AC39" s="1">
        <v>16.2</v>
      </c>
      <c r="AD39" s="1">
        <v>15.4</v>
      </c>
      <c r="AE39" s="1">
        <v>16.399999999999999</v>
      </c>
      <c r="AF39" s="1">
        <v>26</v>
      </c>
      <c r="AG39" s="1">
        <v>22.4</v>
      </c>
      <c r="AH39" s="1">
        <v>25.8</v>
      </c>
      <c r="AI39" s="1">
        <v>11.4</v>
      </c>
      <c r="AJ39" s="1">
        <v>21.2</v>
      </c>
      <c r="AK39" s="1">
        <v>45.2</v>
      </c>
      <c r="AL39" s="1">
        <v>22.6</v>
      </c>
      <c r="AM39" s="1"/>
      <c r="AN39" s="1">
        <f t="shared" si="11"/>
        <v>1.2</v>
      </c>
      <c r="AO39" s="1">
        <f t="shared" si="12"/>
        <v>9</v>
      </c>
    </row>
    <row r="40" spans="1:41" x14ac:dyDescent="0.25">
      <c r="A40" s="1" t="s">
        <v>84</v>
      </c>
      <c r="B40" s="1" t="s">
        <v>36</v>
      </c>
      <c r="C40" s="1">
        <v>1123.6590000000001</v>
      </c>
      <c r="D40" s="1">
        <v>1623.806</v>
      </c>
      <c r="E40" s="1">
        <v>228.76</v>
      </c>
      <c r="F40" s="1">
        <v>208.24700000000001</v>
      </c>
      <c r="G40" s="1">
        <f>VLOOKUP(A40,[2]TDSheet!$A:$M,9,0)</f>
        <v>370.803</v>
      </c>
      <c r="H40" s="7">
        <v>1</v>
      </c>
      <c r="I40" s="1">
        <v>60</v>
      </c>
      <c r="J40" s="1" t="s">
        <v>37</v>
      </c>
      <c r="K40" s="1"/>
      <c r="L40" s="1">
        <v>227.4</v>
      </c>
      <c r="M40" s="1">
        <f t="shared" si="23"/>
        <v>1.3599999999999852</v>
      </c>
      <c r="N40" s="1">
        <f t="shared" si="5"/>
        <v>139.56399999999999</v>
      </c>
      <c r="O40" s="1">
        <f>VLOOKUP(A40,[3]TDSheet!$A:$AX,7,0)</f>
        <v>89.195999999999998</v>
      </c>
      <c r="P40" s="1">
        <v>0</v>
      </c>
      <c r="Q40" s="1">
        <v>0</v>
      </c>
      <c r="R40" s="1">
        <f t="shared" si="6"/>
        <v>27.912799999999997</v>
      </c>
      <c r="S40" s="5"/>
      <c r="T40" s="19">
        <f>VLOOKUP(A40,[1]TDSheet!$D:$J,7,0)</f>
        <v>0.76191685830446043</v>
      </c>
      <c r="U40" s="5">
        <f t="shared" ref="U40:U49" si="26">S40-X40</f>
        <v>0</v>
      </c>
      <c r="V40" s="5">
        <f t="shared" si="8"/>
        <v>0</v>
      </c>
      <c r="W40" s="5"/>
      <c r="X40" s="5">
        <f t="shared" ref="X40:X49" si="27">S40*T40</f>
        <v>0</v>
      </c>
      <c r="Y40" s="5">
        <f t="shared" si="14"/>
        <v>0</v>
      </c>
      <c r="Z40" s="5"/>
      <c r="AA40" s="1">
        <f t="shared" si="10"/>
        <v>20.744962884411454</v>
      </c>
      <c r="AB40" s="1">
        <f t="shared" si="24"/>
        <v>20.744962884411454</v>
      </c>
      <c r="AC40" s="1">
        <v>17.353999999999999</v>
      </c>
      <c r="AD40" s="1">
        <v>14.4514</v>
      </c>
      <c r="AE40" s="1">
        <v>46.306199999999997</v>
      </c>
      <c r="AF40" s="1">
        <v>46.882800000000003</v>
      </c>
      <c r="AG40" s="1">
        <v>45.837400000000002</v>
      </c>
      <c r="AH40" s="1">
        <v>32.807000000000002</v>
      </c>
      <c r="AI40" s="1">
        <v>36.681600000000003</v>
      </c>
      <c r="AJ40" s="1">
        <v>46.652000000000001</v>
      </c>
      <c r="AK40" s="1">
        <v>53.252200000000002</v>
      </c>
      <c r="AL40" s="1">
        <v>15.216799999999999</v>
      </c>
      <c r="AM40" s="12" t="s">
        <v>49</v>
      </c>
      <c r="AN40" s="1">
        <f t="shared" si="11"/>
        <v>0</v>
      </c>
      <c r="AO40" s="1">
        <f t="shared" si="12"/>
        <v>0</v>
      </c>
    </row>
    <row r="41" spans="1:41" x14ac:dyDescent="0.25">
      <c r="A41" s="1" t="s">
        <v>85</v>
      </c>
      <c r="B41" s="1" t="s">
        <v>36</v>
      </c>
      <c r="C41" s="1">
        <v>127.858</v>
      </c>
      <c r="D41" s="1">
        <v>28.533000000000001</v>
      </c>
      <c r="E41" s="1">
        <v>88.04</v>
      </c>
      <c r="F41" s="1">
        <v>29.452000000000002</v>
      </c>
      <c r="G41" s="1">
        <f>VLOOKUP(A41,[2]TDSheet!$A:$M,9,0)</f>
        <v>6.34</v>
      </c>
      <c r="H41" s="7">
        <v>1</v>
      </c>
      <c r="I41" s="1">
        <v>45</v>
      </c>
      <c r="J41" s="1" t="s">
        <v>37</v>
      </c>
      <c r="K41" s="1"/>
      <c r="L41" s="1">
        <v>88.3</v>
      </c>
      <c r="M41" s="1">
        <f t="shared" si="23"/>
        <v>-0.25999999999999091</v>
      </c>
      <c r="N41" s="1">
        <f t="shared" si="5"/>
        <v>88.04</v>
      </c>
      <c r="O41" s="1"/>
      <c r="P41" s="1">
        <v>160</v>
      </c>
      <c r="Q41" s="1">
        <v>0</v>
      </c>
      <c r="R41" s="1">
        <f t="shared" si="6"/>
        <v>17.608000000000001</v>
      </c>
      <c r="S41" s="5">
        <f t="shared" si="25"/>
        <v>68.328000000000003</v>
      </c>
      <c r="T41" s="19">
        <f>VLOOKUP(A41,[1]TDSheet!$D:$J,7,0)</f>
        <v>0.11367880237399236</v>
      </c>
      <c r="U41" s="5">
        <f t="shared" si="26"/>
        <v>60.560554791389855</v>
      </c>
      <c r="V41" s="5">
        <f>W41</f>
        <v>150</v>
      </c>
      <c r="W41" s="5">
        <f>VLOOKUP(A41,[4]Sheet!$A:$V,22,0)</f>
        <v>150</v>
      </c>
      <c r="X41" s="5">
        <f t="shared" si="27"/>
        <v>7.76744520861015</v>
      </c>
      <c r="Y41" s="5">
        <v>50</v>
      </c>
      <c r="Z41" s="5">
        <f>VLOOKUP(A41,[4]Sheet!$A:$X,24,0)</f>
        <v>50</v>
      </c>
      <c r="AA41" s="1">
        <f t="shared" si="10"/>
        <v>22.477964561562928</v>
      </c>
      <c r="AB41" s="1">
        <f t="shared" si="24"/>
        <v>11.119491140390732</v>
      </c>
      <c r="AC41" s="1">
        <v>5.7988</v>
      </c>
      <c r="AD41" s="1">
        <v>18.465599999999998</v>
      </c>
      <c r="AE41" s="1">
        <v>17.502400000000002</v>
      </c>
      <c r="AF41" s="1">
        <v>10.848800000000001</v>
      </c>
      <c r="AG41" s="1">
        <v>17.9328</v>
      </c>
      <c r="AH41" s="1">
        <v>15.6494</v>
      </c>
      <c r="AI41" s="1">
        <v>12.670999999999999</v>
      </c>
      <c r="AJ41" s="1">
        <v>16.613800000000001</v>
      </c>
      <c r="AK41" s="1">
        <v>17.702400000000001</v>
      </c>
      <c r="AL41" s="1">
        <v>10.339600000000001</v>
      </c>
      <c r="AM41" s="1"/>
      <c r="AN41" s="1">
        <f t="shared" si="11"/>
        <v>150</v>
      </c>
      <c r="AO41" s="1">
        <f t="shared" si="12"/>
        <v>50</v>
      </c>
    </row>
    <row r="42" spans="1:41" x14ac:dyDescent="0.25">
      <c r="A42" s="1" t="s">
        <v>86</v>
      </c>
      <c r="B42" s="1" t="s">
        <v>36</v>
      </c>
      <c r="C42" s="1">
        <v>227.56100000000001</v>
      </c>
      <c r="D42" s="1">
        <v>340.13799999999998</v>
      </c>
      <c r="E42" s="1">
        <v>80.932000000000002</v>
      </c>
      <c r="F42" s="1">
        <v>45.564</v>
      </c>
      <c r="G42" s="1">
        <f>VLOOKUP(A42,[2]TDSheet!$A:$M,9,0)</f>
        <v>29.978999999999999</v>
      </c>
      <c r="H42" s="7">
        <v>1</v>
      </c>
      <c r="I42" s="1">
        <v>45</v>
      </c>
      <c r="J42" s="1" t="s">
        <v>37</v>
      </c>
      <c r="K42" s="1"/>
      <c r="L42" s="1">
        <v>82.2</v>
      </c>
      <c r="M42" s="1">
        <f t="shared" si="23"/>
        <v>-1.2680000000000007</v>
      </c>
      <c r="N42" s="1">
        <f t="shared" si="5"/>
        <v>65.245000000000005</v>
      </c>
      <c r="O42" s="1">
        <f>VLOOKUP(A42,[3]TDSheet!$A:$AX,7,0)</f>
        <v>15.686999999999999</v>
      </c>
      <c r="P42" s="1">
        <v>340</v>
      </c>
      <c r="Q42" s="1">
        <v>0</v>
      </c>
      <c r="R42" s="1">
        <f t="shared" si="6"/>
        <v>13.049000000000001</v>
      </c>
      <c r="S42" s="5"/>
      <c r="T42" s="19">
        <f>VLOOKUP(A42,[1]TDSheet!$D:$J,7,0)</f>
        <v>0.39876802257807226</v>
      </c>
      <c r="U42" s="5">
        <f t="shared" si="26"/>
        <v>0</v>
      </c>
      <c r="V42" s="5">
        <f t="shared" si="8"/>
        <v>0</v>
      </c>
      <c r="W42" s="5"/>
      <c r="X42" s="5">
        <f t="shared" si="27"/>
        <v>0</v>
      </c>
      <c r="Y42" s="5">
        <v>20</v>
      </c>
      <c r="Z42" s="5">
        <f>VLOOKUP(A42,[4]Sheet!$A:$X,24,0)</f>
        <v>50</v>
      </c>
      <c r="AA42" s="1">
        <f t="shared" si="10"/>
        <v>33.377500191585561</v>
      </c>
      <c r="AB42" s="1">
        <f t="shared" si="24"/>
        <v>31.844815694689245</v>
      </c>
      <c r="AC42" s="1">
        <v>17.644400000000001</v>
      </c>
      <c r="AD42" s="1">
        <v>21.256599999999999</v>
      </c>
      <c r="AE42" s="1">
        <v>2.8117999999999999</v>
      </c>
      <c r="AF42" s="1">
        <v>24.3322</v>
      </c>
      <c r="AG42" s="1">
        <v>18.131399999999999</v>
      </c>
      <c r="AH42" s="1">
        <v>12.0776</v>
      </c>
      <c r="AI42" s="1">
        <v>13.896599999999999</v>
      </c>
      <c r="AJ42" s="1">
        <v>19.759399999999999</v>
      </c>
      <c r="AK42" s="1">
        <v>14.8596</v>
      </c>
      <c r="AL42" s="1">
        <v>11.2278</v>
      </c>
      <c r="AM42" s="15" t="s">
        <v>41</v>
      </c>
      <c r="AN42" s="1">
        <f t="shared" si="11"/>
        <v>0</v>
      </c>
      <c r="AO42" s="1">
        <f t="shared" si="12"/>
        <v>20</v>
      </c>
    </row>
    <row r="43" spans="1:41" x14ac:dyDescent="0.25">
      <c r="A43" s="1" t="s">
        <v>87</v>
      </c>
      <c r="B43" s="1" t="s">
        <v>36</v>
      </c>
      <c r="C43" s="1">
        <v>68.498000000000005</v>
      </c>
      <c r="D43" s="1">
        <v>159.62899999999999</v>
      </c>
      <c r="E43" s="1">
        <v>38.027000000000001</v>
      </c>
      <c r="F43" s="1">
        <v>12.492000000000001</v>
      </c>
      <c r="G43" s="1">
        <f>VLOOKUP(A43,[2]TDSheet!$A:$M,9,0)</f>
        <v>3.1379999999999999</v>
      </c>
      <c r="H43" s="7">
        <v>1</v>
      </c>
      <c r="I43" s="1">
        <v>45</v>
      </c>
      <c r="J43" s="1" t="s">
        <v>37</v>
      </c>
      <c r="K43" s="1"/>
      <c r="L43" s="1">
        <v>48</v>
      </c>
      <c r="M43" s="1">
        <f t="shared" si="23"/>
        <v>-9.972999999999999</v>
      </c>
      <c r="N43" s="1">
        <f t="shared" si="5"/>
        <v>38.027000000000001</v>
      </c>
      <c r="O43" s="1"/>
      <c r="P43" s="1">
        <v>47</v>
      </c>
      <c r="Q43" s="1">
        <v>50</v>
      </c>
      <c r="R43" s="1">
        <f t="shared" si="6"/>
        <v>7.6054000000000004</v>
      </c>
      <c r="S43" s="5">
        <v>4</v>
      </c>
      <c r="T43" s="19">
        <f>VLOOKUP(A43,[1]TDSheet!$D:$J,7,0)</f>
        <v>0.14720124335219406</v>
      </c>
      <c r="U43" s="5">
        <v>4</v>
      </c>
      <c r="V43" s="5">
        <f t="shared" si="8"/>
        <v>4</v>
      </c>
      <c r="W43" s="5"/>
      <c r="X43" s="5">
        <v>4</v>
      </c>
      <c r="Y43" s="5">
        <v>40</v>
      </c>
      <c r="Z43" s="5">
        <f>VLOOKUP(A43,[4]Sheet!$A:$X,24,0)</f>
        <v>50</v>
      </c>
      <c r="AA43" s="1">
        <f t="shared" si="10"/>
        <v>20.594577537013173</v>
      </c>
      <c r="AB43" s="1">
        <f t="shared" si="24"/>
        <v>14.809214505482945</v>
      </c>
      <c r="AC43" s="1">
        <v>11.007199999999999</v>
      </c>
      <c r="AD43" s="1">
        <v>11.5886</v>
      </c>
      <c r="AE43" s="1">
        <v>6.1677999999999997</v>
      </c>
      <c r="AF43" s="1">
        <v>9.9160000000000004</v>
      </c>
      <c r="AG43" s="1">
        <v>15.056800000000001</v>
      </c>
      <c r="AH43" s="1">
        <v>10.8932</v>
      </c>
      <c r="AI43" s="1">
        <v>5.9122000000000003</v>
      </c>
      <c r="AJ43" s="1">
        <v>11.0404</v>
      </c>
      <c r="AK43" s="1">
        <v>17.397600000000001</v>
      </c>
      <c r="AL43" s="1">
        <v>6.0191999999999997</v>
      </c>
      <c r="AM43" s="1"/>
      <c r="AN43" s="1">
        <f t="shared" si="11"/>
        <v>4</v>
      </c>
      <c r="AO43" s="1">
        <f t="shared" si="12"/>
        <v>40</v>
      </c>
    </row>
    <row r="44" spans="1:41" x14ac:dyDescent="0.25">
      <c r="A44" s="1" t="s">
        <v>88</v>
      </c>
      <c r="B44" s="1" t="s">
        <v>40</v>
      </c>
      <c r="C44" s="1">
        <v>363</v>
      </c>
      <c r="D44" s="1">
        <v>723</v>
      </c>
      <c r="E44" s="1">
        <v>248</v>
      </c>
      <c r="F44" s="1">
        <v>2</v>
      </c>
      <c r="G44" s="1"/>
      <c r="H44" s="7">
        <v>0.3</v>
      </c>
      <c r="I44" s="1">
        <v>45</v>
      </c>
      <c r="J44" s="1" t="s">
        <v>37</v>
      </c>
      <c r="K44" s="1"/>
      <c r="L44" s="1">
        <v>325</v>
      </c>
      <c r="M44" s="1">
        <f t="shared" si="23"/>
        <v>-77</v>
      </c>
      <c r="N44" s="1">
        <f t="shared" si="5"/>
        <v>232</v>
      </c>
      <c r="O44" s="1">
        <f>VLOOKUP(A44,[3]TDSheet!$A:$AX,7,0)</f>
        <v>16</v>
      </c>
      <c r="P44" s="1">
        <v>964</v>
      </c>
      <c r="Q44" s="1">
        <v>0</v>
      </c>
      <c r="R44" s="1">
        <f t="shared" si="6"/>
        <v>46.4</v>
      </c>
      <c r="S44" s="5"/>
      <c r="T44" s="19">
        <f>VLOOKUP(A44,[1]TDSheet!$D:$J,7,0)</f>
        <v>0.29040404040404044</v>
      </c>
      <c r="U44" s="5">
        <f t="shared" si="26"/>
        <v>0</v>
      </c>
      <c r="V44" s="5">
        <f t="shared" si="8"/>
        <v>0</v>
      </c>
      <c r="W44" s="5"/>
      <c r="X44" s="5">
        <f t="shared" si="27"/>
        <v>0</v>
      </c>
      <c r="Y44" s="5">
        <v>150</v>
      </c>
      <c r="Z44" s="5">
        <f>VLOOKUP(A44,[4]Sheet!$A:$X,24,0)</f>
        <v>150</v>
      </c>
      <c r="AA44" s="1">
        <f t="shared" si="10"/>
        <v>24.051724137931036</v>
      </c>
      <c r="AB44" s="1">
        <f t="shared" si="24"/>
        <v>20.818965517241381</v>
      </c>
      <c r="AC44" s="1">
        <v>37.200000000000003</v>
      </c>
      <c r="AD44" s="1">
        <v>118.8</v>
      </c>
      <c r="AE44" s="1">
        <v>1.6</v>
      </c>
      <c r="AF44" s="1">
        <v>52.2</v>
      </c>
      <c r="AG44" s="1">
        <v>85.8</v>
      </c>
      <c r="AH44" s="1">
        <v>35.799999999999997</v>
      </c>
      <c r="AI44" s="1">
        <v>58.4</v>
      </c>
      <c r="AJ44" s="1">
        <v>64.8</v>
      </c>
      <c r="AK44" s="1">
        <v>52.8</v>
      </c>
      <c r="AL44" s="1">
        <v>58.8</v>
      </c>
      <c r="AM44" s="1"/>
      <c r="AN44" s="1">
        <f t="shared" si="11"/>
        <v>0</v>
      </c>
      <c r="AO44" s="1">
        <f t="shared" si="12"/>
        <v>45</v>
      </c>
    </row>
    <row r="45" spans="1:41" x14ac:dyDescent="0.25">
      <c r="A45" s="1" t="s">
        <v>89</v>
      </c>
      <c r="B45" s="1" t="s">
        <v>36</v>
      </c>
      <c r="C45" s="1">
        <v>94.372</v>
      </c>
      <c r="D45" s="1">
        <v>58.308</v>
      </c>
      <c r="E45" s="1">
        <v>45.103999999999999</v>
      </c>
      <c r="F45" s="1"/>
      <c r="G45" s="1"/>
      <c r="H45" s="7">
        <v>1</v>
      </c>
      <c r="I45" s="1"/>
      <c r="J45" s="1" t="s">
        <v>37</v>
      </c>
      <c r="K45" s="1"/>
      <c r="L45" s="1">
        <v>91.5</v>
      </c>
      <c r="M45" s="1">
        <f t="shared" si="23"/>
        <v>-46.396000000000001</v>
      </c>
      <c r="N45" s="1">
        <f t="shared" si="5"/>
        <v>45.103999999999999</v>
      </c>
      <c r="O45" s="1"/>
      <c r="P45" s="1">
        <v>120</v>
      </c>
      <c r="Q45" s="1">
        <v>0</v>
      </c>
      <c r="R45" s="1">
        <f t="shared" si="6"/>
        <v>9.0207999999999995</v>
      </c>
      <c r="S45" s="5">
        <f t="shared" si="25"/>
        <v>15.311999999999983</v>
      </c>
      <c r="T45" s="19">
        <f>VLOOKUP(A45,[1]TDSheet!$D:$J,7,0)</f>
        <v>0</v>
      </c>
      <c r="U45" s="5">
        <f t="shared" si="26"/>
        <v>15.311999999999983</v>
      </c>
      <c r="V45" s="5">
        <f t="shared" si="8"/>
        <v>15</v>
      </c>
      <c r="W45" s="5"/>
      <c r="X45" s="5">
        <f t="shared" si="27"/>
        <v>0</v>
      </c>
      <c r="Y45" s="5">
        <v>30</v>
      </c>
      <c r="Z45" s="5">
        <f>VLOOKUP(A45,[4]Sheet!$A:$X,24,0)</f>
        <v>30</v>
      </c>
      <c r="AA45" s="1">
        <f t="shared" si="10"/>
        <v>18.291060659808444</v>
      </c>
      <c r="AB45" s="1">
        <f t="shared" si="24"/>
        <v>13.302589570769777</v>
      </c>
      <c r="AC45" s="1">
        <v>2.5748000000000002</v>
      </c>
      <c r="AD45" s="1">
        <v>10.1496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 t="s">
        <v>90</v>
      </c>
      <c r="AN45" s="1">
        <f t="shared" si="11"/>
        <v>15</v>
      </c>
      <c r="AO45" s="1">
        <f t="shared" si="12"/>
        <v>30</v>
      </c>
    </row>
    <row r="46" spans="1:41" x14ac:dyDescent="0.25">
      <c r="A46" s="1" t="s">
        <v>91</v>
      </c>
      <c r="B46" s="1" t="s">
        <v>36</v>
      </c>
      <c r="C46" s="1">
        <v>170.042</v>
      </c>
      <c r="D46" s="1">
        <v>383.024</v>
      </c>
      <c r="E46" s="1">
        <v>84.411000000000001</v>
      </c>
      <c r="F46" s="1">
        <v>37.223999999999997</v>
      </c>
      <c r="G46" s="1"/>
      <c r="H46" s="7">
        <v>1</v>
      </c>
      <c r="I46" s="1">
        <v>45</v>
      </c>
      <c r="J46" s="1" t="s">
        <v>37</v>
      </c>
      <c r="K46" s="1"/>
      <c r="L46" s="1">
        <v>96.5</v>
      </c>
      <c r="M46" s="1">
        <f t="shared" si="23"/>
        <v>-12.088999999999999</v>
      </c>
      <c r="N46" s="1">
        <f t="shared" si="5"/>
        <v>53.064</v>
      </c>
      <c r="O46" s="1">
        <f>VLOOKUP(A46,[3]TDSheet!$A:$AX,7,0)</f>
        <v>31.347000000000001</v>
      </c>
      <c r="P46" s="1">
        <v>0</v>
      </c>
      <c r="Q46" s="1">
        <v>126</v>
      </c>
      <c r="R46" s="1">
        <f t="shared" si="6"/>
        <v>10.6128</v>
      </c>
      <c r="S46" s="5"/>
      <c r="T46" s="19">
        <f>VLOOKUP(A46,[1]TDSheet!$D:$J,7,0)</f>
        <v>0.40149635777271597</v>
      </c>
      <c r="U46" s="5">
        <f t="shared" si="26"/>
        <v>0</v>
      </c>
      <c r="V46" s="5">
        <f t="shared" si="8"/>
        <v>0</v>
      </c>
      <c r="W46" s="5"/>
      <c r="X46" s="5">
        <f t="shared" si="27"/>
        <v>0</v>
      </c>
      <c r="Y46" s="5">
        <v>80</v>
      </c>
      <c r="Z46" s="5">
        <f>VLOOKUP(A46,[4]Sheet!$A:$X,24,0)</f>
        <v>100</v>
      </c>
      <c r="AA46" s="1">
        <f t="shared" si="10"/>
        <v>22.91798582843359</v>
      </c>
      <c r="AB46" s="1">
        <f t="shared" si="24"/>
        <v>15.379918588873812</v>
      </c>
      <c r="AC46" s="1">
        <v>16.558199999999999</v>
      </c>
      <c r="AD46" s="1">
        <v>4.0780000000000003</v>
      </c>
      <c r="AE46" s="1">
        <v>8.1170000000000009</v>
      </c>
      <c r="AF46" s="1">
        <v>16.876200000000001</v>
      </c>
      <c r="AG46" s="1">
        <v>10.6318</v>
      </c>
      <c r="AH46" s="1">
        <v>4.3406000000000002</v>
      </c>
      <c r="AI46" s="1">
        <v>15.939</v>
      </c>
      <c r="AJ46" s="1">
        <v>6.1928000000000001</v>
      </c>
      <c r="AK46" s="1">
        <v>6.7195999999999998</v>
      </c>
      <c r="AL46" s="1">
        <v>2.1467999999999998</v>
      </c>
      <c r="AM46" s="1"/>
      <c r="AN46" s="1">
        <f t="shared" si="11"/>
        <v>0</v>
      </c>
      <c r="AO46" s="1">
        <f t="shared" si="12"/>
        <v>80</v>
      </c>
    </row>
    <row r="47" spans="1:41" x14ac:dyDescent="0.25">
      <c r="A47" s="1" t="s">
        <v>92</v>
      </c>
      <c r="B47" s="1" t="s">
        <v>40</v>
      </c>
      <c r="C47" s="1">
        <v>659</v>
      </c>
      <c r="D47" s="1">
        <v>1645</v>
      </c>
      <c r="E47" s="1">
        <v>716</v>
      </c>
      <c r="F47" s="1">
        <v>46</v>
      </c>
      <c r="G47" s="1">
        <f>VLOOKUP(A47,[2]TDSheet!$A:$M,9,0)</f>
        <v>92</v>
      </c>
      <c r="H47" s="7">
        <v>0.35</v>
      </c>
      <c r="I47" s="1">
        <v>45</v>
      </c>
      <c r="J47" s="1" t="s">
        <v>37</v>
      </c>
      <c r="K47" s="1"/>
      <c r="L47" s="1">
        <v>778</v>
      </c>
      <c r="M47" s="1">
        <f t="shared" si="23"/>
        <v>-62</v>
      </c>
      <c r="N47" s="1">
        <f t="shared" si="5"/>
        <v>563</v>
      </c>
      <c r="O47" s="1">
        <f>VLOOKUP(A47,[3]TDSheet!$A:$AX,7,0)</f>
        <v>153</v>
      </c>
      <c r="P47" s="1">
        <v>1400</v>
      </c>
      <c r="Q47" s="1">
        <v>0</v>
      </c>
      <c r="R47" s="1">
        <f t="shared" si="6"/>
        <v>112.6</v>
      </c>
      <c r="S47" s="5">
        <f t="shared" si="25"/>
        <v>151</v>
      </c>
      <c r="T47" s="19">
        <f>VLOOKUP(A47,[1]TDSheet!$D:$J,7,0)</f>
        <v>0.59639759839893258</v>
      </c>
      <c r="U47" s="5">
        <f t="shared" si="26"/>
        <v>60.943962641761175</v>
      </c>
      <c r="V47" s="5">
        <f t="shared" si="8"/>
        <v>61</v>
      </c>
      <c r="W47" s="5"/>
      <c r="X47" s="5">
        <f t="shared" si="27"/>
        <v>90.056037358238825</v>
      </c>
      <c r="Y47" s="5">
        <v>200</v>
      </c>
      <c r="Z47" s="5">
        <f>VLOOKUP(A47,[4]Sheet!$A:$X,24,0)</f>
        <v>200</v>
      </c>
      <c r="AA47" s="1">
        <f t="shared" si="10"/>
        <v>15.976909413854353</v>
      </c>
      <c r="AB47" s="1">
        <f t="shared" si="24"/>
        <v>13.658969804618119</v>
      </c>
      <c r="AC47" s="1">
        <v>134</v>
      </c>
      <c r="AD47" s="1">
        <v>176</v>
      </c>
      <c r="AE47" s="1">
        <v>82.6</v>
      </c>
      <c r="AF47" s="1">
        <v>158.6</v>
      </c>
      <c r="AG47" s="1">
        <v>169.2</v>
      </c>
      <c r="AH47" s="1">
        <v>109.4</v>
      </c>
      <c r="AI47" s="1">
        <v>94.4</v>
      </c>
      <c r="AJ47" s="1">
        <v>139</v>
      </c>
      <c r="AK47" s="1">
        <v>135.4</v>
      </c>
      <c r="AL47" s="1">
        <v>91.2</v>
      </c>
      <c r="AM47" s="1"/>
      <c r="AN47" s="1">
        <f t="shared" si="11"/>
        <v>21.349999999999998</v>
      </c>
      <c r="AO47" s="1">
        <f t="shared" si="12"/>
        <v>70</v>
      </c>
    </row>
    <row r="48" spans="1:41" x14ac:dyDescent="0.25">
      <c r="A48" s="1" t="s">
        <v>93</v>
      </c>
      <c r="B48" s="1" t="s">
        <v>40</v>
      </c>
      <c r="C48" s="1">
        <v>889</v>
      </c>
      <c r="D48" s="1">
        <v>1488</v>
      </c>
      <c r="E48" s="1">
        <v>23</v>
      </c>
      <c r="F48" s="1"/>
      <c r="G48" s="1"/>
      <c r="H48" s="7">
        <v>0.41</v>
      </c>
      <c r="I48" s="1">
        <v>45</v>
      </c>
      <c r="J48" s="1" t="s">
        <v>37</v>
      </c>
      <c r="K48" s="1"/>
      <c r="L48" s="1">
        <v>374</v>
      </c>
      <c r="M48" s="1">
        <f t="shared" si="23"/>
        <v>-351</v>
      </c>
      <c r="N48" s="1">
        <f t="shared" si="5"/>
        <v>-1</v>
      </c>
      <c r="O48" s="1">
        <f>VLOOKUP(A48,[3]TDSheet!$A:$AX,7,0)</f>
        <v>24</v>
      </c>
      <c r="P48" s="1">
        <v>0</v>
      </c>
      <c r="Q48" s="1">
        <v>42</v>
      </c>
      <c r="R48" s="1">
        <f t="shared" si="6"/>
        <v>-0.2</v>
      </c>
      <c r="S48" s="5"/>
      <c r="T48" s="19">
        <f>VLOOKUP(A48,[1]TDSheet!$D:$J,7,0)</f>
        <v>0.60706401766004414</v>
      </c>
      <c r="U48" s="5">
        <f t="shared" si="26"/>
        <v>0</v>
      </c>
      <c r="V48" s="5">
        <f t="shared" si="8"/>
        <v>0</v>
      </c>
      <c r="W48" s="5"/>
      <c r="X48" s="5">
        <f t="shared" si="27"/>
        <v>0</v>
      </c>
      <c r="Y48" s="5">
        <v>50</v>
      </c>
      <c r="Z48" s="5">
        <f>VLOOKUP(A48,[4]Sheet!$A:$X,24,0)</f>
        <v>50</v>
      </c>
      <c r="AA48" s="1">
        <f t="shared" si="10"/>
        <v>-460</v>
      </c>
      <c r="AB48" s="1">
        <f t="shared" si="24"/>
        <v>-210</v>
      </c>
      <c r="AC48" s="1">
        <v>6</v>
      </c>
      <c r="AD48" s="1">
        <v>80</v>
      </c>
      <c r="AE48" s="1">
        <v>-2.6</v>
      </c>
      <c r="AF48" s="1">
        <v>-2.8</v>
      </c>
      <c r="AG48" s="1">
        <v>46.8</v>
      </c>
      <c r="AH48" s="1">
        <v>39</v>
      </c>
      <c r="AI48" s="1">
        <v>41</v>
      </c>
      <c r="AJ48" s="1">
        <v>31</v>
      </c>
      <c r="AK48" s="1">
        <v>61.6</v>
      </c>
      <c r="AL48" s="1">
        <v>47</v>
      </c>
      <c r="AM48" s="1" t="s">
        <v>94</v>
      </c>
      <c r="AN48" s="1">
        <f t="shared" si="11"/>
        <v>0</v>
      </c>
      <c r="AO48" s="1">
        <f t="shared" si="12"/>
        <v>20.5</v>
      </c>
    </row>
    <row r="49" spans="1:41" x14ac:dyDescent="0.25">
      <c r="A49" s="1" t="s">
        <v>95</v>
      </c>
      <c r="B49" s="1" t="s">
        <v>40</v>
      </c>
      <c r="C49" s="1">
        <v>619</v>
      </c>
      <c r="D49" s="1">
        <v>790</v>
      </c>
      <c r="E49" s="1">
        <v>342</v>
      </c>
      <c r="F49" s="1">
        <v>134</v>
      </c>
      <c r="G49" s="1">
        <f>VLOOKUP(A49,[2]TDSheet!$A:$M,9,0)</f>
        <v>158</v>
      </c>
      <c r="H49" s="7">
        <v>0.41</v>
      </c>
      <c r="I49" s="1">
        <v>45</v>
      </c>
      <c r="J49" s="1" t="s">
        <v>37</v>
      </c>
      <c r="K49" s="1"/>
      <c r="L49" s="1">
        <v>343</v>
      </c>
      <c r="M49" s="1">
        <f t="shared" si="23"/>
        <v>-1</v>
      </c>
      <c r="N49" s="1">
        <f t="shared" si="5"/>
        <v>232</v>
      </c>
      <c r="O49" s="1">
        <f>VLOOKUP(A49,[3]TDSheet!$A:$AX,7,0)</f>
        <v>110</v>
      </c>
      <c r="P49" s="1">
        <v>102</v>
      </c>
      <c r="Q49" s="1">
        <v>108</v>
      </c>
      <c r="R49" s="1">
        <f t="shared" si="6"/>
        <v>46.4</v>
      </c>
      <c r="S49" s="5">
        <f t="shared" si="25"/>
        <v>194</v>
      </c>
      <c r="T49" s="19">
        <f>VLOOKUP(A49,[1]TDSheet!$D:$J,7,0)</f>
        <v>0.41992551210428308</v>
      </c>
      <c r="U49" s="5">
        <f t="shared" si="26"/>
        <v>112.53445065176908</v>
      </c>
      <c r="V49" s="5">
        <f t="shared" si="8"/>
        <v>113</v>
      </c>
      <c r="W49" s="5"/>
      <c r="X49" s="5">
        <f t="shared" si="27"/>
        <v>81.465549348230923</v>
      </c>
      <c r="Y49" s="5">
        <v>200</v>
      </c>
      <c r="Z49" s="5">
        <f>VLOOKUP(A49,[4]Sheet!$A:$X,24,0)</f>
        <v>200</v>
      </c>
      <c r="AA49" s="1">
        <f t="shared" si="10"/>
        <v>17.564655172413794</v>
      </c>
      <c r="AB49" s="1">
        <f t="shared" si="24"/>
        <v>10.818965517241379</v>
      </c>
      <c r="AC49" s="1">
        <v>48.6</v>
      </c>
      <c r="AD49" s="1">
        <v>58.2</v>
      </c>
      <c r="AE49" s="1">
        <v>52.4</v>
      </c>
      <c r="AF49" s="1">
        <v>16.600000000000001</v>
      </c>
      <c r="AG49" s="1">
        <v>57.6</v>
      </c>
      <c r="AH49" s="1">
        <v>35.6</v>
      </c>
      <c r="AI49" s="1">
        <v>12.4</v>
      </c>
      <c r="AJ49" s="1">
        <v>28</v>
      </c>
      <c r="AK49" s="1">
        <v>35</v>
      </c>
      <c r="AL49" s="1">
        <v>20.2</v>
      </c>
      <c r="AM49" s="1"/>
      <c r="AN49" s="1">
        <f t="shared" si="11"/>
        <v>46.33</v>
      </c>
      <c r="AO49" s="1">
        <f t="shared" si="12"/>
        <v>82</v>
      </c>
    </row>
    <row r="50" spans="1:41" x14ac:dyDescent="0.25">
      <c r="A50" s="9" t="s">
        <v>96</v>
      </c>
      <c r="B50" s="9" t="s">
        <v>36</v>
      </c>
      <c r="C50" s="9">
        <v>16.449000000000002</v>
      </c>
      <c r="D50" s="9"/>
      <c r="E50" s="9"/>
      <c r="F50" s="9">
        <v>16.449000000000002</v>
      </c>
      <c r="G50" s="9"/>
      <c r="H50" s="10">
        <v>0</v>
      </c>
      <c r="I50" s="9">
        <v>30</v>
      </c>
      <c r="J50" s="9" t="s">
        <v>62</v>
      </c>
      <c r="K50" s="9"/>
      <c r="L50" s="9"/>
      <c r="M50" s="9">
        <f t="shared" si="23"/>
        <v>0</v>
      </c>
      <c r="N50" s="9">
        <f t="shared" si="5"/>
        <v>0</v>
      </c>
      <c r="O50" s="9"/>
      <c r="P50" s="9">
        <v>0</v>
      </c>
      <c r="Q50" s="9">
        <v>0</v>
      </c>
      <c r="R50" s="9">
        <f t="shared" si="6"/>
        <v>0</v>
      </c>
      <c r="S50" s="11"/>
      <c r="T50" s="19">
        <f>VLOOKUP(A50,[1]TDSheet!$D:$J,7,0)</f>
        <v>0</v>
      </c>
      <c r="U50" s="11"/>
      <c r="V50" s="5">
        <f t="shared" si="8"/>
        <v>0</v>
      </c>
      <c r="W50" s="11"/>
      <c r="X50" s="11"/>
      <c r="Y50" s="5">
        <f t="shared" si="14"/>
        <v>0</v>
      </c>
      <c r="Z50" s="11"/>
      <c r="AA50" s="1" t="e">
        <f t="shared" si="10"/>
        <v>#DIV/0!</v>
      </c>
      <c r="AB50" s="9" t="e">
        <f t="shared" si="24"/>
        <v>#DIV/0!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12" t="s">
        <v>49</v>
      </c>
      <c r="AN50" s="1">
        <f t="shared" si="11"/>
        <v>0</v>
      </c>
      <c r="AO50" s="1">
        <f t="shared" si="12"/>
        <v>0</v>
      </c>
    </row>
    <row r="51" spans="1:41" x14ac:dyDescent="0.25">
      <c r="A51" s="1" t="s">
        <v>97</v>
      </c>
      <c r="B51" s="1" t="s">
        <v>40</v>
      </c>
      <c r="C51" s="1">
        <v>50</v>
      </c>
      <c r="D51" s="1">
        <v>14</v>
      </c>
      <c r="E51" s="1">
        <v>43</v>
      </c>
      <c r="F51" s="1"/>
      <c r="G51" s="1"/>
      <c r="H51" s="7">
        <v>0.36</v>
      </c>
      <c r="I51" s="1">
        <v>45</v>
      </c>
      <c r="J51" s="1" t="s">
        <v>37</v>
      </c>
      <c r="K51" s="1"/>
      <c r="L51" s="1">
        <v>65</v>
      </c>
      <c r="M51" s="1">
        <f t="shared" si="23"/>
        <v>-22</v>
      </c>
      <c r="N51" s="1">
        <f t="shared" si="5"/>
        <v>43</v>
      </c>
      <c r="O51" s="1"/>
      <c r="P51" s="1">
        <v>117</v>
      </c>
      <c r="Q51" s="1">
        <v>0</v>
      </c>
      <c r="R51" s="1">
        <f t="shared" si="6"/>
        <v>8.6</v>
      </c>
      <c r="S51" s="5">
        <f t="shared" ref="S51" si="28">15*R51-Q51-P51-G51-F51</f>
        <v>12</v>
      </c>
      <c r="T51" s="19">
        <f>VLOOKUP(A51,[1]TDSheet!$D:$J,7,0)</f>
        <v>8.1967213114754092E-2</v>
      </c>
      <c r="U51" s="5">
        <v>12</v>
      </c>
      <c r="V51" s="5">
        <f t="shared" si="8"/>
        <v>12</v>
      </c>
      <c r="W51" s="5"/>
      <c r="X51" s="5">
        <v>6</v>
      </c>
      <c r="Y51" s="5">
        <v>30</v>
      </c>
      <c r="Z51" s="5">
        <f>VLOOKUP(A51,[4]Sheet!$A:$X,24,0)</f>
        <v>30</v>
      </c>
      <c r="AA51" s="1">
        <f t="shared" si="10"/>
        <v>18.488372093023255</v>
      </c>
      <c r="AB51" s="1">
        <f t="shared" si="24"/>
        <v>13.604651162790699</v>
      </c>
      <c r="AC51" s="1">
        <v>2.2000000000000002</v>
      </c>
      <c r="AD51" s="1">
        <v>12</v>
      </c>
      <c r="AE51" s="1">
        <v>0.2</v>
      </c>
      <c r="AF51" s="1">
        <v>6.8</v>
      </c>
      <c r="AG51" s="1">
        <v>0</v>
      </c>
      <c r="AH51" s="1">
        <v>0</v>
      </c>
      <c r="AI51" s="1">
        <v>-0.4</v>
      </c>
      <c r="AJ51" s="1">
        <v>0</v>
      </c>
      <c r="AK51" s="1">
        <v>-0.8</v>
      </c>
      <c r="AL51" s="1">
        <v>-1.4</v>
      </c>
      <c r="AM51" s="1" t="s">
        <v>98</v>
      </c>
      <c r="AN51" s="1">
        <f t="shared" si="11"/>
        <v>4.32</v>
      </c>
      <c r="AO51" s="1">
        <f t="shared" si="12"/>
        <v>10.799999999999999</v>
      </c>
    </row>
    <row r="52" spans="1:41" x14ac:dyDescent="0.25">
      <c r="A52" s="1" t="s">
        <v>99</v>
      </c>
      <c r="B52" s="1" t="s">
        <v>40</v>
      </c>
      <c r="C52" s="1">
        <v>107</v>
      </c>
      <c r="D52" s="1">
        <v>297</v>
      </c>
      <c r="E52" s="1">
        <v>105</v>
      </c>
      <c r="F52" s="1">
        <v>147</v>
      </c>
      <c r="G52" s="1"/>
      <c r="H52" s="7">
        <v>0.33</v>
      </c>
      <c r="I52" s="1">
        <v>45</v>
      </c>
      <c r="J52" s="1" t="s">
        <v>37</v>
      </c>
      <c r="K52" s="1"/>
      <c r="L52" s="1">
        <v>137</v>
      </c>
      <c r="M52" s="1">
        <f t="shared" si="23"/>
        <v>-32</v>
      </c>
      <c r="N52" s="1">
        <f t="shared" si="5"/>
        <v>105</v>
      </c>
      <c r="O52" s="1"/>
      <c r="P52" s="1">
        <v>211</v>
      </c>
      <c r="Q52" s="1">
        <v>0</v>
      </c>
      <c r="R52" s="1">
        <f t="shared" si="6"/>
        <v>21</v>
      </c>
      <c r="S52" s="5"/>
      <c r="T52" s="19">
        <f>VLOOKUP(A52,[1]TDSheet!$D:$J,7,0)</f>
        <v>0.38644067796610171</v>
      </c>
      <c r="U52" s="5">
        <f t="shared" ref="U52:U55" si="29">S52-X52</f>
        <v>0</v>
      </c>
      <c r="V52" s="5">
        <f t="shared" si="8"/>
        <v>0</v>
      </c>
      <c r="W52" s="5"/>
      <c r="X52" s="5">
        <f t="shared" ref="X52:X55" si="30">S52*T52</f>
        <v>0</v>
      </c>
      <c r="Y52" s="5">
        <v>40</v>
      </c>
      <c r="Z52" s="5">
        <f>VLOOKUP(A52,[4]Sheet!$A:$X,24,0)</f>
        <v>40</v>
      </c>
      <c r="AA52" s="1">
        <f t="shared" si="10"/>
        <v>18.952380952380953</v>
      </c>
      <c r="AB52" s="1">
        <f t="shared" si="24"/>
        <v>17.047619047619047</v>
      </c>
      <c r="AC52" s="1">
        <v>6</v>
      </c>
      <c r="AD52" s="1">
        <v>27.2</v>
      </c>
      <c r="AE52" s="1">
        <v>17.600000000000001</v>
      </c>
      <c r="AF52" s="1">
        <v>5.2</v>
      </c>
      <c r="AG52" s="1">
        <v>20.2</v>
      </c>
      <c r="AH52" s="1">
        <v>12.8</v>
      </c>
      <c r="AI52" s="1">
        <v>2.2000000000000002</v>
      </c>
      <c r="AJ52" s="1">
        <v>11.4</v>
      </c>
      <c r="AK52" s="1">
        <v>17</v>
      </c>
      <c r="AL52" s="1">
        <v>0</v>
      </c>
      <c r="AM52" s="1" t="s">
        <v>100</v>
      </c>
      <c r="AN52" s="1">
        <f t="shared" si="11"/>
        <v>0</v>
      </c>
      <c r="AO52" s="1">
        <f t="shared" si="12"/>
        <v>13.200000000000001</v>
      </c>
    </row>
    <row r="53" spans="1:41" x14ac:dyDescent="0.25">
      <c r="A53" s="1" t="s">
        <v>101</v>
      </c>
      <c r="B53" s="1" t="s">
        <v>40</v>
      </c>
      <c r="C53" s="1">
        <v>154</v>
      </c>
      <c r="D53" s="1">
        <v>79</v>
      </c>
      <c r="E53" s="1">
        <v>147</v>
      </c>
      <c r="F53" s="1">
        <v>1</v>
      </c>
      <c r="G53" s="1">
        <f>VLOOKUP(A53,[2]TDSheet!$A:$M,9,0)</f>
        <v>-2</v>
      </c>
      <c r="H53" s="7">
        <v>0.4</v>
      </c>
      <c r="I53" s="1">
        <v>60</v>
      </c>
      <c r="J53" s="1" t="s">
        <v>37</v>
      </c>
      <c r="K53" s="1"/>
      <c r="L53" s="1">
        <v>203</v>
      </c>
      <c r="M53" s="1">
        <f t="shared" si="23"/>
        <v>-56</v>
      </c>
      <c r="N53" s="1">
        <f t="shared" si="5"/>
        <v>123</v>
      </c>
      <c r="O53" s="1">
        <f>VLOOKUP(A53,[3]TDSheet!$A:$AX,7,0)</f>
        <v>24</v>
      </c>
      <c r="P53" s="1">
        <v>306</v>
      </c>
      <c r="Q53" s="1">
        <v>110</v>
      </c>
      <c r="R53" s="1">
        <f t="shared" si="6"/>
        <v>24.6</v>
      </c>
      <c r="S53" s="5"/>
      <c r="T53" s="19">
        <f>VLOOKUP(A53,[1]TDSheet!$D:$J,7,0)</f>
        <v>0.50269541778975735</v>
      </c>
      <c r="U53" s="5">
        <f t="shared" si="29"/>
        <v>0</v>
      </c>
      <c r="V53" s="5">
        <f t="shared" si="8"/>
        <v>0</v>
      </c>
      <c r="W53" s="5"/>
      <c r="X53" s="5">
        <f t="shared" si="30"/>
        <v>0</v>
      </c>
      <c r="Y53" s="5">
        <v>30</v>
      </c>
      <c r="Z53" s="5">
        <f>VLOOKUP(A53,[4]Sheet!$A:$X,24,0)</f>
        <v>30</v>
      </c>
      <c r="AA53" s="1">
        <f t="shared" si="10"/>
        <v>18.089430894308943</v>
      </c>
      <c r="AB53" s="1">
        <f t="shared" si="24"/>
        <v>16.869918699186989</v>
      </c>
      <c r="AC53" s="1">
        <v>36.4</v>
      </c>
      <c r="AD53" s="1">
        <v>45</v>
      </c>
      <c r="AE53" s="1">
        <v>9</v>
      </c>
      <c r="AF53" s="1">
        <v>38</v>
      </c>
      <c r="AG53" s="1">
        <v>38.4</v>
      </c>
      <c r="AH53" s="1">
        <v>27</v>
      </c>
      <c r="AI53" s="1">
        <v>20.8</v>
      </c>
      <c r="AJ53" s="1">
        <v>30.2</v>
      </c>
      <c r="AK53" s="1">
        <v>34.6</v>
      </c>
      <c r="AL53" s="1">
        <v>33.799999999999997</v>
      </c>
      <c r="AM53" s="1"/>
      <c r="AN53" s="1">
        <f t="shared" si="11"/>
        <v>0</v>
      </c>
      <c r="AO53" s="1">
        <f t="shared" si="12"/>
        <v>12</v>
      </c>
    </row>
    <row r="54" spans="1:41" x14ac:dyDescent="0.25">
      <c r="A54" s="1" t="s">
        <v>102</v>
      </c>
      <c r="B54" s="1" t="s">
        <v>40</v>
      </c>
      <c r="C54" s="1">
        <v>9</v>
      </c>
      <c r="D54" s="1">
        <v>148</v>
      </c>
      <c r="E54" s="1">
        <v>8</v>
      </c>
      <c r="F54" s="1"/>
      <c r="G54" s="1"/>
      <c r="H54" s="7">
        <v>0.33</v>
      </c>
      <c r="I54" s="1">
        <v>45</v>
      </c>
      <c r="J54" s="1" t="s">
        <v>37</v>
      </c>
      <c r="K54" s="1"/>
      <c r="L54" s="1">
        <v>19</v>
      </c>
      <c r="M54" s="1">
        <f t="shared" si="23"/>
        <v>-11</v>
      </c>
      <c r="N54" s="1">
        <f t="shared" si="5"/>
        <v>8</v>
      </c>
      <c r="O54" s="1"/>
      <c r="P54" s="1">
        <v>19</v>
      </c>
      <c r="Q54" s="1">
        <v>5</v>
      </c>
      <c r="R54" s="1">
        <f t="shared" si="6"/>
        <v>1.6</v>
      </c>
      <c r="S54" s="5">
        <v>8</v>
      </c>
      <c r="T54" s="19">
        <f>VLOOKUP(A54,[1]TDSheet!$D:$J,7,0)</f>
        <v>3.7037037037037035E-2</v>
      </c>
      <c r="U54" s="5">
        <f t="shared" si="29"/>
        <v>7.7037037037037042</v>
      </c>
      <c r="V54" s="5">
        <f t="shared" si="8"/>
        <v>8</v>
      </c>
      <c r="W54" s="5"/>
      <c r="X54" s="5">
        <f t="shared" si="30"/>
        <v>0.29629629629629628</v>
      </c>
      <c r="Y54" s="5">
        <f t="shared" si="14"/>
        <v>0</v>
      </c>
      <c r="Z54" s="5"/>
      <c r="AA54" s="1">
        <f t="shared" si="10"/>
        <v>20</v>
      </c>
      <c r="AB54" s="1">
        <f t="shared" si="24"/>
        <v>15</v>
      </c>
      <c r="AC54" s="1">
        <v>2.2000000000000002</v>
      </c>
      <c r="AD54" s="1">
        <v>2.6</v>
      </c>
      <c r="AE54" s="1">
        <v>-0.4</v>
      </c>
      <c r="AF54" s="1">
        <v>0</v>
      </c>
      <c r="AG54" s="1">
        <v>-0.6</v>
      </c>
      <c r="AH54" s="1">
        <v>0</v>
      </c>
      <c r="AI54" s="1">
        <v>0.8</v>
      </c>
      <c r="AJ54" s="1">
        <v>1.4</v>
      </c>
      <c r="AK54" s="1">
        <v>3.2</v>
      </c>
      <c r="AL54" s="1">
        <v>2.6</v>
      </c>
      <c r="AM54" s="1" t="s">
        <v>103</v>
      </c>
      <c r="AN54" s="1">
        <f t="shared" si="11"/>
        <v>2.64</v>
      </c>
      <c r="AO54" s="1">
        <f t="shared" si="12"/>
        <v>0</v>
      </c>
    </row>
    <row r="55" spans="1:41" x14ac:dyDescent="0.25">
      <c r="A55" s="1" t="s">
        <v>104</v>
      </c>
      <c r="B55" s="1" t="s">
        <v>36</v>
      </c>
      <c r="C55" s="1">
        <v>301.26400000000001</v>
      </c>
      <c r="D55" s="1">
        <v>128.60499999999999</v>
      </c>
      <c r="E55" s="1">
        <v>206.43299999999999</v>
      </c>
      <c r="F55" s="1">
        <v>79.326999999999998</v>
      </c>
      <c r="G55" s="1">
        <f>VLOOKUP(A55,[2]TDSheet!$A:$M,9,0)</f>
        <v>6.3570000000000002</v>
      </c>
      <c r="H55" s="7">
        <v>1</v>
      </c>
      <c r="I55" s="1">
        <v>45</v>
      </c>
      <c r="J55" s="1" t="s">
        <v>37</v>
      </c>
      <c r="K55" s="1"/>
      <c r="L55" s="1">
        <v>199.9</v>
      </c>
      <c r="M55" s="1">
        <f t="shared" si="23"/>
        <v>6.532999999999987</v>
      </c>
      <c r="N55" s="1">
        <f t="shared" si="5"/>
        <v>206.43299999999999</v>
      </c>
      <c r="O55" s="1"/>
      <c r="P55" s="1">
        <v>664</v>
      </c>
      <c r="Q55" s="1">
        <v>0</v>
      </c>
      <c r="R55" s="1">
        <f t="shared" si="6"/>
        <v>41.2866</v>
      </c>
      <c r="S55" s="5"/>
      <c r="T55" s="19">
        <f>VLOOKUP(A55,[1]TDSheet!$D:$J,7,0)</f>
        <v>0.12663247957849127</v>
      </c>
      <c r="U55" s="5">
        <f t="shared" si="29"/>
        <v>0</v>
      </c>
      <c r="V55" s="5">
        <f t="shared" si="8"/>
        <v>0</v>
      </c>
      <c r="W55" s="5"/>
      <c r="X55" s="5">
        <f t="shared" si="30"/>
        <v>0</v>
      </c>
      <c r="Y55" s="5">
        <f t="shared" si="14"/>
        <v>0</v>
      </c>
      <c r="Z55" s="5"/>
      <c r="AA55" s="1">
        <f t="shared" si="10"/>
        <v>18.158046436374029</v>
      </c>
      <c r="AB55" s="1">
        <f t="shared" si="24"/>
        <v>18.158046436374029</v>
      </c>
      <c r="AC55" s="1">
        <v>47.587200000000003</v>
      </c>
      <c r="AD55" s="1">
        <v>80.835799999999992</v>
      </c>
      <c r="AE55" s="1">
        <v>30.045400000000001</v>
      </c>
      <c r="AF55" s="1">
        <v>65.753799999999998</v>
      </c>
      <c r="AG55" s="1">
        <v>61.433399999999992</v>
      </c>
      <c r="AH55" s="1">
        <v>54.076999999999998</v>
      </c>
      <c r="AI55" s="1">
        <v>13.7126</v>
      </c>
      <c r="AJ55" s="1">
        <v>63.340599999999988</v>
      </c>
      <c r="AK55" s="1">
        <v>57.431199999999997</v>
      </c>
      <c r="AL55" s="1">
        <v>38.247</v>
      </c>
      <c r="AM55" s="1"/>
      <c r="AN55" s="1">
        <f t="shared" si="11"/>
        <v>0</v>
      </c>
      <c r="AO55" s="1">
        <f t="shared" si="12"/>
        <v>0</v>
      </c>
    </row>
    <row r="56" spans="1:41" x14ac:dyDescent="0.25">
      <c r="A56" s="1" t="s">
        <v>105</v>
      </c>
      <c r="B56" s="1" t="s">
        <v>40</v>
      </c>
      <c r="C56" s="1">
        <v>162</v>
      </c>
      <c r="D56" s="1">
        <v>270</v>
      </c>
      <c r="E56" s="1">
        <v>71</v>
      </c>
      <c r="F56" s="1"/>
      <c r="G56" s="1"/>
      <c r="H56" s="7">
        <v>0.4</v>
      </c>
      <c r="I56" s="1">
        <v>45</v>
      </c>
      <c r="J56" s="1" t="s">
        <v>37</v>
      </c>
      <c r="K56" s="1"/>
      <c r="L56" s="1">
        <v>128</v>
      </c>
      <c r="M56" s="1">
        <f t="shared" si="23"/>
        <v>-57</v>
      </c>
      <c r="N56" s="1">
        <f t="shared" si="5"/>
        <v>-1</v>
      </c>
      <c r="O56" s="1">
        <f>VLOOKUP(A56,[3]TDSheet!$A:$AX,7,0)</f>
        <v>72</v>
      </c>
      <c r="P56" s="1">
        <v>0</v>
      </c>
      <c r="Q56" s="1"/>
      <c r="R56" s="1">
        <f t="shared" si="6"/>
        <v>-0.2</v>
      </c>
      <c r="S56" s="5"/>
      <c r="T56" s="19">
        <f>VLOOKUP(A56,[1]TDSheet!$D:$J,7,0)</f>
        <v>1</v>
      </c>
      <c r="U56" s="5">
        <v>10</v>
      </c>
      <c r="V56" s="5">
        <f t="shared" si="8"/>
        <v>10</v>
      </c>
      <c r="W56" s="5"/>
      <c r="X56" s="5">
        <v>20</v>
      </c>
      <c r="Y56" s="5">
        <v>150</v>
      </c>
      <c r="Z56" s="5">
        <f>VLOOKUP(A56,[4]Sheet!$A:$X,24,0)</f>
        <v>150</v>
      </c>
      <c r="AA56" s="1">
        <f t="shared" si="10"/>
        <v>-800</v>
      </c>
      <c r="AB56" s="1">
        <f t="shared" si="24"/>
        <v>0</v>
      </c>
      <c r="AC56" s="1">
        <v>0</v>
      </c>
      <c r="AD56" s="1">
        <v>-0.6</v>
      </c>
      <c r="AE56" s="1">
        <v>-0.2</v>
      </c>
      <c r="AF56" s="1">
        <v>-2.6</v>
      </c>
      <c r="AG56" s="1">
        <v>0</v>
      </c>
      <c r="AH56" s="1">
        <v>-0.4</v>
      </c>
      <c r="AI56" s="1">
        <v>-0.2</v>
      </c>
      <c r="AJ56" s="1">
        <v>-2.4</v>
      </c>
      <c r="AK56" s="1">
        <v>-3.4</v>
      </c>
      <c r="AL56" s="1">
        <v>1</v>
      </c>
      <c r="AM56" s="1" t="s">
        <v>180</v>
      </c>
      <c r="AN56" s="1">
        <f t="shared" si="11"/>
        <v>4</v>
      </c>
      <c r="AO56" s="1">
        <f t="shared" si="12"/>
        <v>60</v>
      </c>
    </row>
    <row r="57" spans="1:41" x14ac:dyDescent="0.25">
      <c r="A57" s="9" t="s">
        <v>106</v>
      </c>
      <c r="B57" s="9" t="s">
        <v>36</v>
      </c>
      <c r="C57" s="9"/>
      <c r="D57" s="9"/>
      <c r="E57" s="9"/>
      <c r="F57" s="9"/>
      <c r="G57" s="9"/>
      <c r="H57" s="10">
        <v>0</v>
      </c>
      <c r="I57" s="9"/>
      <c r="J57" s="9" t="s">
        <v>37</v>
      </c>
      <c r="K57" s="9"/>
      <c r="L57" s="9">
        <v>1.3</v>
      </c>
      <c r="M57" s="9">
        <f t="shared" si="23"/>
        <v>-1.3</v>
      </c>
      <c r="N57" s="9">
        <f t="shared" si="5"/>
        <v>0</v>
      </c>
      <c r="O57" s="9"/>
      <c r="P57" s="9">
        <v>0</v>
      </c>
      <c r="Q57" s="9">
        <v>0</v>
      </c>
      <c r="R57" s="9">
        <f t="shared" si="6"/>
        <v>0</v>
      </c>
      <c r="S57" s="11"/>
      <c r="T57" s="19" t="e">
        <f>VLOOKUP(A57,[1]TDSheet!$D:$J,7,0)</f>
        <v>#N/A</v>
      </c>
      <c r="U57" s="11"/>
      <c r="V57" s="5">
        <f t="shared" si="8"/>
        <v>0</v>
      </c>
      <c r="W57" s="11"/>
      <c r="X57" s="11"/>
      <c r="Y57" s="5">
        <f t="shared" si="14"/>
        <v>0</v>
      </c>
      <c r="Z57" s="11"/>
      <c r="AA57" s="1" t="e">
        <f t="shared" si="10"/>
        <v>#DIV/0!</v>
      </c>
      <c r="AB57" s="9" t="e">
        <f t="shared" si="24"/>
        <v>#DIV/0!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 t="s">
        <v>107</v>
      </c>
      <c r="AN57" s="1">
        <f t="shared" si="11"/>
        <v>0</v>
      </c>
      <c r="AO57" s="1">
        <f t="shared" si="12"/>
        <v>0</v>
      </c>
    </row>
    <row r="58" spans="1:41" x14ac:dyDescent="0.25">
      <c r="A58" s="1" t="s">
        <v>108</v>
      </c>
      <c r="B58" s="1" t="s">
        <v>36</v>
      </c>
      <c r="C58" s="1">
        <v>182.66</v>
      </c>
      <c r="D58" s="1">
        <v>302.99599999999998</v>
      </c>
      <c r="E58" s="1">
        <v>19.704999999999998</v>
      </c>
      <c r="F58" s="1">
        <v>37.700000000000003</v>
      </c>
      <c r="G58" s="1"/>
      <c r="H58" s="7">
        <v>1</v>
      </c>
      <c r="I58" s="1">
        <v>60</v>
      </c>
      <c r="J58" s="1" t="s">
        <v>37</v>
      </c>
      <c r="K58" s="1"/>
      <c r="L58" s="1">
        <v>19.5</v>
      </c>
      <c r="M58" s="1">
        <f t="shared" si="23"/>
        <v>0.20499999999999829</v>
      </c>
      <c r="N58" s="1">
        <f t="shared" si="5"/>
        <v>19.704999999999998</v>
      </c>
      <c r="O58" s="1"/>
      <c r="P58" s="1">
        <v>0</v>
      </c>
      <c r="Q58" s="1">
        <v>200</v>
      </c>
      <c r="R58" s="1">
        <f t="shared" si="6"/>
        <v>3.9409999999999998</v>
      </c>
      <c r="S58" s="5"/>
      <c r="T58" s="19">
        <f>VLOOKUP(A58,[1]TDSheet!$D:$J,7,0)</f>
        <v>0.36221305452517327</v>
      </c>
      <c r="U58" s="5">
        <f>S58-X58</f>
        <v>0</v>
      </c>
      <c r="V58" s="5">
        <f t="shared" si="8"/>
        <v>0</v>
      </c>
      <c r="W58" s="5"/>
      <c r="X58" s="5">
        <f>S58*T58</f>
        <v>0</v>
      </c>
      <c r="Y58" s="5">
        <v>40</v>
      </c>
      <c r="Z58" s="5">
        <f>VLOOKUP(A58,[4]Sheet!$A:$X,24,0)</f>
        <v>70</v>
      </c>
      <c r="AA58" s="1">
        <f t="shared" si="10"/>
        <v>70.464349149961933</v>
      </c>
      <c r="AB58" s="1">
        <f t="shared" si="24"/>
        <v>60.314640954072573</v>
      </c>
      <c r="AC58" s="1">
        <v>13.7</v>
      </c>
      <c r="AD58" s="1">
        <v>7.6189999999999998</v>
      </c>
      <c r="AE58" s="1">
        <v>7.8315999999999999</v>
      </c>
      <c r="AF58" s="1">
        <v>9.9421999999999997</v>
      </c>
      <c r="AG58" s="1">
        <v>12.0648</v>
      </c>
      <c r="AH58" s="1">
        <v>5.1560000000000006</v>
      </c>
      <c r="AI58" s="1">
        <v>7.8439999999999994</v>
      </c>
      <c r="AJ58" s="1">
        <v>4.2359999999999998</v>
      </c>
      <c r="AK58" s="1">
        <v>5.14</v>
      </c>
      <c r="AL58" s="1">
        <v>2.649</v>
      </c>
      <c r="AM58" s="1"/>
      <c r="AN58" s="1">
        <f t="shared" si="11"/>
        <v>0</v>
      </c>
      <c r="AO58" s="1">
        <f t="shared" si="12"/>
        <v>40</v>
      </c>
    </row>
    <row r="59" spans="1:41" x14ac:dyDescent="0.25">
      <c r="A59" s="9" t="s">
        <v>109</v>
      </c>
      <c r="B59" s="9" t="s">
        <v>40</v>
      </c>
      <c r="C59" s="9">
        <v>62</v>
      </c>
      <c r="D59" s="9">
        <v>72</v>
      </c>
      <c r="E59" s="9">
        <v>25</v>
      </c>
      <c r="F59" s="9"/>
      <c r="G59" s="9"/>
      <c r="H59" s="10">
        <v>0</v>
      </c>
      <c r="I59" s="9">
        <v>45</v>
      </c>
      <c r="J59" s="9" t="s">
        <v>77</v>
      </c>
      <c r="K59" s="9"/>
      <c r="L59" s="9">
        <v>29</v>
      </c>
      <c r="M59" s="9">
        <f t="shared" si="23"/>
        <v>-4</v>
      </c>
      <c r="N59" s="9">
        <f t="shared" si="5"/>
        <v>25</v>
      </c>
      <c r="O59" s="9"/>
      <c r="P59" s="9">
        <v>0</v>
      </c>
      <c r="Q59" s="9">
        <v>0</v>
      </c>
      <c r="R59" s="9">
        <f t="shared" si="6"/>
        <v>5</v>
      </c>
      <c r="S59" s="11"/>
      <c r="T59" s="19">
        <f>VLOOKUP(A59,[1]TDSheet!$D:$J,7,0)</f>
        <v>0.39999999999999997</v>
      </c>
      <c r="U59" s="11"/>
      <c r="V59" s="5">
        <f t="shared" si="8"/>
        <v>0</v>
      </c>
      <c r="W59" s="11"/>
      <c r="X59" s="11"/>
      <c r="Y59" s="5">
        <f t="shared" si="14"/>
        <v>0</v>
      </c>
      <c r="Z59" s="11"/>
      <c r="AA59" s="1">
        <f t="shared" si="10"/>
        <v>0</v>
      </c>
      <c r="AB59" s="9">
        <f t="shared" si="24"/>
        <v>0</v>
      </c>
      <c r="AC59" s="9">
        <v>5.2</v>
      </c>
      <c r="AD59" s="9">
        <v>4.8</v>
      </c>
      <c r="AE59" s="9">
        <v>5.8</v>
      </c>
      <c r="AF59" s="9">
        <v>9.6</v>
      </c>
      <c r="AG59" s="9">
        <v>6</v>
      </c>
      <c r="AH59" s="9">
        <v>7.6</v>
      </c>
      <c r="AI59" s="9">
        <v>8.1999999999999993</v>
      </c>
      <c r="AJ59" s="9">
        <v>12.8</v>
      </c>
      <c r="AK59" s="9">
        <v>10.8</v>
      </c>
      <c r="AL59" s="9">
        <v>13.8</v>
      </c>
      <c r="AM59" s="9"/>
      <c r="AN59" s="1">
        <f t="shared" si="11"/>
        <v>0</v>
      </c>
      <c r="AO59" s="1">
        <f t="shared" si="12"/>
        <v>0</v>
      </c>
    </row>
    <row r="60" spans="1:41" x14ac:dyDescent="0.25">
      <c r="A60" s="1" t="s">
        <v>110</v>
      </c>
      <c r="B60" s="1" t="s">
        <v>36</v>
      </c>
      <c r="C60" s="1">
        <v>97.18</v>
      </c>
      <c r="D60" s="1">
        <v>2.504</v>
      </c>
      <c r="E60" s="1">
        <v>58.686</v>
      </c>
      <c r="F60" s="1">
        <v>35.963999999999999</v>
      </c>
      <c r="G60" s="1"/>
      <c r="H60" s="7">
        <v>1</v>
      </c>
      <c r="I60" s="1">
        <v>45</v>
      </c>
      <c r="J60" s="1" t="s">
        <v>37</v>
      </c>
      <c r="K60" s="1"/>
      <c r="L60" s="1">
        <v>54.6</v>
      </c>
      <c r="M60" s="1">
        <f t="shared" si="23"/>
        <v>4.0859999999999985</v>
      </c>
      <c r="N60" s="1">
        <f t="shared" si="5"/>
        <v>58.686</v>
      </c>
      <c r="O60" s="1"/>
      <c r="P60" s="1">
        <v>0</v>
      </c>
      <c r="Q60" s="1">
        <v>50</v>
      </c>
      <c r="R60" s="1">
        <f t="shared" si="6"/>
        <v>11.7372</v>
      </c>
      <c r="S60" s="5">
        <f>15*R60-Q60-P60-G60-F60</f>
        <v>90.093999999999994</v>
      </c>
      <c r="T60" s="19">
        <f>VLOOKUP(A60,[1]TDSheet!$D:$J,7,0)</f>
        <v>0</v>
      </c>
      <c r="U60" s="5">
        <f>S60-X60</f>
        <v>90.093999999999994</v>
      </c>
      <c r="V60" s="5">
        <f t="shared" si="8"/>
        <v>90</v>
      </c>
      <c r="W60" s="5"/>
      <c r="X60" s="5">
        <f>S60*T60</f>
        <v>0</v>
      </c>
      <c r="Y60" s="5">
        <v>70</v>
      </c>
      <c r="Z60" s="5">
        <f>VLOOKUP(A60,[4]Sheet!$A:$X,24,0)</f>
        <v>100</v>
      </c>
      <c r="AA60" s="1">
        <f t="shared" si="10"/>
        <v>20.955934975973829</v>
      </c>
      <c r="AB60" s="1">
        <f t="shared" si="24"/>
        <v>7.3240636608390419</v>
      </c>
      <c r="AC60" s="1">
        <v>0.34320000000000001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 t="s">
        <v>38</v>
      </c>
      <c r="AN60" s="1">
        <f t="shared" si="11"/>
        <v>90</v>
      </c>
      <c r="AO60" s="1">
        <f t="shared" si="12"/>
        <v>70</v>
      </c>
    </row>
    <row r="61" spans="1:41" x14ac:dyDescent="0.25">
      <c r="A61" s="9" t="s">
        <v>111</v>
      </c>
      <c r="B61" s="9" t="s">
        <v>40</v>
      </c>
      <c r="C61" s="9">
        <v>119</v>
      </c>
      <c r="D61" s="9">
        <v>1</v>
      </c>
      <c r="E61" s="9"/>
      <c r="F61" s="9"/>
      <c r="G61" s="9">
        <f>VLOOKUP(A61,[2]TDSheet!$A:$M,9,0)</f>
        <v>120</v>
      </c>
      <c r="H61" s="10">
        <v>0</v>
      </c>
      <c r="I61" s="9"/>
      <c r="J61" s="9" t="s">
        <v>62</v>
      </c>
      <c r="K61" s="9"/>
      <c r="L61" s="9"/>
      <c r="M61" s="9">
        <f t="shared" si="23"/>
        <v>0</v>
      </c>
      <c r="N61" s="9">
        <f t="shared" si="5"/>
        <v>0</v>
      </c>
      <c r="O61" s="9"/>
      <c r="P61" s="9">
        <v>0</v>
      </c>
      <c r="Q61" s="9">
        <v>0</v>
      </c>
      <c r="R61" s="9">
        <f t="shared" si="6"/>
        <v>0</v>
      </c>
      <c r="S61" s="11"/>
      <c r="T61" s="19">
        <f>VLOOKUP(A61,[1]TDSheet!$D:$J,7,0)</f>
        <v>1</v>
      </c>
      <c r="U61" s="11"/>
      <c r="V61" s="5">
        <f t="shared" si="8"/>
        <v>0</v>
      </c>
      <c r="W61" s="11"/>
      <c r="X61" s="11"/>
      <c r="Y61" s="5">
        <f t="shared" si="14"/>
        <v>0</v>
      </c>
      <c r="Z61" s="11"/>
      <c r="AA61" s="1" t="e">
        <f t="shared" si="10"/>
        <v>#DIV/0!</v>
      </c>
      <c r="AB61" s="9" t="e">
        <f t="shared" si="24"/>
        <v>#DIV/0!</v>
      </c>
      <c r="AC61" s="9">
        <v>0.2</v>
      </c>
      <c r="AD61" s="9">
        <v>0</v>
      </c>
      <c r="AE61" s="9">
        <v>0</v>
      </c>
      <c r="AF61" s="9">
        <v>3.2</v>
      </c>
      <c r="AG61" s="9">
        <v>4.8</v>
      </c>
      <c r="AH61" s="9">
        <v>0</v>
      </c>
      <c r="AI61" s="9">
        <v>8</v>
      </c>
      <c r="AJ61" s="9">
        <v>0</v>
      </c>
      <c r="AK61" s="9">
        <v>0</v>
      </c>
      <c r="AL61" s="9">
        <v>0</v>
      </c>
      <c r="AM61" s="9" t="s">
        <v>63</v>
      </c>
      <c r="AN61" s="1">
        <f t="shared" si="11"/>
        <v>0</v>
      </c>
      <c r="AO61" s="1">
        <f t="shared" si="12"/>
        <v>0</v>
      </c>
    </row>
    <row r="62" spans="1:41" x14ac:dyDescent="0.25">
      <c r="A62" s="1" t="s">
        <v>112</v>
      </c>
      <c r="B62" s="1" t="s">
        <v>40</v>
      </c>
      <c r="C62" s="1">
        <v>213</v>
      </c>
      <c r="D62" s="1">
        <v>288</v>
      </c>
      <c r="E62" s="1">
        <v>63</v>
      </c>
      <c r="F62" s="1">
        <v>66</v>
      </c>
      <c r="G62" s="1">
        <f>VLOOKUP(A62,[2]TDSheet!$A:$M,9,0)</f>
        <v>64</v>
      </c>
      <c r="H62" s="7">
        <v>0.25</v>
      </c>
      <c r="I62" s="1">
        <v>120</v>
      </c>
      <c r="J62" s="1" t="s">
        <v>37</v>
      </c>
      <c r="K62" s="1"/>
      <c r="L62" s="1">
        <v>73</v>
      </c>
      <c r="M62" s="1">
        <f t="shared" si="23"/>
        <v>-10</v>
      </c>
      <c r="N62" s="1">
        <f t="shared" si="5"/>
        <v>63</v>
      </c>
      <c r="O62" s="1"/>
      <c r="P62" s="1">
        <v>122</v>
      </c>
      <c r="Q62" s="1">
        <v>0</v>
      </c>
      <c r="R62" s="1">
        <f t="shared" si="6"/>
        <v>12.6</v>
      </c>
      <c r="S62" s="5"/>
      <c r="T62" s="19">
        <f>VLOOKUP(A62,[1]TDSheet!$D:$J,7,0)</f>
        <v>0.56802721088435371</v>
      </c>
      <c r="U62" s="5">
        <f t="shared" ref="U62:U74" si="31">S62-X62</f>
        <v>0</v>
      </c>
      <c r="V62" s="5">
        <f t="shared" si="8"/>
        <v>0</v>
      </c>
      <c r="W62" s="5"/>
      <c r="X62" s="5">
        <f t="shared" ref="X62:X74" si="32">S62*T62</f>
        <v>0</v>
      </c>
      <c r="Y62" s="5">
        <v>70</v>
      </c>
      <c r="Z62" s="5">
        <f>VLOOKUP(A62,[4]Sheet!$A:$X,24,0)</f>
        <v>70</v>
      </c>
      <c r="AA62" s="1">
        <f t="shared" si="10"/>
        <v>25.555555555555557</v>
      </c>
      <c r="AB62" s="1">
        <f t="shared" si="24"/>
        <v>20</v>
      </c>
      <c r="AC62" s="1">
        <v>21.2</v>
      </c>
      <c r="AD62" s="1">
        <v>29.6</v>
      </c>
      <c r="AE62" s="1">
        <v>23.8</v>
      </c>
      <c r="AF62" s="1">
        <v>41.2</v>
      </c>
      <c r="AG62" s="1">
        <v>35.799999999999997</v>
      </c>
      <c r="AH62" s="1">
        <v>24</v>
      </c>
      <c r="AI62" s="1">
        <v>14.4</v>
      </c>
      <c r="AJ62" s="1">
        <v>17.2</v>
      </c>
      <c r="AK62" s="1">
        <v>29.8</v>
      </c>
      <c r="AL62" s="1">
        <v>8.4</v>
      </c>
      <c r="AM62" s="1" t="s">
        <v>44</v>
      </c>
      <c r="AN62" s="1">
        <f t="shared" si="11"/>
        <v>0</v>
      </c>
      <c r="AO62" s="1">
        <f t="shared" si="12"/>
        <v>17.5</v>
      </c>
    </row>
    <row r="63" spans="1:41" x14ac:dyDescent="0.25">
      <c r="A63" s="1" t="s">
        <v>113</v>
      </c>
      <c r="B63" s="1" t="s">
        <v>36</v>
      </c>
      <c r="C63" s="1">
        <v>69.918000000000006</v>
      </c>
      <c r="D63" s="1">
        <v>7.1449999999999996</v>
      </c>
      <c r="E63" s="1">
        <v>22.555</v>
      </c>
      <c r="F63" s="1">
        <v>37.524000000000001</v>
      </c>
      <c r="G63" s="1">
        <f>VLOOKUP(A63,[2]TDSheet!$A:$M,9,0)</f>
        <v>6.234</v>
      </c>
      <c r="H63" s="7">
        <v>1</v>
      </c>
      <c r="I63" s="1">
        <v>45</v>
      </c>
      <c r="J63" s="1" t="s">
        <v>37</v>
      </c>
      <c r="K63" s="1"/>
      <c r="L63" s="1">
        <v>24</v>
      </c>
      <c r="M63" s="1">
        <f t="shared" si="23"/>
        <v>-1.4450000000000003</v>
      </c>
      <c r="N63" s="1">
        <f t="shared" si="5"/>
        <v>22.555</v>
      </c>
      <c r="O63" s="1"/>
      <c r="P63" s="1">
        <v>0</v>
      </c>
      <c r="Q63" s="1">
        <v>0</v>
      </c>
      <c r="R63" s="1">
        <f t="shared" si="6"/>
        <v>4.5110000000000001</v>
      </c>
      <c r="S63" s="5">
        <f t="shared" ref="S63:S73" si="33">15*R63-Q63-P63-G63-F63</f>
        <v>23.907000000000004</v>
      </c>
      <c r="T63" s="19">
        <f>VLOOKUP(A63,[1]TDSheet!$D:$J,7,0)</f>
        <v>0.15956918726214295</v>
      </c>
      <c r="U63" s="5">
        <f t="shared" si="31"/>
        <v>20.092179440123953</v>
      </c>
      <c r="V63" s="5">
        <f t="shared" si="8"/>
        <v>20</v>
      </c>
      <c r="W63" s="5"/>
      <c r="X63" s="5">
        <f t="shared" si="32"/>
        <v>3.8148205598760518</v>
      </c>
      <c r="Y63" s="5">
        <v>40</v>
      </c>
      <c r="Z63" s="5">
        <f>VLOOKUP(A63,[4]Sheet!$A:$X,24,0)</f>
        <v>50</v>
      </c>
      <c r="AA63" s="1">
        <f t="shared" si="10"/>
        <v>23.001108401684771</v>
      </c>
      <c r="AB63" s="1">
        <f t="shared" si="24"/>
        <v>9.7002881844380404</v>
      </c>
      <c r="AC63" s="1">
        <v>3.7778</v>
      </c>
      <c r="AD63" s="1">
        <v>5.52</v>
      </c>
      <c r="AE63" s="1">
        <v>-0.21079999999999999</v>
      </c>
      <c r="AF63" s="1">
        <v>3.5804</v>
      </c>
      <c r="AG63" s="1">
        <v>5.7594000000000003</v>
      </c>
      <c r="AH63" s="1">
        <v>-2E-3</v>
      </c>
      <c r="AI63" s="1">
        <v>3.0392000000000001</v>
      </c>
      <c r="AJ63" s="1">
        <v>5.0497999999999994</v>
      </c>
      <c r="AK63" s="1">
        <v>3.3026</v>
      </c>
      <c r="AL63" s="1">
        <v>2.3260000000000001</v>
      </c>
      <c r="AM63" s="1"/>
      <c r="AN63" s="1">
        <f t="shared" si="11"/>
        <v>20</v>
      </c>
      <c r="AO63" s="1">
        <f t="shared" si="12"/>
        <v>40</v>
      </c>
    </row>
    <row r="64" spans="1:41" x14ac:dyDescent="0.25">
      <c r="A64" s="1" t="s">
        <v>114</v>
      </c>
      <c r="B64" s="1" t="s">
        <v>40</v>
      </c>
      <c r="C64" s="1">
        <v>28</v>
      </c>
      <c r="D64" s="1">
        <v>28</v>
      </c>
      <c r="E64" s="1">
        <v>28</v>
      </c>
      <c r="F64" s="1"/>
      <c r="G64" s="1"/>
      <c r="H64" s="7">
        <v>0.27</v>
      </c>
      <c r="I64" s="1"/>
      <c r="J64" s="1" t="s">
        <v>37</v>
      </c>
      <c r="K64" s="1"/>
      <c r="L64" s="1">
        <v>165</v>
      </c>
      <c r="M64" s="1">
        <f t="shared" si="23"/>
        <v>-137</v>
      </c>
      <c r="N64" s="1">
        <f t="shared" si="5"/>
        <v>28</v>
      </c>
      <c r="O64" s="1"/>
      <c r="P64" s="1">
        <v>246</v>
      </c>
      <c r="Q64" s="1">
        <v>101</v>
      </c>
      <c r="R64" s="1">
        <f t="shared" si="6"/>
        <v>5.6</v>
      </c>
      <c r="S64" s="5"/>
      <c r="T64" s="19">
        <f>VLOOKUP(A64,[1]TDSheet!$D:$J,7,0)</f>
        <v>5.7142857142857143E-3</v>
      </c>
      <c r="U64" s="5">
        <f t="shared" si="31"/>
        <v>0</v>
      </c>
      <c r="V64" s="5">
        <f t="shared" si="8"/>
        <v>0</v>
      </c>
      <c r="W64" s="5"/>
      <c r="X64" s="5">
        <f t="shared" si="32"/>
        <v>0</v>
      </c>
      <c r="Y64" s="5">
        <v>50</v>
      </c>
      <c r="Z64" s="5">
        <f>VLOOKUP(A64,[4]Sheet!$A:$X,24,0)</f>
        <v>50</v>
      </c>
      <c r="AA64" s="1">
        <f t="shared" si="10"/>
        <v>70.892857142857153</v>
      </c>
      <c r="AB64" s="1">
        <f t="shared" si="24"/>
        <v>61.964285714285715</v>
      </c>
      <c r="AC64" s="1">
        <v>25</v>
      </c>
      <c r="AD64" s="1">
        <v>23.2</v>
      </c>
      <c r="AE64" s="1">
        <v>0.2</v>
      </c>
      <c r="AF64" s="1">
        <v>14.8</v>
      </c>
      <c r="AG64" s="1">
        <v>24.8</v>
      </c>
      <c r="AH64" s="1">
        <v>10.4</v>
      </c>
      <c r="AI64" s="1">
        <v>0</v>
      </c>
      <c r="AJ64" s="1">
        <v>0</v>
      </c>
      <c r="AK64" s="1">
        <v>0</v>
      </c>
      <c r="AL64" s="1">
        <v>0</v>
      </c>
      <c r="AM64" s="1" t="s">
        <v>38</v>
      </c>
      <c r="AN64" s="1">
        <f t="shared" si="11"/>
        <v>0</v>
      </c>
      <c r="AO64" s="1">
        <f t="shared" si="12"/>
        <v>13.5</v>
      </c>
    </row>
    <row r="65" spans="1:41" x14ac:dyDescent="0.25">
      <c r="A65" s="1" t="s">
        <v>115</v>
      </c>
      <c r="B65" s="1" t="s">
        <v>40</v>
      </c>
      <c r="C65" s="1">
        <v>50</v>
      </c>
      <c r="D65" s="1">
        <v>39</v>
      </c>
      <c r="E65" s="1">
        <v>39</v>
      </c>
      <c r="F65" s="1"/>
      <c r="G65" s="1"/>
      <c r="H65" s="7">
        <v>0.3</v>
      </c>
      <c r="I65" s="1">
        <v>60</v>
      </c>
      <c r="J65" s="1" t="s">
        <v>37</v>
      </c>
      <c r="K65" s="1"/>
      <c r="L65" s="1">
        <v>150</v>
      </c>
      <c r="M65" s="1">
        <f t="shared" si="23"/>
        <v>-111</v>
      </c>
      <c r="N65" s="1">
        <f t="shared" si="5"/>
        <v>39</v>
      </c>
      <c r="O65" s="1"/>
      <c r="P65" s="1">
        <v>400</v>
      </c>
      <c r="Q65" s="1">
        <v>0</v>
      </c>
      <c r="R65" s="1">
        <f t="shared" si="6"/>
        <v>7.8</v>
      </c>
      <c r="S65" s="5"/>
      <c r="T65" s="19">
        <f>VLOOKUP(A65,[1]TDSheet!$D:$J,7,0)</f>
        <v>0.19747899159663865</v>
      </c>
      <c r="U65" s="5">
        <f t="shared" si="31"/>
        <v>0</v>
      </c>
      <c r="V65" s="5">
        <f t="shared" si="8"/>
        <v>0</v>
      </c>
      <c r="W65" s="5"/>
      <c r="X65" s="5">
        <f t="shared" si="32"/>
        <v>0</v>
      </c>
      <c r="Y65" s="5">
        <v>50</v>
      </c>
      <c r="Z65" s="5">
        <f>VLOOKUP(A65,[4]Sheet!$A:$X,24,0)</f>
        <v>50</v>
      </c>
      <c r="AA65" s="1">
        <f t="shared" si="10"/>
        <v>57.692307692307693</v>
      </c>
      <c r="AB65" s="1">
        <f t="shared" si="24"/>
        <v>51.282051282051285</v>
      </c>
      <c r="AC65" s="1">
        <v>19.399999999999999</v>
      </c>
      <c r="AD65" s="1">
        <v>41.4</v>
      </c>
      <c r="AE65" s="1">
        <v>19.2</v>
      </c>
      <c r="AF65" s="1">
        <v>9.4</v>
      </c>
      <c r="AG65" s="1">
        <v>37.799999999999997</v>
      </c>
      <c r="AH65" s="1">
        <v>29.6</v>
      </c>
      <c r="AI65" s="1">
        <v>15.4</v>
      </c>
      <c r="AJ65" s="1">
        <v>26.8</v>
      </c>
      <c r="AK65" s="1">
        <v>44</v>
      </c>
      <c r="AL65" s="1">
        <v>30</v>
      </c>
      <c r="AM65" s="1"/>
      <c r="AN65" s="1">
        <f t="shared" si="11"/>
        <v>0</v>
      </c>
      <c r="AO65" s="1">
        <f t="shared" si="12"/>
        <v>15</v>
      </c>
    </row>
    <row r="66" spans="1:41" x14ac:dyDescent="0.25">
      <c r="A66" s="1" t="s">
        <v>116</v>
      </c>
      <c r="B66" s="1" t="s">
        <v>40</v>
      </c>
      <c r="C66" s="1">
        <v>2280</v>
      </c>
      <c r="D66" s="1">
        <v>3044</v>
      </c>
      <c r="E66" s="1">
        <v>939</v>
      </c>
      <c r="F66" s="1">
        <v>417</v>
      </c>
      <c r="G66" s="1">
        <f>VLOOKUP(A66,[2]TDSheet!$A:$M,9,0)</f>
        <v>434</v>
      </c>
      <c r="H66" s="7">
        <v>0.41</v>
      </c>
      <c r="I66" s="1">
        <v>50</v>
      </c>
      <c r="J66" s="1" t="s">
        <v>37</v>
      </c>
      <c r="K66" s="1"/>
      <c r="L66" s="1">
        <v>1103</v>
      </c>
      <c r="M66" s="1">
        <f t="shared" si="23"/>
        <v>-164</v>
      </c>
      <c r="N66" s="1">
        <f t="shared" si="5"/>
        <v>809</v>
      </c>
      <c r="O66" s="1">
        <f>VLOOKUP(A66,[3]TDSheet!$A:$AX,7,0)</f>
        <v>130</v>
      </c>
      <c r="P66" s="1">
        <v>0</v>
      </c>
      <c r="Q66" s="1">
        <v>2000</v>
      </c>
      <c r="R66" s="1">
        <f t="shared" si="6"/>
        <v>161.80000000000001</v>
      </c>
      <c r="S66" s="5"/>
      <c r="T66" s="19">
        <f>VLOOKUP(A66,[1]TDSheet!$D:$J,7,0)</f>
        <v>0.44748274980833119</v>
      </c>
      <c r="U66" s="5">
        <f t="shared" si="31"/>
        <v>0</v>
      </c>
      <c r="V66" s="5">
        <f t="shared" si="8"/>
        <v>0</v>
      </c>
      <c r="W66" s="5"/>
      <c r="X66" s="5">
        <f t="shared" si="32"/>
        <v>0</v>
      </c>
      <c r="Y66" s="5">
        <f t="shared" si="14"/>
        <v>0</v>
      </c>
      <c r="Z66" s="5"/>
      <c r="AA66" s="1">
        <f t="shared" si="10"/>
        <v>17.620519159456116</v>
      </c>
      <c r="AB66" s="1">
        <f t="shared" si="24"/>
        <v>17.620519159456116</v>
      </c>
      <c r="AC66" s="1">
        <v>232.6</v>
      </c>
      <c r="AD66" s="1">
        <v>96.2</v>
      </c>
      <c r="AE66" s="1">
        <v>48.6</v>
      </c>
      <c r="AF66" s="1">
        <v>324.60000000000002</v>
      </c>
      <c r="AG66" s="1">
        <v>150</v>
      </c>
      <c r="AH66" s="1">
        <v>81.2</v>
      </c>
      <c r="AI66" s="1">
        <v>212.8</v>
      </c>
      <c r="AJ66" s="1">
        <v>266.8</v>
      </c>
      <c r="AK66" s="1">
        <v>172.2</v>
      </c>
      <c r="AL66" s="1">
        <v>150</v>
      </c>
      <c r="AM66" s="1"/>
      <c r="AN66" s="1">
        <f t="shared" si="11"/>
        <v>0</v>
      </c>
      <c r="AO66" s="1">
        <f t="shared" si="12"/>
        <v>0</v>
      </c>
    </row>
    <row r="67" spans="1:41" x14ac:dyDescent="0.25">
      <c r="A67" s="1" t="s">
        <v>117</v>
      </c>
      <c r="B67" s="1" t="s">
        <v>36</v>
      </c>
      <c r="C67" s="1">
        <v>729.48400000000004</v>
      </c>
      <c r="D67" s="1">
        <v>399.14499999999998</v>
      </c>
      <c r="E67" s="1">
        <v>192.06899999999999</v>
      </c>
      <c r="F67" s="1">
        <v>190.38499999999999</v>
      </c>
      <c r="G67" s="1">
        <f>VLOOKUP(A67,[2]TDSheet!$A:$M,9,0)</f>
        <v>190.22</v>
      </c>
      <c r="H67" s="7">
        <v>1</v>
      </c>
      <c r="I67" s="1">
        <v>50</v>
      </c>
      <c r="J67" s="1" t="s">
        <v>37</v>
      </c>
      <c r="K67" s="1"/>
      <c r="L67" s="1">
        <v>166.4</v>
      </c>
      <c r="M67" s="1">
        <f t="shared" si="23"/>
        <v>25.668999999999983</v>
      </c>
      <c r="N67" s="1">
        <f t="shared" si="5"/>
        <v>117.66399999999999</v>
      </c>
      <c r="O67" s="1">
        <f>VLOOKUP(A67,[3]TDSheet!$A:$AX,7,0)</f>
        <v>74.405000000000001</v>
      </c>
      <c r="P67" s="1">
        <v>0</v>
      </c>
      <c r="Q67" s="1">
        <v>107</v>
      </c>
      <c r="R67" s="1">
        <f t="shared" si="6"/>
        <v>23.532799999999998</v>
      </c>
      <c r="S67" s="5"/>
      <c r="T67" s="19">
        <f>VLOOKUP(A67,[1]TDSheet!$D:$J,7,0)</f>
        <v>0.50829720715410276</v>
      </c>
      <c r="U67" s="5">
        <f t="shared" si="31"/>
        <v>0</v>
      </c>
      <c r="V67" s="5">
        <f t="shared" si="8"/>
        <v>0</v>
      </c>
      <c r="W67" s="5"/>
      <c r="X67" s="5">
        <f t="shared" si="32"/>
        <v>0</v>
      </c>
      <c r="Y67" s="5">
        <f t="shared" si="14"/>
        <v>0</v>
      </c>
      <c r="Z67" s="5"/>
      <c r="AA67" s="1">
        <f t="shared" si="10"/>
        <v>20.720228787054666</v>
      </c>
      <c r="AB67" s="1">
        <f t="shared" si="24"/>
        <v>20.720228787054666</v>
      </c>
      <c r="AC67" s="1">
        <v>40.443800000000003</v>
      </c>
      <c r="AD67" s="1">
        <v>36.291999999999987</v>
      </c>
      <c r="AE67" s="1">
        <v>43.002200000000002</v>
      </c>
      <c r="AF67" s="1">
        <v>52.134</v>
      </c>
      <c r="AG67" s="1">
        <v>58.188000000000002</v>
      </c>
      <c r="AH67" s="1">
        <v>30.930399999999999</v>
      </c>
      <c r="AI67" s="1">
        <v>29.0246</v>
      </c>
      <c r="AJ67" s="1">
        <v>23.655999999999999</v>
      </c>
      <c r="AK67" s="1">
        <v>36.418599999999998</v>
      </c>
      <c r="AL67" s="1">
        <v>13.896000000000001</v>
      </c>
      <c r="AM67" s="1"/>
      <c r="AN67" s="1">
        <f t="shared" si="11"/>
        <v>0</v>
      </c>
      <c r="AO67" s="1">
        <f t="shared" si="12"/>
        <v>0</v>
      </c>
    </row>
    <row r="68" spans="1:41" x14ac:dyDescent="0.25">
      <c r="A68" s="1" t="s">
        <v>118</v>
      </c>
      <c r="B68" s="1" t="s">
        <v>40</v>
      </c>
      <c r="C68" s="1">
        <v>286</v>
      </c>
      <c r="D68" s="1">
        <v>507</v>
      </c>
      <c r="E68" s="1">
        <v>216</v>
      </c>
      <c r="F68" s="1">
        <v>2</v>
      </c>
      <c r="G68" s="1"/>
      <c r="H68" s="7">
        <v>0.35</v>
      </c>
      <c r="I68" s="1">
        <v>50</v>
      </c>
      <c r="J68" s="1" t="s">
        <v>37</v>
      </c>
      <c r="K68" s="1"/>
      <c r="L68" s="1">
        <v>280</v>
      </c>
      <c r="M68" s="1">
        <f t="shared" si="23"/>
        <v>-64</v>
      </c>
      <c r="N68" s="1">
        <f t="shared" si="5"/>
        <v>200</v>
      </c>
      <c r="O68" s="1">
        <f>VLOOKUP(A68,[3]TDSheet!$A:$AX,7,0)</f>
        <v>16</v>
      </c>
      <c r="P68" s="1">
        <v>361</v>
      </c>
      <c r="Q68" s="1">
        <v>93</v>
      </c>
      <c r="R68" s="1">
        <f t="shared" si="6"/>
        <v>40</v>
      </c>
      <c r="S68" s="5">
        <f t="shared" si="33"/>
        <v>144</v>
      </c>
      <c r="T68" s="19">
        <f>VLOOKUP(A68,[1]TDSheet!$D:$J,7,0)</f>
        <v>0.62863795110593723</v>
      </c>
      <c r="U68" s="5">
        <f t="shared" si="31"/>
        <v>53.476135040745035</v>
      </c>
      <c r="V68" s="5">
        <f>W68</f>
        <v>130</v>
      </c>
      <c r="W68" s="5">
        <f>VLOOKUP(A68,[4]Sheet!$A:$V,22,0)</f>
        <v>130</v>
      </c>
      <c r="X68" s="5">
        <f t="shared" si="32"/>
        <v>90.523864959254965</v>
      </c>
      <c r="Y68" s="5">
        <v>200</v>
      </c>
      <c r="Z68" s="5">
        <f>VLOOKUP(A68,[4]Sheet!$A:$X,24,0)</f>
        <v>200</v>
      </c>
      <c r="AA68" s="1">
        <f t="shared" si="10"/>
        <v>19.649999999999999</v>
      </c>
      <c r="AB68" s="1">
        <f t="shared" si="24"/>
        <v>11.4</v>
      </c>
      <c r="AC68" s="1">
        <v>48.8</v>
      </c>
      <c r="AD68" s="1">
        <v>56</v>
      </c>
      <c r="AE68" s="1">
        <v>17.600000000000001</v>
      </c>
      <c r="AF68" s="1">
        <v>29</v>
      </c>
      <c r="AG68" s="1">
        <v>62</v>
      </c>
      <c r="AH68" s="1">
        <v>32.4</v>
      </c>
      <c r="AI68" s="1">
        <v>31</v>
      </c>
      <c r="AJ68" s="1">
        <v>41</v>
      </c>
      <c r="AK68" s="1">
        <v>31.2</v>
      </c>
      <c r="AL68" s="1">
        <v>33.799999999999997</v>
      </c>
      <c r="AM68" s="1"/>
      <c r="AN68" s="1">
        <f t="shared" si="11"/>
        <v>45.5</v>
      </c>
      <c r="AO68" s="1">
        <f t="shared" si="12"/>
        <v>70</v>
      </c>
    </row>
    <row r="69" spans="1:41" x14ac:dyDescent="0.25">
      <c r="A69" s="1" t="s">
        <v>119</v>
      </c>
      <c r="B69" s="1" t="s">
        <v>36</v>
      </c>
      <c r="C69" s="1">
        <v>-3.0760000000000001</v>
      </c>
      <c r="D69" s="1">
        <v>21.46</v>
      </c>
      <c r="E69" s="1">
        <v>3.1659999999999999</v>
      </c>
      <c r="F69" s="1"/>
      <c r="G69" s="1"/>
      <c r="H69" s="7">
        <v>1</v>
      </c>
      <c r="I69" s="1">
        <v>50</v>
      </c>
      <c r="J69" s="1" t="s">
        <v>37</v>
      </c>
      <c r="K69" s="1"/>
      <c r="L69" s="1">
        <v>43</v>
      </c>
      <c r="M69" s="1">
        <f t="shared" si="23"/>
        <v>-39.834000000000003</v>
      </c>
      <c r="N69" s="1">
        <f t="shared" si="5"/>
        <v>3.1659999999999999</v>
      </c>
      <c r="O69" s="1"/>
      <c r="P69" s="1">
        <v>61</v>
      </c>
      <c r="Q69" s="1">
        <v>4</v>
      </c>
      <c r="R69" s="1">
        <f t="shared" si="6"/>
        <v>0.63319999999999999</v>
      </c>
      <c r="S69" s="5"/>
      <c r="T69" s="19">
        <f>VLOOKUP(A69,[1]TDSheet!$D:$J,7,0)</f>
        <v>0</v>
      </c>
      <c r="U69" s="5">
        <f t="shared" si="31"/>
        <v>0</v>
      </c>
      <c r="V69" s="5">
        <f t="shared" si="8"/>
        <v>0</v>
      </c>
      <c r="W69" s="5"/>
      <c r="X69" s="5">
        <f t="shared" si="32"/>
        <v>0</v>
      </c>
      <c r="Y69" s="5">
        <f t="shared" si="14"/>
        <v>0</v>
      </c>
      <c r="Z69" s="5"/>
      <c r="AA69" s="1">
        <f t="shared" si="10"/>
        <v>102.65319014529375</v>
      </c>
      <c r="AB69" s="1">
        <f t="shared" si="24"/>
        <v>102.65319014529375</v>
      </c>
      <c r="AC69" s="1">
        <v>4.0392000000000001</v>
      </c>
      <c r="AD69" s="1">
        <v>7.4278000000000004</v>
      </c>
      <c r="AE69" s="1">
        <v>0</v>
      </c>
      <c r="AF69" s="1">
        <v>1.2567999999999999</v>
      </c>
      <c r="AG69" s="1">
        <v>7.3841999999999999</v>
      </c>
      <c r="AH69" s="1">
        <v>0.93720000000000003</v>
      </c>
      <c r="AI69" s="1">
        <v>2.504</v>
      </c>
      <c r="AJ69" s="1">
        <v>3.7235999999999998</v>
      </c>
      <c r="AK69" s="1">
        <v>1.5624</v>
      </c>
      <c r="AL69" s="1">
        <v>2.1745999999999999</v>
      </c>
      <c r="AM69" s="1"/>
      <c r="AN69" s="1">
        <f t="shared" si="11"/>
        <v>0</v>
      </c>
      <c r="AO69" s="1">
        <f t="shared" si="12"/>
        <v>0</v>
      </c>
    </row>
    <row r="70" spans="1:41" x14ac:dyDescent="0.25">
      <c r="A70" s="1" t="s">
        <v>120</v>
      </c>
      <c r="B70" s="1" t="s">
        <v>40</v>
      </c>
      <c r="C70" s="1">
        <v>1257</v>
      </c>
      <c r="D70" s="1">
        <v>1713</v>
      </c>
      <c r="E70" s="1">
        <v>739</v>
      </c>
      <c r="F70" s="1">
        <v>219</v>
      </c>
      <c r="G70" s="1">
        <f>VLOOKUP(A70,[2]TDSheet!$A:$M,9,0)</f>
        <v>237</v>
      </c>
      <c r="H70" s="7">
        <v>0.41</v>
      </c>
      <c r="I70" s="1">
        <v>50</v>
      </c>
      <c r="J70" s="1" t="s">
        <v>37</v>
      </c>
      <c r="K70" s="1"/>
      <c r="L70" s="1">
        <v>765</v>
      </c>
      <c r="M70" s="1">
        <f t="shared" ref="M70:M101" si="34">E70-L70</f>
        <v>-26</v>
      </c>
      <c r="N70" s="1">
        <f t="shared" si="5"/>
        <v>599</v>
      </c>
      <c r="O70" s="1">
        <f>VLOOKUP(A70,[3]TDSheet!$A:$AX,7,0)</f>
        <v>140</v>
      </c>
      <c r="P70" s="1">
        <v>1181</v>
      </c>
      <c r="Q70" s="1">
        <v>0</v>
      </c>
      <c r="R70" s="1">
        <f t="shared" si="6"/>
        <v>119.8</v>
      </c>
      <c r="S70" s="5">
        <f t="shared" si="33"/>
        <v>160</v>
      </c>
      <c r="T70" s="19">
        <f>VLOOKUP(A70,[1]TDSheet!$D:$J,7,0)</f>
        <v>0.49294045426642114</v>
      </c>
      <c r="U70" s="5">
        <f t="shared" si="31"/>
        <v>81.12952731737262</v>
      </c>
      <c r="V70" s="5">
        <f>W70</f>
        <v>150</v>
      </c>
      <c r="W70" s="5">
        <f>VLOOKUP(A70,[4]Sheet!$A:$V,22,0)</f>
        <v>150</v>
      </c>
      <c r="X70" s="5">
        <f t="shared" si="32"/>
        <v>78.87047268262738</v>
      </c>
      <c r="Y70" s="5">
        <v>200</v>
      </c>
      <c r="Z70" s="5">
        <f>VLOOKUP(A70,[4]Sheet!$A:$X,24,0)</f>
        <v>200</v>
      </c>
      <c r="AA70" s="1">
        <f t="shared" si="10"/>
        <v>16.585976627712856</v>
      </c>
      <c r="AB70" s="1">
        <f t="shared" ref="AB70:AB101" si="35">(F70+G70+P70+Q70)/R70</f>
        <v>13.664440734557596</v>
      </c>
      <c r="AC70" s="1">
        <v>126.2</v>
      </c>
      <c r="AD70" s="1">
        <v>193.4</v>
      </c>
      <c r="AE70" s="1">
        <v>65</v>
      </c>
      <c r="AF70" s="1">
        <v>200.4</v>
      </c>
      <c r="AG70" s="1">
        <v>174.2</v>
      </c>
      <c r="AH70" s="1">
        <v>38.200000000000003</v>
      </c>
      <c r="AI70" s="1">
        <v>129.4</v>
      </c>
      <c r="AJ70" s="1">
        <v>156.6</v>
      </c>
      <c r="AK70" s="1">
        <v>120.8</v>
      </c>
      <c r="AL70" s="1">
        <v>91.6</v>
      </c>
      <c r="AM70" s="1"/>
      <c r="AN70" s="1">
        <f t="shared" si="11"/>
        <v>61.499999999999993</v>
      </c>
      <c r="AO70" s="1">
        <f t="shared" si="12"/>
        <v>82</v>
      </c>
    </row>
    <row r="71" spans="1:41" x14ac:dyDescent="0.25">
      <c r="A71" s="1" t="s">
        <v>121</v>
      </c>
      <c r="B71" s="1" t="s">
        <v>36</v>
      </c>
      <c r="C71" s="1">
        <v>198.357</v>
      </c>
      <c r="D71" s="1">
        <v>201.333</v>
      </c>
      <c r="E71" s="1">
        <v>70.457999999999998</v>
      </c>
      <c r="F71" s="1">
        <v>132.59399999999999</v>
      </c>
      <c r="G71" s="1">
        <f>VLOOKUP(A71,[2]TDSheet!$A:$M,9,0)</f>
        <v>6.2969999999999997</v>
      </c>
      <c r="H71" s="7">
        <v>1</v>
      </c>
      <c r="I71" s="1">
        <v>50</v>
      </c>
      <c r="J71" s="1" t="s">
        <v>37</v>
      </c>
      <c r="K71" s="1"/>
      <c r="L71" s="1">
        <v>61.3</v>
      </c>
      <c r="M71" s="1">
        <f t="shared" si="34"/>
        <v>9.1580000000000013</v>
      </c>
      <c r="N71" s="1">
        <f t="shared" ref="N71:N119" si="36">E71-O71</f>
        <v>70.457999999999998</v>
      </c>
      <c r="O71" s="1"/>
      <c r="P71" s="1">
        <v>0</v>
      </c>
      <c r="Q71" s="1">
        <v>0</v>
      </c>
      <c r="R71" s="1">
        <f t="shared" ref="R71:R119" si="37">N71/5</f>
        <v>14.0916</v>
      </c>
      <c r="S71" s="5">
        <f t="shared" si="33"/>
        <v>72.483000000000004</v>
      </c>
      <c r="T71" s="19">
        <f>VLOOKUP(A71,[1]TDSheet!$D:$J,7,0)</f>
        <v>5.13818006740491E-2</v>
      </c>
      <c r="U71" s="5">
        <f t="shared" si="31"/>
        <v>68.758692941742908</v>
      </c>
      <c r="V71" s="5">
        <f t="shared" ref="V71:V119" si="38">ROUND(U71,0)</f>
        <v>69</v>
      </c>
      <c r="W71" s="5"/>
      <c r="X71" s="5">
        <f t="shared" si="32"/>
        <v>3.724307058257101</v>
      </c>
      <c r="Y71" s="5">
        <f t="shared" ref="Y71:Y119" si="39">ROUND(X71,0)</f>
        <v>4</v>
      </c>
      <c r="Z71" s="5"/>
      <c r="AA71" s="1">
        <f t="shared" ref="AA71:AA119" si="40">(F71+G71+P71+Q71+V71+Y71)/R71</f>
        <v>15.036688523659485</v>
      </c>
      <c r="AB71" s="1">
        <f t="shared" si="35"/>
        <v>9.8562973686451496</v>
      </c>
      <c r="AC71" s="1">
        <v>9.633799999999999</v>
      </c>
      <c r="AD71" s="1">
        <v>14.559799999999999</v>
      </c>
      <c r="AE71" s="1">
        <v>26.645800000000001</v>
      </c>
      <c r="AF71" s="1">
        <v>17.4558</v>
      </c>
      <c r="AG71" s="1">
        <v>13.043799999999999</v>
      </c>
      <c r="AH71" s="1">
        <v>19.4636</v>
      </c>
      <c r="AI71" s="1">
        <v>6.3722000000000003</v>
      </c>
      <c r="AJ71" s="1">
        <v>12.7166</v>
      </c>
      <c r="AK71" s="1">
        <v>14.8438</v>
      </c>
      <c r="AL71" s="1">
        <v>8.7585999999999995</v>
      </c>
      <c r="AM71" s="1"/>
      <c r="AN71" s="1">
        <f t="shared" ref="AN71:AN119" si="41">H71*V71</f>
        <v>69</v>
      </c>
      <c r="AO71" s="1">
        <f t="shared" ref="AO71:AO119" si="42">H71*Y71</f>
        <v>4</v>
      </c>
    </row>
    <row r="72" spans="1:41" x14ac:dyDescent="0.25">
      <c r="A72" s="1" t="s">
        <v>122</v>
      </c>
      <c r="B72" s="1" t="s">
        <v>40</v>
      </c>
      <c r="C72" s="1">
        <v>286</v>
      </c>
      <c r="D72" s="1">
        <v>635</v>
      </c>
      <c r="E72" s="1">
        <v>235</v>
      </c>
      <c r="F72" s="1">
        <v>35</v>
      </c>
      <c r="G72" s="1">
        <f>VLOOKUP(A72,[2]TDSheet!$A:$M,9,0)</f>
        <v>66</v>
      </c>
      <c r="H72" s="7">
        <v>0.3</v>
      </c>
      <c r="I72" s="1">
        <v>50</v>
      </c>
      <c r="J72" s="1" t="s">
        <v>37</v>
      </c>
      <c r="K72" s="1"/>
      <c r="L72" s="1">
        <v>241</v>
      </c>
      <c r="M72" s="1">
        <f t="shared" si="34"/>
        <v>-6</v>
      </c>
      <c r="N72" s="1">
        <f t="shared" si="36"/>
        <v>157</v>
      </c>
      <c r="O72" s="1">
        <f>VLOOKUP(A72,[3]TDSheet!$A:$AX,7,0)</f>
        <v>78</v>
      </c>
      <c r="P72" s="1">
        <v>0</v>
      </c>
      <c r="Q72" s="1">
        <v>275</v>
      </c>
      <c r="R72" s="1">
        <f t="shared" si="37"/>
        <v>31.4</v>
      </c>
      <c r="S72" s="5">
        <f t="shared" si="33"/>
        <v>95</v>
      </c>
      <c r="T72" s="19">
        <f>VLOOKUP(A72,[1]TDSheet!$D:$J,7,0)</f>
        <v>0.60492379835873389</v>
      </c>
      <c r="U72" s="5">
        <f t="shared" si="31"/>
        <v>37.53223915592028</v>
      </c>
      <c r="V72" s="5">
        <f t="shared" si="38"/>
        <v>38</v>
      </c>
      <c r="W72" s="5"/>
      <c r="X72" s="5">
        <f t="shared" si="32"/>
        <v>57.46776084407972</v>
      </c>
      <c r="Y72" s="5">
        <v>130</v>
      </c>
      <c r="Z72" s="5">
        <f>VLOOKUP(A72,[4]Sheet!$A:$X,24,0)</f>
        <v>130</v>
      </c>
      <c r="AA72" s="1">
        <f t="shared" si="40"/>
        <v>17.32484076433121</v>
      </c>
      <c r="AB72" s="1">
        <f t="shared" si="35"/>
        <v>11.974522292993631</v>
      </c>
      <c r="AC72" s="1">
        <v>37.4</v>
      </c>
      <c r="AD72" s="1">
        <v>7</v>
      </c>
      <c r="AE72" s="1">
        <v>33.4</v>
      </c>
      <c r="AF72" s="1">
        <v>54.8</v>
      </c>
      <c r="AG72" s="1">
        <v>36.4</v>
      </c>
      <c r="AH72" s="1">
        <v>29.6</v>
      </c>
      <c r="AI72" s="1">
        <v>32.799999999999997</v>
      </c>
      <c r="AJ72" s="1">
        <v>41</v>
      </c>
      <c r="AK72" s="1">
        <v>43.6</v>
      </c>
      <c r="AL72" s="1">
        <v>22.2</v>
      </c>
      <c r="AM72" s="1"/>
      <c r="AN72" s="1">
        <f t="shared" si="41"/>
        <v>11.4</v>
      </c>
      <c r="AO72" s="1">
        <f t="shared" si="42"/>
        <v>39</v>
      </c>
    </row>
    <row r="73" spans="1:41" x14ac:dyDescent="0.25">
      <c r="A73" s="1" t="s">
        <v>123</v>
      </c>
      <c r="B73" s="1" t="s">
        <v>40</v>
      </c>
      <c r="C73" s="1">
        <v>277</v>
      </c>
      <c r="D73" s="1">
        <v>429</v>
      </c>
      <c r="E73" s="1">
        <v>111</v>
      </c>
      <c r="F73" s="1">
        <v>54</v>
      </c>
      <c r="G73" s="1">
        <f>VLOOKUP(A73,[2]TDSheet!$A:$M,9,0)</f>
        <v>100</v>
      </c>
      <c r="H73" s="7">
        <v>0.18</v>
      </c>
      <c r="I73" s="1">
        <v>50</v>
      </c>
      <c r="J73" s="1" t="s">
        <v>37</v>
      </c>
      <c r="K73" s="1"/>
      <c r="L73" s="1">
        <v>231</v>
      </c>
      <c r="M73" s="1">
        <f t="shared" si="34"/>
        <v>-120</v>
      </c>
      <c r="N73" s="1">
        <f t="shared" si="36"/>
        <v>91</v>
      </c>
      <c r="O73" s="1">
        <f>VLOOKUP(A73,[3]TDSheet!$A:$AX,7,0)</f>
        <v>20</v>
      </c>
      <c r="P73" s="1">
        <v>0</v>
      </c>
      <c r="Q73" s="1">
        <v>59</v>
      </c>
      <c r="R73" s="1">
        <f t="shared" si="37"/>
        <v>18.2</v>
      </c>
      <c r="S73" s="5">
        <f t="shared" si="33"/>
        <v>60</v>
      </c>
      <c r="T73" s="19">
        <f>VLOOKUP(A73,[1]TDSheet!$D:$J,7,0)</f>
        <v>0.69161290322580649</v>
      </c>
      <c r="U73" s="5">
        <f t="shared" si="31"/>
        <v>18.50322580645161</v>
      </c>
      <c r="V73" s="5">
        <f t="shared" si="38"/>
        <v>19</v>
      </c>
      <c r="W73" s="5"/>
      <c r="X73" s="5">
        <f t="shared" si="32"/>
        <v>41.49677419354839</v>
      </c>
      <c r="Y73" s="5">
        <f t="shared" si="39"/>
        <v>41</v>
      </c>
      <c r="Z73" s="5"/>
      <c r="AA73" s="1">
        <f t="shared" si="40"/>
        <v>15</v>
      </c>
      <c r="AB73" s="1">
        <f t="shared" si="35"/>
        <v>11.703296703296704</v>
      </c>
      <c r="AC73" s="1">
        <v>22.4</v>
      </c>
      <c r="AD73" s="1">
        <v>25.4</v>
      </c>
      <c r="AE73" s="1">
        <v>33.6</v>
      </c>
      <c r="AF73" s="1">
        <v>53</v>
      </c>
      <c r="AG73" s="1">
        <v>47.2</v>
      </c>
      <c r="AH73" s="1">
        <v>9.6</v>
      </c>
      <c r="AI73" s="1">
        <v>35.6</v>
      </c>
      <c r="AJ73" s="1">
        <v>42</v>
      </c>
      <c r="AK73" s="1">
        <v>28.4</v>
      </c>
      <c r="AL73" s="1">
        <v>15.8</v>
      </c>
      <c r="AM73" s="1"/>
      <c r="AN73" s="1">
        <f t="shared" si="41"/>
        <v>3.42</v>
      </c>
      <c r="AO73" s="1">
        <f t="shared" si="42"/>
        <v>7.38</v>
      </c>
    </row>
    <row r="74" spans="1:41" x14ac:dyDescent="0.25">
      <c r="A74" s="1" t="s">
        <v>124</v>
      </c>
      <c r="B74" s="1" t="s">
        <v>40</v>
      </c>
      <c r="C74" s="1">
        <v>120</v>
      </c>
      <c r="D74" s="1">
        <v>144</v>
      </c>
      <c r="E74" s="1">
        <v>6</v>
      </c>
      <c r="F74" s="1">
        <v>108</v>
      </c>
      <c r="G74" s="1"/>
      <c r="H74" s="7">
        <v>0.22</v>
      </c>
      <c r="I74" s="1">
        <v>120</v>
      </c>
      <c r="J74" s="1" t="s">
        <v>37</v>
      </c>
      <c r="K74" s="1"/>
      <c r="L74" s="1">
        <v>7</v>
      </c>
      <c r="M74" s="1">
        <f t="shared" si="34"/>
        <v>-1</v>
      </c>
      <c r="N74" s="1">
        <f t="shared" si="36"/>
        <v>6</v>
      </c>
      <c r="O74" s="1"/>
      <c r="P74" s="1">
        <v>0</v>
      </c>
      <c r="Q74" s="1">
        <v>0</v>
      </c>
      <c r="R74" s="1">
        <f t="shared" si="37"/>
        <v>1.2</v>
      </c>
      <c r="S74" s="5"/>
      <c r="T74" s="19">
        <f>VLOOKUP(A74,[1]TDSheet!$D:$J,7,0)</f>
        <v>0</v>
      </c>
      <c r="U74" s="5">
        <f t="shared" si="31"/>
        <v>0</v>
      </c>
      <c r="V74" s="5">
        <f t="shared" si="38"/>
        <v>0</v>
      </c>
      <c r="W74" s="5"/>
      <c r="X74" s="5">
        <f t="shared" si="32"/>
        <v>0</v>
      </c>
      <c r="Y74" s="5">
        <v>70</v>
      </c>
      <c r="Z74" s="5">
        <f>VLOOKUP(A74,[4]Sheet!$A:$X,24,0)</f>
        <v>70</v>
      </c>
      <c r="AA74" s="1">
        <f t="shared" si="40"/>
        <v>148.33333333333334</v>
      </c>
      <c r="AB74" s="1">
        <f t="shared" si="35"/>
        <v>90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 t="s">
        <v>38</v>
      </c>
      <c r="AN74" s="1">
        <f t="shared" si="41"/>
        <v>0</v>
      </c>
      <c r="AO74" s="1">
        <f t="shared" si="42"/>
        <v>15.4</v>
      </c>
    </row>
    <row r="75" spans="1:41" x14ac:dyDescent="0.25">
      <c r="A75" s="9" t="s">
        <v>125</v>
      </c>
      <c r="B75" s="9" t="s">
        <v>36</v>
      </c>
      <c r="C75" s="9"/>
      <c r="D75" s="9"/>
      <c r="E75" s="9"/>
      <c r="F75" s="9"/>
      <c r="G75" s="9"/>
      <c r="H75" s="10">
        <v>0</v>
      </c>
      <c r="I75" s="9"/>
      <c r="J75" s="9" t="s">
        <v>37</v>
      </c>
      <c r="K75" s="9"/>
      <c r="L75" s="9">
        <v>54</v>
      </c>
      <c r="M75" s="9">
        <f t="shared" si="34"/>
        <v>-54</v>
      </c>
      <c r="N75" s="9">
        <f t="shared" si="36"/>
        <v>0</v>
      </c>
      <c r="O75" s="9"/>
      <c r="P75" s="9">
        <v>0</v>
      </c>
      <c r="Q75" s="9">
        <v>0</v>
      </c>
      <c r="R75" s="9">
        <f t="shared" si="37"/>
        <v>0</v>
      </c>
      <c r="S75" s="11"/>
      <c r="T75" s="19" t="e">
        <f>VLOOKUP(A75,[1]TDSheet!$D:$J,7,0)</f>
        <v>#N/A</v>
      </c>
      <c r="U75" s="11"/>
      <c r="V75" s="5">
        <f t="shared" si="38"/>
        <v>0</v>
      </c>
      <c r="W75" s="11"/>
      <c r="X75" s="11"/>
      <c r="Y75" s="5">
        <f t="shared" si="39"/>
        <v>0</v>
      </c>
      <c r="Z75" s="11"/>
      <c r="AA75" s="1" t="e">
        <f t="shared" si="40"/>
        <v>#DIV/0!</v>
      </c>
      <c r="AB75" s="9" t="e">
        <f t="shared" si="35"/>
        <v>#DIV/0!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 t="s">
        <v>107</v>
      </c>
      <c r="AN75" s="1">
        <f t="shared" si="41"/>
        <v>0</v>
      </c>
      <c r="AO75" s="1">
        <f t="shared" si="42"/>
        <v>0</v>
      </c>
    </row>
    <row r="76" spans="1:41" x14ac:dyDescent="0.25">
      <c r="A76" s="1" t="s">
        <v>74</v>
      </c>
      <c r="B76" s="1" t="s">
        <v>40</v>
      </c>
      <c r="C76" s="1">
        <v>1315</v>
      </c>
      <c r="D76" s="1">
        <v>911</v>
      </c>
      <c r="E76" s="1">
        <v>511</v>
      </c>
      <c r="F76" s="14">
        <f>364+F33</f>
        <v>363</v>
      </c>
      <c r="G76" s="14">
        <f>VLOOKUP(A76,[2]TDSheet!$A:$M,9,0)</f>
        <v>389</v>
      </c>
      <c r="H76" s="7">
        <v>0.35</v>
      </c>
      <c r="I76" s="1">
        <v>50</v>
      </c>
      <c r="J76" s="1" t="s">
        <v>37</v>
      </c>
      <c r="K76" s="1"/>
      <c r="L76" s="1">
        <v>563</v>
      </c>
      <c r="M76" s="1">
        <f t="shared" si="34"/>
        <v>-52</v>
      </c>
      <c r="N76" s="1">
        <f t="shared" si="36"/>
        <v>354</v>
      </c>
      <c r="O76" s="1">
        <f>VLOOKUP(A76,[3]TDSheet!$A:$AX,7,0)</f>
        <v>157</v>
      </c>
      <c r="P76" s="1">
        <v>415</v>
      </c>
      <c r="Q76" s="1">
        <v>170</v>
      </c>
      <c r="R76" s="1">
        <f t="shared" si="37"/>
        <v>70.8</v>
      </c>
      <c r="S76" s="5"/>
      <c r="T76" s="19">
        <f>VLOOKUP(A76,[1]TDSheet!$D:$J,7,0)</f>
        <v>0.61917293233082715</v>
      </c>
      <c r="U76" s="5">
        <f>S76-X76</f>
        <v>0</v>
      </c>
      <c r="V76" s="5">
        <f t="shared" si="38"/>
        <v>0</v>
      </c>
      <c r="W76" s="5"/>
      <c r="X76" s="5">
        <f>S76*T76</f>
        <v>0</v>
      </c>
      <c r="Y76" s="5">
        <f t="shared" si="39"/>
        <v>0</v>
      </c>
      <c r="Z76" s="5"/>
      <c r="AA76" s="1">
        <f t="shared" si="40"/>
        <v>18.884180790960453</v>
      </c>
      <c r="AB76" s="1">
        <f t="shared" si="35"/>
        <v>18.884180790960453</v>
      </c>
      <c r="AC76" s="1">
        <v>109.2</v>
      </c>
      <c r="AD76" s="1">
        <v>139.80000000000001</v>
      </c>
      <c r="AE76" s="1">
        <v>31.4</v>
      </c>
      <c r="AF76" s="1">
        <v>171.8</v>
      </c>
      <c r="AG76" s="1">
        <v>167.8</v>
      </c>
      <c r="AH76" s="1">
        <v>88.4</v>
      </c>
      <c r="AI76" s="1">
        <v>88.6</v>
      </c>
      <c r="AJ76" s="1">
        <v>163.19999999999999</v>
      </c>
      <c r="AK76" s="1">
        <v>117.6</v>
      </c>
      <c r="AL76" s="1">
        <v>85.6</v>
      </c>
      <c r="AM76" s="1"/>
      <c r="AN76" s="1">
        <f t="shared" si="41"/>
        <v>0</v>
      </c>
      <c r="AO76" s="1">
        <f t="shared" si="42"/>
        <v>0</v>
      </c>
    </row>
    <row r="77" spans="1:41" x14ac:dyDescent="0.25">
      <c r="A77" s="9" t="s">
        <v>126</v>
      </c>
      <c r="B77" s="9" t="s">
        <v>40</v>
      </c>
      <c r="C77" s="9"/>
      <c r="D77" s="9"/>
      <c r="E77" s="9"/>
      <c r="F77" s="9"/>
      <c r="G77" s="9"/>
      <c r="H77" s="10">
        <v>0</v>
      </c>
      <c r="I77" s="9"/>
      <c r="J77" s="9" t="s">
        <v>37</v>
      </c>
      <c r="K77" s="9"/>
      <c r="L77" s="9"/>
      <c r="M77" s="9">
        <f t="shared" si="34"/>
        <v>0</v>
      </c>
      <c r="N77" s="9">
        <f t="shared" si="36"/>
        <v>0</v>
      </c>
      <c r="O77" s="9"/>
      <c r="P77" s="9">
        <v>0</v>
      </c>
      <c r="Q77" s="9">
        <v>0</v>
      </c>
      <c r="R77" s="9">
        <f t="shared" si="37"/>
        <v>0</v>
      </c>
      <c r="S77" s="11"/>
      <c r="T77" s="19" t="e">
        <f>VLOOKUP(A77,[1]TDSheet!$D:$J,7,0)</f>
        <v>#N/A</v>
      </c>
      <c r="U77" s="11"/>
      <c r="V77" s="5">
        <f t="shared" si="38"/>
        <v>0</v>
      </c>
      <c r="W77" s="11"/>
      <c r="X77" s="11"/>
      <c r="Y77" s="5">
        <f t="shared" si="39"/>
        <v>0</v>
      </c>
      <c r="Z77" s="11"/>
      <c r="AA77" s="1" t="e">
        <f t="shared" si="40"/>
        <v>#DIV/0!</v>
      </c>
      <c r="AB77" s="9" t="e">
        <f t="shared" si="35"/>
        <v>#DIV/0!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 t="s">
        <v>107</v>
      </c>
      <c r="AN77" s="1">
        <f t="shared" si="41"/>
        <v>0</v>
      </c>
      <c r="AO77" s="1">
        <f t="shared" si="42"/>
        <v>0</v>
      </c>
    </row>
    <row r="78" spans="1:41" x14ac:dyDescent="0.25">
      <c r="A78" s="1" t="s">
        <v>127</v>
      </c>
      <c r="B78" s="1" t="s">
        <v>36</v>
      </c>
      <c r="C78" s="1">
        <v>343.61900000000003</v>
      </c>
      <c r="D78" s="1">
        <v>673.82</v>
      </c>
      <c r="E78" s="1">
        <v>223.71799999999999</v>
      </c>
      <c r="F78" s="1">
        <v>2.0169999999999999</v>
      </c>
      <c r="G78" s="1">
        <f>VLOOKUP(A78,[2]TDSheet!$A:$M,9,0)</f>
        <v>5.4180000000000001</v>
      </c>
      <c r="H78" s="7">
        <v>1</v>
      </c>
      <c r="I78" s="1">
        <v>50</v>
      </c>
      <c r="J78" s="1" t="s">
        <v>37</v>
      </c>
      <c r="K78" s="1"/>
      <c r="L78" s="1">
        <v>235.6</v>
      </c>
      <c r="M78" s="1">
        <f t="shared" si="34"/>
        <v>-11.882000000000005</v>
      </c>
      <c r="N78" s="1">
        <f t="shared" si="36"/>
        <v>173.45599999999999</v>
      </c>
      <c r="O78" s="1">
        <f>VLOOKUP(A78,[3]TDSheet!$A:$AX,7,0)</f>
        <v>50.262</v>
      </c>
      <c r="P78" s="1">
        <v>124</v>
      </c>
      <c r="Q78" s="1">
        <v>300</v>
      </c>
      <c r="R78" s="1">
        <f t="shared" si="37"/>
        <v>34.691199999999995</v>
      </c>
      <c r="S78" s="5">
        <f t="shared" ref="S78:S79" si="43">15*R78-Q78-P78-G78-F78</f>
        <v>88.932999999999936</v>
      </c>
      <c r="T78" s="19">
        <f>VLOOKUP(A78,[1]TDSheet!$D:$J,7,0)</f>
        <v>0.49845613343158723</v>
      </c>
      <c r="U78" s="5">
        <f t="shared" ref="U78:U80" si="44">S78-X78</f>
        <v>44.603800685528618</v>
      </c>
      <c r="V78" s="5">
        <f t="shared" si="38"/>
        <v>45</v>
      </c>
      <c r="W78" s="5"/>
      <c r="X78" s="5">
        <f t="shared" ref="X78:X80" si="45">S78*T78</f>
        <v>44.329199314471317</v>
      </c>
      <c r="Y78" s="5">
        <v>100</v>
      </c>
      <c r="Z78" s="5">
        <f>VLOOKUP(A78,[4]Sheet!$A:$X,24,0)</f>
        <v>100</v>
      </c>
      <c r="AA78" s="1">
        <f t="shared" si="40"/>
        <v>16.616173554100175</v>
      </c>
      <c r="AB78" s="1">
        <f t="shared" si="35"/>
        <v>12.436439212249795</v>
      </c>
      <c r="AC78" s="1">
        <v>31.833200000000001</v>
      </c>
      <c r="AD78" s="1">
        <v>30.706800000000001</v>
      </c>
      <c r="AE78" s="1">
        <v>26.449000000000002</v>
      </c>
      <c r="AF78" s="1">
        <v>38.481000000000002</v>
      </c>
      <c r="AG78" s="1">
        <v>36.499000000000002</v>
      </c>
      <c r="AH78" s="1">
        <v>22.372399999999999</v>
      </c>
      <c r="AI78" s="1">
        <v>38.507599999999996</v>
      </c>
      <c r="AJ78" s="1">
        <v>29.706199999999999</v>
      </c>
      <c r="AK78" s="1">
        <v>31.820399999999999</v>
      </c>
      <c r="AL78" s="1">
        <v>24.954999999999998</v>
      </c>
      <c r="AM78" s="1"/>
      <c r="AN78" s="1">
        <f t="shared" si="41"/>
        <v>45</v>
      </c>
      <c r="AO78" s="1">
        <f t="shared" si="42"/>
        <v>100</v>
      </c>
    </row>
    <row r="79" spans="1:41" x14ac:dyDescent="0.25">
      <c r="A79" s="1" t="s">
        <v>128</v>
      </c>
      <c r="B79" s="1" t="s">
        <v>36</v>
      </c>
      <c r="C79" s="1">
        <v>586.96100000000001</v>
      </c>
      <c r="D79" s="1">
        <v>492.49400000000003</v>
      </c>
      <c r="E79" s="1">
        <v>340.18799999999999</v>
      </c>
      <c r="F79" s="1">
        <v>35.420999999999999</v>
      </c>
      <c r="G79" s="1"/>
      <c r="H79" s="7">
        <v>1</v>
      </c>
      <c r="I79" s="1">
        <v>50</v>
      </c>
      <c r="J79" s="1" t="s">
        <v>37</v>
      </c>
      <c r="K79" s="1"/>
      <c r="L79" s="1">
        <v>319.60500000000002</v>
      </c>
      <c r="M79" s="1">
        <f t="shared" si="34"/>
        <v>20.58299999999997</v>
      </c>
      <c r="N79" s="1">
        <f t="shared" si="36"/>
        <v>306.34999999999997</v>
      </c>
      <c r="O79" s="1">
        <f>VLOOKUP(A79,[3]TDSheet!$A:$AX,7,0)</f>
        <v>33.838000000000001</v>
      </c>
      <c r="P79" s="1">
        <v>277</v>
      </c>
      <c r="Q79" s="1">
        <v>400</v>
      </c>
      <c r="R79" s="1">
        <f t="shared" si="37"/>
        <v>61.269999999999996</v>
      </c>
      <c r="S79" s="5">
        <f t="shared" si="43"/>
        <v>206.62899999999996</v>
      </c>
      <c r="T79" s="19">
        <f>VLOOKUP(A79,[1]TDSheet!$D:$J,7,0)</f>
        <v>0.48903541207700518</v>
      </c>
      <c r="U79" s="5">
        <f t="shared" si="44"/>
        <v>105.58010183794048</v>
      </c>
      <c r="V79" s="5">
        <f t="shared" si="38"/>
        <v>106</v>
      </c>
      <c r="W79" s="5"/>
      <c r="X79" s="5">
        <f t="shared" si="45"/>
        <v>101.04889816205949</v>
      </c>
      <c r="Y79" s="5">
        <v>250</v>
      </c>
      <c r="Z79" s="5">
        <f>VLOOKUP(A79,[4]Sheet!$A:$X,24,0)</f>
        <v>250</v>
      </c>
      <c r="AA79" s="1">
        <f t="shared" si="40"/>
        <v>17.437914150481479</v>
      </c>
      <c r="AB79" s="1">
        <f t="shared" si="35"/>
        <v>11.627566508895056</v>
      </c>
      <c r="AC79" s="1">
        <v>56.628799999999998</v>
      </c>
      <c r="AD79" s="1">
        <v>59.719200000000001</v>
      </c>
      <c r="AE79" s="1">
        <v>27.568200000000001</v>
      </c>
      <c r="AF79" s="1">
        <v>69.794600000000003</v>
      </c>
      <c r="AG79" s="1">
        <v>60.612000000000002</v>
      </c>
      <c r="AH79" s="1">
        <v>40.339399999999998</v>
      </c>
      <c r="AI79" s="1">
        <v>47.528399999999998</v>
      </c>
      <c r="AJ79" s="1">
        <v>59.781599999999997</v>
      </c>
      <c r="AK79" s="1">
        <v>56.038800000000002</v>
      </c>
      <c r="AL79" s="1">
        <v>36.125599999999999</v>
      </c>
      <c r="AM79" s="1"/>
      <c r="AN79" s="1">
        <f t="shared" si="41"/>
        <v>106</v>
      </c>
      <c r="AO79" s="1">
        <f t="shared" si="42"/>
        <v>250</v>
      </c>
    </row>
    <row r="80" spans="1:41" x14ac:dyDescent="0.25">
      <c r="A80" s="1" t="s">
        <v>129</v>
      </c>
      <c r="B80" s="1" t="s">
        <v>40</v>
      </c>
      <c r="C80" s="1">
        <v>786</v>
      </c>
      <c r="D80" s="1">
        <v>2520</v>
      </c>
      <c r="E80" s="1">
        <v>715</v>
      </c>
      <c r="F80" s="1">
        <v>24</v>
      </c>
      <c r="G80" s="1">
        <f>VLOOKUP(A80,[2]TDSheet!$A:$M,9,0)</f>
        <v>101</v>
      </c>
      <c r="H80" s="7">
        <v>0.35</v>
      </c>
      <c r="I80" s="1">
        <v>50</v>
      </c>
      <c r="J80" s="1" t="s">
        <v>37</v>
      </c>
      <c r="K80" s="1"/>
      <c r="L80" s="1">
        <v>790</v>
      </c>
      <c r="M80" s="1">
        <f t="shared" si="34"/>
        <v>-75</v>
      </c>
      <c r="N80" s="1">
        <f t="shared" si="36"/>
        <v>537</v>
      </c>
      <c r="O80" s="1">
        <f>VLOOKUP(A80,[3]TDSheet!$A:$AX,7,0)</f>
        <v>178</v>
      </c>
      <c r="P80" s="1">
        <v>900</v>
      </c>
      <c r="Q80" s="1">
        <v>600</v>
      </c>
      <c r="R80" s="1">
        <f t="shared" si="37"/>
        <v>107.4</v>
      </c>
      <c r="S80" s="5"/>
      <c r="T80" s="19">
        <f>VLOOKUP(A80,[1]TDSheet!$D:$J,7,0)</f>
        <v>0.54810049019607832</v>
      </c>
      <c r="U80" s="5">
        <f t="shared" si="44"/>
        <v>0</v>
      </c>
      <c r="V80" s="5">
        <f t="shared" si="38"/>
        <v>0</v>
      </c>
      <c r="W80" s="5"/>
      <c r="X80" s="5">
        <f t="shared" si="45"/>
        <v>0</v>
      </c>
      <c r="Y80" s="5">
        <v>70</v>
      </c>
      <c r="Z80" s="5">
        <f>VLOOKUP(A80,[4]Sheet!$A:$X,24,0)</f>
        <v>70</v>
      </c>
      <c r="AA80" s="1">
        <f t="shared" si="40"/>
        <v>15.782122905027933</v>
      </c>
      <c r="AB80" s="1">
        <f t="shared" si="35"/>
        <v>15.130353817504655</v>
      </c>
      <c r="AC80" s="1">
        <v>141.4</v>
      </c>
      <c r="AD80" s="1">
        <v>157.19999999999999</v>
      </c>
      <c r="AE80" s="1">
        <v>83.2</v>
      </c>
      <c r="AF80" s="1">
        <v>181</v>
      </c>
      <c r="AG80" s="1">
        <v>164.4</v>
      </c>
      <c r="AH80" s="1">
        <v>112.2</v>
      </c>
      <c r="AI80" s="1">
        <v>124.6</v>
      </c>
      <c r="AJ80" s="1">
        <v>139</v>
      </c>
      <c r="AK80" s="1">
        <v>128</v>
      </c>
      <c r="AL80" s="1">
        <v>104.2</v>
      </c>
      <c r="AM80" s="1"/>
      <c r="AN80" s="1">
        <f t="shared" si="41"/>
        <v>0</v>
      </c>
      <c r="AO80" s="1">
        <f t="shared" si="42"/>
        <v>24.5</v>
      </c>
    </row>
    <row r="81" spans="1:41" x14ac:dyDescent="0.25">
      <c r="A81" s="9" t="s">
        <v>130</v>
      </c>
      <c r="B81" s="9" t="s">
        <v>40</v>
      </c>
      <c r="C81" s="9">
        <v>71</v>
      </c>
      <c r="D81" s="9">
        <v>48</v>
      </c>
      <c r="E81" s="9">
        <v>32</v>
      </c>
      <c r="F81" s="9"/>
      <c r="G81" s="9"/>
      <c r="H81" s="10">
        <v>0</v>
      </c>
      <c r="I81" s="9"/>
      <c r="J81" s="9" t="s">
        <v>62</v>
      </c>
      <c r="K81" s="9"/>
      <c r="L81" s="9">
        <v>146</v>
      </c>
      <c r="M81" s="9">
        <f t="shared" si="34"/>
        <v>-114</v>
      </c>
      <c r="N81" s="9">
        <f t="shared" si="36"/>
        <v>0</v>
      </c>
      <c r="O81" s="9">
        <f>VLOOKUP(A81,[3]TDSheet!$A:$AX,7,0)</f>
        <v>32</v>
      </c>
      <c r="P81" s="9">
        <v>0</v>
      </c>
      <c r="Q81" s="9">
        <v>0</v>
      </c>
      <c r="R81" s="9">
        <f t="shared" si="37"/>
        <v>0</v>
      </c>
      <c r="S81" s="11"/>
      <c r="T81" s="19">
        <f>VLOOKUP(A81,[1]TDSheet!$D:$J,7,0)</f>
        <v>0.5960264900662251</v>
      </c>
      <c r="U81" s="11"/>
      <c r="V81" s="5">
        <f t="shared" si="38"/>
        <v>0</v>
      </c>
      <c r="W81" s="11"/>
      <c r="X81" s="11"/>
      <c r="Y81" s="5">
        <f t="shared" si="39"/>
        <v>0</v>
      </c>
      <c r="Z81" s="11"/>
      <c r="AA81" s="1" t="e">
        <f t="shared" si="40"/>
        <v>#DIV/0!</v>
      </c>
      <c r="AB81" s="9" t="e">
        <f t="shared" si="35"/>
        <v>#DIV/0!</v>
      </c>
      <c r="AC81" s="9">
        <v>-0.4</v>
      </c>
      <c r="AD81" s="9">
        <v>10.4</v>
      </c>
      <c r="AE81" s="9">
        <v>5.2</v>
      </c>
      <c r="AF81" s="9">
        <v>3.6</v>
      </c>
      <c r="AG81" s="9">
        <v>3.2</v>
      </c>
      <c r="AH81" s="9">
        <v>4.8</v>
      </c>
      <c r="AI81" s="9">
        <v>6.4</v>
      </c>
      <c r="AJ81" s="9">
        <v>0</v>
      </c>
      <c r="AK81" s="9">
        <v>0</v>
      </c>
      <c r="AL81" s="9">
        <v>0</v>
      </c>
      <c r="AM81" s="9" t="s">
        <v>63</v>
      </c>
      <c r="AN81" s="1">
        <f t="shared" si="41"/>
        <v>0</v>
      </c>
      <c r="AO81" s="1">
        <f t="shared" si="42"/>
        <v>0</v>
      </c>
    </row>
    <row r="82" spans="1:41" x14ac:dyDescent="0.25">
      <c r="A82" s="1" t="s">
        <v>131</v>
      </c>
      <c r="B82" s="1" t="s">
        <v>40</v>
      </c>
      <c r="C82" s="1">
        <v>24</v>
      </c>
      <c r="D82" s="1">
        <v>538</v>
      </c>
      <c r="E82" s="1">
        <v>89</v>
      </c>
      <c r="F82" s="1"/>
      <c r="G82" s="1"/>
      <c r="H82" s="7">
        <v>0.3</v>
      </c>
      <c r="I82" s="1">
        <v>50</v>
      </c>
      <c r="J82" s="1" t="s">
        <v>37</v>
      </c>
      <c r="K82" s="1"/>
      <c r="L82" s="1">
        <v>293</v>
      </c>
      <c r="M82" s="1">
        <f t="shared" si="34"/>
        <v>-204</v>
      </c>
      <c r="N82" s="1">
        <f t="shared" si="36"/>
        <v>35</v>
      </c>
      <c r="O82" s="1">
        <f>VLOOKUP(A82,[3]TDSheet!$A:$AX,7,0)</f>
        <v>54</v>
      </c>
      <c r="P82" s="1">
        <v>325</v>
      </c>
      <c r="Q82" s="1">
        <v>275</v>
      </c>
      <c r="R82" s="1">
        <f t="shared" si="37"/>
        <v>7</v>
      </c>
      <c r="S82" s="5"/>
      <c r="T82" s="19">
        <f>VLOOKUP(A82,[1]TDSheet!$D:$J,7,0)</f>
        <v>0.4534075104311544</v>
      </c>
      <c r="U82" s="5">
        <f t="shared" ref="U82:U85" si="46">S82-X82</f>
        <v>0</v>
      </c>
      <c r="V82" s="5">
        <f t="shared" si="38"/>
        <v>0</v>
      </c>
      <c r="W82" s="5"/>
      <c r="X82" s="5">
        <f t="shared" ref="X82:X85" si="47">S82*T82</f>
        <v>0</v>
      </c>
      <c r="Y82" s="5">
        <v>100</v>
      </c>
      <c r="Z82" s="5">
        <f>VLOOKUP(A82,[4]Sheet!$A:$X,24,0)</f>
        <v>100</v>
      </c>
      <c r="AA82" s="1">
        <f t="shared" si="40"/>
        <v>100</v>
      </c>
      <c r="AB82" s="1">
        <f t="shared" si="35"/>
        <v>85.714285714285708</v>
      </c>
      <c r="AC82" s="1">
        <v>41.6</v>
      </c>
      <c r="AD82" s="1">
        <v>38</v>
      </c>
      <c r="AE82" s="1">
        <v>4</v>
      </c>
      <c r="AF82" s="1">
        <v>39.200000000000003</v>
      </c>
      <c r="AG82" s="1">
        <v>26.6</v>
      </c>
      <c r="AH82" s="1">
        <v>20.6</v>
      </c>
      <c r="AI82" s="1">
        <v>23</v>
      </c>
      <c r="AJ82" s="1">
        <v>20</v>
      </c>
      <c r="AK82" s="1">
        <v>27</v>
      </c>
      <c r="AL82" s="1">
        <v>28.2</v>
      </c>
      <c r="AM82" s="1"/>
      <c r="AN82" s="1">
        <f t="shared" si="41"/>
        <v>0</v>
      </c>
      <c r="AO82" s="1">
        <f t="shared" si="42"/>
        <v>30</v>
      </c>
    </row>
    <row r="83" spans="1:41" x14ac:dyDescent="0.25">
      <c r="A83" s="1" t="s">
        <v>132</v>
      </c>
      <c r="B83" s="1" t="s">
        <v>40</v>
      </c>
      <c r="C83" s="1">
        <v>47</v>
      </c>
      <c r="D83" s="1">
        <v>42</v>
      </c>
      <c r="E83" s="1">
        <v>44</v>
      </c>
      <c r="F83" s="1"/>
      <c r="G83" s="1"/>
      <c r="H83" s="7">
        <v>0.3</v>
      </c>
      <c r="I83" s="1">
        <v>60</v>
      </c>
      <c r="J83" s="1" t="s">
        <v>37</v>
      </c>
      <c r="K83" s="1"/>
      <c r="L83" s="1">
        <v>63</v>
      </c>
      <c r="M83" s="1">
        <f t="shared" si="34"/>
        <v>-19</v>
      </c>
      <c r="N83" s="1">
        <f t="shared" si="36"/>
        <v>44</v>
      </c>
      <c r="O83" s="1"/>
      <c r="P83" s="1">
        <v>99</v>
      </c>
      <c r="Q83" s="1">
        <v>0</v>
      </c>
      <c r="R83" s="1">
        <f t="shared" si="37"/>
        <v>8.8000000000000007</v>
      </c>
      <c r="S83" s="5">
        <f t="shared" ref="S83:S85" si="48">15*R83-Q83-P83-G83-F83</f>
        <v>33</v>
      </c>
      <c r="T83" s="19">
        <f>VLOOKUP(A83,[1]TDSheet!$D:$J,7,0)</f>
        <v>0.20731707317073167</v>
      </c>
      <c r="U83" s="5">
        <f t="shared" si="46"/>
        <v>26.158536585365855</v>
      </c>
      <c r="V83" s="5">
        <f t="shared" si="38"/>
        <v>26</v>
      </c>
      <c r="W83" s="5"/>
      <c r="X83" s="5">
        <f t="shared" si="47"/>
        <v>6.8414634146341449</v>
      </c>
      <c r="Y83" s="5">
        <v>80</v>
      </c>
      <c r="Z83" s="5">
        <f>VLOOKUP(A83,[4]Sheet!$A:$X,24,0)</f>
        <v>100</v>
      </c>
      <c r="AA83" s="1">
        <f t="shared" si="40"/>
        <v>23.295454545454543</v>
      </c>
      <c r="AB83" s="1">
        <f t="shared" si="35"/>
        <v>11.249999999999998</v>
      </c>
      <c r="AC83" s="1">
        <v>2.6</v>
      </c>
      <c r="AD83" s="1">
        <v>12.4</v>
      </c>
      <c r="AE83" s="1">
        <v>8</v>
      </c>
      <c r="AF83" s="1">
        <v>5.2</v>
      </c>
      <c r="AG83" s="1">
        <v>9.6</v>
      </c>
      <c r="AH83" s="1">
        <v>8.4</v>
      </c>
      <c r="AI83" s="1">
        <v>4.5999999999999996</v>
      </c>
      <c r="AJ83" s="1">
        <v>4</v>
      </c>
      <c r="AK83" s="1">
        <v>7.8</v>
      </c>
      <c r="AL83" s="1">
        <v>5.8</v>
      </c>
      <c r="AM83" s="1"/>
      <c r="AN83" s="1">
        <f t="shared" si="41"/>
        <v>7.8</v>
      </c>
      <c r="AO83" s="1">
        <f t="shared" si="42"/>
        <v>24</v>
      </c>
    </row>
    <row r="84" spans="1:41" x14ac:dyDescent="0.25">
      <c r="A84" s="1" t="s">
        <v>133</v>
      </c>
      <c r="B84" s="1" t="s">
        <v>40</v>
      </c>
      <c r="C84" s="1">
        <v>623</v>
      </c>
      <c r="D84" s="1">
        <v>810</v>
      </c>
      <c r="E84" s="1">
        <v>352</v>
      </c>
      <c r="F84" s="1">
        <v>173</v>
      </c>
      <c r="G84" s="1">
        <f>VLOOKUP(A84,[2]TDSheet!$A:$M,9,0)</f>
        <v>200</v>
      </c>
      <c r="H84" s="7">
        <v>0.28000000000000003</v>
      </c>
      <c r="I84" s="1">
        <v>50</v>
      </c>
      <c r="J84" s="1" t="s">
        <v>37</v>
      </c>
      <c r="K84" s="1"/>
      <c r="L84" s="1">
        <v>459</v>
      </c>
      <c r="M84" s="1">
        <f t="shared" si="34"/>
        <v>-107</v>
      </c>
      <c r="N84" s="1">
        <f t="shared" si="36"/>
        <v>232</v>
      </c>
      <c r="O84" s="1">
        <f>VLOOKUP(A84,[3]TDSheet!$A:$AX,7,0)</f>
        <v>120</v>
      </c>
      <c r="P84" s="1">
        <v>425</v>
      </c>
      <c r="Q84" s="1">
        <v>0</v>
      </c>
      <c r="R84" s="1">
        <f t="shared" si="37"/>
        <v>46.4</v>
      </c>
      <c r="S84" s="5"/>
      <c r="T84" s="19">
        <f>VLOOKUP(A84,[1]TDSheet!$D:$J,7,0)</f>
        <v>0.55424836601307192</v>
      </c>
      <c r="U84" s="5">
        <f t="shared" si="46"/>
        <v>0</v>
      </c>
      <c r="V84" s="5">
        <f t="shared" si="38"/>
        <v>0</v>
      </c>
      <c r="W84" s="5"/>
      <c r="X84" s="5">
        <f t="shared" si="47"/>
        <v>0</v>
      </c>
      <c r="Y84" s="5">
        <f t="shared" si="39"/>
        <v>0</v>
      </c>
      <c r="Z84" s="5"/>
      <c r="AA84" s="1">
        <f t="shared" si="40"/>
        <v>17.198275862068964</v>
      </c>
      <c r="AB84" s="1">
        <f t="shared" si="35"/>
        <v>17.198275862068964</v>
      </c>
      <c r="AC84" s="1">
        <v>51.4</v>
      </c>
      <c r="AD84" s="1">
        <v>86.8</v>
      </c>
      <c r="AE84" s="1">
        <v>22</v>
      </c>
      <c r="AF84" s="1">
        <v>110.6</v>
      </c>
      <c r="AG84" s="1">
        <v>99.4</v>
      </c>
      <c r="AH84" s="1">
        <v>52.6</v>
      </c>
      <c r="AI84" s="1">
        <v>55.4</v>
      </c>
      <c r="AJ84" s="1">
        <v>88.4</v>
      </c>
      <c r="AK84" s="1">
        <v>94.2</v>
      </c>
      <c r="AL84" s="1">
        <v>52.8</v>
      </c>
      <c r="AM84" s="1"/>
      <c r="AN84" s="1">
        <f t="shared" si="41"/>
        <v>0</v>
      </c>
      <c r="AO84" s="1">
        <f t="shared" si="42"/>
        <v>0</v>
      </c>
    </row>
    <row r="85" spans="1:41" x14ac:dyDescent="0.25">
      <c r="A85" s="1" t="s">
        <v>134</v>
      </c>
      <c r="B85" s="1" t="s">
        <v>40</v>
      </c>
      <c r="C85" s="1">
        <v>673</v>
      </c>
      <c r="D85" s="1">
        <v>664</v>
      </c>
      <c r="E85" s="1">
        <v>436</v>
      </c>
      <c r="F85" s="1">
        <v>170</v>
      </c>
      <c r="G85" s="1">
        <f>VLOOKUP(A85,[2]TDSheet!$A:$M,9,0)</f>
        <v>197</v>
      </c>
      <c r="H85" s="7">
        <v>0.28000000000000003</v>
      </c>
      <c r="I85" s="1">
        <v>45</v>
      </c>
      <c r="J85" s="1" t="s">
        <v>37</v>
      </c>
      <c r="K85" s="1"/>
      <c r="L85" s="1">
        <v>457</v>
      </c>
      <c r="M85" s="1">
        <f t="shared" si="34"/>
        <v>-21</v>
      </c>
      <c r="N85" s="1">
        <f t="shared" si="36"/>
        <v>284</v>
      </c>
      <c r="O85" s="1">
        <f>VLOOKUP(A85,[3]TDSheet!$A:$AX,7,0)</f>
        <v>152</v>
      </c>
      <c r="P85" s="1">
        <v>291</v>
      </c>
      <c r="Q85" s="1">
        <v>86</v>
      </c>
      <c r="R85" s="1">
        <f t="shared" si="37"/>
        <v>56.8</v>
      </c>
      <c r="S85" s="5">
        <f t="shared" si="48"/>
        <v>108</v>
      </c>
      <c r="T85" s="19">
        <f>VLOOKUP(A85,[1]TDSheet!$D:$J,7,0)</f>
        <v>0.65466101694915257</v>
      </c>
      <c r="U85" s="5">
        <f t="shared" si="46"/>
        <v>37.296610169491515</v>
      </c>
      <c r="V85" s="5">
        <f t="shared" si="38"/>
        <v>37</v>
      </c>
      <c r="W85" s="5"/>
      <c r="X85" s="5">
        <f t="shared" si="47"/>
        <v>70.703389830508485</v>
      </c>
      <c r="Y85" s="5">
        <v>150</v>
      </c>
      <c r="Z85" s="5">
        <f>VLOOKUP(A85,[4]Sheet!$A:$X,24,0)</f>
        <v>150</v>
      </c>
      <c r="AA85" s="1">
        <f t="shared" si="40"/>
        <v>16.390845070422536</v>
      </c>
      <c r="AB85" s="1">
        <f t="shared" si="35"/>
        <v>13.098591549295776</v>
      </c>
      <c r="AC85" s="1">
        <v>70</v>
      </c>
      <c r="AD85" s="1">
        <v>86.8</v>
      </c>
      <c r="AE85" s="1">
        <v>43.4</v>
      </c>
      <c r="AF85" s="1">
        <v>132</v>
      </c>
      <c r="AG85" s="1">
        <v>102</v>
      </c>
      <c r="AH85" s="1">
        <v>67.599999999999994</v>
      </c>
      <c r="AI85" s="1">
        <v>86.6</v>
      </c>
      <c r="AJ85" s="1">
        <v>90.2</v>
      </c>
      <c r="AK85" s="1">
        <v>81.8</v>
      </c>
      <c r="AL85" s="1">
        <v>59.8</v>
      </c>
      <c r="AM85" s="1"/>
      <c r="AN85" s="1">
        <f t="shared" si="41"/>
        <v>10.360000000000001</v>
      </c>
      <c r="AO85" s="1">
        <f t="shared" si="42"/>
        <v>42.000000000000007</v>
      </c>
    </row>
    <row r="86" spans="1:41" x14ac:dyDescent="0.25">
      <c r="A86" s="9" t="s">
        <v>135</v>
      </c>
      <c r="B86" s="9" t="s">
        <v>40</v>
      </c>
      <c r="C86" s="9">
        <v>140</v>
      </c>
      <c r="D86" s="9">
        <v>288</v>
      </c>
      <c r="E86" s="9"/>
      <c r="F86" s="9"/>
      <c r="G86" s="9"/>
      <c r="H86" s="10">
        <v>0</v>
      </c>
      <c r="I86" s="9"/>
      <c r="J86" s="9" t="s">
        <v>62</v>
      </c>
      <c r="K86" s="9"/>
      <c r="L86" s="9"/>
      <c r="M86" s="9">
        <f t="shared" si="34"/>
        <v>0</v>
      </c>
      <c r="N86" s="9">
        <f t="shared" si="36"/>
        <v>0</v>
      </c>
      <c r="O86" s="9"/>
      <c r="P86" s="9">
        <v>0</v>
      </c>
      <c r="Q86" s="9">
        <v>0</v>
      </c>
      <c r="R86" s="9">
        <f t="shared" si="37"/>
        <v>0</v>
      </c>
      <c r="S86" s="11"/>
      <c r="T86" s="19">
        <f>VLOOKUP(A86,[1]TDSheet!$D:$J,7,0)</f>
        <v>1</v>
      </c>
      <c r="U86" s="11"/>
      <c r="V86" s="5">
        <f t="shared" si="38"/>
        <v>0</v>
      </c>
      <c r="W86" s="11"/>
      <c r="X86" s="11"/>
      <c r="Y86" s="5">
        <f t="shared" si="39"/>
        <v>0</v>
      </c>
      <c r="Z86" s="11"/>
      <c r="AA86" s="1" t="e">
        <f t="shared" si="40"/>
        <v>#DIV/0!</v>
      </c>
      <c r="AB86" s="9" t="e">
        <f t="shared" si="35"/>
        <v>#DIV/0!</v>
      </c>
      <c r="AC86" s="9">
        <v>0</v>
      </c>
      <c r="AD86" s="9">
        <v>0</v>
      </c>
      <c r="AE86" s="9">
        <v>0</v>
      </c>
      <c r="AF86" s="9">
        <v>0.4</v>
      </c>
      <c r="AG86" s="9">
        <v>6.4</v>
      </c>
      <c r="AH86" s="9">
        <v>0</v>
      </c>
      <c r="AI86" s="9">
        <v>1.6</v>
      </c>
      <c r="AJ86" s="9">
        <v>3.2</v>
      </c>
      <c r="AK86" s="9">
        <v>0</v>
      </c>
      <c r="AL86" s="9">
        <v>0</v>
      </c>
      <c r="AM86" s="9" t="s">
        <v>63</v>
      </c>
      <c r="AN86" s="1">
        <f t="shared" si="41"/>
        <v>0</v>
      </c>
      <c r="AO86" s="1">
        <f t="shared" si="42"/>
        <v>0</v>
      </c>
    </row>
    <row r="87" spans="1:41" x14ac:dyDescent="0.25">
      <c r="A87" s="1" t="s">
        <v>136</v>
      </c>
      <c r="B87" s="1" t="s">
        <v>40</v>
      </c>
      <c r="C87" s="1">
        <v>375</v>
      </c>
      <c r="D87" s="1">
        <v>409</v>
      </c>
      <c r="E87" s="1">
        <v>384</v>
      </c>
      <c r="F87" s="1">
        <v>28</v>
      </c>
      <c r="G87" s="1">
        <f>VLOOKUP(A87,[2]TDSheet!$A:$M,9,0)</f>
        <v>70</v>
      </c>
      <c r="H87" s="7">
        <v>0.28000000000000003</v>
      </c>
      <c r="I87" s="1">
        <v>45</v>
      </c>
      <c r="J87" s="1" t="s">
        <v>37</v>
      </c>
      <c r="K87" s="1"/>
      <c r="L87" s="1">
        <v>406</v>
      </c>
      <c r="M87" s="1">
        <f t="shared" si="34"/>
        <v>-22</v>
      </c>
      <c r="N87" s="1">
        <f t="shared" si="36"/>
        <v>254</v>
      </c>
      <c r="O87" s="1">
        <f>VLOOKUP(A87,[3]TDSheet!$A:$AX,7,0)</f>
        <v>130</v>
      </c>
      <c r="P87" s="1">
        <v>566</v>
      </c>
      <c r="Q87" s="1">
        <v>0</v>
      </c>
      <c r="R87" s="1">
        <f t="shared" si="37"/>
        <v>50.8</v>
      </c>
      <c r="S87" s="5">
        <f t="shared" ref="S87:S88" si="49">15*R87-Q87-P87-G87-F87</f>
        <v>98</v>
      </c>
      <c r="T87" s="19">
        <f>VLOOKUP(A87,[1]TDSheet!$D:$J,7,0)</f>
        <v>0.65590062111801239</v>
      </c>
      <c r="U87" s="5">
        <f t="shared" ref="U87:U88" si="50">S87-X87</f>
        <v>33.721739130434784</v>
      </c>
      <c r="V87" s="5">
        <f t="shared" si="38"/>
        <v>34</v>
      </c>
      <c r="W87" s="5"/>
      <c r="X87" s="5">
        <f t="shared" ref="X87:X88" si="51">S87*T87</f>
        <v>64.278260869565216</v>
      </c>
      <c r="Y87" s="5">
        <v>150</v>
      </c>
      <c r="Z87" s="5">
        <f>VLOOKUP(A87,[4]Sheet!$A:$X,24,0)</f>
        <v>150</v>
      </c>
      <c r="AA87" s="1">
        <f t="shared" si="40"/>
        <v>16.692913385826774</v>
      </c>
      <c r="AB87" s="1">
        <f t="shared" si="35"/>
        <v>13.070866141732283</v>
      </c>
      <c r="AC87" s="1">
        <v>56</v>
      </c>
      <c r="AD87" s="1">
        <v>80.8</v>
      </c>
      <c r="AE87" s="1">
        <v>37.200000000000003</v>
      </c>
      <c r="AF87" s="1">
        <v>103.2</v>
      </c>
      <c r="AG87" s="1">
        <v>77.2</v>
      </c>
      <c r="AH87" s="1">
        <v>52.2</v>
      </c>
      <c r="AI87" s="1">
        <v>71.8</v>
      </c>
      <c r="AJ87" s="1">
        <v>70.8</v>
      </c>
      <c r="AK87" s="1">
        <v>74.2</v>
      </c>
      <c r="AL87" s="1">
        <v>48.8</v>
      </c>
      <c r="AM87" s="1"/>
      <c r="AN87" s="1">
        <f t="shared" si="41"/>
        <v>9.5200000000000014</v>
      </c>
      <c r="AO87" s="1">
        <f t="shared" si="42"/>
        <v>42.000000000000007</v>
      </c>
    </row>
    <row r="88" spans="1:41" x14ac:dyDescent="0.25">
      <c r="A88" s="1" t="s">
        <v>137</v>
      </c>
      <c r="B88" s="1" t="s">
        <v>40</v>
      </c>
      <c r="C88" s="1">
        <v>1384</v>
      </c>
      <c r="D88" s="1">
        <v>1768</v>
      </c>
      <c r="E88" s="1">
        <v>563</v>
      </c>
      <c r="F88" s="1">
        <v>229</v>
      </c>
      <c r="G88" s="1">
        <f>VLOOKUP(A88,[2]TDSheet!$A:$M,9,0)</f>
        <v>523</v>
      </c>
      <c r="H88" s="7">
        <v>0.4</v>
      </c>
      <c r="I88" s="1">
        <v>50</v>
      </c>
      <c r="J88" s="1" t="s">
        <v>37</v>
      </c>
      <c r="K88" s="1"/>
      <c r="L88" s="1">
        <v>587</v>
      </c>
      <c r="M88" s="1">
        <f t="shared" si="34"/>
        <v>-24</v>
      </c>
      <c r="N88" s="1">
        <f t="shared" si="36"/>
        <v>509</v>
      </c>
      <c r="O88" s="1">
        <f>VLOOKUP(A88,[3]TDSheet!$A:$AX,7,0)</f>
        <v>54</v>
      </c>
      <c r="P88" s="1">
        <v>688</v>
      </c>
      <c r="Q88" s="1">
        <v>0</v>
      </c>
      <c r="R88" s="1">
        <f t="shared" si="37"/>
        <v>101.8</v>
      </c>
      <c r="S88" s="5">
        <f t="shared" si="49"/>
        <v>87</v>
      </c>
      <c r="T88" s="19">
        <f>VLOOKUP(A88,[1]TDSheet!$D:$J,7,0)</f>
        <v>0.53124018838304554</v>
      </c>
      <c r="U88" s="5">
        <f t="shared" si="50"/>
        <v>40.782103610675037</v>
      </c>
      <c r="V88" s="5">
        <f t="shared" si="38"/>
        <v>41</v>
      </c>
      <c r="W88" s="5"/>
      <c r="X88" s="5">
        <f t="shared" si="51"/>
        <v>46.217896389324963</v>
      </c>
      <c r="Y88" s="5">
        <f t="shared" si="39"/>
        <v>46</v>
      </c>
      <c r="Z88" s="5"/>
      <c r="AA88" s="1">
        <f t="shared" si="40"/>
        <v>15</v>
      </c>
      <c r="AB88" s="1">
        <f t="shared" si="35"/>
        <v>14.145383104125736</v>
      </c>
      <c r="AC88" s="1">
        <v>116.6</v>
      </c>
      <c r="AD88" s="1">
        <v>169.8</v>
      </c>
      <c r="AE88" s="1">
        <v>144.4</v>
      </c>
      <c r="AF88" s="1">
        <v>147.80000000000001</v>
      </c>
      <c r="AG88" s="1">
        <v>187.2</v>
      </c>
      <c r="AH88" s="1">
        <v>136.4</v>
      </c>
      <c r="AI88" s="1">
        <v>73</v>
      </c>
      <c r="AJ88" s="1">
        <v>123.8</v>
      </c>
      <c r="AK88" s="1">
        <v>112.6</v>
      </c>
      <c r="AL88" s="1">
        <v>89.6</v>
      </c>
      <c r="AM88" s="1"/>
      <c r="AN88" s="1">
        <f t="shared" si="41"/>
        <v>16.400000000000002</v>
      </c>
      <c r="AO88" s="1">
        <f t="shared" si="42"/>
        <v>18.400000000000002</v>
      </c>
    </row>
    <row r="89" spans="1:41" x14ac:dyDescent="0.25">
      <c r="A89" s="9" t="s">
        <v>138</v>
      </c>
      <c r="B89" s="9" t="s">
        <v>40</v>
      </c>
      <c r="C89" s="9">
        <v>-6</v>
      </c>
      <c r="D89" s="9">
        <v>6</v>
      </c>
      <c r="E89" s="9"/>
      <c r="F89" s="9"/>
      <c r="G89" s="9"/>
      <c r="H89" s="10">
        <v>0</v>
      </c>
      <c r="I89" s="9"/>
      <c r="J89" s="9" t="s">
        <v>62</v>
      </c>
      <c r="K89" s="9" t="s">
        <v>139</v>
      </c>
      <c r="L89" s="9"/>
      <c r="M89" s="9">
        <f t="shared" si="34"/>
        <v>0</v>
      </c>
      <c r="N89" s="9">
        <f t="shared" si="36"/>
        <v>0</v>
      </c>
      <c r="O89" s="9"/>
      <c r="P89" s="9">
        <v>0</v>
      </c>
      <c r="Q89" s="9">
        <v>0</v>
      </c>
      <c r="R89" s="9">
        <f t="shared" si="37"/>
        <v>0</v>
      </c>
      <c r="S89" s="11"/>
      <c r="T89" s="19">
        <f>VLOOKUP(A89,[1]TDSheet!$D:$J,7,0)</f>
        <v>0</v>
      </c>
      <c r="U89" s="11"/>
      <c r="V89" s="5">
        <f t="shared" si="38"/>
        <v>0</v>
      </c>
      <c r="W89" s="11"/>
      <c r="X89" s="11"/>
      <c r="Y89" s="5">
        <f t="shared" si="39"/>
        <v>0</v>
      </c>
      <c r="Z89" s="11"/>
      <c r="AA89" s="1" t="e">
        <f t="shared" si="40"/>
        <v>#DIV/0!</v>
      </c>
      <c r="AB89" s="9" t="e">
        <f t="shared" si="35"/>
        <v>#DIV/0!</v>
      </c>
      <c r="AC89" s="9">
        <v>0</v>
      </c>
      <c r="AD89" s="9">
        <v>1</v>
      </c>
      <c r="AE89" s="9">
        <v>0</v>
      </c>
      <c r="AF89" s="9">
        <v>0.2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/>
      <c r="AN89" s="1">
        <f t="shared" si="41"/>
        <v>0</v>
      </c>
      <c r="AO89" s="1">
        <f t="shared" si="42"/>
        <v>0</v>
      </c>
    </row>
    <row r="90" spans="1:41" x14ac:dyDescent="0.25">
      <c r="A90" s="1" t="s">
        <v>140</v>
      </c>
      <c r="B90" s="1" t="s">
        <v>36</v>
      </c>
      <c r="C90" s="1">
        <v>45.125</v>
      </c>
      <c r="D90" s="1">
        <v>5.48</v>
      </c>
      <c r="E90" s="1">
        <v>-2.5590000000000002</v>
      </c>
      <c r="F90" s="1"/>
      <c r="G90" s="1"/>
      <c r="H90" s="7">
        <v>1</v>
      </c>
      <c r="I90" s="1">
        <v>30</v>
      </c>
      <c r="J90" s="1" t="s">
        <v>37</v>
      </c>
      <c r="K90" s="1"/>
      <c r="L90" s="1">
        <v>35.423000000000002</v>
      </c>
      <c r="M90" s="1">
        <f t="shared" si="34"/>
        <v>-37.981999999999999</v>
      </c>
      <c r="N90" s="1">
        <f t="shared" si="36"/>
        <v>-2.5590000000000002</v>
      </c>
      <c r="O90" s="1"/>
      <c r="P90" s="1">
        <v>0</v>
      </c>
      <c r="Q90" s="1">
        <v>80</v>
      </c>
      <c r="R90" s="1">
        <f t="shared" si="37"/>
        <v>-0.51180000000000003</v>
      </c>
      <c r="S90" s="5"/>
      <c r="T90" s="19">
        <f>VLOOKUP(A90,[1]TDSheet!$D:$J,7,0)</f>
        <v>0.41066279365617847</v>
      </c>
      <c r="U90" s="5">
        <f>S90-X90</f>
        <v>0</v>
      </c>
      <c r="V90" s="5">
        <f t="shared" si="38"/>
        <v>0</v>
      </c>
      <c r="W90" s="5"/>
      <c r="X90" s="5">
        <f>S90*T90</f>
        <v>0</v>
      </c>
      <c r="Y90" s="5">
        <v>120</v>
      </c>
      <c r="Z90" s="5">
        <f>VLOOKUP(A90,[4]Sheet!$A:$X,24,0)</f>
        <v>200</v>
      </c>
      <c r="AA90" s="1">
        <f t="shared" si="40"/>
        <v>-390.77764751856193</v>
      </c>
      <c r="AB90" s="1">
        <f t="shared" si="35"/>
        <v>-156.31105900742477</v>
      </c>
      <c r="AC90" s="1">
        <v>6.7103999999999999</v>
      </c>
      <c r="AD90" s="1">
        <v>5.0915999999999997</v>
      </c>
      <c r="AE90" s="1">
        <v>3.8393999999999999</v>
      </c>
      <c r="AF90" s="1">
        <v>4.0342000000000002</v>
      </c>
      <c r="AG90" s="1">
        <v>9.1999999999999998E-2</v>
      </c>
      <c r="AH90" s="1">
        <v>3.0341999999999998</v>
      </c>
      <c r="AI90" s="1">
        <v>4.6256000000000004</v>
      </c>
      <c r="AJ90" s="1">
        <v>0.94879999999999998</v>
      </c>
      <c r="AK90" s="1">
        <v>0.78600000000000003</v>
      </c>
      <c r="AL90" s="1">
        <v>0</v>
      </c>
      <c r="AM90" s="1"/>
      <c r="AN90" s="1">
        <f t="shared" si="41"/>
        <v>0</v>
      </c>
      <c r="AO90" s="1">
        <f t="shared" si="42"/>
        <v>120</v>
      </c>
    </row>
    <row r="91" spans="1:41" x14ac:dyDescent="0.25">
      <c r="A91" s="9" t="s">
        <v>141</v>
      </c>
      <c r="B91" s="9" t="s">
        <v>40</v>
      </c>
      <c r="C91" s="9">
        <v>3</v>
      </c>
      <c r="D91" s="9">
        <v>22</v>
      </c>
      <c r="E91" s="9">
        <v>1</v>
      </c>
      <c r="F91" s="9"/>
      <c r="G91" s="9"/>
      <c r="H91" s="10">
        <v>0</v>
      </c>
      <c r="I91" s="9">
        <v>50</v>
      </c>
      <c r="J91" s="9" t="s">
        <v>77</v>
      </c>
      <c r="K91" s="9"/>
      <c r="L91" s="9">
        <v>60</v>
      </c>
      <c r="M91" s="9">
        <f t="shared" si="34"/>
        <v>-59</v>
      </c>
      <c r="N91" s="9">
        <f t="shared" si="36"/>
        <v>1</v>
      </c>
      <c r="O91" s="9"/>
      <c r="P91" s="9">
        <v>0</v>
      </c>
      <c r="Q91" s="9">
        <v>0</v>
      </c>
      <c r="R91" s="9">
        <f t="shared" si="37"/>
        <v>0.2</v>
      </c>
      <c r="S91" s="11"/>
      <c r="T91" s="19">
        <f>VLOOKUP(A91,[1]TDSheet!$D:$J,7,0)</f>
        <v>9.45945945945946E-2</v>
      </c>
      <c r="U91" s="11"/>
      <c r="V91" s="5">
        <f t="shared" si="38"/>
        <v>0</v>
      </c>
      <c r="W91" s="11"/>
      <c r="X91" s="11"/>
      <c r="Y91" s="5">
        <f t="shared" si="39"/>
        <v>0</v>
      </c>
      <c r="Z91" s="11"/>
      <c r="AA91" s="1">
        <f t="shared" si="40"/>
        <v>0</v>
      </c>
      <c r="AB91" s="9">
        <f t="shared" si="35"/>
        <v>0</v>
      </c>
      <c r="AC91" s="9">
        <v>4</v>
      </c>
      <c r="AD91" s="9">
        <v>2.4</v>
      </c>
      <c r="AE91" s="9">
        <v>4.4000000000000004</v>
      </c>
      <c r="AF91" s="9">
        <v>4</v>
      </c>
      <c r="AG91" s="9">
        <v>4.4000000000000004</v>
      </c>
      <c r="AH91" s="9">
        <v>5.4</v>
      </c>
      <c r="AI91" s="9">
        <v>2.8</v>
      </c>
      <c r="AJ91" s="9">
        <v>5.2</v>
      </c>
      <c r="AK91" s="9">
        <v>5.6</v>
      </c>
      <c r="AL91" s="9">
        <v>4.4000000000000004</v>
      </c>
      <c r="AM91" s="9"/>
      <c r="AN91" s="1">
        <f t="shared" si="41"/>
        <v>0</v>
      </c>
      <c r="AO91" s="1">
        <f t="shared" si="42"/>
        <v>0</v>
      </c>
    </row>
    <row r="92" spans="1:41" x14ac:dyDescent="0.25">
      <c r="A92" s="9" t="s">
        <v>142</v>
      </c>
      <c r="B92" s="9" t="s">
        <v>40</v>
      </c>
      <c r="C92" s="9">
        <v>280</v>
      </c>
      <c r="D92" s="9"/>
      <c r="E92" s="9"/>
      <c r="F92" s="9"/>
      <c r="G92" s="9"/>
      <c r="H92" s="10">
        <v>0</v>
      </c>
      <c r="I92" s="9"/>
      <c r="J92" s="9" t="s">
        <v>62</v>
      </c>
      <c r="K92" s="9"/>
      <c r="L92" s="9"/>
      <c r="M92" s="9">
        <f t="shared" si="34"/>
        <v>0</v>
      </c>
      <c r="N92" s="9">
        <f t="shared" si="36"/>
        <v>0</v>
      </c>
      <c r="O92" s="9"/>
      <c r="P92" s="9">
        <v>0</v>
      </c>
      <c r="Q92" s="9">
        <v>0</v>
      </c>
      <c r="R92" s="9">
        <f t="shared" si="37"/>
        <v>0</v>
      </c>
      <c r="S92" s="11"/>
      <c r="T92" s="19">
        <f>VLOOKUP(A92,[1]TDSheet!$D:$J,7,0)</f>
        <v>0</v>
      </c>
      <c r="U92" s="11"/>
      <c r="V92" s="5">
        <f t="shared" si="38"/>
        <v>0</v>
      </c>
      <c r="W92" s="11"/>
      <c r="X92" s="11"/>
      <c r="Y92" s="5">
        <f t="shared" si="39"/>
        <v>0</v>
      </c>
      <c r="Z92" s="11"/>
      <c r="AA92" s="1" t="e">
        <f t="shared" si="40"/>
        <v>#DIV/0!</v>
      </c>
      <c r="AB92" s="9" t="e">
        <f t="shared" si="35"/>
        <v>#DIV/0!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 t="s">
        <v>63</v>
      </c>
      <c r="AN92" s="1">
        <f t="shared" si="41"/>
        <v>0</v>
      </c>
      <c r="AO92" s="1">
        <f t="shared" si="42"/>
        <v>0</v>
      </c>
    </row>
    <row r="93" spans="1:41" x14ac:dyDescent="0.25">
      <c r="A93" s="1" t="s">
        <v>143</v>
      </c>
      <c r="B93" s="1" t="s">
        <v>40</v>
      </c>
      <c r="C93" s="1">
        <v>296</v>
      </c>
      <c r="D93" s="1">
        <v>188</v>
      </c>
      <c r="E93" s="1">
        <v>109</v>
      </c>
      <c r="F93" s="1">
        <v>179</v>
      </c>
      <c r="G93" s="1"/>
      <c r="H93" s="7">
        <v>0.33800000000000002</v>
      </c>
      <c r="I93" s="1" t="s">
        <v>144</v>
      </c>
      <c r="J93" s="1" t="s">
        <v>37</v>
      </c>
      <c r="K93" s="1"/>
      <c r="L93" s="1">
        <v>142</v>
      </c>
      <c r="M93" s="1">
        <f t="shared" si="34"/>
        <v>-33</v>
      </c>
      <c r="N93" s="1">
        <f t="shared" si="36"/>
        <v>109</v>
      </c>
      <c r="O93" s="1"/>
      <c r="P93" s="1">
        <v>0</v>
      </c>
      <c r="Q93" s="1">
        <v>0</v>
      </c>
      <c r="R93" s="1">
        <f t="shared" si="37"/>
        <v>21.8</v>
      </c>
      <c r="S93" s="5">
        <f t="shared" ref="S93:S106" si="52">15*R93-Q93-P93-G93-F93</f>
        <v>148</v>
      </c>
      <c r="T93" s="19">
        <f>VLOOKUP(A93,[1]TDSheet!$D:$J,7,0)</f>
        <v>0</v>
      </c>
      <c r="U93" s="5">
        <f t="shared" ref="U93:U107" si="53">S93-X93</f>
        <v>148</v>
      </c>
      <c r="V93" s="5">
        <f t="shared" si="38"/>
        <v>148</v>
      </c>
      <c r="W93" s="5"/>
      <c r="X93" s="5">
        <f t="shared" ref="X93:X107" si="54">S93*T93</f>
        <v>0</v>
      </c>
      <c r="Y93" s="5">
        <v>200</v>
      </c>
      <c r="Z93" s="5">
        <f>VLOOKUP(A93,[4]Sheet!$A:$X,24,0)</f>
        <v>200</v>
      </c>
      <c r="AA93" s="1">
        <f t="shared" si="40"/>
        <v>24.174311926605505</v>
      </c>
      <c r="AB93" s="1">
        <f t="shared" si="35"/>
        <v>8.2110091743119256</v>
      </c>
      <c r="AC93" s="1">
        <v>0.8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 t="s">
        <v>38</v>
      </c>
      <c r="AN93" s="1">
        <f t="shared" si="41"/>
        <v>50.024000000000001</v>
      </c>
      <c r="AO93" s="1">
        <f t="shared" si="42"/>
        <v>67.600000000000009</v>
      </c>
    </row>
    <row r="94" spans="1:41" x14ac:dyDescent="0.25">
      <c r="A94" s="1" t="s">
        <v>145</v>
      </c>
      <c r="B94" s="1" t="s">
        <v>40</v>
      </c>
      <c r="C94" s="1">
        <v>286</v>
      </c>
      <c r="D94" s="1">
        <v>1</v>
      </c>
      <c r="E94" s="1">
        <v>156</v>
      </c>
      <c r="F94" s="1">
        <v>121</v>
      </c>
      <c r="G94" s="1"/>
      <c r="H94" s="7">
        <v>0.32500000000000001</v>
      </c>
      <c r="I94" s="1" t="s">
        <v>144</v>
      </c>
      <c r="J94" s="1" t="s">
        <v>37</v>
      </c>
      <c r="K94" s="1"/>
      <c r="L94" s="1">
        <v>187</v>
      </c>
      <c r="M94" s="1">
        <f t="shared" si="34"/>
        <v>-31</v>
      </c>
      <c r="N94" s="1">
        <f t="shared" si="36"/>
        <v>156</v>
      </c>
      <c r="O94" s="1"/>
      <c r="P94" s="1">
        <v>0</v>
      </c>
      <c r="Q94" s="1">
        <v>0</v>
      </c>
      <c r="R94" s="1">
        <f t="shared" si="37"/>
        <v>31.2</v>
      </c>
      <c r="S94" s="5">
        <f>12*R94-Q94-P94-G94-F94</f>
        <v>253.39999999999998</v>
      </c>
      <c r="T94" s="19">
        <f>VLOOKUP(A94,[1]TDSheet!$D:$J,7,0)</f>
        <v>0</v>
      </c>
      <c r="U94" s="5">
        <f t="shared" si="53"/>
        <v>253.39999999999998</v>
      </c>
      <c r="V94" s="5">
        <f>W94</f>
        <v>350</v>
      </c>
      <c r="W94" s="5">
        <f>VLOOKUP(A94,[4]Sheet!$A:$V,22,0)</f>
        <v>350</v>
      </c>
      <c r="X94" s="5">
        <f t="shared" si="54"/>
        <v>0</v>
      </c>
      <c r="Y94" s="5">
        <v>200</v>
      </c>
      <c r="Z94" s="5">
        <f>VLOOKUP(A94,[4]Sheet!$A:$X,24,0)</f>
        <v>200</v>
      </c>
      <c r="AA94" s="1">
        <f t="shared" si="40"/>
        <v>21.506410256410255</v>
      </c>
      <c r="AB94" s="1">
        <f t="shared" si="35"/>
        <v>3.8782051282051282</v>
      </c>
      <c r="AC94" s="1">
        <v>0.4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 t="s">
        <v>38</v>
      </c>
      <c r="AN94" s="1">
        <f t="shared" si="41"/>
        <v>113.75</v>
      </c>
      <c r="AO94" s="1">
        <f t="shared" si="42"/>
        <v>65</v>
      </c>
    </row>
    <row r="95" spans="1:41" x14ac:dyDescent="0.25">
      <c r="A95" s="1" t="s">
        <v>146</v>
      </c>
      <c r="B95" s="1" t="s">
        <v>40</v>
      </c>
      <c r="C95" s="1">
        <v>268</v>
      </c>
      <c r="D95" s="1">
        <v>562</v>
      </c>
      <c r="E95" s="1">
        <v>233</v>
      </c>
      <c r="F95" s="1">
        <v>26</v>
      </c>
      <c r="G95" s="1">
        <f>VLOOKUP(A95,[2]TDSheet!$A:$M,9,0)</f>
        <v>32</v>
      </c>
      <c r="H95" s="7">
        <v>0.12</v>
      </c>
      <c r="I95" s="1">
        <v>60</v>
      </c>
      <c r="J95" s="1" t="s">
        <v>37</v>
      </c>
      <c r="K95" s="1"/>
      <c r="L95" s="1">
        <v>239</v>
      </c>
      <c r="M95" s="1">
        <f t="shared" si="34"/>
        <v>-6</v>
      </c>
      <c r="N95" s="1">
        <f t="shared" si="36"/>
        <v>185</v>
      </c>
      <c r="O95" s="1">
        <f>VLOOKUP(A95,[3]TDSheet!$A:$AX,7,0)</f>
        <v>48</v>
      </c>
      <c r="P95" s="1">
        <v>639</v>
      </c>
      <c r="Q95" s="1">
        <v>0</v>
      </c>
      <c r="R95" s="1">
        <f t="shared" si="37"/>
        <v>37</v>
      </c>
      <c r="S95" s="5"/>
      <c r="T95" s="19">
        <f>VLOOKUP(A95,[1]TDSheet!$D:$J,7,0)</f>
        <v>0.54972375690607733</v>
      </c>
      <c r="U95" s="5">
        <f t="shared" si="53"/>
        <v>0</v>
      </c>
      <c r="V95" s="5">
        <f t="shared" si="38"/>
        <v>0</v>
      </c>
      <c r="W95" s="5"/>
      <c r="X95" s="5">
        <f t="shared" si="54"/>
        <v>0</v>
      </c>
      <c r="Y95" s="5">
        <v>70</v>
      </c>
      <c r="Z95" s="5">
        <f>VLOOKUP(A95,[4]Sheet!$A:$X,24,0)</f>
        <v>70</v>
      </c>
      <c r="AA95" s="1">
        <f t="shared" si="40"/>
        <v>20.72972972972973</v>
      </c>
      <c r="AB95" s="1">
        <f t="shared" si="35"/>
        <v>18.837837837837839</v>
      </c>
      <c r="AC95" s="1">
        <v>50.6</v>
      </c>
      <c r="AD95" s="1">
        <v>77.2</v>
      </c>
      <c r="AE95" s="1">
        <v>50</v>
      </c>
      <c r="AF95" s="1">
        <v>83</v>
      </c>
      <c r="AG95" s="1">
        <v>79</v>
      </c>
      <c r="AH95" s="1">
        <v>54.8</v>
      </c>
      <c r="AI95" s="1">
        <v>35.6</v>
      </c>
      <c r="AJ95" s="1">
        <v>57.8</v>
      </c>
      <c r="AK95" s="1">
        <v>44.4</v>
      </c>
      <c r="AL95" s="1">
        <v>26.4</v>
      </c>
      <c r="AM95" s="1"/>
      <c r="AN95" s="1">
        <f t="shared" si="41"/>
        <v>0</v>
      </c>
      <c r="AO95" s="1">
        <f t="shared" si="42"/>
        <v>8.4</v>
      </c>
    </row>
    <row r="96" spans="1:41" x14ac:dyDescent="0.25">
      <c r="A96" s="1" t="s">
        <v>147</v>
      </c>
      <c r="B96" s="1" t="s">
        <v>40</v>
      </c>
      <c r="C96" s="1">
        <v>139</v>
      </c>
      <c r="D96" s="1">
        <v>181</v>
      </c>
      <c r="E96" s="1">
        <v>124</v>
      </c>
      <c r="F96" s="1">
        <v>2</v>
      </c>
      <c r="G96" s="1"/>
      <c r="H96" s="7">
        <v>0.15</v>
      </c>
      <c r="I96" s="1">
        <v>90</v>
      </c>
      <c r="J96" s="1" t="s">
        <v>37</v>
      </c>
      <c r="K96" s="1"/>
      <c r="L96" s="1">
        <v>290</v>
      </c>
      <c r="M96" s="1">
        <f t="shared" si="34"/>
        <v>-166</v>
      </c>
      <c r="N96" s="1">
        <f t="shared" si="36"/>
        <v>124</v>
      </c>
      <c r="O96" s="1"/>
      <c r="P96" s="1">
        <v>0</v>
      </c>
      <c r="Q96" s="1">
        <v>60</v>
      </c>
      <c r="R96" s="1">
        <f t="shared" si="37"/>
        <v>24.8</v>
      </c>
      <c r="S96" s="5">
        <f>11*R96-Q96-P96-G96-F96</f>
        <v>210.8</v>
      </c>
      <c r="T96" s="19">
        <f>VLOOKUP(A96,[1]TDSheet!$D:$J,7,0)</f>
        <v>0.65546218487394947</v>
      </c>
      <c r="U96" s="5">
        <f t="shared" si="53"/>
        <v>72.628571428571462</v>
      </c>
      <c r="V96" s="5">
        <f t="shared" si="38"/>
        <v>73</v>
      </c>
      <c r="W96" s="5"/>
      <c r="X96" s="5">
        <f t="shared" si="54"/>
        <v>138.17142857142855</v>
      </c>
      <c r="Y96" s="5">
        <v>200</v>
      </c>
      <c r="Z96" s="5">
        <f>VLOOKUP(A96,[4]Sheet!$A:$X,24,0)</f>
        <v>200</v>
      </c>
      <c r="AA96" s="1">
        <f t="shared" si="40"/>
        <v>13.508064516129032</v>
      </c>
      <c r="AB96" s="1">
        <f t="shared" si="35"/>
        <v>2.5</v>
      </c>
      <c r="AC96" s="1">
        <v>4.5999999999999996</v>
      </c>
      <c r="AD96" s="1">
        <v>0</v>
      </c>
      <c r="AE96" s="1">
        <v>3.4</v>
      </c>
      <c r="AF96" s="1">
        <v>9</v>
      </c>
      <c r="AG96" s="1">
        <v>7.2</v>
      </c>
      <c r="AH96" s="1">
        <v>5.4</v>
      </c>
      <c r="AI96" s="1">
        <v>9</v>
      </c>
      <c r="AJ96" s="1">
        <v>0</v>
      </c>
      <c r="AK96" s="1">
        <v>0</v>
      </c>
      <c r="AL96" s="1">
        <v>0</v>
      </c>
      <c r="AM96" s="1" t="s">
        <v>38</v>
      </c>
      <c r="AN96" s="1">
        <f t="shared" si="41"/>
        <v>10.95</v>
      </c>
      <c r="AO96" s="1">
        <f t="shared" si="42"/>
        <v>30</v>
      </c>
    </row>
    <row r="97" spans="1:41" x14ac:dyDescent="0.25">
      <c r="A97" s="1" t="s">
        <v>148</v>
      </c>
      <c r="B97" s="1" t="s">
        <v>40</v>
      </c>
      <c r="C97" s="1">
        <v>114</v>
      </c>
      <c r="D97" s="1">
        <v>9</v>
      </c>
      <c r="E97" s="1">
        <v>108</v>
      </c>
      <c r="F97" s="1">
        <v>3</v>
      </c>
      <c r="G97" s="1"/>
      <c r="H97" s="7">
        <v>0.15</v>
      </c>
      <c r="I97" s="1">
        <v>90</v>
      </c>
      <c r="J97" s="1" t="s">
        <v>37</v>
      </c>
      <c r="K97" s="1"/>
      <c r="L97" s="1">
        <v>282</v>
      </c>
      <c r="M97" s="1">
        <f t="shared" si="34"/>
        <v>-174</v>
      </c>
      <c r="N97" s="1">
        <f t="shared" si="36"/>
        <v>108</v>
      </c>
      <c r="O97" s="1"/>
      <c r="P97" s="1">
        <v>0</v>
      </c>
      <c r="Q97" s="1">
        <v>150</v>
      </c>
      <c r="R97" s="1">
        <f t="shared" si="37"/>
        <v>21.6</v>
      </c>
      <c r="S97" s="5">
        <f t="shared" si="52"/>
        <v>171</v>
      </c>
      <c r="T97" s="19">
        <f>VLOOKUP(A97,[1]TDSheet!$D:$J,7,0)</f>
        <v>0.15384615384615385</v>
      </c>
      <c r="U97" s="5">
        <f t="shared" si="53"/>
        <v>144.69230769230768</v>
      </c>
      <c r="V97" s="5">
        <f t="shared" si="38"/>
        <v>145</v>
      </c>
      <c r="W97" s="5"/>
      <c r="X97" s="5">
        <f t="shared" si="54"/>
        <v>26.30769230769231</v>
      </c>
      <c r="Y97" s="5">
        <v>70</v>
      </c>
      <c r="Z97" s="5">
        <f>VLOOKUP(A97,[4]Sheet!$A:$X,24,0)</f>
        <v>70</v>
      </c>
      <c r="AA97" s="1">
        <f t="shared" si="40"/>
        <v>17.037037037037035</v>
      </c>
      <c r="AB97" s="1">
        <f t="shared" si="35"/>
        <v>7.083333333333333</v>
      </c>
      <c r="AC97" s="1">
        <v>1.2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 t="s">
        <v>38</v>
      </c>
      <c r="AN97" s="1">
        <f t="shared" si="41"/>
        <v>21.75</v>
      </c>
      <c r="AO97" s="1">
        <f t="shared" si="42"/>
        <v>10.5</v>
      </c>
    </row>
    <row r="98" spans="1:41" x14ac:dyDescent="0.25">
      <c r="A98" s="1" t="s">
        <v>139</v>
      </c>
      <c r="B98" s="1" t="s">
        <v>40</v>
      </c>
      <c r="C98" s="1">
        <v>206</v>
      </c>
      <c r="D98" s="1">
        <v>96</v>
      </c>
      <c r="E98" s="1">
        <v>151</v>
      </c>
      <c r="F98" s="1">
        <v>27</v>
      </c>
      <c r="G98" s="1">
        <f>VLOOKUP(A98,[2]TDSheet!$A:$M,9,0)</f>
        <v>70</v>
      </c>
      <c r="H98" s="7">
        <v>0.33</v>
      </c>
      <c r="I98" s="1">
        <v>30</v>
      </c>
      <c r="J98" s="1" t="s">
        <v>37</v>
      </c>
      <c r="K98" s="1"/>
      <c r="L98" s="1">
        <v>179</v>
      </c>
      <c r="M98" s="1">
        <f t="shared" si="34"/>
        <v>-28</v>
      </c>
      <c r="N98" s="1">
        <f t="shared" si="36"/>
        <v>151</v>
      </c>
      <c r="O98" s="1"/>
      <c r="P98" s="1">
        <v>79</v>
      </c>
      <c r="Q98" s="1">
        <v>87</v>
      </c>
      <c r="R98" s="1">
        <f t="shared" si="37"/>
        <v>30.2</v>
      </c>
      <c r="S98" s="5">
        <f t="shared" si="52"/>
        <v>190</v>
      </c>
      <c r="T98" s="19">
        <f>VLOOKUP(A98,[1]TDSheet!$D:$J,7,0)</f>
        <v>0.40757575757575754</v>
      </c>
      <c r="U98" s="5">
        <f t="shared" si="53"/>
        <v>112.56060606060606</v>
      </c>
      <c r="V98" s="5">
        <f t="shared" si="38"/>
        <v>113</v>
      </c>
      <c r="W98" s="5"/>
      <c r="X98" s="5">
        <f t="shared" si="54"/>
        <v>77.439393939393938</v>
      </c>
      <c r="Y98" s="5">
        <f t="shared" si="39"/>
        <v>77</v>
      </c>
      <c r="Z98" s="5"/>
      <c r="AA98" s="1">
        <f t="shared" si="40"/>
        <v>15</v>
      </c>
      <c r="AB98" s="1">
        <f t="shared" si="35"/>
        <v>8.7086092715231782</v>
      </c>
      <c r="AC98" s="1">
        <v>24.4</v>
      </c>
      <c r="AD98" s="1">
        <v>27.2</v>
      </c>
      <c r="AE98" s="1">
        <v>30.4</v>
      </c>
      <c r="AF98" s="1">
        <v>43</v>
      </c>
      <c r="AG98" s="1">
        <v>45.2</v>
      </c>
      <c r="AH98" s="1">
        <v>1.8</v>
      </c>
      <c r="AI98" s="1">
        <v>37.799999999999997</v>
      </c>
      <c r="AJ98" s="1">
        <v>56</v>
      </c>
      <c r="AK98" s="1">
        <v>32.200000000000003</v>
      </c>
      <c r="AL98" s="1">
        <v>40</v>
      </c>
      <c r="AM98" s="1"/>
      <c r="AN98" s="1">
        <f t="shared" si="41"/>
        <v>37.29</v>
      </c>
      <c r="AO98" s="1">
        <f t="shared" si="42"/>
        <v>25.41</v>
      </c>
    </row>
    <row r="99" spans="1:41" x14ac:dyDescent="0.25">
      <c r="A99" s="1" t="s">
        <v>149</v>
      </c>
      <c r="B99" s="1" t="s">
        <v>40</v>
      </c>
      <c r="C99" s="1">
        <v>148</v>
      </c>
      <c r="D99" s="1">
        <v>38</v>
      </c>
      <c r="E99" s="1">
        <v>150</v>
      </c>
      <c r="F99" s="1"/>
      <c r="G99" s="1"/>
      <c r="H99" s="7">
        <v>0.15</v>
      </c>
      <c r="I99" s="1">
        <v>60</v>
      </c>
      <c r="J99" s="1" t="s">
        <v>37</v>
      </c>
      <c r="K99" s="1"/>
      <c r="L99" s="1">
        <v>445</v>
      </c>
      <c r="M99" s="1">
        <f t="shared" si="34"/>
        <v>-295</v>
      </c>
      <c r="N99" s="1">
        <f t="shared" si="36"/>
        <v>150</v>
      </c>
      <c r="O99" s="1"/>
      <c r="P99" s="1">
        <v>0</v>
      </c>
      <c r="Q99" s="1">
        <v>200</v>
      </c>
      <c r="R99" s="1">
        <f t="shared" si="37"/>
        <v>30</v>
      </c>
      <c r="S99" s="5">
        <f t="shared" si="52"/>
        <v>250</v>
      </c>
      <c r="T99" s="19">
        <f>VLOOKUP(A99,[1]TDSheet!$D:$J,7,0)</f>
        <v>0.3141891891891892</v>
      </c>
      <c r="U99" s="5">
        <f t="shared" si="53"/>
        <v>171.45270270270271</v>
      </c>
      <c r="V99" s="5">
        <f t="shared" si="38"/>
        <v>171</v>
      </c>
      <c r="W99" s="5"/>
      <c r="X99" s="5">
        <f t="shared" si="54"/>
        <v>78.547297297297305</v>
      </c>
      <c r="Y99" s="5">
        <v>200</v>
      </c>
      <c r="Z99" s="5">
        <f>VLOOKUP(A99,[4]Sheet!$A:$X,24,0)</f>
        <v>200</v>
      </c>
      <c r="AA99" s="1">
        <f t="shared" si="40"/>
        <v>19.033333333333335</v>
      </c>
      <c r="AB99" s="1">
        <f t="shared" si="35"/>
        <v>6.666666666666667</v>
      </c>
      <c r="AC99" s="1">
        <v>11.4</v>
      </c>
      <c r="AD99" s="1">
        <v>5.6</v>
      </c>
      <c r="AE99" s="1">
        <v>10</v>
      </c>
      <c r="AF99" s="1">
        <v>7.8</v>
      </c>
      <c r="AG99" s="1">
        <v>5.8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 t="s">
        <v>38</v>
      </c>
      <c r="AN99" s="1">
        <f t="shared" si="41"/>
        <v>25.65</v>
      </c>
      <c r="AO99" s="1">
        <f t="shared" si="42"/>
        <v>30</v>
      </c>
    </row>
    <row r="100" spans="1:41" x14ac:dyDescent="0.25">
      <c r="A100" s="1" t="s">
        <v>150</v>
      </c>
      <c r="B100" s="1" t="s">
        <v>40</v>
      </c>
      <c r="C100" s="1">
        <v>186</v>
      </c>
      <c r="D100" s="1">
        <v>40</v>
      </c>
      <c r="E100" s="1">
        <v>181</v>
      </c>
      <c r="F100" s="1">
        <v>4</v>
      </c>
      <c r="G100" s="1"/>
      <c r="H100" s="7">
        <v>0.26</v>
      </c>
      <c r="I100" s="1">
        <v>45</v>
      </c>
      <c r="J100" s="1" t="s">
        <v>37</v>
      </c>
      <c r="K100" s="1"/>
      <c r="L100" s="1">
        <v>249</v>
      </c>
      <c r="M100" s="1">
        <f t="shared" si="34"/>
        <v>-68</v>
      </c>
      <c r="N100" s="1">
        <f t="shared" si="36"/>
        <v>181</v>
      </c>
      <c r="O100" s="1"/>
      <c r="P100" s="1">
        <v>0</v>
      </c>
      <c r="Q100" s="1">
        <v>30</v>
      </c>
      <c r="R100" s="1">
        <f>N100/5</f>
        <v>36.200000000000003</v>
      </c>
      <c r="S100" s="5">
        <f>8*R100-Q100-P100-G100-F100</f>
        <v>255.60000000000002</v>
      </c>
      <c r="T100" s="19">
        <f>VLOOKUP(A100,[1]TDSheet!$D:$J,7,0)</f>
        <v>0.51412429378531066</v>
      </c>
      <c r="U100" s="5">
        <f t="shared" si="53"/>
        <v>124.18983050847461</v>
      </c>
      <c r="V100" s="5">
        <f t="shared" si="38"/>
        <v>124</v>
      </c>
      <c r="W100" s="5"/>
      <c r="X100" s="5">
        <f t="shared" si="54"/>
        <v>131.41016949152541</v>
      </c>
      <c r="Y100" s="5">
        <v>200</v>
      </c>
      <c r="Z100" s="5">
        <f>VLOOKUP(A100,[4]Sheet!$A:$X,24,0)</f>
        <v>200</v>
      </c>
      <c r="AA100" s="1">
        <f t="shared" si="40"/>
        <v>9.8895027624309382</v>
      </c>
      <c r="AB100" s="1">
        <f t="shared" si="35"/>
        <v>0.93922651933701651</v>
      </c>
      <c r="AC100" s="1">
        <v>3.4</v>
      </c>
      <c r="AD100" s="1">
        <v>6.2</v>
      </c>
      <c r="AE100" s="1">
        <v>11</v>
      </c>
      <c r="AF100" s="1">
        <v>6.8</v>
      </c>
      <c r="AG100" s="1">
        <v>2.8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 t="s">
        <v>38</v>
      </c>
      <c r="AN100" s="1">
        <f t="shared" si="41"/>
        <v>32.24</v>
      </c>
      <c r="AO100" s="1">
        <f t="shared" si="42"/>
        <v>52</v>
      </c>
    </row>
    <row r="101" spans="1:41" x14ac:dyDescent="0.25">
      <c r="A101" s="1" t="s">
        <v>151</v>
      </c>
      <c r="B101" s="1" t="s">
        <v>36</v>
      </c>
      <c r="C101" s="1">
        <v>100.914</v>
      </c>
      <c r="D101" s="1"/>
      <c r="E101" s="1">
        <v>45.429000000000002</v>
      </c>
      <c r="F101" s="1">
        <v>50.475000000000001</v>
      </c>
      <c r="G101" s="1"/>
      <c r="H101" s="7">
        <v>1</v>
      </c>
      <c r="I101" s="1">
        <v>30</v>
      </c>
      <c r="J101" s="1" t="s">
        <v>37</v>
      </c>
      <c r="K101" s="1"/>
      <c r="L101" s="1">
        <v>36.5</v>
      </c>
      <c r="M101" s="1">
        <f t="shared" si="34"/>
        <v>8.929000000000002</v>
      </c>
      <c r="N101" s="1">
        <f t="shared" si="36"/>
        <v>45.429000000000002</v>
      </c>
      <c r="O101" s="1"/>
      <c r="P101" s="1">
        <v>0</v>
      </c>
      <c r="Q101" s="1">
        <v>50</v>
      </c>
      <c r="R101" s="1">
        <f t="shared" si="37"/>
        <v>9.0858000000000008</v>
      </c>
      <c r="S101" s="5">
        <f t="shared" si="52"/>
        <v>35.812000000000005</v>
      </c>
      <c r="T101" s="19">
        <f>VLOOKUP(A101,[1]TDSheet!$D:$J,7,0)</f>
        <v>0</v>
      </c>
      <c r="U101" s="5">
        <f t="shared" si="53"/>
        <v>35.812000000000005</v>
      </c>
      <c r="V101" s="5">
        <f t="shared" si="38"/>
        <v>36</v>
      </c>
      <c r="W101" s="5"/>
      <c r="X101" s="5">
        <f t="shared" si="54"/>
        <v>0</v>
      </c>
      <c r="Y101" s="5">
        <v>50</v>
      </c>
      <c r="Z101" s="5">
        <f>VLOOKUP(A101,[4]Sheet!$A:$X,24,0)</f>
        <v>50</v>
      </c>
      <c r="AA101" s="1">
        <f t="shared" si="40"/>
        <v>20.523784366814148</v>
      </c>
      <c r="AB101" s="1">
        <f t="shared" si="35"/>
        <v>11.058464857249772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 t="s">
        <v>38</v>
      </c>
      <c r="AN101" s="1">
        <f t="shared" si="41"/>
        <v>36</v>
      </c>
      <c r="AO101" s="1">
        <f t="shared" si="42"/>
        <v>50</v>
      </c>
    </row>
    <row r="102" spans="1:41" x14ac:dyDescent="0.25">
      <c r="A102" s="1" t="s">
        <v>152</v>
      </c>
      <c r="B102" s="1" t="s">
        <v>40</v>
      </c>
      <c r="C102" s="1">
        <v>182</v>
      </c>
      <c r="D102" s="1">
        <v>58</v>
      </c>
      <c r="E102" s="1">
        <v>174</v>
      </c>
      <c r="F102" s="1">
        <v>4</v>
      </c>
      <c r="G102" s="1"/>
      <c r="H102" s="7">
        <v>0.31</v>
      </c>
      <c r="I102" s="1">
        <v>45</v>
      </c>
      <c r="J102" s="1" t="s">
        <v>37</v>
      </c>
      <c r="K102" s="1"/>
      <c r="L102" s="1">
        <v>244</v>
      </c>
      <c r="M102" s="1">
        <f t="shared" ref="M102:M119" si="55">E102-L102</f>
        <v>-70</v>
      </c>
      <c r="N102" s="1">
        <f t="shared" si="36"/>
        <v>174</v>
      </c>
      <c r="O102" s="1"/>
      <c r="P102" s="1">
        <v>0</v>
      </c>
      <c r="Q102" s="1">
        <v>30</v>
      </c>
      <c r="R102" s="1">
        <f t="shared" si="37"/>
        <v>34.799999999999997</v>
      </c>
      <c r="S102" s="5">
        <f>8*R102-Q102-P102-G102-F102</f>
        <v>244.39999999999998</v>
      </c>
      <c r="T102" s="19">
        <f>VLOOKUP(A102,[1]TDSheet!$D:$J,7,0)</f>
        <v>0.4705882352941177</v>
      </c>
      <c r="U102" s="5">
        <f t="shared" si="53"/>
        <v>129.38823529411764</v>
      </c>
      <c r="V102" s="5">
        <f t="shared" si="38"/>
        <v>129</v>
      </c>
      <c r="W102" s="5"/>
      <c r="X102" s="5">
        <f t="shared" si="54"/>
        <v>115.01176470588236</v>
      </c>
      <c r="Y102" s="5">
        <f t="shared" si="39"/>
        <v>115</v>
      </c>
      <c r="Z102" s="5"/>
      <c r="AA102" s="1">
        <f t="shared" si="40"/>
        <v>7.9885057471264371</v>
      </c>
      <c r="AB102" s="1">
        <f t="shared" ref="AB102:AB119" si="56">(F102+G102+P102+Q102)/R102</f>
        <v>0.97701149425287359</v>
      </c>
      <c r="AC102" s="1">
        <v>5</v>
      </c>
      <c r="AD102" s="1">
        <v>8.4</v>
      </c>
      <c r="AE102" s="1">
        <v>9</v>
      </c>
      <c r="AF102" s="1">
        <v>7.8</v>
      </c>
      <c r="AG102" s="1">
        <v>4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 t="s">
        <v>38</v>
      </c>
      <c r="AN102" s="1">
        <f t="shared" si="41"/>
        <v>39.99</v>
      </c>
      <c r="AO102" s="1">
        <f t="shared" si="42"/>
        <v>35.65</v>
      </c>
    </row>
    <row r="103" spans="1:41" x14ac:dyDescent="0.25">
      <c r="A103" s="1" t="s">
        <v>153</v>
      </c>
      <c r="B103" s="1" t="s">
        <v>36</v>
      </c>
      <c r="C103" s="1">
        <v>101.369</v>
      </c>
      <c r="D103" s="1">
        <v>3.4</v>
      </c>
      <c r="E103" s="1">
        <v>32.076999999999998</v>
      </c>
      <c r="F103" s="1">
        <v>68.28</v>
      </c>
      <c r="G103" s="1"/>
      <c r="H103" s="7">
        <v>1</v>
      </c>
      <c r="I103" s="1">
        <v>30</v>
      </c>
      <c r="J103" s="1" t="s">
        <v>37</v>
      </c>
      <c r="K103" s="1"/>
      <c r="L103" s="1">
        <v>35.799999999999997</v>
      </c>
      <c r="M103" s="1">
        <f t="shared" si="55"/>
        <v>-3.722999999999999</v>
      </c>
      <c r="N103" s="1">
        <f t="shared" si="36"/>
        <v>32.076999999999998</v>
      </c>
      <c r="O103" s="1"/>
      <c r="P103" s="1">
        <v>0</v>
      </c>
      <c r="Q103" s="1">
        <v>50</v>
      </c>
      <c r="R103" s="1">
        <f t="shared" si="37"/>
        <v>6.4154</v>
      </c>
      <c r="S103" s="5"/>
      <c r="T103" s="19">
        <f>VLOOKUP(A103,[1]TDSheet!$D:$J,7,0)</f>
        <v>0</v>
      </c>
      <c r="U103" s="5">
        <f t="shared" si="53"/>
        <v>0</v>
      </c>
      <c r="V103" s="5">
        <f t="shared" si="38"/>
        <v>0</v>
      </c>
      <c r="W103" s="5"/>
      <c r="X103" s="5">
        <f t="shared" si="54"/>
        <v>0</v>
      </c>
      <c r="Y103" s="5">
        <v>50</v>
      </c>
      <c r="Z103" s="5">
        <f>VLOOKUP(A103,[4]Sheet!$A:$X,24,0)</f>
        <v>70</v>
      </c>
      <c r="AA103" s="1">
        <f t="shared" si="40"/>
        <v>26.230632540449545</v>
      </c>
      <c r="AB103" s="1">
        <f t="shared" si="56"/>
        <v>18.436886242479034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 t="s">
        <v>38</v>
      </c>
      <c r="AN103" s="1">
        <f t="shared" si="41"/>
        <v>0</v>
      </c>
      <c r="AO103" s="1">
        <f t="shared" si="42"/>
        <v>50</v>
      </c>
    </row>
    <row r="104" spans="1:41" x14ac:dyDescent="0.25">
      <c r="A104" s="1" t="s">
        <v>154</v>
      </c>
      <c r="B104" s="1" t="s">
        <v>40</v>
      </c>
      <c r="C104" s="1">
        <v>386</v>
      </c>
      <c r="D104" s="1">
        <v>919</v>
      </c>
      <c r="E104" s="1">
        <v>253</v>
      </c>
      <c r="F104" s="1">
        <v>117</v>
      </c>
      <c r="G104" s="1">
        <f>VLOOKUP(A104,[2]TDSheet!$A:$M,9,0)</f>
        <v>128</v>
      </c>
      <c r="H104" s="7">
        <v>0.4</v>
      </c>
      <c r="I104" s="1">
        <v>60</v>
      </c>
      <c r="J104" s="1" t="s">
        <v>37</v>
      </c>
      <c r="K104" s="1"/>
      <c r="L104" s="1">
        <v>267</v>
      </c>
      <c r="M104" s="1">
        <f t="shared" si="55"/>
        <v>-14</v>
      </c>
      <c r="N104" s="1">
        <f t="shared" si="36"/>
        <v>157</v>
      </c>
      <c r="O104" s="1">
        <f>VLOOKUP(A104,[3]TDSheet!$A:$AX,7,0)</f>
        <v>96</v>
      </c>
      <c r="P104" s="1">
        <v>49</v>
      </c>
      <c r="Q104" s="1">
        <v>42</v>
      </c>
      <c r="R104" s="1">
        <f t="shared" si="37"/>
        <v>31.4</v>
      </c>
      <c r="S104" s="5">
        <f t="shared" si="52"/>
        <v>135</v>
      </c>
      <c r="T104" s="19">
        <f>VLOOKUP(A104,[1]TDSheet!$D:$J,7,0)</f>
        <v>0.68349514563106806</v>
      </c>
      <c r="U104" s="5">
        <f t="shared" si="53"/>
        <v>42.728155339805809</v>
      </c>
      <c r="V104" s="5">
        <f t="shared" si="38"/>
        <v>43</v>
      </c>
      <c r="W104" s="5"/>
      <c r="X104" s="5">
        <f t="shared" si="54"/>
        <v>92.271844660194191</v>
      </c>
      <c r="Y104" s="5">
        <v>200</v>
      </c>
      <c r="Z104" s="5">
        <f>VLOOKUP(A104,[4]Sheet!$A:$X,24,0)</f>
        <v>200</v>
      </c>
      <c r="AA104" s="1">
        <f t="shared" si="40"/>
        <v>18.439490445859875</v>
      </c>
      <c r="AB104" s="1">
        <f t="shared" si="56"/>
        <v>10.70063694267516</v>
      </c>
      <c r="AC104" s="1">
        <v>31.8</v>
      </c>
      <c r="AD104" s="1">
        <v>39.4</v>
      </c>
      <c r="AE104" s="1">
        <v>24.4</v>
      </c>
      <c r="AF104" s="1">
        <v>65</v>
      </c>
      <c r="AG104" s="1">
        <v>53.4</v>
      </c>
      <c r="AH104" s="1">
        <v>32</v>
      </c>
      <c r="AI104" s="1">
        <v>33</v>
      </c>
      <c r="AJ104" s="1">
        <v>43</v>
      </c>
      <c r="AK104" s="1">
        <v>36.6</v>
      </c>
      <c r="AL104" s="1">
        <v>18.600000000000001</v>
      </c>
      <c r="AM104" s="1"/>
      <c r="AN104" s="1">
        <f t="shared" si="41"/>
        <v>17.2</v>
      </c>
      <c r="AO104" s="1">
        <f t="shared" si="42"/>
        <v>80</v>
      </c>
    </row>
    <row r="105" spans="1:41" x14ac:dyDescent="0.25">
      <c r="A105" s="1" t="s">
        <v>155</v>
      </c>
      <c r="B105" s="1" t="s">
        <v>40</v>
      </c>
      <c r="C105" s="1">
        <v>8</v>
      </c>
      <c r="D105" s="1">
        <v>152</v>
      </c>
      <c r="E105" s="1">
        <v>3</v>
      </c>
      <c r="F105" s="1">
        <v>5</v>
      </c>
      <c r="G105" s="1"/>
      <c r="H105" s="7">
        <v>0.35</v>
      </c>
      <c r="I105" s="1">
        <v>60</v>
      </c>
      <c r="J105" s="1" t="s">
        <v>37</v>
      </c>
      <c r="K105" s="1"/>
      <c r="L105" s="1">
        <v>115</v>
      </c>
      <c r="M105" s="1">
        <f t="shared" si="55"/>
        <v>-112</v>
      </c>
      <c r="N105" s="1">
        <f t="shared" si="36"/>
        <v>3</v>
      </c>
      <c r="O105" s="1"/>
      <c r="P105" s="1">
        <v>116</v>
      </c>
      <c r="Q105" s="1">
        <v>0</v>
      </c>
      <c r="R105" s="1">
        <f t="shared" si="37"/>
        <v>0.6</v>
      </c>
      <c r="S105" s="5"/>
      <c r="T105" s="19">
        <f>VLOOKUP(A105,[1]TDSheet!$D:$J,7,0)</f>
        <v>0.5</v>
      </c>
      <c r="U105" s="5">
        <f t="shared" si="53"/>
        <v>0</v>
      </c>
      <c r="V105" s="5">
        <f t="shared" si="38"/>
        <v>0</v>
      </c>
      <c r="W105" s="5"/>
      <c r="X105" s="5">
        <f t="shared" si="54"/>
        <v>0</v>
      </c>
      <c r="Y105" s="5">
        <f t="shared" si="39"/>
        <v>0</v>
      </c>
      <c r="Z105" s="5"/>
      <c r="AA105" s="1">
        <f t="shared" si="40"/>
        <v>201.66666666666669</v>
      </c>
      <c r="AB105" s="1">
        <f t="shared" si="56"/>
        <v>201.66666666666669</v>
      </c>
      <c r="AC105" s="1">
        <v>0.2</v>
      </c>
      <c r="AD105" s="1">
        <v>7.8</v>
      </c>
      <c r="AE105" s="1">
        <v>0</v>
      </c>
      <c r="AF105" s="1">
        <v>0</v>
      </c>
      <c r="AG105" s="1">
        <v>4.5999999999999996</v>
      </c>
      <c r="AH105" s="1">
        <v>3.6</v>
      </c>
      <c r="AI105" s="1">
        <v>1</v>
      </c>
      <c r="AJ105" s="1">
        <v>0.6</v>
      </c>
      <c r="AK105" s="1">
        <v>0.4</v>
      </c>
      <c r="AL105" s="1">
        <v>0.6</v>
      </c>
      <c r="AM105" s="1" t="s">
        <v>156</v>
      </c>
      <c r="AN105" s="1">
        <f t="shared" si="41"/>
        <v>0</v>
      </c>
      <c r="AO105" s="1">
        <f t="shared" si="42"/>
        <v>0</v>
      </c>
    </row>
    <row r="106" spans="1:41" x14ac:dyDescent="0.25">
      <c r="A106" s="1" t="s">
        <v>157</v>
      </c>
      <c r="B106" s="1" t="s">
        <v>36</v>
      </c>
      <c r="C106" s="1">
        <v>172.86199999999999</v>
      </c>
      <c r="D106" s="1">
        <v>3.3919999999999999</v>
      </c>
      <c r="E106" s="1">
        <v>61.000999999999998</v>
      </c>
      <c r="F106" s="1">
        <v>54.991</v>
      </c>
      <c r="G106" s="1">
        <f>VLOOKUP(A106,[2]TDSheet!$A:$M,9,0)</f>
        <v>52.542000000000002</v>
      </c>
      <c r="H106" s="7">
        <v>1</v>
      </c>
      <c r="I106" s="1">
        <v>45</v>
      </c>
      <c r="J106" s="1" t="s">
        <v>37</v>
      </c>
      <c r="K106" s="1"/>
      <c r="L106" s="1">
        <v>57.3</v>
      </c>
      <c r="M106" s="1">
        <f t="shared" si="55"/>
        <v>3.7010000000000005</v>
      </c>
      <c r="N106" s="1">
        <f t="shared" si="36"/>
        <v>61.000999999999998</v>
      </c>
      <c r="O106" s="1"/>
      <c r="P106" s="1">
        <v>0</v>
      </c>
      <c r="Q106" s="1">
        <v>0</v>
      </c>
      <c r="R106" s="1">
        <f t="shared" si="37"/>
        <v>12.200199999999999</v>
      </c>
      <c r="S106" s="5">
        <f t="shared" si="52"/>
        <v>75.469999999999985</v>
      </c>
      <c r="T106" s="19">
        <f>VLOOKUP(A106,[1]TDSheet!$D:$J,7,0)</f>
        <v>0.4465351162598869</v>
      </c>
      <c r="U106" s="5">
        <f t="shared" si="53"/>
        <v>41.76999477586633</v>
      </c>
      <c r="V106" s="5">
        <f t="shared" si="38"/>
        <v>42</v>
      </c>
      <c r="W106" s="5"/>
      <c r="X106" s="5">
        <f t="shared" si="54"/>
        <v>33.700005224133655</v>
      </c>
      <c r="Y106" s="5">
        <v>100</v>
      </c>
      <c r="Z106" s="5">
        <f>VLOOKUP(A106,[4]Sheet!$A:$X,24,0)</f>
        <v>100</v>
      </c>
      <c r="AA106" s="1">
        <f t="shared" si="40"/>
        <v>20.453189291978823</v>
      </c>
      <c r="AB106" s="1">
        <f t="shared" si="56"/>
        <v>8.8140358354781085</v>
      </c>
      <c r="AC106" s="1">
        <v>1.3218000000000001</v>
      </c>
      <c r="AD106" s="1">
        <v>3.1663999999999999</v>
      </c>
      <c r="AE106" s="1">
        <v>11.7332</v>
      </c>
      <c r="AF106" s="1">
        <v>0.34699999999999998</v>
      </c>
      <c r="AG106" s="1">
        <v>0.50080000000000002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 t="s">
        <v>38</v>
      </c>
      <c r="AN106" s="1">
        <f t="shared" si="41"/>
        <v>42</v>
      </c>
      <c r="AO106" s="1">
        <f t="shared" si="42"/>
        <v>100</v>
      </c>
    </row>
    <row r="107" spans="1:41" x14ac:dyDescent="0.25">
      <c r="A107" s="1" t="s">
        <v>158</v>
      </c>
      <c r="B107" s="1" t="s">
        <v>36</v>
      </c>
      <c r="C107" s="1">
        <v>16.876000000000001</v>
      </c>
      <c r="D107" s="1">
        <v>43.433999999999997</v>
      </c>
      <c r="E107" s="1">
        <v>25.577999999999999</v>
      </c>
      <c r="F107" s="1">
        <v>0.86099999999999999</v>
      </c>
      <c r="G107" s="1"/>
      <c r="H107" s="7">
        <v>1</v>
      </c>
      <c r="I107" s="1">
        <v>45</v>
      </c>
      <c r="J107" s="1" t="s">
        <v>37</v>
      </c>
      <c r="K107" s="1"/>
      <c r="L107" s="1">
        <v>68.760000000000005</v>
      </c>
      <c r="M107" s="1">
        <f t="shared" si="55"/>
        <v>-43.182000000000002</v>
      </c>
      <c r="N107" s="1">
        <f t="shared" si="36"/>
        <v>25.577999999999999</v>
      </c>
      <c r="O107" s="1"/>
      <c r="P107" s="1">
        <v>0</v>
      </c>
      <c r="Q107" s="1">
        <v>129</v>
      </c>
      <c r="R107" s="1">
        <f t="shared" si="37"/>
        <v>5.1155999999999997</v>
      </c>
      <c r="S107" s="5"/>
      <c r="T107" s="19">
        <f>VLOOKUP(A107,[1]TDSheet!$D:$J,7,0)</f>
        <v>0.40681027729125813</v>
      </c>
      <c r="U107" s="5">
        <f t="shared" si="53"/>
        <v>0</v>
      </c>
      <c r="V107" s="5">
        <f t="shared" si="38"/>
        <v>0</v>
      </c>
      <c r="W107" s="5"/>
      <c r="X107" s="5">
        <f t="shared" si="54"/>
        <v>0</v>
      </c>
      <c r="Y107" s="5">
        <f t="shared" si="39"/>
        <v>0</v>
      </c>
      <c r="Z107" s="5"/>
      <c r="AA107" s="1">
        <f t="shared" si="40"/>
        <v>25.385292047853625</v>
      </c>
      <c r="AB107" s="1">
        <f t="shared" si="56"/>
        <v>25.385292047853625</v>
      </c>
      <c r="AC107" s="1">
        <v>16.523</v>
      </c>
      <c r="AD107" s="1">
        <v>0</v>
      </c>
      <c r="AE107" s="1">
        <v>6.5928000000000004</v>
      </c>
      <c r="AF107" s="1">
        <v>12.7</v>
      </c>
      <c r="AG107" s="1">
        <v>5.0625999999999998</v>
      </c>
      <c r="AH107" s="1">
        <v>0.50580000000000003</v>
      </c>
      <c r="AI107" s="1">
        <v>9.2891999999999992</v>
      </c>
      <c r="AJ107" s="1">
        <v>4.9366000000000003</v>
      </c>
      <c r="AK107" s="1">
        <v>0.85839999999999994</v>
      </c>
      <c r="AL107" s="1">
        <v>15.9528</v>
      </c>
      <c r="AM107" s="1"/>
      <c r="AN107" s="1">
        <f t="shared" si="41"/>
        <v>0</v>
      </c>
      <c r="AO107" s="1">
        <f t="shared" si="42"/>
        <v>0</v>
      </c>
    </row>
    <row r="108" spans="1:41" x14ac:dyDescent="0.25">
      <c r="A108" s="9" t="s">
        <v>159</v>
      </c>
      <c r="B108" s="9" t="s">
        <v>40</v>
      </c>
      <c r="C108" s="9">
        <v>158</v>
      </c>
      <c r="D108" s="9"/>
      <c r="E108" s="9"/>
      <c r="F108" s="9"/>
      <c r="G108" s="9"/>
      <c r="H108" s="10">
        <v>0</v>
      </c>
      <c r="I108" s="9"/>
      <c r="J108" s="9" t="s">
        <v>62</v>
      </c>
      <c r="K108" s="9"/>
      <c r="L108" s="9">
        <v>25</v>
      </c>
      <c r="M108" s="9">
        <f t="shared" si="55"/>
        <v>-25</v>
      </c>
      <c r="N108" s="9">
        <f t="shared" si="36"/>
        <v>0</v>
      </c>
      <c r="O108" s="9"/>
      <c r="P108" s="9">
        <v>0</v>
      </c>
      <c r="Q108" s="9">
        <v>0</v>
      </c>
      <c r="R108" s="9">
        <f t="shared" si="37"/>
        <v>0</v>
      </c>
      <c r="S108" s="11"/>
      <c r="T108" s="19">
        <f>VLOOKUP(A108,[1]TDSheet!$D:$J,7,0)</f>
        <v>0.42307692307692307</v>
      </c>
      <c r="U108" s="11"/>
      <c r="V108" s="5">
        <f t="shared" si="38"/>
        <v>0</v>
      </c>
      <c r="W108" s="11"/>
      <c r="X108" s="11"/>
      <c r="Y108" s="5">
        <f t="shared" si="39"/>
        <v>0</v>
      </c>
      <c r="Z108" s="11"/>
      <c r="AA108" s="1" t="e">
        <f t="shared" si="40"/>
        <v>#DIV/0!</v>
      </c>
      <c r="AB108" s="9" t="e">
        <f t="shared" si="56"/>
        <v>#DIV/0!</v>
      </c>
      <c r="AC108" s="9">
        <v>0.2</v>
      </c>
      <c r="AD108" s="9">
        <v>0.2</v>
      </c>
      <c r="AE108" s="9">
        <v>0</v>
      </c>
      <c r="AF108" s="9">
        <v>4.4000000000000004</v>
      </c>
      <c r="AG108" s="9">
        <v>2.2000000000000002</v>
      </c>
      <c r="AH108" s="9">
        <v>1</v>
      </c>
      <c r="AI108" s="9">
        <v>0</v>
      </c>
      <c r="AJ108" s="9">
        <v>0</v>
      </c>
      <c r="AK108" s="9">
        <v>0</v>
      </c>
      <c r="AL108" s="9">
        <v>0</v>
      </c>
      <c r="AM108" s="13" t="s">
        <v>160</v>
      </c>
      <c r="AN108" s="1">
        <f t="shared" si="41"/>
        <v>0</v>
      </c>
      <c r="AO108" s="1">
        <f t="shared" si="42"/>
        <v>0</v>
      </c>
    </row>
    <row r="109" spans="1:41" x14ac:dyDescent="0.25">
      <c r="A109" s="1" t="s">
        <v>161</v>
      </c>
      <c r="B109" s="1" t="s">
        <v>40</v>
      </c>
      <c r="C109" s="1">
        <v>79</v>
      </c>
      <c r="D109" s="1">
        <v>401</v>
      </c>
      <c r="E109" s="1">
        <v>109</v>
      </c>
      <c r="F109" s="1">
        <v>2</v>
      </c>
      <c r="G109" s="1"/>
      <c r="H109" s="7">
        <v>0.33</v>
      </c>
      <c r="I109" s="1">
        <v>45</v>
      </c>
      <c r="J109" s="1" t="s">
        <v>37</v>
      </c>
      <c r="K109" s="1"/>
      <c r="L109" s="1">
        <v>267</v>
      </c>
      <c r="M109" s="1">
        <f t="shared" si="55"/>
        <v>-158</v>
      </c>
      <c r="N109" s="1">
        <f t="shared" si="36"/>
        <v>53</v>
      </c>
      <c r="O109" s="1">
        <f>VLOOKUP(A109,[3]TDSheet!$A:$AX,7,0)</f>
        <v>56</v>
      </c>
      <c r="P109" s="1">
        <v>0</v>
      </c>
      <c r="Q109" s="1">
        <v>0</v>
      </c>
      <c r="R109" s="1">
        <f t="shared" si="37"/>
        <v>10.6</v>
      </c>
      <c r="S109" s="5">
        <v>160</v>
      </c>
      <c r="T109" s="19">
        <f>VLOOKUP(A109,[1]TDSheet!$D:$J,7,0)</f>
        <v>0.7021276595744681</v>
      </c>
      <c r="U109" s="5">
        <f>S109-X109</f>
        <v>47.659574468085111</v>
      </c>
      <c r="V109" s="5">
        <f t="shared" si="38"/>
        <v>48</v>
      </c>
      <c r="W109" s="5"/>
      <c r="X109" s="5">
        <f>S109*T109</f>
        <v>112.34042553191489</v>
      </c>
      <c r="Y109" s="5">
        <v>200</v>
      </c>
      <c r="Z109" s="5">
        <f>VLOOKUP(A109,[4]Sheet!$A:$X,24,0)</f>
        <v>200</v>
      </c>
      <c r="AA109" s="1">
        <f t="shared" si="40"/>
        <v>23.584905660377359</v>
      </c>
      <c r="AB109" s="1">
        <f t="shared" si="56"/>
        <v>0.18867924528301888</v>
      </c>
      <c r="AC109" s="1">
        <v>5</v>
      </c>
      <c r="AD109" s="1">
        <v>1.6</v>
      </c>
      <c r="AE109" s="1">
        <v>0</v>
      </c>
      <c r="AF109" s="1">
        <v>-2.2000000000000002</v>
      </c>
      <c r="AG109" s="1">
        <v>23</v>
      </c>
      <c r="AH109" s="1">
        <v>25.8</v>
      </c>
      <c r="AI109" s="1">
        <v>35.200000000000003</v>
      </c>
      <c r="AJ109" s="1">
        <v>18.8</v>
      </c>
      <c r="AK109" s="1">
        <v>4.8</v>
      </c>
      <c r="AL109" s="1">
        <v>21.6</v>
      </c>
      <c r="AM109" s="1" t="s">
        <v>162</v>
      </c>
      <c r="AN109" s="1">
        <f t="shared" si="41"/>
        <v>15.84</v>
      </c>
      <c r="AO109" s="1">
        <f t="shared" si="42"/>
        <v>66</v>
      </c>
    </row>
    <row r="110" spans="1:41" x14ac:dyDescent="0.25">
      <c r="A110" s="9" t="s">
        <v>163</v>
      </c>
      <c r="B110" s="9" t="s">
        <v>40</v>
      </c>
      <c r="C110" s="9">
        <v>46</v>
      </c>
      <c r="D110" s="9"/>
      <c r="E110" s="9">
        <v>-1</v>
      </c>
      <c r="F110" s="9"/>
      <c r="G110" s="9"/>
      <c r="H110" s="10">
        <v>0</v>
      </c>
      <c r="I110" s="9">
        <v>45</v>
      </c>
      <c r="J110" s="9" t="s">
        <v>77</v>
      </c>
      <c r="K110" s="9"/>
      <c r="L110" s="9">
        <v>16</v>
      </c>
      <c r="M110" s="9">
        <f t="shared" si="55"/>
        <v>-17</v>
      </c>
      <c r="N110" s="9">
        <f t="shared" si="36"/>
        <v>-1</v>
      </c>
      <c r="O110" s="9"/>
      <c r="P110" s="9">
        <v>0</v>
      </c>
      <c r="Q110" s="9">
        <v>0</v>
      </c>
      <c r="R110" s="9">
        <f t="shared" si="37"/>
        <v>-0.2</v>
      </c>
      <c r="S110" s="11"/>
      <c r="T110" s="19">
        <f>VLOOKUP(A110,[1]TDSheet!$D:$J,7,0)</f>
        <v>0.90909090909090906</v>
      </c>
      <c r="U110" s="11"/>
      <c r="V110" s="5">
        <f t="shared" si="38"/>
        <v>0</v>
      </c>
      <c r="W110" s="11"/>
      <c r="X110" s="11"/>
      <c r="Y110" s="5">
        <f t="shared" si="39"/>
        <v>0</v>
      </c>
      <c r="Z110" s="11"/>
      <c r="AA110" s="1">
        <f t="shared" si="40"/>
        <v>0</v>
      </c>
      <c r="AB110" s="9">
        <f t="shared" si="56"/>
        <v>0</v>
      </c>
      <c r="AC110" s="9">
        <v>0</v>
      </c>
      <c r="AD110" s="9">
        <v>-0.2</v>
      </c>
      <c r="AE110" s="9">
        <v>0</v>
      </c>
      <c r="AF110" s="9">
        <v>2.4</v>
      </c>
      <c r="AG110" s="9">
        <v>0.8</v>
      </c>
      <c r="AH110" s="9">
        <v>0.6</v>
      </c>
      <c r="AI110" s="9">
        <v>0.4</v>
      </c>
      <c r="AJ110" s="9">
        <v>4.2</v>
      </c>
      <c r="AK110" s="9">
        <v>3.4</v>
      </c>
      <c r="AL110" s="9">
        <v>0</v>
      </c>
      <c r="AM110" s="9"/>
      <c r="AN110" s="1">
        <f t="shared" si="41"/>
        <v>0</v>
      </c>
      <c r="AO110" s="1">
        <f t="shared" si="42"/>
        <v>0</v>
      </c>
    </row>
    <row r="111" spans="1:41" x14ac:dyDescent="0.25">
      <c r="A111" s="9" t="s">
        <v>164</v>
      </c>
      <c r="B111" s="9" t="s">
        <v>40</v>
      </c>
      <c r="C111" s="9">
        <v>4</v>
      </c>
      <c r="D111" s="9">
        <v>319</v>
      </c>
      <c r="E111" s="9"/>
      <c r="F111" s="9"/>
      <c r="G111" s="9"/>
      <c r="H111" s="10">
        <v>0</v>
      </c>
      <c r="I111" s="9">
        <v>60</v>
      </c>
      <c r="J111" s="9" t="s">
        <v>77</v>
      </c>
      <c r="K111" s="9"/>
      <c r="L111" s="9">
        <v>94</v>
      </c>
      <c r="M111" s="9">
        <f t="shared" si="55"/>
        <v>-94</v>
      </c>
      <c r="N111" s="9">
        <f t="shared" si="36"/>
        <v>0</v>
      </c>
      <c r="O111" s="9"/>
      <c r="P111" s="9">
        <v>0</v>
      </c>
      <c r="Q111" s="9">
        <v>0</v>
      </c>
      <c r="R111" s="9">
        <f t="shared" si="37"/>
        <v>0</v>
      </c>
      <c r="S111" s="11"/>
      <c r="T111" s="19">
        <f>VLOOKUP(A111,[1]TDSheet!$D:$J,7,0)</f>
        <v>0.51694915254237284</v>
      </c>
      <c r="U111" s="11"/>
      <c r="V111" s="5">
        <f t="shared" si="38"/>
        <v>0</v>
      </c>
      <c r="W111" s="11"/>
      <c r="X111" s="11"/>
      <c r="Y111" s="5">
        <f t="shared" si="39"/>
        <v>0</v>
      </c>
      <c r="Z111" s="11"/>
      <c r="AA111" s="1" t="e">
        <f t="shared" si="40"/>
        <v>#DIV/0!</v>
      </c>
      <c r="AB111" s="9" t="e">
        <f t="shared" si="56"/>
        <v>#DIV/0!</v>
      </c>
      <c r="AC111" s="9">
        <v>4</v>
      </c>
      <c r="AD111" s="9">
        <v>6.2</v>
      </c>
      <c r="AE111" s="9">
        <v>3.4</v>
      </c>
      <c r="AF111" s="9">
        <v>10</v>
      </c>
      <c r="AG111" s="9">
        <v>1</v>
      </c>
      <c r="AH111" s="9">
        <v>0</v>
      </c>
      <c r="AI111" s="9">
        <v>0.4</v>
      </c>
      <c r="AJ111" s="9">
        <v>5.8</v>
      </c>
      <c r="AK111" s="9">
        <v>0.6</v>
      </c>
      <c r="AL111" s="9">
        <v>0</v>
      </c>
      <c r="AM111" s="9" t="s">
        <v>165</v>
      </c>
      <c r="AN111" s="1">
        <f t="shared" si="41"/>
        <v>0</v>
      </c>
      <c r="AO111" s="1">
        <f t="shared" si="42"/>
        <v>0</v>
      </c>
    </row>
    <row r="112" spans="1:41" x14ac:dyDescent="0.25">
      <c r="A112" s="1" t="s">
        <v>166</v>
      </c>
      <c r="B112" s="1" t="s">
        <v>40</v>
      </c>
      <c r="C112" s="1">
        <v>193</v>
      </c>
      <c r="D112" s="1">
        <v>260</v>
      </c>
      <c r="E112" s="1">
        <v>128</v>
      </c>
      <c r="F112" s="1">
        <v>2</v>
      </c>
      <c r="G112" s="1"/>
      <c r="H112" s="7">
        <v>0.1</v>
      </c>
      <c r="I112" s="1">
        <v>60</v>
      </c>
      <c r="J112" s="1" t="s">
        <v>37</v>
      </c>
      <c r="K112" s="1"/>
      <c r="L112" s="1">
        <v>226</v>
      </c>
      <c r="M112" s="1">
        <f t="shared" si="55"/>
        <v>-98</v>
      </c>
      <c r="N112" s="1">
        <f t="shared" si="36"/>
        <v>128</v>
      </c>
      <c r="O112" s="1"/>
      <c r="P112" s="1">
        <v>90</v>
      </c>
      <c r="Q112" s="1">
        <v>155</v>
      </c>
      <c r="R112" s="1">
        <f t="shared" si="37"/>
        <v>25.6</v>
      </c>
      <c r="S112" s="5">
        <f t="shared" ref="S112" si="57">15*R112-Q112-P112-G112-F112</f>
        <v>137</v>
      </c>
      <c r="T112" s="19">
        <f>VLOOKUP(A112,[1]TDSheet!$D:$J,7,0)</f>
        <v>0.24617737003058104</v>
      </c>
      <c r="U112" s="5">
        <f t="shared" ref="U112:U113" si="58">S112-X112</f>
        <v>103.27370030581039</v>
      </c>
      <c r="V112" s="5">
        <f t="shared" si="38"/>
        <v>103</v>
      </c>
      <c r="W112" s="5"/>
      <c r="X112" s="5">
        <f t="shared" ref="X112:X113" si="59">S112*T112</f>
        <v>33.726299694189606</v>
      </c>
      <c r="Y112" s="5">
        <v>150</v>
      </c>
      <c r="Z112" s="5">
        <f>VLOOKUP(A112,[4]Sheet!$A:$X,24,0)</f>
        <v>150</v>
      </c>
      <c r="AA112" s="1">
        <f t="shared" si="40"/>
        <v>19.53125</v>
      </c>
      <c r="AB112" s="1">
        <f t="shared" si="56"/>
        <v>9.6484375</v>
      </c>
      <c r="AC112" s="1">
        <v>29.2</v>
      </c>
      <c r="AD112" s="1">
        <v>28.4</v>
      </c>
      <c r="AE112" s="1">
        <v>25.8</v>
      </c>
      <c r="AF112" s="1">
        <v>40.4</v>
      </c>
      <c r="AG112" s="1">
        <v>27</v>
      </c>
      <c r="AH112" s="1">
        <v>16.2</v>
      </c>
      <c r="AI112" s="1">
        <v>1.4</v>
      </c>
      <c r="AJ112" s="1">
        <v>17</v>
      </c>
      <c r="AK112" s="1">
        <v>24.6</v>
      </c>
      <c r="AL112" s="1">
        <v>0</v>
      </c>
      <c r="AM112" s="1" t="s">
        <v>167</v>
      </c>
      <c r="AN112" s="1">
        <f t="shared" si="41"/>
        <v>10.3</v>
      </c>
      <c r="AO112" s="1">
        <f t="shared" si="42"/>
        <v>15</v>
      </c>
    </row>
    <row r="113" spans="1:41" x14ac:dyDescent="0.25">
      <c r="A113" s="1" t="s">
        <v>79</v>
      </c>
      <c r="B113" s="1" t="s">
        <v>40</v>
      </c>
      <c r="C113" s="1">
        <v>135</v>
      </c>
      <c r="D113" s="1">
        <v>352</v>
      </c>
      <c r="E113" s="1">
        <v>124</v>
      </c>
      <c r="F113" s="14">
        <f>3+F36</f>
        <v>5</v>
      </c>
      <c r="G113" s="1"/>
      <c r="H113" s="7">
        <v>0.1</v>
      </c>
      <c r="I113" s="1">
        <v>60</v>
      </c>
      <c r="J113" s="1" t="s">
        <v>37</v>
      </c>
      <c r="K113" s="1"/>
      <c r="L113" s="1">
        <v>268</v>
      </c>
      <c r="M113" s="1">
        <f t="shared" si="55"/>
        <v>-144</v>
      </c>
      <c r="N113" s="1">
        <f t="shared" si="36"/>
        <v>124</v>
      </c>
      <c r="O113" s="1"/>
      <c r="P113" s="1">
        <v>0</v>
      </c>
      <c r="Q113" s="1">
        <v>444</v>
      </c>
      <c r="R113" s="1">
        <f t="shared" si="37"/>
        <v>24.8</v>
      </c>
      <c r="S113" s="5"/>
      <c r="T113" s="19">
        <f>VLOOKUP(A113,[1]TDSheet!$D:$J,7,0)</f>
        <v>0.50526315789473686</v>
      </c>
      <c r="U113" s="5">
        <f t="shared" si="58"/>
        <v>0</v>
      </c>
      <c r="V113" s="5">
        <f t="shared" si="38"/>
        <v>0</v>
      </c>
      <c r="W113" s="5"/>
      <c r="X113" s="5">
        <f t="shared" si="59"/>
        <v>0</v>
      </c>
      <c r="Y113" s="5">
        <v>100</v>
      </c>
      <c r="Z113" s="5">
        <f>VLOOKUP(A113,[4]Sheet!$A:$X,24,0)</f>
        <v>100</v>
      </c>
      <c r="AA113" s="1">
        <f t="shared" si="40"/>
        <v>22.137096774193548</v>
      </c>
      <c r="AB113" s="1">
        <f t="shared" si="56"/>
        <v>18.10483870967742</v>
      </c>
      <c r="AC113" s="1">
        <v>52.8</v>
      </c>
      <c r="AD113" s="1">
        <v>10.8</v>
      </c>
      <c r="AE113" s="1">
        <v>29.2</v>
      </c>
      <c r="AF113" s="1">
        <v>51</v>
      </c>
      <c r="AG113" s="1">
        <v>2.2000000000000002</v>
      </c>
      <c r="AH113" s="1">
        <v>20.399999999999999</v>
      </c>
      <c r="AI113" s="1">
        <v>38.799999999999997</v>
      </c>
      <c r="AJ113" s="1">
        <v>20</v>
      </c>
      <c r="AK113" s="1">
        <v>-0.4</v>
      </c>
      <c r="AL113" s="1">
        <v>0</v>
      </c>
      <c r="AM113" s="1" t="s">
        <v>168</v>
      </c>
      <c r="AN113" s="1">
        <f t="shared" si="41"/>
        <v>0</v>
      </c>
      <c r="AO113" s="1">
        <f t="shared" si="42"/>
        <v>10</v>
      </c>
    </row>
    <row r="114" spans="1:41" x14ac:dyDescent="0.25">
      <c r="A114" s="9" t="s">
        <v>169</v>
      </c>
      <c r="B114" s="9" t="s">
        <v>40</v>
      </c>
      <c r="C114" s="9">
        <v>-3</v>
      </c>
      <c r="D114" s="9">
        <v>4</v>
      </c>
      <c r="E114" s="9">
        <v>1</v>
      </c>
      <c r="F114" s="9"/>
      <c r="G114" s="9"/>
      <c r="H114" s="10">
        <v>0</v>
      </c>
      <c r="I114" s="9"/>
      <c r="J114" s="9" t="s">
        <v>62</v>
      </c>
      <c r="K114" s="9"/>
      <c r="L114" s="9">
        <v>29</v>
      </c>
      <c r="M114" s="9">
        <f t="shared" si="55"/>
        <v>-28</v>
      </c>
      <c r="N114" s="9">
        <f t="shared" si="36"/>
        <v>1</v>
      </c>
      <c r="O114" s="9"/>
      <c r="P114" s="9"/>
      <c r="Q114" s="9">
        <v>0</v>
      </c>
      <c r="R114" s="9">
        <f t="shared" si="37"/>
        <v>0.2</v>
      </c>
      <c r="S114" s="11"/>
      <c r="T114" s="19">
        <f>VLOOKUP(A114,[1]TDSheet!$D:$J,7,0)</f>
        <v>0</v>
      </c>
      <c r="U114" s="11"/>
      <c r="V114" s="5">
        <f t="shared" si="38"/>
        <v>0</v>
      </c>
      <c r="W114" s="11"/>
      <c r="X114" s="11"/>
      <c r="Y114" s="5">
        <f t="shared" si="39"/>
        <v>0</v>
      </c>
      <c r="Z114" s="11"/>
      <c r="AA114" s="1">
        <f t="shared" si="40"/>
        <v>0</v>
      </c>
      <c r="AB114" s="9">
        <f t="shared" si="56"/>
        <v>0</v>
      </c>
      <c r="AC114" s="9">
        <v>0.6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/>
      <c r="AN114" s="1">
        <f t="shared" si="41"/>
        <v>0</v>
      </c>
      <c r="AO114" s="1">
        <f t="shared" si="42"/>
        <v>0</v>
      </c>
    </row>
    <row r="115" spans="1:41" x14ac:dyDescent="0.25">
      <c r="A115" s="1" t="s">
        <v>170</v>
      </c>
      <c r="B115" s="1" t="s">
        <v>40</v>
      </c>
      <c r="C115" s="1">
        <v>654</v>
      </c>
      <c r="D115" s="1">
        <v>745</v>
      </c>
      <c r="E115" s="1">
        <v>324</v>
      </c>
      <c r="F115" s="1">
        <v>159</v>
      </c>
      <c r="G115" s="1">
        <f>VLOOKUP(A115,[2]TDSheet!$A:$M,9,0)</f>
        <v>168</v>
      </c>
      <c r="H115" s="7">
        <v>0.4</v>
      </c>
      <c r="I115" s="1">
        <v>60</v>
      </c>
      <c r="J115" s="1" t="s">
        <v>37</v>
      </c>
      <c r="K115" s="1"/>
      <c r="L115" s="1">
        <v>352</v>
      </c>
      <c r="M115" s="1">
        <f t="shared" si="55"/>
        <v>-28</v>
      </c>
      <c r="N115" s="1">
        <f t="shared" si="36"/>
        <v>308</v>
      </c>
      <c r="O115" s="1">
        <f>VLOOKUP(A115,[3]TDSheet!$A:$AX,7,0)</f>
        <v>16</v>
      </c>
      <c r="P115" s="1">
        <v>430</v>
      </c>
      <c r="Q115" s="1">
        <v>8</v>
      </c>
      <c r="R115" s="1">
        <f t="shared" si="37"/>
        <v>61.6</v>
      </c>
      <c r="S115" s="5">
        <f t="shared" ref="S115:S117" si="60">15*R115-Q115-P115-G115-F115</f>
        <v>159</v>
      </c>
      <c r="T115" s="19">
        <f>VLOOKUP(A115,[1]TDSheet!$D:$J,7,0)</f>
        <v>0.34303977272727271</v>
      </c>
      <c r="U115" s="5">
        <f t="shared" ref="U115:U118" si="61">S115-X115</f>
        <v>104.45667613636364</v>
      </c>
      <c r="V115" s="5">
        <f t="shared" si="38"/>
        <v>104</v>
      </c>
      <c r="W115" s="5"/>
      <c r="X115" s="5">
        <f t="shared" ref="X115:X118" si="62">S115*T115</f>
        <v>54.54332386363636</v>
      </c>
      <c r="Y115" s="5">
        <f t="shared" si="39"/>
        <v>55</v>
      </c>
      <c r="Z115" s="5"/>
      <c r="AA115" s="1">
        <f t="shared" si="40"/>
        <v>15</v>
      </c>
      <c r="AB115" s="1">
        <f t="shared" si="56"/>
        <v>12.418831168831169</v>
      </c>
      <c r="AC115" s="1">
        <v>72.8</v>
      </c>
      <c r="AD115" s="1">
        <v>96.4</v>
      </c>
      <c r="AE115" s="1">
        <v>80</v>
      </c>
      <c r="AF115" s="1">
        <v>80.2</v>
      </c>
      <c r="AG115" s="1">
        <v>93.8</v>
      </c>
      <c r="AH115" s="1">
        <v>30.4</v>
      </c>
      <c r="AI115" s="1">
        <v>47.8</v>
      </c>
      <c r="AJ115" s="1">
        <v>65.8</v>
      </c>
      <c r="AK115" s="1">
        <v>42</v>
      </c>
      <c r="AL115" s="1">
        <v>44.4</v>
      </c>
      <c r="AM115" s="1" t="s">
        <v>171</v>
      </c>
      <c r="AN115" s="1">
        <f t="shared" si="41"/>
        <v>41.6</v>
      </c>
      <c r="AO115" s="1">
        <f t="shared" si="42"/>
        <v>22</v>
      </c>
    </row>
    <row r="116" spans="1:41" x14ac:dyDescent="0.25">
      <c r="A116" s="1" t="s">
        <v>172</v>
      </c>
      <c r="B116" s="1" t="s">
        <v>40</v>
      </c>
      <c r="C116" s="1">
        <v>181</v>
      </c>
      <c r="D116" s="1">
        <v>14</v>
      </c>
      <c r="E116" s="1">
        <v>34</v>
      </c>
      <c r="F116" s="1">
        <v>80</v>
      </c>
      <c r="G116" s="1">
        <f>VLOOKUP(A116,[2]TDSheet!$A:$M,9,0)</f>
        <v>55</v>
      </c>
      <c r="H116" s="7">
        <v>0.1</v>
      </c>
      <c r="I116" s="1"/>
      <c r="J116" s="1" t="s">
        <v>37</v>
      </c>
      <c r="K116" s="1"/>
      <c r="L116" s="1">
        <v>42</v>
      </c>
      <c r="M116" s="1">
        <f t="shared" si="55"/>
        <v>-8</v>
      </c>
      <c r="N116" s="1">
        <f t="shared" si="36"/>
        <v>34</v>
      </c>
      <c r="O116" s="1"/>
      <c r="P116" s="1">
        <v>0</v>
      </c>
      <c r="Q116" s="1">
        <v>0</v>
      </c>
      <c r="R116" s="1">
        <f t="shared" si="37"/>
        <v>6.8</v>
      </c>
      <c r="S116" s="5"/>
      <c r="T116" s="19">
        <f>VLOOKUP(A116,[1]TDSheet!$D:$J,7,0)</f>
        <v>0.30463576158940397</v>
      </c>
      <c r="U116" s="5">
        <f t="shared" si="61"/>
        <v>0</v>
      </c>
      <c r="V116" s="5">
        <f t="shared" si="38"/>
        <v>0</v>
      </c>
      <c r="W116" s="5"/>
      <c r="X116" s="5">
        <f t="shared" si="62"/>
        <v>0</v>
      </c>
      <c r="Y116" s="5">
        <f t="shared" si="39"/>
        <v>0</v>
      </c>
      <c r="Z116" s="5"/>
      <c r="AA116" s="1">
        <f t="shared" si="40"/>
        <v>19.852941176470587</v>
      </c>
      <c r="AB116" s="1">
        <f t="shared" si="56"/>
        <v>19.852941176470587</v>
      </c>
      <c r="AC116" s="1">
        <v>-0.8</v>
      </c>
      <c r="AD116" s="1">
        <v>2.4</v>
      </c>
      <c r="AE116" s="1">
        <v>23</v>
      </c>
      <c r="AF116" s="1">
        <v>4.8</v>
      </c>
      <c r="AG116" s="1">
        <v>1.6</v>
      </c>
      <c r="AH116" s="1">
        <v>16</v>
      </c>
      <c r="AI116" s="1">
        <v>1.8</v>
      </c>
      <c r="AJ116" s="1">
        <v>0</v>
      </c>
      <c r="AK116" s="1">
        <v>0</v>
      </c>
      <c r="AL116" s="1">
        <v>0</v>
      </c>
      <c r="AM116" s="1" t="s">
        <v>38</v>
      </c>
      <c r="AN116" s="1">
        <f t="shared" si="41"/>
        <v>0</v>
      </c>
      <c r="AO116" s="1">
        <f t="shared" si="42"/>
        <v>0</v>
      </c>
    </row>
    <row r="117" spans="1:41" x14ac:dyDescent="0.25">
      <c r="A117" s="1" t="s">
        <v>173</v>
      </c>
      <c r="B117" s="1" t="s">
        <v>40</v>
      </c>
      <c r="C117" s="1">
        <v>179</v>
      </c>
      <c r="D117" s="1">
        <v>13</v>
      </c>
      <c r="E117" s="1">
        <v>44</v>
      </c>
      <c r="F117" s="1">
        <v>71</v>
      </c>
      <c r="G117" s="1">
        <f>VLOOKUP(A117,[2]TDSheet!$A:$M,9,0)</f>
        <v>55</v>
      </c>
      <c r="H117" s="7">
        <v>0.1</v>
      </c>
      <c r="I117" s="1"/>
      <c r="J117" s="1" t="s">
        <v>37</v>
      </c>
      <c r="K117" s="1"/>
      <c r="L117" s="1">
        <v>48</v>
      </c>
      <c r="M117" s="1">
        <f t="shared" si="55"/>
        <v>-4</v>
      </c>
      <c r="N117" s="1">
        <f t="shared" si="36"/>
        <v>44</v>
      </c>
      <c r="O117" s="1"/>
      <c r="P117" s="1">
        <v>0</v>
      </c>
      <c r="Q117" s="1">
        <v>0</v>
      </c>
      <c r="R117" s="1">
        <f t="shared" si="37"/>
        <v>8.8000000000000007</v>
      </c>
      <c r="S117" s="5">
        <f t="shared" si="60"/>
        <v>6</v>
      </c>
      <c r="T117" s="19">
        <f>VLOOKUP(A117,[1]TDSheet!$D:$J,7,0)</f>
        <v>0.30722891566265054</v>
      </c>
      <c r="U117" s="5">
        <v>4</v>
      </c>
      <c r="V117" s="5">
        <f t="shared" si="38"/>
        <v>4</v>
      </c>
      <c r="W117" s="5"/>
      <c r="X117" s="5">
        <v>4</v>
      </c>
      <c r="Y117" s="5">
        <f t="shared" si="39"/>
        <v>4</v>
      </c>
      <c r="Z117" s="5"/>
      <c r="AA117" s="1">
        <f t="shared" si="40"/>
        <v>15.227272727272727</v>
      </c>
      <c r="AB117" s="1">
        <f t="shared" si="56"/>
        <v>14.318181818181817</v>
      </c>
      <c r="AC117" s="1">
        <v>1</v>
      </c>
      <c r="AD117" s="1">
        <v>2.8</v>
      </c>
      <c r="AE117" s="1">
        <v>22.8</v>
      </c>
      <c r="AF117" s="1">
        <v>5.4</v>
      </c>
      <c r="AG117" s="1">
        <v>1.6</v>
      </c>
      <c r="AH117" s="1">
        <v>16</v>
      </c>
      <c r="AI117" s="1">
        <v>1.6</v>
      </c>
      <c r="AJ117" s="1">
        <v>0</v>
      </c>
      <c r="AK117" s="1">
        <v>0</v>
      </c>
      <c r="AL117" s="1">
        <v>0</v>
      </c>
      <c r="AM117" s="1" t="s">
        <v>38</v>
      </c>
      <c r="AN117" s="1">
        <f t="shared" si="41"/>
        <v>0.4</v>
      </c>
      <c r="AO117" s="1">
        <f t="shared" si="42"/>
        <v>0.4</v>
      </c>
    </row>
    <row r="118" spans="1:41" x14ac:dyDescent="0.25">
      <c r="A118" s="1" t="s">
        <v>174</v>
      </c>
      <c r="B118" s="1" t="s">
        <v>40</v>
      </c>
      <c r="C118" s="1">
        <v>117</v>
      </c>
      <c r="D118" s="1">
        <v>7</v>
      </c>
      <c r="E118" s="1">
        <v>52</v>
      </c>
      <c r="F118" s="1">
        <v>5</v>
      </c>
      <c r="G118" s="1">
        <f>VLOOKUP(A118,[2]TDSheet!$A:$M,9,0)</f>
        <v>56</v>
      </c>
      <c r="H118" s="7">
        <v>0.3</v>
      </c>
      <c r="I118" s="1">
        <v>45</v>
      </c>
      <c r="J118" s="1" t="s">
        <v>37</v>
      </c>
      <c r="K118" s="1"/>
      <c r="L118" s="1">
        <v>65</v>
      </c>
      <c r="M118" s="1">
        <f t="shared" si="55"/>
        <v>-13</v>
      </c>
      <c r="N118" s="1">
        <f t="shared" si="36"/>
        <v>52</v>
      </c>
      <c r="O118" s="1"/>
      <c r="P118" s="1">
        <v>0</v>
      </c>
      <c r="Q118" s="1">
        <v>0</v>
      </c>
      <c r="R118" s="1">
        <f t="shared" si="37"/>
        <v>10.4</v>
      </c>
      <c r="S118" s="5">
        <f>14*R118-Q118-P118-G118-F118</f>
        <v>84.6</v>
      </c>
      <c r="T118" s="19">
        <f>VLOOKUP(A118,[1]TDSheet!$D:$J,7,0)</f>
        <v>1</v>
      </c>
      <c r="U118" s="5">
        <f t="shared" si="61"/>
        <v>0</v>
      </c>
      <c r="V118" s="5">
        <f t="shared" si="38"/>
        <v>0</v>
      </c>
      <c r="W118" s="5"/>
      <c r="X118" s="5">
        <f t="shared" si="62"/>
        <v>84.6</v>
      </c>
      <c r="Y118" s="5">
        <v>150</v>
      </c>
      <c r="Z118" s="5">
        <f>VLOOKUP(A118,[4]Sheet!$A:$X,24,0)</f>
        <v>180</v>
      </c>
      <c r="AA118" s="1">
        <f t="shared" si="40"/>
        <v>20.288461538461537</v>
      </c>
      <c r="AB118" s="1">
        <f t="shared" si="56"/>
        <v>5.865384615384615</v>
      </c>
      <c r="AC118" s="1">
        <v>0.6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 t="s">
        <v>38</v>
      </c>
      <c r="AN118" s="1">
        <f t="shared" si="41"/>
        <v>0</v>
      </c>
      <c r="AO118" s="1">
        <f t="shared" si="42"/>
        <v>45</v>
      </c>
    </row>
    <row r="119" spans="1:41" x14ac:dyDescent="0.25">
      <c r="A119" s="9" t="s">
        <v>175</v>
      </c>
      <c r="B119" s="9" t="s">
        <v>36</v>
      </c>
      <c r="C119" s="9"/>
      <c r="D119" s="9"/>
      <c r="E119" s="9"/>
      <c r="F119" s="9"/>
      <c r="G119" s="9"/>
      <c r="H119" s="10">
        <v>0</v>
      </c>
      <c r="I119" s="9"/>
      <c r="J119" s="9" t="s">
        <v>37</v>
      </c>
      <c r="K119" s="9"/>
      <c r="L119" s="9"/>
      <c r="M119" s="9">
        <f t="shared" si="55"/>
        <v>0</v>
      </c>
      <c r="N119" s="9">
        <f t="shared" si="36"/>
        <v>0</v>
      </c>
      <c r="O119" s="9"/>
      <c r="P119" s="9">
        <v>0</v>
      </c>
      <c r="Q119" s="9">
        <v>0</v>
      </c>
      <c r="R119" s="9">
        <f t="shared" si="37"/>
        <v>0</v>
      </c>
      <c r="S119" s="11"/>
      <c r="T119" s="19" t="e">
        <f>VLOOKUP(A119,[1]TDSheet!$D:$J,7,0)</f>
        <v>#N/A</v>
      </c>
      <c r="U119" s="11"/>
      <c r="V119" s="5">
        <f t="shared" si="38"/>
        <v>0</v>
      </c>
      <c r="W119" s="11"/>
      <c r="X119" s="11"/>
      <c r="Y119" s="5">
        <f t="shared" si="39"/>
        <v>0</v>
      </c>
      <c r="Z119" s="11"/>
      <c r="AA119" s="1" t="e">
        <f t="shared" si="40"/>
        <v>#DIV/0!</v>
      </c>
      <c r="AB119" s="9" t="e">
        <f t="shared" si="56"/>
        <v>#DIV/0!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 t="s">
        <v>107</v>
      </c>
      <c r="AN119" s="1">
        <f t="shared" si="41"/>
        <v>0</v>
      </c>
      <c r="AO119" s="1">
        <f t="shared" si="42"/>
        <v>0</v>
      </c>
    </row>
    <row r="120" spans="1:41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6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6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6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6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6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6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6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6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6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6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6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6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6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6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6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6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6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6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6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6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6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6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6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6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6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6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6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6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6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6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6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6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6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6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6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6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6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6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6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6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6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6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6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6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6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6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6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6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6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6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6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6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6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6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6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6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6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6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6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6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6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6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6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6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6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6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6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6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6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6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6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6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6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6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6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6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6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6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6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6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6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6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6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6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6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6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6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6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6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6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6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6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6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6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6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6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6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6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6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6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6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6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6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6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6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6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6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6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6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6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6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6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6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6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6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6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6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6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6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6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6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6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6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6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6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6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6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6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6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6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6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6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6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6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6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6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6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6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6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6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6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6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6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6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6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6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6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6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6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6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6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6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6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6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6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6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6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6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6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6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6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6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6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6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6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6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6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6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6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6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6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6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6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6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6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6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6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6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6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6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6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6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6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6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6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6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6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6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6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6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6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6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6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6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6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6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6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6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6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6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6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6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6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6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6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6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6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6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6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6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6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6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6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6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6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6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6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6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6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6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6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6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6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6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6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6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6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6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6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6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6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6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6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6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6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6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6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6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6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6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6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6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6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6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6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6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6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6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6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6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6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6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6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6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6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6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6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6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6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6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6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6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6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6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6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6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6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6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6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6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6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6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6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6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6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6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6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6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6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6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6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6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6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6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6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6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6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6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6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6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6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6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6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6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6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6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6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6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6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6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6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6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6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6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6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6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6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6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6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6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6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6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6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6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6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6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6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6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6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6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6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6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6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6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6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6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6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6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6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6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6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6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6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6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6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6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6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6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6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6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6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6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6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6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6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6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6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6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6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6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6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6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6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6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6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6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6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6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6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6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6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6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6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6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6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6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6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6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6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6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6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6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6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6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6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6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</sheetData>
  <autoFilter ref="A3:AN119" xr:uid="{00000000-0009-0000-0000-000000000000}"/>
  <mergeCells count="2">
    <mergeCell ref="U2:W2"/>
    <mergeCell ref="X2:Z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2026-09-21T11:15:41Z</dcterms:created>
  <dcterms:modified xsi:type="dcterms:W3CDTF">2026-09-23T13:43:40Z</dcterms:modified>
</cp:coreProperties>
</file>