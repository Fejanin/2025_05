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76C935A6-CC6C-4BA4-B68D-8A6E748C63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externalReferences>
    <externalReference r:id="rId4"/>
    <externalReference r:id="rId5"/>
  </externalReferences>
  <definedNames>
    <definedName name="_xlnm._FilterDatabase" localSheetId="0" hidden="1">Sheet!$A$3:$AG$121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8" i="1" l="1"/>
  <c r="R72" i="1"/>
  <c r="R64" i="1"/>
  <c r="R49" i="1"/>
  <c r="R33" i="1"/>
  <c r="R29" i="1"/>
  <c r="R20" i="1"/>
  <c r="R13" i="1"/>
  <c r="S8" i="1"/>
  <c r="R8" i="1" s="1"/>
  <c r="S13" i="1"/>
  <c r="S15" i="1"/>
  <c r="R15" i="1" s="1"/>
  <c r="S20" i="1"/>
  <c r="S22" i="1"/>
  <c r="R22" i="1" s="1"/>
  <c r="S29" i="1"/>
  <c r="S31" i="1"/>
  <c r="R31" i="1" s="1"/>
  <c r="S33" i="1"/>
  <c r="S47" i="1"/>
  <c r="R47" i="1" s="1"/>
  <c r="S49" i="1"/>
  <c r="S54" i="1"/>
  <c r="R54" i="1" s="1"/>
  <c r="S64" i="1"/>
  <c r="S68" i="1"/>
  <c r="R68" i="1" s="1"/>
  <c r="S72" i="1"/>
  <c r="S74" i="1"/>
  <c r="R74" i="1" s="1"/>
  <c r="S78" i="1"/>
  <c r="S82" i="1"/>
  <c r="R82" i="1" s="1"/>
  <c r="S94" i="1"/>
  <c r="S96" i="1"/>
  <c r="S97" i="1"/>
  <c r="S100" i="1"/>
  <c r="S112" i="1"/>
  <c r="S113" i="1"/>
  <c r="S114" i="1"/>
  <c r="S115" i="1"/>
  <c r="S116" i="1"/>
  <c r="S117" i="1"/>
  <c r="S118" i="1"/>
  <c r="S119" i="1"/>
  <c r="S120" i="1"/>
  <c r="S121" i="1"/>
  <c r="S5" i="1" l="1"/>
  <c r="R7" i="1"/>
  <c r="AG7" i="1" s="1"/>
  <c r="R10" i="1"/>
  <c r="R11" i="1"/>
  <c r="R12" i="1"/>
  <c r="AG12" i="1" s="1"/>
  <c r="R14" i="1"/>
  <c r="R16" i="1"/>
  <c r="AG16" i="1" s="1"/>
  <c r="R18" i="1"/>
  <c r="R19" i="1"/>
  <c r="R21" i="1"/>
  <c r="AG21" i="1" s="1"/>
  <c r="R23" i="1"/>
  <c r="R24" i="1"/>
  <c r="R25" i="1"/>
  <c r="AG25" i="1" s="1"/>
  <c r="R28" i="1"/>
  <c r="AG28" i="1" s="1"/>
  <c r="R30" i="1"/>
  <c r="R32" i="1"/>
  <c r="AG32" i="1" s="1"/>
  <c r="R34" i="1"/>
  <c r="AG34" i="1" s="1"/>
  <c r="R35" i="1"/>
  <c r="AG35" i="1" s="1"/>
  <c r="R36" i="1"/>
  <c r="R37" i="1"/>
  <c r="AG37" i="1" s="1"/>
  <c r="R38" i="1"/>
  <c r="AG38" i="1" s="1"/>
  <c r="R39" i="1"/>
  <c r="AG39" i="1" s="1"/>
  <c r="R40" i="1"/>
  <c r="R45" i="1"/>
  <c r="AG45" i="1" s="1"/>
  <c r="R51" i="1"/>
  <c r="AG51" i="1" s="1"/>
  <c r="R52" i="1"/>
  <c r="R55" i="1"/>
  <c r="R56" i="1"/>
  <c r="R58" i="1"/>
  <c r="R59" i="1"/>
  <c r="R66" i="1"/>
  <c r="R67" i="1"/>
  <c r="AG67" i="1" s="1"/>
  <c r="R71" i="1"/>
  <c r="AG71" i="1" s="1"/>
  <c r="R75" i="1"/>
  <c r="AG75" i="1" s="1"/>
  <c r="R80" i="1"/>
  <c r="AG80" i="1" s="1"/>
  <c r="R84" i="1"/>
  <c r="AG84" i="1" s="1"/>
  <c r="R85" i="1"/>
  <c r="R86" i="1"/>
  <c r="AG86" i="1" s="1"/>
  <c r="R87" i="1"/>
  <c r="AG87" i="1" s="1"/>
  <c r="R88" i="1"/>
  <c r="AG88" i="1" s="1"/>
  <c r="R89" i="1"/>
  <c r="R90" i="1"/>
  <c r="AG90" i="1" s="1"/>
  <c r="R91" i="1"/>
  <c r="AG91" i="1" s="1"/>
  <c r="AG94" i="1"/>
  <c r="R95" i="1"/>
  <c r="AG95" i="1" s="1"/>
  <c r="AG97" i="1"/>
  <c r="R98" i="1"/>
  <c r="AG98" i="1" s="1"/>
  <c r="R99" i="1"/>
  <c r="AG99" i="1" s="1"/>
  <c r="R103" i="1"/>
  <c r="R104" i="1"/>
  <c r="R105" i="1"/>
  <c r="R106" i="1"/>
  <c r="R108" i="1"/>
  <c r="R109" i="1"/>
  <c r="R110" i="1"/>
  <c r="R111" i="1"/>
  <c r="AG10" i="1"/>
  <c r="AG14" i="1"/>
  <c r="AG18" i="1"/>
  <c r="AG24" i="1"/>
  <c r="AG30" i="1"/>
  <c r="AG36" i="1"/>
  <c r="AG40" i="1"/>
  <c r="AG52" i="1"/>
  <c r="AG55" i="1"/>
  <c r="AG56" i="1"/>
  <c r="AG58" i="1"/>
  <c r="AG59" i="1"/>
  <c r="AG66" i="1"/>
  <c r="AG85" i="1"/>
  <c r="AG89" i="1"/>
  <c r="AG96" i="1"/>
  <c r="AG100" i="1"/>
  <c r="AG103" i="1"/>
  <c r="AG104" i="1"/>
  <c r="AG105" i="1"/>
  <c r="AG106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23" i="1" l="1"/>
  <c r="AG19" i="1"/>
  <c r="AG11" i="1"/>
  <c r="P16" i="1"/>
  <c r="T16" i="1" s="1"/>
  <c r="J10" i="2" l="1"/>
  <c r="J9" i="2"/>
  <c r="J8" i="2"/>
  <c r="J7" i="2"/>
  <c r="J6" i="2"/>
  <c r="J5" i="2"/>
  <c r="J4" i="2"/>
  <c r="J3" i="2"/>
  <c r="J2" i="2"/>
  <c r="J1" i="2"/>
  <c r="P121" i="1"/>
  <c r="P120" i="1"/>
  <c r="P119" i="1"/>
  <c r="P118" i="1"/>
  <c r="P117" i="1"/>
  <c r="P116" i="1"/>
  <c r="P115" i="1"/>
  <c r="P114" i="1"/>
  <c r="P113" i="1"/>
  <c r="P112" i="1"/>
  <c r="P111" i="1"/>
  <c r="T111" i="1" s="1"/>
  <c r="L111" i="1"/>
  <c r="P110" i="1"/>
  <c r="T110" i="1" s="1"/>
  <c r="L110" i="1"/>
  <c r="P109" i="1"/>
  <c r="T109" i="1" s="1"/>
  <c r="L109" i="1"/>
  <c r="P108" i="1"/>
  <c r="T108" i="1" s="1"/>
  <c r="L108" i="1"/>
  <c r="F107" i="1"/>
  <c r="E107" i="1"/>
  <c r="P107" i="1" s="1"/>
  <c r="P106" i="1"/>
  <c r="T106" i="1" s="1"/>
  <c r="L106" i="1"/>
  <c r="P105" i="1"/>
  <c r="L105" i="1"/>
  <c r="F105" i="1"/>
  <c r="P104" i="1"/>
  <c r="L104" i="1"/>
  <c r="F104" i="1"/>
  <c r="T104" i="1" s="1"/>
  <c r="P103" i="1"/>
  <c r="L103" i="1"/>
  <c r="F103" i="1"/>
  <c r="P102" i="1"/>
  <c r="L102" i="1"/>
  <c r="P101" i="1"/>
  <c r="L101" i="1"/>
  <c r="P100" i="1"/>
  <c r="T100" i="1" s="1"/>
  <c r="L100" i="1"/>
  <c r="P99" i="1"/>
  <c r="T99" i="1" s="1"/>
  <c r="L99" i="1"/>
  <c r="P98" i="1"/>
  <c r="T98" i="1" s="1"/>
  <c r="L98" i="1"/>
  <c r="P97" i="1"/>
  <c r="T97" i="1" s="1"/>
  <c r="L97" i="1"/>
  <c r="P96" i="1"/>
  <c r="T96" i="1" s="1"/>
  <c r="L96" i="1"/>
  <c r="P95" i="1"/>
  <c r="T95" i="1" s="1"/>
  <c r="L95" i="1"/>
  <c r="P94" i="1"/>
  <c r="T94" i="1" s="1"/>
  <c r="L94" i="1"/>
  <c r="P93" i="1"/>
  <c r="Q93" i="1" s="1"/>
  <c r="R93" i="1" s="1"/>
  <c r="L93" i="1"/>
  <c r="P92" i="1"/>
  <c r="L92" i="1"/>
  <c r="P91" i="1"/>
  <c r="T91" i="1" s="1"/>
  <c r="L91" i="1"/>
  <c r="P90" i="1"/>
  <c r="T90" i="1" s="1"/>
  <c r="L90" i="1"/>
  <c r="P89" i="1"/>
  <c r="T89" i="1" s="1"/>
  <c r="L89" i="1"/>
  <c r="P88" i="1"/>
  <c r="T88" i="1" s="1"/>
  <c r="L88" i="1"/>
  <c r="P87" i="1"/>
  <c r="T87" i="1" s="1"/>
  <c r="L87" i="1"/>
  <c r="P86" i="1"/>
  <c r="T86" i="1" s="1"/>
  <c r="L86" i="1"/>
  <c r="P85" i="1"/>
  <c r="T85" i="1" s="1"/>
  <c r="L85" i="1"/>
  <c r="P84" i="1"/>
  <c r="T84" i="1" s="1"/>
  <c r="L84" i="1"/>
  <c r="P83" i="1"/>
  <c r="U83" i="1" s="1"/>
  <c r="L83" i="1"/>
  <c r="P82" i="1"/>
  <c r="Q82" i="1" s="1"/>
  <c r="L82" i="1"/>
  <c r="P81" i="1"/>
  <c r="U81" i="1" s="1"/>
  <c r="L81" i="1"/>
  <c r="P80" i="1"/>
  <c r="T80" i="1" s="1"/>
  <c r="L80" i="1"/>
  <c r="P79" i="1"/>
  <c r="U79" i="1" s="1"/>
  <c r="L79" i="1"/>
  <c r="P78" i="1"/>
  <c r="L78" i="1"/>
  <c r="P77" i="1"/>
  <c r="U77" i="1" s="1"/>
  <c r="L77" i="1"/>
  <c r="P76" i="1"/>
  <c r="L76" i="1"/>
  <c r="P75" i="1"/>
  <c r="L75" i="1"/>
  <c r="P74" i="1"/>
  <c r="L74" i="1"/>
  <c r="P73" i="1"/>
  <c r="L73" i="1"/>
  <c r="P72" i="1"/>
  <c r="Q72" i="1" s="1"/>
  <c r="L72" i="1"/>
  <c r="P71" i="1"/>
  <c r="T71" i="1" s="1"/>
  <c r="L71" i="1"/>
  <c r="P70" i="1"/>
  <c r="L70" i="1"/>
  <c r="P69" i="1"/>
  <c r="L69" i="1"/>
  <c r="P68" i="1"/>
  <c r="Q68" i="1" s="1"/>
  <c r="L68" i="1"/>
  <c r="P67" i="1"/>
  <c r="T67" i="1" s="1"/>
  <c r="L67" i="1"/>
  <c r="P66" i="1"/>
  <c r="T66" i="1" s="1"/>
  <c r="L66" i="1"/>
  <c r="P65" i="1"/>
  <c r="L65" i="1"/>
  <c r="P64" i="1"/>
  <c r="L64" i="1"/>
  <c r="F64" i="1"/>
  <c r="U64" i="1" s="1"/>
  <c r="P63" i="1"/>
  <c r="Q63" i="1" s="1"/>
  <c r="R63" i="1" s="1"/>
  <c r="L63" i="1"/>
  <c r="P62" i="1"/>
  <c r="L62" i="1"/>
  <c r="P61" i="1"/>
  <c r="L61" i="1"/>
  <c r="P60" i="1"/>
  <c r="L60" i="1"/>
  <c r="P59" i="1"/>
  <c r="T59" i="1" s="1"/>
  <c r="L59" i="1"/>
  <c r="P58" i="1"/>
  <c r="L58" i="1"/>
  <c r="P57" i="1"/>
  <c r="Q57" i="1" s="1"/>
  <c r="R57" i="1" s="1"/>
  <c r="L57" i="1"/>
  <c r="P56" i="1"/>
  <c r="T56" i="1" s="1"/>
  <c r="L56" i="1"/>
  <c r="P55" i="1"/>
  <c r="L55" i="1"/>
  <c r="P54" i="1"/>
  <c r="L54" i="1"/>
  <c r="P53" i="1"/>
  <c r="L53" i="1"/>
  <c r="P52" i="1"/>
  <c r="T52" i="1" s="1"/>
  <c r="L52" i="1"/>
  <c r="P51" i="1"/>
  <c r="T51" i="1" s="1"/>
  <c r="L51" i="1"/>
  <c r="P50" i="1"/>
  <c r="L50" i="1"/>
  <c r="P49" i="1"/>
  <c r="Q49" i="1" s="1"/>
  <c r="L49" i="1"/>
  <c r="P48" i="1"/>
  <c r="L48" i="1"/>
  <c r="P47" i="1"/>
  <c r="L47" i="1"/>
  <c r="P46" i="1"/>
  <c r="L46" i="1"/>
  <c r="P45" i="1"/>
  <c r="T45" i="1" s="1"/>
  <c r="L45" i="1"/>
  <c r="P44" i="1"/>
  <c r="L44" i="1"/>
  <c r="P43" i="1"/>
  <c r="Q43" i="1" s="1"/>
  <c r="R43" i="1" s="1"/>
  <c r="L43" i="1"/>
  <c r="P42" i="1"/>
  <c r="L42" i="1"/>
  <c r="P41" i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L33" i="1"/>
  <c r="P32" i="1"/>
  <c r="T32" i="1" s="1"/>
  <c r="L32" i="1"/>
  <c r="P31" i="1"/>
  <c r="L31" i="1"/>
  <c r="P30" i="1"/>
  <c r="T30" i="1" s="1"/>
  <c r="L30" i="1"/>
  <c r="P29" i="1"/>
  <c r="L29" i="1"/>
  <c r="P28" i="1"/>
  <c r="T28" i="1" s="1"/>
  <c r="L28" i="1"/>
  <c r="P27" i="1"/>
  <c r="L27" i="1"/>
  <c r="P26" i="1"/>
  <c r="L26" i="1"/>
  <c r="P25" i="1"/>
  <c r="T25" i="1" s="1"/>
  <c r="L25" i="1"/>
  <c r="P24" i="1"/>
  <c r="T24" i="1" s="1"/>
  <c r="L24" i="1"/>
  <c r="P23" i="1"/>
  <c r="T23" i="1" s="1"/>
  <c r="L23" i="1"/>
  <c r="P22" i="1"/>
  <c r="L22" i="1"/>
  <c r="P21" i="1"/>
  <c r="T21" i="1" s="1"/>
  <c r="L21" i="1"/>
  <c r="P20" i="1"/>
  <c r="L20" i="1"/>
  <c r="P19" i="1"/>
  <c r="T19" i="1" s="1"/>
  <c r="L19" i="1"/>
  <c r="P18" i="1"/>
  <c r="L18" i="1"/>
  <c r="P17" i="1"/>
  <c r="L17" i="1"/>
  <c r="L16" i="1"/>
  <c r="P15" i="1"/>
  <c r="L15" i="1"/>
  <c r="P14" i="1"/>
  <c r="T14" i="1" s="1"/>
  <c r="L14" i="1"/>
  <c r="P13" i="1"/>
  <c r="Q13" i="1" s="1"/>
  <c r="L13" i="1"/>
  <c r="P12" i="1"/>
  <c r="T12" i="1" s="1"/>
  <c r="L12" i="1"/>
  <c r="P11" i="1"/>
  <c r="T11" i="1" s="1"/>
  <c r="L11" i="1"/>
  <c r="P10" i="1"/>
  <c r="T10" i="1" s="1"/>
  <c r="L10" i="1"/>
  <c r="P9" i="1"/>
  <c r="L9" i="1"/>
  <c r="P8" i="1"/>
  <c r="L8" i="1"/>
  <c r="P7" i="1"/>
  <c r="T7" i="1" s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AG13" i="1" l="1"/>
  <c r="T13" i="1"/>
  <c r="T68" i="1"/>
  <c r="AG68" i="1"/>
  <c r="T72" i="1"/>
  <c r="AG72" i="1"/>
  <c r="U75" i="1"/>
  <c r="T75" i="1"/>
  <c r="T82" i="1"/>
  <c r="AG82" i="1"/>
  <c r="AG93" i="1"/>
  <c r="T93" i="1"/>
  <c r="U112" i="1"/>
  <c r="T112" i="1"/>
  <c r="U114" i="1"/>
  <c r="T114" i="1"/>
  <c r="U116" i="1"/>
  <c r="T116" i="1"/>
  <c r="U118" i="1"/>
  <c r="T118" i="1"/>
  <c r="U120" i="1"/>
  <c r="T120" i="1"/>
  <c r="U18" i="1"/>
  <c r="T18" i="1"/>
  <c r="AG43" i="1"/>
  <c r="T43" i="1"/>
  <c r="T49" i="1"/>
  <c r="AG49" i="1"/>
  <c r="U55" i="1"/>
  <c r="T55" i="1"/>
  <c r="T57" i="1"/>
  <c r="AG57" i="1"/>
  <c r="U58" i="1"/>
  <c r="T58" i="1"/>
  <c r="T63" i="1"/>
  <c r="AG63" i="1"/>
  <c r="U103" i="1"/>
  <c r="T103" i="1"/>
  <c r="U105" i="1"/>
  <c r="T105" i="1"/>
  <c r="U113" i="1"/>
  <c r="T113" i="1"/>
  <c r="U115" i="1"/>
  <c r="T115" i="1"/>
  <c r="U117" i="1"/>
  <c r="T117" i="1"/>
  <c r="U119" i="1"/>
  <c r="T119" i="1"/>
  <c r="U121" i="1"/>
  <c r="T121" i="1"/>
  <c r="F5" i="1"/>
  <c r="U85" i="1"/>
  <c r="Q107" i="1"/>
  <c r="R107" i="1" s="1"/>
  <c r="AG107" i="1" s="1"/>
  <c r="U10" i="1"/>
  <c r="U14" i="1"/>
  <c r="Q17" i="1"/>
  <c r="R17" i="1" s="1"/>
  <c r="Q22" i="1"/>
  <c r="U26" i="1"/>
  <c r="Q26" i="1"/>
  <c r="R26" i="1" s="1"/>
  <c r="U30" i="1"/>
  <c r="Q48" i="1"/>
  <c r="R48" i="1" s="1"/>
  <c r="U56" i="1"/>
  <c r="U61" i="1"/>
  <c r="Q61" i="1"/>
  <c r="R61" i="1" s="1"/>
  <c r="Q65" i="1"/>
  <c r="R65" i="1" s="1"/>
  <c r="U12" i="1"/>
  <c r="U16" i="1"/>
  <c r="Q20" i="1"/>
  <c r="U28" i="1"/>
  <c r="U32" i="1"/>
  <c r="Q41" i="1"/>
  <c r="R41" i="1" s="1"/>
  <c r="Q46" i="1"/>
  <c r="R46" i="1" s="1"/>
  <c r="Q50" i="1"/>
  <c r="R50" i="1" s="1"/>
  <c r="U59" i="1"/>
  <c r="Q62" i="1"/>
  <c r="R62" i="1" s="1"/>
  <c r="Q69" i="1"/>
  <c r="R69" i="1" s="1"/>
  <c r="Q74" i="1"/>
  <c r="Q92" i="1"/>
  <c r="R92" i="1" s="1"/>
  <c r="U99" i="1"/>
  <c r="Q101" i="1"/>
  <c r="R101" i="1" s="1"/>
  <c r="U102" i="1"/>
  <c r="Q102" i="1"/>
  <c r="R102" i="1" s="1"/>
  <c r="U6" i="1"/>
  <c r="Q6" i="1"/>
  <c r="R6" i="1" s="1"/>
  <c r="U8" i="1"/>
  <c r="Q8" i="1"/>
  <c r="Q9" i="1"/>
  <c r="R9" i="1" s="1"/>
  <c r="Q15" i="1"/>
  <c r="U19" i="1"/>
  <c r="U21" i="1"/>
  <c r="U23" i="1"/>
  <c r="Q27" i="1"/>
  <c r="R27" i="1" s="1"/>
  <c r="Q29" i="1"/>
  <c r="Q31" i="1"/>
  <c r="U33" i="1"/>
  <c r="Q33" i="1"/>
  <c r="U40" i="1"/>
  <c r="U42" i="1"/>
  <c r="Q42" i="1"/>
  <c r="R42" i="1" s="1"/>
  <c r="U44" i="1"/>
  <c r="Q44" i="1"/>
  <c r="R44" i="1" s="1"/>
  <c r="U47" i="1"/>
  <c r="Q47" i="1"/>
  <c r="U49" i="1"/>
  <c r="U51" i="1"/>
  <c r="U53" i="1"/>
  <c r="Q53" i="1"/>
  <c r="R53" i="1" s="1"/>
  <c r="Q54" i="1"/>
  <c r="Q60" i="1"/>
  <c r="R60" i="1" s="1"/>
  <c r="U63" i="1"/>
  <c r="Q64" i="1"/>
  <c r="U66" i="1"/>
  <c r="U68" i="1"/>
  <c r="U70" i="1"/>
  <c r="Q70" i="1"/>
  <c r="R70" i="1" s="1"/>
  <c r="U73" i="1"/>
  <c r="Q73" i="1"/>
  <c r="R73" i="1" s="1"/>
  <c r="U76" i="1"/>
  <c r="Q76" i="1"/>
  <c r="R76" i="1" s="1"/>
  <c r="Q77" i="1"/>
  <c r="R77" i="1" s="1"/>
  <c r="U78" i="1"/>
  <c r="Q78" i="1"/>
  <c r="Q79" i="1"/>
  <c r="R79" i="1" s="1"/>
  <c r="U80" i="1"/>
  <c r="Q81" i="1"/>
  <c r="R81" i="1" s="1"/>
  <c r="U82" i="1"/>
  <c r="Q83" i="1"/>
  <c r="R83" i="1" s="1"/>
  <c r="U84" i="1"/>
  <c r="U93" i="1"/>
  <c r="U97" i="1"/>
  <c r="U101" i="1"/>
  <c r="U109" i="1"/>
  <c r="E5" i="1"/>
  <c r="U57" i="1"/>
  <c r="U65" i="1"/>
  <c r="U67" i="1"/>
  <c r="U69" i="1"/>
  <c r="U71" i="1"/>
  <c r="U89" i="1"/>
  <c r="U107" i="1"/>
  <c r="P5" i="1"/>
  <c r="U39" i="1"/>
  <c r="U41" i="1"/>
  <c r="U43" i="1"/>
  <c r="U45" i="1"/>
  <c r="U87" i="1"/>
  <c r="U91" i="1"/>
  <c r="U95" i="1"/>
  <c r="U108" i="1"/>
  <c r="U110" i="1"/>
  <c r="U7" i="1"/>
  <c r="U9" i="1"/>
  <c r="U11" i="1"/>
  <c r="U13" i="1"/>
  <c r="U15" i="1"/>
  <c r="U17" i="1"/>
  <c r="U20" i="1"/>
  <c r="U22" i="1"/>
  <c r="U24" i="1"/>
  <c r="U25" i="1"/>
  <c r="U27" i="1"/>
  <c r="U29" i="1"/>
  <c r="U31" i="1"/>
  <c r="U34" i="1"/>
  <c r="U35" i="1"/>
  <c r="U36" i="1"/>
  <c r="U37" i="1"/>
  <c r="U38" i="1"/>
  <c r="U46" i="1"/>
  <c r="U48" i="1"/>
  <c r="U50" i="1"/>
  <c r="U52" i="1"/>
  <c r="U54" i="1"/>
  <c r="U60" i="1"/>
  <c r="U62" i="1"/>
  <c r="U72" i="1"/>
  <c r="U74" i="1"/>
  <c r="U86" i="1"/>
  <c r="U88" i="1"/>
  <c r="U90" i="1"/>
  <c r="U92" i="1"/>
  <c r="U94" i="1"/>
  <c r="U96" i="1"/>
  <c r="U98" i="1"/>
  <c r="U100" i="1"/>
  <c r="U104" i="1"/>
  <c r="U106" i="1"/>
  <c r="L107" i="1"/>
  <c r="L5" i="1" s="1"/>
  <c r="U111" i="1"/>
  <c r="T107" i="1" l="1"/>
  <c r="T78" i="1"/>
  <c r="AG78" i="1"/>
  <c r="T77" i="1"/>
  <c r="AG77" i="1"/>
  <c r="T54" i="1"/>
  <c r="AG54" i="1"/>
  <c r="T33" i="1"/>
  <c r="AG33" i="1"/>
  <c r="AG31" i="1"/>
  <c r="T31" i="1"/>
  <c r="AG27" i="1"/>
  <c r="T27" i="1"/>
  <c r="T15" i="1"/>
  <c r="AG15" i="1"/>
  <c r="T8" i="1"/>
  <c r="AG8" i="1"/>
  <c r="AG6" i="1"/>
  <c r="R5" i="1"/>
  <c r="T6" i="1"/>
  <c r="T102" i="1"/>
  <c r="AG102" i="1"/>
  <c r="AG101" i="1"/>
  <c r="T101" i="1"/>
  <c r="T92" i="1"/>
  <c r="AG92" i="1"/>
  <c r="T69" i="1"/>
  <c r="AG69" i="1"/>
  <c r="T46" i="1"/>
  <c r="AG46" i="1"/>
  <c r="T20" i="1"/>
  <c r="AG20" i="1"/>
  <c r="AG61" i="1"/>
  <c r="T61" i="1"/>
  <c r="AG17" i="1"/>
  <c r="T17" i="1"/>
  <c r="AG83" i="1"/>
  <c r="T83" i="1"/>
  <c r="AG81" i="1"/>
  <c r="T81" i="1"/>
  <c r="AG79" i="1"/>
  <c r="T79" i="1"/>
  <c r="T76" i="1"/>
  <c r="AG76" i="1"/>
  <c r="T73" i="1"/>
  <c r="AG73" i="1"/>
  <c r="T70" i="1"/>
  <c r="AG70" i="1"/>
  <c r="T64" i="1"/>
  <c r="AG64" i="1"/>
  <c r="T60" i="1"/>
  <c r="AG60" i="1"/>
  <c r="AG53" i="1"/>
  <c r="T53" i="1"/>
  <c r="AG47" i="1"/>
  <c r="T47" i="1"/>
  <c r="T44" i="1"/>
  <c r="AG44" i="1"/>
  <c r="T42" i="1"/>
  <c r="AG42" i="1"/>
  <c r="T29" i="1"/>
  <c r="AG29" i="1"/>
  <c r="AG9" i="1"/>
  <c r="T9" i="1"/>
  <c r="T74" i="1"/>
  <c r="AG74" i="1"/>
  <c r="T62" i="1"/>
  <c r="AG62" i="1"/>
  <c r="T50" i="1"/>
  <c r="AG50" i="1"/>
  <c r="T41" i="1"/>
  <c r="AG41" i="1"/>
  <c r="AG65" i="1"/>
  <c r="T65" i="1"/>
  <c r="T48" i="1"/>
  <c r="AG48" i="1"/>
  <c r="T26" i="1"/>
  <c r="AG26" i="1"/>
  <c r="T22" i="1"/>
  <c r="AG22" i="1"/>
  <c r="Q5" i="1"/>
  <c r="AG5" i="1" l="1"/>
</calcChain>
</file>

<file path=xl/sharedStrings.xml><?xml version="1.0" encoding="utf-8"?>
<sst xmlns="http://schemas.openxmlformats.org/spreadsheetml/2006/main" count="507" uniqueCount="197">
  <si>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</si>
  <si>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</si>
  <si>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</si>
  <si>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</si>
  <si>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</si>
  <si>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</si>
  <si>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</si>
  <si>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</si>
  <si>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</si>
  <si>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</si>
  <si>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</si>
  <si>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</si>
  <si>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</si>
  <si>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</si>
  <si>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</si>
  <si>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</si>
  <si>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</si>
  <si>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</si>
  <si>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</si>
  <si>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</si>
  <si>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</si>
  <si>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</si>
  <si>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</si>
  <si>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</si>
  <si>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</si>
  <si>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</si>
  <si>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</si>
  <si>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</si>
  <si>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</si>
  <si>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</si>
  <si>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</si>
  <si>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</si>
  <si>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</si>
  <si>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</si>
  <si>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</si>
  <si>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</si>
  <si>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</si>
  <si>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</si>
  <si>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</si>
  <si>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</si>
  <si>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</si>
  <si>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</si>
  <si>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</si>
  <si>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</si>
  <si>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</si>
  <si>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</si>
  <si>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</si>
  <si>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</si>
  <si>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</si>
  <si>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</si>
  <si>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</si>
  <si>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</si>
  <si>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</si>
  <si>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</si>
  <si>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</si>
  <si>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</si>
  <si>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</si>
  <si>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</si>
  <si>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</si>
  <si>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</si>
  <si>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</si>
  <si>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</si>
  <si>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</si>
  <si>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</si>
  <si>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</si>
  <si>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</si>
  <si>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</si>
  <si>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</si>
  <si>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</si>
  <si>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</si>
  <si>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</si>
  <si>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</si>
  <si>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</si>
  <si>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</si>
  <si>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</si>
  <si>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</si>
  <si>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</si>
  <si>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</si>
  <si>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</si>
  <si>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</si>
  <si>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</si>
  <si>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</si>
  <si>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</si>
  <si>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</si>
  <si>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</si>
  <si>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нужно увеличить продажи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</si>
  <si>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</si>
  <si>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</si>
  <si>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</si>
  <si>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</si>
  <si>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</si>
  <si>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</si>
  <si>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</si>
  <si>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</si>
  <si>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</si>
  <si>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</si>
  <si>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</si>
  <si>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</si>
  <si>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</si>
  <si>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</si>
  <si>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</si>
  <si>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</si>
  <si>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</si>
  <si>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</si>
  <si>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</si>
  <si>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</si>
  <si>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</si>
  <si>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</si>
  <si>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</si>
  <si>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</si>
  <si>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</si>
  <si>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</si>
  <si>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</si>
  <si>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</si>
  <si>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</si>
  <si>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</si>
  <si>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</si>
  <si>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</si>
  <si>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</si>
  <si>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</si>
  <si>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</si>
  <si>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</si>
  <si>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</si>
  <si>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</si>
  <si>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</si>
  <si>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</si>
  <si>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</si>
  <si>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</si>
  <si>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</si>
  <si>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</si>
  <si>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</si>
  <si>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</si>
  <si>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</si>
  <si>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</si>
  <si>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</si>
  <si>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</si>
  <si>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</si>
  <si>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нет потребности / 47кг в уценку (06,08,26)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</si>
  <si>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</si>
  <si>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</si>
  <si>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</si>
  <si>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</si>
  <si>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</si>
  <si>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</si>
  <si>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</si>
  <si>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</si>
  <si>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</si>
  <si>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</si>
  <si>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</si>
  <si>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</si>
  <si>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</si>
  <si>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</si>
  <si>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</si>
  <si>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</si>
  <si>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</si>
  <si>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</si>
  <si>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</si>
  <si>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</si>
  <si>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</si>
  <si>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</si>
  <si>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</si>
  <si>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</si>
  <si>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</si>
  <si>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</si>
  <si>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8014 ДОКТОРСКАЯ ПРЕМИУМ вар п/о(п)</t>
  </si>
  <si>
    <t>БОНУС_6087 СОЧНЫЕ ПМ сос п/о мгс 0,41кг 10шт.  ОСТАНКИНО</t>
  </si>
  <si>
    <t>бонус</t>
  </si>
  <si>
    <t>7514 ЛЮБИТЕЛЬСКАЯ ОСТАНКИНСКАЯ вар п/о в/у  ОСТАНКИНО</t>
  </si>
  <si>
    <t>7518 ТЕЛЯЧЬЯ ГОСТ Останкино вар п/о в/у  ОСТАНКИНО</t>
  </si>
  <si>
    <t>6929 КАРБОНАД ДОМАШНИЙ ПМ к/в кр/к в/у  ОСТАНКИНО</t>
  </si>
  <si>
    <t>0614 ПРАЗДНИЧНАЯ с/к в/с дек.спец.мгс  Останкино</t>
  </si>
  <si>
    <t>7143 БРАУНШВЕЙГСКАЯ ГОСТ с/к в/у 1/220 8шт.</t>
  </si>
  <si>
    <t>7710 КРАКОВСКАЯ ГОСТ п/к н/о мгс 0.3кг</t>
  </si>
  <si>
    <t>7456 САЛЯМИ ФИНСКАЯ Папа может с/к в/у 1/150</t>
  </si>
  <si>
    <t>7386 БАРСЕЛОНА ПМ с/к в/у 1/150  ОСТАНКИНО</t>
  </si>
  <si>
    <t>7344 КОНСЕРВЫ МЯС.ГОВЯДИНА ТУШ. В/С 338г_ЧЗ</t>
  </si>
  <si>
    <t>3 года</t>
  </si>
  <si>
    <t>7345 КОНСЕРВЫ МЯС.СВИНИНА ТУШ. В/С 325г_ЧЗ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</si>
  <si>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</si>
  <si>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</si>
  <si>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</si>
  <si>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ПРАЗДНИЧНАЯ с/к в/с дек.спец.мгс</t>
  </si>
  <si>
    <t>БРАУНШВЕЙГСКАЯ ГОСТ с/к в/у 1/220 8шт.</t>
  </si>
  <si>
    <t>КРАКОВСКАЯ ГОСТ п/к н/о мгс 0.3кг</t>
  </si>
  <si>
    <t>САЛЯМИ ФИНСКАЯ Папа может с/к в/у 1/150</t>
  </si>
  <si>
    <t>БАРСЕЛОНА ПМ с/к в/у 1/150</t>
  </si>
  <si>
    <t>КОНСЕРВЫ МЯС.ГОВЯДИНА ТУШ. В/С 338г_ЧЗ</t>
  </si>
  <si>
    <t>КОНСЕРВЫ МЯС.СВИНИНА ТУШ. В/С 325г_ЧЗ</t>
  </si>
  <si>
    <t>6925 ВЕТЧ.КЛАССИЧЕСКАЯ в/у 0,6кг 8шт.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</si>
  <si>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</si>
  <si>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нужно увеличить продажи / плюсом 5 дней</t>
  </si>
  <si>
    <t>149шт списание сроки (15,07,26)</t>
  </si>
  <si>
    <t>заказ</t>
  </si>
  <si>
    <t>07,09,</t>
  </si>
  <si>
    <t>ТК</t>
  </si>
  <si>
    <t>Титенок</t>
  </si>
  <si>
    <t>с 02,09,26 заказываем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</si>
</sst>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0" fontId="4" fillId="0" borderId="3" xfId="0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0" fillId="6" borderId="1" xfId="0" applyFill="1"/>
    <xf numFmtId="0" fontId="0" fillId="0" borderId="1" xfId="0"/>
    <xf numFmtId="0" fontId="4" fillId="0" borderId="5" xfId="0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7" borderId="5" xfId="0" applyFont="1" applyFill="1" applyBorder="1" applyAlignment="1">
      <alignment horizontal="right" vertical="center"/>
    </xf>
    <xf numFmtId="1" fontId="4" fillId="7" borderId="6" xfId="0" applyNumberFormat="1" applyFont="1" applyFill="1" applyBorder="1" applyAlignment="1">
      <alignment horizontal="right" vertical="center"/>
    </xf>
    <xf numFmtId="0" fontId="4" fillId="7" borderId="6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right" vertical="center"/>
    </xf>
    <xf numFmtId="1" fontId="4" fillId="4" borderId="6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vertical="center"/>
    </xf>
    <xf numFmtId="1" fontId="0" fillId="0" borderId="1" xfId="0" applyNumberFormat="1"/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5" fillId="5" borderId="1" xfId="1" applyNumberFormat="1" applyFon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6" borderId="1" xfId="1" applyNumberFormat="1" applyFont="1" applyFill="1"/>
    <xf numFmtId="164" fontId="6" fillId="8" borderId="1" xfId="1" applyNumberFormat="1" applyFont="1" applyFill="1"/>
    <xf numFmtId="164" fontId="7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4" fontId="1" fillId="0" borderId="1" xfId="1" applyNumberFormat="1" applyFill="1" applyBorder="1"/>
    <xf numFmtId="0" fontId="0" fillId="0" borderId="0" xfId="0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_&#1076;&#1074;%2031,08,26%20&#1084;&#1083;&#1088;&#1089;&#1095;%20&#1086;&#1089;&#1090;%20&#1082;&#1080;%20&#1058;&#1080;&#1090;&#1077;&#1085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31,08,26%20&#1083;&#1075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овинки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31,08,</v>
          </cell>
          <cell r="P4" t="str">
            <v>31,08,</v>
          </cell>
        </row>
        <row r="5">
          <cell r="E5">
            <v>9091.5860000000011</v>
          </cell>
          <cell r="F5">
            <v>8640.1380000000008</v>
          </cell>
          <cell r="K5">
            <v>10564.2</v>
          </cell>
          <cell r="L5">
            <v>-1472.614</v>
          </cell>
          <cell r="M5">
            <v>0</v>
          </cell>
          <cell r="N5">
            <v>0</v>
          </cell>
          <cell r="O5">
            <v>10555</v>
          </cell>
          <cell r="P5">
            <v>1818.3172</v>
          </cell>
          <cell r="Q5">
            <v>9074.5703999999987</v>
          </cell>
          <cell r="R5">
            <v>9770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107</v>
          </cell>
          <cell r="D6">
            <v>248</v>
          </cell>
          <cell r="E6">
            <v>154</v>
          </cell>
          <cell r="F6">
            <v>171</v>
          </cell>
          <cell r="G6">
            <v>0.4</v>
          </cell>
          <cell r="H6">
            <v>60</v>
          </cell>
          <cell r="I6" t="str">
            <v>матрица</v>
          </cell>
          <cell r="K6">
            <v>164</v>
          </cell>
          <cell r="L6">
            <v>-10</v>
          </cell>
          <cell r="O6">
            <v>229</v>
          </cell>
          <cell r="P6">
            <v>30.8</v>
          </cell>
          <cell r="Q6">
            <v>62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102.66500000000001</v>
          </cell>
          <cell r="E7">
            <v>12.542</v>
          </cell>
          <cell r="F7">
            <v>84.704999999999998</v>
          </cell>
          <cell r="G7">
            <v>1</v>
          </cell>
          <cell r="H7">
            <v>120</v>
          </cell>
          <cell r="I7" t="str">
            <v>матрица</v>
          </cell>
          <cell r="K7">
            <v>15.5</v>
          </cell>
          <cell r="L7">
            <v>-2.9580000000000002</v>
          </cell>
          <cell r="O7">
            <v>0</v>
          </cell>
          <cell r="P7">
            <v>2.5084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476</v>
          </cell>
          <cell r="D8">
            <v>32</v>
          </cell>
          <cell r="E8">
            <v>182</v>
          </cell>
          <cell r="F8">
            <v>298</v>
          </cell>
          <cell r="G8">
            <v>0.25</v>
          </cell>
          <cell r="H8">
            <v>120</v>
          </cell>
          <cell r="I8" t="str">
            <v>матрица</v>
          </cell>
          <cell r="K8">
            <v>176</v>
          </cell>
          <cell r="L8">
            <v>6</v>
          </cell>
          <cell r="O8">
            <v>0</v>
          </cell>
          <cell r="P8">
            <v>36.4</v>
          </cell>
          <cell r="Q8">
            <v>248</v>
          </cell>
          <cell r="R8">
            <v>300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245.596</v>
          </cell>
          <cell r="D9">
            <v>40.631</v>
          </cell>
          <cell r="E9">
            <v>137.136</v>
          </cell>
          <cell r="F9">
            <v>122.268</v>
          </cell>
          <cell r="G9">
            <v>1</v>
          </cell>
          <cell r="H9">
            <v>60</v>
          </cell>
          <cell r="I9" t="str">
            <v>матрица</v>
          </cell>
          <cell r="K9">
            <v>149.4</v>
          </cell>
          <cell r="L9">
            <v>-12.26400000000001</v>
          </cell>
          <cell r="O9">
            <v>271</v>
          </cell>
          <cell r="P9">
            <v>27.427199999999999</v>
          </cell>
          <cell r="Q9">
            <v>18.140000000000015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110</v>
          </cell>
          <cell r="E10">
            <v>26.937999999999999</v>
          </cell>
          <cell r="F10">
            <v>81.561000000000007</v>
          </cell>
          <cell r="G10">
            <v>1</v>
          </cell>
          <cell r="H10">
            <v>120</v>
          </cell>
          <cell r="I10" t="str">
            <v>матрица</v>
          </cell>
          <cell r="K10">
            <v>23</v>
          </cell>
          <cell r="L10">
            <v>3.9379999999999988</v>
          </cell>
          <cell r="O10">
            <v>0</v>
          </cell>
          <cell r="P10">
            <v>5.3875999999999999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14.962</v>
          </cell>
          <cell r="E11">
            <v>12.237</v>
          </cell>
          <cell r="F11">
            <v>2.7250000000000001</v>
          </cell>
          <cell r="G11">
            <v>1</v>
          </cell>
          <cell r="H11">
            <v>60</v>
          </cell>
          <cell r="I11" t="str">
            <v>матрица</v>
          </cell>
          <cell r="K11">
            <v>9.9</v>
          </cell>
          <cell r="L11">
            <v>2.3369999999999997</v>
          </cell>
          <cell r="O11">
            <v>49</v>
          </cell>
          <cell r="P11">
            <v>2.4474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251.66</v>
          </cell>
          <cell r="D12">
            <v>78.805000000000007</v>
          </cell>
          <cell r="E12">
            <v>75.328999999999994</v>
          </cell>
          <cell r="F12">
            <v>249.709</v>
          </cell>
          <cell r="G12">
            <v>1</v>
          </cell>
          <cell r="H12">
            <v>60</v>
          </cell>
          <cell r="I12" t="str">
            <v>матрица</v>
          </cell>
          <cell r="K12">
            <v>70.8</v>
          </cell>
          <cell r="L12">
            <v>4.5289999999999964</v>
          </cell>
          <cell r="O12">
            <v>0</v>
          </cell>
          <cell r="P12">
            <v>15.065799999999999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351</v>
          </cell>
          <cell r="D13">
            <v>16</v>
          </cell>
          <cell r="E13">
            <v>153</v>
          </cell>
          <cell r="F13">
            <v>187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149</v>
          </cell>
          <cell r="L13">
            <v>4</v>
          </cell>
          <cell r="O13">
            <v>7</v>
          </cell>
          <cell r="P13">
            <v>30.6</v>
          </cell>
          <cell r="Q13">
            <v>234.40000000000003</v>
          </cell>
          <cell r="R13">
            <v>400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-3.0830000000000002</v>
          </cell>
          <cell r="D14">
            <v>85.475999999999999</v>
          </cell>
          <cell r="E14">
            <v>5.3410000000000002</v>
          </cell>
          <cell r="F14">
            <v>73.004000000000005</v>
          </cell>
          <cell r="G14">
            <v>1</v>
          </cell>
          <cell r="H14">
            <v>60</v>
          </cell>
          <cell r="I14" t="str">
            <v>матрица</v>
          </cell>
          <cell r="K14">
            <v>10.5</v>
          </cell>
          <cell r="L14">
            <v>-5.1589999999999998</v>
          </cell>
          <cell r="O14">
            <v>0</v>
          </cell>
          <cell r="P14">
            <v>1.0682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502</v>
          </cell>
          <cell r="D15">
            <v>32</v>
          </cell>
          <cell r="E15">
            <v>216</v>
          </cell>
          <cell r="F15">
            <v>276</v>
          </cell>
          <cell r="G15">
            <v>0.25</v>
          </cell>
          <cell r="H15">
            <v>120</v>
          </cell>
          <cell r="I15" t="str">
            <v>матрица</v>
          </cell>
          <cell r="K15">
            <v>229</v>
          </cell>
          <cell r="L15">
            <v>-13</v>
          </cell>
          <cell r="O15">
            <v>136</v>
          </cell>
          <cell r="P15">
            <v>43.2</v>
          </cell>
          <cell r="Q15">
            <v>236</v>
          </cell>
          <cell r="R15">
            <v>380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2</v>
          </cell>
          <cell r="D16">
            <v>228</v>
          </cell>
          <cell r="E16">
            <v>18</v>
          </cell>
          <cell r="F16">
            <v>198</v>
          </cell>
          <cell r="G16">
            <v>0.4</v>
          </cell>
          <cell r="H16">
            <v>60</v>
          </cell>
          <cell r="I16" t="str">
            <v>матрица</v>
          </cell>
          <cell r="K16">
            <v>41</v>
          </cell>
          <cell r="L16">
            <v>-23</v>
          </cell>
          <cell r="O16">
            <v>0</v>
          </cell>
          <cell r="P16">
            <v>3.6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234.73500000000001</v>
          </cell>
          <cell r="D17">
            <v>72.088999999999999</v>
          </cell>
          <cell r="E17">
            <v>149.59299999999999</v>
          </cell>
          <cell r="F17">
            <v>140.26599999999999</v>
          </cell>
          <cell r="G17">
            <v>1</v>
          </cell>
          <cell r="H17">
            <v>45</v>
          </cell>
          <cell r="I17" t="str">
            <v>матрица</v>
          </cell>
          <cell r="K17">
            <v>139.5</v>
          </cell>
          <cell r="L17">
            <v>10.092999999999989</v>
          </cell>
          <cell r="O17">
            <v>186</v>
          </cell>
          <cell r="P17">
            <v>29.918599999999998</v>
          </cell>
          <cell r="Q17">
            <v>122.51300000000001</v>
          </cell>
        </row>
        <row r="18">
          <cell r="A18" t="str">
            <v>5679 САЛЯМИ ИТАЛЬЯНСКАЯ с/к в/у 1/150_60с ОСТАНКИНО</v>
          </cell>
          <cell r="B18" t="str">
            <v>шт</v>
          </cell>
          <cell r="C18">
            <v>-1</v>
          </cell>
          <cell r="F18">
            <v>-1</v>
          </cell>
          <cell r="G18">
            <v>0</v>
          </cell>
          <cell r="H18">
            <v>60</v>
          </cell>
          <cell r="I18" t="str">
            <v>не в матрице</v>
          </cell>
          <cell r="L18">
            <v>0</v>
          </cell>
          <cell r="O18">
            <v>0</v>
          </cell>
          <cell r="P18">
            <v>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104.932</v>
          </cell>
          <cell r="D19">
            <v>0.99399999999999999</v>
          </cell>
          <cell r="E19">
            <v>22.631</v>
          </cell>
          <cell r="F19">
            <v>80.790999999999997</v>
          </cell>
          <cell r="G19">
            <v>1</v>
          </cell>
          <cell r="H19">
            <v>120</v>
          </cell>
          <cell r="I19" t="str">
            <v>матрица</v>
          </cell>
          <cell r="K19">
            <v>22.5</v>
          </cell>
          <cell r="L19">
            <v>0.13100000000000023</v>
          </cell>
          <cell r="O19">
            <v>0</v>
          </cell>
          <cell r="P19">
            <v>4.5262000000000002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23</v>
          </cell>
          <cell r="D20">
            <v>200</v>
          </cell>
          <cell r="E20">
            <v>179</v>
          </cell>
          <cell r="F20">
            <v>12</v>
          </cell>
          <cell r="G20">
            <v>0.4</v>
          </cell>
          <cell r="H20">
            <v>45</v>
          </cell>
          <cell r="I20" t="str">
            <v>матрица</v>
          </cell>
          <cell r="K20">
            <v>239</v>
          </cell>
          <cell r="L20">
            <v>-60</v>
          </cell>
          <cell r="O20">
            <v>327</v>
          </cell>
          <cell r="P20">
            <v>35.799999999999997</v>
          </cell>
          <cell r="Q20">
            <v>198</v>
          </cell>
          <cell r="R20">
            <v>300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248.45099999999999</v>
          </cell>
          <cell r="E21">
            <v>34.28</v>
          </cell>
          <cell r="F21">
            <v>206.82599999999999</v>
          </cell>
          <cell r="G21">
            <v>1</v>
          </cell>
          <cell r="H21">
            <v>60</v>
          </cell>
          <cell r="I21" t="str">
            <v>матрица</v>
          </cell>
          <cell r="K21">
            <v>30.3</v>
          </cell>
          <cell r="L21">
            <v>3.9800000000000004</v>
          </cell>
          <cell r="O21">
            <v>0</v>
          </cell>
          <cell r="P21">
            <v>6.8559999999999999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482</v>
          </cell>
          <cell r="D22">
            <v>32</v>
          </cell>
          <cell r="E22">
            <v>245</v>
          </cell>
          <cell r="F22">
            <v>219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261</v>
          </cell>
          <cell r="L22">
            <v>-16</v>
          </cell>
          <cell r="O22">
            <v>200</v>
          </cell>
          <cell r="P22">
            <v>49</v>
          </cell>
          <cell r="Q22">
            <v>316</v>
          </cell>
          <cell r="R22">
            <v>400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28.641999999999999</v>
          </cell>
          <cell r="D23">
            <v>3.806</v>
          </cell>
          <cell r="E23">
            <v>1.6719999999999999</v>
          </cell>
          <cell r="F23">
            <v>30.462</v>
          </cell>
          <cell r="G23">
            <v>1</v>
          </cell>
          <cell r="H23">
            <v>40</v>
          </cell>
          <cell r="I23" t="str">
            <v>матрица</v>
          </cell>
          <cell r="K23">
            <v>1.9</v>
          </cell>
          <cell r="L23">
            <v>-0.22799999999999998</v>
          </cell>
          <cell r="O23">
            <v>5</v>
          </cell>
          <cell r="P23">
            <v>0.33439999999999998</v>
          </cell>
        </row>
        <row r="24">
          <cell r="A24" t="str">
            <v>6208 ДЫМОВИЦА ИЗ ЛОПАТКИ ПМ к/в с/н в/у 1/150  Останкино</v>
          </cell>
          <cell r="B24" t="str">
            <v>шт</v>
          </cell>
          <cell r="C24">
            <v>2</v>
          </cell>
          <cell r="F24">
            <v>2</v>
          </cell>
          <cell r="G24">
            <v>0</v>
          </cell>
          <cell r="H24">
            <v>45</v>
          </cell>
          <cell r="I24" t="str">
            <v>не в матрице</v>
          </cell>
          <cell r="L24">
            <v>0</v>
          </cell>
          <cell r="O24">
            <v>0</v>
          </cell>
          <cell r="P24">
            <v>0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161.69399999999999</v>
          </cell>
          <cell r="E25">
            <v>26.497</v>
          </cell>
          <cell r="F25">
            <v>130.512</v>
          </cell>
          <cell r="G25">
            <v>1</v>
          </cell>
          <cell r="H25">
            <v>60</v>
          </cell>
          <cell r="I25" t="str">
            <v>матрица</v>
          </cell>
          <cell r="K25">
            <v>23.6</v>
          </cell>
          <cell r="L25">
            <v>2.8969999999999985</v>
          </cell>
          <cell r="O25">
            <v>0</v>
          </cell>
          <cell r="P25">
            <v>5.2994000000000003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23</v>
          </cell>
          <cell r="D26">
            <v>90</v>
          </cell>
          <cell r="E26">
            <v>45</v>
          </cell>
          <cell r="F26">
            <v>59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59</v>
          </cell>
          <cell r="L26">
            <v>-14</v>
          </cell>
          <cell r="O26">
            <v>36</v>
          </cell>
          <cell r="P26">
            <v>9</v>
          </cell>
          <cell r="Q26">
            <v>40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76</v>
          </cell>
          <cell r="D27">
            <v>60</v>
          </cell>
          <cell r="E27">
            <v>65</v>
          </cell>
          <cell r="F27">
            <v>66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68</v>
          </cell>
          <cell r="L27">
            <v>-3</v>
          </cell>
          <cell r="O27">
            <v>26</v>
          </cell>
          <cell r="P27">
            <v>13</v>
          </cell>
          <cell r="Q27">
            <v>103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27</v>
          </cell>
          <cell r="E28">
            <v>22</v>
          </cell>
          <cell r="F28">
            <v>5</v>
          </cell>
          <cell r="G28">
            <v>0.15</v>
          </cell>
          <cell r="H28">
            <v>45</v>
          </cell>
          <cell r="I28" t="str">
            <v>матрица</v>
          </cell>
          <cell r="K28">
            <v>136</v>
          </cell>
          <cell r="L28">
            <v>-114</v>
          </cell>
          <cell r="O28">
            <v>233</v>
          </cell>
          <cell r="P28">
            <v>4.4000000000000004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261.50700000000001</v>
          </cell>
          <cell r="D29">
            <v>298.32799999999997</v>
          </cell>
          <cell r="E29">
            <v>261.80399999999997</v>
          </cell>
          <cell r="F29">
            <v>278.584</v>
          </cell>
          <cell r="G29">
            <v>1</v>
          </cell>
          <cell r="H29">
            <v>45</v>
          </cell>
          <cell r="I29" t="str">
            <v>матрица</v>
          </cell>
          <cell r="K29">
            <v>239.5</v>
          </cell>
          <cell r="L29">
            <v>22.303999999999974</v>
          </cell>
          <cell r="O29">
            <v>383</v>
          </cell>
          <cell r="P29">
            <v>52.360799999999998</v>
          </cell>
          <cell r="Q29">
            <v>123.82799999999992</v>
          </cell>
          <cell r="R29">
            <v>250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2</v>
          </cell>
          <cell r="D30">
            <v>184</v>
          </cell>
          <cell r="E30">
            <v>32</v>
          </cell>
          <cell r="F30">
            <v>145</v>
          </cell>
          <cell r="G30">
            <v>0.4</v>
          </cell>
          <cell r="H30">
            <v>60</v>
          </cell>
          <cell r="I30" t="str">
            <v>матрица</v>
          </cell>
          <cell r="K30">
            <v>37</v>
          </cell>
          <cell r="L30">
            <v>-5</v>
          </cell>
          <cell r="O30">
            <v>0</v>
          </cell>
          <cell r="P30">
            <v>6.4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147</v>
          </cell>
          <cell r="D31">
            <v>232</v>
          </cell>
          <cell r="E31">
            <v>286</v>
          </cell>
          <cell r="F31">
            <v>51</v>
          </cell>
          <cell r="G31">
            <v>0.4</v>
          </cell>
          <cell r="H31">
            <v>60</v>
          </cell>
          <cell r="I31" t="str">
            <v>матрица</v>
          </cell>
          <cell r="K31">
            <v>309</v>
          </cell>
          <cell r="L31">
            <v>-23</v>
          </cell>
          <cell r="O31">
            <v>429</v>
          </cell>
          <cell r="P31">
            <v>57.2</v>
          </cell>
          <cell r="Q31">
            <v>378</v>
          </cell>
          <cell r="R31">
            <v>500</v>
          </cell>
        </row>
        <row r="32">
          <cell r="A32" t="str">
            <v>6353 ЭКСТРА Папа может вар п/о 0.4кг 8шт.  ОСТАНКИНО</v>
          </cell>
          <cell r="B32" t="str">
            <v>шт</v>
          </cell>
          <cell r="C32">
            <v>-16</v>
          </cell>
          <cell r="E32">
            <v>-5</v>
          </cell>
          <cell r="F32">
            <v>-16</v>
          </cell>
          <cell r="G32">
            <v>0</v>
          </cell>
          <cell r="H32">
            <v>60</v>
          </cell>
          <cell r="I32" t="str">
            <v>не в матрице</v>
          </cell>
          <cell r="J32" t="str">
            <v>7632 ЭКСТРА Папа может вар п/о 0.4кг 8шт_195к  ОСТАНКИНО</v>
          </cell>
          <cell r="K32">
            <v>105</v>
          </cell>
          <cell r="L32">
            <v>-110</v>
          </cell>
          <cell r="O32">
            <v>0</v>
          </cell>
          <cell r="P32">
            <v>-1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100</v>
          </cell>
          <cell r="D33">
            <v>368</v>
          </cell>
          <cell r="E33">
            <v>229</v>
          </cell>
          <cell r="F33">
            <v>213</v>
          </cell>
          <cell r="G33">
            <v>0.4</v>
          </cell>
          <cell r="H33">
            <v>60</v>
          </cell>
          <cell r="I33" t="str">
            <v>матрица</v>
          </cell>
          <cell r="K33">
            <v>236</v>
          </cell>
          <cell r="L33">
            <v>-7</v>
          </cell>
          <cell r="O33">
            <v>154</v>
          </cell>
          <cell r="P33">
            <v>45.8</v>
          </cell>
          <cell r="Q33">
            <v>320</v>
          </cell>
          <cell r="R33">
            <v>400</v>
          </cell>
        </row>
        <row r="34">
          <cell r="A34" t="str">
            <v>6411 ВЕТЧ.РУБЛЕНАЯ ПМ в/у срез 0.3кг 6шт.  ОСТАНКИНО</v>
          </cell>
          <cell r="B34" t="str">
            <v>шт</v>
          </cell>
          <cell r="C34">
            <v>17</v>
          </cell>
          <cell r="E34">
            <v>10</v>
          </cell>
          <cell r="F34">
            <v>7</v>
          </cell>
          <cell r="G34">
            <v>0</v>
          </cell>
          <cell r="H34">
            <v>45</v>
          </cell>
          <cell r="I34" t="str">
            <v>вывод</v>
          </cell>
          <cell r="K34">
            <v>10</v>
          </cell>
          <cell r="L34">
            <v>0</v>
          </cell>
          <cell r="O34">
            <v>37</v>
          </cell>
          <cell r="P34">
            <v>2</v>
          </cell>
        </row>
        <row r="35">
          <cell r="A35" t="str">
            <v>6454 АРОМАТНАЯ с/к с/н в/у 1/100 10шт.  ОСТАНКИНО</v>
          </cell>
          <cell r="B35" t="str">
            <v>шт</v>
          </cell>
          <cell r="C35">
            <v>-11</v>
          </cell>
          <cell r="F35">
            <v>-11</v>
          </cell>
          <cell r="G35">
            <v>0</v>
          </cell>
          <cell r="H35">
            <v>60</v>
          </cell>
          <cell r="I35" t="str">
            <v>не в матрице</v>
          </cell>
          <cell r="J35" t="str">
            <v>7613 АРОМАТНАЯ с/к с/н в/у 1/100 10шт_Л10  ОСТАНКИНО</v>
          </cell>
          <cell r="K35">
            <v>65</v>
          </cell>
          <cell r="L35">
            <v>-65</v>
          </cell>
          <cell r="O35">
            <v>0</v>
          </cell>
          <cell r="P35">
            <v>0</v>
          </cell>
        </row>
        <row r="36">
          <cell r="A36" t="str">
            <v>6459 СЕРВЕЛАТ ШВЕЙЦАРСК. в/к с/н в/у 1/100*10  Останкино</v>
          </cell>
          <cell r="B36" t="str">
            <v>шт</v>
          </cell>
          <cell r="C36">
            <v>-2</v>
          </cell>
          <cell r="F36">
            <v>-2</v>
          </cell>
          <cell r="G36">
            <v>0</v>
          </cell>
          <cell r="H36">
            <v>45</v>
          </cell>
          <cell r="I36" t="str">
            <v>не в матрице</v>
          </cell>
          <cell r="J36" t="str">
            <v>7608 СЕРВЕЛАТ ШВЕЙЦАРСК.в/к с/н в/у 1/100_Л11  ОСТАНКИНО</v>
          </cell>
          <cell r="K36">
            <v>10</v>
          </cell>
          <cell r="L36">
            <v>-10</v>
          </cell>
          <cell r="O36">
            <v>0</v>
          </cell>
          <cell r="P36">
            <v>0</v>
          </cell>
        </row>
        <row r="37">
          <cell r="A37" t="str">
            <v>6470 ВЕТЧ.МРАМОРНАЯ в/у_45с  ОСТАНКИНО</v>
          </cell>
          <cell r="B37" t="str">
            <v>кг</v>
          </cell>
          <cell r="C37">
            <v>45.584000000000003</v>
          </cell>
          <cell r="F37">
            <v>45.584000000000003</v>
          </cell>
          <cell r="G37">
            <v>0</v>
          </cell>
          <cell r="H37">
            <v>45</v>
          </cell>
          <cell r="I37" t="str">
            <v>не в матрице</v>
          </cell>
          <cell r="K37">
            <v>2.6</v>
          </cell>
          <cell r="L37">
            <v>-2.6</v>
          </cell>
          <cell r="O37">
            <v>0</v>
          </cell>
          <cell r="P37">
            <v>0</v>
          </cell>
        </row>
        <row r="38">
          <cell r="A38" t="str">
            <v>6475 Сосиски Папа может 400г С сыром  ОСТАНКИНО</v>
          </cell>
          <cell r="B38" t="str">
            <v>шт</v>
          </cell>
          <cell r="C38">
            <v>30</v>
          </cell>
          <cell r="F38">
            <v>30</v>
          </cell>
          <cell r="G38">
            <v>0</v>
          </cell>
          <cell r="H38">
            <v>45</v>
          </cell>
          <cell r="I38" t="str">
            <v>не в матрице</v>
          </cell>
          <cell r="K38">
            <v>221</v>
          </cell>
          <cell r="L38">
            <v>-221</v>
          </cell>
          <cell r="O38">
            <v>0</v>
          </cell>
          <cell r="P38">
            <v>0</v>
          </cell>
        </row>
        <row r="39">
          <cell r="A39" t="str">
            <v>6495 ВЕТЧ.МРАМОРНАЯ в/у срез 0,3кг 6шт_45с  Останкино</v>
          </cell>
          <cell r="B39" t="str">
            <v>шт</v>
          </cell>
          <cell r="C39">
            <v>19</v>
          </cell>
          <cell r="E39">
            <v>12</v>
          </cell>
          <cell r="F39">
            <v>7</v>
          </cell>
          <cell r="G39">
            <v>0.3</v>
          </cell>
          <cell r="H39">
            <v>45</v>
          </cell>
          <cell r="I39" t="str">
            <v>матрица</v>
          </cell>
          <cell r="K39">
            <v>20</v>
          </cell>
          <cell r="L39">
            <v>-8</v>
          </cell>
          <cell r="O39">
            <v>45</v>
          </cell>
          <cell r="P39">
            <v>2.4</v>
          </cell>
        </row>
        <row r="40">
          <cell r="A40" t="str">
            <v>6498 МОЛОЧНАЯ Папа может вар п/о  ОСТАНКИНО</v>
          </cell>
          <cell r="B40" t="str">
            <v>кг</v>
          </cell>
          <cell r="C40">
            <v>138.98400000000001</v>
          </cell>
          <cell r="E40">
            <v>52.106000000000002</v>
          </cell>
          <cell r="F40">
            <v>82.888999999999996</v>
          </cell>
          <cell r="G40">
            <v>1</v>
          </cell>
          <cell r="H40">
            <v>60</v>
          </cell>
          <cell r="I40" t="str">
            <v>матрица</v>
          </cell>
          <cell r="K40">
            <v>52.2</v>
          </cell>
          <cell r="L40">
            <v>-9.4000000000001194E-2</v>
          </cell>
          <cell r="O40">
            <v>84</v>
          </cell>
          <cell r="P40">
            <v>10.421200000000001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69.063999999999993</v>
          </cell>
          <cell r="D41">
            <v>113.215</v>
          </cell>
          <cell r="E41">
            <v>55.168999999999997</v>
          </cell>
          <cell r="F41">
            <v>119.71599999999999</v>
          </cell>
          <cell r="G41">
            <v>1</v>
          </cell>
          <cell r="H41">
            <v>45</v>
          </cell>
          <cell r="I41" t="str">
            <v>матрица</v>
          </cell>
          <cell r="K41">
            <v>52</v>
          </cell>
          <cell r="L41">
            <v>3.1689999999999969</v>
          </cell>
          <cell r="O41">
            <v>0</v>
          </cell>
          <cell r="P41">
            <v>11.033799999999999</v>
          </cell>
          <cell r="Q41">
            <v>45.791000000000011</v>
          </cell>
        </row>
        <row r="42">
          <cell r="A42" t="str">
            <v>6550 МЯСНЫЕ Папа может сар б/о мгс 1*3 О 45с  Останкино</v>
          </cell>
          <cell r="B42" t="str">
            <v>кг</v>
          </cell>
          <cell r="C42">
            <v>140.78100000000001</v>
          </cell>
          <cell r="D42">
            <v>69.504000000000005</v>
          </cell>
          <cell r="E42">
            <v>74.841999999999999</v>
          </cell>
          <cell r="F42">
            <v>127.738</v>
          </cell>
          <cell r="G42">
            <v>1</v>
          </cell>
          <cell r="H42">
            <v>45</v>
          </cell>
          <cell r="I42" t="str">
            <v>матрица</v>
          </cell>
          <cell r="K42">
            <v>71</v>
          </cell>
          <cell r="L42">
            <v>3.8419999999999987</v>
          </cell>
          <cell r="O42">
            <v>0</v>
          </cell>
          <cell r="P42">
            <v>14.968399999999999</v>
          </cell>
          <cell r="Q42">
            <v>96.787999999999982</v>
          </cell>
        </row>
        <row r="43">
          <cell r="A43" t="str">
            <v>6608 С ГОВЯДИНОЙ ОРИГИН. сар б/о мгс 1*3_45с  ОСТАНКИНО</v>
          </cell>
          <cell r="B43" t="str">
            <v>кг</v>
          </cell>
          <cell r="C43">
            <v>166.345</v>
          </cell>
          <cell r="E43">
            <v>73.575000000000003</v>
          </cell>
          <cell r="F43">
            <v>81.283000000000001</v>
          </cell>
          <cell r="G43">
            <v>1</v>
          </cell>
          <cell r="H43">
            <v>45</v>
          </cell>
          <cell r="I43" t="str">
            <v>матрица</v>
          </cell>
          <cell r="K43">
            <v>72</v>
          </cell>
          <cell r="L43">
            <v>1.5750000000000028</v>
          </cell>
          <cell r="O43">
            <v>0</v>
          </cell>
          <cell r="P43">
            <v>14.715</v>
          </cell>
          <cell r="Q43">
            <v>124.72699999999999</v>
          </cell>
        </row>
        <row r="44">
          <cell r="A44" t="str">
            <v>6616 МОЛОЧНЫЕ КЛАССИЧЕСКИЕ сос п/о в/у 0,3 кг  Останкино</v>
          </cell>
          <cell r="B44" t="str">
            <v>шт</v>
          </cell>
          <cell r="C44">
            <v>30</v>
          </cell>
          <cell r="D44">
            <v>296</v>
          </cell>
          <cell r="E44">
            <v>244</v>
          </cell>
          <cell r="F44">
            <v>26</v>
          </cell>
          <cell r="G44">
            <v>0.3</v>
          </cell>
          <cell r="H44">
            <v>45</v>
          </cell>
          <cell r="I44" t="str">
            <v>матрица</v>
          </cell>
          <cell r="K44">
            <v>324</v>
          </cell>
          <cell r="L44">
            <v>-80</v>
          </cell>
          <cell r="O44">
            <v>515</v>
          </cell>
          <cell r="P44">
            <v>48.8</v>
          </cell>
          <cell r="Q44">
            <v>191</v>
          </cell>
        </row>
        <row r="45">
          <cell r="A45" t="str">
            <v>6620 РЕБРЫШКИ к/в в/у_30с  Останкино</v>
          </cell>
          <cell r="B45" t="str">
            <v>кг</v>
          </cell>
          <cell r="G45">
            <v>0</v>
          </cell>
          <cell r="I45" t="str">
            <v>матрица</v>
          </cell>
          <cell r="L45">
            <v>0</v>
          </cell>
          <cell r="O45">
            <v>0</v>
          </cell>
          <cell r="P45">
            <v>0</v>
          </cell>
        </row>
        <row r="46">
          <cell r="A46" t="str">
            <v>6661 СОЧНЫЙ ГРИЛЬ ПМ сос п/о мгс 1,5*4_Маяк Останкино</v>
          </cell>
          <cell r="B46" t="str">
            <v>кг</v>
          </cell>
          <cell r="C46">
            <v>111.255</v>
          </cell>
          <cell r="E46">
            <v>70.578999999999994</v>
          </cell>
          <cell r="F46">
            <v>32.878</v>
          </cell>
          <cell r="G46">
            <v>1</v>
          </cell>
          <cell r="H46">
            <v>45</v>
          </cell>
          <cell r="I46" t="str">
            <v>матрица</v>
          </cell>
          <cell r="K46">
            <v>63.5</v>
          </cell>
          <cell r="L46">
            <v>7.0789999999999935</v>
          </cell>
          <cell r="O46">
            <v>93</v>
          </cell>
          <cell r="P46">
            <v>14.115799999999998</v>
          </cell>
          <cell r="Q46">
            <v>85.858999999999966</v>
          </cell>
        </row>
        <row r="47">
          <cell r="A47" t="str">
            <v>6697 СЕРВЕЛАТ ФИНСКИЙ ПМ в/к в/у 0,35кг 8шт  ОСТАНКИНО</v>
          </cell>
          <cell r="B47" t="str">
            <v>шт</v>
          </cell>
          <cell r="C47">
            <v>292.2</v>
          </cell>
          <cell r="D47">
            <v>521</v>
          </cell>
          <cell r="E47">
            <v>355</v>
          </cell>
          <cell r="F47">
            <v>405.2</v>
          </cell>
          <cell r="G47">
            <v>0.35</v>
          </cell>
          <cell r="H47">
            <v>45</v>
          </cell>
          <cell r="I47" t="str">
            <v>матрица</v>
          </cell>
          <cell r="K47">
            <v>369</v>
          </cell>
          <cell r="L47">
            <v>-14</v>
          </cell>
          <cell r="O47">
            <v>257</v>
          </cell>
          <cell r="P47">
            <v>71</v>
          </cell>
          <cell r="Q47">
            <v>402.8</v>
          </cell>
          <cell r="R47">
            <v>520</v>
          </cell>
        </row>
        <row r="48">
          <cell r="A48" t="str">
            <v>6713 СОЧНЫЙ ГРИЛЬ ПМ сос п/о мгс 0,41кг 8 шт.  ОСТАНКИНО</v>
          </cell>
          <cell r="B48" t="str">
            <v>шт</v>
          </cell>
          <cell r="C48">
            <v>4</v>
          </cell>
          <cell r="D48">
            <v>248</v>
          </cell>
          <cell r="E48">
            <v>187</v>
          </cell>
          <cell r="F48">
            <v>55</v>
          </cell>
          <cell r="G48">
            <v>0.41</v>
          </cell>
          <cell r="H48">
            <v>45</v>
          </cell>
          <cell r="I48" t="str">
            <v>матрица</v>
          </cell>
          <cell r="K48">
            <v>216</v>
          </cell>
          <cell r="L48">
            <v>-29</v>
          </cell>
          <cell r="O48">
            <v>333</v>
          </cell>
          <cell r="P48">
            <v>37.4</v>
          </cell>
          <cell r="Q48">
            <v>173</v>
          </cell>
        </row>
        <row r="49">
          <cell r="A49" t="str">
            <v>6724 МОЛОЧНЫЕ ПМ сос п/о мгс 0,41кг 10шт  Останкино</v>
          </cell>
          <cell r="B49" t="str">
            <v>шт</v>
          </cell>
          <cell r="C49">
            <v>111</v>
          </cell>
          <cell r="D49">
            <v>290</v>
          </cell>
          <cell r="E49">
            <v>164</v>
          </cell>
          <cell r="F49">
            <v>212</v>
          </cell>
          <cell r="G49">
            <v>0.41</v>
          </cell>
          <cell r="H49">
            <v>45</v>
          </cell>
          <cell r="I49" t="str">
            <v>матрица</v>
          </cell>
          <cell r="K49">
            <v>164</v>
          </cell>
          <cell r="L49">
            <v>0</v>
          </cell>
          <cell r="O49">
            <v>0</v>
          </cell>
          <cell r="P49">
            <v>32.799999999999997</v>
          </cell>
          <cell r="Q49">
            <v>247.19999999999993</v>
          </cell>
          <cell r="R49">
            <v>300</v>
          </cell>
        </row>
        <row r="50">
          <cell r="A50" t="str">
            <v>6765 РУБЛЕНЫЕ сос ц/о мгс 0,36кг 6шт  Останкино</v>
          </cell>
          <cell r="B50" t="str">
            <v>шт</v>
          </cell>
          <cell r="C50">
            <v>6</v>
          </cell>
          <cell r="D50">
            <v>180</v>
          </cell>
          <cell r="E50">
            <v>124</v>
          </cell>
          <cell r="F50">
            <v>52</v>
          </cell>
          <cell r="G50">
            <v>0.36</v>
          </cell>
          <cell r="H50">
            <v>45</v>
          </cell>
          <cell r="I50" t="str">
            <v>матрица</v>
          </cell>
          <cell r="K50">
            <v>160</v>
          </cell>
          <cell r="L50">
            <v>-36</v>
          </cell>
          <cell r="O50">
            <v>256</v>
          </cell>
          <cell r="P50">
            <v>24.8</v>
          </cell>
          <cell r="Q50">
            <v>64</v>
          </cell>
        </row>
        <row r="51">
          <cell r="A51" t="str">
            <v>6787 СЕРВЕЛАТ КРЕМЛЕВСКИЙ в/к в/у 0,33кг 8шт  Останкино</v>
          </cell>
          <cell r="B51" t="str">
            <v>шт</v>
          </cell>
          <cell r="D51">
            <v>104</v>
          </cell>
          <cell r="E51">
            <v>2</v>
          </cell>
          <cell r="F51">
            <v>98</v>
          </cell>
          <cell r="G51">
            <v>0.33</v>
          </cell>
          <cell r="H51">
            <v>45</v>
          </cell>
          <cell r="I51" t="str">
            <v>матрица</v>
          </cell>
          <cell r="K51">
            <v>12</v>
          </cell>
          <cell r="L51">
            <v>-10</v>
          </cell>
          <cell r="O51">
            <v>0</v>
          </cell>
          <cell r="P51">
            <v>0.4</v>
          </cell>
        </row>
        <row r="52">
          <cell r="A52" t="str">
            <v>6797 С ИНДЕЙКОЙ Папа может вар п/о 0,4кг 8шт. ОСТАНКИНО</v>
          </cell>
          <cell r="B52" t="str">
            <v>шт</v>
          </cell>
          <cell r="C52">
            <v>6</v>
          </cell>
          <cell r="D52">
            <v>232</v>
          </cell>
          <cell r="E52">
            <v>49</v>
          </cell>
          <cell r="F52">
            <v>179</v>
          </cell>
          <cell r="G52">
            <v>0.4</v>
          </cell>
          <cell r="H52">
            <v>60</v>
          </cell>
          <cell r="I52" t="str">
            <v>матрица</v>
          </cell>
          <cell r="K52">
            <v>60</v>
          </cell>
          <cell r="L52">
            <v>-11</v>
          </cell>
          <cell r="O52">
            <v>0</v>
          </cell>
          <cell r="P52">
            <v>9.8000000000000007</v>
          </cell>
        </row>
        <row r="53">
          <cell r="A53" t="str">
            <v>6807 СЕРВЕЛАТ ЕВРОПЕЙСКИЙ в/к в/у 0,33кг 8шт  Останкино</v>
          </cell>
          <cell r="B53" t="str">
            <v>шт</v>
          </cell>
          <cell r="C53">
            <v>65</v>
          </cell>
          <cell r="D53">
            <v>16</v>
          </cell>
          <cell r="E53">
            <v>47</v>
          </cell>
          <cell r="F53">
            <v>30</v>
          </cell>
          <cell r="G53">
            <v>0.33</v>
          </cell>
          <cell r="H53">
            <v>45</v>
          </cell>
          <cell r="I53" t="str">
            <v>матрица</v>
          </cell>
          <cell r="K53">
            <v>48</v>
          </cell>
          <cell r="L53">
            <v>-1</v>
          </cell>
          <cell r="O53">
            <v>65</v>
          </cell>
          <cell r="P53">
            <v>9.4</v>
          </cell>
          <cell r="Q53">
            <v>46</v>
          </cell>
        </row>
        <row r="54">
          <cell r="A54" t="str">
            <v>6829  МОЛОЧНЫЕ КЛАССИЧЕСКИЕ сос п/о мгс 2*4 С  Останккино</v>
          </cell>
          <cell r="B54" t="str">
            <v>кг</v>
          </cell>
          <cell r="C54">
            <v>559.46500000000003</v>
          </cell>
          <cell r="D54">
            <v>52.277000000000001</v>
          </cell>
          <cell r="E54">
            <v>355.22399999999999</v>
          </cell>
          <cell r="F54">
            <v>189.66399999999999</v>
          </cell>
          <cell r="G54">
            <v>1</v>
          </cell>
          <cell r="H54">
            <v>45</v>
          </cell>
          <cell r="I54" t="str">
            <v>матрица</v>
          </cell>
          <cell r="K54">
            <v>342.5</v>
          </cell>
          <cell r="L54">
            <v>12.72399999999999</v>
          </cell>
          <cell r="O54">
            <v>723</v>
          </cell>
          <cell r="P54">
            <v>71.044799999999995</v>
          </cell>
          <cell r="Q54">
            <v>153.00800000000004</v>
          </cell>
          <cell r="R54">
            <v>250</v>
          </cell>
        </row>
        <row r="55">
          <cell r="A55" t="str">
            <v>6834 ПОСОЛЬСКАЯ с/к с/н в/у 1/100 10шт  Останкино</v>
          </cell>
          <cell r="B55" t="str">
            <v>шт</v>
          </cell>
          <cell r="C55">
            <v>-1</v>
          </cell>
          <cell r="F55">
            <v>-1</v>
          </cell>
          <cell r="G55">
            <v>0</v>
          </cell>
          <cell r="H55">
            <v>60</v>
          </cell>
          <cell r="I55" t="str">
            <v>не в матрице</v>
          </cell>
          <cell r="K55">
            <v>10</v>
          </cell>
          <cell r="L55">
            <v>-10</v>
          </cell>
          <cell r="O55">
            <v>0</v>
          </cell>
          <cell r="P55">
            <v>0</v>
          </cell>
        </row>
        <row r="56">
          <cell r="A56" t="str">
            <v>6837 ФИЛЕЙНЫЕ Папа Может сос ц/о мгс 0,4кг  Останкино</v>
          </cell>
          <cell r="B56" t="str">
            <v>шт</v>
          </cell>
          <cell r="C56">
            <v>25</v>
          </cell>
          <cell r="E56">
            <v>8</v>
          </cell>
          <cell r="F56">
            <v>13</v>
          </cell>
          <cell r="G56">
            <v>0.4</v>
          </cell>
          <cell r="H56">
            <v>45</v>
          </cell>
          <cell r="I56" t="str">
            <v>матрица</v>
          </cell>
          <cell r="K56">
            <v>53</v>
          </cell>
          <cell r="L56">
            <v>-45</v>
          </cell>
          <cell r="O56">
            <v>33</v>
          </cell>
          <cell r="P56">
            <v>1.6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C57">
            <v>3.786</v>
          </cell>
          <cell r="D57">
            <v>3.9039999999999999</v>
          </cell>
          <cell r="E57">
            <v>7.7839999999999998</v>
          </cell>
          <cell r="F57">
            <v>-9.4E-2</v>
          </cell>
          <cell r="G57">
            <v>1</v>
          </cell>
          <cell r="H57">
            <v>60</v>
          </cell>
          <cell r="I57" t="str">
            <v>матрица</v>
          </cell>
          <cell r="K57">
            <v>7.6</v>
          </cell>
          <cell r="L57">
            <v>0.18400000000000016</v>
          </cell>
          <cell r="O57">
            <v>0</v>
          </cell>
          <cell r="P57">
            <v>1.5568</v>
          </cell>
          <cell r="Q57">
            <v>12.548399999999999</v>
          </cell>
        </row>
        <row r="58">
          <cell r="A58" t="str">
            <v>6862 ДОМАШНИЙ РЕЦЕПТ СО ШПИК. Коровино вар п/о  Останкино</v>
          </cell>
          <cell r="B58" t="str">
            <v>кг</v>
          </cell>
          <cell r="C58">
            <v>3.8809999999999998</v>
          </cell>
          <cell r="F58">
            <v>3.8809999999999998</v>
          </cell>
          <cell r="G58">
            <v>0</v>
          </cell>
          <cell r="H58">
            <v>60</v>
          </cell>
          <cell r="I58" t="str">
            <v>не в матрице</v>
          </cell>
          <cell r="K58">
            <v>2.2999999999999998</v>
          </cell>
          <cell r="L58">
            <v>-2.2999999999999998</v>
          </cell>
          <cell r="O58">
            <v>0</v>
          </cell>
          <cell r="P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3.5000000000000003E-2</v>
          </cell>
          <cell r="D59">
            <v>84.674999999999997</v>
          </cell>
          <cell r="E59">
            <v>4.5350000000000001</v>
          </cell>
          <cell r="F59">
            <v>80.174999999999997</v>
          </cell>
          <cell r="G59">
            <v>1</v>
          </cell>
          <cell r="H59">
            <v>60</v>
          </cell>
          <cell r="I59" t="str">
            <v>матрица</v>
          </cell>
          <cell r="K59">
            <v>4.3</v>
          </cell>
          <cell r="L59">
            <v>0.23500000000000032</v>
          </cell>
          <cell r="O59">
            <v>0</v>
          </cell>
          <cell r="P59">
            <v>0.90700000000000003</v>
          </cell>
        </row>
        <row r="60">
          <cell r="A60" t="str">
            <v>6967 БУРГУНДИЯ Папа может с/к в/у 1/250 8шт  Останкино</v>
          </cell>
          <cell r="B60" t="str">
            <v>шт</v>
          </cell>
          <cell r="C60">
            <v>2</v>
          </cell>
          <cell r="D60">
            <v>64</v>
          </cell>
          <cell r="E60">
            <v>21</v>
          </cell>
          <cell r="F60">
            <v>44</v>
          </cell>
          <cell r="G60">
            <v>0.25</v>
          </cell>
          <cell r="H60">
            <v>120</v>
          </cell>
          <cell r="I60" t="str">
            <v>матрица</v>
          </cell>
          <cell r="K60">
            <v>21</v>
          </cell>
          <cell r="L60">
            <v>0</v>
          </cell>
          <cell r="O60">
            <v>0</v>
          </cell>
          <cell r="P60">
            <v>4.2</v>
          </cell>
          <cell r="Q60">
            <v>19</v>
          </cell>
        </row>
        <row r="61">
          <cell r="A61" t="str">
            <v>7001 КЛАССИЧЕСКИЕ Папа может сар б/о мгс 1*3  Останкино</v>
          </cell>
          <cell r="B61" t="str">
            <v>кг</v>
          </cell>
          <cell r="C61">
            <v>114.21</v>
          </cell>
          <cell r="D61">
            <v>3.0979999999999999</v>
          </cell>
          <cell r="E61">
            <v>50.363999999999997</v>
          </cell>
          <cell r="F61">
            <v>59.601999999999997</v>
          </cell>
          <cell r="G61">
            <v>1</v>
          </cell>
          <cell r="H61">
            <v>45</v>
          </cell>
          <cell r="I61" t="str">
            <v>матрица</v>
          </cell>
          <cell r="K61">
            <v>47</v>
          </cell>
          <cell r="L61">
            <v>3.3639999999999972</v>
          </cell>
          <cell r="O61">
            <v>51</v>
          </cell>
          <cell r="P61">
            <v>10.072799999999999</v>
          </cell>
          <cell r="Q61">
            <v>40.489999999999988</v>
          </cell>
        </row>
        <row r="62">
          <cell r="A62" t="str">
            <v>7040 С ИНДЕЙКОЙ ПМ сос ц/о в/у 1/270 8шт.  ОСТАНКИНО</v>
          </cell>
          <cell r="B62" t="str">
            <v>шт</v>
          </cell>
          <cell r="C62">
            <v>103</v>
          </cell>
          <cell r="E62">
            <v>89</v>
          </cell>
          <cell r="F62">
            <v>13</v>
          </cell>
          <cell r="G62">
            <v>0.27</v>
          </cell>
          <cell r="I62" t="str">
            <v>матрица</v>
          </cell>
          <cell r="K62">
            <v>133</v>
          </cell>
          <cell r="L62">
            <v>-44</v>
          </cell>
          <cell r="O62">
            <v>107</v>
          </cell>
          <cell r="P62">
            <v>17.8</v>
          </cell>
          <cell r="Q62">
            <v>147</v>
          </cell>
        </row>
        <row r="63">
          <cell r="A63" t="str">
            <v>7059 ШПИКАЧКИ СОЧНЫЕ С БЕК. п/о мгс 0,3кг 60с ОСТАНКИНО</v>
          </cell>
          <cell r="B63" t="str">
            <v>шт</v>
          </cell>
          <cell r="C63">
            <v>104</v>
          </cell>
          <cell r="E63">
            <v>44</v>
          </cell>
          <cell r="F63">
            <v>56</v>
          </cell>
          <cell r="G63">
            <v>0.3</v>
          </cell>
          <cell r="H63">
            <v>60</v>
          </cell>
          <cell r="I63" t="str">
            <v>матрица</v>
          </cell>
          <cell r="K63">
            <v>43</v>
          </cell>
          <cell r="L63">
            <v>1</v>
          </cell>
          <cell r="O63">
            <v>0</v>
          </cell>
          <cell r="P63">
            <v>8.8000000000000007</v>
          </cell>
          <cell r="Q63">
            <v>67.200000000000017</v>
          </cell>
        </row>
        <row r="64">
          <cell r="A64" t="str">
            <v>7066 СОЧНЫЕ ПМ сос п/о мгс 0,41кг 10шт 50с  Останкино</v>
          </cell>
          <cell r="B64" t="str">
            <v>шт</v>
          </cell>
          <cell r="C64">
            <v>132</v>
          </cell>
          <cell r="D64">
            <v>340</v>
          </cell>
          <cell r="E64">
            <v>408</v>
          </cell>
          <cell r="F64">
            <v>33</v>
          </cell>
          <cell r="G64">
            <v>0.41</v>
          </cell>
          <cell r="H64">
            <v>50</v>
          </cell>
          <cell r="I64" t="str">
            <v>матрица</v>
          </cell>
          <cell r="K64">
            <v>449</v>
          </cell>
          <cell r="L64">
            <v>-41</v>
          </cell>
          <cell r="O64">
            <v>629</v>
          </cell>
          <cell r="P64">
            <v>81.599999999999994</v>
          </cell>
          <cell r="Q64">
            <v>562</v>
          </cell>
          <cell r="R64">
            <v>670</v>
          </cell>
        </row>
        <row r="65">
          <cell r="A65" t="str">
            <v>7070 СОЧНЫЕ ПМ сос п/о 1,5*4_А_50с  Останкино</v>
          </cell>
          <cell r="B65" t="str">
            <v>кг</v>
          </cell>
          <cell r="C65">
            <v>433.28800000000001</v>
          </cell>
          <cell r="E65">
            <v>131.32</v>
          </cell>
          <cell r="F65">
            <v>291.18900000000002</v>
          </cell>
          <cell r="G65">
            <v>1</v>
          </cell>
          <cell r="H65">
            <v>50</v>
          </cell>
          <cell r="I65" t="str">
            <v>матрица</v>
          </cell>
          <cell r="K65">
            <v>119.8</v>
          </cell>
          <cell r="L65">
            <v>11.519999999999996</v>
          </cell>
          <cell r="O65">
            <v>0</v>
          </cell>
          <cell r="P65">
            <v>26.263999999999999</v>
          </cell>
          <cell r="Q65">
            <v>102.77099999999996</v>
          </cell>
        </row>
        <row r="66">
          <cell r="A66" t="str">
            <v>7073 МОЛОЧ.ПРЕМИУМ ПМ сос п/о в/у 1/350_50с  Останкино</v>
          </cell>
          <cell r="B66" t="str">
            <v>шт</v>
          </cell>
          <cell r="C66">
            <v>30</v>
          </cell>
          <cell r="D66">
            <v>187</v>
          </cell>
          <cell r="E66">
            <v>36</v>
          </cell>
          <cell r="F66">
            <v>178</v>
          </cell>
          <cell r="G66">
            <v>0.35</v>
          </cell>
          <cell r="H66">
            <v>50</v>
          </cell>
          <cell r="I66" t="str">
            <v>матрица</v>
          </cell>
          <cell r="K66">
            <v>38</v>
          </cell>
          <cell r="L66">
            <v>-2</v>
          </cell>
          <cell r="O66">
            <v>0</v>
          </cell>
          <cell r="P66">
            <v>7.2</v>
          </cell>
        </row>
        <row r="67">
          <cell r="A67" t="str">
            <v>7075 МОЛОЧ.ПРЕМИУМ ПМ сос п/о мгс 1,5*4_О_50с  Останкино</v>
          </cell>
          <cell r="B67" t="str">
            <v>кг</v>
          </cell>
          <cell r="C67">
            <v>20.649000000000001</v>
          </cell>
          <cell r="D67">
            <v>68.177999999999997</v>
          </cell>
          <cell r="E67">
            <v>15.551</v>
          </cell>
          <cell r="F67">
            <v>63.942</v>
          </cell>
          <cell r="G67">
            <v>1</v>
          </cell>
          <cell r="H67">
            <v>50</v>
          </cell>
          <cell r="I67" t="str">
            <v>матрица</v>
          </cell>
          <cell r="K67">
            <v>13.3</v>
          </cell>
          <cell r="L67">
            <v>2.2509999999999994</v>
          </cell>
          <cell r="O67">
            <v>0</v>
          </cell>
          <cell r="P67">
            <v>3.1101999999999999</v>
          </cell>
        </row>
        <row r="68">
          <cell r="A68" t="str">
            <v>7080 СЛИВОЧНЫЕ ПМ сос п/о мгс 0,41кг 10шт 50с  Останкино</v>
          </cell>
          <cell r="B68" t="str">
            <v>шт</v>
          </cell>
          <cell r="C68">
            <v>1</v>
          </cell>
          <cell r="D68">
            <v>340</v>
          </cell>
          <cell r="E68">
            <v>300</v>
          </cell>
          <cell r="F68">
            <v>1</v>
          </cell>
          <cell r="G68">
            <v>0.41</v>
          </cell>
          <cell r="H68">
            <v>50</v>
          </cell>
          <cell r="I68" t="str">
            <v>матрица</v>
          </cell>
          <cell r="K68">
            <v>385</v>
          </cell>
          <cell r="L68">
            <v>-85</v>
          </cell>
          <cell r="O68">
            <v>0</v>
          </cell>
          <cell r="P68">
            <v>60</v>
          </cell>
          <cell r="Q68">
            <v>479</v>
          </cell>
          <cell r="R68">
            <v>600</v>
          </cell>
        </row>
        <row r="69">
          <cell r="A69" t="str">
            <v>7083 СЛИВОЧНЫЕ ПМ сос п/о мгс 1.5*4_А_50с  ОСТАНКИНО</v>
          </cell>
          <cell r="B69" t="str">
            <v>кг</v>
          </cell>
          <cell r="C69">
            <v>208.452</v>
          </cell>
          <cell r="E69">
            <v>121.301</v>
          </cell>
          <cell r="F69">
            <v>81.953000000000003</v>
          </cell>
          <cell r="G69">
            <v>1</v>
          </cell>
          <cell r="H69">
            <v>50</v>
          </cell>
          <cell r="I69" t="str">
            <v>матрица</v>
          </cell>
          <cell r="K69">
            <v>108.8</v>
          </cell>
          <cell r="L69">
            <v>12.501000000000005</v>
          </cell>
          <cell r="O69">
            <v>274</v>
          </cell>
          <cell r="P69">
            <v>24.260200000000001</v>
          </cell>
          <cell r="Q69">
            <v>7.9500000000000171</v>
          </cell>
        </row>
        <row r="70">
          <cell r="A70" t="str">
            <v>7090 СВИНИНА ПО-ДОМ.к/в мл/к в/у 0,3кг_50с  Останкино</v>
          </cell>
          <cell r="B70" t="str">
            <v>шт</v>
          </cell>
          <cell r="C70">
            <v>59</v>
          </cell>
          <cell r="D70">
            <v>170</v>
          </cell>
          <cell r="E70">
            <v>86</v>
          </cell>
          <cell r="F70">
            <v>137</v>
          </cell>
          <cell r="G70">
            <v>0.3</v>
          </cell>
          <cell r="H70">
            <v>50</v>
          </cell>
          <cell r="I70" t="str">
            <v>матрица</v>
          </cell>
          <cell r="K70">
            <v>81</v>
          </cell>
          <cell r="L70">
            <v>5</v>
          </cell>
          <cell r="O70">
            <v>18</v>
          </cell>
          <cell r="P70">
            <v>17.2</v>
          </cell>
          <cell r="Q70">
            <v>103</v>
          </cell>
        </row>
        <row r="71">
          <cell r="A71" t="str">
            <v>7092 БЕКОН Папа может с/к с/н в/у 1/140_50с  Останкино</v>
          </cell>
          <cell r="B71" t="str">
            <v>шт</v>
          </cell>
          <cell r="C71">
            <v>2</v>
          </cell>
          <cell r="F71">
            <v>2</v>
          </cell>
          <cell r="G71">
            <v>0</v>
          </cell>
          <cell r="H71">
            <v>50</v>
          </cell>
          <cell r="I71" t="str">
            <v>не в матрице</v>
          </cell>
          <cell r="L71">
            <v>0</v>
          </cell>
          <cell r="O71">
            <v>0</v>
          </cell>
          <cell r="P71">
            <v>0</v>
          </cell>
        </row>
        <row r="72">
          <cell r="A72" t="str">
            <v>7103 БЕКОН Останкино с/к с/н в/у 1/180_50с  Останкино</v>
          </cell>
          <cell r="B72" t="str">
            <v>шт</v>
          </cell>
          <cell r="C72">
            <v>207</v>
          </cell>
          <cell r="D72">
            <v>20</v>
          </cell>
          <cell r="E72">
            <v>214</v>
          </cell>
          <cell r="F72">
            <v>-8</v>
          </cell>
          <cell r="G72">
            <v>0.18</v>
          </cell>
          <cell r="H72">
            <v>50</v>
          </cell>
          <cell r="I72" t="str">
            <v>матрица</v>
          </cell>
          <cell r="K72">
            <v>239</v>
          </cell>
          <cell r="L72">
            <v>-25</v>
          </cell>
          <cell r="O72">
            <v>281</v>
          </cell>
          <cell r="P72">
            <v>42.8</v>
          </cell>
          <cell r="Q72">
            <v>326.19999999999993</v>
          </cell>
          <cell r="R72">
            <v>450</v>
          </cell>
        </row>
        <row r="73">
          <cell r="A73" t="str">
            <v>7149 БАЛЫКОВАЯ Коровино п/к в/у 0,84кг_50с  Останкино</v>
          </cell>
          <cell r="B73" t="str">
            <v>шт</v>
          </cell>
          <cell r="C73">
            <v>71</v>
          </cell>
          <cell r="E73">
            <v>23</v>
          </cell>
          <cell r="F73">
            <v>45</v>
          </cell>
          <cell r="G73">
            <v>0.84</v>
          </cell>
          <cell r="H73">
            <v>50</v>
          </cell>
          <cell r="I73" t="str">
            <v>матрица</v>
          </cell>
          <cell r="K73">
            <v>21.3</v>
          </cell>
          <cell r="L73">
            <v>1.6999999999999993</v>
          </cell>
          <cell r="O73">
            <v>0</v>
          </cell>
          <cell r="P73">
            <v>4.5999999999999996</v>
          </cell>
          <cell r="Q73">
            <v>24</v>
          </cell>
        </row>
        <row r="74">
          <cell r="A74" t="str">
            <v>7154 СЕРВЕЛАТ ЗЕРНИСТЫЙ ПМ в/к в/у 0,35кг_50с  Останкино</v>
          </cell>
          <cell r="B74" t="str">
            <v>шт</v>
          </cell>
          <cell r="C74">
            <v>319</v>
          </cell>
          <cell r="D74">
            <v>409</v>
          </cell>
          <cell r="E74">
            <v>382</v>
          </cell>
          <cell r="F74">
            <v>295</v>
          </cell>
          <cell r="G74">
            <v>0.35</v>
          </cell>
          <cell r="H74">
            <v>50</v>
          </cell>
          <cell r="I74" t="str">
            <v>матрица</v>
          </cell>
          <cell r="K74">
            <v>388</v>
          </cell>
          <cell r="L74">
            <v>-6</v>
          </cell>
          <cell r="O74">
            <v>411</v>
          </cell>
          <cell r="P74">
            <v>76.400000000000006</v>
          </cell>
          <cell r="Q74">
            <v>440</v>
          </cell>
          <cell r="R74">
            <v>550</v>
          </cell>
        </row>
        <row r="75">
          <cell r="A75" t="str">
            <v>7156 СЕРВЕЛАТ КОПЧ.НА БУКЕ в/к в/у 0.35кг_50с</v>
          </cell>
          <cell r="B75" t="str">
            <v>шт</v>
          </cell>
          <cell r="G75">
            <v>0</v>
          </cell>
          <cell r="I75" t="str">
            <v>матрица</v>
          </cell>
          <cell r="L75">
            <v>0</v>
          </cell>
          <cell r="O75">
            <v>0</v>
          </cell>
          <cell r="P75">
            <v>0</v>
          </cell>
        </row>
        <row r="76">
          <cell r="A76" t="str">
            <v>7157 СЕРВЕЛАТ ЗЕРНИСТЫЙ ПМ в/к в/у_50с  Останкино</v>
          </cell>
          <cell r="B76" t="str">
            <v>кг</v>
          </cell>
          <cell r="C76">
            <v>260.959</v>
          </cell>
          <cell r="D76">
            <v>0.69099999999999995</v>
          </cell>
          <cell r="E76">
            <v>127.342</v>
          </cell>
          <cell r="F76">
            <v>126.91200000000001</v>
          </cell>
          <cell r="G76">
            <v>1</v>
          </cell>
          <cell r="H76">
            <v>50</v>
          </cell>
          <cell r="I76" t="str">
            <v>матрица</v>
          </cell>
          <cell r="K76">
            <v>117.9</v>
          </cell>
          <cell r="L76">
            <v>9.4419999999999931</v>
          </cell>
          <cell r="O76">
            <v>103</v>
          </cell>
          <cell r="P76">
            <v>25.468399999999999</v>
          </cell>
          <cell r="Q76">
            <v>152.114</v>
          </cell>
        </row>
        <row r="77">
          <cell r="A77" t="str">
            <v>7166 СЕРВЕЛАТ ОХОТНИЧИЙ ПМ в/к в/у_50с  Останкино</v>
          </cell>
          <cell r="B77" t="str">
            <v>кг</v>
          </cell>
          <cell r="C77">
            <v>310.69600000000003</v>
          </cell>
          <cell r="D77">
            <v>0.68300000000000005</v>
          </cell>
          <cell r="E77">
            <v>176.131</v>
          </cell>
          <cell r="F77">
            <v>126.282</v>
          </cell>
          <cell r="G77">
            <v>1</v>
          </cell>
          <cell r="H77">
            <v>50</v>
          </cell>
          <cell r="I77" t="str">
            <v>матрица</v>
          </cell>
          <cell r="K77">
            <v>154.69999999999999</v>
          </cell>
          <cell r="L77">
            <v>21.431000000000012</v>
          </cell>
          <cell r="O77">
            <v>285</v>
          </cell>
          <cell r="P77">
            <v>35.226199999999999</v>
          </cell>
          <cell r="Q77">
            <v>117.11100000000003</v>
          </cell>
        </row>
        <row r="78">
          <cell r="A78" t="str">
            <v>7169 СЕРВЕЛАТ ОХОТНИЧИЙ ПМ в/к в/у 0,35кг_50с  Останкино</v>
          </cell>
          <cell r="B78" t="str">
            <v>шт</v>
          </cell>
          <cell r="C78">
            <v>389</v>
          </cell>
          <cell r="D78">
            <v>65</v>
          </cell>
          <cell r="E78">
            <v>367</v>
          </cell>
          <cell r="F78">
            <v>45</v>
          </cell>
          <cell r="G78">
            <v>0.35</v>
          </cell>
          <cell r="H78">
            <v>50</v>
          </cell>
          <cell r="I78" t="str">
            <v>матрица</v>
          </cell>
          <cell r="K78">
            <v>376</v>
          </cell>
          <cell r="L78">
            <v>-9</v>
          </cell>
          <cell r="O78">
            <v>597</v>
          </cell>
          <cell r="P78">
            <v>73.400000000000006</v>
          </cell>
          <cell r="Q78">
            <v>459</v>
          </cell>
          <cell r="R78">
            <v>600</v>
          </cell>
        </row>
        <row r="79">
          <cell r="A79" t="str">
            <v>7187 ГРУДИНКА ПРЕМИУМ к/в мл/к в/у 0,3кг_50с  Останкино</v>
          </cell>
          <cell r="B79" t="str">
            <v>шт</v>
          </cell>
          <cell r="C79">
            <v>34</v>
          </cell>
          <cell r="D79">
            <v>132</v>
          </cell>
          <cell r="E79">
            <v>88</v>
          </cell>
          <cell r="F79">
            <v>71</v>
          </cell>
          <cell r="G79">
            <v>0.3</v>
          </cell>
          <cell r="H79">
            <v>50</v>
          </cell>
          <cell r="I79" t="str">
            <v>матрица</v>
          </cell>
          <cell r="K79">
            <v>99</v>
          </cell>
          <cell r="L79">
            <v>-11</v>
          </cell>
          <cell r="O79">
            <v>107</v>
          </cell>
          <cell r="P79">
            <v>17.600000000000001</v>
          </cell>
          <cell r="Q79">
            <v>86</v>
          </cell>
        </row>
        <row r="80">
          <cell r="A80" t="str">
            <v>7231 КЛАССИЧЕСКАЯ ПМ вар п/о 0,3кг 8 шт_209к  Останкино</v>
          </cell>
          <cell r="B80" t="str">
            <v>шт</v>
          </cell>
          <cell r="D80">
            <v>184</v>
          </cell>
          <cell r="E80">
            <v>38</v>
          </cell>
          <cell r="F80">
            <v>142</v>
          </cell>
          <cell r="G80">
            <v>0.3</v>
          </cell>
          <cell r="H80">
            <v>60</v>
          </cell>
          <cell r="I80" t="str">
            <v>матрица</v>
          </cell>
          <cell r="K80">
            <v>48</v>
          </cell>
          <cell r="L80">
            <v>-10</v>
          </cell>
          <cell r="O80">
            <v>0</v>
          </cell>
          <cell r="P80">
            <v>7.6</v>
          </cell>
        </row>
        <row r="81">
          <cell r="A81" t="str">
            <v>7232 БОЯNСКАЯ ПМ п/к в/у 0,28кг 8шт_209к  Останкино</v>
          </cell>
          <cell r="B81" t="str">
            <v>шт</v>
          </cell>
          <cell r="C81">
            <v>149</v>
          </cell>
          <cell r="D81">
            <v>497</v>
          </cell>
          <cell r="E81">
            <v>293</v>
          </cell>
          <cell r="F81">
            <v>296</v>
          </cell>
          <cell r="G81">
            <v>0.28000000000000003</v>
          </cell>
          <cell r="H81">
            <v>50</v>
          </cell>
          <cell r="I81" t="str">
            <v>матрица</v>
          </cell>
          <cell r="K81">
            <v>304</v>
          </cell>
          <cell r="L81">
            <v>-11</v>
          </cell>
          <cell r="O81">
            <v>375</v>
          </cell>
          <cell r="P81">
            <v>58.6</v>
          </cell>
          <cell r="Q81">
            <v>208</v>
          </cell>
        </row>
        <row r="82">
          <cell r="A82" t="str">
            <v>7236 СЕРВЕЛАТ КАРЕЛЬСКИЙ в/к в/у 0,28кг_209к  Останкино</v>
          </cell>
          <cell r="B82" t="str">
            <v>шт</v>
          </cell>
          <cell r="C82">
            <v>230</v>
          </cell>
          <cell r="D82">
            <v>360</v>
          </cell>
          <cell r="E82">
            <v>326</v>
          </cell>
          <cell r="F82">
            <v>211</v>
          </cell>
          <cell r="G82">
            <v>0.28000000000000003</v>
          </cell>
          <cell r="H82">
            <v>45</v>
          </cell>
          <cell r="I82" t="str">
            <v>матрица</v>
          </cell>
          <cell r="K82">
            <v>332</v>
          </cell>
          <cell r="L82">
            <v>-6</v>
          </cell>
          <cell r="O82">
            <v>206</v>
          </cell>
          <cell r="P82">
            <v>65.2</v>
          </cell>
          <cell r="Q82">
            <v>495.80000000000007</v>
          </cell>
          <cell r="R82">
            <v>600</v>
          </cell>
        </row>
        <row r="83">
          <cell r="A83" t="str">
            <v>7241 САЛЯМИ Папа может п/к в/у 0,28кг ОСТАНКИНО</v>
          </cell>
          <cell r="B83" t="str">
            <v>шт</v>
          </cell>
          <cell r="C83">
            <v>132</v>
          </cell>
          <cell r="D83">
            <v>321</v>
          </cell>
          <cell r="E83">
            <v>279</v>
          </cell>
          <cell r="F83">
            <v>130</v>
          </cell>
          <cell r="G83">
            <v>0.28000000000000003</v>
          </cell>
          <cell r="H83">
            <v>45</v>
          </cell>
          <cell r="I83" t="str">
            <v>матрица</v>
          </cell>
          <cell r="K83">
            <v>295</v>
          </cell>
          <cell r="L83">
            <v>-16</v>
          </cell>
          <cell r="O83">
            <v>321</v>
          </cell>
          <cell r="P83">
            <v>55.8</v>
          </cell>
          <cell r="Q83">
            <v>386</v>
          </cell>
        </row>
        <row r="84">
          <cell r="A84" t="str">
            <v>7255 МЯСНЫЕ С ГОВЯД.ПМ сос п/о мгс 0.4кг 6шт.  ОСТАНКИНО</v>
          </cell>
          <cell r="B84" t="str">
            <v>шт</v>
          </cell>
          <cell r="C84">
            <v>96</v>
          </cell>
          <cell r="D84">
            <v>108</v>
          </cell>
          <cell r="E84">
            <v>201</v>
          </cell>
          <cell r="F84">
            <v>3</v>
          </cell>
          <cell r="G84">
            <v>0.4</v>
          </cell>
          <cell r="H84">
            <v>50</v>
          </cell>
          <cell r="I84" t="str">
            <v>матрица</v>
          </cell>
          <cell r="K84">
            <v>318.5</v>
          </cell>
          <cell r="L84">
            <v>-117.5</v>
          </cell>
          <cell r="O84">
            <v>616</v>
          </cell>
          <cell r="P84">
            <v>40.200000000000003</v>
          </cell>
        </row>
        <row r="85">
          <cell r="A85" t="str">
            <v>7271 МЯСНЫЕ С ГОВЯДИНОЙ ПМ сос п/о мгс 1.5*4  ОСТАНКИНО</v>
          </cell>
          <cell r="B85" t="str">
            <v>кг</v>
          </cell>
          <cell r="C85">
            <v>-6.327</v>
          </cell>
          <cell r="F85">
            <v>-6.327</v>
          </cell>
          <cell r="G85">
            <v>0</v>
          </cell>
          <cell r="H85">
            <v>50</v>
          </cell>
          <cell r="I85" t="str">
            <v>не в матрице</v>
          </cell>
          <cell r="K85">
            <v>9</v>
          </cell>
          <cell r="L85">
            <v>-9</v>
          </cell>
          <cell r="O85">
            <v>0</v>
          </cell>
          <cell r="P85">
            <v>0</v>
          </cell>
        </row>
        <row r="86">
          <cell r="A86" t="str">
            <v>7276 СЛИВОЧНЫЕ ПМ сос п/о мгс 0,3кг 7шт  Останкино</v>
          </cell>
          <cell r="B86" t="str">
            <v>шт</v>
          </cell>
          <cell r="C86">
            <v>-2</v>
          </cell>
          <cell r="F86">
            <v>-2</v>
          </cell>
          <cell r="G86">
            <v>0</v>
          </cell>
          <cell r="H86">
            <v>50</v>
          </cell>
          <cell r="I86" t="str">
            <v>не в матрице</v>
          </cell>
          <cell r="L86">
            <v>0</v>
          </cell>
          <cell r="O86">
            <v>0</v>
          </cell>
          <cell r="P86">
            <v>0</v>
          </cell>
        </row>
        <row r="87">
          <cell r="A87" t="str">
            <v>7288 БАЛЫК с/к с/н в/у 1/100 10шт ОСТАНКИНО</v>
          </cell>
          <cell r="B87" t="str">
            <v>шт</v>
          </cell>
          <cell r="C87">
            <v>-5</v>
          </cell>
          <cell r="F87">
            <v>-5</v>
          </cell>
          <cell r="G87">
            <v>0</v>
          </cell>
          <cell r="H87">
            <v>60</v>
          </cell>
          <cell r="I87" t="str">
            <v>не в матрице</v>
          </cell>
          <cell r="J87" t="str">
            <v>7612 БАЛЫК с/к с/н в/у 1/100 10шт_  ОСТАНКИНО</v>
          </cell>
          <cell r="L87">
            <v>0</v>
          </cell>
          <cell r="O87">
            <v>0</v>
          </cell>
          <cell r="P87">
            <v>0</v>
          </cell>
        </row>
        <row r="88">
          <cell r="A88" t="str">
            <v>7299 НАБОР ДЛЯ ПИЦЦЫ Папа Может с/к в/у  ОСТАНКИНО</v>
          </cell>
          <cell r="B88" t="str">
            <v>кг</v>
          </cell>
          <cell r="C88">
            <v>0.30099999999999999</v>
          </cell>
          <cell r="F88">
            <v>0.30099999999999999</v>
          </cell>
          <cell r="G88">
            <v>0</v>
          </cell>
          <cell r="I88" t="str">
            <v>матрица</v>
          </cell>
          <cell r="L88">
            <v>0</v>
          </cell>
          <cell r="O88">
            <v>0</v>
          </cell>
          <cell r="P88">
            <v>0</v>
          </cell>
        </row>
        <row r="89">
          <cell r="A89" t="str">
            <v>7332 БОЯРСКАЯ ПМ п/к в/у 0,28кг ОСТАНКИНО</v>
          </cell>
          <cell r="B89" t="str">
            <v>шт</v>
          </cell>
          <cell r="C89">
            <v>92</v>
          </cell>
          <cell r="D89">
            <v>288</v>
          </cell>
          <cell r="E89">
            <v>96</v>
          </cell>
          <cell r="F89">
            <v>264</v>
          </cell>
          <cell r="G89">
            <v>0</v>
          </cell>
          <cell r="H89">
            <v>50</v>
          </cell>
          <cell r="I89" t="str">
            <v>вывод</v>
          </cell>
          <cell r="K89">
            <v>91</v>
          </cell>
          <cell r="L89">
            <v>5</v>
          </cell>
          <cell r="O89">
            <v>0</v>
          </cell>
          <cell r="P89">
            <v>19.2</v>
          </cell>
        </row>
        <row r="90">
          <cell r="A90" t="str">
            <v>7333 СЕРВЕЛАТ ОХОТНИЧИЙ ПМ в/к в/у 0,28кг ОСТАНКИНО</v>
          </cell>
          <cell r="B90" t="str">
            <v>шт</v>
          </cell>
          <cell r="C90">
            <v>12</v>
          </cell>
          <cell r="F90">
            <v>12</v>
          </cell>
          <cell r="G90">
            <v>0</v>
          </cell>
          <cell r="H90">
            <v>50</v>
          </cell>
          <cell r="I90" t="str">
            <v>не в матрице</v>
          </cell>
          <cell r="K90">
            <v>5</v>
          </cell>
          <cell r="L90">
            <v>-5</v>
          </cell>
          <cell r="O90">
            <v>0</v>
          </cell>
          <cell r="P90">
            <v>0</v>
          </cell>
        </row>
        <row r="91">
          <cell r="A91" t="str">
            <v>7343 СЕЙЧАС СЕЗОН ПМ вар п/о 0,4кг ОСТАНКИНО</v>
          </cell>
          <cell r="B91" t="str">
            <v>шт</v>
          </cell>
          <cell r="C91">
            <v>8</v>
          </cell>
          <cell r="E91">
            <v>7</v>
          </cell>
          <cell r="F91">
            <v>1</v>
          </cell>
          <cell r="G91">
            <v>0</v>
          </cell>
          <cell r="H91">
            <v>60</v>
          </cell>
          <cell r="I91" t="str">
            <v>не в матрице</v>
          </cell>
          <cell r="K91">
            <v>19</v>
          </cell>
          <cell r="L91">
            <v>-12</v>
          </cell>
          <cell r="O91">
            <v>0</v>
          </cell>
          <cell r="P91">
            <v>1.4</v>
          </cell>
        </row>
        <row r="92">
          <cell r="A92" t="str">
            <v>7382  САЛЯМИ МЕЛКОЗЕРНЕНАЯ с/к в/у1/120 8шт.  ОСТАНКИНО</v>
          </cell>
          <cell r="B92" t="str">
            <v>шт</v>
          </cell>
          <cell r="C92">
            <v>461</v>
          </cell>
          <cell r="D92">
            <v>16</v>
          </cell>
          <cell r="E92">
            <v>227</v>
          </cell>
          <cell r="F92">
            <v>230</v>
          </cell>
          <cell r="G92">
            <v>0.12</v>
          </cell>
          <cell r="H92">
            <v>60</v>
          </cell>
          <cell r="I92" t="str">
            <v>матрица</v>
          </cell>
          <cell r="K92">
            <v>241</v>
          </cell>
          <cell r="L92">
            <v>-14</v>
          </cell>
          <cell r="O92">
            <v>253</v>
          </cell>
          <cell r="P92">
            <v>45.4</v>
          </cell>
          <cell r="Q92">
            <v>198</v>
          </cell>
        </row>
        <row r="93">
          <cell r="A93" t="str">
            <v>7461 ДЛЯ ДЕТЕЙ Папа Может сос п/о мгс 0,33кг ОСТАНКИНО</v>
          </cell>
          <cell r="B93" t="str">
            <v>шт</v>
          </cell>
          <cell r="C93">
            <v>-8</v>
          </cell>
          <cell r="D93">
            <v>9</v>
          </cell>
          <cell r="E93">
            <v>35</v>
          </cell>
          <cell r="F93">
            <v>-42</v>
          </cell>
          <cell r="G93">
            <v>0.33</v>
          </cell>
          <cell r="H93">
            <v>30</v>
          </cell>
          <cell r="I93" t="str">
            <v>матрица</v>
          </cell>
          <cell r="K93">
            <v>49</v>
          </cell>
          <cell r="L93">
            <v>-14</v>
          </cell>
          <cell r="O93">
            <v>69</v>
          </cell>
          <cell r="P93">
            <v>7</v>
          </cell>
          <cell r="Q93">
            <v>57</v>
          </cell>
        </row>
        <row r="94">
          <cell r="A94" t="str">
            <v>7485 РИЕТ МЯСНОЙ С ГРИБАМИ ПМ п/о 1/150</v>
          </cell>
          <cell r="B94" t="str">
            <v>шт</v>
          </cell>
          <cell r="G94">
            <v>0</v>
          </cell>
          <cell r="H94">
            <v>60</v>
          </cell>
          <cell r="I94" t="str">
            <v>матрица</v>
          </cell>
          <cell r="L94">
            <v>0</v>
          </cell>
          <cell r="O94">
            <v>0</v>
          </cell>
          <cell r="P94">
            <v>0</v>
          </cell>
          <cell r="R94">
            <v>150</v>
          </cell>
        </row>
        <row r="95">
          <cell r="A95" t="str">
            <v>7489 СЫРРРВЕЛАТ Папа Может в/к в/у 0,28кг 8шт. ОСТАНКИНО</v>
          </cell>
          <cell r="B95" t="str">
            <v>шт</v>
          </cell>
          <cell r="C95">
            <v>-7</v>
          </cell>
          <cell r="F95">
            <v>-7</v>
          </cell>
          <cell r="G95">
            <v>0</v>
          </cell>
          <cell r="H95">
            <v>45</v>
          </cell>
          <cell r="I95" t="str">
            <v>вывод</v>
          </cell>
          <cell r="L95">
            <v>0</v>
          </cell>
          <cell r="O95">
            <v>0</v>
          </cell>
          <cell r="P95">
            <v>0</v>
          </cell>
        </row>
        <row r="96">
          <cell r="A96" t="str">
            <v>7513 ВОСКРЕСЕНСКАЯ ВЯЛЕНАЯ в/к в/у срез 1/260</v>
          </cell>
          <cell r="B96" t="str">
            <v>шт</v>
          </cell>
          <cell r="G96">
            <v>0</v>
          </cell>
          <cell r="H96">
            <v>45</v>
          </cell>
          <cell r="I96" t="str">
            <v>матрица</v>
          </cell>
          <cell r="L96">
            <v>0</v>
          </cell>
          <cell r="O96">
            <v>0</v>
          </cell>
          <cell r="P96">
            <v>0</v>
          </cell>
          <cell r="R96">
            <v>150</v>
          </cell>
        </row>
        <row r="97">
          <cell r="A97" t="str">
            <v>7516 НОВОМОСКОВСКАЯ в/к в/у срез 0.31кг</v>
          </cell>
          <cell r="B97" t="str">
            <v>шт</v>
          </cell>
          <cell r="G97">
            <v>0</v>
          </cell>
          <cell r="H97">
            <v>45</v>
          </cell>
          <cell r="I97" t="str">
            <v>матрица</v>
          </cell>
          <cell r="L97">
            <v>0</v>
          </cell>
          <cell r="O97">
            <v>0</v>
          </cell>
          <cell r="P97">
            <v>0</v>
          </cell>
          <cell r="R97">
            <v>150</v>
          </cell>
        </row>
        <row r="98">
          <cell r="A98" t="str">
            <v>7523 ГОВЯЖЬЯ Папа Может вар п/о 0,4кг 6шт. ОСТАНКИНО</v>
          </cell>
          <cell r="B98" t="str">
            <v>шт</v>
          </cell>
          <cell r="C98">
            <v>10</v>
          </cell>
          <cell r="D98">
            <v>2</v>
          </cell>
          <cell r="E98">
            <v>12</v>
          </cell>
          <cell r="G98">
            <v>0.4</v>
          </cell>
          <cell r="H98">
            <v>60</v>
          </cell>
          <cell r="I98" t="str">
            <v>матрица</v>
          </cell>
          <cell r="K98">
            <v>12</v>
          </cell>
          <cell r="L98">
            <v>0</v>
          </cell>
          <cell r="O98">
            <v>82</v>
          </cell>
          <cell r="P98">
            <v>2.4</v>
          </cell>
        </row>
        <row r="99">
          <cell r="A99" t="str">
            <v>7539 ДОКТОРСКАЯ ГОСТ вар п/о 0,35кг ОСТАНКИНО</v>
          </cell>
          <cell r="B99" t="str">
            <v>шт</v>
          </cell>
          <cell r="D99">
            <v>176</v>
          </cell>
          <cell r="E99">
            <v>19</v>
          </cell>
          <cell r="F99">
            <v>150</v>
          </cell>
          <cell r="G99">
            <v>0.35</v>
          </cell>
          <cell r="H99">
            <v>60</v>
          </cell>
          <cell r="I99" t="str">
            <v>матрица</v>
          </cell>
          <cell r="K99">
            <v>32</v>
          </cell>
          <cell r="L99">
            <v>-13</v>
          </cell>
          <cell r="O99">
            <v>0</v>
          </cell>
          <cell r="P99">
            <v>3.8</v>
          </cell>
        </row>
        <row r="100">
          <cell r="A100" t="str">
            <v>7562 КРАКОВСКАЯ ГОСТ Останкино п/к н/о мгс</v>
          </cell>
          <cell r="B100" t="str">
            <v>кг</v>
          </cell>
          <cell r="G100">
            <v>0</v>
          </cell>
          <cell r="H100">
            <v>45</v>
          </cell>
          <cell r="I100" t="str">
            <v>матрица</v>
          </cell>
          <cell r="L100">
            <v>0</v>
          </cell>
          <cell r="O100">
            <v>0</v>
          </cell>
          <cell r="P100">
            <v>0</v>
          </cell>
          <cell r="R100">
            <v>150</v>
          </cell>
        </row>
        <row r="101">
          <cell r="A101" t="str">
            <v>7564 Балыковая в/к в/у Останкино Вес  ОСТАНКИНО</v>
          </cell>
          <cell r="B101" t="str">
            <v>кг</v>
          </cell>
          <cell r="C101">
            <v>10.72</v>
          </cell>
          <cell r="E101">
            <v>10.763</v>
          </cell>
          <cell r="F101">
            <v>-4.2999999999999997E-2</v>
          </cell>
          <cell r="G101">
            <v>1</v>
          </cell>
          <cell r="I101" t="str">
            <v>матрица</v>
          </cell>
          <cell r="K101">
            <v>12.5</v>
          </cell>
          <cell r="L101">
            <v>-1.7370000000000001</v>
          </cell>
          <cell r="O101">
            <v>28</v>
          </cell>
          <cell r="P101">
            <v>2.1526000000000001</v>
          </cell>
          <cell r="Q101">
            <v>4.3320000000000016</v>
          </cell>
        </row>
        <row r="102">
          <cell r="A102" t="str">
            <v>7603 БАЛЫКОВАЯ в/к в/у 0.33кг 8шт. ОСТАНКИНО</v>
          </cell>
          <cell r="B102" t="str">
            <v>шт</v>
          </cell>
          <cell r="C102">
            <v>153</v>
          </cell>
          <cell r="D102">
            <v>16</v>
          </cell>
          <cell r="E102">
            <v>128</v>
          </cell>
          <cell r="F102">
            <v>25</v>
          </cell>
          <cell r="G102">
            <v>0.33</v>
          </cell>
          <cell r="H102">
            <v>45</v>
          </cell>
          <cell r="I102" t="str">
            <v>матрица</v>
          </cell>
          <cell r="K102">
            <v>144</v>
          </cell>
          <cell r="L102">
            <v>-16</v>
          </cell>
          <cell r="O102">
            <v>171</v>
          </cell>
          <cell r="P102">
            <v>25.6</v>
          </cell>
          <cell r="Q102">
            <v>188</v>
          </cell>
        </row>
        <row r="103">
          <cell r="A103" t="str">
            <v>7608 СЕРВЕЛАТ ШВЕЙЦАРСК.в/к с/н в/у 1/100_Л11  ОСТАНКИНО</v>
          </cell>
          <cell r="B103" t="str">
            <v>шт</v>
          </cell>
          <cell r="C103">
            <v>1</v>
          </cell>
          <cell r="D103">
            <v>50</v>
          </cell>
          <cell r="E103">
            <v>2</v>
          </cell>
          <cell r="F103">
            <v>46</v>
          </cell>
          <cell r="G103">
            <v>0</v>
          </cell>
          <cell r="H103">
            <v>45</v>
          </cell>
          <cell r="I103" t="str">
            <v>вывод</v>
          </cell>
          <cell r="K103">
            <v>3</v>
          </cell>
          <cell r="L103">
            <v>-1</v>
          </cell>
          <cell r="O103">
            <v>0</v>
          </cell>
          <cell r="P103">
            <v>0.4</v>
          </cell>
        </row>
        <row r="104">
          <cell r="A104" t="str">
            <v>7612 БАЛЫК с/к с/н в/у 1/100 10шт_  ОСТАНКИНО</v>
          </cell>
          <cell r="B104" t="str">
            <v>шт</v>
          </cell>
          <cell r="C104">
            <v>22</v>
          </cell>
          <cell r="D104">
            <v>50</v>
          </cell>
          <cell r="E104">
            <v>26</v>
          </cell>
          <cell r="F104">
            <v>38</v>
          </cell>
          <cell r="G104">
            <v>0</v>
          </cell>
          <cell r="H104">
            <v>60</v>
          </cell>
          <cell r="I104" t="str">
            <v>вывод</v>
          </cell>
          <cell r="K104">
            <v>26</v>
          </cell>
          <cell r="L104">
            <v>0</v>
          </cell>
          <cell r="O104">
            <v>0</v>
          </cell>
          <cell r="P104">
            <v>5.2</v>
          </cell>
        </row>
        <row r="105">
          <cell r="A105" t="str">
            <v>7613 АРОМАТНАЯ с/к с/н в/у 1/100 10шт_Л10  ОСТАНКИНО</v>
          </cell>
          <cell r="B105" t="str">
            <v>шт</v>
          </cell>
          <cell r="C105">
            <v>76</v>
          </cell>
          <cell r="D105">
            <v>80</v>
          </cell>
          <cell r="E105">
            <v>137</v>
          </cell>
          <cell r="F105">
            <v>8</v>
          </cell>
          <cell r="G105">
            <v>0.1</v>
          </cell>
          <cell r="H105">
            <v>60</v>
          </cell>
          <cell r="I105" t="str">
            <v>матрица</v>
          </cell>
          <cell r="K105">
            <v>232</v>
          </cell>
          <cell r="L105">
            <v>-95</v>
          </cell>
          <cell r="O105">
            <v>429</v>
          </cell>
          <cell r="P105">
            <v>27.4</v>
          </cell>
        </row>
        <row r="106">
          <cell r="A106" t="str">
            <v>7616 ЭКСТРА Папа может с/к с/н в/у 1/100_  ОСТАНКИНО</v>
          </cell>
          <cell r="B106" t="str">
            <v>шт</v>
          </cell>
          <cell r="C106">
            <v>48</v>
          </cell>
          <cell r="D106">
            <v>120</v>
          </cell>
          <cell r="E106">
            <v>36</v>
          </cell>
          <cell r="F106">
            <v>118</v>
          </cell>
          <cell r="G106">
            <v>0.1</v>
          </cell>
          <cell r="H106">
            <v>60</v>
          </cell>
          <cell r="I106" t="str">
            <v>матрица</v>
          </cell>
          <cell r="K106">
            <v>115</v>
          </cell>
          <cell r="L106">
            <v>-79</v>
          </cell>
          <cell r="O106">
            <v>0</v>
          </cell>
          <cell r="P106">
            <v>7.2</v>
          </cell>
        </row>
        <row r="107">
          <cell r="A107" t="str">
            <v>7632 ЭКСТРА Папа может вар п/о 0.4кг 8шт_195к  ОСТАНКИНО</v>
          </cell>
          <cell r="B107" t="str">
            <v>шт</v>
          </cell>
          <cell r="C107">
            <v>-44</v>
          </cell>
          <cell r="D107">
            <v>248</v>
          </cell>
          <cell r="E107">
            <v>59</v>
          </cell>
          <cell r="F107">
            <v>115</v>
          </cell>
          <cell r="G107">
            <v>0.4</v>
          </cell>
          <cell r="H107">
            <v>60</v>
          </cell>
          <cell r="I107" t="str">
            <v>матрица</v>
          </cell>
          <cell r="K107">
            <v>72</v>
          </cell>
          <cell r="L107">
            <v>-13</v>
          </cell>
          <cell r="O107">
            <v>0</v>
          </cell>
          <cell r="P107">
            <v>11.8</v>
          </cell>
          <cell r="Q107">
            <v>62</v>
          </cell>
        </row>
        <row r="108">
          <cell r="A108" t="str">
            <v>7647 ХОЧУ ВЕТЧ.ИЗ СВ.ОТРУБА с/н мгс 1/100_Л11  ОСТАНКИНО</v>
          </cell>
          <cell r="B108" t="str">
            <v>шт</v>
          </cell>
          <cell r="E108">
            <v>-3</v>
          </cell>
          <cell r="G108">
            <v>0.1</v>
          </cell>
          <cell r="I108" t="str">
            <v>матрица</v>
          </cell>
          <cell r="K108">
            <v>2</v>
          </cell>
          <cell r="L108">
            <v>-5</v>
          </cell>
          <cell r="O108">
            <v>20</v>
          </cell>
          <cell r="P108">
            <v>-0.6</v>
          </cell>
        </row>
        <row r="109">
          <cell r="A109" t="str">
            <v>7651 ХОЧУ ВЕТЧ.МРАМОР. ПМ с/н мгс 1/100_Л11  ОСТАНКИНО</v>
          </cell>
          <cell r="B109" t="str">
            <v>шт</v>
          </cell>
          <cell r="C109">
            <v>-1</v>
          </cell>
          <cell r="F109">
            <v>-1</v>
          </cell>
          <cell r="G109">
            <v>0.1</v>
          </cell>
          <cell r="I109" t="str">
            <v>матрица</v>
          </cell>
          <cell r="K109">
            <v>10</v>
          </cell>
          <cell r="L109">
            <v>-10</v>
          </cell>
          <cell r="O109">
            <v>10</v>
          </cell>
          <cell r="P109">
            <v>0</v>
          </cell>
        </row>
        <row r="110">
          <cell r="A110" t="str">
            <v>8014 ДОКТОРСКАЯ ПРЕМИУМ вар п/о(п)</v>
          </cell>
          <cell r="B110" t="str">
            <v>кг</v>
          </cell>
          <cell r="G110">
            <v>0</v>
          </cell>
          <cell r="I110" t="str">
            <v>матрица</v>
          </cell>
          <cell r="L110">
            <v>0</v>
          </cell>
          <cell r="O110">
            <v>0</v>
          </cell>
          <cell r="P110">
            <v>0</v>
          </cell>
        </row>
        <row r="111">
          <cell r="A111" t="str">
            <v>БОНУС_6087 СОЧНЫЕ ПМ сос п/о мгс 0,41кг 10шт.  ОСТАНКИНО</v>
          </cell>
          <cell r="B111" t="str">
            <v>шт</v>
          </cell>
          <cell r="C111">
            <v>22</v>
          </cell>
          <cell r="F111">
            <v>22</v>
          </cell>
          <cell r="G111">
            <v>0</v>
          </cell>
          <cell r="I111" t="str">
            <v>бонус</v>
          </cell>
          <cell r="J111" t="str">
            <v>7066 СОЧНЫЕ ПМ сос п/о мгс 0,41кг 10шт 50с  Останкино</v>
          </cell>
          <cell r="L111">
            <v>0</v>
          </cell>
          <cell r="O111">
            <v>0</v>
          </cell>
          <cell r="P111">
            <v>0</v>
          </cell>
        </row>
        <row r="112">
          <cell r="A112" t="str">
            <v>7514 ЛЮБИТЕЛЬСКАЯ ОСТАНКИНСКАЯ вар п/о в/у  ОСТАНКИНО</v>
          </cell>
          <cell r="B112" t="str">
            <v>кг</v>
          </cell>
          <cell r="G112">
            <v>1</v>
          </cell>
          <cell r="H112">
            <v>30</v>
          </cell>
          <cell r="I112" t="str">
            <v>матрица</v>
          </cell>
          <cell r="P112">
            <v>0</v>
          </cell>
          <cell r="Q112">
            <v>10</v>
          </cell>
          <cell r="R112">
            <v>150</v>
          </cell>
        </row>
        <row r="113">
          <cell r="A113" t="str">
            <v>7518 ТЕЛЯЧЬЯ ГОСТ Останкино вар п/о в/у  ОСТАНКИНО</v>
          </cell>
          <cell r="B113" t="str">
            <v>кг</v>
          </cell>
          <cell r="G113">
            <v>1</v>
          </cell>
          <cell r="H113">
            <v>30</v>
          </cell>
          <cell r="I113" t="str">
            <v>матрица</v>
          </cell>
          <cell r="P113">
            <v>0</v>
          </cell>
          <cell r="Q113">
            <v>10</v>
          </cell>
          <cell r="R113">
            <v>150</v>
          </cell>
        </row>
        <row r="114">
          <cell r="A114" t="str">
            <v>6929 КАРБОНАД ДОМАШНИЙ ПМ к/в кр/к в/у  ОСТАНКИНО</v>
          </cell>
          <cell r="B114" t="str">
            <v>кг</v>
          </cell>
          <cell r="G114">
            <v>1</v>
          </cell>
          <cell r="H114">
            <v>45</v>
          </cell>
          <cell r="I114" t="str">
            <v>матрица</v>
          </cell>
          <cell r="P114">
            <v>0</v>
          </cell>
          <cell r="Q114">
            <v>10</v>
          </cell>
          <cell r="R114">
            <v>150</v>
          </cell>
        </row>
        <row r="115">
          <cell r="A115" t="str">
            <v>0614 ПРАЗДНИЧНАЯ с/к в/с дек.спец.мгс  Останкино</v>
          </cell>
          <cell r="B115" t="str">
            <v>кг</v>
          </cell>
          <cell r="G115">
            <v>1</v>
          </cell>
          <cell r="H115">
            <v>120</v>
          </cell>
          <cell r="I115" t="str">
            <v>матрица</v>
          </cell>
          <cell r="P115">
            <v>0</v>
          </cell>
          <cell r="Q115">
            <v>10</v>
          </cell>
          <cell r="R115">
            <v>150</v>
          </cell>
        </row>
        <row r="116">
          <cell r="A116" t="str">
            <v>7143 БРАУНШВЕЙГСКАЯ ГОСТ с/к в/у 1/220 8шт.</v>
          </cell>
          <cell r="B116" t="str">
            <v>шт</v>
          </cell>
          <cell r="G116">
            <v>0.22</v>
          </cell>
          <cell r="H116">
            <v>120</v>
          </cell>
          <cell r="I116" t="str">
            <v>матрица</v>
          </cell>
          <cell r="P116">
            <v>0</v>
          </cell>
          <cell r="Q116">
            <v>40</v>
          </cell>
          <cell r="R116">
            <v>150</v>
          </cell>
        </row>
        <row r="117">
          <cell r="A117" t="str">
            <v>7710 КРАКОВСКАЯ ГОСТ п/к н/о мгс 0.3кг</v>
          </cell>
          <cell r="B117" t="str">
            <v>шт</v>
          </cell>
          <cell r="G117">
            <v>0.3</v>
          </cell>
          <cell r="H117">
            <v>45</v>
          </cell>
          <cell r="I117" t="str">
            <v>матрица</v>
          </cell>
          <cell r="P117">
            <v>0</v>
          </cell>
          <cell r="Q117">
            <v>40</v>
          </cell>
          <cell r="R117">
            <v>150</v>
          </cell>
        </row>
        <row r="118">
          <cell r="A118" t="str">
            <v>7456 САЛЯМИ ФИНСКАЯ Папа может с/к в/у 1/150</v>
          </cell>
          <cell r="B118" t="str">
            <v>шт</v>
          </cell>
          <cell r="G118">
            <v>0.15</v>
          </cell>
          <cell r="H118">
            <v>90</v>
          </cell>
          <cell r="I118" t="str">
            <v>матрица</v>
          </cell>
          <cell r="P118">
            <v>0</v>
          </cell>
          <cell r="Q118">
            <v>40</v>
          </cell>
          <cell r="R118">
            <v>150</v>
          </cell>
        </row>
        <row r="119">
          <cell r="A119" t="str">
            <v>7386 БАРСЕЛОНА ПМ с/к в/у 1/150  ОСТАНКИНО</v>
          </cell>
          <cell r="B119" t="str">
            <v>шт</v>
          </cell>
          <cell r="G119">
            <v>0.15</v>
          </cell>
          <cell r="H119">
            <v>90</v>
          </cell>
          <cell r="I119" t="str">
            <v>матрица</v>
          </cell>
          <cell r="P119">
            <v>0</v>
          </cell>
          <cell r="Q119">
            <v>40</v>
          </cell>
          <cell r="R119">
            <v>150</v>
          </cell>
        </row>
        <row r="120">
          <cell r="A120" t="str">
            <v>7344 КОНСЕРВЫ МЯС.ГОВЯДИНА ТУШ. В/С 338г_ЧЗ</v>
          </cell>
          <cell r="B120" t="str">
            <v>шт</v>
          </cell>
          <cell r="G120">
            <v>0.33800000000000002</v>
          </cell>
          <cell r="H120" t="str">
            <v>3 года</v>
          </cell>
          <cell r="I120" t="str">
            <v>матрица</v>
          </cell>
          <cell r="P120">
            <v>0</v>
          </cell>
          <cell r="Q120">
            <v>50</v>
          </cell>
          <cell r="R120">
            <v>250</v>
          </cell>
        </row>
        <row r="121">
          <cell r="A121" t="str">
            <v>7345 КОНСЕРВЫ МЯС.СВИНИНА ТУШ. В/С 325г_ЧЗ</v>
          </cell>
          <cell r="B121" t="str">
            <v>шт</v>
          </cell>
          <cell r="G121">
            <v>0.32500000000000001</v>
          </cell>
          <cell r="H121" t="str">
            <v>3 года</v>
          </cell>
          <cell r="I121" t="str">
            <v>матрица</v>
          </cell>
          <cell r="P121">
            <v>0</v>
          </cell>
          <cell r="Q121">
            <v>50</v>
          </cell>
          <cell r="R121">
            <v>250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овинки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13326.727999999999</v>
          </cell>
          <cell r="F5">
            <v>22297.967000000004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135</v>
          </cell>
          <cell r="D6">
            <v>181</v>
          </cell>
          <cell r="E6">
            <v>162</v>
          </cell>
          <cell r="F6">
            <v>106</v>
          </cell>
          <cell r="G6">
            <v>0.4</v>
          </cell>
          <cell r="H6">
            <v>60</v>
          </cell>
          <cell r="I6" t="str">
            <v>матрица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14.849</v>
          </cell>
          <cell r="D7">
            <v>38.008000000000003</v>
          </cell>
          <cell r="E7">
            <v>4.97</v>
          </cell>
          <cell r="F7">
            <v>46.28</v>
          </cell>
          <cell r="G7">
            <v>1</v>
          </cell>
          <cell r="H7">
            <v>120</v>
          </cell>
          <cell r="I7" t="str">
            <v>матрица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68</v>
          </cell>
          <cell r="D8">
            <v>78</v>
          </cell>
          <cell r="E8">
            <v>36</v>
          </cell>
          <cell r="F8">
            <v>99</v>
          </cell>
          <cell r="G8">
            <v>0.25</v>
          </cell>
          <cell r="H8">
            <v>120</v>
          </cell>
          <cell r="I8" t="str">
            <v>матрица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638.96500000000003</v>
          </cell>
          <cell r="D9">
            <v>1974.3050000000001</v>
          </cell>
          <cell r="E9">
            <v>942.87699999999995</v>
          </cell>
          <cell r="F9">
            <v>1528.1030000000001</v>
          </cell>
          <cell r="G9">
            <v>1</v>
          </cell>
          <cell r="H9">
            <v>60</v>
          </cell>
          <cell r="I9" t="str">
            <v>матрица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38.613</v>
          </cell>
          <cell r="D10">
            <v>138.83699999999999</v>
          </cell>
          <cell r="E10">
            <v>21.442</v>
          </cell>
          <cell r="F10">
            <v>136.68</v>
          </cell>
          <cell r="G10">
            <v>1</v>
          </cell>
          <cell r="H10">
            <v>120</v>
          </cell>
          <cell r="I10" t="str">
            <v>матрица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143.947</v>
          </cell>
          <cell r="D11">
            <v>450.80900000000003</v>
          </cell>
          <cell r="E11">
            <v>145.267</v>
          </cell>
          <cell r="F11">
            <v>382.46899999999999</v>
          </cell>
          <cell r="G11">
            <v>1</v>
          </cell>
          <cell r="H11">
            <v>60</v>
          </cell>
          <cell r="I11" t="str">
            <v>ВНИМАНИЕ / матрица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298.73200000000003</v>
          </cell>
          <cell r="D12">
            <v>401.62400000000002</v>
          </cell>
          <cell r="E12">
            <v>249.65899999999999</v>
          </cell>
          <cell r="F12">
            <v>361.32299999999998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69</v>
          </cell>
          <cell r="D13">
            <v>81</v>
          </cell>
          <cell r="E13">
            <v>46</v>
          </cell>
          <cell r="F13">
            <v>88</v>
          </cell>
          <cell r="G13">
            <v>0.25</v>
          </cell>
          <cell r="H13">
            <v>120</v>
          </cell>
          <cell r="I13" t="str">
            <v>матрица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85.707999999999998</v>
          </cell>
          <cell r="D14">
            <v>177.40199999999999</v>
          </cell>
          <cell r="E14">
            <v>80.61</v>
          </cell>
          <cell r="F14">
            <v>133.16200000000001</v>
          </cell>
          <cell r="G14">
            <v>1</v>
          </cell>
          <cell r="H14">
            <v>60</v>
          </cell>
          <cell r="I14" t="str">
            <v>матрица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470</v>
          </cell>
          <cell r="D15">
            <v>35</v>
          </cell>
          <cell r="E15">
            <v>165</v>
          </cell>
          <cell r="F15">
            <v>287</v>
          </cell>
          <cell r="G15">
            <v>0.25</v>
          </cell>
          <cell r="H15">
            <v>120</v>
          </cell>
          <cell r="I15" t="str">
            <v>ВНИМАНИЕ / матрица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193</v>
          </cell>
          <cell r="D16">
            <v>89</v>
          </cell>
          <cell r="E16">
            <v>98</v>
          </cell>
          <cell r="F16">
            <v>157</v>
          </cell>
          <cell r="G16">
            <v>0.4</v>
          </cell>
          <cell r="H16">
            <v>60</v>
          </cell>
          <cell r="I16" t="str">
            <v>матрица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159.53100000000001</v>
          </cell>
          <cell r="D17">
            <v>856.96400000000006</v>
          </cell>
          <cell r="E17">
            <v>202.66900000000001</v>
          </cell>
          <cell r="F17">
            <v>677.17600000000004</v>
          </cell>
          <cell r="G17">
            <v>1</v>
          </cell>
          <cell r="H17">
            <v>45</v>
          </cell>
          <cell r="I17" t="str">
            <v>матрица</v>
          </cell>
        </row>
        <row r="18">
          <cell r="A18" t="str">
            <v>5708 ПОСОЛЬСКАЯ Папа может с/к в/у ОСТАНКИНО</v>
          </cell>
          <cell r="B18" t="str">
            <v>кг</v>
          </cell>
          <cell r="C18">
            <v>57.878999999999998</v>
          </cell>
          <cell r="D18">
            <v>116.02800000000001</v>
          </cell>
          <cell r="E18">
            <v>42.738</v>
          </cell>
          <cell r="F18">
            <v>103.31</v>
          </cell>
          <cell r="G18">
            <v>1</v>
          </cell>
          <cell r="H18">
            <v>120</v>
          </cell>
          <cell r="I18" t="str">
            <v>матрица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75</v>
          </cell>
          <cell r="D19">
            <v>141</v>
          </cell>
          <cell r="E19">
            <v>42</v>
          </cell>
          <cell r="F19">
            <v>139</v>
          </cell>
          <cell r="G19">
            <v>0.4</v>
          </cell>
          <cell r="H19">
            <v>45</v>
          </cell>
          <cell r="I19" t="str">
            <v>матрица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2.2450000000000001</v>
          </cell>
          <cell r="D20">
            <v>533.26599999999996</v>
          </cell>
          <cell r="E20">
            <v>204.779</v>
          </cell>
          <cell r="F20">
            <v>255.15199999999999</v>
          </cell>
          <cell r="G20">
            <v>1</v>
          </cell>
          <cell r="H20">
            <v>60</v>
          </cell>
          <cell r="I20" t="str">
            <v>матрица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401</v>
          </cell>
          <cell r="D21">
            <v>689</v>
          </cell>
          <cell r="E21">
            <v>519</v>
          </cell>
          <cell r="F21">
            <v>451</v>
          </cell>
          <cell r="G21">
            <v>0.22</v>
          </cell>
          <cell r="H21">
            <v>120</v>
          </cell>
          <cell r="I21" t="str">
            <v>матрица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8.75</v>
          </cell>
          <cell r="D22">
            <v>72.105999999999995</v>
          </cell>
          <cell r="E22">
            <v>34.171999999999997</v>
          </cell>
          <cell r="F22">
            <v>37.926000000000002</v>
          </cell>
          <cell r="G22">
            <v>1</v>
          </cell>
          <cell r="H22">
            <v>40</v>
          </cell>
          <cell r="I22" t="str">
            <v>матрица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177.82300000000001</v>
          </cell>
          <cell r="D23">
            <v>197.06899999999999</v>
          </cell>
          <cell r="E23">
            <v>135.15299999999999</v>
          </cell>
          <cell r="F23">
            <v>229.42599999999999</v>
          </cell>
          <cell r="G23">
            <v>1</v>
          </cell>
          <cell r="H23">
            <v>60</v>
          </cell>
          <cell r="I23" t="str">
            <v>матрица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517</v>
          </cell>
          <cell r="D24">
            <v>373</v>
          </cell>
          <cell r="E24">
            <v>234</v>
          </cell>
          <cell r="F24">
            <v>569</v>
          </cell>
          <cell r="G24">
            <v>0.09</v>
          </cell>
          <cell r="H24">
            <v>60</v>
          </cell>
          <cell r="I24" t="str">
            <v>матрица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212</v>
          </cell>
          <cell r="D25">
            <v>235</v>
          </cell>
          <cell r="E25">
            <v>174</v>
          </cell>
          <cell r="F25">
            <v>198</v>
          </cell>
          <cell r="G25">
            <v>0.09</v>
          </cell>
          <cell r="H25">
            <v>45</v>
          </cell>
          <cell r="I25" t="str">
            <v>ВНИМАНИЕ / матрица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111</v>
          </cell>
          <cell r="D26">
            <v>233</v>
          </cell>
          <cell r="E26">
            <v>177</v>
          </cell>
          <cell r="F26">
            <v>85</v>
          </cell>
          <cell r="G26">
            <v>0.15</v>
          </cell>
          <cell r="H26">
            <v>45</v>
          </cell>
          <cell r="I26" t="str">
            <v>матрица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C27">
            <v>327.55799999999999</v>
          </cell>
          <cell r="D27">
            <v>961.99599999999998</v>
          </cell>
          <cell r="E27">
            <v>425.48599999999999</v>
          </cell>
          <cell r="F27">
            <v>823.47900000000004</v>
          </cell>
          <cell r="G27">
            <v>1</v>
          </cell>
          <cell r="H27">
            <v>45</v>
          </cell>
          <cell r="I27" t="str">
            <v>матрица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201</v>
          </cell>
          <cell r="D28">
            <v>474</v>
          </cell>
          <cell r="E28">
            <v>167</v>
          </cell>
          <cell r="F28">
            <v>471</v>
          </cell>
          <cell r="G28">
            <v>0.4</v>
          </cell>
          <cell r="H28">
            <v>60</v>
          </cell>
          <cell r="I28" t="str">
            <v>матрица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583</v>
          </cell>
          <cell r="D29">
            <v>235</v>
          </cell>
          <cell r="E29">
            <v>244</v>
          </cell>
          <cell r="F29">
            <v>504</v>
          </cell>
          <cell r="G29">
            <v>0.4</v>
          </cell>
          <cell r="H29">
            <v>60</v>
          </cell>
          <cell r="I29" t="str">
            <v>ВНИМАНИЕ / матрица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138</v>
          </cell>
          <cell r="D30">
            <v>200</v>
          </cell>
          <cell r="E30">
            <v>189</v>
          </cell>
          <cell r="F30">
            <v>80</v>
          </cell>
          <cell r="G30">
            <v>0.4</v>
          </cell>
          <cell r="H30">
            <v>60</v>
          </cell>
          <cell r="I30" t="str">
            <v>ВНИМАНИЕ / матрица</v>
          </cell>
        </row>
        <row r="31">
          <cell r="A31" t="str">
            <v>6495 ВЕТЧ.МРАМОРНАЯ в/у срез 0,3кг 6шт_45с  Останкино</v>
          </cell>
          <cell r="B31" t="str">
            <v>шт</v>
          </cell>
          <cell r="C31">
            <v>94</v>
          </cell>
          <cell r="D31">
            <v>346</v>
          </cell>
          <cell r="E31">
            <v>82</v>
          </cell>
          <cell r="F31">
            <v>323</v>
          </cell>
          <cell r="G31">
            <v>0.3</v>
          </cell>
          <cell r="H31">
            <v>45</v>
          </cell>
          <cell r="I31" t="str">
            <v>матрица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45.198</v>
          </cell>
          <cell r="D32">
            <v>204.26599999999999</v>
          </cell>
          <cell r="E32">
            <v>84.308000000000007</v>
          </cell>
          <cell r="F32">
            <v>140.40600000000001</v>
          </cell>
          <cell r="G32">
            <v>1</v>
          </cell>
          <cell r="H32">
            <v>60</v>
          </cell>
          <cell r="I32" t="str">
            <v>матрица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60.017000000000003</v>
          </cell>
          <cell r="D33">
            <v>168.72200000000001</v>
          </cell>
          <cell r="E33">
            <v>48.082000000000001</v>
          </cell>
          <cell r="F33">
            <v>159.13499999999999</v>
          </cell>
          <cell r="G33">
            <v>1</v>
          </cell>
          <cell r="H33">
            <v>45</v>
          </cell>
          <cell r="I33" t="str">
            <v>матрица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41.41</v>
          </cell>
          <cell r="D34">
            <v>261.245</v>
          </cell>
          <cell r="E34">
            <v>58.374000000000002</v>
          </cell>
          <cell r="F34">
            <v>222.923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6602 БАВАРСКИЕ ПМ сос ц/о мгс 0.35кг 8шт.</v>
          </cell>
          <cell r="B35" t="str">
            <v>шт</v>
          </cell>
          <cell r="G35">
            <v>0</v>
          </cell>
          <cell r="I35" t="str">
            <v>РАЗОВО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134.15899999999999</v>
          </cell>
          <cell r="D36">
            <v>386.22300000000001</v>
          </cell>
          <cell r="E36">
            <v>127.35899999999999</v>
          </cell>
          <cell r="F36">
            <v>364.23200000000003</v>
          </cell>
          <cell r="G36">
            <v>1</v>
          </cell>
          <cell r="H36">
            <v>45</v>
          </cell>
          <cell r="I36" t="str">
            <v>матрица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466</v>
          </cell>
          <cell r="D37">
            <v>708</v>
          </cell>
          <cell r="E37">
            <v>178</v>
          </cell>
          <cell r="F37">
            <v>938</v>
          </cell>
          <cell r="G37">
            <v>0.3</v>
          </cell>
          <cell r="H37">
            <v>45</v>
          </cell>
          <cell r="I37" t="str">
            <v>матрица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-10.231999999999999</v>
          </cell>
          <cell r="D38">
            <v>390.5</v>
          </cell>
          <cell r="E38">
            <v>117.31</v>
          </cell>
          <cell r="F38">
            <v>160.54</v>
          </cell>
          <cell r="G38">
            <v>1</v>
          </cell>
          <cell r="H38">
            <v>30</v>
          </cell>
          <cell r="I38" t="str">
            <v>матрица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47.682000000000002</v>
          </cell>
          <cell r="D39">
            <v>565.16999999999996</v>
          </cell>
          <cell r="E39">
            <v>244.946</v>
          </cell>
          <cell r="F39">
            <v>285.11799999999999</v>
          </cell>
          <cell r="G39">
            <v>1</v>
          </cell>
          <cell r="H39">
            <v>45</v>
          </cell>
          <cell r="I39" t="str">
            <v>матрица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7</v>
          </cell>
          <cell r="D40">
            <v>949</v>
          </cell>
          <cell r="E40">
            <v>231</v>
          </cell>
          <cell r="F40">
            <v>605</v>
          </cell>
          <cell r="G40">
            <v>0.35</v>
          </cell>
          <cell r="H40">
            <v>45</v>
          </cell>
          <cell r="I40" t="str">
            <v>матрица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225</v>
          </cell>
          <cell r="D41">
            <v>361</v>
          </cell>
          <cell r="E41">
            <v>330</v>
          </cell>
          <cell r="F41">
            <v>196</v>
          </cell>
          <cell r="G41">
            <v>0.41</v>
          </cell>
          <cell r="H41">
            <v>45</v>
          </cell>
          <cell r="I41" t="str">
            <v>матрица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87</v>
          </cell>
          <cell r="D42">
            <v>389</v>
          </cell>
          <cell r="E42">
            <v>178</v>
          </cell>
          <cell r="F42">
            <v>249</v>
          </cell>
          <cell r="G42">
            <v>0.41</v>
          </cell>
          <cell r="H42">
            <v>45</v>
          </cell>
          <cell r="I42" t="str">
            <v>матрица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354</v>
          </cell>
          <cell r="D43">
            <v>664</v>
          </cell>
          <cell r="E43">
            <v>175</v>
          </cell>
          <cell r="F43">
            <v>775</v>
          </cell>
          <cell r="G43">
            <v>0.36</v>
          </cell>
          <cell r="H43">
            <v>45</v>
          </cell>
          <cell r="I43" t="str">
            <v>матрица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7</v>
          </cell>
          <cell r="D44">
            <v>76</v>
          </cell>
          <cell r="E44">
            <v>36</v>
          </cell>
          <cell r="F44">
            <v>37</v>
          </cell>
          <cell r="G44">
            <v>0.33</v>
          </cell>
          <cell r="H44">
            <v>45</v>
          </cell>
          <cell r="I44" t="str">
            <v>матрица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-1</v>
          </cell>
          <cell r="D45">
            <v>143</v>
          </cell>
          <cell r="E45">
            <v>69</v>
          </cell>
          <cell r="F45">
            <v>54</v>
          </cell>
          <cell r="G45">
            <v>0.4</v>
          </cell>
          <cell r="H45">
            <v>60</v>
          </cell>
          <cell r="I45" t="str">
            <v>матрица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D46">
            <v>70</v>
          </cell>
          <cell r="E46">
            <v>19</v>
          </cell>
          <cell r="F46">
            <v>42</v>
          </cell>
          <cell r="G46">
            <v>0.33</v>
          </cell>
          <cell r="H46">
            <v>45</v>
          </cell>
          <cell r="I46" t="str">
            <v>матрица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87.215999999999994</v>
          </cell>
          <cell r="D47">
            <v>895.37199999999996</v>
          </cell>
          <cell r="E47">
            <v>313.69</v>
          </cell>
          <cell r="F47">
            <v>471.10399999999998</v>
          </cell>
          <cell r="G47">
            <v>1</v>
          </cell>
          <cell r="H47">
            <v>45</v>
          </cell>
          <cell r="I47" t="str">
            <v>матрица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79</v>
          </cell>
          <cell r="D48">
            <v>266</v>
          </cell>
          <cell r="E48">
            <v>33</v>
          </cell>
          <cell r="F48">
            <v>276</v>
          </cell>
          <cell r="G48">
            <v>0.4</v>
          </cell>
          <cell r="H48">
            <v>45</v>
          </cell>
          <cell r="I48" t="str">
            <v>матрица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31.577000000000002</v>
          </cell>
          <cell r="D49">
            <v>1.835</v>
          </cell>
          <cell r="E49">
            <v>17.678999999999998</v>
          </cell>
          <cell r="F49">
            <v>13.782999999999999</v>
          </cell>
          <cell r="G49">
            <v>1</v>
          </cell>
          <cell r="H49">
            <v>60</v>
          </cell>
          <cell r="I49" t="str">
            <v>матрица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25.46</v>
          </cell>
          <cell r="D50">
            <v>71.484999999999999</v>
          </cell>
          <cell r="E50">
            <v>21.145</v>
          </cell>
          <cell r="F50">
            <v>65.77</v>
          </cell>
          <cell r="G50">
            <v>1</v>
          </cell>
          <cell r="H50">
            <v>60</v>
          </cell>
          <cell r="I50" t="str">
            <v>матрица</v>
          </cell>
        </row>
        <row r="51">
          <cell r="A51" t="str">
            <v>6967 БУРГУНДИЯ Папа может с/к в/у 1/250 8шт  Останкино</v>
          </cell>
          <cell r="B51" t="str">
            <v>шт</v>
          </cell>
          <cell r="C51">
            <v>58</v>
          </cell>
          <cell r="D51">
            <v>26</v>
          </cell>
          <cell r="E51">
            <v>41</v>
          </cell>
          <cell r="F51">
            <v>27</v>
          </cell>
          <cell r="G51">
            <v>0.25</v>
          </cell>
          <cell r="H51">
            <v>120</v>
          </cell>
          <cell r="I51" t="str">
            <v>матрица</v>
          </cell>
        </row>
        <row r="52">
          <cell r="A52" t="str">
            <v>7001 КЛАССИЧЕСКИЕ Папа может сар б/о мгс 1*3  Останкино</v>
          </cell>
          <cell r="B52" t="str">
            <v>кг</v>
          </cell>
          <cell r="C52">
            <v>43.335000000000001</v>
          </cell>
          <cell r="D52">
            <v>59.648000000000003</v>
          </cell>
          <cell r="E52">
            <v>42.353999999999999</v>
          </cell>
          <cell r="F52">
            <v>50.994999999999997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7040 С ИНДЕЙКОЙ ПМ сос ц/о в/у 1/270 8шт.  ОСТАНКИНО</v>
          </cell>
          <cell r="B53" t="str">
            <v>шт</v>
          </cell>
          <cell r="C53">
            <v>1</v>
          </cell>
          <cell r="D53">
            <v>176</v>
          </cell>
          <cell r="E53">
            <v>81</v>
          </cell>
          <cell r="F53">
            <v>89</v>
          </cell>
          <cell r="G53">
            <v>0.27</v>
          </cell>
          <cell r="I53" t="str">
            <v>матрица</v>
          </cell>
        </row>
        <row r="54">
          <cell r="A54" t="str">
            <v>7059 ШПИКАЧКИ СОЧНЫЕ С БЕК. п/о мгс 0,3кг 60с ОСТАНКИНО</v>
          </cell>
          <cell r="B54" t="str">
            <v>шт</v>
          </cell>
          <cell r="D54">
            <v>86</v>
          </cell>
          <cell r="E54">
            <v>-1</v>
          </cell>
          <cell r="G54">
            <v>0.3</v>
          </cell>
          <cell r="H54">
            <v>60</v>
          </cell>
          <cell r="I54" t="str">
            <v>матрица</v>
          </cell>
        </row>
        <row r="55">
          <cell r="A55" t="str">
            <v>7066 СОЧНЫЕ ПМ сос п/о мгс 0,41кг 10шт 50с  Останкино</v>
          </cell>
          <cell r="B55" t="str">
            <v>шт</v>
          </cell>
          <cell r="C55">
            <v>442</v>
          </cell>
          <cell r="D55">
            <v>935</v>
          </cell>
          <cell r="E55">
            <v>649</v>
          </cell>
          <cell r="F55">
            <v>484</v>
          </cell>
          <cell r="G55">
            <v>0.41</v>
          </cell>
          <cell r="H55">
            <v>50</v>
          </cell>
          <cell r="I55" t="str">
            <v>ВНИМАНИЕ / матрица</v>
          </cell>
        </row>
        <row r="56">
          <cell r="A56" t="str">
            <v>7070 СОЧНЫЕ ПМ сос п/о 1,5*4_А_50с  Останкино</v>
          </cell>
          <cell r="B56" t="str">
            <v>кг</v>
          </cell>
          <cell r="C56">
            <v>806.702</v>
          </cell>
          <cell r="D56">
            <v>895.95899999999995</v>
          </cell>
          <cell r="E56">
            <v>564.125</v>
          </cell>
          <cell r="F56">
            <v>747.89099999999996</v>
          </cell>
          <cell r="G56">
            <v>1</v>
          </cell>
          <cell r="H56">
            <v>50</v>
          </cell>
          <cell r="I56" t="str">
            <v>матрица</v>
          </cell>
        </row>
        <row r="57">
          <cell r="A57" t="str">
            <v>7073 МОЛОЧ.ПРЕМИУМ ПМ сос п/о в/у 1/350_50с  Останкино</v>
          </cell>
          <cell r="B57" t="str">
            <v>шт</v>
          </cell>
          <cell r="C57">
            <v>18</v>
          </cell>
          <cell r="D57">
            <v>47</v>
          </cell>
          <cell r="E57">
            <v>23</v>
          </cell>
          <cell r="F57">
            <v>22</v>
          </cell>
          <cell r="G57">
            <v>0.35</v>
          </cell>
          <cell r="H57">
            <v>50</v>
          </cell>
          <cell r="I57" t="str">
            <v>матрица</v>
          </cell>
        </row>
        <row r="58">
          <cell r="A58" t="str">
            <v>7075 МОЛОЧ.ПРЕМИУМ ПМ сос п/о мгс 1,5*4_О_50с  Останкино</v>
          </cell>
          <cell r="B58" t="str">
            <v>кг</v>
          </cell>
          <cell r="C58">
            <v>68.265000000000001</v>
          </cell>
          <cell r="D58">
            <v>112.605</v>
          </cell>
          <cell r="E58">
            <v>67.988</v>
          </cell>
          <cell r="F58">
            <v>67.87</v>
          </cell>
          <cell r="G58">
            <v>1</v>
          </cell>
          <cell r="H58">
            <v>50</v>
          </cell>
          <cell r="I58" t="str">
            <v>матрица</v>
          </cell>
        </row>
        <row r="59">
          <cell r="A59" t="str">
            <v>7080 СЛИВОЧНЫЕ ПМ сос п/о мгс 0,41кг 10шт 50с  Останкино</v>
          </cell>
          <cell r="B59" t="str">
            <v>шт</v>
          </cell>
          <cell r="C59">
            <v>540</v>
          </cell>
          <cell r="D59">
            <v>262</v>
          </cell>
          <cell r="E59">
            <v>369</v>
          </cell>
          <cell r="F59">
            <v>357</v>
          </cell>
          <cell r="G59">
            <v>0.41</v>
          </cell>
          <cell r="H59">
            <v>50</v>
          </cell>
          <cell r="I59" t="str">
            <v>ВНИМАНИЕ / матрица</v>
          </cell>
        </row>
        <row r="60">
          <cell r="A60" t="str">
            <v>7083 СЛИВОЧНЫЕ ПМ сос п/о мгс 1.5*4_А_50с  ОСТАНКИНО</v>
          </cell>
          <cell r="B60" t="str">
            <v>кг</v>
          </cell>
          <cell r="C60">
            <v>197.03399999999999</v>
          </cell>
          <cell r="D60">
            <v>378.35300000000001</v>
          </cell>
          <cell r="E60">
            <v>157.69499999999999</v>
          </cell>
          <cell r="F60">
            <v>375.69900000000001</v>
          </cell>
          <cell r="G60">
            <v>1</v>
          </cell>
          <cell r="H60">
            <v>50</v>
          </cell>
          <cell r="I60" t="str">
            <v>матрица</v>
          </cell>
        </row>
        <row r="61">
          <cell r="A61" t="str">
            <v>7090 СВИНИНА ПО-ДОМ.к/в мл/к в/у 0,3кг_50с  Останкино</v>
          </cell>
          <cell r="B61" t="str">
            <v>шт</v>
          </cell>
          <cell r="D61">
            <v>240</v>
          </cell>
          <cell r="E61">
            <v>94</v>
          </cell>
          <cell r="F61">
            <v>62</v>
          </cell>
          <cell r="G61">
            <v>0.3</v>
          </cell>
          <cell r="H61">
            <v>50</v>
          </cell>
          <cell r="I61" t="str">
            <v>матрица</v>
          </cell>
        </row>
        <row r="62">
          <cell r="A62" t="str">
            <v>7103 БЕКОН Останкино с/к с/н в/у 1/180_50с  Останкино</v>
          </cell>
          <cell r="B62" t="str">
            <v>шт</v>
          </cell>
          <cell r="C62">
            <v>458</v>
          </cell>
          <cell r="D62">
            <v>383</v>
          </cell>
          <cell r="E62">
            <v>232</v>
          </cell>
          <cell r="F62">
            <v>530</v>
          </cell>
          <cell r="G62">
            <v>0.18</v>
          </cell>
          <cell r="H62">
            <v>50</v>
          </cell>
          <cell r="I62" t="str">
            <v>матрица</v>
          </cell>
        </row>
        <row r="63">
          <cell r="A63" t="str">
            <v>7149 БАЛЫКОВАЯ Коровино п/к в/у 0,84кг_50с  Останкино</v>
          </cell>
          <cell r="B63" t="str">
            <v>шт</v>
          </cell>
          <cell r="C63">
            <v>54</v>
          </cell>
          <cell r="D63">
            <v>15</v>
          </cell>
          <cell r="E63">
            <v>50</v>
          </cell>
          <cell r="G63">
            <v>0.84</v>
          </cell>
          <cell r="H63">
            <v>50</v>
          </cell>
          <cell r="I63" t="str">
            <v>матрица</v>
          </cell>
        </row>
        <row r="64">
          <cell r="A64" t="str">
            <v>7154 СЕРВЕЛАТ ЗЕРНИСТЫЙ ПМ в/к в/у 0,35кг_50с  Останкино</v>
          </cell>
          <cell r="B64" t="str">
            <v>шт</v>
          </cell>
          <cell r="C64">
            <v>284</v>
          </cell>
          <cell r="D64">
            <v>1112</v>
          </cell>
          <cell r="E64">
            <v>411</v>
          </cell>
          <cell r="F64">
            <v>766</v>
          </cell>
          <cell r="G64">
            <v>0.35</v>
          </cell>
          <cell r="H64">
            <v>50</v>
          </cell>
          <cell r="I64" t="str">
            <v>матрица</v>
          </cell>
        </row>
        <row r="65">
          <cell r="A65" t="str">
            <v>7156 СЕРВЕЛАТ КОПЧ.НА БУКЕ в/к в/у 0.35кг_50с  ОСТАНКИНО</v>
          </cell>
          <cell r="B65" t="str">
            <v>шт</v>
          </cell>
          <cell r="D65">
            <v>299</v>
          </cell>
          <cell r="E65">
            <v>175</v>
          </cell>
          <cell r="F65">
            <v>106</v>
          </cell>
          <cell r="G65">
            <v>0.35</v>
          </cell>
          <cell r="I65" t="str">
            <v>матрица</v>
          </cell>
        </row>
        <row r="66">
          <cell r="A66" t="str">
            <v>7157 СЕРВЕЛАТ ЗЕРНИСТЫЙ ПМ в/к в/у_50с  Останкино</v>
          </cell>
          <cell r="B66" t="str">
            <v>кг</v>
          </cell>
          <cell r="C66">
            <v>156.67099999999999</v>
          </cell>
          <cell r="D66">
            <v>709.25099999999998</v>
          </cell>
          <cell r="E66">
            <v>146.95599999999999</v>
          </cell>
          <cell r="F66">
            <v>642.87599999999998</v>
          </cell>
          <cell r="G66">
            <v>1</v>
          </cell>
          <cell r="H66">
            <v>50</v>
          </cell>
          <cell r="I66" t="str">
            <v>матрица</v>
          </cell>
        </row>
        <row r="67">
          <cell r="A67" t="str">
            <v>7166 СЕРВЕЛАТ ОХОТНИЧИЙ ПМ в/к в/у_50с  Останкино</v>
          </cell>
          <cell r="B67" t="str">
            <v>кг</v>
          </cell>
          <cell r="C67">
            <v>52.264000000000003</v>
          </cell>
          <cell r="D67">
            <v>752.12099999999998</v>
          </cell>
          <cell r="E67">
            <v>133.87299999999999</v>
          </cell>
          <cell r="F67">
            <v>613.92100000000005</v>
          </cell>
          <cell r="G67">
            <v>1</v>
          </cell>
          <cell r="H67">
            <v>50</v>
          </cell>
          <cell r="I67" t="str">
            <v>матрица</v>
          </cell>
        </row>
        <row r="68">
          <cell r="A68" t="str">
            <v>7169 СЕРВЕЛАТ ОХОТНИЧИЙ ПМ в/к в/у 0,35кг_50с  Останкино</v>
          </cell>
          <cell r="B68" t="str">
            <v>шт</v>
          </cell>
          <cell r="C68">
            <v>63</v>
          </cell>
          <cell r="D68">
            <v>633</v>
          </cell>
          <cell r="E68">
            <v>200</v>
          </cell>
          <cell r="F68">
            <v>409</v>
          </cell>
          <cell r="G68">
            <v>0.35</v>
          </cell>
          <cell r="H68">
            <v>50</v>
          </cell>
          <cell r="I68" t="str">
            <v>матрица</v>
          </cell>
        </row>
        <row r="69">
          <cell r="A69" t="str">
            <v>7187 ГРУДИНКА ПРЕМИУМ к/в мл/к в/у 0,3кг_50с  Останкино</v>
          </cell>
          <cell r="B69" t="str">
            <v>шт</v>
          </cell>
          <cell r="C69">
            <v>60</v>
          </cell>
          <cell r="D69">
            <v>106</v>
          </cell>
          <cell r="E69">
            <v>74</v>
          </cell>
          <cell r="F69">
            <v>69</v>
          </cell>
          <cell r="G69">
            <v>0.3</v>
          </cell>
          <cell r="H69">
            <v>50</v>
          </cell>
          <cell r="I69" t="str">
            <v>матрица</v>
          </cell>
        </row>
        <row r="70">
          <cell r="A70" t="str">
            <v>7231 КЛАССИЧЕСКАЯ ПМ вар п/о 0,3кг 8 шт_209к  Останкино</v>
          </cell>
          <cell r="B70" t="str">
            <v>шт</v>
          </cell>
          <cell r="C70">
            <v>75</v>
          </cell>
          <cell r="D70">
            <v>122</v>
          </cell>
          <cell r="E70">
            <v>78</v>
          </cell>
          <cell r="F70">
            <v>100</v>
          </cell>
          <cell r="G70">
            <v>0.3</v>
          </cell>
          <cell r="H70">
            <v>60</v>
          </cell>
          <cell r="I70" t="str">
            <v>матрица</v>
          </cell>
        </row>
        <row r="71">
          <cell r="A71" t="str">
            <v>7232 БОЯNСКАЯ ПМ п/к в/у 0,28кг 8шт_209к  Останкино</v>
          </cell>
          <cell r="B71" t="str">
            <v>шт</v>
          </cell>
          <cell r="C71">
            <v>176</v>
          </cell>
          <cell r="D71">
            <v>155</v>
          </cell>
          <cell r="E71">
            <v>121</v>
          </cell>
          <cell r="F71">
            <v>186</v>
          </cell>
          <cell r="G71">
            <v>0.28000000000000003</v>
          </cell>
          <cell r="H71">
            <v>50</v>
          </cell>
          <cell r="I71" t="str">
            <v>матрица</v>
          </cell>
        </row>
        <row r="72">
          <cell r="A72" t="str">
            <v>7236 СЕРВЕЛАТ КАРЕЛЬСКИЙ в/к в/у 0,28кг_209к  Останкино</v>
          </cell>
          <cell r="B72" t="str">
            <v>шт</v>
          </cell>
          <cell r="C72">
            <v>87</v>
          </cell>
          <cell r="D72">
            <v>393</v>
          </cell>
          <cell r="E72">
            <v>202</v>
          </cell>
          <cell r="F72">
            <v>234</v>
          </cell>
          <cell r="G72">
            <v>0.28000000000000003</v>
          </cell>
          <cell r="H72">
            <v>45</v>
          </cell>
          <cell r="I72" t="str">
            <v>матрица</v>
          </cell>
        </row>
        <row r="73">
          <cell r="A73" t="str">
            <v>7241 САЛЯМИ Папа может п/к в/у 0,28кг ОСТАНКИНО</v>
          </cell>
          <cell r="B73" t="str">
            <v>шт</v>
          </cell>
          <cell r="C73">
            <v>482</v>
          </cell>
          <cell r="D73">
            <v>524</v>
          </cell>
          <cell r="E73">
            <v>506</v>
          </cell>
          <cell r="F73">
            <v>438</v>
          </cell>
          <cell r="G73">
            <v>0.28000000000000003</v>
          </cell>
          <cell r="H73">
            <v>45</v>
          </cell>
          <cell r="I73" t="str">
            <v>матрица</v>
          </cell>
        </row>
        <row r="74">
          <cell r="A74" t="str">
            <v>7255 МЯСНЫЕ С ГОВЯД.ПМ сос п/о мгс 0.4кг 6шт.  ОСТАНКИНО</v>
          </cell>
          <cell r="B74" t="str">
            <v>шт</v>
          </cell>
          <cell r="C74">
            <v>185</v>
          </cell>
          <cell r="D74">
            <v>294</v>
          </cell>
          <cell r="E74">
            <v>162</v>
          </cell>
          <cell r="F74">
            <v>215</v>
          </cell>
          <cell r="G74">
            <v>0.4</v>
          </cell>
          <cell r="H74">
            <v>50</v>
          </cell>
          <cell r="I74" t="str">
            <v>матрица</v>
          </cell>
        </row>
        <row r="75">
          <cell r="A75" t="str">
            <v>7299 НАБОР ДЛЯ ПИЦЦЫ Папа Может с/к в/у  ОСТАНКИНО</v>
          </cell>
          <cell r="B75" t="str">
            <v>кг</v>
          </cell>
          <cell r="C75">
            <v>0.78600000000000003</v>
          </cell>
          <cell r="D75">
            <v>152.494</v>
          </cell>
          <cell r="E75">
            <v>95.382000000000005</v>
          </cell>
          <cell r="F75">
            <v>22.466000000000001</v>
          </cell>
          <cell r="G75">
            <v>1</v>
          </cell>
          <cell r="H75">
            <v>30</v>
          </cell>
          <cell r="I75" t="str">
            <v>матрица</v>
          </cell>
        </row>
        <row r="76">
          <cell r="A76" t="str">
            <v>7382  САЛЯМИ МЕЛКОЗЕРНЕНАЯ с/к в/у1/120 8шт.  ОСТАНКИНО</v>
          </cell>
          <cell r="B76" t="str">
            <v>шт</v>
          </cell>
          <cell r="C76">
            <v>69</v>
          </cell>
          <cell r="D76">
            <v>281</v>
          </cell>
          <cell r="E76">
            <v>119</v>
          </cell>
          <cell r="F76">
            <v>208</v>
          </cell>
          <cell r="G76">
            <v>0.12</v>
          </cell>
          <cell r="H76">
            <v>60</v>
          </cell>
          <cell r="I76" t="str">
            <v>матрица</v>
          </cell>
        </row>
        <row r="77">
          <cell r="A77" t="str">
            <v>7461 ДЛЯ ДЕТЕЙ Папа Может сос п/о мгс 0,33кг ОСТАНКИНО</v>
          </cell>
          <cell r="B77" t="str">
            <v>шт</v>
          </cell>
          <cell r="D77">
            <v>181</v>
          </cell>
          <cell r="E77">
            <v>88</v>
          </cell>
          <cell r="F77">
            <v>63</v>
          </cell>
          <cell r="G77">
            <v>0.33</v>
          </cell>
          <cell r="H77">
            <v>30</v>
          </cell>
          <cell r="I77" t="str">
            <v>матрица</v>
          </cell>
        </row>
        <row r="78">
          <cell r="A78" t="str">
            <v>7485 РИЕТ МЯСНОЙ С ГРИБАМИ ПМ п/о 1/150  ОСТАНКИНО</v>
          </cell>
          <cell r="B78" t="str">
            <v>шт</v>
          </cell>
          <cell r="C78">
            <v>-1</v>
          </cell>
          <cell r="D78">
            <v>456</v>
          </cell>
          <cell r="E78">
            <v>196</v>
          </cell>
          <cell r="F78">
            <v>212</v>
          </cell>
          <cell r="G78">
            <v>0.15</v>
          </cell>
          <cell r="H78">
            <v>60</v>
          </cell>
          <cell r="I78" t="str">
            <v>матрица</v>
          </cell>
        </row>
        <row r="79">
          <cell r="A79" t="str">
            <v>7513 ВОСКРЕСЕНСКАЯ ВЯЛЕНАЯ в/к в/у срез 1/260</v>
          </cell>
          <cell r="B79" t="str">
            <v>шт</v>
          </cell>
          <cell r="G79">
            <v>0</v>
          </cell>
          <cell r="H79">
            <v>45</v>
          </cell>
          <cell r="I79" t="str">
            <v>матрица</v>
          </cell>
        </row>
        <row r="80">
          <cell r="A80" t="str">
            <v>7516 НОВОМОСКОВСКАЯ в/к в/у срез 0.31кг</v>
          </cell>
          <cell r="B80" t="str">
            <v>шт</v>
          </cell>
          <cell r="G80">
            <v>0</v>
          </cell>
          <cell r="H80">
            <v>45</v>
          </cell>
          <cell r="I80" t="str">
            <v>матрица</v>
          </cell>
        </row>
        <row r="81">
          <cell r="A81" t="str">
            <v>7523 ГОВЯЖЬЯ Папа Может вар п/о 0,4кг 6шт. ОСТАНКИНО</v>
          </cell>
          <cell r="B81" t="str">
            <v>шт</v>
          </cell>
          <cell r="C81">
            <v>200</v>
          </cell>
          <cell r="D81">
            <v>134</v>
          </cell>
          <cell r="E81">
            <v>139</v>
          </cell>
          <cell r="F81">
            <v>145</v>
          </cell>
          <cell r="G81">
            <v>0.4</v>
          </cell>
          <cell r="H81">
            <v>60</v>
          </cell>
          <cell r="I81" t="str">
            <v>матрица</v>
          </cell>
        </row>
        <row r="82">
          <cell r="A82" t="str">
            <v>7539 ДОКТОРСКАЯ ГОСТ вар п/о 0,35кг ОСТАНКИНО</v>
          </cell>
          <cell r="B82" t="str">
            <v>шт</v>
          </cell>
          <cell r="C82">
            <v>8</v>
          </cell>
          <cell r="E82">
            <v>2</v>
          </cell>
          <cell r="F82">
            <v>6</v>
          </cell>
          <cell r="G82">
            <v>0</v>
          </cell>
          <cell r="H82">
            <v>60</v>
          </cell>
          <cell r="I82" t="str">
            <v>матрица</v>
          </cell>
        </row>
        <row r="83">
          <cell r="A83" t="str">
            <v>7562 КРАКОВСКАЯ ГОСТ Останкино п/к н/о мгс</v>
          </cell>
          <cell r="B83" t="str">
            <v>кг</v>
          </cell>
          <cell r="G83">
            <v>0</v>
          </cell>
          <cell r="H83">
            <v>45</v>
          </cell>
          <cell r="I83" t="str">
            <v>матрица</v>
          </cell>
        </row>
        <row r="84">
          <cell r="A84" t="str">
            <v>7564 Балыковая в/к в/у Останкино Вес  ОСТАНКИНО</v>
          </cell>
          <cell r="B84" t="str">
            <v>кг</v>
          </cell>
          <cell r="G84">
            <v>0</v>
          </cell>
          <cell r="I84" t="str">
            <v>матрица</v>
          </cell>
        </row>
        <row r="85">
          <cell r="A85" t="str">
            <v>7603 БАЛЫКОВАЯ в/к в/у 0.33кг 8шт. ОСТАНКИНО</v>
          </cell>
          <cell r="B85" t="str">
            <v>шт</v>
          </cell>
          <cell r="C85">
            <v>18</v>
          </cell>
          <cell r="D85">
            <v>202</v>
          </cell>
          <cell r="E85">
            <v>52</v>
          </cell>
          <cell r="F85">
            <v>130</v>
          </cell>
          <cell r="G85">
            <v>0.33</v>
          </cell>
          <cell r="H85">
            <v>45</v>
          </cell>
          <cell r="I85" t="str">
            <v>матрица</v>
          </cell>
        </row>
        <row r="86">
          <cell r="A86" t="str">
            <v>7608 СЕРВЕЛАТ ШВЕЙЦАРСК.в/к с/н в/у 1/100_Л11  ОСТАНКИНО</v>
          </cell>
          <cell r="B86" t="str">
            <v>шт</v>
          </cell>
          <cell r="C86">
            <v>5</v>
          </cell>
          <cell r="D86">
            <v>13</v>
          </cell>
          <cell r="E86">
            <v>15</v>
          </cell>
          <cell r="G86">
            <v>0</v>
          </cell>
          <cell r="H86">
            <v>45</v>
          </cell>
          <cell r="I86" t="str">
            <v>вывод</v>
          </cell>
        </row>
        <row r="87">
          <cell r="A87" t="str">
            <v>7612 БАЛЫК с/к с/н в/у 1/100 10шт_  ОСТАНКИНО</v>
          </cell>
          <cell r="B87" t="str">
            <v>шт</v>
          </cell>
          <cell r="C87">
            <v>69</v>
          </cell>
          <cell r="E87">
            <v>24</v>
          </cell>
          <cell r="F87">
            <v>42</v>
          </cell>
          <cell r="G87">
            <v>0</v>
          </cell>
          <cell r="H87">
            <v>60</v>
          </cell>
          <cell r="I87" t="str">
            <v>вывод</v>
          </cell>
        </row>
        <row r="88">
          <cell r="A88" t="str">
            <v>7613 АРОМАТНАЯ с/к с/н в/у 1/100 10шт_Л10  ОСТАНКИНО</v>
          </cell>
          <cell r="B88" t="str">
            <v>шт</v>
          </cell>
          <cell r="C88">
            <v>273</v>
          </cell>
          <cell r="D88">
            <v>452</v>
          </cell>
          <cell r="E88">
            <v>228</v>
          </cell>
          <cell r="F88">
            <v>481</v>
          </cell>
          <cell r="G88">
            <v>0.1</v>
          </cell>
          <cell r="H88">
            <v>60</v>
          </cell>
          <cell r="I88" t="str">
            <v>матрица</v>
          </cell>
        </row>
        <row r="89">
          <cell r="A89" t="str">
            <v>7616 ЭКСТРА Папа может с/к с/н в/у 1/100_  ОСТАНКИНО</v>
          </cell>
          <cell r="B89" t="str">
            <v>шт</v>
          </cell>
          <cell r="C89">
            <v>681</v>
          </cell>
          <cell r="D89">
            <v>249</v>
          </cell>
          <cell r="E89">
            <v>371</v>
          </cell>
          <cell r="F89">
            <v>423</v>
          </cell>
          <cell r="G89">
            <v>0.1</v>
          </cell>
          <cell r="H89">
            <v>60</v>
          </cell>
          <cell r="I89" t="str">
            <v>матрица</v>
          </cell>
        </row>
        <row r="90">
          <cell r="A90" t="str">
            <v>7632 ЭКСТРА Папа может вар п/о 0.4кг 8шт_195к  ОСТАНКИНО</v>
          </cell>
          <cell r="B90" t="str">
            <v>шт</v>
          </cell>
          <cell r="C90">
            <v>315</v>
          </cell>
          <cell r="D90">
            <v>258</v>
          </cell>
          <cell r="E90">
            <v>142</v>
          </cell>
          <cell r="F90">
            <v>301</v>
          </cell>
          <cell r="G90">
            <v>0.4</v>
          </cell>
          <cell r="H90">
            <v>60</v>
          </cell>
          <cell r="I90" t="str">
            <v>матрица</v>
          </cell>
        </row>
        <row r="91">
          <cell r="A91" t="str">
            <v>7647 ХОЧУ ВЕТЧ.ИЗ СВ.ОТРУБА с/н мгс 1/100_Л11  ОСТАНКИНО</v>
          </cell>
          <cell r="B91" t="str">
            <v>шт</v>
          </cell>
          <cell r="C91">
            <v>135</v>
          </cell>
          <cell r="D91">
            <v>83</v>
          </cell>
          <cell r="E91">
            <v>92</v>
          </cell>
          <cell r="F91">
            <v>104</v>
          </cell>
          <cell r="G91">
            <v>0.1</v>
          </cell>
          <cell r="I91" t="str">
            <v>матрица</v>
          </cell>
        </row>
        <row r="92">
          <cell r="A92" t="str">
            <v>7651 ХОЧУ ВЕТЧ.МРАМОР. ПМ с/н мгс 1/100_Л11  ОСТАНКИНО</v>
          </cell>
          <cell r="B92" t="str">
            <v>шт</v>
          </cell>
          <cell r="C92">
            <v>115</v>
          </cell>
          <cell r="D92">
            <v>136</v>
          </cell>
          <cell r="E92">
            <v>70</v>
          </cell>
          <cell r="F92">
            <v>155</v>
          </cell>
          <cell r="G92">
            <v>0.1</v>
          </cell>
          <cell r="I92" t="str">
            <v>матрица</v>
          </cell>
        </row>
        <row r="93">
          <cell r="A93" t="str">
            <v>8014 ДОКТОРСКАЯ ПРЕМИУМ вар п/о(п)    ОСТАНКИНО</v>
          </cell>
          <cell r="B93" t="str">
            <v>кг</v>
          </cell>
          <cell r="D93">
            <v>95.260999999999996</v>
          </cell>
          <cell r="E93">
            <v>6.64</v>
          </cell>
          <cell r="F93">
            <v>85.751999999999995</v>
          </cell>
          <cell r="G93">
            <v>1</v>
          </cell>
          <cell r="I93" t="str">
            <v>матрица</v>
          </cell>
        </row>
        <row r="94">
          <cell r="A94" t="str">
            <v>7514 ЛЮБИТЕЛЬСКАЯ ОСТАНКИНСКАЯ вар п/о в/у  ОСТАНКИНО</v>
          </cell>
          <cell r="B94" t="str">
            <v>кг</v>
          </cell>
          <cell r="G94">
            <v>1</v>
          </cell>
          <cell r="H94">
            <v>30</v>
          </cell>
          <cell r="I94" t="str">
            <v>матрица</v>
          </cell>
        </row>
        <row r="95">
          <cell r="A95" t="str">
            <v>7518 ТЕЛЯЧЬЯ ГОСТ Останкино вар п/о в/у  ОСТАНКИНО</v>
          </cell>
          <cell r="B95" t="str">
            <v>кг</v>
          </cell>
          <cell r="G95">
            <v>1</v>
          </cell>
          <cell r="H95">
            <v>30</v>
          </cell>
          <cell r="I95" t="str">
            <v>матрица</v>
          </cell>
        </row>
        <row r="96">
          <cell r="A96" t="str">
            <v>6929 КАРБОНАД ДОМАШНИЙ ПМ к/в кр/к в/у  ОСТАНКИНО</v>
          </cell>
          <cell r="B96" t="str">
            <v>кг</v>
          </cell>
          <cell r="G96">
            <v>1</v>
          </cell>
          <cell r="H96">
            <v>45</v>
          </cell>
          <cell r="I96" t="str">
            <v>матрица</v>
          </cell>
        </row>
        <row r="97">
          <cell r="A97" t="str">
            <v>0614 ПРАЗДНИЧНАЯ с/к в/с дек.спец.мгс  Останкино</v>
          </cell>
          <cell r="B97" t="str">
            <v>кг</v>
          </cell>
          <cell r="G97">
            <v>1</v>
          </cell>
          <cell r="H97">
            <v>120</v>
          </cell>
          <cell r="I97" t="str">
            <v>матрица</v>
          </cell>
        </row>
        <row r="98">
          <cell r="A98" t="str">
            <v>7143 БРАУНШВЕЙГСКАЯ ГОСТ с/к в/у 1/220 8шт.</v>
          </cell>
          <cell r="B98" t="str">
            <v>шт</v>
          </cell>
          <cell r="G98">
            <v>0.22</v>
          </cell>
          <cell r="H98">
            <v>120</v>
          </cell>
          <cell r="I98" t="str">
            <v>матрица</v>
          </cell>
        </row>
        <row r="99">
          <cell r="A99" t="str">
            <v>7710 КРАКОВСКАЯ ГОСТ п/к н/о мгс 0.3кг</v>
          </cell>
          <cell r="B99" t="str">
            <v>шт</v>
          </cell>
          <cell r="G99">
            <v>0.3</v>
          </cell>
          <cell r="H99">
            <v>45</v>
          </cell>
          <cell r="I99" t="str">
            <v>матрица</v>
          </cell>
        </row>
        <row r="100">
          <cell r="A100" t="str">
            <v>7456 САЛЯМИ ФИНСКАЯ Папа может с/к в/у 1/150</v>
          </cell>
          <cell r="B100" t="str">
            <v>шт</v>
          </cell>
          <cell r="G100">
            <v>0.15</v>
          </cell>
          <cell r="H100">
            <v>90</v>
          </cell>
          <cell r="I100" t="str">
            <v>матрица</v>
          </cell>
        </row>
        <row r="101">
          <cell r="A101" t="str">
            <v>7386 БАРСЕЛОНА ПМ с/к в/у 1/150  ОСТАНКИНО</v>
          </cell>
          <cell r="B101" t="str">
            <v>шт</v>
          </cell>
          <cell r="G101">
            <v>0.15</v>
          </cell>
          <cell r="H101">
            <v>90</v>
          </cell>
          <cell r="I101" t="str">
            <v>матрица</v>
          </cell>
        </row>
        <row r="102">
          <cell r="A102" t="str">
            <v>7344 КОНСЕРВЫ МЯС.ГОВЯДИНА ТУШ. В/С 338г_ЧЗ</v>
          </cell>
          <cell r="B102" t="str">
            <v>шт</v>
          </cell>
          <cell r="G102">
            <v>0.33800000000000002</v>
          </cell>
          <cell r="H102" t="str">
            <v>3 года</v>
          </cell>
          <cell r="I102" t="str">
            <v>матрица</v>
          </cell>
        </row>
        <row r="103">
          <cell r="A103" t="str">
            <v>7345 КОНСЕРВЫ МЯС.СВИНИНА ТУШ. В/С 325г_ЧЗ</v>
          </cell>
          <cell r="B103" t="str">
            <v>шт</v>
          </cell>
          <cell r="G103">
            <v>0.32500000000000001</v>
          </cell>
          <cell r="H103" t="str">
            <v>3 года</v>
          </cell>
          <cell r="I103" t="str">
            <v>матрица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6" sqref="AF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39" customWidth="1"/>
    <col min="20" max="21" width="5" customWidth="1"/>
    <col min="22" max="31" width="6" customWidth="1"/>
    <col min="32" max="32" width="45" customWidth="1"/>
    <col min="33" max="33" width="7" customWidth="1"/>
    <col min="34" max="48" width="3" customWidth="1"/>
  </cols>
  <sheetData>
    <row r="1" spans="1:48" x14ac:dyDescent="0.25">
      <c r="A1" s="29"/>
      <c r="B1" s="29"/>
      <c r="C1" s="29"/>
      <c r="D1" s="29"/>
      <c r="E1" s="29"/>
      <c r="F1" s="29"/>
      <c r="G1" s="6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</row>
    <row r="2" spans="1:48" x14ac:dyDescent="0.25">
      <c r="A2" s="29"/>
      <c r="B2" s="29"/>
      <c r="C2" s="29"/>
      <c r="D2" s="29"/>
      <c r="E2" s="29"/>
      <c r="F2" s="29"/>
      <c r="G2" s="6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192</v>
      </c>
      <c r="S3" s="2" t="s">
        <v>194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</row>
    <row r="4" spans="1:48" x14ac:dyDescent="0.25">
      <c r="A4" s="29"/>
      <c r="B4" s="29"/>
      <c r="C4" s="29"/>
      <c r="D4" s="29"/>
      <c r="E4" s="29"/>
      <c r="F4" s="29"/>
      <c r="G4" s="6"/>
      <c r="H4" s="29"/>
      <c r="I4" s="29"/>
      <c r="J4" s="29"/>
      <c r="K4" s="29"/>
      <c r="L4" s="29"/>
      <c r="M4" s="29"/>
      <c r="N4" s="29"/>
      <c r="O4" s="29" t="s">
        <v>22</v>
      </c>
      <c r="P4" s="29" t="s">
        <v>22</v>
      </c>
      <c r="Q4" s="29"/>
      <c r="R4" s="29" t="s">
        <v>193</v>
      </c>
      <c r="S4" s="29" t="s">
        <v>195</v>
      </c>
      <c r="T4" s="29"/>
      <c r="U4" s="29"/>
      <c r="V4" s="29" t="s">
        <v>23</v>
      </c>
      <c r="W4" s="29" t="s">
        <v>24</v>
      </c>
      <c r="X4" s="29" t="s">
        <v>25</v>
      </c>
      <c r="Y4" s="29" t="s">
        <v>26</v>
      </c>
      <c r="Z4" s="29" t="s">
        <v>27</v>
      </c>
      <c r="AA4" s="29" t="s">
        <v>28</v>
      </c>
      <c r="AB4" s="29" t="s">
        <v>29</v>
      </c>
      <c r="AC4" s="29" t="s">
        <v>30</v>
      </c>
      <c r="AD4" s="29" t="s">
        <v>31</v>
      </c>
      <c r="AE4" s="29" t="s">
        <v>32</v>
      </c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</row>
    <row r="5" spans="1:48" x14ac:dyDescent="0.25">
      <c r="A5" s="29"/>
      <c r="B5" s="29"/>
      <c r="C5" s="29"/>
      <c r="D5" s="29"/>
      <c r="E5" s="3">
        <f>SUM(E6:E498)</f>
        <v>9091.5860000000011</v>
      </c>
      <c r="F5" s="3">
        <f>SUM(F6:F498)</f>
        <v>8640.1380000000008</v>
      </c>
      <c r="G5" s="6"/>
      <c r="H5" s="29"/>
      <c r="I5" s="29"/>
      <c r="J5" s="29"/>
      <c r="K5" s="3">
        <f t="shared" ref="K5:S5" si="0">SUM(K6:K498)</f>
        <v>10564.2</v>
      </c>
      <c r="L5" s="3">
        <f t="shared" si="0"/>
        <v>-1472.614</v>
      </c>
      <c r="M5" s="3">
        <f t="shared" si="0"/>
        <v>0</v>
      </c>
      <c r="N5" s="3">
        <f t="shared" si="0"/>
        <v>0</v>
      </c>
      <c r="O5" s="3">
        <f t="shared" si="0"/>
        <v>10555</v>
      </c>
      <c r="P5" s="3">
        <f t="shared" si="0"/>
        <v>1818.3172</v>
      </c>
      <c r="Q5" s="3">
        <f t="shared" si="0"/>
        <v>9074.5703999999987</v>
      </c>
      <c r="R5" s="3">
        <f t="shared" si="0"/>
        <v>12126</v>
      </c>
      <c r="S5" s="3">
        <f t="shared" si="0"/>
        <v>9770</v>
      </c>
      <c r="T5" s="29"/>
      <c r="U5" s="29"/>
      <c r="V5" s="3">
        <f t="shared" ref="V5:AE5" si="1">SUM(V6:V498)</f>
        <v>1889.3557999999998</v>
      </c>
      <c r="W5" s="3">
        <f t="shared" si="1"/>
        <v>1792.7641999999994</v>
      </c>
      <c r="X5" s="3">
        <f t="shared" si="1"/>
        <v>1696.6760000000004</v>
      </c>
      <c r="Y5" s="3">
        <f t="shared" si="1"/>
        <v>1492.5921999999994</v>
      </c>
      <c r="Z5" s="3">
        <f t="shared" si="1"/>
        <v>1923.115</v>
      </c>
      <c r="AA5" s="3">
        <f t="shared" si="1"/>
        <v>2394.7259999999997</v>
      </c>
      <c r="AB5" s="3">
        <f t="shared" si="1"/>
        <v>1729.7152000000001</v>
      </c>
      <c r="AC5" s="3">
        <f t="shared" si="1"/>
        <v>2042.9720000000002</v>
      </c>
      <c r="AD5" s="3">
        <f t="shared" si="1"/>
        <v>2666.6786000000002</v>
      </c>
      <c r="AE5" s="3">
        <f t="shared" si="1"/>
        <v>2061.7203999999997</v>
      </c>
      <c r="AF5" s="29"/>
      <c r="AG5" s="3">
        <f>SUM(AG6:AG498)</f>
        <v>5141.9000000000005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</row>
    <row r="6" spans="1:48" x14ac:dyDescent="0.25">
      <c r="A6" s="29" t="s">
        <v>33</v>
      </c>
      <c r="B6" s="29" t="s">
        <v>34</v>
      </c>
      <c r="C6" s="29">
        <v>107</v>
      </c>
      <c r="D6" s="29">
        <v>248</v>
      </c>
      <c r="E6" s="29">
        <v>154</v>
      </c>
      <c r="F6" s="29">
        <v>171</v>
      </c>
      <c r="G6" s="6">
        <v>0.4</v>
      </c>
      <c r="H6" s="29">
        <v>60</v>
      </c>
      <c r="I6" s="29" t="s">
        <v>35</v>
      </c>
      <c r="J6" s="29"/>
      <c r="K6" s="29">
        <v>164</v>
      </c>
      <c r="L6" s="29">
        <f t="shared" ref="L6:L37" si="2">E6-K6</f>
        <v>-10</v>
      </c>
      <c r="M6" s="29"/>
      <c r="N6" s="29"/>
      <c r="O6" s="29">
        <v>229</v>
      </c>
      <c r="P6" s="29">
        <f t="shared" ref="P6:P37" si="3">E6/5</f>
        <v>30.8</v>
      </c>
      <c r="Q6" s="4">
        <f>15*P6-O6-F6</f>
        <v>62</v>
      </c>
      <c r="R6" s="4">
        <f>ROUND(Q6,0)</f>
        <v>62</v>
      </c>
      <c r="S6" s="38"/>
      <c r="T6" s="29">
        <f>(F6+O6+R6)/P6</f>
        <v>15</v>
      </c>
      <c r="U6" s="29">
        <f t="shared" ref="U6:U37" si="4">(F6+O6)/P6</f>
        <v>12.987012987012987</v>
      </c>
      <c r="V6" s="29">
        <v>37.799999999999997</v>
      </c>
      <c r="W6" s="29">
        <v>34.6</v>
      </c>
      <c r="X6" s="29">
        <v>30.2</v>
      </c>
      <c r="Y6" s="29">
        <v>40</v>
      </c>
      <c r="Z6" s="29">
        <v>39.200000000000003</v>
      </c>
      <c r="AA6" s="29">
        <v>41.6</v>
      </c>
      <c r="AB6" s="29">
        <v>37.200000000000003</v>
      </c>
      <c r="AC6" s="29">
        <v>43.2</v>
      </c>
      <c r="AD6" s="29">
        <v>54</v>
      </c>
      <c r="AE6" s="29">
        <v>43.4</v>
      </c>
      <c r="AF6" s="29"/>
      <c r="AG6" s="29">
        <f>G6*R6</f>
        <v>24.8</v>
      </c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</row>
    <row r="7" spans="1:48" x14ac:dyDescent="0.25">
      <c r="A7" s="29" t="s">
        <v>36</v>
      </c>
      <c r="B7" s="29" t="s">
        <v>37</v>
      </c>
      <c r="C7" s="29">
        <v>102.66500000000001</v>
      </c>
      <c r="D7" s="29"/>
      <c r="E7" s="29">
        <v>12.542</v>
      </c>
      <c r="F7" s="29">
        <v>84.704999999999998</v>
      </c>
      <c r="G7" s="6">
        <v>1</v>
      </c>
      <c r="H7" s="29">
        <v>120</v>
      </c>
      <c r="I7" s="29" t="s">
        <v>35</v>
      </c>
      <c r="J7" s="29"/>
      <c r="K7" s="29">
        <v>15.5</v>
      </c>
      <c r="L7" s="29">
        <f t="shared" si="2"/>
        <v>-2.9580000000000002</v>
      </c>
      <c r="M7" s="29"/>
      <c r="N7" s="29"/>
      <c r="O7" s="29">
        <v>0</v>
      </c>
      <c r="P7" s="29">
        <f t="shared" si="3"/>
        <v>2.5084</v>
      </c>
      <c r="Q7" s="4"/>
      <c r="R7" s="4">
        <f t="shared" ref="R7:R70" si="5">ROUND(Q7,0)</f>
        <v>0</v>
      </c>
      <c r="S7" s="38"/>
      <c r="T7" s="29">
        <f t="shared" ref="T7:T70" si="6">(F7+O7+R7)/P7</f>
        <v>33.768537713283365</v>
      </c>
      <c r="U7" s="29">
        <f t="shared" si="4"/>
        <v>33.768537713283365</v>
      </c>
      <c r="V7" s="29">
        <v>-8.0800000000000011E-2</v>
      </c>
      <c r="W7" s="29">
        <v>3.3780000000000001</v>
      </c>
      <c r="X7" s="29">
        <v>6.4805999999999999</v>
      </c>
      <c r="Y7" s="29">
        <v>3.3934000000000002</v>
      </c>
      <c r="Z7" s="29">
        <v>7.0721999999999996</v>
      </c>
      <c r="AA7" s="29">
        <v>8.3510000000000009</v>
      </c>
      <c r="AB7" s="29">
        <v>6.8492000000000006</v>
      </c>
      <c r="AC7" s="29">
        <v>5.0434000000000001</v>
      </c>
      <c r="AD7" s="29">
        <v>10.417999999999999</v>
      </c>
      <c r="AE7" s="29">
        <v>7.246599999999999</v>
      </c>
      <c r="AF7" s="37" t="s">
        <v>189</v>
      </c>
      <c r="AG7" s="29">
        <f t="shared" ref="AG7:AG70" si="7">G7*R7</f>
        <v>0</v>
      </c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</row>
    <row r="8" spans="1:48" x14ac:dyDescent="0.25">
      <c r="A8" s="29" t="s">
        <v>38</v>
      </c>
      <c r="B8" s="29" t="s">
        <v>34</v>
      </c>
      <c r="C8" s="29">
        <v>476</v>
      </c>
      <c r="D8" s="29">
        <v>32</v>
      </c>
      <c r="E8" s="29">
        <v>182</v>
      </c>
      <c r="F8" s="29">
        <v>298</v>
      </c>
      <c r="G8" s="6">
        <v>0.25</v>
      </c>
      <c r="H8" s="29">
        <v>120</v>
      </c>
      <c r="I8" s="29" t="s">
        <v>35</v>
      </c>
      <c r="J8" s="29"/>
      <c r="K8" s="29">
        <v>176</v>
      </c>
      <c r="L8" s="29">
        <f t="shared" si="2"/>
        <v>6</v>
      </c>
      <c r="M8" s="29"/>
      <c r="N8" s="29"/>
      <c r="O8" s="29">
        <v>0</v>
      </c>
      <c r="P8" s="29">
        <f t="shared" si="3"/>
        <v>36.4</v>
      </c>
      <c r="Q8" s="4">
        <f t="shared" ref="Q8:Q17" si="8">15*P8-O8-F8</f>
        <v>248</v>
      </c>
      <c r="R8" s="4">
        <f>S8</f>
        <v>300</v>
      </c>
      <c r="S8" s="38">
        <f>VLOOKUP(A8,[1]Sheet!$A:$R,18,0)</f>
        <v>300</v>
      </c>
      <c r="T8" s="29">
        <f t="shared" si="6"/>
        <v>16.428571428571431</v>
      </c>
      <c r="U8" s="29">
        <f t="shared" si="4"/>
        <v>8.1868131868131879</v>
      </c>
      <c r="V8" s="29">
        <v>24.2</v>
      </c>
      <c r="W8" s="29">
        <v>40.4</v>
      </c>
      <c r="X8" s="29">
        <v>18.8</v>
      </c>
      <c r="Y8" s="29">
        <v>43.2</v>
      </c>
      <c r="Z8" s="29">
        <v>31.8</v>
      </c>
      <c r="AA8" s="29">
        <v>22.4</v>
      </c>
      <c r="AB8" s="29">
        <v>27.8</v>
      </c>
      <c r="AC8" s="29">
        <v>29.4</v>
      </c>
      <c r="AD8" s="29">
        <v>53.8</v>
      </c>
      <c r="AE8" s="29">
        <v>3</v>
      </c>
      <c r="AF8" s="29" t="s">
        <v>39</v>
      </c>
      <c r="AG8" s="29">
        <f t="shared" si="7"/>
        <v>75</v>
      </c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</row>
    <row r="9" spans="1:48" x14ac:dyDescent="0.25">
      <c r="A9" s="29" t="s">
        <v>40</v>
      </c>
      <c r="B9" s="29" t="s">
        <v>37</v>
      </c>
      <c r="C9" s="29">
        <v>245.596</v>
      </c>
      <c r="D9" s="29">
        <v>40.631</v>
      </c>
      <c r="E9" s="29">
        <v>137.136</v>
      </c>
      <c r="F9" s="29">
        <v>122.268</v>
      </c>
      <c r="G9" s="6">
        <v>1</v>
      </c>
      <c r="H9" s="29">
        <v>60</v>
      </c>
      <c r="I9" s="29" t="s">
        <v>35</v>
      </c>
      <c r="J9" s="29"/>
      <c r="K9" s="29">
        <v>149.4</v>
      </c>
      <c r="L9" s="29">
        <f t="shared" si="2"/>
        <v>-12.26400000000001</v>
      </c>
      <c r="M9" s="29"/>
      <c r="N9" s="29"/>
      <c r="O9" s="29">
        <v>271</v>
      </c>
      <c r="P9" s="29">
        <f t="shared" si="3"/>
        <v>27.427199999999999</v>
      </c>
      <c r="Q9" s="4">
        <f t="shared" si="8"/>
        <v>18.140000000000015</v>
      </c>
      <c r="R9" s="4">
        <f t="shared" si="5"/>
        <v>18</v>
      </c>
      <c r="S9" s="38"/>
      <c r="T9" s="29">
        <f t="shared" si="6"/>
        <v>14.99489557811224</v>
      </c>
      <c r="U9" s="29">
        <f t="shared" si="4"/>
        <v>14.338612763971533</v>
      </c>
      <c r="V9" s="29">
        <v>35.8078</v>
      </c>
      <c r="W9" s="29">
        <v>30.3264</v>
      </c>
      <c r="X9" s="29">
        <v>38.653199999999998</v>
      </c>
      <c r="Y9" s="29">
        <v>8.8330000000000002</v>
      </c>
      <c r="Z9" s="29">
        <v>40.827800000000003</v>
      </c>
      <c r="AA9" s="29">
        <v>35.464199999999998</v>
      </c>
      <c r="AB9" s="29">
        <v>22.991599999999998</v>
      </c>
      <c r="AC9" s="29">
        <v>35.211200000000012</v>
      </c>
      <c r="AD9" s="29">
        <v>37.505800000000001</v>
      </c>
      <c r="AE9" s="29">
        <v>28.898199999999999</v>
      </c>
      <c r="AF9" s="29"/>
      <c r="AG9" s="29">
        <f t="shared" si="7"/>
        <v>18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</row>
    <row r="10" spans="1:48" x14ac:dyDescent="0.25">
      <c r="A10" s="29" t="s">
        <v>41</v>
      </c>
      <c r="B10" s="29" t="s">
        <v>37</v>
      </c>
      <c r="C10" s="29">
        <v>110</v>
      </c>
      <c r="D10" s="29"/>
      <c r="E10" s="29">
        <v>26.937999999999999</v>
      </c>
      <c r="F10" s="29">
        <v>81.561000000000007</v>
      </c>
      <c r="G10" s="6">
        <v>1</v>
      </c>
      <c r="H10" s="29">
        <v>120</v>
      </c>
      <c r="I10" s="29" t="s">
        <v>35</v>
      </c>
      <c r="J10" s="29"/>
      <c r="K10" s="29">
        <v>23</v>
      </c>
      <c r="L10" s="29">
        <f t="shared" si="2"/>
        <v>3.9379999999999988</v>
      </c>
      <c r="M10" s="29"/>
      <c r="N10" s="29"/>
      <c r="O10" s="29">
        <v>0</v>
      </c>
      <c r="P10" s="29">
        <f t="shared" si="3"/>
        <v>5.3875999999999999</v>
      </c>
      <c r="Q10" s="4"/>
      <c r="R10" s="4">
        <f t="shared" si="5"/>
        <v>0</v>
      </c>
      <c r="S10" s="38"/>
      <c r="T10" s="29">
        <f t="shared" si="6"/>
        <v>15.138651718761603</v>
      </c>
      <c r="U10" s="29">
        <f t="shared" si="4"/>
        <v>15.138651718761603</v>
      </c>
      <c r="V10" s="29">
        <v>1.9965999999999999</v>
      </c>
      <c r="W10" s="29">
        <v>4.4798</v>
      </c>
      <c r="X10" s="29">
        <v>7.0724</v>
      </c>
      <c r="Y10" s="29">
        <v>2.194</v>
      </c>
      <c r="Z10" s="29">
        <v>5.806</v>
      </c>
      <c r="AA10" s="29">
        <v>5.4875999999999996</v>
      </c>
      <c r="AB10" s="29">
        <v>0.2</v>
      </c>
      <c r="AC10" s="29">
        <v>0.1976</v>
      </c>
      <c r="AD10" s="29">
        <v>6.0484</v>
      </c>
      <c r="AE10" s="29">
        <v>6.9627999999999997</v>
      </c>
      <c r="AF10" s="36" t="s">
        <v>39</v>
      </c>
      <c r="AG10" s="29">
        <f t="shared" si="7"/>
        <v>0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</row>
    <row r="11" spans="1:48" x14ac:dyDescent="0.25">
      <c r="A11" s="29" t="s">
        <v>42</v>
      </c>
      <c r="B11" s="29" t="s">
        <v>37</v>
      </c>
      <c r="C11" s="29">
        <v>14.962</v>
      </c>
      <c r="D11" s="29"/>
      <c r="E11" s="29">
        <v>12.237</v>
      </c>
      <c r="F11" s="29">
        <v>2.7250000000000001</v>
      </c>
      <c r="G11" s="6">
        <v>1</v>
      </c>
      <c r="H11" s="29">
        <v>60</v>
      </c>
      <c r="I11" s="29" t="s">
        <v>35</v>
      </c>
      <c r="J11" s="29"/>
      <c r="K11" s="29">
        <v>9.9</v>
      </c>
      <c r="L11" s="29">
        <f t="shared" si="2"/>
        <v>2.3369999999999997</v>
      </c>
      <c r="M11" s="29"/>
      <c r="N11" s="29"/>
      <c r="O11" s="29">
        <v>49</v>
      </c>
      <c r="P11" s="29">
        <f t="shared" si="3"/>
        <v>2.4474</v>
      </c>
      <c r="Q11" s="4"/>
      <c r="R11" s="4">
        <f t="shared" si="5"/>
        <v>0</v>
      </c>
      <c r="S11" s="38"/>
      <c r="T11" s="29">
        <f t="shared" si="6"/>
        <v>21.134673531094222</v>
      </c>
      <c r="U11" s="29">
        <f t="shared" si="4"/>
        <v>21.134673531094222</v>
      </c>
      <c r="V11" s="29">
        <v>6.1752000000000002</v>
      </c>
      <c r="W11" s="29">
        <v>2.6863999999999999</v>
      </c>
      <c r="X11" s="29">
        <v>1.903</v>
      </c>
      <c r="Y11" s="29">
        <v>3.5127999999999999</v>
      </c>
      <c r="Z11" s="29">
        <v>7.3248000000000006</v>
      </c>
      <c r="AA11" s="29">
        <v>6.0904000000000007</v>
      </c>
      <c r="AB11" s="29">
        <v>2.7360000000000002</v>
      </c>
      <c r="AC11" s="29">
        <v>6.2005999999999997</v>
      </c>
      <c r="AD11" s="29">
        <v>9.0286000000000008</v>
      </c>
      <c r="AE11" s="29">
        <v>7.8545999999999996</v>
      </c>
      <c r="AF11" s="29"/>
      <c r="AG11" s="29">
        <f t="shared" si="7"/>
        <v>0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</row>
    <row r="12" spans="1:48" x14ac:dyDescent="0.25">
      <c r="A12" s="29" t="s">
        <v>43</v>
      </c>
      <c r="B12" s="29" t="s">
        <v>37</v>
      </c>
      <c r="C12" s="29">
        <v>251.66</v>
      </c>
      <c r="D12" s="29">
        <v>78.805000000000007</v>
      </c>
      <c r="E12" s="29">
        <v>75.328999999999994</v>
      </c>
      <c r="F12" s="29">
        <v>249.709</v>
      </c>
      <c r="G12" s="6">
        <v>1</v>
      </c>
      <c r="H12" s="29">
        <v>60</v>
      </c>
      <c r="I12" s="29" t="s">
        <v>35</v>
      </c>
      <c r="J12" s="29"/>
      <c r="K12" s="29">
        <v>70.8</v>
      </c>
      <c r="L12" s="29">
        <f t="shared" si="2"/>
        <v>4.5289999999999964</v>
      </c>
      <c r="M12" s="29"/>
      <c r="N12" s="29"/>
      <c r="O12" s="29">
        <v>0</v>
      </c>
      <c r="P12" s="29">
        <f t="shared" si="3"/>
        <v>15.065799999999999</v>
      </c>
      <c r="Q12" s="4"/>
      <c r="R12" s="4">
        <f t="shared" si="5"/>
        <v>0</v>
      </c>
      <c r="S12" s="38"/>
      <c r="T12" s="29">
        <f t="shared" si="6"/>
        <v>16.574559598560981</v>
      </c>
      <c r="U12" s="29">
        <f t="shared" si="4"/>
        <v>16.574559598560981</v>
      </c>
      <c r="V12" s="29">
        <v>13.480600000000001</v>
      </c>
      <c r="W12" s="29">
        <v>26.917200000000001</v>
      </c>
      <c r="X12" s="29">
        <v>10.520799999999999</v>
      </c>
      <c r="Y12" s="29">
        <v>33.927799999999998</v>
      </c>
      <c r="Z12" s="29">
        <v>22.140599999999999</v>
      </c>
      <c r="AA12" s="29">
        <v>5.3874000000000004</v>
      </c>
      <c r="AB12" s="29">
        <v>32.887999999999998</v>
      </c>
      <c r="AC12" s="29">
        <v>23.7438</v>
      </c>
      <c r="AD12" s="29">
        <v>30.880600000000001</v>
      </c>
      <c r="AE12" s="29">
        <v>18.755199999999999</v>
      </c>
      <c r="AF12" s="35" t="s">
        <v>44</v>
      </c>
      <c r="AG12" s="29">
        <f t="shared" si="7"/>
        <v>0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</row>
    <row r="13" spans="1:48" x14ac:dyDescent="0.25">
      <c r="A13" s="29" t="s">
        <v>45</v>
      </c>
      <c r="B13" s="29" t="s">
        <v>34</v>
      </c>
      <c r="C13" s="29">
        <v>351</v>
      </c>
      <c r="D13" s="29">
        <v>16</v>
      </c>
      <c r="E13" s="29">
        <v>153</v>
      </c>
      <c r="F13" s="29">
        <v>187</v>
      </c>
      <c r="G13" s="6">
        <v>0.25</v>
      </c>
      <c r="H13" s="29">
        <v>120</v>
      </c>
      <c r="I13" s="29" t="s">
        <v>35</v>
      </c>
      <c r="J13" s="29"/>
      <c r="K13" s="29">
        <v>149</v>
      </c>
      <c r="L13" s="29">
        <f t="shared" si="2"/>
        <v>4</v>
      </c>
      <c r="M13" s="29"/>
      <c r="N13" s="29"/>
      <c r="O13" s="29">
        <v>7</v>
      </c>
      <c r="P13" s="29">
        <f t="shared" si="3"/>
        <v>30.6</v>
      </c>
      <c r="Q13" s="4">
        <f>14*P13-O13-F13</f>
        <v>234.40000000000003</v>
      </c>
      <c r="R13" s="4">
        <f>S13</f>
        <v>400</v>
      </c>
      <c r="S13" s="38">
        <f>VLOOKUP(A13,[1]Sheet!$A:$R,18,0)</f>
        <v>400</v>
      </c>
      <c r="T13" s="29">
        <f t="shared" si="6"/>
        <v>19.411764705882351</v>
      </c>
      <c r="U13" s="29">
        <f t="shared" si="4"/>
        <v>6.3398692810457513</v>
      </c>
      <c r="V13" s="29">
        <v>24</v>
      </c>
      <c r="W13" s="29">
        <v>25.8</v>
      </c>
      <c r="X13" s="29">
        <v>30.4</v>
      </c>
      <c r="Y13" s="29">
        <v>5.2</v>
      </c>
      <c r="Z13" s="29">
        <v>36.200000000000003</v>
      </c>
      <c r="AA13" s="29">
        <v>45.2</v>
      </c>
      <c r="AB13" s="29">
        <v>21.4</v>
      </c>
      <c r="AC13" s="29">
        <v>18.2</v>
      </c>
      <c r="AD13" s="29">
        <v>39.799999999999997</v>
      </c>
      <c r="AE13" s="29">
        <v>32.200000000000003</v>
      </c>
      <c r="AF13" s="29" t="s">
        <v>39</v>
      </c>
      <c r="AG13" s="29">
        <f t="shared" si="7"/>
        <v>100</v>
      </c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</row>
    <row r="14" spans="1:48" x14ac:dyDescent="0.25">
      <c r="A14" s="29" t="s">
        <v>46</v>
      </c>
      <c r="B14" s="29" t="s">
        <v>37</v>
      </c>
      <c r="C14" s="29">
        <v>-3.0830000000000002</v>
      </c>
      <c r="D14" s="29">
        <v>85.475999999999999</v>
      </c>
      <c r="E14" s="29">
        <v>5.3410000000000002</v>
      </c>
      <c r="F14" s="29">
        <v>73.004000000000005</v>
      </c>
      <c r="G14" s="6">
        <v>1</v>
      </c>
      <c r="H14" s="29">
        <v>60</v>
      </c>
      <c r="I14" s="29" t="s">
        <v>35</v>
      </c>
      <c r="J14" s="29"/>
      <c r="K14" s="29">
        <v>10.5</v>
      </c>
      <c r="L14" s="29">
        <f t="shared" si="2"/>
        <v>-5.1589999999999998</v>
      </c>
      <c r="M14" s="29"/>
      <c r="N14" s="29"/>
      <c r="O14" s="29">
        <v>0</v>
      </c>
      <c r="P14" s="29">
        <f t="shared" si="3"/>
        <v>1.0682</v>
      </c>
      <c r="Q14" s="4"/>
      <c r="R14" s="4">
        <f t="shared" si="5"/>
        <v>0</v>
      </c>
      <c r="S14" s="38"/>
      <c r="T14" s="29">
        <f t="shared" si="6"/>
        <v>68.343006927541666</v>
      </c>
      <c r="U14" s="29">
        <f t="shared" si="4"/>
        <v>68.343006927541666</v>
      </c>
      <c r="V14" s="29">
        <v>0</v>
      </c>
      <c r="W14" s="29">
        <v>11.981199999999999</v>
      </c>
      <c r="X14" s="29">
        <v>2.4653999999999998</v>
      </c>
      <c r="Y14" s="29">
        <v>2.6850000000000001</v>
      </c>
      <c r="Z14" s="29">
        <v>5.6701999999999986</v>
      </c>
      <c r="AA14" s="29">
        <v>4.8360000000000003</v>
      </c>
      <c r="AB14" s="29">
        <v>4.3343999999999996</v>
      </c>
      <c r="AC14" s="29">
        <v>3.8136000000000001</v>
      </c>
      <c r="AD14" s="29">
        <v>3.4849999999999999</v>
      </c>
      <c r="AE14" s="29">
        <v>7.4036</v>
      </c>
      <c r="AF14" s="29"/>
      <c r="AG14" s="29">
        <f t="shared" si="7"/>
        <v>0</v>
      </c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</row>
    <row r="15" spans="1:48" x14ac:dyDescent="0.25">
      <c r="A15" s="29" t="s">
        <v>47</v>
      </c>
      <c r="B15" s="29" t="s">
        <v>34</v>
      </c>
      <c r="C15" s="29">
        <v>502</v>
      </c>
      <c r="D15" s="29">
        <v>32</v>
      </c>
      <c r="E15" s="29">
        <v>216</v>
      </c>
      <c r="F15" s="29">
        <v>276</v>
      </c>
      <c r="G15" s="6">
        <v>0.25</v>
      </c>
      <c r="H15" s="29">
        <v>120</v>
      </c>
      <c r="I15" s="29" t="s">
        <v>35</v>
      </c>
      <c r="J15" s="29"/>
      <c r="K15" s="29">
        <v>229</v>
      </c>
      <c r="L15" s="29">
        <f t="shared" si="2"/>
        <v>-13</v>
      </c>
      <c r="M15" s="29"/>
      <c r="N15" s="29"/>
      <c r="O15" s="29">
        <v>136</v>
      </c>
      <c r="P15" s="29">
        <f t="shared" si="3"/>
        <v>43.2</v>
      </c>
      <c r="Q15" s="4">
        <f t="shared" si="8"/>
        <v>236</v>
      </c>
      <c r="R15" s="4">
        <f>S15</f>
        <v>380</v>
      </c>
      <c r="S15" s="38">
        <f>VLOOKUP(A15,[1]Sheet!$A:$R,18,0)</f>
        <v>380</v>
      </c>
      <c r="T15" s="29">
        <f t="shared" si="6"/>
        <v>18.333333333333332</v>
      </c>
      <c r="U15" s="29">
        <f t="shared" si="4"/>
        <v>9.5370370370370363</v>
      </c>
      <c r="V15" s="29">
        <v>42.6</v>
      </c>
      <c r="W15" s="29">
        <v>22.2</v>
      </c>
      <c r="X15" s="29">
        <v>41.2</v>
      </c>
      <c r="Y15" s="29">
        <v>42</v>
      </c>
      <c r="Z15" s="29">
        <v>44.6</v>
      </c>
      <c r="AA15" s="29">
        <v>53.2</v>
      </c>
      <c r="AB15" s="29">
        <v>36</v>
      </c>
      <c r="AC15" s="29">
        <v>37</v>
      </c>
      <c r="AD15" s="29">
        <v>50.6</v>
      </c>
      <c r="AE15" s="29">
        <v>39</v>
      </c>
      <c r="AF15" s="29" t="s">
        <v>39</v>
      </c>
      <c r="AG15" s="29">
        <f t="shared" si="7"/>
        <v>95</v>
      </c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</row>
    <row r="16" spans="1:48" x14ac:dyDescent="0.25">
      <c r="A16" s="29" t="s">
        <v>48</v>
      </c>
      <c r="B16" s="29" t="s">
        <v>34</v>
      </c>
      <c r="C16" s="29">
        <v>2</v>
      </c>
      <c r="D16" s="29">
        <v>228</v>
      </c>
      <c r="E16" s="29">
        <v>18</v>
      </c>
      <c r="F16" s="29">
        <v>198</v>
      </c>
      <c r="G16" s="6">
        <v>0.4</v>
      </c>
      <c r="H16" s="29">
        <v>60</v>
      </c>
      <c r="I16" s="29" t="s">
        <v>35</v>
      </c>
      <c r="J16" s="29"/>
      <c r="K16" s="29">
        <v>41</v>
      </c>
      <c r="L16" s="29">
        <f t="shared" si="2"/>
        <v>-23</v>
      </c>
      <c r="M16" s="29"/>
      <c r="N16" s="29"/>
      <c r="O16" s="29">
        <v>0</v>
      </c>
      <c r="P16" s="29">
        <f t="shared" si="3"/>
        <v>3.6</v>
      </c>
      <c r="Q16" s="4"/>
      <c r="R16" s="4">
        <f t="shared" si="5"/>
        <v>0</v>
      </c>
      <c r="S16" s="38"/>
      <c r="T16" s="29">
        <f t="shared" si="6"/>
        <v>55</v>
      </c>
      <c r="U16" s="29">
        <f t="shared" si="4"/>
        <v>55</v>
      </c>
      <c r="V16" s="29">
        <v>13</v>
      </c>
      <c r="W16" s="29">
        <v>30</v>
      </c>
      <c r="X16" s="29">
        <v>13</v>
      </c>
      <c r="Y16" s="29">
        <v>17.600000000000001</v>
      </c>
      <c r="Z16" s="29">
        <v>17.600000000000001</v>
      </c>
      <c r="AA16" s="29">
        <v>26.6</v>
      </c>
      <c r="AB16" s="29">
        <v>10.8</v>
      </c>
      <c r="AC16" s="29">
        <v>15.4</v>
      </c>
      <c r="AD16" s="29">
        <v>33.6</v>
      </c>
      <c r="AE16" s="29">
        <v>22.8</v>
      </c>
      <c r="AF16" s="29"/>
      <c r="AG16" s="29">
        <f t="shared" si="7"/>
        <v>0</v>
      </c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</row>
    <row r="17" spans="1:48" x14ac:dyDescent="0.25">
      <c r="A17" s="29" t="s">
        <v>49</v>
      </c>
      <c r="B17" s="29" t="s">
        <v>37</v>
      </c>
      <c r="C17" s="29">
        <v>234.73500000000001</v>
      </c>
      <c r="D17" s="29">
        <v>72.088999999999999</v>
      </c>
      <c r="E17" s="29">
        <v>149.59299999999999</v>
      </c>
      <c r="F17" s="29">
        <v>140.26599999999999</v>
      </c>
      <c r="G17" s="6">
        <v>1</v>
      </c>
      <c r="H17" s="29">
        <v>45</v>
      </c>
      <c r="I17" s="29" t="s">
        <v>35</v>
      </c>
      <c r="J17" s="29"/>
      <c r="K17" s="29">
        <v>139.5</v>
      </c>
      <c r="L17" s="29">
        <f t="shared" si="2"/>
        <v>10.092999999999989</v>
      </c>
      <c r="M17" s="29"/>
      <c r="N17" s="29"/>
      <c r="O17" s="29">
        <v>186</v>
      </c>
      <c r="P17" s="29">
        <f t="shared" si="3"/>
        <v>29.918599999999998</v>
      </c>
      <c r="Q17" s="4">
        <f t="shared" si="8"/>
        <v>122.51300000000001</v>
      </c>
      <c r="R17" s="4">
        <f t="shared" si="5"/>
        <v>123</v>
      </c>
      <c r="S17" s="38"/>
      <c r="T17" s="29">
        <f t="shared" si="6"/>
        <v>15.016277499615624</v>
      </c>
      <c r="U17" s="29">
        <f t="shared" si="4"/>
        <v>10.905122565895462</v>
      </c>
      <c r="V17" s="29">
        <v>32.3752</v>
      </c>
      <c r="W17" s="29">
        <v>30.775400000000001</v>
      </c>
      <c r="X17" s="29">
        <v>35.424999999999997</v>
      </c>
      <c r="Y17" s="29">
        <v>34.663200000000003</v>
      </c>
      <c r="Z17" s="29">
        <v>30.606400000000001</v>
      </c>
      <c r="AA17" s="29">
        <v>45.867800000000003</v>
      </c>
      <c r="AB17" s="29">
        <v>34.546199999999999</v>
      </c>
      <c r="AC17" s="29">
        <v>30.534400000000002</v>
      </c>
      <c r="AD17" s="29">
        <v>39.906199999999998</v>
      </c>
      <c r="AE17" s="29">
        <v>48.837800000000001</v>
      </c>
      <c r="AF17" s="29"/>
      <c r="AG17" s="29">
        <f t="shared" si="7"/>
        <v>123</v>
      </c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</row>
    <row r="18" spans="1:48" x14ac:dyDescent="0.25">
      <c r="A18" s="8" t="s">
        <v>50</v>
      </c>
      <c r="B18" s="8" t="s">
        <v>34</v>
      </c>
      <c r="C18" s="8">
        <v>-1</v>
      </c>
      <c r="D18" s="8"/>
      <c r="E18" s="8"/>
      <c r="F18" s="8">
        <v>-1</v>
      </c>
      <c r="G18" s="9">
        <v>0</v>
      </c>
      <c r="H18" s="8">
        <v>60</v>
      </c>
      <c r="I18" s="8" t="s">
        <v>51</v>
      </c>
      <c r="J18" s="8"/>
      <c r="K18" s="8"/>
      <c r="L18" s="8">
        <f t="shared" si="2"/>
        <v>0</v>
      </c>
      <c r="M18" s="8"/>
      <c r="N18" s="8"/>
      <c r="O18" s="8">
        <v>0</v>
      </c>
      <c r="P18" s="8">
        <f t="shared" si="3"/>
        <v>0</v>
      </c>
      <c r="Q18" s="10"/>
      <c r="R18" s="4">
        <f t="shared" si="5"/>
        <v>0</v>
      </c>
      <c r="S18" s="38"/>
      <c r="T18" s="29" t="e">
        <f t="shared" si="6"/>
        <v>#DIV/0!</v>
      </c>
      <c r="U18" s="8" t="e">
        <f t="shared" si="4"/>
        <v>#DIV/0!</v>
      </c>
      <c r="V18" s="8">
        <v>0</v>
      </c>
      <c r="W18" s="8">
        <v>1.6</v>
      </c>
      <c r="X18" s="8">
        <v>0.4</v>
      </c>
      <c r="Y18" s="8">
        <v>3</v>
      </c>
      <c r="Z18" s="8">
        <v>0.4</v>
      </c>
      <c r="AA18" s="8">
        <v>2.4</v>
      </c>
      <c r="AB18" s="8">
        <v>3.2</v>
      </c>
      <c r="AC18" s="8">
        <v>2.4</v>
      </c>
      <c r="AD18" s="8">
        <v>0</v>
      </c>
      <c r="AE18" s="8">
        <v>1.4</v>
      </c>
      <c r="AF18" s="8"/>
      <c r="AG18" s="29">
        <f t="shared" si="7"/>
        <v>0</v>
      </c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</row>
    <row r="19" spans="1:48" x14ac:dyDescent="0.25">
      <c r="A19" s="29" t="s">
        <v>52</v>
      </c>
      <c r="B19" s="29" t="s">
        <v>37</v>
      </c>
      <c r="C19" s="29">
        <v>104.932</v>
      </c>
      <c r="D19" s="29">
        <v>0.99399999999999999</v>
      </c>
      <c r="E19" s="29">
        <v>22.631</v>
      </c>
      <c r="F19" s="29">
        <v>80.790999999999997</v>
      </c>
      <c r="G19" s="6">
        <v>1</v>
      </c>
      <c r="H19" s="29">
        <v>120</v>
      </c>
      <c r="I19" s="29" t="s">
        <v>35</v>
      </c>
      <c r="J19" s="29"/>
      <c r="K19" s="29">
        <v>22.5</v>
      </c>
      <c r="L19" s="29">
        <f t="shared" si="2"/>
        <v>0.13100000000000023</v>
      </c>
      <c r="M19" s="29"/>
      <c r="N19" s="29"/>
      <c r="O19" s="29">
        <v>0</v>
      </c>
      <c r="P19" s="29">
        <f t="shared" si="3"/>
        <v>4.5262000000000002</v>
      </c>
      <c r="Q19" s="4"/>
      <c r="R19" s="4">
        <f t="shared" si="5"/>
        <v>0</v>
      </c>
      <c r="S19" s="38"/>
      <c r="T19" s="29">
        <f t="shared" si="6"/>
        <v>17.849631037073038</v>
      </c>
      <c r="U19" s="29">
        <f t="shared" si="4"/>
        <v>17.849631037073038</v>
      </c>
      <c r="V19" s="29">
        <v>3.2416</v>
      </c>
      <c r="W19" s="29">
        <v>2.4184000000000001</v>
      </c>
      <c r="X19" s="29">
        <v>6.6599999999999993</v>
      </c>
      <c r="Y19" s="29">
        <v>4.0536000000000003</v>
      </c>
      <c r="Z19" s="29">
        <v>5.4851999999999999</v>
      </c>
      <c r="AA19" s="29">
        <v>5.8171999999999997</v>
      </c>
      <c r="AB19" s="29">
        <v>6.9495999999999993</v>
      </c>
      <c r="AC19" s="29">
        <v>2.3774000000000002</v>
      </c>
      <c r="AD19" s="29">
        <v>3.0162</v>
      </c>
      <c r="AE19" s="29">
        <v>7.0650000000000004</v>
      </c>
      <c r="AF19" s="37" t="s">
        <v>190</v>
      </c>
      <c r="AG19" s="29">
        <f t="shared" si="7"/>
        <v>0</v>
      </c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</row>
    <row r="20" spans="1:48" x14ac:dyDescent="0.25">
      <c r="A20" s="29" t="s">
        <v>53</v>
      </c>
      <c r="B20" s="29" t="s">
        <v>34</v>
      </c>
      <c r="C20" s="29">
        <v>23</v>
      </c>
      <c r="D20" s="29">
        <v>200</v>
      </c>
      <c r="E20" s="29">
        <v>179</v>
      </c>
      <c r="F20" s="29">
        <v>12</v>
      </c>
      <c r="G20" s="6">
        <v>0.4</v>
      </c>
      <c r="H20" s="29">
        <v>45</v>
      </c>
      <c r="I20" s="29" t="s">
        <v>35</v>
      </c>
      <c r="J20" s="29"/>
      <c r="K20" s="29">
        <v>239</v>
      </c>
      <c r="L20" s="29">
        <f t="shared" si="2"/>
        <v>-60</v>
      </c>
      <c r="M20" s="29"/>
      <c r="N20" s="29"/>
      <c r="O20" s="29">
        <v>327</v>
      </c>
      <c r="P20" s="29">
        <f t="shared" si="3"/>
        <v>35.799999999999997</v>
      </c>
      <c r="Q20" s="4">
        <f t="shared" ref="Q20:Q22" si="9">15*P20-O20-F20</f>
        <v>198</v>
      </c>
      <c r="R20" s="4">
        <f>S20</f>
        <v>300</v>
      </c>
      <c r="S20" s="38">
        <f>VLOOKUP(A20,[1]Sheet!$A:$R,18,0)</f>
        <v>300</v>
      </c>
      <c r="T20" s="29">
        <f t="shared" si="6"/>
        <v>17.849162011173185</v>
      </c>
      <c r="U20" s="29">
        <f t="shared" si="4"/>
        <v>9.4692737430167604</v>
      </c>
      <c r="V20" s="29">
        <v>43.4</v>
      </c>
      <c r="W20" s="29">
        <v>27</v>
      </c>
      <c r="X20" s="29">
        <v>25</v>
      </c>
      <c r="Y20" s="29">
        <v>18.2</v>
      </c>
      <c r="Z20" s="29">
        <v>23.2</v>
      </c>
      <c r="AA20" s="29">
        <v>42</v>
      </c>
      <c r="AB20" s="29">
        <v>31.8</v>
      </c>
      <c r="AC20" s="29">
        <v>31.4</v>
      </c>
      <c r="AD20" s="29">
        <v>39.799999999999997</v>
      </c>
      <c r="AE20" s="29">
        <v>30.4</v>
      </c>
      <c r="AF20" s="29"/>
      <c r="AG20" s="29">
        <f t="shared" si="7"/>
        <v>120</v>
      </c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</row>
    <row r="21" spans="1:48" x14ac:dyDescent="0.25">
      <c r="A21" s="29" t="s">
        <v>54</v>
      </c>
      <c r="B21" s="29" t="s">
        <v>37</v>
      </c>
      <c r="C21" s="29">
        <v>248.45099999999999</v>
      </c>
      <c r="D21" s="29"/>
      <c r="E21" s="29">
        <v>34.28</v>
      </c>
      <c r="F21" s="29">
        <v>206.82599999999999</v>
      </c>
      <c r="G21" s="6">
        <v>1</v>
      </c>
      <c r="H21" s="29">
        <v>60</v>
      </c>
      <c r="I21" s="29" t="s">
        <v>35</v>
      </c>
      <c r="J21" s="29"/>
      <c r="K21" s="29">
        <v>30.3</v>
      </c>
      <c r="L21" s="29">
        <f t="shared" si="2"/>
        <v>3.9800000000000004</v>
      </c>
      <c r="M21" s="29"/>
      <c r="N21" s="29"/>
      <c r="O21" s="29">
        <v>0</v>
      </c>
      <c r="P21" s="29">
        <f t="shared" si="3"/>
        <v>6.8559999999999999</v>
      </c>
      <c r="Q21" s="4"/>
      <c r="R21" s="4">
        <f t="shared" si="5"/>
        <v>0</v>
      </c>
      <c r="S21" s="38"/>
      <c r="T21" s="29">
        <f t="shared" si="6"/>
        <v>30.1671528588098</v>
      </c>
      <c r="U21" s="29">
        <f t="shared" si="4"/>
        <v>30.1671528588098</v>
      </c>
      <c r="V21" s="29">
        <v>10.878</v>
      </c>
      <c r="W21" s="29">
        <v>10.856</v>
      </c>
      <c r="X21" s="29">
        <v>24.0562</v>
      </c>
      <c r="Y21" s="29">
        <v>8.1525999999999996</v>
      </c>
      <c r="Z21" s="29">
        <v>17.556799999999999</v>
      </c>
      <c r="AA21" s="29">
        <v>21.112400000000001</v>
      </c>
      <c r="AB21" s="29">
        <v>24.304200000000002</v>
      </c>
      <c r="AC21" s="29">
        <v>17.704999999999998</v>
      </c>
      <c r="AD21" s="29">
        <v>11.230600000000001</v>
      </c>
      <c r="AE21" s="29">
        <v>31.431000000000001</v>
      </c>
      <c r="AF21" s="35" t="s">
        <v>44</v>
      </c>
      <c r="AG21" s="29">
        <f t="shared" si="7"/>
        <v>0</v>
      </c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</row>
    <row r="22" spans="1:48" x14ac:dyDescent="0.25">
      <c r="A22" s="29" t="s">
        <v>55</v>
      </c>
      <c r="B22" s="29" t="s">
        <v>34</v>
      </c>
      <c r="C22" s="29">
        <v>482</v>
      </c>
      <c r="D22" s="29">
        <v>32</v>
      </c>
      <c r="E22" s="29">
        <v>245</v>
      </c>
      <c r="F22" s="29">
        <v>219</v>
      </c>
      <c r="G22" s="6">
        <v>0.22</v>
      </c>
      <c r="H22" s="29">
        <v>120</v>
      </c>
      <c r="I22" s="29" t="s">
        <v>35</v>
      </c>
      <c r="J22" s="29"/>
      <c r="K22" s="29">
        <v>261</v>
      </c>
      <c r="L22" s="29">
        <f t="shared" si="2"/>
        <v>-16</v>
      </c>
      <c r="M22" s="29"/>
      <c r="N22" s="29"/>
      <c r="O22" s="29">
        <v>200</v>
      </c>
      <c r="P22" s="29">
        <f t="shared" si="3"/>
        <v>49</v>
      </c>
      <c r="Q22" s="4">
        <f t="shared" si="9"/>
        <v>316</v>
      </c>
      <c r="R22" s="4">
        <f>S22</f>
        <v>400</v>
      </c>
      <c r="S22" s="38">
        <f>VLOOKUP(A22,[1]Sheet!$A:$R,18,0)</f>
        <v>400</v>
      </c>
      <c r="T22" s="29">
        <f t="shared" si="6"/>
        <v>16.714285714285715</v>
      </c>
      <c r="U22" s="29">
        <f t="shared" si="4"/>
        <v>8.5510204081632661</v>
      </c>
      <c r="V22" s="29">
        <v>45.4</v>
      </c>
      <c r="W22" s="29">
        <v>26.4</v>
      </c>
      <c r="X22" s="29">
        <v>43</v>
      </c>
      <c r="Y22" s="29">
        <v>50.8</v>
      </c>
      <c r="Z22" s="29">
        <v>39.6</v>
      </c>
      <c r="AA22" s="29">
        <v>53.4</v>
      </c>
      <c r="AB22" s="29">
        <v>36.200000000000003</v>
      </c>
      <c r="AC22" s="29">
        <v>39.200000000000003</v>
      </c>
      <c r="AD22" s="29">
        <v>46.6</v>
      </c>
      <c r="AE22" s="29">
        <v>40.4</v>
      </c>
      <c r="AF22" s="29" t="s">
        <v>39</v>
      </c>
      <c r="AG22" s="29">
        <f t="shared" si="7"/>
        <v>88</v>
      </c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</row>
    <row r="23" spans="1:48" x14ac:dyDescent="0.25">
      <c r="A23" s="29" t="s">
        <v>56</v>
      </c>
      <c r="B23" s="29" t="s">
        <v>37</v>
      </c>
      <c r="C23" s="29">
        <v>28.641999999999999</v>
      </c>
      <c r="D23" s="29">
        <v>3.806</v>
      </c>
      <c r="E23" s="29">
        <v>1.6719999999999999</v>
      </c>
      <c r="F23" s="29">
        <v>30.462</v>
      </c>
      <c r="G23" s="6">
        <v>1</v>
      </c>
      <c r="H23" s="29">
        <v>40</v>
      </c>
      <c r="I23" s="29" t="s">
        <v>35</v>
      </c>
      <c r="J23" s="29"/>
      <c r="K23" s="29">
        <v>1.9</v>
      </c>
      <c r="L23" s="29">
        <f t="shared" si="2"/>
        <v>-0.22799999999999998</v>
      </c>
      <c r="M23" s="29"/>
      <c r="N23" s="29"/>
      <c r="O23" s="29">
        <v>5</v>
      </c>
      <c r="P23" s="29">
        <f t="shared" si="3"/>
        <v>0.33439999999999998</v>
      </c>
      <c r="Q23" s="4"/>
      <c r="R23" s="4">
        <f t="shared" si="5"/>
        <v>0</v>
      </c>
      <c r="S23" s="38"/>
      <c r="T23" s="29">
        <f t="shared" si="6"/>
        <v>106.04665071770337</v>
      </c>
      <c r="U23" s="29">
        <f t="shared" si="4"/>
        <v>106.04665071770337</v>
      </c>
      <c r="V23" s="29">
        <v>2.4996</v>
      </c>
      <c r="W23" s="29">
        <v>2.4508000000000001</v>
      </c>
      <c r="X23" s="29">
        <v>1.9847999999999999</v>
      </c>
      <c r="Y23" s="29">
        <v>4.2624000000000004</v>
      </c>
      <c r="Z23" s="29">
        <v>2.1756000000000002</v>
      </c>
      <c r="AA23" s="29">
        <v>4.0891999999999999</v>
      </c>
      <c r="AB23" s="29">
        <v>7.2516000000000007</v>
      </c>
      <c r="AC23" s="29">
        <v>2.1152000000000002</v>
      </c>
      <c r="AD23" s="29">
        <v>12.4244</v>
      </c>
      <c r="AE23" s="29">
        <v>0</v>
      </c>
      <c r="AF23" s="35" t="s">
        <v>44</v>
      </c>
      <c r="AG23" s="29">
        <f t="shared" si="7"/>
        <v>0</v>
      </c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</row>
    <row r="24" spans="1:48" x14ac:dyDescent="0.25">
      <c r="A24" s="8" t="s">
        <v>57</v>
      </c>
      <c r="B24" s="8" t="s">
        <v>34</v>
      </c>
      <c r="C24" s="8">
        <v>2</v>
      </c>
      <c r="D24" s="8"/>
      <c r="E24" s="8"/>
      <c r="F24" s="8">
        <v>2</v>
      </c>
      <c r="G24" s="9">
        <v>0</v>
      </c>
      <c r="H24" s="8">
        <v>45</v>
      </c>
      <c r="I24" s="8" t="s">
        <v>51</v>
      </c>
      <c r="J24" s="8"/>
      <c r="K24" s="8"/>
      <c r="L24" s="8">
        <f t="shared" si="2"/>
        <v>0</v>
      </c>
      <c r="M24" s="8"/>
      <c r="N24" s="8"/>
      <c r="O24" s="8">
        <v>0</v>
      </c>
      <c r="P24" s="8">
        <f t="shared" si="3"/>
        <v>0</v>
      </c>
      <c r="Q24" s="10"/>
      <c r="R24" s="4">
        <f t="shared" si="5"/>
        <v>0</v>
      </c>
      <c r="S24" s="38"/>
      <c r="T24" s="29" t="e">
        <f t="shared" si="6"/>
        <v>#DIV/0!</v>
      </c>
      <c r="U24" s="8" t="e">
        <f t="shared" si="4"/>
        <v>#DIV/0!</v>
      </c>
      <c r="V24" s="8">
        <v>0</v>
      </c>
      <c r="W24" s="8">
        <v>-0.4</v>
      </c>
      <c r="X24" s="8">
        <v>0.2</v>
      </c>
      <c r="Y24" s="8">
        <v>1.2</v>
      </c>
      <c r="Z24" s="8">
        <v>-1</v>
      </c>
      <c r="AA24" s="8">
        <v>0.8</v>
      </c>
      <c r="AB24" s="8">
        <v>3.4</v>
      </c>
      <c r="AC24" s="8">
        <v>0.6</v>
      </c>
      <c r="AD24" s="8">
        <v>6.4</v>
      </c>
      <c r="AE24" s="8">
        <v>12.4</v>
      </c>
      <c r="AF24" s="8"/>
      <c r="AG24" s="29">
        <f t="shared" si="7"/>
        <v>0</v>
      </c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</row>
    <row r="25" spans="1:48" x14ac:dyDescent="0.25">
      <c r="A25" s="29" t="s">
        <v>58</v>
      </c>
      <c r="B25" s="29" t="s">
        <v>37</v>
      </c>
      <c r="C25" s="29">
        <v>161.69399999999999</v>
      </c>
      <c r="D25" s="29"/>
      <c r="E25" s="29">
        <v>26.497</v>
      </c>
      <c r="F25" s="29">
        <v>130.512</v>
      </c>
      <c r="G25" s="6">
        <v>1</v>
      </c>
      <c r="H25" s="29">
        <v>60</v>
      </c>
      <c r="I25" s="29" t="s">
        <v>35</v>
      </c>
      <c r="J25" s="29"/>
      <c r="K25" s="29">
        <v>23.6</v>
      </c>
      <c r="L25" s="29">
        <f t="shared" si="2"/>
        <v>2.8969999999999985</v>
      </c>
      <c r="M25" s="29"/>
      <c r="N25" s="29"/>
      <c r="O25" s="29">
        <v>0</v>
      </c>
      <c r="P25" s="29">
        <f t="shared" si="3"/>
        <v>5.2994000000000003</v>
      </c>
      <c r="Q25" s="4"/>
      <c r="R25" s="4">
        <f t="shared" si="5"/>
        <v>0</v>
      </c>
      <c r="S25" s="38"/>
      <c r="T25" s="29">
        <f t="shared" si="6"/>
        <v>24.627693701173715</v>
      </c>
      <c r="U25" s="29">
        <f t="shared" si="4"/>
        <v>24.627693701173715</v>
      </c>
      <c r="V25" s="29">
        <v>9.1290000000000013</v>
      </c>
      <c r="W25" s="29">
        <v>6.2380000000000004</v>
      </c>
      <c r="X25" s="29">
        <v>2.7120000000000002</v>
      </c>
      <c r="Y25" s="29">
        <v>16.8964</v>
      </c>
      <c r="Z25" s="29">
        <v>19.1616</v>
      </c>
      <c r="AA25" s="29">
        <v>12.140599999999999</v>
      </c>
      <c r="AB25" s="29">
        <v>8.6478000000000002</v>
      </c>
      <c r="AC25" s="29">
        <v>19.2288</v>
      </c>
      <c r="AD25" s="29">
        <v>4.0523999999999996</v>
      </c>
      <c r="AE25" s="29">
        <v>4.8731999999999998</v>
      </c>
      <c r="AF25" s="35" t="s">
        <v>44</v>
      </c>
      <c r="AG25" s="29">
        <f t="shared" si="7"/>
        <v>0</v>
      </c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</row>
    <row r="26" spans="1:48" x14ac:dyDescent="0.25">
      <c r="A26" s="29" t="s">
        <v>59</v>
      </c>
      <c r="B26" s="29" t="s">
        <v>34</v>
      </c>
      <c r="C26" s="29">
        <v>23</v>
      </c>
      <c r="D26" s="29">
        <v>90</v>
      </c>
      <c r="E26" s="29">
        <v>45</v>
      </c>
      <c r="F26" s="29">
        <v>59</v>
      </c>
      <c r="G26" s="6">
        <v>0.09</v>
      </c>
      <c r="H26" s="29">
        <v>60</v>
      </c>
      <c r="I26" s="29" t="s">
        <v>35</v>
      </c>
      <c r="J26" s="29"/>
      <c r="K26" s="29">
        <v>59</v>
      </c>
      <c r="L26" s="29">
        <f t="shared" si="2"/>
        <v>-14</v>
      </c>
      <c r="M26" s="29"/>
      <c r="N26" s="29"/>
      <c r="O26" s="29">
        <v>36</v>
      </c>
      <c r="P26" s="29">
        <f t="shared" si="3"/>
        <v>9</v>
      </c>
      <c r="Q26" s="4">
        <f t="shared" ref="Q26:Q31" si="10">15*P26-O26-F26</f>
        <v>40</v>
      </c>
      <c r="R26" s="4">
        <f t="shared" si="5"/>
        <v>40</v>
      </c>
      <c r="S26" s="38"/>
      <c r="T26" s="29">
        <f t="shared" si="6"/>
        <v>15</v>
      </c>
      <c r="U26" s="29">
        <f t="shared" si="4"/>
        <v>10.555555555555555</v>
      </c>
      <c r="V26" s="29">
        <v>10</v>
      </c>
      <c r="W26" s="29">
        <v>11.4</v>
      </c>
      <c r="X26" s="29">
        <v>9.1999999999999993</v>
      </c>
      <c r="Y26" s="29">
        <v>6.2</v>
      </c>
      <c r="Z26" s="29">
        <v>9.8000000000000007</v>
      </c>
      <c r="AA26" s="29">
        <v>9.8000000000000007</v>
      </c>
      <c r="AB26" s="29">
        <v>4</v>
      </c>
      <c r="AC26" s="29">
        <v>14.4</v>
      </c>
      <c r="AD26" s="29">
        <v>7.8</v>
      </c>
      <c r="AE26" s="29">
        <v>14.6</v>
      </c>
      <c r="AF26" s="29"/>
      <c r="AG26" s="29">
        <f t="shared" si="7"/>
        <v>3.5999999999999996</v>
      </c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</row>
    <row r="27" spans="1:48" x14ac:dyDescent="0.25">
      <c r="A27" s="29" t="s">
        <v>60</v>
      </c>
      <c r="B27" s="29" t="s">
        <v>34</v>
      </c>
      <c r="C27" s="29">
        <v>76</v>
      </c>
      <c r="D27" s="29">
        <v>60</v>
      </c>
      <c r="E27" s="29">
        <v>65</v>
      </c>
      <c r="F27" s="29">
        <v>66</v>
      </c>
      <c r="G27" s="6">
        <v>0.09</v>
      </c>
      <c r="H27" s="29">
        <v>45</v>
      </c>
      <c r="I27" s="29" t="s">
        <v>35</v>
      </c>
      <c r="J27" s="29"/>
      <c r="K27" s="29">
        <v>68</v>
      </c>
      <c r="L27" s="29">
        <f t="shared" si="2"/>
        <v>-3</v>
      </c>
      <c r="M27" s="29"/>
      <c r="N27" s="29"/>
      <c r="O27" s="29">
        <v>26</v>
      </c>
      <c r="P27" s="29">
        <f t="shared" si="3"/>
        <v>13</v>
      </c>
      <c r="Q27" s="4">
        <f t="shared" si="10"/>
        <v>103</v>
      </c>
      <c r="R27" s="4">
        <f t="shared" si="5"/>
        <v>103</v>
      </c>
      <c r="S27" s="38"/>
      <c r="T27" s="29">
        <f t="shared" si="6"/>
        <v>15</v>
      </c>
      <c r="U27" s="29">
        <f t="shared" si="4"/>
        <v>7.0769230769230766</v>
      </c>
      <c r="V27" s="29">
        <v>11</v>
      </c>
      <c r="W27" s="29">
        <v>11.8</v>
      </c>
      <c r="X27" s="29">
        <v>14.2</v>
      </c>
      <c r="Y27" s="29">
        <v>9.1999999999999993</v>
      </c>
      <c r="Z27" s="29">
        <v>15</v>
      </c>
      <c r="AA27" s="29">
        <v>14.6</v>
      </c>
      <c r="AB27" s="29">
        <v>5.6</v>
      </c>
      <c r="AC27" s="29">
        <v>14</v>
      </c>
      <c r="AD27" s="29">
        <v>24</v>
      </c>
      <c r="AE27" s="29">
        <v>9.4</v>
      </c>
      <c r="AF27" s="29" t="s">
        <v>61</v>
      </c>
      <c r="AG27" s="29">
        <f t="shared" si="7"/>
        <v>9.27</v>
      </c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</row>
    <row r="28" spans="1:48" x14ac:dyDescent="0.25">
      <c r="A28" s="29" t="s">
        <v>62</v>
      </c>
      <c r="B28" s="29" t="s">
        <v>34</v>
      </c>
      <c r="C28" s="29">
        <v>27</v>
      </c>
      <c r="D28" s="29"/>
      <c r="E28" s="29">
        <v>22</v>
      </c>
      <c r="F28" s="29">
        <v>5</v>
      </c>
      <c r="G28" s="6">
        <v>0.15</v>
      </c>
      <c r="H28" s="29">
        <v>45</v>
      </c>
      <c r="I28" s="29" t="s">
        <v>35</v>
      </c>
      <c r="J28" s="29"/>
      <c r="K28" s="29">
        <v>136</v>
      </c>
      <c r="L28" s="29">
        <f t="shared" si="2"/>
        <v>-114</v>
      </c>
      <c r="M28" s="29"/>
      <c r="N28" s="29"/>
      <c r="O28" s="29">
        <v>233</v>
      </c>
      <c r="P28" s="29">
        <f t="shared" si="3"/>
        <v>4.4000000000000004</v>
      </c>
      <c r="Q28" s="4"/>
      <c r="R28" s="4">
        <f t="shared" si="5"/>
        <v>0</v>
      </c>
      <c r="S28" s="38"/>
      <c r="T28" s="29">
        <f t="shared" si="6"/>
        <v>54.090909090909086</v>
      </c>
      <c r="U28" s="29">
        <f t="shared" si="4"/>
        <v>54.090909090909086</v>
      </c>
      <c r="V28" s="29">
        <v>28.8</v>
      </c>
      <c r="W28" s="29">
        <v>9.8000000000000007</v>
      </c>
      <c r="X28" s="29">
        <v>5.6</v>
      </c>
      <c r="Y28" s="29">
        <v>5.4</v>
      </c>
      <c r="Z28" s="29">
        <v>35.799999999999997</v>
      </c>
      <c r="AA28" s="29">
        <v>13.2</v>
      </c>
      <c r="AB28" s="29">
        <v>6.2</v>
      </c>
      <c r="AC28" s="29">
        <v>13.2</v>
      </c>
      <c r="AD28" s="29">
        <v>34.799999999999997</v>
      </c>
      <c r="AE28" s="29">
        <v>1.8</v>
      </c>
      <c r="AF28" s="29"/>
      <c r="AG28" s="29">
        <f t="shared" si="7"/>
        <v>0</v>
      </c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</row>
    <row r="29" spans="1:48" x14ac:dyDescent="0.25">
      <c r="A29" s="29" t="s">
        <v>63</v>
      </c>
      <c r="B29" s="29" t="s">
        <v>37</v>
      </c>
      <c r="C29" s="29">
        <v>261.50700000000001</v>
      </c>
      <c r="D29" s="29">
        <v>298.32799999999997</v>
      </c>
      <c r="E29" s="29">
        <v>261.80399999999997</v>
      </c>
      <c r="F29" s="29">
        <v>278.584</v>
      </c>
      <c r="G29" s="6">
        <v>1</v>
      </c>
      <c r="H29" s="29">
        <v>45</v>
      </c>
      <c r="I29" s="29" t="s">
        <v>35</v>
      </c>
      <c r="J29" s="29"/>
      <c r="K29" s="29">
        <v>239.5</v>
      </c>
      <c r="L29" s="29">
        <f t="shared" si="2"/>
        <v>22.303999999999974</v>
      </c>
      <c r="M29" s="29"/>
      <c r="N29" s="29"/>
      <c r="O29" s="29">
        <v>383</v>
      </c>
      <c r="P29" s="29">
        <f t="shared" si="3"/>
        <v>52.360799999999998</v>
      </c>
      <c r="Q29" s="4">
        <f t="shared" si="10"/>
        <v>123.82799999999992</v>
      </c>
      <c r="R29" s="4">
        <f>S29</f>
        <v>250</v>
      </c>
      <c r="S29" s="38">
        <f>VLOOKUP(A29,[1]Sheet!$A:$R,18,0)</f>
        <v>250</v>
      </c>
      <c r="T29" s="29">
        <f t="shared" si="6"/>
        <v>17.409665245756369</v>
      </c>
      <c r="U29" s="29">
        <f t="shared" si="4"/>
        <v>12.635101067974517</v>
      </c>
      <c r="V29" s="29">
        <v>59.6554</v>
      </c>
      <c r="W29" s="29">
        <v>54.178400000000003</v>
      </c>
      <c r="X29" s="29">
        <v>42.113</v>
      </c>
      <c r="Y29" s="29">
        <v>29.1554</v>
      </c>
      <c r="Z29" s="29">
        <v>66.340599999999995</v>
      </c>
      <c r="AA29" s="29">
        <v>67.525599999999997</v>
      </c>
      <c r="AB29" s="29">
        <v>39.037400000000012</v>
      </c>
      <c r="AC29" s="29">
        <v>59.512199999999993</v>
      </c>
      <c r="AD29" s="29">
        <v>62.627200000000002</v>
      </c>
      <c r="AE29" s="29">
        <v>30.008800000000001</v>
      </c>
      <c r="AF29" s="29"/>
      <c r="AG29" s="29">
        <f t="shared" si="7"/>
        <v>250</v>
      </c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</row>
    <row r="30" spans="1:48" x14ac:dyDescent="0.25">
      <c r="A30" s="29" t="s">
        <v>64</v>
      </c>
      <c r="B30" s="29" t="s">
        <v>34</v>
      </c>
      <c r="C30" s="29">
        <v>2</v>
      </c>
      <c r="D30" s="29">
        <v>184</v>
      </c>
      <c r="E30" s="29">
        <v>32</v>
      </c>
      <c r="F30" s="29">
        <v>145</v>
      </c>
      <c r="G30" s="6">
        <v>0.4</v>
      </c>
      <c r="H30" s="29">
        <v>60</v>
      </c>
      <c r="I30" s="29" t="s">
        <v>35</v>
      </c>
      <c r="J30" s="29"/>
      <c r="K30" s="29">
        <v>37</v>
      </c>
      <c r="L30" s="29">
        <f t="shared" si="2"/>
        <v>-5</v>
      </c>
      <c r="M30" s="29"/>
      <c r="N30" s="29"/>
      <c r="O30" s="29">
        <v>0</v>
      </c>
      <c r="P30" s="29">
        <f t="shared" si="3"/>
        <v>6.4</v>
      </c>
      <c r="Q30" s="4"/>
      <c r="R30" s="4">
        <f t="shared" si="5"/>
        <v>0</v>
      </c>
      <c r="S30" s="38"/>
      <c r="T30" s="29">
        <f t="shared" si="6"/>
        <v>22.65625</v>
      </c>
      <c r="U30" s="29">
        <f t="shared" si="4"/>
        <v>22.65625</v>
      </c>
      <c r="V30" s="29">
        <v>2.4</v>
      </c>
      <c r="W30" s="29">
        <v>28.2</v>
      </c>
      <c r="X30" s="29">
        <v>8.1999999999999993</v>
      </c>
      <c r="Y30" s="29">
        <v>7.6</v>
      </c>
      <c r="Z30" s="29">
        <v>15.8</v>
      </c>
      <c r="AA30" s="29">
        <v>14.2</v>
      </c>
      <c r="AB30" s="29">
        <v>11.4</v>
      </c>
      <c r="AC30" s="29">
        <v>4.4000000000000004</v>
      </c>
      <c r="AD30" s="29">
        <v>4.8</v>
      </c>
      <c r="AE30" s="29">
        <v>20.2</v>
      </c>
      <c r="AF30" s="29"/>
      <c r="AG30" s="29">
        <f t="shared" si="7"/>
        <v>0</v>
      </c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</row>
    <row r="31" spans="1:48" x14ac:dyDescent="0.25">
      <c r="A31" s="29" t="s">
        <v>65</v>
      </c>
      <c r="B31" s="29" t="s">
        <v>34</v>
      </c>
      <c r="C31" s="29">
        <v>147</v>
      </c>
      <c r="D31" s="29">
        <v>232</v>
      </c>
      <c r="E31" s="29">
        <v>286</v>
      </c>
      <c r="F31" s="29">
        <v>51</v>
      </c>
      <c r="G31" s="6">
        <v>0.4</v>
      </c>
      <c r="H31" s="29">
        <v>60</v>
      </c>
      <c r="I31" s="29" t="s">
        <v>35</v>
      </c>
      <c r="J31" s="29"/>
      <c r="K31" s="29">
        <v>309</v>
      </c>
      <c r="L31" s="29">
        <f t="shared" si="2"/>
        <v>-23</v>
      </c>
      <c r="M31" s="29"/>
      <c r="N31" s="29"/>
      <c r="O31" s="29">
        <v>429</v>
      </c>
      <c r="P31" s="29">
        <f t="shared" si="3"/>
        <v>57.2</v>
      </c>
      <c r="Q31" s="4">
        <f t="shared" si="10"/>
        <v>378</v>
      </c>
      <c r="R31" s="4">
        <f>S31</f>
        <v>500</v>
      </c>
      <c r="S31" s="38">
        <f>VLOOKUP(A31,[1]Sheet!$A:$R,18,0)</f>
        <v>500</v>
      </c>
      <c r="T31" s="29">
        <f t="shared" si="6"/>
        <v>17.132867132867133</v>
      </c>
      <c r="U31" s="29">
        <f t="shared" si="4"/>
        <v>8.3916083916083917</v>
      </c>
      <c r="V31" s="29">
        <v>55</v>
      </c>
      <c r="W31" s="29">
        <v>39.6</v>
      </c>
      <c r="X31" s="29">
        <v>37.799999999999997</v>
      </c>
      <c r="Y31" s="29">
        <v>52.8</v>
      </c>
      <c r="Z31" s="29">
        <v>48.4</v>
      </c>
      <c r="AA31" s="29">
        <v>51.2</v>
      </c>
      <c r="AB31" s="29">
        <v>46.2</v>
      </c>
      <c r="AC31" s="29">
        <v>56.2</v>
      </c>
      <c r="AD31" s="29">
        <v>71.599999999999994</v>
      </c>
      <c r="AE31" s="29">
        <v>65.2</v>
      </c>
      <c r="AF31" s="29"/>
      <c r="AG31" s="29">
        <f t="shared" si="7"/>
        <v>200</v>
      </c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</row>
    <row r="32" spans="1:48" x14ac:dyDescent="0.25">
      <c r="A32" s="8" t="s">
        <v>66</v>
      </c>
      <c r="B32" s="8" t="s">
        <v>34</v>
      </c>
      <c r="C32" s="8">
        <v>-16</v>
      </c>
      <c r="D32" s="8"/>
      <c r="E32" s="34">
        <v>-5</v>
      </c>
      <c r="F32" s="34">
        <v>-16</v>
      </c>
      <c r="G32" s="9">
        <v>0</v>
      </c>
      <c r="H32" s="8">
        <v>60</v>
      </c>
      <c r="I32" s="8" t="s">
        <v>51</v>
      </c>
      <c r="J32" s="8" t="s">
        <v>67</v>
      </c>
      <c r="K32" s="8">
        <v>105</v>
      </c>
      <c r="L32" s="8">
        <f t="shared" si="2"/>
        <v>-110</v>
      </c>
      <c r="M32" s="8"/>
      <c r="N32" s="8"/>
      <c r="O32" s="8">
        <v>0</v>
      </c>
      <c r="P32" s="8">
        <f t="shared" si="3"/>
        <v>-1</v>
      </c>
      <c r="Q32" s="10"/>
      <c r="R32" s="4">
        <f t="shared" si="5"/>
        <v>0</v>
      </c>
      <c r="S32" s="38"/>
      <c r="T32" s="29">
        <f t="shared" si="6"/>
        <v>16</v>
      </c>
      <c r="U32" s="8">
        <f t="shared" si="4"/>
        <v>16</v>
      </c>
      <c r="V32" s="8">
        <v>0</v>
      </c>
      <c r="W32" s="8">
        <v>0</v>
      </c>
      <c r="X32" s="8">
        <v>-0.6</v>
      </c>
      <c r="Y32" s="8">
        <v>1.8</v>
      </c>
      <c r="Z32" s="8">
        <v>0</v>
      </c>
      <c r="AA32" s="8">
        <v>0.8</v>
      </c>
      <c r="AB32" s="8">
        <v>8.8000000000000007</v>
      </c>
      <c r="AC32" s="8">
        <v>42.6</v>
      </c>
      <c r="AD32" s="8">
        <v>57</v>
      </c>
      <c r="AE32" s="8">
        <v>48.2</v>
      </c>
      <c r="AF32" s="8" t="s">
        <v>68</v>
      </c>
      <c r="AG32" s="29">
        <f t="shared" si="7"/>
        <v>0</v>
      </c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</row>
    <row r="33" spans="1:48" x14ac:dyDescent="0.25">
      <c r="A33" s="29" t="s">
        <v>69</v>
      </c>
      <c r="B33" s="29" t="s">
        <v>34</v>
      </c>
      <c r="C33" s="29">
        <v>100</v>
      </c>
      <c r="D33" s="29">
        <v>368</v>
      </c>
      <c r="E33" s="29">
        <v>229</v>
      </c>
      <c r="F33" s="29">
        <v>213</v>
      </c>
      <c r="G33" s="6">
        <v>0.4</v>
      </c>
      <c r="H33" s="29">
        <v>60</v>
      </c>
      <c r="I33" s="29" t="s">
        <v>35</v>
      </c>
      <c r="J33" s="29"/>
      <c r="K33" s="29">
        <v>236</v>
      </c>
      <c r="L33" s="29">
        <f t="shared" si="2"/>
        <v>-7</v>
      </c>
      <c r="M33" s="29"/>
      <c r="N33" s="29"/>
      <c r="O33" s="29">
        <v>154</v>
      </c>
      <c r="P33" s="29">
        <f t="shared" si="3"/>
        <v>45.8</v>
      </c>
      <c r="Q33" s="4">
        <f>15*P33-O33-F33</f>
        <v>320</v>
      </c>
      <c r="R33" s="4">
        <f>S33</f>
        <v>400</v>
      </c>
      <c r="S33" s="38">
        <f>VLOOKUP(A33,[1]Sheet!$A:$R,18,0)</f>
        <v>400</v>
      </c>
      <c r="T33" s="29">
        <f t="shared" si="6"/>
        <v>16.746724890829697</v>
      </c>
      <c r="U33" s="29">
        <f t="shared" si="4"/>
        <v>8.0131004366812224</v>
      </c>
      <c r="V33" s="29">
        <v>40</v>
      </c>
      <c r="W33" s="29">
        <v>42.4</v>
      </c>
      <c r="X33" s="29">
        <v>33.4</v>
      </c>
      <c r="Y33" s="29">
        <v>17.8</v>
      </c>
      <c r="Z33" s="29">
        <v>33.799999999999997</v>
      </c>
      <c r="AA33" s="29">
        <v>46</v>
      </c>
      <c r="AB33" s="29">
        <v>34.4</v>
      </c>
      <c r="AC33" s="29">
        <v>57</v>
      </c>
      <c r="AD33" s="29">
        <v>67.8</v>
      </c>
      <c r="AE33" s="29">
        <v>64.599999999999994</v>
      </c>
      <c r="AF33" s="29"/>
      <c r="AG33" s="29">
        <f t="shared" si="7"/>
        <v>160</v>
      </c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</row>
    <row r="34" spans="1:48" x14ac:dyDescent="0.25">
      <c r="A34" s="8" t="s">
        <v>70</v>
      </c>
      <c r="B34" s="8" t="s">
        <v>34</v>
      </c>
      <c r="C34" s="8">
        <v>17</v>
      </c>
      <c r="D34" s="8"/>
      <c r="E34" s="8">
        <v>10</v>
      </c>
      <c r="F34" s="8">
        <v>7</v>
      </c>
      <c r="G34" s="9">
        <v>0</v>
      </c>
      <c r="H34" s="8">
        <v>45</v>
      </c>
      <c r="I34" s="28" t="s">
        <v>71</v>
      </c>
      <c r="J34" s="8"/>
      <c r="K34" s="8">
        <v>10</v>
      </c>
      <c r="L34" s="8">
        <f t="shared" si="2"/>
        <v>0</v>
      </c>
      <c r="M34" s="8"/>
      <c r="N34" s="8"/>
      <c r="O34" s="8">
        <v>37</v>
      </c>
      <c r="P34" s="8">
        <f t="shared" si="3"/>
        <v>2</v>
      </c>
      <c r="Q34" s="10"/>
      <c r="R34" s="4">
        <f t="shared" si="5"/>
        <v>0</v>
      </c>
      <c r="S34" s="38"/>
      <c r="T34" s="29">
        <f t="shared" si="6"/>
        <v>22</v>
      </c>
      <c r="U34" s="8">
        <f t="shared" si="4"/>
        <v>22</v>
      </c>
      <c r="V34" s="8">
        <v>4.4000000000000004</v>
      </c>
      <c r="W34" s="8">
        <v>1.8</v>
      </c>
      <c r="X34" s="8">
        <v>3.4</v>
      </c>
      <c r="Y34" s="8">
        <v>0.2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72</v>
      </c>
      <c r="AG34" s="29">
        <f t="shared" si="7"/>
        <v>0</v>
      </c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</row>
    <row r="35" spans="1:48" x14ac:dyDescent="0.25">
      <c r="A35" s="8" t="s">
        <v>73</v>
      </c>
      <c r="B35" s="8" t="s">
        <v>34</v>
      </c>
      <c r="C35" s="8">
        <v>-11</v>
      </c>
      <c r="D35" s="8"/>
      <c r="E35" s="8"/>
      <c r="F35" s="34">
        <v>-11</v>
      </c>
      <c r="G35" s="9">
        <v>0</v>
      </c>
      <c r="H35" s="8">
        <v>60</v>
      </c>
      <c r="I35" s="8" t="s">
        <v>51</v>
      </c>
      <c r="J35" s="8" t="s">
        <v>74</v>
      </c>
      <c r="K35" s="8">
        <v>65</v>
      </c>
      <c r="L35" s="8">
        <f t="shared" si="2"/>
        <v>-65</v>
      </c>
      <c r="M35" s="8"/>
      <c r="N35" s="8"/>
      <c r="O35" s="8">
        <v>0</v>
      </c>
      <c r="P35" s="8">
        <f t="shared" si="3"/>
        <v>0</v>
      </c>
      <c r="Q35" s="10"/>
      <c r="R35" s="4">
        <f t="shared" si="5"/>
        <v>0</v>
      </c>
      <c r="S35" s="38"/>
      <c r="T35" s="29" t="e">
        <f t="shared" si="6"/>
        <v>#DIV/0!</v>
      </c>
      <c r="U35" s="8" t="e">
        <f t="shared" si="4"/>
        <v>#DIV/0!</v>
      </c>
      <c r="V35" s="8">
        <v>0</v>
      </c>
      <c r="W35" s="8">
        <v>0</v>
      </c>
      <c r="X35" s="8">
        <v>0.2</v>
      </c>
      <c r="Y35" s="8">
        <v>7.4</v>
      </c>
      <c r="Z35" s="8">
        <v>39</v>
      </c>
      <c r="AA35" s="8">
        <v>39.799999999999997</v>
      </c>
      <c r="AB35" s="8">
        <v>36</v>
      </c>
      <c r="AC35" s="8">
        <v>33.200000000000003</v>
      </c>
      <c r="AD35" s="8">
        <v>58.6</v>
      </c>
      <c r="AE35" s="8">
        <v>40.799999999999997</v>
      </c>
      <c r="AF35" s="8" t="s">
        <v>75</v>
      </c>
      <c r="AG35" s="29">
        <f t="shared" si="7"/>
        <v>0</v>
      </c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</row>
    <row r="36" spans="1:48" x14ac:dyDescent="0.25">
      <c r="A36" s="8" t="s">
        <v>76</v>
      </c>
      <c r="B36" s="8" t="s">
        <v>34</v>
      </c>
      <c r="C36" s="8">
        <v>-2</v>
      </c>
      <c r="D36" s="8"/>
      <c r="E36" s="8"/>
      <c r="F36" s="34">
        <v>-2</v>
      </c>
      <c r="G36" s="9">
        <v>0</v>
      </c>
      <c r="H36" s="8">
        <v>45</v>
      </c>
      <c r="I36" s="8" t="s">
        <v>51</v>
      </c>
      <c r="J36" s="8" t="s">
        <v>77</v>
      </c>
      <c r="K36" s="8">
        <v>10</v>
      </c>
      <c r="L36" s="8">
        <f t="shared" si="2"/>
        <v>-10</v>
      </c>
      <c r="M36" s="8"/>
      <c r="N36" s="8"/>
      <c r="O36" s="8">
        <v>0</v>
      </c>
      <c r="P36" s="8">
        <f t="shared" si="3"/>
        <v>0</v>
      </c>
      <c r="Q36" s="10"/>
      <c r="R36" s="4">
        <f t="shared" si="5"/>
        <v>0</v>
      </c>
      <c r="S36" s="38"/>
      <c r="T36" s="29" t="e">
        <f t="shared" si="6"/>
        <v>#DIV/0!</v>
      </c>
      <c r="U36" s="8" t="e">
        <f t="shared" si="4"/>
        <v>#DIV/0!</v>
      </c>
      <c r="V36" s="8">
        <v>-0.2</v>
      </c>
      <c r="W36" s="8">
        <v>-0.2</v>
      </c>
      <c r="X36" s="8">
        <v>-0.2</v>
      </c>
      <c r="Y36" s="8">
        <v>0</v>
      </c>
      <c r="Z36" s="8">
        <v>2</v>
      </c>
      <c r="AA36" s="8">
        <v>2.8</v>
      </c>
      <c r="AB36" s="8">
        <v>3.8</v>
      </c>
      <c r="AC36" s="8">
        <v>10.6</v>
      </c>
      <c r="AD36" s="8">
        <v>3.2</v>
      </c>
      <c r="AE36" s="8">
        <v>-0.6</v>
      </c>
      <c r="AF36" s="8" t="s">
        <v>78</v>
      </c>
      <c r="AG36" s="29">
        <f t="shared" si="7"/>
        <v>0</v>
      </c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</row>
    <row r="37" spans="1:48" x14ac:dyDescent="0.25">
      <c r="A37" s="8" t="s">
        <v>79</v>
      </c>
      <c r="B37" s="8" t="s">
        <v>37</v>
      </c>
      <c r="C37" s="8">
        <v>45.584000000000003</v>
      </c>
      <c r="D37" s="8"/>
      <c r="E37" s="8"/>
      <c r="F37" s="8">
        <v>45.584000000000003</v>
      </c>
      <c r="G37" s="9">
        <v>0</v>
      </c>
      <c r="H37" s="8">
        <v>45</v>
      </c>
      <c r="I37" s="8" t="s">
        <v>51</v>
      </c>
      <c r="J37" s="8"/>
      <c r="K37" s="8">
        <v>2.6</v>
      </c>
      <c r="L37" s="8">
        <f t="shared" si="2"/>
        <v>-2.6</v>
      </c>
      <c r="M37" s="8"/>
      <c r="N37" s="8"/>
      <c r="O37" s="8">
        <v>0</v>
      </c>
      <c r="P37" s="8">
        <f t="shared" si="3"/>
        <v>0</v>
      </c>
      <c r="Q37" s="10"/>
      <c r="R37" s="4">
        <f t="shared" si="5"/>
        <v>0</v>
      </c>
      <c r="S37" s="38"/>
      <c r="T37" s="29" t="e">
        <f t="shared" si="6"/>
        <v>#DIV/0!</v>
      </c>
      <c r="U37" s="8" t="e">
        <f t="shared" si="4"/>
        <v>#DIV/0!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0.23780000000000001</v>
      </c>
      <c r="AB37" s="8">
        <v>1.9172</v>
      </c>
      <c r="AC37" s="8">
        <v>0</v>
      </c>
      <c r="AD37" s="8">
        <v>1.6779999999999999</v>
      </c>
      <c r="AE37" s="8">
        <v>0</v>
      </c>
      <c r="AF37" s="35" t="s">
        <v>44</v>
      </c>
      <c r="AG37" s="29">
        <f t="shared" si="7"/>
        <v>0</v>
      </c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</row>
    <row r="38" spans="1:48" x14ac:dyDescent="0.25">
      <c r="A38" s="8" t="s">
        <v>80</v>
      </c>
      <c r="B38" s="8" t="s">
        <v>34</v>
      </c>
      <c r="C38" s="8">
        <v>30</v>
      </c>
      <c r="D38" s="8"/>
      <c r="E38" s="8"/>
      <c r="F38" s="8">
        <v>30</v>
      </c>
      <c r="G38" s="9">
        <v>0</v>
      </c>
      <c r="H38" s="8">
        <v>45</v>
      </c>
      <c r="I38" s="8" t="s">
        <v>51</v>
      </c>
      <c r="J38" s="8"/>
      <c r="K38" s="8">
        <v>221</v>
      </c>
      <c r="L38" s="8">
        <f t="shared" ref="L38:L69" si="11">E38-K38</f>
        <v>-221</v>
      </c>
      <c r="M38" s="8"/>
      <c r="N38" s="8"/>
      <c r="O38" s="8">
        <v>0</v>
      </c>
      <c r="P38" s="8">
        <f t="shared" ref="P38:P69" si="12">E38/5</f>
        <v>0</v>
      </c>
      <c r="Q38" s="10"/>
      <c r="R38" s="4">
        <f t="shared" si="5"/>
        <v>0</v>
      </c>
      <c r="S38" s="38"/>
      <c r="T38" s="29" t="e">
        <f t="shared" si="6"/>
        <v>#DIV/0!</v>
      </c>
      <c r="U38" s="8" t="e">
        <f t="shared" ref="U38:U69" si="13">(F38+O38)/P38</f>
        <v>#DIV/0!</v>
      </c>
      <c r="V38" s="8">
        <v>-1</v>
      </c>
      <c r="W38" s="8">
        <v>-1</v>
      </c>
      <c r="X38" s="8">
        <v>21.8</v>
      </c>
      <c r="Y38" s="8">
        <v>14.4</v>
      </c>
      <c r="Z38" s="8">
        <v>20.6</v>
      </c>
      <c r="AA38" s="8">
        <v>49.171999999999997</v>
      </c>
      <c r="AB38" s="8">
        <v>3.2</v>
      </c>
      <c r="AC38" s="8">
        <v>36.4</v>
      </c>
      <c r="AD38" s="8">
        <v>56.8</v>
      </c>
      <c r="AE38" s="8">
        <v>33.799999999999997</v>
      </c>
      <c r="AF38" s="35" t="s">
        <v>44</v>
      </c>
      <c r="AG38" s="29">
        <f t="shared" si="7"/>
        <v>0</v>
      </c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</row>
    <row r="39" spans="1:48" x14ac:dyDescent="0.25">
      <c r="A39" s="29" t="s">
        <v>81</v>
      </c>
      <c r="B39" s="29" t="s">
        <v>34</v>
      </c>
      <c r="C39" s="29">
        <v>19</v>
      </c>
      <c r="D39" s="29"/>
      <c r="E39" s="29">
        <v>12</v>
      </c>
      <c r="F39" s="29">
        <v>7</v>
      </c>
      <c r="G39" s="6">
        <v>0.3</v>
      </c>
      <c r="H39" s="29">
        <v>45</v>
      </c>
      <c r="I39" s="29" t="s">
        <v>35</v>
      </c>
      <c r="J39" s="29"/>
      <c r="K39" s="29">
        <v>20</v>
      </c>
      <c r="L39" s="29">
        <f t="shared" si="11"/>
        <v>-8</v>
      </c>
      <c r="M39" s="29"/>
      <c r="N39" s="29"/>
      <c r="O39" s="29">
        <v>45</v>
      </c>
      <c r="P39" s="29">
        <f t="shared" si="12"/>
        <v>2.4</v>
      </c>
      <c r="Q39" s="4"/>
      <c r="R39" s="4">
        <f t="shared" si="5"/>
        <v>0</v>
      </c>
      <c r="S39" s="38"/>
      <c r="T39" s="29">
        <f t="shared" si="6"/>
        <v>21.666666666666668</v>
      </c>
      <c r="U39" s="29">
        <f t="shared" si="13"/>
        <v>21.666666666666668</v>
      </c>
      <c r="V39" s="29">
        <v>5.8</v>
      </c>
      <c r="W39" s="29">
        <v>2.4</v>
      </c>
      <c r="X39" s="29">
        <v>4.5999999999999996</v>
      </c>
      <c r="Y39" s="29">
        <v>4.8</v>
      </c>
      <c r="Z39" s="29">
        <v>1.2</v>
      </c>
      <c r="AA39" s="29">
        <v>-0.6</v>
      </c>
      <c r="AB39" s="29">
        <v>12.8</v>
      </c>
      <c r="AC39" s="29">
        <v>3.4</v>
      </c>
      <c r="AD39" s="29">
        <v>8.1999999999999993</v>
      </c>
      <c r="AE39" s="29">
        <v>4.2</v>
      </c>
      <c r="AF39" s="29"/>
      <c r="AG39" s="29">
        <f t="shared" si="7"/>
        <v>0</v>
      </c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</row>
    <row r="40" spans="1:48" x14ac:dyDescent="0.25">
      <c r="A40" s="29" t="s">
        <v>82</v>
      </c>
      <c r="B40" s="29" t="s">
        <v>37</v>
      </c>
      <c r="C40" s="29">
        <v>138.98400000000001</v>
      </c>
      <c r="D40" s="29"/>
      <c r="E40" s="29">
        <v>52.106000000000002</v>
      </c>
      <c r="F40" s="29">
        <v>82.888999999999996</v>
      </c>
      <c r="G40" s="6">
        <v>1</v>
      </c>
      <c r="H40" s="29">
        <v>60</v>
      </c>
      <c r="I40" s="29" t="s">
        <v>35</v>
      </c>
      <c r="J40" s="29"/>
      <c r="K40" s="29">
        <v>52.2</v>
      </c>
      <c r="L40" s="29">
        <f t="shared" si="11"/>
        <v>-9.4000000000001194E-2</v>
      </c>
      <c r="M40" s="29"/>
      <c r="N40" s="29"/>
      <c r="O40" s="29">
        <v>84</v>
      </c>
      <c r="P40" s="29">
        <f t="shared" si="12"/>
        <v>10.421200000000001</v>
      </c>
      <c r="Q40" s="4"/>
      <c r="R40" s="4">
        <f t="shared" si="5"/>
        <v>0</v>
      </c>
      <c r="S40" s="38"/>
      <c r="T40" s="29">
        <f t="shared" si="6"/>
        <v>16.014374544198365</v>
      </c>
      <c r="U40" s="29">
        <f t="shared" si="13"/>
        <v>16.014374544198365</v>
      </c>
      <c r="V40" s="29">
        <v>14.5908</v>
      </c>
      <c r="W40" s="29">
        <v>8.9888000000000012</v>
      </c>
      <c r="X40" s="29">
        <v>19.823399999999999</v>
      </c>
      <c r="Y40" s="29">
        <v>2.6063999999999998</v>
      </c>
      <c r="Z40" s="29">
        <v>4.4555999999999996</v>
      </c>
      <c r="AA40" s="29">
        <v>21.930199999999999</v>
      </c>
      <c r="AB40" s="29">
        <v>12.358000000000001</v>
      </c>
      <c r="AC40" s="29">
        <v>16.8752</v>
      </c>
      <c r="AD40" s="29">
        <v>20.814599999999999</v>
      </c>
      <c r="AE40" s="29">
        <v>3.6019999999999999</v>
      </c>
      <c r="AF40" s="29"/>
      <c r="AG40" s="29">
        <f t="shared" si="7"/>
        <v>0</v>
      </c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</row>
    <row r="41" spans="1:48" x14ac:dyDescent="0.25">
      <c r="A41" s="29" t="s">
        <v>83</v>
      </c>
      <c r="B41" s="29" t="s">
        <v>37</v>
      </c>
      <c r="C41" s="29">
        <v>69.063999999999993</v>
      </c>
      <c r="D41" s="29">
        <v>113.215</v>
      </c>
      <c r="E41" s="29">
        <v>55.168999999999997</v>
      </c>
      <c r="F41" s="29">
        <v>119.71599999999999</v>
      </c>
      <c r="G41" s="6">
        <v>1</v>
      </c>
      <c r="H41" s="29">
        <v>45</v>
      </c>
      <c r="I41" s="29" t="s">
        <v>35</v>
      </c>
      <c r="J41" s="29"/>
      <c r="K41" s="29">
        <v>52</v>
      </c>
      <c r="L41" s="29">
        <f t="shared" si="11"/>
        <v>3.1689999999999969</v>
      </c>
      <c r="M41" s="29"/>
      <c r="N41" s="29"/>
      <c r="O41" s="29">
        <v>0</v>
      </c>
      <c r="P41" s="29">
        <f t="shared" si="12"/>
        <v>11.033799999999999</v>
      </c>
      <c r="Q41" s="4">
        <f t="shared" ref="Q41:Q44" si="14">15*P41-O41-F41</f>
        <v>45.791000000000011</v>
      </c>
      <c r="R41" s="4">
        <f t="shared" si="5"/>
        <v>46</v>
      </c>
      <c r="S41" s="38"/>
      <c r="T41" s="29">
        <f t="shared" si="6"/>
        <v>15.018941797023693</v>
      </c>
      <c r="U41" s="29">
        <f t="shared" si="13"/>
        <v>10.849933839656329</v>
      </c>
      <c r="V41" s="29">
        <v>10.8538</v>
      </c>
      <c r="W41" s="29">
        <v>15.388199999999999</v>
      </c>
      <c r="X41" s="29">
        <v>13.2052</v>
      </c>
      <c r="Y41" s="29">
        <v>12.7866</v>
      </c>
      <c r="Z41" s="29">
        <v>16.497199999999999</v>
      </c>
      <c r="AA41" s="29">
        <v>19.2118</v>
      </c>
      <c r="AB41" s="29">
        <v>11.6172</v>
      </c>
      <c r="AC41" s="29">
        <v>8.0947999999999993</v>
      </c>
      <c r="AD41" s="29">
        <v>26.728999999999999</v>
      </c>
      <c r="AE41" s="29">
        <v>16.625599999999999</v>
      </c>
      <c r="AF41" s="29"/>
      <c r="AG41" s="29">
        <f t="shared" si="7"/>
        <v>46</v>
      </c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</row>
    <row r="42" spans="1:48" x14ac:dyDescent="0.25">
      <c r="A42" s="29" t="s">
        <v>84</v>
      </c>
      <c r="B42" s="29" t="s">
        <v>37</v>
      </c>
      <c r="C42" s="29">
        <v>140.78100000000001</v>
      </c>
      <c r="D42" s="29">
        <v>69.504000000000005</v>
      </c>
      <c r="E42" s="29">
        <v>74.841999999999999</v>
      </c>
      <c r="F42" s="29">
        <v>127.738</v>
      </c>
      <c r="G42" s="6">
        <v>1</v>
      </c>
      <c r="H42" s="29">
        <v>45</v>
      </c>
      <c r="I42" s="29" t="s">
        <v>35</v>
      </c>
      <c r="J42" s="29"/>
      <c r="K42" s="29">
        <v>71</v>
      </c>
      <c r="L42" s="29">
        <f t="shared" si="11"/>
        <v>3.8419999999999987</v>
      </c>
      <c r="M42" s="29"/>
      <c r="N42" s="29"/>
      <c r="O42" s="29">
        <v>0</v>
      </c>
      <c r="P42" s="29">
        <f t="shared" si="12"/>
        <v>14.968399999999999</v>
      </c>
      <c r="Q42" s="4">
        <f t="shared" si="14"/>
        <v>96.787999999999982</v>
      </c>
      <c r="R42" s="4">
        <f t="shared" si="5"/>
        <v>97</v>
      </c>
      <c r="S42" s="38"/>
      <c r="T42" s="29">
        <f t="shared" si="6"/>
        <v>15.014163170412337</v>
      </c>
      <c r="U42" s="29">
        <f t="shared" si="13"/>
        <v>8.5338446326928743</v>
      </c>
      <c r="V42" s="29">
        <v>10.5388</v>
      </c>
      <c r="W42" s="29">
        <v>17.366399999999999</v>
      </c>
      <c r="X42" s="29">
        <v>17.871400000000001</v>
      </c>
      <c r="Y42" s="29">
        <v>12.350199999999999</v>
      </c>
      <c r="Z42" s="29">
        <v>21.627400000000002</v>
      </c>
      <c r="AA42" s="29">
        <v>28.242000000000001</v>
      </c>
      <c r="AB42" s="29">
        <v>19.793800000000001</v>
      </c>
      <c r="AC42" s="29">
        <v>15.770799999999999</v>
      </c>
      <c r="AD42" s="29">
        <v>27.8246</v>
      </c>
      <c r="AE42" s="29">
        <v>26.491800000000001</v>
      </c>
      <c r="AF42" s="29"/>
      <c r="AG42" s="29">
        <f t="shared" si="7"/>
        <v>97</v>
      </c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</row>
    <row r="43" spans="1:48" x14ac:dyDescent="0.25">
      <c r="A43" s="29" t="s">
        <v>86</v>
      </c>
      <c r="B43" s="29" t="s">
        <v>37</v>
      </c>
      <c r="C43" s="29">
        <v>166.345</v>
      </c>
      <c r="D43" s="29"/>
      <c r="E43" s="29">
        <v>73.575000000000003</v>
      </c>
      <c r="F43" s="29">
        <v>81.283000000000001</v>
      </c>
      <c r="G43" s="6">
        <v>1</v>
      </c>
      <c r="H43" s="29">
        <v>45</v>
      </c>
      <c r="I43" s="29" t="s">
        <v>35</v>
      </c>
      <c r="J43" s="29"/>
      <c r="K43" s="29">
        <v>72</v>
      </c>
      <c r="L43" s="29">
        <f t="shared" si="11"/>
        <v>1.5750000000000028</v>
      </c>
      <c r="M43" s="29"/>
      <c r="N43" s="29"/>
      <c r="O43" s="29">
        <v>0</v>
      </c>
      <c r="P43" s="29">
        <f t="shared" si="12"/>
        <v>14.715</v>
      </c>
      <c r="Q43" s="4">
        <f>14*P43-O43-F43</f>
        <v>124.72699999999999</v>
      </c>
      <c r="R43" s="4">
        <f t="shared" si="5"/>
        <v>125</v>
      </c>
      <c r="S43" s="38"/>
      <c r="T43" s="29">
        <f t="shared" si="6"/>
        <v>14.018552497451582</v>
      </c>
      <c r="U43" s="29">
        <f t="shared" si="13"/>
        <v>5.5238192320761126</v>
      </c>
      <c r="V43" s="29">
        <v>9.2121999999999993</v>
      </c>
      <c r="W43" s="29">
        <v>11.264200000000001</v>
      </c>
      <c r="X43" s="29">
        <v>17.134599999999999</v>
      </c>
      <c r="Y43" s="29">
        <v>17.3874</v>
      </c>
      <c r="Z43" s="29">
        <v>15.2568</v>
      </c>
      <c r="AA43" s="29">
        <v>19.543800000000001</v>
      </c>
      <c r="AB43" s="29">
        <v>16.501799999999999</v>
      </c>
      <c r="AC43" s="29">
        <v>15.445600000000001</v>
      </c>
      <c r="AD43" s="29">
        <v>13.050800000000001</v>
      </c>
      <c r="AE43" s="29">
        <v>15.378399999999999</v>
      </c>
      <c r="AF43" s="29"/>
      <c r="AG43" s="29">
        <f t="shared" si="7"/>
        <v>125</v>
      </c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</row>
    <row r="44" spans="1:48" x14ac:dyDescent="0.25">
      <c r="A44" s="29" t="s">
        <v>87</v>
      </c>
      <c r="B44" s="29" t="s">
        <v>34</v>
      </c>
      <c r="C44" s="29">
        <v>30</v>
      </c>
      <c r="D44" s="29">
        <v>296</v>
      </c>
      <c r="E44" s="29">
        <v>244</v>
      </c>
      <c r="F44" s="29">
        <v>26</v>
      </c>
      <c r="G44" s="6">
        <v>0.3</v>
      </c>
      <c r="H44" s="29">
        <v>45</v>
      </c>
      <c r="I44" s="29" t="s">
        <v>35</v>
      </c>
      <c r="J44" s="29"/>
      <c r="K44" s="29">
        <v>324</v>
      </c>
      <c r="L44" s="29">
        <f t="shared" si="11"/>
        <v>-80</v>
      </c>
      <c r="M44" s="29"/>
      <c r="N44" s="29"/>
      <c r="O44" s="29">
        <v>515</v>
      </c>
      <c r="P44" s="29">
        <f t="shared" si="12"/>
        <v>48.8</v>
      </c>
      <c r="Q44" s="4">
        <f t="shared" si="14"/>
        <v>191</v>
      </c>
      <c r="R44" s="4">
        <f t="shared" si="5"/>
        <v>191</v>
      </c>
      <c r="S44" s="38"/>
      <c r="T44" s="29">
        <f t="shared" si="6"/>
        <v>15</v>
      </c>
      <c r="U44" s="29">
        <f t="shared" si="13"/>
        <v>11.086065573770492</v>
      </c>
      <c r="V44" s="29">
        <v>64.2</v>
      </c>
      <c r="W44" s="29">
        <v>38.200000000000003</v>
      </c>
      <c r="X44" s="29">
        <v>31.4</v>
      </c>
      <c r="Y44" s="29">
        <v>46.2</v>
      </c>
      <c r="Z44" s="29">
        <v>36</v>
      </c>
      <c r="AA44" s="29">
        <v>53.6</v>
      </c>
      <c r="AB44" s="29">
        <v>41.2</v>
      </c>
      <c r="AC44" s="29">
        <v>35.799999999999997</v>
      </c>
      <c r="AD44" s="29">
        <v>64.8</v>
      </c>
      <c r="AE44" s="29">
        <v>75.8</v>
      </c>
      <c r="AF44" s="29"/>
      <c r="AG44" s="29">
        <f t="shared" si="7"/>
        <v>57.3</v>
      </c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</row>
    <row r="45" spans="1:48" x14ac:dyDescent="0.25">
      <c r="A45" s="8" t="s">
        <v>88</v>
      </c>
      <c r="B45" s="8" t="s">
        <v>37</v>
      </c>
      <c r="C45" s="8"/>
      <c r="D45" s="8"/>
      <c r="E45" s="8"/>
      <c r="F45" s="8"/>
      <c r="G45" s="9">
        <v>0</v>
      </c>
      <c r="H45" s="8"/>
      <c r="I45" s="8" t="s">
        <v>35</v>
      </c>
      <c r="J45" s="8"/>
      <c r="K45" s="8"/>
      <c r="L45" s="8">
        <f t="shared" si="11"/>
        <v>0</v>
      </c>
      <c r="M45" s="8"/>
      <c r="N45" s="8"/>
      <c r="O45" s="8">
        <v>0</v>
      </c>
      <c r="P45" s="8">
        <f t="shared" si="12"/>
        <v>0</v>
      </c>
      <c r="Q45" s="10"/>
      <c r="R45" s="4">
        <f t="shared" si="5"/>
        <v>0</v>
      </c>
      <c r="S45" s="38"/>
      <c r="T45" s="29" t="e">
        <f t="shared" si="6"/>
        <v>#DIV/0!</v>
      </c>
      <c r="U45" s="8" t="e">
        <f t="shared" si="13"/>
        <v>#DIV/0!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89</v>
      </c>
      <c r="AG45" s="29">
        <f t="shared" si="7"/>
        <v>0</v>
      </c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</row>
    <row r="46" spans="1:48" x14ac:dyDescent="0.25">
      <c r="A46" s="29" t="s">
        <v>90</v>
      </c>
      <c r="B46" s="29" t="s">
        <v>37</v>
      </c>
      <c r="C46" s="29">
        <v>111.255</v>
      </c>
      <c r="D46" s="29"/>
      <c r="E46" s="29">
        <v>70.578999999999994</v>
      </c>
      <c r="F46" s="29">
        <v>32.878</v>
      </c>
      <c r="G46" s="6">
        <v>1</v>
      </c>
      <c r="H46" s="29">
        <v>45</v>
      </c>
      <c r="I46" s="29" t="s">
        <v>35</v>
      </c>
      <c r="J46" s="29"/>
      <c r="K46" s="29">
        <v>63.5</v>
      </c>
      <c r="L46" s="29">
        <f t="shared" si="11"/>
        <v>7.0789999999999935</v>
      </c>
      <c r="M46" s="29"/>
      <c r="N46" s="29"/>
      <c r="O46" s="29">
        <v>93</v>
      </c>
      <c r="P46" s="29">
        <f t="shared" si="12"/>
        <v>14.115799999999998</v>
      </c>
      <c r="Q46" s="4">
        <f t="shared" ref="Q46:Q54" si="15">15*P46-O46-F46</f>
        <v>85.858999999999966</v>
      </c>
      <c r="R46" s="4">
        <f t="shared" si="5"/>
        <v>86</v>
      </c>
      <c r="S46" s="38"/>
      <c r="T46" s="29">
        <f t="shared" si="6"/>
        <v>15.009988806868899</v>
      </c>
      <c r="U46" s="29">
        <f t="shared" si="13"/>
        <v>8.9175250428597757</v>
      </c>
      <c r="V46" s="29">
        <v>13.4018</v>
      </c>
      <c r="W46" s="29">
        <v>10.1708</v>
      </c>
      <c r="X46" s="29">
        <v>15.2464</v>
      </c>
      <c r="Y46" s="29">
        <v>17.114599999999999</v>
      </c>
      <c r="Z46" s="29">
        <v>18.900200000000002</v>
      </c>
      <c r="AA46" s="29">
        <v>19.008400000000002</v>
      </c>
      <c r="AB46" s="29">
        <v>13.199</v>
      </c>
      <c r="AC46" s="29">
        <v>7.4875999999999996</v>
      </c>
      <c r="AD46" s="29">
        <v>18.929200000000002</v>
      </c>
      <c r="AE46" s="29">
        <v>23.3964</v>
      </c>
      <c r="AF46" s="29"/>
      <c r="AG46" s="29">
        <f t="shared" si="7"/>
        <v>86</v>
      </c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</row>
    <row r="47" spans="1:48" x14ac:dyDescent="0.25">
      <c r="A47" s="29" t="s">
        <v>91</v>
      </c>
      <c r="B47" s="29" t="s">
        <v>34</v>
      </c>
      <c r="C47" s="29">
        <v>292.2</v>
      </c>
      <c r="D47" s="29">
        <v>521</v>
      </c>
      <c r="E47" s="29">
        <v>355</v>
      </c>
      <c r="F47" s="29">
        <v>405.2</v>
      </c>
      <c r="G47" s="6">
        <v>0.35</v>
      </c>
      <c r="H47" s="29">
        <v>45</v>
      </c>
      <c r="I47" s="29" t="s">
        <v>35</v>
      </c>
      <c r="J47" s="29"/>
      <c r="K47" s="29">
        <v>369</v>
      </c>
      <c r="L47" s="29">
        <f t="shared" si="11"/>
        <v>-14</v>
      </c>
      <c r="M47" s="29"/>
      <c r="N47" s="29"/>
      <c r="O47" s="29">
        <v>257</v>
      </c>
      <c r="P47" s="29">
        <f t="shared" si="12"/>
        <v>71</v>
      </c>
      <c r="Q47" s="4">
        <f t="shared" si="15"/>
        <v>402.8</v>
      </c>
      <c r="R47" s="4">
        <f>S47</f>
        <v>520</v>
      </c>
      <c r="S47" s="38">
        <f>VLOOKUP(A47,[1]Sheet!$A:$R,18,0)</f>
        <v>520</v>
      </c>
      <c r="T47" s="29">
        <f t="shared" si="6"/>
        <v>16.650704225352115</v>
      </c>
      <c r="U47" s="29">
        <f t="shared" si="13"/>
        <v>9.326760563380283</v>
      </c>
      <c r="V47" s="29">
        <v>68.400000000000006</v>
      </c>
      <c r="W47" s="29">
        <v>74.2</v>
      </c>
      <c r="X47" s="29">
        <v>67.2</v>
      </c>
      <c r="Y47" s="29">
        <v>40</v>
      </c>
      <c r="Z47" s="29">
        <v>84.631</v>
      </c>
      <c r="AA47" s="29">
        <v>84.2</v>
      </c>
      <c r="AB47" s="29">
        <v>64</v>
      </c>
      <c r="AC47" s="29">
        <v>66.400000000000006</v>
      </c>
      <c r="AD47" s="29">
        <v>97</v>
      </c>
      <c r="AE47" s="29">
        <v>35.4</v>
      </c>
      <c r="AF47" s="29"/>
      <c r="AG47" s="29">
        <f t="shared" si="7"/>
        <v>182</v>
      </c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</row>
    <row r="48" spans="1:48" x14ac:dyDescent="0.25">
      <c r="A48" s="29" t="s">
        <v>92</v>
      </c>
      <c r="B48" s="29" t="s">
        <v>34</v>
      </c>
      <c r="C48" s="29">
        <v>4</v>
      </c>
      <c r="D48" s="29">
        <v>248</v>
      </c>
      <c r="E48" s="29">
        <v>187</v>
      </c>
      <c r="F48" s="29">
        <v>55</v>
      </c>
      <c r="G48" s="6">
        <v>0.41</v>
      </c>
      <c r="H48" s="29">
        <v>45</v>
      </c>
      <c r="I48" s="29" t="s">
        <v>35</v>
      </c>
      <c r="J48" s="29"/>
      <c r="K48" s="29">
        <v>216</v>
      </c>
      <c r="L48" s="29">
        <f t="shared" si="11"/>
        <v>-29</v>
      </c>
      <c r="M48" s="29"/>
      <c r="N48" s="29"/>
      <c r="O48" s="29">
        <v>333</v>
      </c>
      <c r="P48" s="29">
        <f t="shared" si="12"/>
        <v>37.4</v>
      </c>
      <c r="Q48" s="4">
        <f t="shared" si="15"/>
        <v>173</v>
      </c>
      <c r="R48" s="4">
        <f t="shared" si="5"/>
        <v>173</v>
      </c>
      <c r="S48" s="38"/>
      <c r="T48" s="29">
        <f t="shared" si="6"/>
        <v>15</v>
      </c>
      <c r="U48" s="29">
        <f t="shared" si="13"/>
        <v>10.37433155080214</v>
      </c>
      <c r="V48" s="29">
        <v>42</v>
      </c>
      <c r="W48" s="29">
        <v>33.4</v>
      </c>
      <c r="X48" s="29">
        <v>28.6</v>
      </c>
      <c r="Y48" s="29">
        <v>14.4</v>
      </c>
      <c r="Z48" s="29">
        <v>10.199999999999999</v>
      </c>
      <c r="AA48" s="29">
        <v>44.4</v>
      </c>
      <c r="AB48" s="29">
        <v>27.8</v>
      </c>
      <c r="AC48" s="29">
        <v>50.4</v>
      </c>
      <c r="AD48" s="29">
        <v>57.6</v>
      </c>
      <c r="AE48" s="29">
        <v>51</v>
      </c>
      <c r="AF48" s="29"/>
      <c r="AG48" s="29">
        <f t="shared" si="7"/>
        <v>70.929999999999993</v>
      </c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</row>
    <row r="49" spans="1:48" x14ac:dyDescent="0.25">
      <c r="A49" s="29" t="s">
        <v>93</v>
      </c>
      <c r="B49" s="29" t="s">
        <v>34</v>
      </c>
      <c r="C49" s="29">
        <v>111</v>
      </c>
      <c r="D49" s="29">
        <v>290</v>
      </c>
      <c r="E49" s="29">
        <v>164</v>
      </c>
      <c r="F49" s="29">
        <v>212</v>
      </c>
      <c r="G49" s="6">
        <v>0.41</v>
      </c>
      <c r="H49" s="29">
        <v>45</v>
      </c>
      <c r="I49" s="29" t="s">
        <v>35</v>
      </c>
      <c r="J49" s="29"/>
      <c r="K49" s="29">
        <v>164</v>
      </c>
      <c r="L49" s="29">
        <f t="shared" si="11"/>
        <v>0</v>
      </c>
      <c r="M49" s="29"/>
      <c r="N49" s="29"/>
      <c r="O49" s="29">
        <v>0</v>
      </c>
      <c r="P49" s="29">
        <f t="shared" si="12"/>
        <v>32.799999999999997</v>
      </c>
      <c r="Q49" s="4">
        <f>14*P49-O49-F49</f>
        <v>247.19999999999993</v>
      </c>
      <c r="R49" s="4">
        <f>S49</f>
        <v>300</v>
      </c>
      <c r="S49" s="38">
        <f>VLOOKUP(A49,[1]Sheet!$A:$R,18,0)</f>
        <v>300</v>
      </c>
      <c r="T49" s="29">
        <f t="shared" si="6"/>
        <v>15.609756097560977</v>
      </c>
      <c r="U49" s="29">
        <f t="shared" si="13"/>
        <v>6.4634146341463419</v>
      </c>
      <c r="V49" s="29">
        <v>26</v>
      </c>
      <c r="W49" s="29">
        <v>37.4</v>
      </c>
      <c r="X49" s="29">
        <v>19</v>
      </c>
      <c r="Y49" s="29">
        <v>34.4</v>
      </c>
      <c r="Z49" s="29">
        <v>16.600000000000001</v>
      </c>
      <c r="AA49" s="29">
        <v>43.8</v>
      </c>
      <c r="AB49" s="29">
        <v>18</v>
      </c>
      <c r="AC49" s="29">
        <v>38.799999999999997</v>
      </c>
      <c r="AD49" s="29">
        <v>53</v>
      </c>
      <c r="AE49" s="29">
        <v>5.2</v>
      </c>
      <c r="AF49" s="29"/>
      <c r="AG49" s="29">
        <f t="shared" si="7"/>
        <v>122.99999999999999</v>
      </c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</row>
    <row r="50" spans="1:48" x14ac:dyDescent="0.25">
      <c r="A50" s="29" t="s">
        <v>94</v>
      </c>
      <c r="B50" s="29" t="s">
        <v>34</v>
      </c>
      <c r="C50" s="29">
        <v>6</v>
      </c>
      <c r="D50" s="29">
        <v>180</v>
      </c>
      <c r="E50" s="29">
        <v>124</v>
      </c>
      <c r="F50" s="29">
        <v>52</v>
      </c>
      <c r="G50" s="6">
        <v>0.36</v>
      </c>
      <c r="H50" s="29">
        <v>45</v>
      </c>
      <c r="I50" s="29" t="s">
        <v>35</v>
      </c>
      <c r="J50" s="29"/>
      <c r="K50" s="29">
        <v>160</v>
      </c>
      <c r="L50" s="29">
        <f t="shared" si="11"/>
        <v>-36</v>
      </c>
      <c r="M50" s="29"/>
      <c r="N50" s="29"/>
      <c r="O50" s="29">
        <v>256</v>
      </c>
      <c r="P50" s="29">
        <f t="shared" si="12"/>
        <v>24.8</v>
      </c>
      <c r="Q50" s="4">
        <f t="shared" si="15"/>
        <v>64</v>
      </c>
      <c r="R50" s="4">
        <f t="shared" si="5"/>
        <v>64</v>
      </c>
      <c r="S50" s="38"/>
      <c r="T50" s="29">
        <f t="shared" si="6"/>
        <v>15</v>
      </c>
      <c r="U50" s="29">
        <f t="shared" si="13"/>
        <v>12.419354838709678</v>
      </c>
      <c r="V50" s="29">
        <v>33.799999999999997</v>
      </c>
      <c r="W50" s="29">
        <v>23.8</v>
      </c>
      <c r="X50" s="29">
        <v>12.6</v>
      </c>
      <c r="Y50" s="29">
        <v>19.399999999999999</v>
      </c>
      <c r="Z50" s="29">
        <v>22</v>
      </c>
      <c r="AA50" s="29">
        <v>44.4</v>
      </c>
      <c r="AB50" s="29">
        <v>4</v>
      </c>
      <c r="AC50" s="29">
        <v>26.6</v>
      </c>
      <c r="AD50" s="29">
        <v>24</v>
      </c>
      <c r="AE50" s="29">
        <v>20.399999999999999</v>
      </c>
      <c r="AF50" s="29"/>
      <c r="AG50" s="29">
        <f t="shared" si="7"/>
        <v>23.04</v>
      </c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</row>
    <row r="51" spans="1:48" x14ac:dyDescent="0.25">
      <c r="A51" s="29" t="s">
        <v>95</v>
      </c>
      <c r="B51" s="29" t="s">
        <v>34</v>
      </c>
      <c r="C51" s="29"/>
      <c r="D51" s="29">
        <v>104</v>
      </c>
      <c r="E51" s="29">
        <v>2</v>
      </c>
      <c r="F51" s="29">
        <v>98</v>
      </c>
      <c r="G51" s="6">
        <v>0.33</v>
      </c>
      <c r="H51" s="29">
        <v>45</v>
      </c>
      <c r="I51" s="29" t="s">
        <v>35</v>
      </c>
      <c r="J51" s="29"/>
      <c r="K51" s="29">
        <v>12</v>
      </c>
      <c r="L51" s="29">
        <f t="shared" si="11"/>
        <v>-10</v>
      </c>
      <c r="M51" s="29"/>
      <c r="N51" s="29"/>
      <c r="O51" s="29">
        <v>0</v>
      </c>
      <c r="P51" s="29">
        <f t="shared" si="12"/>
        <v>0.4</v>
      </c>
      <c r="Q51" s="4"/>
      <c r="R51" s="4">
        <f t="shared" si="5"/>
        <v>0</v>
      </c>
      <c r="S51" s="38"/>
      <c r="T51" s="29">
        <f t="shared" si="6"/>
        <v>245</v>
      </c>
      <c r="U51" s="29">
        <f t="shared" si="13"/>
        <v>245</v>
      </c>
      <c r="V51" s="29">
        <v>1.2</v>
      </c>
      <c r="W51" s="29">
        <v>20.8</v>
      </c>
      <c r="X51" s="29">
        <v>0</v>
      </c>
      <c r="Y51" s="29">
        <v>11.4</v>
      </c>
      <c r="Z51" s="29">
        <v>4.8</v>
      </c>
      <c r="AA51" s="29">
        <v>3.8</v>
      </c>
      <c r="AB51" s="29">
        <v>3.2</v>
      </c>
      <c r="AC51" s="29">
        <v>5.8</v>
      </c>
      <c r="AD51" s="29">
        <v>13</v>
      </c>
      <c r="AE51" s="29">
        <v>1.8</v>
      </c>
      <c r="AF51" s="29" t="s">
        <v>96</v>
      </c>
      <c r="AG51" s="29">
        <f t="shared" si="7"/>
        <v>0</v>
      </c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</row>
    <row r="52" spans="1:48" x14ac:dyDescent="0.25">
      <c r="A52" s="29" t="s">
        <v>97</v>
      </c>
      <c r="B52" s="29" t="s">
        <v>34</v>
      </c>
      <c r="C52" s="29">
        <v>6</v>
      </c>
      <c r="D52" s="29">
        <v>232</v>
      </c>
      <c r="E52" s="29">
        <v>49</v>
      </c>
      <c r="F52" s="29">
        <v>179</v>
      </c>
      <c r="G52" s="6">
        <v>0.4</v>
      </c>
      <c r="H52" s="29">
        <v>60</v>
      </c>
      <c r="I52" s="29" t="s">
        <v>35</v>
      </c>
      <c r="J52" s="29"/>
      <c r="K52" s="29">
        <v>60</v>
      </c>
      <c r="L52" s="29">
        <f t="shared" si="11"/>
        <v>-11</v>
      </c>
      <c r="M52" s="29"/>
      <c r="N52" s="29"/>
      <c r="O52" s="29">
        <v>0</v>
      </c>
      <c r="P52" s="29">
        <f t="shared" si="12"/>
        <v>9.8000000000000007</v>
      </c>
      <c r="Q52" s="4"/>
      <c r="R52" s="4">
        <f t="shared" si="5"/>
        <v>0</v>
      </c>
      <c r="S52" s="38"/>
      <c r="T52" s="29">
        <f t="shared" si="6"/>
        <v>18.26530612244898</v>
      </c>
      <c r="U52" s="29">
        <f t="shared" si="13"/>
        <v>18.26530612244898</v>
      </c>
      <c r="V52" s="29">
        <v>8</v>
      </c>
      <c r="W52" s="29">
        <v>28.2</v>
      </c>
      <c r="X52" s="29">
        <v>12.8</v>
      </c>
      <c r="Y52" s="29">
        <v>12.8</v>
      </c>
      <c r="Z52" s="29">
        <v>8.1999999999999993</v>
      </c>
      <c r="AA52" s="29">
        <v>14</v>
      </c>
      <c r="AB52" s="29">
        <v>13</v>
      </c>
      <c r="AC52" s="29">
        <v>8.4</v>
      </c>
      <c r="AD52" s="29">
        <v>6.4</v>
      </c>
      <c r="AE52" s="29">
        <v>15</v>
      </c>
      <c r="AF52" s="29"/>
      <c r="AG52" s="29">
        <f t="shared" si="7"/>
        <v>0</v>
      </c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</row>
    <row r="53" spans="1:48" x14ac:dyDescent="0.25">
      <c r="A53" s="29" t="s">
        <v>98</v>
      </c>
      <c r="B53" s="29" t="s">
        <v>34</v>
      </c>
      <c r="C53" s="29">
        <v>65</v>
      </c>
      <c r="D53" s="29">
        <v>16</v>
      </c>
      <c r="E53" s="29">
        <v>47</v>
      </c>
      <c r="F53" s="29">
        <v>30</v>
      </c>
      <c r="G53" s="6">
        <v>0.33</v>
      </c>
      <c r="H53" s="29">
        <v>45</v>
      </c>
      <c r="I53" s="29" t="s">
        <v>35</v>
      </c>
      <c r="J53" s="29"/>
      <c r="K53" s="29">
        <v>48</v>
      </c>
      <c r="L53" s="29">
        <f t="shared" si="11"/>
        <v>-1</v>
      </c>
      <c r="M53" s="29"/>
      <c r="N53" s="29"/>
      <c r="O53" s="29">
        <v>65</v>
      </c>
      <c r="P53" s="29">
        <f t="shared" si="12"/>
        <v>9.4</v>
      </c>
      <c r="Q53" s="4">
        <f t="shared" si="15"/>
        <v>46</v>
      </c>
      <c r="R53" s="4">
        <f t="shared" si="5"/>
        <v>46</v>
      </c>
      <c r="S53" s="38"/>
      <c r="T53" s="29">
        <f t="shared" si="6"/>
        <v>15</v>
      </c>
      <c r="U53" s="29">
        <f t="shared" si="13"/>
        <v>10.106382978723405</v>
      </c>
      <c r="V53" s="29">
        <v>9.6</v>
      </c>
      <c r="W53" s="29">
        <v>3</v>
      </c>
      <c r="X53" s="29">
        <v>10</v>
      </c>
      <c r="Y53" s="29">
        <v>15.4</v>
      </c>
      <c r="Z53" s="29">
        <v>6.2</v>
      </c>
      <c r="AA53" s="29">
        <v>5.4</v>
      </c>
      <c r="AB53" s="29">
        <v>5.4</v>
      </c>
      <c r="AC53" s="29">
        <v>10.6</v>
      </c>
      <c r="AD53" s="29">
        <v>22.4</v>
      </c>
      <c r="AE53" s="29">
        <v>4.2</v>
      </c>
      <c r="AF53" s="29"/>
      <c r="AG53" s="29">
        <f t="shared" si="7"/>
        <v>15.180000000000001</v>
      </c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</row>
    <row r="54" spans="1:48" x14ac:dyDescent="0.25">
      <c r="A54" s="29" t="s">
        <v>99</v>
      </c>
      <c r="B54" s="29" t="s">
        <v>37</v>
      </c>
      <c r="C54" s="29">
        <v>559.46500000000003</v>
      </c>
      <c r="D54" s="29">
        <v>52.277000000000001</v>
      </c>
      <c r="E54" s="29">
        <v>355.22399999999999</v>
      </c>
      <c r="F54" s="29">
        <v>189.66399999999999</v>
      </c>
      <c r="G54" s="6">
        <v>1</v>
      </c>
      <c r="H54" s="29">
        <v>45</v>
      </c>
      <c r="I54" s="29" t="s">
        <v>35</v>
      </c>
      <c r="J54" s="29"/>
      <c r="K54" s="29">
        <v>342.5</v>
      </c>
      <c r="L54" s="29">
        <f t="shared" si="11"/>
        <v>12.72399999999999</v>
      </c>
      <c r="M54" s="29"/>
      <c r="N54" s="29"/>
      <c r="O54" s="29">
        <v>723</v>
      </c>
      <c r="P54" s="29">
        <f t="shared" si="12"/>
        <v>71.044799999999995</v>
      </c>
      <c r="Q54" s="4">
        <f t="shared" si="15"/>
        <v>153.00800000000004</v>
      </c>
      <c r="R54" s="4">
        <f>S54</f>
        <v>250</v>
      </c>
      <c r="S54" s="38">
        <f>VLOOKUP(A54,[1]Sheet!$A:$R,18,0)</f>
        <v>250</v>
      </c>
      <c r="T54" s="29">
        <f t="shared" si="6"/>
        <v>16.365223070513256</v>
      </c>
      <c r="U54" s="29">
        <f t="shared" si="13"/>
        <v>12.846316690313719</v>
      </c>
      <c r="V54" s="29">
        <v>90.560400000000001</v>
      </c>
      <c r="W54" s="29">
        <v>56.676199999999987</v>
      </c>
      <c r="X54" s="29">
        <v>86.05</v>
      </c>
      <c r="Y54" s="29">
        <v>47.893799999999999</v>
      </c>
      <c r="Z54" s="29">
        <v>111.7034</v>
      </c>
      <c r="AA54" s="29">
        <v>91.224000000000004</v>
      </c>
      <c r="AB54" s="29">
        <v>74.652200000000008</v>
      </c>
      <c r="AC54" s="29">
        <v>81.558999999999997</v>
      </c>
      <c r="AD54" s="29">
        <v>91.169399999999996</v>
      </c>
      <c r="AE54" s="29">
        <v>78.173599999999993</v>
      </c>
      <c r="AF54" s="29"/>
      <c r="AG54" s="29">
        <f t="shared" si="7"/>
        <v>250</v>
      </c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</row>
    <row r="55" spans="1:48" x14ac:dyDescent="0.25">
      <c r="A55" s="8" t="s">
        <v>100</v>
      </c>
      <c r="B55" s="8" t="s">
        <v>34</v>
      </c>
      <c r="C55" s="8">
        <v>-1</v>
      </c>
      <c r="D55" s="8"/>
      <c r="E55" s="8"/>
      <c r="F55" s="8">
        <v>-1</v>
      </c>
      <c r="G55" s="9">
        <v>0</v>
      </c>
      <c r="H55" s="8">
        <v>60</v>
      </c>
      <c r="I55" s="8" t="s">
        <v>51</v>
      </c>
      <c r="J55" s="8"/>
      <c r="K55" s="8">
        <v>10</v>
      </c>
      <c r="L55" s="8">
        <f t="shared" si="11"/>
        <v>-10</v>
      </c>
      <c r="M55" s="8"/>
      <c r="N55" s="8"/>
      <c r="O55" s="8">
        <v>0</v>
      </c>
      <c r="P55" s="8">
        <f t="shared" si="12"/>
        <v>0</v>
      </c>
      <c r="Q55" s="10"/>
      <c r="R55" s="4">
        <f t="shared" si="5"/>
        <v>0</v>
      </c>
      <c r="S55" s="38"/>
      <c r="T55" s="29" t="e">
        <f t="shared" si="6"/>
        <v>#DIV/0!</v>
      </c>
      <c r="U55" s="8" t="e">
        <f t="shared" si="13"/>
        <v>#DIV/0!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-0.2</v>
      </c>
      <c r="AB55" s="8">
        <v>0</v>
      </c>
      <c r="AC55" s="8">
        <v>0</v>
      </c>
      <c r="AD55" s="8">
        <v>5.8</v>
      </c>
      <c r="AE55" s="8">
        <v>6.4</v>
      </c>
      <c r="AF55" s="8" t="s">
        <v>101</v>
      </c>
      <c r="AG55" s="29">
        <f t="shared" si="7"/>
        <v>0</v>
      </c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</row>
    <row r="56" spans="1:48" x14ac:dyDescent="0.25">
      <c r="A56" s="29" t="s">
        <v>102</v>
      </c>
      <c r="B56" s="29" t="s">
        <v>34</v>
      </c>
      <c r="C56" s="29">
        <v>25</v>
      </c>
      <c r="D56" s="29"/>
      <c r="E56" s="29">
        <v>8</v>
      </c>
      <c r="F56" s="29">
        <v>13</v>
      </c>
      <c r="G56" s="6">
        <v>0.4</v>
      </c>
      <c r="H56" s="29">
        <v>45</v>
      </c>
      <c r="I56" s="29" t="s">
        <v>35</v>
      </c>
      <c r="J56" s="29"/>
      <c r="K56" s="29">
        <v>53</v>
      </c>
      <c r="L56" s="29">
        <f t="shared" si="11"/>
        <v>-45</v>
      </c>
      <c r="M56" s="29"/>
      <c r="N56" s="29"/>
      <c r="O56" s="29">
        <v>33</v>
      </c>
      <c r="P56" s="29">
        <f t="shared" si="12"/>
        <v>1.6</v>
      </c>
      <c r="Q56" s="4"/>
      <c r="R56" s="4">
        <f t="shared" si="5"/>
        <v>0</v>
      </c>
      <c r="S56" s="38"/>
      <c r="T56" s="29">
        <f t="shared" si="6"/>
        <v>28.75</v>
      </c>
      <c r="U56" s="29">
        <f t="shared" si="13"/>
        <v>28.75</v>
      </c>
      <c r="V56" s="29">
        <v>4.4000000000000004</v>
      </c>
      <c r="W56" s="29">
        <v>6.4</v>
      </c>
      <c r="X56" s="29">
        <v>12.2</v>
      </c>
      <c r="Y56" s="29">
        <v>0.6</v>
      </c>
      <c r="Z56" s="29">
        <v>7.4</v>
      </c>
      <c r="AA56" s="29">
        <v>20.6</v>
      </c>
      <c r="AB56" s="29">
        <v>10.6</v>
      </c>
      <c r="AC56" s="29">
        <v>35.4</v>
      </c>
      <c r="AD56" s="29">
        <v>18.8</v>
      </c>
      <c r="AE56" s="29">
        <v>0.2</v>
      </c>
      <c r="AF56" s="29"/>
      <c r="AG56" s="29">
        <f t="shared" si="7"/>
        <v>0</v>
      </c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</row>
    <row r="57" spans="1:48" x14ac:dyDescent="0.25">
      <c r="A57" s="29" t="s">
        <v>103</v>
      </c>
      <c r="B57" s="29" t="s">
        <v>37</v>
      </c>
      <c r="C57" s="29">
        <v>3.786</v>
      </c>
      <c r="D57" s="29">
        <v>3.9039999999999999</v>
      </c>
      <c r="E57" s="29">
        <v>7.7839999999999998</v>
      </c>
      <c r="F57" s="29">
        <v>-9.4E-2</v>
      </c>
      <c r="G57" s="6">
        <v>1</v>
      </c>
      <c r="H57" s="29">
        <v>60</v>
      </c>
      <c r="I57" s="29" t="s">
        <v>35</v>
      </c>
      <c r="J57" s="29"/>
      <c r="K57" s="29">
        <v>7.6</v>
      </c>
      <c r="L57" s="29">
        <f t="shared" si="11"/>
        <v>0.18400000000000016</v>
      </c>
      <c r="M57" s="29"/>
      <c r="N57" s="29"/>
      <c r="O57" s="29">
        <v>0</v>
      </c>
      <c r="P57" s="29">
        <f t="shared" si="12"/>
        <v>1.5568</v>
      </c>
      <c r="Q57" s="4">
        <f>8*P57-O57-F57</f>
        <v>12.548399999999999</v>
      </c>
      <c r="R57" s="4">
        <f t="shared" si="5"/>
        <v>13</v>
      </c>
      <c r="S57" s="38"/>
      <c r="T57" s="29">
        <f t="shared" si="6"/>
        <v>8.2900822199383359</v>
      </c>
      <c r="U57" s="29">
        <f t="shared" si="13"/>
        <v>-6.0380267214799589E-2</v>
      </c>
      <c r="V57" s="29">
        <v>0</v>
      </c>
      <c r="W57" s="29">
        <v>0.78959999999999997</v>
      </c>
      <c r="X57" s="29">
        <v>-0.19</v>
      </c>
      <c r="Y57" s="29">
        <v>0.39079999999999998</v>
      </c>
      <c r="Z57" s="29">
        <v>0.77759999999999996</v>
      </c>
      <c r="AA57" s="29">
        <v>0.7752</v>
      </c>
      <c r="AB57" s="29">
        <v>0.39200000000000002</v>
      </c>
      <c r="AC57" s="29">
        <v>0.39140000000000003</v>
      </c>
      <c r="AD57" s="29">
        <v>0.8146000000000001</v>
      </c>
      <c r="AE57" s="29">
        <v>0</v>
      </c>
      <c r="AF57" s="29"/>
      <c r="AG57" s="29">
        <f t="shared" si="7"/>
        <v>13</v>
      </c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</row>
    <row r="58" spans="1:48" x14ac:dyDescent="0.25">
      <c r="A58" s="8" t="s">
        <v>104</v>
      </c>
      <c r="B58" s="8" t="s">
        <v>37</v>
      </c>
      <c r="C58" s="8">
        <v>3.8809999999999998</v>
      </c>
      <c r="D58" s="8"/>
      <c r="E58" s="8"/>
      <c r="F58" s="8">
        <v>3.8809999999999998</v>
      </c>
      <c r="G58" s="9">
        <v>0</v>
      </c>
      <c r="H58" s="8">
        <v>60</v>
      </c>
      <c r="I58" s="8" t="s">
        <v>51</v>
      </c>
      <c r="J58" s="8"/>
      <c r="K58" s="8">
        <v>2.2999999999999998</v>
      </c>
      <c r="L58" s="8">
        <f t="shared" si="11"/>
        <v>-2.2999999999999998</v>
      </c>
      <c r="M58" s="8"/>
      <c r="N58" s="8"/>
      <c r="O58" s="8">
        <v>0</v>
      </c>
      <c r="P58" s="8">
        <f t="shared" si="12"/>
        <v>0</v>
      </c>
      <c r="Q58" s="10"/>
      <c r="R58" s="4">
        <f t="shared" si="5"/>
        <v>0</v>
      </c>
      <c r="S58" s="38"/>
      <c r="T58" s="29" t="e">
        <f t="shared" si="6"/>
        <v>#DIV/0!</v>
      </c>
      <c r="U58" s="8" t="e">
        <f t="shared" si="13"/>
        <v>#DIV/0!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85</v>
      </c>
      <c r="AG58" s="29">
        <f t="shared" si="7"/>
        <v>0</v>
      </c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</row>
    <row r="59" spans="1:48" x14ac:dyDescent="0.25">
      <c r="A59" s="29" t="s">
        <v>105</v>
      </c>
      <c r="B59" s="29" t="s">
        <v>37</v>
      </c>
      <c r="C59" s="29">
        <v>3.5000000000000003E-2</v>
      </c>
      <c r="D59" s="29">
        <v>84.674999999999997</v>
      </c>
      <c r="E59" s="29">
        <v>4.5350000000000001</v>
      </c>
      <c r="F59" s="29">
        <v>80.174999999999997</v>
      </c>
      <c r="G59" s="6">
        <v>1</v>
      </c>
      <c r="H59" s="29">
        <v>60</v>
      </c>
      <c r="I59" s="29" t="s">
        <v>35</v>
      </c>
      <c r="J59" s="29"/>
      <c r="K59" s="29">
        <v>4.3</v>
      </c>
      <c r="L59" s="29">
        <f t="shared" si="11"/>
        <v>0.23500000000000032</v>
      </c>
      <c r="M59" s="29"/>
      <c r="N59" s="29"/>
      <c r="O59" s="29">
        <v>0</v>
      </c>
      <c r="P59" s="29">
        <f t="shared" si="12"/>
        <v>0.90700000000000003</v>
      </c>
      <c r="Q59" s="4"/>
      <c r="R59" s="4">
        <f t="shared" si="5"/>
        <v>0</v>
      </c>
      <c r="S59" s="38"/>
      <c r="T59" s="29">
        <f t="shared" si="6"/>
        <v>88.395810363836816</v>
      </c>
      <c r="U59" s="29">
        <f t="shared" si="13"/>
        <v>88.395810363836816</v>
      </c>
      <c r="V59" s="29">
        <v>4.8015999999999996</v>
      </c>
      <c r="W59" s="29">
        <v>12.5998</v>
      </c>
      <c r="X59" s="29">
        <v>3.0156000000000001</v>
      </c>
      <c r="Y59" s="29">
        <v>6.6430000000000007</v>
      </c>
      <c r="Z59" s="29">
        <v>10.220000000000001</v>
      </c>
      <c r="AA59" s="29">
        <v>2.403</v>
      </c>
      <c r="AB59" s="29">
        <v>4.1829999999999998</v>
      </c>
      <c r="AC59" s="29">
        <v>7.7939999999999996</v>
      </c>
      <c r="AD59" s="29">
        <v>11.387</v>
      </c>
      <c r="AE59" s="29">
        <v>0.59699999999999998</v>
      </c>
      <c r="AF59" s="29"/>
      <c r="AG59" s="29">
        <f t="shared" si="7"/>
        <v>0</v>
      </c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</row>
    <row r="60" spans="1:48" x14ac:dyDescent="0.25">
      <c r="A60" s="29" t="s">
        <v>106</v>
      </c>
      <c r="B60" s="29" t="s">
        <v>34</v>
      </c>
      <c r="C60" s="29">
        <v>2</v>
      </c>
      <c r="D60" s="29">
        <v>64</v>
      </c>
      <c r="E60" s="29">
        <v>21</v>
      </c>
      <c r="F60" s="29">
        <v>44</v>
      </c>
      <c r="G60" s="6">
        <v>0.25</v>
      </c>
      <c r="H60" s="29">
        <v>120</v>
      </c>
      <c r="I60" s="29" t="s">
        <v>35</v>
      </c>
      <c r="J60" s="29"/>
      <c r="K60" s="29">
        <v>21</v>
      </c>
      <c r="L60" s="29">
        <f t="shared" si="11"/>
        <v>0</v>
      </c>
      <c r="M60" s="29"/>
      <c r="N60" s="29"/>
      <c r="O60" s="29">
        <v>0</v>
      </c>
      <c r="P60" s="29">
        <f t="shared" si="12"/>
        <v>4.2</v>
      </c>
      <c r="Q60" s="4">
        <f t="shared" ref="Q60:Q70" si="16">15*P60-O60-F60</f>
        <v>19</v>
      </c>
      <c r="R60" s="4">
        <f t="shared" si="5"/>
        <v>19</v>
      </c>
      <c r="S60" s="38"/>
      <c r="T60" s="29">
        <f t="shared" si="6"/>
        <v>15</v>
      </c>
      <c r="U60" s="29">
        <f t="shared" si="13"/>
        <v>10.476190476190476</v>
      </c>
      <c r="V60" s="29">
        <v>3.4</v>
      </c>
      <c r="W60" s="29">
        <v>8.1999999999999993</v>
      </c>
      <c r="X60" s="29">
        <v>3</v>
      </c>
      <c r="Y60" s="29">
        <v>1</v>
      </c>
      <c r="Z60" s="29">
        <v>5</v>
      </c>
      <c r="AA60" s="29">
        <v>0.6</v>
      </c>
      <c r="AB60" s="29">
        <v>6.4</v>
      </c>
      <c r="AC60" s="29">
        <v>13.2</v>
      </c>
      <c r="AD60" s="29">
        <v>2.8</v>
      </c>
      <c r="AE60" s="29">
        <v>0.8</v>
      </c>
      <c r="AF60" s="29" t="s">
        <v>39</v>
      </c>
      <c r="AG60" s="29">
        <f t="shared" si="7"/>
        <v>4.75</v>
      </c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</row>
    <row r="61" spans="1:48" x14ac:dyDescent="0.25">
      <c r="A61" s="29" t="s">
        <v>107</v>
      </c>
      <c r="B61" s="29" t="s">
        <v>37</v>
      </c>
      <c r="C61" s="29">
        <v>114.21</v>
      </c>
      <c r="D61" s="29">
        <v>3.0979999999999999</v>
      </c>
      <c r="E61" s="29">
        <v>50.363999999999997</v>
      </c>
      <c r="F61" s="29">
        <v>59.601999999999997</v>
      </c>
      <c r="G61" s="6">
        <v>1</v>
      </c>
      <c r="H61" s="29">
        <v>45</v>
      </c>
      <c r="I61" s="29" t="s">
        <v>35</v>
      </c>
      <c r="J61" s="29"/>
      <c r="K61" s="29">
        <v>47</v>
      </c>
      <c r="L61" s="29">
        <f t="shared" si="11"/>
        <v>3.3639999999999972</v>
      </c>
      <c r="M61" s="29"/>
      <c r="N61" s="29"/>
      <c r="O61" s="29">
        <v>51</v>
      </c>
      <c r="P61" s="29">
        <f t="shared" si="12"/>
        <v>10.072799999999999</v>
      </c>
      <c r="Q61" s="4">
        <f t="shared" si="16"/>
        <v>40.489999999999988</v>
      </c>
      <c r="R61" s="4">
        <f t="shared" si="5"/>
        <v>40</v>
      </c>
      <c r="S61" s="38"/>
      <c r="T61" s="29">
        <f t="shared" si="6"/>
        <v>14.951354141847354</v>
      </c>
      <c r="U61" s="29">
        <f t="shared" si="13"/>
        <v>10.98026368040664</v>
      </c>
      <c r="V61" s="29">
        <v>11.0572</v>
      </c>
      <c r="W61" s="29">
        <v>8.5096000000000007</v>
      </c>
      <c r="X61" s="29">
        <v>13.817600000000001</v>
      </c>
      <c r="Y61" s="29">
        <v>18.384</v>
      </c>
      <c r="Z61" s="29">
        <v>10.727600000000001</v>
      </c>
      <c r="AA61" s="29">
        <v>17.526399999999999</v>
      </c>
      <c r="AB61" s="29">
        <v>15.994</v>
      </c>
      <c r="AC61" s="29">
        <v>13.3072</v>
      </c>
      <c r="AD61" s="29">
        <v>7.6114000000000006</v>
      </c>
      <c r="AE61" s="29">
        <v>11.939399999999999</v>
      </c>
      <c r="AF61" s="29"/>
      <c r="AG61" s="29">
        <f t="shared" si="7"/>
        <v>40</v>
      </c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</row>
    <row r="62" spans="1:48" x14ac:dyDescent="0.25">
      <c r="A62" s="29" t="s">
        <v>108</v>
      </c>
      <c r="B62" s="29" t="s">
        <v>34</v>
      </c>
      <c r="C62" s="29">
        <v>103</v>
      </c>
      <c r="D62" s="29"/>
      <c r="E62" s="29">
        <v>89</v>
      </c>
      <c r="F62" s="29">
        <v>13</v>
      </c>
      <c r="G62" s="6">
        <v>0.27</v>
      </c>
      <c r="H62" s="29"/>
      <c r="I62" s="29" t="s">
        <v>35</v>
      </c>
      <c r="J62" s="29"/>
      <c r="K62" s="29">
        <v>133</v>
      </c>
      <c r="L62" s="29">
        <f t="shared" si="11"/>
        <v>-44</v>
      </c>
      <c r="M62" s="29"/>
      <c r="N62" s="29"/>
      <c r="O62" s="29">
        <v>107</v>
      </c>
      <c r="P62" s="29">
        <f t="shared" si="12"/>
        <v>17.8</v>
      </c>
      <c r="Q62" s="4">
        <f t="shared" si="16"/>
        <v>147</v>
      </c>
      <c r="R62" s="4">
        <f t="shared" si="5"/>
        <v>147</v>
      </c>
      <c r="S62" s="38"/>
      <c r="T62" s="29">
        <f t="shared" si="6"/>
        <v>15</v>
      </c>
      <c r="U62" s="29">
        <f t="shared" si="13"/>
        <v>6.7415730337078648</v>
      </c>
      <c r="V62" s="29">
        <v>13.6</v>
      </c>
      <c r="W62" s="29">
        <v>1</v>
      </c>
      <c r="X62" s="29">
        <v>17.399999999999999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>
        <v>0</v>
      </c>
      <c r="AF62" s="29" t="s">
        <v>72</v>
      </c>
      <c r="AG62" s="29">
        <f t="shared" si="7"/>
        <v>39.690000000000005</v>
      </c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</row>
    <row r="63" spans="1:48" x14ac:dyDescent="0.25">
      <c r="A63" s="29" t="s">
        <v>109</v>
      </c>
      <c r="B63" s="29" t="s">
        <v>34</v>
      </c>
      <c r="C63" s="29">
        <v>104</v>
      </c>
      <c r="D63" s="29"/>
      <c r="E63" s="29">
        <v>44</v>
      </c>
      <c r="F63" s="29">
        <v>56</v>
      </c>
      <c r="G63" s="6">
        <v>0.3</v>
      </c>
      <c r="H63" s="29">
        <v>60</v>
      </c>
      <c r="I63" s="29" t="s">
        <v>35</v>
      </c>
      <c r="J63" s="29"/>
      <c r="K63" s="29">
        <v>43</v>
      </c>
      <c r="L63" s="29">
        <f t="shared" si="11"/>
        <v>1</v>
      </c>
      <c r="M63" s="29"/>
      <c r="N63" s="29"/>
      <c r="O63" s="29">
        <v>0</v>
      </c>
      <c r="P63" s="29">
        <f t="shared" si="12"/>
        <v>8.8000000000000007</v>
      </c>
      <c r="Q63" s="4">
        <f>14*P63-O63-F63</f>
        <v>67.200000000000017</v>
      </c>
      <c r="R63" s="4">
        <f t="shared" si="5"/>
        <v>67</v>
      </c>
      <c r="S63" s="38"/>
      <c r="T63" s="29">
        <f t="shared" si="6"/>
        <v>13.977272727272727</v>
      </c>
      <c r="U63" s="29">
        <f t="shared" si="13"/>
        <v>6.3636363636363633</v>
      </c>
      <c r="V63" s="29">
        <v>3.6</v>
      </c>
      <c r="W63" s="29">
        <v>23</v>
      </c>
      <c r="X63" s="29">
        <v>6.2</v>
      </c>
      <c r="Y63" s="29">
        <v>0.2</v>
      </c>
      <c r="Z63" s="29">
        <v>0.8</v>
      </c>
      <c r="AA63" s="29">
        <v>30.4</v>
      </c>
      <c r="AB63" s="29">
        <v>6.2</v>
      </c>
      <c r="AC63" s="29">
        <v>4.2</v>
      </c>
      <c r="AD63" s="29">
        <v>25.8</v>
      </c>
      <c r="AE63" s="29">
        <v>16.600000000000001</v>
      </c>
      <c r="AF63" s="36" t="s">
        <v>191</v>
      </c>
      <c r="AG63" s="29">
        <f t="shared" si="7"/>
        <v>20.099999999999998</v>
      </c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</row>
    <row r="64" spans="1:48" x14ac:dyDescent="0.25">
      <c r="A64" s="29" t="s">
        <v>110</v>
      </c>
      <c r="B64" s="29" t="s">
        <v>34</v>
      </c>
      <c r="C64" s="29">
        <v>132</v>
      </c>
      <c r="D64" s="29">
        <v>340</v>
      </c>
      <c r="E64" s="29">
        <v>408</v>
      </c>
      <c r="F64" s="34">
        <f>11+F111</f>
        <v>33</v>
      </c>
      <c r="G64" s="6">
        <v>0.41</v>
      </c>
      <c r="H64" s="29">
        <v>50</v>
      </c>
      <c r="I64" s="29" t="s">
        <v>35</v>
      </c>
      <c r="J64" s="29"/>
      <c r="K64" s="29">
        <v>449</v>
      </c>
      <c r="L64" s="29">
        <f t="shared" si="11"/>
        <v>-41</v>
      </c>
      <c r="M64" s="29"/>
      <c r="N64" s="29"/>
      <c r="O64" s="29">
        <v>629</v>
      </c>
      <c r="P64" s="29">
        <f t="shared" si="12"/>
        <v>81.599999999999994</v>
      </c>
      <c r="Q64" s="4">
        <f t="shared" si="16"/>
        <v>562</v>
      </c>
      <c r="R64" s="4">
        <f>S64</f>
        <v>670</v>
      </c>
      <c r="S64" s="38">
        <f>VLOOKUP(A64,[1]Sheet!$A:$R,18,0)</f>
        <v>670</v>
      </c>
      <c r="T64" s="29">
        <f t="shared" si="6"/>
        <v>16.323529411764707</v>
      </c>
      <c r="U64" s="29">
        <f t="shared" si="13"/>
        <v>8.1127450980392162</v>
      </c>
      <c r="V64" s="29">
        <v>82.6</v>
      </c>
      <c r="W64" s="29">
        <v>56.6</v>
      </c>
      <c r="X64" s="29">
        <v>56</v>
      </c>
      <c r="Y64" s="29">
        <v>30.8</v>
      </c>
      <c r="Z64" s="29">
        <v>75.8</v>
      </c>
      <c r="AA64" s="29">
        <v>88</v>
      </c>
      <c r="AB64" s="29">
        <v>61</v>
      </c>
      <c r="AC64" s="29">
        <v>77.2</v>
      </c>
      <c r="AD64" s="29">
        <v>89.8</v>
      </c>
      <c r="AE64" s="29">
        <v>95.6</v>
      </c>
      <c r="AF64" s="29"/>
      <c r="AG64" s="29">
        <f t="shared" si="7"/>
        <v>274.7</v>
      </c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</row>
    <row r="65" spans="1:48" x14ac:dyDescent="0.25">
      <c r="A65" s="29" t="s">
        <v>111</v>
      </c>
      <c r="B65" s="29" t="s">
        <v>37</v>
      </c>
      <c r="C65" s="29">
        <v>433.28800000000001</v>
      </c>
      <c r="D65" s="29"/>
      <c r="E65" s="29">
        <v>131.32</v>
      </c>
      <c r="F65" s="29">
        <v>291.18900000000002</v>
      </c>
      <c r="G65" s="6">
        <v>1</v>
      </c>
      <c r="H65" s="29">
        <v>50</v>
      </c>
      <c r="I65" s="29" t="s">
        <v>35</v>
      </c>
      <c r="J65" s="29"/>
      <c r="K65" s="29">
        <v>119.8</v>
      </c>
      <c r="L65" s="29">
        <f t="shared" si="11"/>
        <v>11.519999999999996</v>
      </c>
      <c r="M65" s="29"/>
      <c r="N65" s="29"/>
      <c r="O65" s="29">
        <v>0</v>
      </c>
      <c r="P65" s="29">
        <f t="shared" si="12"/>
        <v>26.263999999999999</v>
      </c>
      <c r="Q65" s="4">
        <f t="shared" si="16"/>
        <v>102.77099999999996</v>
      </c>
      <c r="R65" s="4">
        <f t="shared" si="5"/>
        <v>103</v>
      </c>
      <c r="S65" s="38"/>
      <c r="T65" s="29">
        <f t="shared" si="6"/>
        <v>15.008719159305514</v>
      </c>
      <c r="U65" s="29">
        <f t="shared" si="13"/>
        <v>11.087001218397807</v>
      </c>
      <c r="V65" s="29">
        <v>28.4208</v>
      </c>
      <c r="W65" s="29">
        <v>22.750399999999999</v>
      </c>
      <c r="X65" s="29">
        <v>28.758199999999999</v>
      </c>
      <c r="Y65" s="29">
        <v>53.999600000000001</v>
      </c>
      <c r="Z65" s="29">
        <v>43.759799999999998</v>
      </c>
      <c r="AA65" s="29">
        <v>41.929600000000001</v>
      </c>
      <c r="AB65" s="29">
        <v>42.965600000000002</v>
      </c>
      <c r="AC65" s="29">
        <v>32.3782</v>
      </c>
      <c r="AD65" s="29">
        <v>45.654600000000002</v>
      </c>
      <c r="AE65" s="29">
        <v>10.1288</v>
      </c>
      <c r="AF65" s="29"/>
      <c r="AG65" s="29">
        <f t="shared" si="7"/>
        <v>103</v>
      </c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</row>
    <row r="66" spans="1:48" x14ac:dyDescent="0.25">
      <c r="A66" s="29" t="s">
        <v>112</v>
      </c>
      <c r="B66" s="29" t="s">
        <v>34</v>
      </c>
      <c r="C66" s="29">
        <v>30</v>
      </c>
      <c r="D66" s="29">
        <v>187</v>
      </c>
      <c r="E66" s="29">
        <v>36</v>
      </c>
      <c r="F66" s="29">
        <v>178</v>
      </c>
      <c r="G66" s="6">
        <v>0.35</v>
      </c>
      <c r="H66" s="29">
        <v>50</v>
      </c>
      <c r="I66" s="29" t="s">
        <v>35</v>
      </c>
      <c r="J66" s="29"/>
      <c r="K66" s="29">
        <v>38</v>
      </c>
      <c r="L66" s="29">
        <f t="shared" si="11"/>
        <v>-2</v>
      </c>
      <c r="M66" s="29"/>
      <c r="N66" s="29"/>
      <c r="O66" s="29">
        <v>0</v>
      </c>
      <c r="P66" s="29">
        <f t="shared" si="12"/>
        <v>7.2</v>
      </c>
      <c r="Q66" s="4"/>
      <c r="R66" s="4">
        <f t="shared" si="5"/>
        <v>0</v>
      </c>
      <c r="S66" s="38"/>
      <c r="T66" s="29">
        <f t="shared" si="6"/>
        <v>24.722222222222221</v>
      </c>
      <c r="U66" s="29">
        <f t="shared" si="13"/>
        <v>24.722222222222221</v>
      </c>
      <c r="V66" s="29">
        <v>8.4</v>
      </c>
      <c r="W66" s="29">
        <v>27.2</v>
      </c>
      <c r="X66" s="29">
        <v>4</v>
      </c>
      <c r="Y66" s="29">
        <v>9.4</v>
      </c>
      <c r="Z66" s="29">
        <v>5.4</v>
      </c>
      <c r="AA66" s="29">
        <v>26.8</v>
      </c>
      <c r="AB66" s="29">
        <v>3.4</v>
      </c>
      <c r="AC66" s="29">
        <v>23.2</v>
      </c>
      <c r="AD66" s="29">
        <v>13.4</v>
      </c>
      <c r="AE66" s="29">
        <v>4.4000000000000004</v>
      </c>
      <c r="AF66" s="29"/>
      <c r="AG66" s="29">
        <f t="shared" si="7"/>
        <v>0</v>
      </c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</row>
    <row r="67" spans="1:48" x14ac:dyDescent="0.25">
      <c r="A67" s="29" t="s">
        <v>113</v>
      </c>
      <c r="B67" s="29" t="s">
        <v>37</v>
      </c>
      <c r="C67" s="29">
        <v>20.649000000000001</v>
      </c>
      <c r="D67" s="29">
        <v>68.177999999999997</v>
      </c>
      <c r="E67" s="29">
        <v>15.551</v>
      </c>
      <c r="F67" s="29">
        <v>63.942</v>
      </c>
      <c r="G67" s="6">
        <v>1</v>
      </c>
      <c r="H67" s="29">
        <v>50</v>
      </c>
      <c r="I67" s="29" t="s">
        <v>35</v>
      </c>
      <c r="J67" s="29"/>
      <c r="K67" s="29">
        <v>13.3</v>
      </c>
      <c r="L67" s="29">
        <f t="shared" si="11"/>
        <v>2.2509999999999994</v>
      </c>
      <c r="M67" s="29"/>
      <c r="N67" s="29"/>
      <c r="O67" s="29">
        <v>0</v>
      </c>
      <c r="P67" s="29">
        <f t="shared" si="12"/>
        <v>3.1101999999999999</v>
      </c>
      <c r="Q67" s="4"/>
      <c r="R67" s="4">
        <f t="shared" si="5"/>
        <v>0</v>
      </c>
      <c r="S67" s="38"/>
      <c r="T67" s="29">
        <f t="shared" si="6"/>
        <v>20.558806507620091</v>
      </c>
      <c r="U67" s="29">
        <f t="shared" si="13"/>
        <v>20.558806507620091</v>
      </c>
      <c r="V67" s="29">
        <v>5.2973999999999997</v>
      </c>
      <c r="W67" s="29">
        <v>9.0104000000000006</v>
      </c>
      <c r="X67" s="29">
        <v>4.9272</v>
      </c>
      <c r="Y67" s="29">
        <v>7.7224000000000004</v>
      </c>
      <c r="Z67" s="29">
        <v>12.615399999999999</v>
      </c>
      <c r="AA67" s="29">
        <v>10.090999999999999</v>
      </c>
      <c r="AB67" s="29">
        <v>7.3322000000000003</v>
      </c>
      <c r="AC67" s="29">
        <v>1.9112</v>
      </c>
      <c r="AD67" s="29">
        <v>3.419</v>
      </c>
      <c r="AE67" s="29">
        <v>12.1236</v>
      </c>
      <c r="AF67" s="29"/>
      <c r="AG67" s="29">
        <f t="shared" si="7"/>
        <v>0</v>
      </c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</row>
    <row r="68" spans="1:48" x14ac:dyDescent="0.25">
      <c r="A68" s="29" t="s">
        <v>114</v>
      </c>
      <c r="B68" s="29" t="s">
        <v>34</v>
      </c>
      <c r="C68" s="29">
        <v>1</v>
      </c>
      <c r="D68" s="29">
        <v>340</v>
      </c>
      <c r="E68" s="29">
        <v>300</v>
      </c>
      <c r="F68" s="29">
        <v>1</v>
      </c>
      <c r="G68" s="6">
        <v>0.41</v>
      </c>
      <c r="H68" s="29">
        <v>50</v>
      </c>
      <c r="I68" s="29" t="s">
        <v>35</v>
      </c>
      <c r="J68" s="29"/>
      <c r="K68" s="29">
        <v>385</v>
      </c>
      <c r="L68" s="29">
        <f t="shared" si="11"/>
        <v>-85</v>
      </c>
      <c r="M68" s="29"/>
      <c r="N68" s="29"/>
      <c r="O68" s="29">
        <v>0</v>
      </c>
      <c r="P68" s="29">
        <f t="shared" si="12"/>
        <v>60</v>
      </c>
      <c r="Q68" s="4">
        <f>8*P68-O68-F68</f>
        <v>479</v>
      </c>
      <c r="R68" s="4">
        <f>S68</f>
        <v>600</v>
      </c>
      <c r="S68" s="38">
        <f>VLOOKUP(A68,[1]Sheet!$A:$R,18,0)</f>
        <v>600</v>
      </c>
      <c r="T68" s="29">
        <f t="shared" si="6"/>
        <v>10.016666666666667</v>
      </c>
      <c r="U68" s="29">
        <f t="shared" si="13"/>
        <v>1.6666666666666666E-2</v>
      </c>
      <c r="V68" s="29">
        <v>7.2</v>
      </c>
      <c r="W68" s="29">
        <v>35.200000000000003</v>
      </c>
      <c r="X68" s="29">
        <v>7.4</v>
      </c>
      <c r="Y68" s="29">
        <v>0</v>
      </c>
      <c r="Z68" s="29">
        <v>4.2</v>
      </c>
      <c r="AA68" s="29">
        <v>53.4</v>
      </c>
      <c r="AB68" s="29">
        <v>61.4</v>
      </c>
      <c r="AC68" s="29">
        <v>75.400000000000006</v>
      </c>
      <c r="AD68" s="29">
        <v>106</v>
      </c>
      <c r="AE68" s="29">
        <v>103</v>
      </c>
      <c r="AF68" s="29"/>
      <c r="AG68" s="29">
        <f t="shared" si="7"/>
        <v>245.99999999999997</v>
      </c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</row>
    <row r="69" spans="1:48" x14ac:dyDescent="0.25">
      <c r="A69" s="29" t="s">
        <v>115</v>
      </c>
      <c r="B69" s="29" t="s">
        <v>37</v>
      </c>
      <c r="C69" s="29">
        <v>208.452</v>
      </c>
      <c r="D69" s="29"/>
      <c r="E69" s="29">
        <v>121.301</v>
      </c>
      <c r="F69" s="29">
        <v>81.953000000000003</v>
      </c>
      <c r="G69" s="6">
        <v>1</v>
      </c>
      <c r="H69" s="29">
        <v>50</v>
      </c>
      <c r="I69" s="29" t="s">
        <v>35</v>
      </c>
      <c r="J69" s="29"/>
      <c r="K69" s="29">
        <v>108.8</v>
      </c>
      <c r="L69" s="29">
        <f t="shared" si="11"/>
        <v>12.501000000000005</v>
      </c>
      <c r="M69" s="29"/>
      <c r="N69" s="29"/>
      <c r="O69" s="29">
        <v>274</v>
      </c>
      <c r="P69" s="29">
        <f t="shared" si="12"/>
        <v>24.260200000000001</v>
      </c>
      <c r="Q69" s="4">
        <f t="shared" si="16"/>
        <v>7.9500000000000171</v>
      </c>
      <c r="R69" s="4">
        <f t="shared" si="5"/>
        <v>8</v>
      </c>
      <c r="S69" s="38"/>
      <c r="T69" s="29">
        <f t="shared" si="6"/>
        <v>15.002060988779975</v>
      </c>
      <c r="U69" s="29">
        <f t="shared" si="13"/>
        <v>14.672302783983643</v>
      </c>
      <c r="V69" s="29">
        <v>36.361800000000002</v>
      </c>
      <c r="W69" s="29">
        <v>19.7622</v>
      </c>
      <c r="X69" s="29">
        <v>32.344000000000001</v>
      </c>
      <c r="Y69" s="29">
        <v>35.5486</v>
      </c>
      <c r="Z69" s="29">
        <v>41.344999999999999</v>
      </c>
      <c r="AA69" s="29">
        <v>30.451000000000001</v>
      </c>
      <c r="AB69" s="29">
        <v>29.3094</v>
      </c>
      <c r="AC69" s="29">
        <v>35.366799999999998</v>
      </c>
      <c r="AD69" s="29">
        <v>41.764600000000002</v>
      </c>
      <c r="AE69" s="29">
        <v>31.7944</v>
      </c>
      <c r="AF69" s="29"/>
      <c r="AG69" s="29">
        <f t="shared" si="7"/>
        <v>8</v>
      </c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</row>
    <row r="70" spans="1:48" x14ac:dyDescent="0.25">
      <c r="A70" s="29" t="s">
        <v>116</v>
      </c>
      <c r="B70" s="29" t="s">
        <v>34</v>
      </c>
      <c r="C70" s="29">
        <v>59</v>
      </c>
      <c r="D70" s="29">
        <v>170</v>
      </c>
      <c r="E70" s="29">
        <v>86</v>
      </c>
      <c r="F70" s="29">
        <v>137</v>
      </c>
      <c r="G70" s="6">
        <v>0.3</v>
      </c>
      <c r="H70" s="29">
        <v>50</v>
      </c>
      <c r="I70" s="29" t="s">
        <v>35</v>
      </c>
      <c r="J70" s="29"/>
      <c r="K70" s="29">
        <v>81</v>
      </c>
      <c r="L70" s="29">
        <f t="shared" ref="L70:L101" si="17">E70-K70</f>
        <v>5</v>
      </c>
      <c r="M70" s="29"/>
      <c r="N70" s="29"/>
      <c r="O70" s="29">
        <v>18</v>
      </c>
      <c r="P70" s="29">
        <f t="shared" ref="P70:P101" si="18">E70/5</f>
        <v>17.2</v>
      </c>
      <c r="Q70" s="4">
        <f t="shared" si="16"/>
        <v>103</v>
      </c>
      <c r="R70" s="4">
        <f t="shared" si="5"/>
        <v>103</v>
      </c>
      <c r="S70" s="38"/>
      <c r="T70" s="29">
        <f t="shared" si="6"/>
        <v>15</v>
      </c>
      <c r="U70" s="29">
        <f t="shared" ref="U70:U101" si="19">(F70+O70)/P70</f>
        <v>9.0116279069767451</v>
      </c>
      <c r="V70" s="29">
        <v>16.2</v>
      </c>
      <c r="W70" s="29">
        <v>19</v>
      </c>
      <c r="X70" s="29">
        <v>15.2</v>
      </c>
      <c r="Y70" s="29">
        <v>13.8</v>
      </c>
      <c r="Z70" s="29">
        <v>25.4</v>
      </c>
      <c r="AA70" s="29">
        <v>15.8</v>
      </c>
      <c r="AB70" s="29">
        <v>18</v>
      </c>
      <c r="AC70" s="29">
        <v>10.199999999999999</v>
      </c>
      <c r="AD70" s="29">
        <v>15.8</v>
      </c>
      <c r="AE70" s="29">
        <v>21.6</v>
      </c>
      <c r="AF70" s="29"/>
      <c r="AG70" s="29">
        <f t="shared" si="7"/>
        <v>30.9</v>
      </c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</row>
    <row r="71" spans="1:48" x14ac:dyDescent="0.25">
      <c r="A71" s="8" t="s">
        <v>117</v>
      </c>
      <c r="B71" s="8" t="s">
        <v>34</v>
      </c>
      <c r="C71" s="8">
        <v>2</v>
      </c>
      <c r="D71" s="8"/>
      <c r="E71" s="8"/>
      <c r="F71" s="8">
        <v>2</v>
      </c>
      <c r="G71" s="9">
        <v>0</v>
      </c>
      <c r="H71" s="8">
        <v>50</v>
      </c>
      <c r="I71" s="8" t="s">
        <v>51</v>
      </c>
      <c r="J71" s="8"/>
      <c r="K71" s="8"/>
      <c r="L71" s="8">
        <f t="shared" si="17"/>
        <v>0</v>
      </c>
      <c r="M71" s="8"/>
      <c r="N71" s="8"/>
      <c r="O71" s="8">
        <v>0</v>
      </c>
      <c r="P71" s="8">
        <f t="shared" si="18"/>
        <v>0</v>
      </c>
      <c r="Q71" s="10"/>
      <c r="R71" s="4">
        <f t="shared" ref="R71:R111" si="20">ROUND(Q71,0)</f>
        <v>0</v>
      </c>
      <c r="S71" s="38"/>
      <c r="T71" s="29" t="e">
        <f t="shared" ref="T71:T121" si="21">(F71+O71+R71)/P71</f>
        <v>#DIV/0!</v>
      </c>
      <c r="U71" s="8" t="e">
        <f t="shared" si="19"/>
        <v>#DIV/0!</v>
      </c>
      <c r="V71" s="8">
        <v>0</v>
      </c>
      <c r="W71" s="8">
        <v>0</v>
      </c>
      <c r="X71" s="8">
        <v>0</v>
      </c>
      <c r="Y71" s="8">
        <v>0.6</v>
      </c>
      <c r="Z71" s="8">
        <v>0.4</v>
      </c>
      <c r="AA71" s="8">
        <v>8.6</v>
      </c>
      <c r="AB71" s="8">
        <v>0</v>
      </c>
      <c r="AC71" s="8">
        <v>1.8</v>
      </c>
      <c r="AD71" s="8">
        <v>5.6</v>
      </c>
      <c r="AE71" s="8">
        <v>5</v>
      </c>
      <c r="AF71" s="8"/>
      <c r="AG71" s="29">
        <f t="shared" ref="AG71:AG121" si="22">G71*R71</f>
        <v>0</v>
      </c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</row>
    <row r="72" spans="1:48" x14ac:dyDescent="0.25">
      <c r="A72" s="29" t="s">
        <v>118</v>
      </c>
      <c r="B72" s="29" t="s">
        <v>34</v>
      </c>
      <c r="C72" s="29">
        <v>207</v>
      </c>
      <c r="D72" s="29">
        <v>20</v>
      </c>
      <c r="E72" s="29">
        <v>214</v>
      </c>
      <c r="F72" s="29">
        <v>-8</v>
      </c>
      <c r="G72" s="6">
        <v>0.18</v>
      </c>
      <c r="H72" s="29">
        <v>50</v>
      </c>
      <c r="I72" s="29" t="s">
        <v>35</v>
      </c>
      <c r="J72" s="29"/>
      <c r="K72" s="29">
        <v>239</v>
      </c>
      <c r="L72" s="29">
        <f t="shared" si="17"/>
        <v>-25</v>
      </c>
      <c r="M72" s="29"/>
      <c r="N72" s="29"/>
      <c r="O72" s="29">
        <v>281</v>
      </c>
      <c r="P72" s="29">
        <f t="shared" si="18"/>
        <v>42.8</v>
      </c>
      <c r="Q72" s="4">
        <f>14*P72-O72-F72</f>
        <v>326.19999999999993</v>
      </c>
      <c r="R72" s="4">
        <f>S72</f>
        <v>450</v>
      </c>
      <c r="S72" s="38">
        <f>VLOOKUP(A72,[1]Sheet!$A:$R,18,0)</f>
        <v>450</v>
      </c>
      <c r="T72" s="29">
        <f t="shared" si="21"/>
        <v>16.892523364485982</v>
      </c>
      <c r="U72" s="29">
        <f t="shared" si="19"/>
        <v>6.378504672897197</v>
      </c>
      <c r="V72" s="29">
        <v>36.799999999999997</v>
      </c>
      <c r="W72" s="29">
        <v>16.600000000000001</v>
      </c>
      <c r="X72" s="29">
        <v>32.4</v>
      </c>
      <c r="Y72" s="29">
        <v>38</v>
      </c>
      <c r="Z72" s="29">
        <v>32.6</v>
      </c>
      <c r="AA72" s="29">
        <v>33</v>
      </c>
      <c r="AB72" s="29">
        <v>6.4</v>
      </c>
      <c r="AC72" s="29">
        <v>36.6</v>
      </c>
      <c r="AD72" s="29">
        <v>24</v>
      </c>
      <c r="AE72" s="29">
        <v>24.6</v>
      </c>
      <c r="AF72" s="29"/>
      <c r="AG72" s="29">
        <f t="shared" si="22"/>
        <v>81</v>
      </c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</row>
    <row r="73" spans="1:48" x14ac:dyDescent="0.25">
      <c r="A73" s="29" t="s">
        <v>119</v>
      </c>
      <c r="B73" s="29" t="s">
        <v>34</v>
      </c>
      <c r="C73" s="29">
        <v>71</v>
      </c>
      <c r="D73" s="29"/>
      <c r="E73" s="29">
        <v>23</v>
      </c>
      <c r="F73" s="29">
        <v>45</v>
      </c>
      <c r="G73" s="6">
        <v>0.84</v>
      </c>
      <c r="H73" s="29">
        <v>50</v>
      </c>
      <c r="I73" s="29" t="s">
        <v>35</v>
      </c>
      <c r="J73" s="29"/>
      <c r="K73" s="29">
        <v>21.3</v>
      </c>
      <c r="L73" s="29">
        <f t="shared" si="17"/>
        <v>1.6999999999999993</v>
      </c>
      <c r="M73" s="29"/>
      <c r="N73" s="29"/>
      <c r="O73" s="29">
        <v>0</v>
      </c>
      <c r="P73" s="29">
        <f t="shared" si="18"/>
        <v>4.5999999999999996</v>
      </c>
      <c r="Q73" s="4">
        <f t="shared" ref="Q73:Q74" si="23">15*P73-O73-F73</f>
        <v>24</v>
      </c>
      <c r="R73" s="4">
        <f t="shared" si="20"/>
        <v>24</v>
      </c>
      <c r="S73" s="38"/>
      <c r="T73" s="29">
        <f t="shared" si="21"/>
        <v>15.000000000000002</v>
      </c>
      <c r="U73" s="29">
        <f t="shared" si="19"/>
        <v>9.7826086956521738</v>
      </c>
      <c r="V73" s="29">
        <v>4</v>
      </c>
      <c r="W73" s="29">
        <v>1.8</v>
      </c>
      <c r="X73" s="29">
        <v>7</v>
      </c>
      <c r="Y73" s="29">
        <v>1.4</v>
      </c>
      <c r="Z73" s="29">
        <v>6.4</v>
      </c>
      <c r="AA73" s="29">
        <v>4.5999999999999996</v>
      </c>
      <c r="AB73" s="29">
        <v>2.8</v>
      </c>
      <c r="AC73" s="29">
        <v>1</v>
      </c>
      <c r="AD73" s="29">
        <v>1.6</v>
      </c>
      <c r="AE73" s="29">
        <v>5.8</v>
      </c>
      <c r="AF73" s="29"/>
      <c r="AG73" s="29">
        <f t="shared" si="22"/>
        <v>20.16</v>
      </c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</row>
    <row r="74" spans="1:48" x14ac:dyDescent="0.25">
      <c r="A74" s="29" t="s">
        <v>120</v>
      </c>
      <c r="B74" s="29" t="s">
        <v>34</v>
      </c>
      <c r="C74" s="29">
        <v>319</v>
      </c>
      <c r="D74" s="29">
        <v>409</v>
      </c>
      <c r="E74" s="29">
        <v>382</v>
      </c>
      <c r="F74" s="29">
        <v>295</v>
      </c>
      <c r="G74" s="6">
        <v>0.35</v>
      </c>
      <c r="H74" s="29">
        <v>50</v>
      </c>
      <c r="I74" s="29" t="s">
        <v>35</v>
      </c>
      <c r="J74" s="29"/>
      <c r="K74" s="29">
        <v>388</v>
      </c>
      <c r="L74" s="29">
        <f t="shared" si="17"/>
        <v>-6</v>
      </c>
      <c r="M74" s="29"/>
      <c r="N74" s="29"/>
      <c r="O74" s="29">
        <v>411</v>
      </c>
      <c r="P74" s="29">
        <f t="shared" si="18"/>
        <v>76.400000000000006</v>
      </c>
      <c r="Q74" s="4">
        <f t="shared" si="23"/>
        <v>440</v>
      </c>
      <c r="R74" s="4">
        <f>S74</f>
        <v>550</v>
      </c>
      <c r="S74" s="38">
        <f>VLOOKUP(A74,[1]Sheet!$A:$R,18,0)</f>
        <v>550</v>
      </c>
      <c r="T74" s="29">
        <f t="shared" si="21"/>
        <v>16.439790575916231</v>
      </c>
      <c r="U74" s="29">
        <f t="shared" si="19"/>
        <v>9.2408376963350776</v>
      </c>
      <c r="V74" s="29">
        <v>74</v>
      </c>
      <c r="W74" s="29">
        <v>70</v>
      </c>
      <c r="X74" s="29">
        <v>69.2</v>
      </c>
      <c r="Y74" s="29">
        <v>22.4</v>
      </c>
      <c r="Z74" s="29">
        <v>60</v>
      </c>
      <c r="AA74" s="29">
        <v>91.6</v>
      </c>
      <c r="AB74" s="29">
        <v>61.8</v>
      </c>
      <c r="AC74" s="29">
        <v>80.8</v>
      </c>
      <c r="AD74" s="29">
        <v>98.6</v>
      </c>
      <c r="AE74" s="29">
        <v>77.599999999999994</v>
      </c>
      <c r="AF74" s="29"/>
      <c r="AG74" s="29">
        <f t="shared" si="22"/>
        <v>192.5</v>
      </c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</row>
    <row r="75" spans="1:48" x14ac:dyDescent="0.25">
      <c r="A75" s="8" t="s">
        <v>121</v>
      </c>
      <c r="B75" s="8" t="s">
        <v>34</v>
      </c>
      <c r="C75" s="8"/>
      <c r="D75" s="8"/>
      <c r="E75" s="8"/>
      <c r="F75" s="8"/>
      <c r="G75" s="9">
        <v>0</v>
      </c>
      <c r="H75" s="8"/>
      <c r="I75" s="8" t="s">
        <v>35</v>
      </c>
      <c r="J75" s="8"/>
      <c r="K75" s="8"/>
      <c r="L75" s="8">
        <f t="shared" si="17"/>
        <v>0</v>
      </c>
      <c r="M75" s="8"/>
      <c r="N75" s="8"/>
      <c r="O75" s="8">
        <v>0</v>
      </c>
      <c r="P75" s="8">
        <f t="shared" si="18"/>
        <v>0</v>
      </c>
      <c r="Q75" s="10"/>
      <c r="R75" s="4">
        <f t="shared" si="20"/>
        <v>0</v>
      </c>
      <c r="S75" s="38"/>
      <c r="T75" s="29" t="e">
        <f t="shared" si="21"/>
        <v>#DIV/0!</v>
      </c>
      <c r="U75" s="8" t="e">
        <f t="shared" si="19"/>
        <v>#DIV/0!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89</v>
      </c>
      <c r="AG75" s="29">
        <f t="shared" si="22"/>
        <v>0</v>
      </c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</row>
    <row r="76" spans="1:48" x14ac:dyDescent="0.25">
      <c r="A76" s="29" t="s">
        <v>122</v>
      </c>
      <c r="B76" s="29" t="s">
        <v>37</v>
      </c>
      <c r="C76" s="29">
        <v>260.959</v>
      </c>
      <c r="D76" s="29">
        <v>0.69099999999999995</v>
      </c>
      <c r="E76" s="29">
        <v>127.342</v>
      </c>
      <c r="F76" s="29">
        <v>126.91200000000001</v>
      </c>
      <c r="G76" s="6">
        <v>1</v>
      </c>
      <c r="H76" s="29">
        <v>50</v>
      </c>
      <c r="I76" s="29" t="s">
        <v>35</v>
      </c>
      <c r="J76" s="29"/>
      <c r="K76" s="29">
        <v>117.9</v>
      </c>
      <c r="L76" s="29">
        <f t="shared" si="17"/>
        <v>9.4419999999999931</v>
      </c>
      <c r="M76" s="29"/>
      <c r="N76" s="29"/>
      <c r="O76" s="29">
        <v>103</v>
      </c>
      <c r="P76" s="29">
        <f t="shared" si="18"/>
        <v>25.468399999999999</v>
      </c>
      <c r="Q76" s="4">
        <f t="shared" ref="Q76:Q83" si="24">15*P76-O76-F76</f>
        <v>152.114</v>
      </c>
      <c r="R76" s="4">
        <f t="shared" si="20"/>
        <v>152</v>
      </c>
      <c r="S76" s="38"/>
      <c r="T76" s="29">
        <f t="shared" si="21"/>
        <v>14.995523864867838</v>
      </c>
      <c r="U76" s="29">
        <f t="shared" si="19"/>
        <v>9.0273436886494647</v>
      </c>
      <c r="V76" s="29">
        <v>23.971800000000002</v>
      </c>
      <c r="W76" s="29">
        <v>23.8764</v>
      </c>
      <c r="X76" s="29">
        <v>32.122</v>
      </c>
      <c r="Y76" s="29">
        <v>30.824999999999999</v>
      </c>
      <c r="Z76" s="29">
        <v>34.910400000000003</v>
      </c>
      <c r="AA76" s="29">
        <v>37.654800000000002</v>
      </c>
      <c r="AB76" s="29">
        <v>30.102599999999999</v>
      </c>
      <c r="AC76" s="29">
        <v>26.282599999999999</v>
      </c>
      <c r="AD76" s="29">
        <v>29.624600000000001</v>
      </c>
      <c r="AE76" s="29">
        <v>13.597799999999999</v>
      </c>
      <c r="AF76" s="29"/>
      <c r="AG76" s="29">
        <f t="shared" si="22"/>
        <v>152</v>
      </c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</row>
    <row r="77" spans="1:48" x14ac:dyDescent="0.25">
      <c r="A77" s="29" t="s">
        <v>123</v>
      </c>
      <c r="B77" s="29" t="s">
        <v>37</v>
      </c>
      <c r="C77" s="29">
        <v>310.69600000000003</v>
      </c>
      <c r="D77" s="29">
        <v>0.68300000000000005</v>
      </c>
      <c r="E77" s="29">
        <v>176.131</v>
      </c>
      <c r="F77" s="29">
        <v>126.282</v>
      </c>
      <c r="G77" s="6">
        <v>1</v>
      </c>
      <c r="H77" s="29">
        <v>50</v>
      </c>
      <c r="I77" s="29" t="s">
        <v>35</v>
      </c>
      <c r="J77" s="29"/>
      <c r="K77" s="29">
        <v>154.69999999999999</v>
      </c>
      <c r="L77" s="29">
        <f t="shared" si="17"/>
        <v>21.431000000000012</v>
      </c>
      <c r="M77" s="29"/>
      <c r="N77" s="29"/>
      <c r="O77" s="29">
        <v>285</v>
      </c>
      <c r="P77" s="29">
        <f t="shared" si="18"/>
        <v>35.226199999999999</v>
      </c>
      <c r="Q77" s="4">
        <f t="shared" si="24"/>
        <v>117.11100000000003</v>
      </c>
      <c r="R77" s="4">
        <f t="shared" si="20"/>
        <v>117</v>
      </c>
      <c r="S77" s="38"/>
      <c r="T77" s="29">
        <f t="shared" si="21"/>
        <v>14.996848936303092</v>
      </c>
      <c r="U77" s="29">
        <f t="shared" si="19"/>
        <v>11.675457471995276</v>
      </c>
      <c r="V77" s="29">
        <v>39.374400000000001</v>
      </c>
      <c r="W77" s="29">
        <v>28.3248</v>
      </c>
      <c r="X77" s="29">
        <v>43.241999999999997</v>
      </c>
      <c r="Y77" s="29">
        <v>50.213000000000001</v>
      </c>
      <c r="Z77" s="29">
        <v>27.881599999999999</v>
      </c>
      <c r="AA77" s="29">
        <v>50.210999999999999</v>
      </c>
      <c r="AB77" s="29">
        <v>40.056600000000003</v>
      </c>
      <c r="AC77" s="29">
        <v>33.135599999999997</v>
      </c>
      <c r="AD77" s="29">
        <v>41.604599999999998</v>
      </c>
      <c r="AE77" s="29">
        <v>44.145400000000002</v>
      </c>
      <c r="AF77" s="29"/>
      <c r="AG77" s="29">
        <f t="shared" si="22"/>
        <v>117</v>
      </c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</row>
    <row r="78" spans="1:48" x14ac:dyDescent="0.25">
      <c r="A78" s="29" t="s">
        <v>124</v>
      </c>
      <c r="B78" s="29" t="s">
        <v>34</v>
      </c>
      <c r="C78" s="29">
        <v>389</v>
      </c>
      <c r="D78" s="29">
        <v>65</v>
      </c>
      <c r="E78" s="29">
        <v>367</v>
      </c>
      <c r="F78" s="29">
        <v>45</v>
      </c>
      <c r="G78" s="6">
        <v>0.35</v>
      </c>
      <c r="H78" s="29">
        <v>50</v>
      </c>
      <c r="I78" s="29" t="s">
        <v>35</v>
      </c>
      <c r="J78" s="29"/>
      <c r="K78" s="29">
        <v>376</v>
      </c>
      <c r="L78" s="29">
        <f t="shared" si="17"/>
        <v>-9</v>
      </c>
      <c r="M78" s="29"/>
      <c r="N78" s="29"/>
      <c r="O78" s="29">
        <v>597</v>
      </c>
      <c r="P78" s="29">
        <f t="shared" si="18"/>
        <v>73.400000000000006</v>
      </c>
      <c r="Q78" s="4">
        <f t="shared" si="24"/>
        <v>459</v>
      </c>
      <c r="R78" s="4">
        <f>S78</f>
        <v>600</v>
      </c>
      <c r="S78" s="38">
        <f>VLOOKUP(A78,[1]Sheet!$A:$R,18,0)</f>
        <v>600</v>
      </c>
      <c r="T78" s="29">
        <f t="shared" si="21"/>
        <v>16.920980926430516</v>
      </c>
      <c r="U78" s="29">
        <f t="shared" si="19"/>
        <v>8.746594005449591</v>
      </c>
      <c r="V78" s="29">
        <v>78.400000000000006</v>
      </c>
      <c r="W78" s="29">
        <v>53</v>
      </c>
      <c r="X78" s="29">
        <v>70</v>
      </c>
      <c r="Y78" s="29">
        <v>53.6</v>
      </c>
      <c r="Z78" s="29">
        <v>28.4</v>
      </c>
      <c r="AA78" s="29">
        <v>53.8</v>
      </c>
      <c r="AB78" s="29">
        <v>74</v>
      </c>
      <c r="AC78" s="29">
        <v>80.599999999999994</v>
      </c>
      <c r="AD78" s="29">
        <v>102</v>
      </c>
      <c r="AE78" s="29">
        <v>99.4</v>
      </c>
      <c r="AF78" s="29"/>
      <c r="AG78" s="29">
        <f t="shared" si="22"/>
        <v>210</v>
      </c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</row>
    <row r="79" spans="1:48" x14ac:dyDescent="0.25">
      <c r="A79" s="29" t="s">
        <v>125</v>
      </c>
      <c r="B79" s="29" t="s">
        <v>34</v>
      </c>
      <c r="C79" s="29">
        <v>34</v>
      </c>
      <c r="D79" s="29">
        <v>132</v>
      </c>
      <c r="E79" s="29">
        <v>88</v>
      </c>
      <c r="F79" s="29">
        <v>71</v>
      </c>
      <c r="G79" s="6">
        <v>0.3</v>
      </c>
      <c r="H79" s="29">
        <v>50</v>
      </c>
      <c r="I79" s="29" t="s">
        <v>35</v>
      </c>
      <c r="J79" s="29"/>
      <c r="K79" s="29">
        <v>99</v>
      </c>
      <c r="L79" s="29">
        <f t="shared" si="17"/>
        <v>-11</v>
      </c>
      <c r="M79" s="29"/>
      <c r="N79" s="29"/>
      <c r="O79" s="29">
        <v>107</v>
      </c>
      <c r="P79" s="29">
        <f t="shared" si="18"/>
        <v>17.600000000000001</v>
      </c>
      <c r="Q79" s="4">
        <f t="shared" si="24"/>
        <v>86</v>
      </c>
      <c r="R79" s="4">
        <f t="shared" si="20"/>
        <v>86</v>
      </c>
      <c r="S79" s="38"/>
      <c r="T79" s="29">
        <f t="shared" si="21"/>
        <v>14.999999999999998</v>
      </c>
      <c r="U79" s="29">
        <f t="shared" si="19"/>
        <v>10.113636363636363</v>
      </c>
      <c r="V79" s="29">
        <v>18.2</v>
      </c>
      <c r="W79" s="29">
        <v>15.8</v>
      </c>
      <c r="X79" s="29">
        <v>14</v>
      </c>
      <c r="Y79" s="29">
        <v>3</v>
      </c>
      <c r="Z79" s="29">
        <v>19.399999999999999</v>
      </c>
      <c r="AA79" s="29">
        <v>18</v>
      </c>
      <c r="AB79" s="29">
        <v>11.2</v>
      </c>
      <c r="AC79" s="29">
        <v>15.8</v>
      </c>
      <c r="AD79" s="29">
        <v>10.8</v>
      </c>
      <c r="AE79" s="29">
        <v>18.399999999999999</v>
      </c>
      <c r="AF79" s="29"/>
      <c r="AG79" s="29">
        <f t="shared" si="22"/>
        <v>25.8</v>
      </c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</row>
    <row r="80" spans="1:48" x14ac:dyDescent="0.25">
      <c r="A80" s="29" t="s">
        <v>126</v>
      </c>
      <c r="B80" s="29" t="s">
        <v>34</v>
      </c>
      <c r="C80" s="29"/>
      <c r="D80" s="29">
        <v>184</v>
      </c>
      <c r="E80" s="29">
        <v>38</v>
      </c>
      <c r="F80" s="29">
        <v>142</v>
      </c>
      <c r="G80" s="6">
        <v>0.3</v>
      </c>
      <c r="H80" s="29">
        <v>60</v>
      </c>
      <c r="I80" s="29" t="s">
        <v>35</v>
      </c>
      <c r="J80" s="29"/>
      <c r="K80" s="29">
        <v>48</v>
      </c>
      <c r="L80" s="29">
        <f t="shared" si="17"/>
        <v>-10</v>
      </c>
      <c r="M80" s="29"/>
      <c r="N80" s="29"/>
      <c r="O80" s="29">
        <v>0</v>
      </c>
      <c r="P80" s="29">
        <f t="shared" si="18"/>
        <v>7.6</v>
      </c>
      <c r="Q80" s="4"/>
      <c r="R80" s="4">
        <f t="shared" si="20"/>
        <v>0</v>
      </c>
      <c r="S80" s="38"/>
      <c r="T80" s="29">
        <f t="shared" si="21"/>
        <v>18.684210526315791</v>
      </c>
      <c r="U80" s="29">
        <f t="shared" si="19"/>
        <v>18.684210526315791</v>
      </c>
      <c r="V80" s="29">
        <v>0.2</v>
      </c>
      <c r="W80" s="29">
        <v>26.8</v>
      </c>
      <c r="X80" s="29">
        <v>6.6</v>
      </c>
      <c r="Y80" s="29">
        <v>9.6</v>
      </c>
      <c r="Z80" s="29">
        <v>8.6</v>
      </c>
      <c r="AA80" s="29">
        <v>17.2</v>
      </c>
      <c r="AB80" s="29">
        <v>2.2000000000000002</v>
      </c>
      <c r="AC80" s="29">
        <v>6</v>
      </c>
      <c r="AD80" s="29">
        <v>25.2</v>
      </c>
      <c r="AE80" s="29">
        <v>5.4</v>
      </c>
      <c r="AF80" s="29"/>
      <c r="AG80" s="29">
        <f t="shared" si="22"/>
        <v>0</v>
      </c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</row>
    <row r="81" spans="1:48" x14ac:dyDescent="0.25">
      <c r="A81" s="29" t="s">
        <v>127</v>
      </c>
      <c r="B81" s="29" t="s">
        <v>34</v>
      </c>
      <c r="C81" s="29">
        <v>149</v>
      </c>
      <c r="D81" s="29">
        <v>497</v>
      </c>
      <c r="E81" s="29">
        <v>293</v>
      </c>
      <c r="F81" s="29">
        <v>296</v>
      </c>
      <c r="G81" s="6">
        <v>0.28000000000000003</v>
      </c>
      <c r="H81" s="29">
        <v>50</v>
      </c>
      <c r="I81" s="29" t="s">
        <v>35</v>
      </c>
      <c r="J81" s="29"/>
      <c r="K81" s="29">
        <v>304</v>
      </c>
      <c r="L81" s="29">
        <f t="shared" si="17"/>
        <v>-11</v>
      </c>
      <c r="M81" s="29"/>
      <c r="N81" s="29"/>
      <c r="O81" s="29">
        <v>375</v>
      </c>
      <c r="P81" s="29">
        <f t="shared" si="18"/>
        <v>58.6</v>
      </c>
      <c r="Q81" s="4">
        <f t="shared" si="24"/>
        <v>208</v>
      </c>
      <c r="R81" s="4">
        <f t="shared" si="20"/>
        <v>208</v>
      </c>
      <c r="S81" s="38"/>
      <c r="T81" s="29">
        <f t="shared" si="21"/>
        <v>15</v>
      </c>
      <c r="U81" s="29">
        <f t="shared" si="19"/>
        <v>11.450511945392492</v>
      </c>
      <c r="V81" s="29">
        <v>66</v>
      </c>
      <c r="W81" s="29">
        <v>61.8</v>
      </c>
      <c r="X81" s="29">
        <v>52.8</v>
      </c>
      <c r="Y81" s="29">
        <v>42.8</v>
      </c>
      <c r="Z81" s="29">
        <v>69.599999999999994</v>
      </c>
      <c r="AA81" s="29">
        <v>65</v>
      </c>
      <c r="AB81" s="29">
        <v>63.2</v>
      </c>
      <c r="AC81" s="29">
        <v>67.2</v>
      </c>
      <c r="AD81" s="29">
        <v>80.8</v>
      </c>
      <c r="AE81" s="29">
        <v>74.400000000000006</v>
      </c>
      <c r="AF81" s="29"/>
      <c r="AG81" s="29">
        <f t="shared" si="22"/>
        <v>58.240000000000009</v>
      </c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</row>
    <row r="82" spans="1:48" x14ac:dyDescent="0.25">
      <c r="A82" s="29" t="s">
        <v>128</v>
      </c>
      <c r="B82" s="29" t="s">
        <v>34</v>
      </c>
      <c r="C82" s="29">
        <v>230</v>
      </c>
      <c r="D82" s="29">
        <v>360</v>
      </c>
      <c r="E82" s="29">
        <v>326</v>
      </c>
      <c r="F82" s="29">
        <v>211</v>
      </c>
      <c r="G82" s="6">
        <v>0.28000000000000003</v>
      </c>
      <c r="H82" s="29">
        <v>45</v>
      </c>
      <c r="I82" s="29" t="s">
        <v>35</v>
      </c>
      <c r="J82" s="29"/>
      <c r="K82" s="29">
        <v>332</v>
      </c>
      <c r="L82" s="29">
        <f t="shared" si="17"/>
        <v>-6</v>
      </c>
      <c r="M82" s="29"/>
      <c r="N82" s="29"/>
      <c r="O82" s="29">
        <v>206</v>
      </c>
      <c r="P82" s="29">
        <f t="shared" si="18"/>
        <v>65.2</v>
      </c>
      <c r="Q82" s="4">
        <f>14*P82-O82-F82</f>
        <v>495.80000000000007</v>
      </c>
      <c r="R82" s="4">
        <f>S82</f>
        <v>600</v>
      </c>
      <c r="S82" s="38">
        <f>VLOOKUP(A82,[1]Sheet!$A:$R,18,0)</f>
        <v>600</v>
      </c>
      <c r="T82" s="29">
        <f t="shared" si="21"/>
        <v>15.598159509202453</v>
      </c>
      <c r="U82" s="29">
        <f t="shared" si="19"/>
        <v>6.3957055214723928</v>
      </c>
      <c r="V82" s="29">
        <v>51.4</v>
      </c>
      <c r="W82" s="29">
        <v>54.4</v>
      </c>
      <c r="X82" s="29">
        <v>51.4</v>
      </c>
      <c r="Y82" s="29">
        <v>34.799999999999997</v>
      </c>
      <c r="Z82" s="29">
        <v>51</v>
      </c>
      <c r="AA82" s="29">
        <v>70.400000000000006</v>
      </c>
      <c r="AB82" s="29">
        <v>52.2</v>
      </c>
      <c r="AC82" s="29">
        <v>56.6</v>
      </c>
      <c r="AD82" s="29">
        <v>78.8</v>
      </c>
      <c r="AE82" s="29">
        <v>61.2</v>
      </c>
      <c r="AF82" s="29"/>
      <c r="AG82" s="29">
        <f t="shared" si="22"/>
        <v>168.00000000000003</v>
      </c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</row>
    <row r="83" spans="1:48" x14ac:dyDescent="0.25">
      <c r="A83" s="29" t="s">
        <v>129</v>
      </c>
      <c r="B83" s="29" t="s">
        <v>34</v>
      </c>
      <c r="C83" s="29">
        <v>132</v>
      </c>
      <c r="D83" s="29">
        <v>321</v>
      </c>
      <c r="E83" s="29">
        <v>279</v>
      </c>
      <c r="F83" s="29">
        <v>130</v>
      </c>
      <c r="G83" s="6">
        <v>0.28000000000000003</v>
      </c>
      <c r="H83" s="29">
        <v>45</v>
      </c>
      <c r="I83" s="29" t="s">
        <v>35</v>
      </c>
      <c r="J83" s="29"/>
      <c r="K83" s="29">
        <v>295</v>
      </c>
      <c r="L83" s="29">
        <f t="shared" si="17"/>
        <v>-16</v>
      </c>
      <c r="M83" s="29"/>
      <c r="N83" s="29"/>
      <c r="O83" s="29">
        <v>321</v>
      </c>
      <c r="P83" s="29">
        <f t="shared" si="18"/>
        <v>55.8</v>
      </c>
      <c r="Q83" s="4">
        <f t="shared" si="24"/>
        <v>386</v>
      </c>
      <c r="R83" s="4">
        <f t="shared" si="20"/>
        <v>386</v>
      </c>
      <c r="S83" s="38"/>
      <c r="T83" s="29">
        <f t="shared" si="21"/>
        <v>15</v>
      </c>
      <c r="U83" s="29">
        <f t="shared" si="19"/>
        <v>8.0824372759856633</v>
      </c>
      <c r="V83" s="29">
        <v>50</v>
      </c>
      <c r="W83" s="29">
        <v>43.8</v>
      </c>
      <c r="X83" s="29">
        <v>40.4</v>
      </c>
      <c r="Y83" s="29">
        <v>14</v>
      </c>
      <c r="Z83" s="29">
        <v>32</v>
      </c>
      <c r="AA83" s="29">
        <v>48</v>
      </c>
      <c r="AB83" s="29">
        <v>34</v>
      </c>
      <c r="AC83" s="29">
        <v>38.6</v>
      </c>
      <c r="AD83" s="29">
        <v>62.4</v>
      </c>
      <c r="AE83" s="29">
        <v>50.2</v>
      </c>
      <c r="AF83" s="29"/>
      <c r="AG83" s="29">
        <f t="shared" si="22"/>
        <v>108.08000000000001</v>
      </c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</row>
    <row r="84" spans="1:48" x14ac:dyDescent="0.25">
      <c r="A84" s="29" t="s">
        <v>130</v>
      </c>
      <c r="B84" s="29" t="s">
        <v>34</v>
      </c>
      <c r="C84" s="29">
        <v>96</v>
      </c>
      <c r="D84" s="29">
        <v>108</v>
      </c>
      <c r="E84" s="29">
        <v>201</v>
      </c>
      <c r="F84" s="29">
        <v>3</v>
      </c>
      <c r="G84" s="6">
        <v>0.4</v>
      </c>
      <c r="H84" s="29">
        <v>50</v>
      </c>
      <c r="I84" s="29" t="s">
        <v>35</v>
      </c>
      <c r="J84" s="29"/>
      <c r="K84" s="29">
        <v>318.5</v>
      </c>
      <c r="L84" s="29">
        <f t="shared" si="17"/>
        <v>-117.5</v>
      </c>
      <c r="M84" s="29"/>
      <c r="N84" s="29"/>
      <c r="O84" s="29">
        <v>616</v>
      </c>
      <c r="P84" s="29">
        <f t="shared" si="18"/>
        <v>40.200000000000003</v>
      </c>
      <c r="Q84" s="4"/>
      <c r="R84" s="4">
        <f t="shared" si="20"/>
        <v>0</v>
      </c>
      <c r="S84" s="38"/>
      <c r="T84" s="29">
        <f t="shared" si="21"/>
        <v>15.398009950248754</v>
      </c>
      <c r="U84" s="29">
        <f t="shared" si="19"/>
        <v>15.398009950248754</v>
      </c>
      <c r="V84" s="29">
        <v>73.8</v>
      </c>
      <c r="W84" s="29">
        <v>37.799999999999997</v>
      </c>
      <c r="X84" s="29">
        <v>43.4</v>
      </c>
      <c r="Y84" s="29">
        <v>18.8</v>
      </c>
      <c r="Z84" s="29">
        <v>59.4</v>
      </c>
      <c r="AA84" s="29">
        <v>55.6</v>
      </c>
      <c r="AB84" s="29">
        <v>34.6</v>
      </c>
      <c r="AC84" s="29">
        <v>26.4</v>
      </c>
      <c r="AD84" s="29">
        <v>63</v>
      </c>
      <c r="AE84" s="29">
        <v>61.8</v>
      </c>
      <c r="AF84" s="29"/>
      <c r="AG84" s="29">
        <f t="shared" si="22"/>
        <v>0</v>
      </c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</row>
    <row r="85" spans="1:48" x14ac:dyDescent="0.25">
      <c r="A85" s="8" t="s">
        <v>131</v>
      </c>
      <c r="B85" s="8" t="s">
        <v>37</v>
      </c>
      <c r="C85" s="8">
        <v>-6.327</v>
      </c>
      <c r="D85" s="8"/>
      <c r="E85" s="8"/>
      <c r="F85" s="8">
        <v>-6.327</v>
      </c>
      <c r="G85" s="9">
        <v>0</v>
      </c>
      <c r="H85" s="8">
        <v>50</v>
      </c>
      <c r="I85" s="8" t="s">
        <v>51</v>
      </c>
      <c r="J85" s="8"/>
      <c r="K85" s="8">
        <v>9</v>
      </c>
      <c r="L85" s="8">
        <f t="shared" si="17"/>
        <v>-9</v>
      </c>
      <c r="M85" s="8"/>
      <c r="N85" s="8"/>
      <c r="O85" s="8">
        <v>0</v>
      </c>
      <c r="P85" s="8">
        <f t="shared" si="18"/>
        <v>0</v>
      </c>
      <c r="Q85" s="10"/>
      <c r="R85" s="4">
        <f t="shared" si="20"/>
        <v>0</v>
      </c>
      <c r="S85" s="38"/>
      <c r="T85" s="29" t="e">
        <f t="shared" si="21"/>
        <v>#DIV/0!</v>
      </c>
      <c r="U85" s="8" t="e">
        <f t="shared" si="19"/>
        <v>#DIV/0!</v>
      </c>
      <c r="V85" s="8">
        <v>0</v>
      </c>
      <c r="W85" s="8">
        <v>0</v>
      </c>
      <c r="X85" s="8">
        <v>-0.13800000000000001</v>
      </c>
      <c r="Y85" s="8">
        <v>11.125999999999999</v>
      </c>
      <c r="Z85" s="8">
        <v>8.2726000000000006</v>
      </c>
      <c r="AA85" s="8">
        <v>12.144600000000001</v>
      </c>
      <c r="AB85" s="8">
        <v>10.204599999999999</v>
      </c>
      <c r="AC85" s="8">
        <v>5.8887999999999998</v>
      </c>
      <c r="AD85" s="8">
        <v>9.9792000000000005</v>
      </c>
      <c r="AE85" s="8">
        <v>2.3894000000000002</v>
      </c>
      <c r="AF85" s="8"/>
      <c r="AG85" s="29">
        <f t="shared" si="22"/>
        <v>0</v>
      </c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</row>
    <row r="86" spans="1:48" x14ac:dyDescent="0.25">
      <c r="A86" s="8" t="s">
        <v>132</v>
      </c>
      <c r="B86" s="8" t="s">
        <v>34</v>
      </c>
      <c r="C86" s="8">
        <v>-2</v>
      </c>
      <c r="D86" s="8"/>
      <c r="E86" s="8"/>
      <c r="F86" s="8">
        <v>-2</v>
      </c>
      <c r="G86" s="9">
        <v>0</v>
      </c>
      <c r="H86" s="8">
        <v>50</v>
      </c>
      <c r="I86" s="8" t="s">
        <v>51</v>
      </c>
      <c r="J86" s="8"/>
      <c r="K86" s="8"/>
      <c r="L86" s="8">
        <f t="shared" si="17"/>
        <v>0</v>
      </c>
      <c r="M86" s="8"/>
      <c r="N86" s="8"/>
      <c r="O86" s="8">
        <v>0</v>
      </c>
      <c r="P86" s="8">
        <f t="shared" si="18"/>
        <v>0</v>
      </c>
      <c r="Q86" s="10"/>
      <c r="R86" s="4">
        <f t="shared" si="20"/>
        <v>0</v>
      </c>
      <c r="S86" s="38"/>
      <c r="T86" s="29" t="e">
        <f t="shared" si="21"/>
        <v>#DIV/0!</v>
      </c>
      <c r="U86" s="8" t="e">
        <f t="shared" si="19"/>
        <v>#DIV/0!</v>
      </c>
      <c r="V86" s="8">
        <v>-0.4</v>
      </c>
      <c r="W86" s="8">
        <v>0</v>
      </c>
      <c r="X86" s="8">
        <v>0</v>
      </c>
      <c r="Y86" s="8">
        <v>0</v>
      </c>
      <c r="Z86" s="8">
        <v>5</v>
      </c>
      <c r="AA86" s="8">
        <v>8.6</v>
      </c>
      <c r="AB86" s="8">
        <v>3.2</v>
      </c>
      <c r="AC86" s="8">
        <v>5.4</v>
      </c>
      <c r="AD86" s="8">
        <v>6.6</v>
      </c>
      <c r="AE86" s="8">
        <v>2.8</v>
      </c>
      <c r="AF86" s="8"/>
      <c r="AG86" s="29">
        <f t="shared" si="22"/>
        <v>0</v>
      </c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</row>
    <row r="87" spans="1:48" x14ac:dyDescent="0.25">
      <c r="A87" s="8" t="s">
        <v>133</v>
      </c>
      <c r="B87" s="8" t="s">
        <v>34</v>
      </c>
      <c r="C87" s="8">
        <v>-5</v>
      </c>
      <c r="D87" s="8"/>
      <c r="E87" s="8"/>
      <c r="F87" s="34">
        <v>-5</v>
      </c>
      <c r="G87" s="9">
        <v>0</v>
      </c>
      <c r="H87" s="8">
        <v>60</v>
      </c>
      <c r="I87" s="8" t="s">
        <v>51</v>
      </c>
      <c r="J87" s="8" t="s">
        <v>134</v>
      </c>
      <c r="K87" s="8"/>
      <c r="L87" s="8">
        <f t="shared" si="17"/>
        <v>0</v>
      </c>
      <c r="M87" s="8"/>
      <c r="N87" s="8"/>
      <c r="O87" s="8">
        <v>0</v>
      </c>
      <c r="P87" s="8">
        <f t="shared" si="18"/>
        <v>0</v>
      </c>
      <c r="Q87" s="10"/>
      <c r="R87" s="4">
        <f t="shared" si="20"/>
        <v>0</v>
      </c>
      <c r="S87" s="38"/>
      <c r="T87" s="29" t="e">
        <f t="shared" si="21"/>
        <v>#DIV/0!</v>
      </c>
      <c r="U87" s="8" t="e">
        <f t="shared" si="19"/>
        <v>#DIV/0!</v>
      </c>
      <c r="V87" s="8">
        <v>0</v>
      </c>
      <c r="W87" s="8">
        <v>0.6</v>
      </c>
      <c r="X87" s="8">
        <v>2.2000000000000002</v>
      </c>
      <c r="Y87" s="8">
        <v>5</v>
      </c>
      <c r="Z87" s="8">
        <v>5.6</v>
      </c>
      <c r="AA87" s="8">
        <v>7.2</v>
      </c>
      <c r="AB87" s="8">
        <v>6.4</v>
      </c>
      <c r="AC87" s="8">
        <v>9.1999999999999993</v>
      </c>
      <c r="AD87" s="8">
        <v>4.2</v>
      </c>
      <c r="AE87" s="8">
        <v>6.2</v>
      </c>
      <c r="AF87" s="8" t="s">
        <v>135</v>
      </c>
      <c r="AG87" s="29">
        <f t="shared" si="22"/>
        <v>0</v>
      </c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</row>
    <row r="88" spans="1:48" x14ac:dyDescent="0.25">
      <c r="A88" s="8" t="s">
        <v>136</v>
      </c>
      <c r="B88" s="8" t="s">
        <v>37</v>
      </c>
      <c r="C88" s="8">
        <v>0.30099999999999999</v>
      </c>
      <c r="D88" s="8"/>
      <c r="E88" s="8"/>
      <c r="F88" s="8">
        <v>0.30099999999999999</v>
      </c>
      <c r="G88" s="9">
        <v>0</v>
      </c>
      <c r="H88" s="8"/>
      <c r="I88" s="8" t="s">
        <v>35</v>
      </c>
      <c r="J88" s="8"/>
      <c r="K88" s="8"/>
      <c r="L88" s="8">
        <f t="shared" si="17"/>
        <v>0</v>
      </c>
      <c r="M88" s="8"/>
      <c r="N88" s="8"/>
      <c r="O88" s="8">
        <v>0</v>
      </c>
      <c r="P88" s="8">
        <f t="shared" si="18"/>
        <v>0</v>
      </c>
      <c r="Q88" s="10"/>
      <c r="R88" s="4">
        <f t="shared" si="20"/>
        <v>0</v>
      </c>
      <c r="S88" s="38"/>
      <c r="T88" s="29" t="e">
        <f t="shared" si="21"/>
        <v>#DIV/0!</v>
      </c>
      <c r="U88" s="8" t="e">
        <f t="shared" si="19"/>
        <v>#DIV/0!</v>
      </c>
      <c r="V88" s="8">
        <v>-0.16059999999999999</v>
      </c>
      <c r="W88" s="8">
        <v>0</v>
      </c>
      <c r="X88" s="8">
        <v>0</v>
      </c>
      <c r="Y88" s="8">
        <v>7.1199999999999999E-2</v>
      </c>
      <c r="Z88" s="8">
        <v>0.36159999999999998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137</v>
      </c>
      <c r="AG88" s="29">
        <f t="shared" si="22"/>
        <v>0</v>
      </c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</row>
    <row r="89" spans="1:48" x14ac:dyDescent="0.25">
      <c r="A89" s="8" t="s">
        <v>138</v>
      </c>
      <c r="B89" s="8" t="s">
        <v>34</v>
      </c>
      <c r="C89" s="8">
        <v>92</v>
      </c>
      <c r="D89" s="8">
        <v>288</v>
      </c>
      <c r="E89" s="8">
        <v>96</v>
      </c>
      <c r="F89" s="8">
        <v>264</v>
      </c>
      <c r="G89" s="9">
        <v>0</v>
      </c>
      <c r="H89" s="8">
        <v>50</v>
      </c>
      <c r="I89" s="28" t="s">
        <v>71</v>
      </c>
      <c r="J89" s="8"/>
      <c r="K89" s="8">
        <v>91</v>
      </c>
      <c r="L89" s="8">
        <f t="shared" si="17"/>
        <v>5</v>
      </c>
      <c r="M89" s="8"/>
      <c r="N89" s="8"/>
      <c r="O89" s="8">
        <v>0</v>
      </c>
      <c r="P89" s="8">
        <f t="shared" si="18"/>
        <v>19.2</v>
      </c>
      <c r="Q89" s="10"/>
      <c r="R89" s="4">
        <f t="shared" si="20"/>
        <v>0</v>
      </c>
      <c r="S89" s="38"/>
      <c r="T89" s="29">
        <f t="shared" si="21"/>
        <v>13.75</v>
      </c>
      <c r="U89" s="8">
        <f t="shared" si="19"/>
        <v>13.75</v>
      </c>
      <c r="V89" s="8">
        <v>10</v>
      </c>
      <c r="W89" s="8">
        <v>35.6</v>
      </c>
      <c r="X89" s="8">
        <v>21.6</v>
      </c>
      <c r="Y89" s="8">
        <v>6.6</v>
      </c>
      <c r="Z89" s="8">
        <v>19</v>
      </c>
      <c r="AA89" s="8">
        <v>32.4</v>
      </c>
      <c r="AB89" s="8">
        <v>15.4</v>
      </c>
      <c r="AC89" s="8">
        <v>20.6</v>
      </c>
      <c r="AD89" s="8">
        <v>31</v>
      </c>
      <c r="AE89" s="8">
        <v>5.4</v>
      </c>
      <c r="AF89" s="8"/>
      <c r="AG89" s="29">
        <f t="shared" si="22"/>
        <v>0</v>
      </c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</row>
    <row r="90" spans="1:48" x14ac:dyDescent="0.25">
      <c r="A90" s="8" t="s">
        <v>139</v>
      </c>
      <c r="B90" s="8" t="s">
        <v>34</v>
      </c>
      <c r="C90" s="8">
        <v>12</v>
      </c>
      <c r="D90" s="8"/>
      <c r="E90" s="8"/>
      <c r="F90" s="8">
        <v>12</v>
      </c>
      <c r="G90" s="9">
        <v>0</v>
      </c>
      <c r="H90" s="8">
        <v>50</v>
      </c>
      <c r="I90" s="8" t="s">
        <v>51</v>
      </c>
      <c r="J90" s="8"/>
      <c r="K90" s="8">
        <v>5</v>
      </c>
      <c r="L90" s="8">
        <f t="shared" si="17"/>
        <v>-5</v>
      </c>
      <c r="M90" s="8"/>
      <c r="N90" s="8"/>
      <c r="O90" s="8">
        <v>0</v>
      </c>
      <c r="P90" s="8">
        <f t="shared" si="18"/>
        <v>0</v>
      </c>
      <c r="Q90" s="10"/>
      <c r="R90" s="4">
        <f t="shared" si="20"/>
        <v>0</v>
      </c>
      <c r="S90" s="38"/>
      <c r="T90" s="29" t="e">
        <f t="shared" si="21"/>
        <v>#DIV/0!</v>
      </c>
      <c r="U90" s="8" t="e">
        <f t="shared" si="19"/>
        <v>#DIV/0!</v>
      </c>
      <c r="V90" s="8">
        <v>0</v>
      </c>
      <c r="W90" s="8">
        <v>0.4</v>
      </c>
      <c r="X90" s="8">
        <v>0</v>
      </c>
      <c r="Y90" s="8">
        <v>0</v>
      </c>
      <c r="Z90" s="8">
        <v>12.6</v>
      </c>
      <c r="AA90" s="8">
        <v>8.8000000000000007</v>
      </c>
      <c r="AB90" s="8">
        <v>8</v>
      </c>
      <c r="AC90" s="8">
        <v>11</v>
      </c>
      <c r="AD90" s="8">
        <v>1</v>
      </c>
      <c r="AE90" s="8">
        <v>0</v>
      </c>
      <c r="AF90" s="8"/>
      <c r="AG90" s="29">
        <f t="shared" si="22"/>
        <v>0</v>
      </c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</row>
    <row r="91" spans="1:48" x14ac:dyDescent="0.25">
      <c r="A91" s="8" t="s">
        <v>140</v>
      </c>
      <c r="B91" s="8" t="s">
        <v>34</v>
      </c>
      <c r="C91" s="8">
        <v>8</v>
      </c>
      <c r="D91" s="8"/>
      <c r="E91" s="8">
        <v>7</v>
      </c>
      <c r="F91" s="8">
        <v>1</v>
      </c>
      <c r="G91" s="9">
        <v>0</v>
      </c>
      <c r="H91" s="8">
        <v>60</v>
      </c>
      <c r="I91" s="8" t="s">
        <v>51</v>
      </c>
      <c r="J91" s="8"/>
      <c r="K91" s="8">
        <v>19</v>
      </c>
      <c r="L91" s="8">
        <f t="shared" si="17"/>
        <v>-12</v>
      </c>
      <c r="M91" s="8"/>
      <c r="N91" s="8"/>
      <c r="O91" s="8">
        <v>0</v>
      </c>
      <c r="P91" s="8">
        <f t="shared" si="18"/>
        <v>1.4</v>
      </c>
      <c r="Q91" s="10"/>
      <c r="R91" s="4">
        <f t="shared" si="20"/>
        <v>0</v>
      </c>
      <c r="S91" s="38"/>
      <c r="T91" s="29">
        <f t="shared" si="21"/>
        <v>0.7142857142857143</v>
      </c>
      <c r="U91" s="8">
        <f t="shared" si="19"/>
        <v>0.7142857142857143</v>
      </c>
      <c r="V91" s="8">
        <v>1.8</v>
      </c>
      <c r="W91" s="8">
        <v>0.4</v>
      </c>
      <c r="X91" s="8">
        <v>3.8</v>
      </c>
      <c r="Y91" s="8">
        <v>6.6</v>
      </c>
      <c r="Z91" s="8">
        <v>2.2000000000000002</v>
      </c>
      <c r="AA91" s="8">
        <v>2.8</v>
      </c>
      <c r="AB91" s="8">
        <v>3.6</v>
      </c>
      <c r="AC91" s="8">
        <v>8</v>
      </c>
      <c r="AD91" s="8">
        <v>0.8</v>
      </c>
      <c r="AE91" s="8">
        <v>2.6</v>
      </c>
      <c r="AF91" s="8"/>
      <c r="AG91" s="29">
        <f t="shared" si="22"/>
        <v>0</v>
      </c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</row>
    <row r="92" spans="1:48" x14ac:dyDescent="0.25">
      <c r="A92" s="29" t="s">
        <v>141</v>
      </c>
      <c r="B92" s="29" t="s">
        <v>34</v>
      </c>
      <c r="C92" s="29">
        <v>461</v>
      </c>
      <c r="D92" s="29">
        <v>16</v>
      </c>
      <c r="E92" s="29">
        <v>227</v>
      </c>
      <c r="F92" s="29">
        <v>230</v>
      </c>
      <c r="G92" s="6">
        <v>0.12</v>
      </c>
      <c r="H92" s="29">
        <v>60</v>
      </c>
      <c r="I92" s="29" t="s">
        <v>35</v>
      </c>
      <c r="J92" s="29"/>
      <c r="K92" s="29">
        <v>241</v>
      </c>
      <c r="L92" s="29">
        <f t="shared" si="17"/>
        <v>-14</v>
      </c>
      <c r="M92" s="29"/>
      <c r="N92" s="29"/>
      <c r="O92" s="29">
        <v>253</v>
      </c>
      <c r="P92" s="29">
        <f t="shared" si="18"/>
        <v>45.4</v>
      </c>
      <c r="Q92" s="4">
        <f t="shared" ref="Q92" si="25">15*P92-O92-F92</f>
        <v>198</v>
      </c>
      <c r="R92" s="4">
        <f t="shared" si="20"/>
        <v>198</v>
      </c>
      <c r="S92" s="38"/>
      <c r="T92" s="29">
        <f t="shared" si="21"/>
        <v>15</v>
      </c>
      <c r="U92" s="29">
        <f t="shared" si="19"/>
        <v>10.63876651982379</v>
      </c>
      <c r="V92" s="29">
        <v>50.6</v>
      </c>
      <c r="W92" s="29">
        <v>16.8</v>
      </c>
      <c r="X92" s="29">
        <v>19</v>
      </c>
      <c r="Y92" s="29">
        <v>57.6</v>
      </c>
      <c r="Z92" s="29">
        <v>42.4</v>
      </c>
      <c r="AA92" s="29">
        <v>38.200000000000003</v>
      </c>
      <c r="AB92" s="29">
        <v>45.6</v>
      </c>
      <c r="AC92" s="29">
        <v>49.6</v>
      </c>
      <c r="AD92" s="29">
        <v>48.2</v>
      </c>
      <c r="AE92" s="29">
        <v>46</v>
      </c>
      <c r="AF92" s="29"/>
      <c r="AG92" s="29">
        <f t="shared" si="22"/>
        <v>23.759999999999998</v>
      </c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</row>
    <row r="93" spans="1:48" x14ac:dyDescent="0.25">
      <c r="A93" s="29" t="s">
        <v>142</v>
      </c>
      <c r="B93" s="29" t="s">
        <v>34</v>
      </c>
      <c r="C93" s="29">
        <v>-8</v>
      </c>
      <c r="D93" s="29">
        <v>9</v>
      </c>
      <c r="E93" s="29">
        <v>35</v>
      </c>
      <c r="F93" s="29">
        <v>-42</v>
      </c>
      <c r="G93" s="6">
        <v>0.33</v>
      </c>
      <c r="H93" s="29">
        <v>30</v>
      </c>
      <c r="I93" s="29" t="s">
        <v>35</v>
      </c>
      <c r="J93" s="29"/>
      <c r="K93" s="29">
        <v>49</v>
      </c>
      <c r="L93" s="29">
        <f t="shared" si="17"/>
        <v>-14</v>
      </c>
      <c r="M93" s="29"/>
      <c r="N93" s="29"/>
      <c r="O93" s="29">
        <v>69</v>
      </c>
      <c r="P93" s="29">
        <f t="shared" si="18"/>
        <v>7</v>
      </c>
      <c r="Q93" s="4">
        <f>12*P93-O93-F93</f>
        <v>57</v>
      </c>
      <c r="R93" s="4">
        <f t="shared" si="20"/>
        <v>57</v>
      </c>
      <c r="S93" s="38"/>
      <c r="T93" s="29">
        <f t="shared" si="21"/>
        <v>12</v>
      </c>
      <c r="U93" s="29">
        <f t="shared" si="19"/>
        <v>3.8571428571428572</v>
      </c>
      <c r="V93" s="29">
        <v>10.8</v>
      </c>
      <c r="W93" s="29">
        <v>7</v>
      </c>
      <c r="X93" s="29">
        <v>8.8000000000000007</v>
      </c>
      <c r="Y93" s="29">
        <v>2.6</v>
      </c>
      <c r="Z93" s="29">
        <v>4.4000000000000004</v>
      </c>
      <c r="AA93" s="29">
        <v>17.399999999999999</v>
      </c>
      <c r="AB93" s="29">
        <v>13.8</v>
      </c>
      <c r="AC93" s="29">
        <v>12.2</v>
      </c>
      <c r="AD93" s="29">
        <v>16.600000000000001</v>
      </c>
      <c r="AE93" s="29">
        <v>23.6</v>
      </c>
      <c r="AF93" s="29" t="s">
        <v>143</v>
      </c>
      <c r="AG93" s="29">
        <f t="shared" si="22"/>
        <v>18.810000000000002</v>
      </c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</row>
    <row r="94" spans="1:48" s="44" customFormat="1" x14ac:dyDescent="0.25">
      <c r="A94" s="40" t="s">
        <v>144</v>
      </c>
      <c r="B94" s="40" t="s">
        <v>34</v>
      </c>
      <c r="C94" s="40"/>
      <c r="D94" s="40"/>
      <c r="E94" s="40"/>
      <c r="F94" s="40"/>
      <c r="G94" s="41">
        <v>0.15</v>
      </c>
      <c r="H94" s="40">
        <v>60</v>
      </c>
      <c r="I94" s="40" t="s">
        <v>35</v>
      </c>
      <c r="J94" s="40"/>
      <c r="K94" s="40"/>
      <c r="L94" s="40">
        <f t="shared" si="17"/>
        <v>0</v>
      </c>
      <c r="M94" s="40"/>
      <c r="N94" s="40"/>
      <c r="O94" s="40">
        <v>0</v>
      </c>
      <c r="P94" s="40">
        <f t="shared" si="18"/>
        <v>0</v>
      </c>
      <c r="Q94" s="42"/>
      <c r="R94" s="4">
        <v>100</v>
      </c>
      <c r="S94" s="43">
        <f>VLOOKUP(A94,[1]Sheet!$A:$R,18,0)</f>
        <v>150</v>
      </c>
      <c r="T94" s="40" t="e">
        <f t="shared" si="21"/>
        <v>#DIV/0!</v>
      </c>
      <c r="U94" s="40" t="e">
        <f t="shared" si="19"/>
        <v>#DIV/0!</v>
      </c>
      <c r="V94" s="40">
        <v>0</v>
      </c>
      <c r="W94" s="40">
        <v>0</v>
      </c>
      <c r="X94" s="40">
        <v>0</v>
      </c>
      <c r="Y94" s="40">
        <v>0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0" t="s">
        <v>196</v>
      </c>
      <c r="AG94" s="40">
        <f t="shared" si="22"/>
        <v>15</v>
      </c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</row>
    <row r="95" spans="1:48" x14ac:dyDescent="0.25">
      <c r="A95" s="8" t="s">
        <v>145</v>
      </c>
      <c r="B95" s="8" t="s">
        <v>34</v>
      </c>
      <c r="C95" s="8">
        <v>-7</v>
      </c>
      <c r="D95" s="8"/>
      <c r="E95" s="8"/>
      <c r="F95" s="8">
        <v>-7</v>
      </c>
      <c r="G95" s="9">
        <v>0</v>
      </c>
      <c r="H95" s="8">
        <v>45</v>
      </c>
      <c r="I95" s="8" t="s">
        <v>71</v>
      </c>
      <c r="J95" s="8"/>
      <c r="K95" s="8"/>
      <c r="L95" s="8">
        <f t="shared" si="17"/>
        <v>0</v>
      </c>
      <c r="M95" s="8"/>
      <c r="N95" s="8"/>
      <c r="O95" s="8">
        <v>0</v>
      </c>
      <c r="P95" s="8">
        <f t="shared" si="18"/>
        <v>0</v>
      </c>
      <c r="Q95" s="10"/>
      <c r="R95" s="4">
        <f t="shared" si="20"/>
        <v>0</v>
      </c>
      <c r="S95" s="38"/>
      <c r="T95" s="29" t="e">
        <f t="shared" si="21"/>
        <v>#DIV/0!</v>
      </c>
      <c r="U95" s="8" t="e">
        <f t="shared" si="19"/>
        <v>#DIV/0!</v>
      </c>
      <c r="V95" s="8">
        <v>-0.6</v>
      </c>
      <c r="W95" s="8">
        <v>-1</v>
      </c>
      <c r="X95" s="8">
        <v>2.4</v>
      </c>
      <c r="Y95" s="8">
        <v>8.4</v>
      </c>
      <c r="Z95" s="8">
        <v>8.1999999999999993</v>
      </c>
      <c r="AA95" s="8">
        <v>3.2</v>
      </c>
      <c r="AB95" s="8">
        <v>1.8</v>
      </c>
      <c r="AC95" s="8">
        <v>4</v>
      </c>
      <c r="AD95" s="8">
        <v>34</v>
      </c>
      <c r="AE95" s="8">
        <v>0</v>
      </c>
      <c r="AF95" s="8" t="s">
        <v>71</v>
      </c>
      <c r="AG95" s="29">
        <f t="shared" si="22"/>
        <v>0</v>
      </c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</row>
    <row r="96" spans="1:48" s="44" customFormat="1" x14ac:dyDescent="0.25">
      <c r="A96" s="40" t="s">
        <v>146</v>
      </c>
      <c r="B96" s="40" t="s">
        <v>34</v>
      </c>
      <c r="C96" s="40"/>
      <c r="D96" s="40"/>
      <c r="E96" s="40"/>
      <c r="F96" s="40"/>
      <c r="G96" s="41">
        <v>0.26</v>
      </c>
      <c r="H96" s="40">
        <v>45</v>
      </c>
      <c r="I96" s="40" t="s">
        <v>35</v>
      </c>
      <c r="J96" s="40"/>
      <c r="K96" s="40"/>
      <c r="L96" s="40">
        <f t="shared" si="17"/>
        <v>0</v>
      </c>
      <c r="M96" s="40"/>
      <c r="N96" s="40"/>
      <c r="O96" s="40">
        <v>0</v>
      </c>
      <c r="P96" s="40">
        <f t="shared" si="18"/>
        <v>0</v>
      </c>
      <c r="Q96" s="42"/>
      <c r="R96" s="4">
        <v>100</v>
      </c>
      <c r="S96" s="43">
        <f>VLOOKUP(A96,[1]Sheet!$A:$R,18,0)</f>
        <v>150</v>
      </c>
      <c r="T96" s="40" t="e">
        <f t="shared" si="21"/>
        <v>#DIV/0!</v>
      </c>
      <c r="U96" s="40" t="e">
        <f t="shared" si="19"/>
        <v>#DIV/0!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 t="s">
        <v>196</v>
      </c>
      <c r="AG96" s="40">
        <f t="shared" si="22"/>
        <v>26</v>
      </c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</row>
    <row r="97" spans="1:48" s="44" customFormat="1" x14ac:dyDescent="0.25">
      <c r="A97" s="40" t="s">
        <v>147</v>
      </c>
      <c r="B97" s="40" t="s">
        <v>34</v>
      </c>
      <c r="C97" s="40"/>
      <c r="D97" s="40"/>
      <c r="E97" s="40"/>
      <c r="F97" s="40"/>
      <c r="G97" s="41">
        <v>0.31</v>
      </c>
      <c r="H97" s="40">
        <v>45</v>
      </c>
      <c r="I97" s="40" t="s">
        <v>35</v>
      </c>
      <c r="J97" s="40"/>
      <c r="K97" s="40"/>
      <c r="L97" s="40">
        <f t="shared" si="17"/>
        <v>0</v>
      </c>
      <c r="M97" s="40"/>
      <c r="N97" s="40"/>
      <c r="O97" s="40">
        <v>0</v>
      </c>
      <c r="P97" s="40">
        <f t="shared" si="18"/>
        <v>0</v>
      </c>
      <c r="Q97" s="42"/>
      <c r="R97" s="4">
        <v>100</v>
      </c>
      <c r="S97" s="43">
        <f>VLOOKUP(A97,[1]Sheet!$A:$R,18,0)</f>
        <v>150</v>
      </c>
      <c r="T97" s="40" t="e">
        <f t="shared" si="21"/>
        <v>#DIV/0!</v>
      </c>
      <c r="U97" s="40" t="e">
        <f t="shared" si="19"/>
        <v>#DIV/0!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0</v>
      </c>
      <c r="AD97" s="40">
        <v>0</v>
      </c>
      <c r="AE97" s="40">
        <v>0</v>
      </c>
      <c r="AF97" s="40" t="s">
        <v>196</v>
      </c>
      <c r="AG97" s="40">
        <f t="shared" si="22"/>
        <v>31</v>
      </c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</row>
    <row r="98" spans="1:48" x14ac:dyDescent="0.25">
      <c r="A98" s="29" t="s">
        <v>148</v>
      </c>
      <c r="B98" s="29" t="s">
        <v>34</v>
      </c>
      <c r="C98" s="29">
        <v>10</v>
      </c>
      <c r="D98" s="29">
        <v>2</v>
      </c>
      <c r="E98" s="29">
        <v>12</v>
      </c>
      <c r="F98" s="29"/>
      <c r="G98" s="6">
        <v>0.4</v>
      </c>
      <c r="H98" s="29">
        <v>60</v>
      </c>
      <c r="I98" s="29" t="s">
        <v>35</v>
      </c>
      <c r="J98" s="29"/>
      <c r="K98" s="29">
        <v>12</v>
      </c>
      <c r="L98" s="29">
        <f t="shared" si="17"/>
        <v>0</v>
      </c>
      <c r="M98" s="29"/>
      <c r="N98" s="29"/>
      <c r="O98" s="29">
        <v>82</v>
      </c>
      <c r="P98" s="29">
        <f t="shared" si="18"/>
        <v>2.4</v>
      </c>
      <c r="Q98" s="4"/>
      <c r="R98" s="4">
        <f t="shared" si="20"/>
        <v>0</v>
      </c>
      <c r="S98" s="38"/>
      <c r="T98" s="29">
        <f t="shared" si="21"/>
        <v>34.166666666666671</v>
      </c>
      <c r="U98" s="29">
        <f t="shared" si="19"/>
        <v>34.166666666666671</v>
      </c>
      <c r="V98" s="29">
        <v>10</v>
      </c>
      <c r="W98" s="29">
        <v>2.6</v>
      </c>
      <c r="X98" s="29">
        <v>5.2</v>
      </c>
      <c r="Y98" s="29">
        <v>0</v>
      </c>
      <c r="Z98" s="29">
        <v>4.4000000000000004</v>
      </c>
      <c r="AA98" s="29">
        <v>4</v>
      </c>
      <c r="AB98" s="29">
        <v>0</v>
      </c>
      <c r="AC98" s="29">
        <v>0</v>
      </c>
      <c r="AD98" s="29">
        <v>0</v>
      </c>
      <c r="AE98" s="29">
        <v>0</v>
      </c>
      <c r="AF98" s="29"/>
      <c r="AG98" s="29">
        <f t="shared" si="22"/>
        <v>0</v>
      </c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</row>
    <row r="99" spans="1:48" x14ac:dyDescent="0.25">
      <c r="A99" s="29" t="s">
        <v>149</v>
      </c>
      <c r="B99" s="29" t="s">
        <v>34</v>
      </c>
      <c r="C99" s="29"/>
      <c r="D99" s="29">
        <v>176</v>
      </c>
      <c r="E99" s="29">
        <v>19</v>
      </c>
      <c r="F99" s="29">
        <v>150</v>
      </c>
      <c r="G99" s="6">
        <v>0.35</v>
      </c>
      <c r="H99" s="29">
        <v>60</v>
      </c>
      <c r="I99" s="29" t="s">
        <v>35</v>
      </c>
      <c r="J99" s="29"/>
      <c r="K99" s="29">
        <v>32</v>
      </c>
      <c r="L99" s="29">
        <f t="shared" si="17"/>
        <v>-13</v>
      </c>
      <c r="M99" s="29"/>
      <c r="N99" s="29"/>
      <c r="O99" s="29">
        <v>0</v>
      </c>
      <c r="P99" s="29">
        <f t="shared" si="18"/>
        <v>3.8</v>
      </c>
      <c r="Q99" s="4"/>
      <c r="R99" s="4">
        <f t="shared" si="20"/>
        <v>0</v>
      </c>
      <c r="S99" s="38"/>
      <c r="T99" s="29">
        <f t="shared" si="21"/>
        <v>39.473684210526315</v>
      </c>
      <c r="U99" s="29">
        <f t="shared" si="19"/>
        <v>39.473684210526315</v>
      </c>
      <c r="V99" s="29">
        <v>4</v>
      </c>
      <c r="W99" s="29">
        <v>26.8</v>
      </c>
      <c r="X99" s="29">
        <v>5.2</v>
      </c>
      <c r="Y99" s="29">
        <v>10.8</v>
      </c>
      <c r="Z99" s="29">
        <v>5.6</v>
      </c>
      <c r="AA99" s="29">
        <v>18.600000000000001</v>
      </c>
      <c r="AB99" s="29">
        <v>11.8</v>
      </c>
      <c r="AC99" s="29">
        <v>9.4</v>
      </c>
      <c r="AD99" s="29">
        <v>3.4</v>
      </c>
      <c r="AE99" s="29">
        <v>2</v>
      </c>
      <c r="AF99" s="29"/>
      <c r="AG99" s="29">
        <f t="shared" si="22"/>
        <v>0</v>
      </c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</row>
    <row r="100" spans="1:48" s="44" customFormat="1" x14ac:dyDescent="0.25">
      <c r="A100" s="40" t="s">
        <v>150</v>
      </c>
      <c r="B100" s="40" t="s">
        <v>37</v>
      </c>
      <c r="C100" s="40"/>
      <c r="D100" s="40"/>
      <c r="E100" s="40"/>
      <c r="F100" s="40"/>
      <c r="G100" s="41">
        <v>1</v>
      </c>
      <c r="H100" s="40">
        <v>45</v>
      </c>
      <c r="I100" s="40" t="s">
        <v>35</v>
      </c>
      <c r="J100" s="40"/>
      <c r="K100" s="40"/>
      <c r="L100" s="40">
        <f t="shared" si="17"/>
        <v>0</v>
      </c>
      <c r="M100" s="40"/>
      <c r="N100" s="40"/>
      <c r="O100" s="40">
        <v>0</v>
      </c>
      <c r="P100" s="40">
        <f t="shared" si="18"/>
        <v>0</v>
      </c>
      <c r="Q100" s="42"/>
      <c r="R100" s="4">
        <v>100</v>
      </c>
      <c r="S100" s="43">
        <f>VLOOKUP(A100,[1]Sheet!$A:$R,18,0)</f>
        <v>150</v>
      </c>
      <c r="T100" s="40" t="e">
        <f t="shared" si="21"/>
        <v>#DIV/0!</v>
      </c>
      <c r="U100" s="40" t="e">
        <f t="shared" si="19"/>
        <v>#DIV/0!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0">
        <v>0</v>
      </c>
      <c r="AD100" s="40">
        <v>0</v>
      </c>
      <c r="AE100" s="40">
        <v>0</v>
      </c>
      <c r="AF100" s="40" t="s">
        <v>196</v>
      </c>
      <c r="AG100" s="40">
        <f t="shared" si="22"/>
        <v>100</v>
      </c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</row>
    <row r="101" spans="1:48" x14ac:dyDescent="0.25">
      <c r="A101" s="29" t="s">
        <v>151</v>
      </c>
      <c r="B101" s="29" t="s">
        <v>37</v>
      </c>
      <c r="C101" s="29">
        <v>10.72</v>
      </c>
      <c r="D101" s="29"/>
      <c r="E101" s="29">
        <v>10.763</v>
      </c>
      <c r="F101" s="29">
        <v>-4.2999999999999997E-2</v>
      </c>
      <c r="G101" s="6">
        <v>1</v>
      </c>
      <c r="H101" s="29"/>
      <c r="I101" s="29" t="s">
        <v>35</v>
      </c>
      <c r="J101" s="29"/>
      <c r="K101" s="29">
        <v>12.5</v>
      </c>
      <c r="L101" s="29">
        <f t="shared" si="17"/>
        <v>-1.7370000000000001</v>
      </c>
      <c r="M101" s="29"/>
      <c r="N101" s="29"/>
      <c r="O101" s="29">
        <v>28</v>
      </c>
      <c r="P101" s="29">
        <f t="shared" si="18"/>
        <v>2.1526000000000001</v>
      </c>
      <c r="Q101" s="4">
        <f t="shared" ref="Q101:Q102" si="26">15*P101-O101-F101</f>
        <v>4.3320000000000016</v>
      </c>
      <c r="R101" s="4">
        <f t="shared" si="20"/>
        <v>4</v>
      </c>
      <c r="S101" s="38"/>
      <c r="T101" s="29">
        <f t="shared" si="21"/>
        <v>14.845767908575676</v>
      </c>
      <c r="U101" s="29">
        <f t="shared" si="19"/>
        <v>12.987549939607916</v>
      </c>
      <c r="V101" s="29">
        <v>3.515400000000001</v>
      </c>
      <c r="W101" s="29">
        <v>2.0004</v>
      </c>
      <c r="X101" s="29">
        <v>0</v>
      </c>
      <c r="Y101" s="29">
        <v>0</v>
      </c>
      <c r="Z101" s="29">
        <v>4.0039999999999996</v>
      </c>
      <c r="AA101" s="29">
        <v>0</v>
      </c>
      <c r="AB101" s="29">
        <v>0</v>
      </c>
      <c r="AC101" s="29">
        <v>0</v>
      </c>
      <c r="AD101" s="29">
        <v>0</v>
      </c>
      <c r="AE101" s="29">
        <v>0</v>
      </c>
      <c r="AF101" s="29"/>
      <c r="AG101" s="29">
        <f t="shared" si="22"/>
        <v>4</v>
      </c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</row>
    <row r="102" spans="1:48" x14ac:dyDescent="0.25">
      <c r="A102" s="29" t="s">
        <v>152</v>
      </c>
      <c r="B102" s="29" t="s">
        <v>34</v>
      </c>
      <c r="C102" s="29">
        <v>153</v>
      </c>
      <c r="D102" s="29">
        <v>16</v>
      </c>
      <c r="E102" s="29">
        <v>128</v>
      </c>
      <c r="F102" s="29">
        <v>25</v>
      </c>
      <c r="G102" s="6">
        <v>0.33</v>
      </c>
      <c r="H102" s="29">
        <v>45</v>
      </c>
      <c r="I102" s="29" t="s">
        <v>35</v>
      </c>
      <c r="J102" s="29"/>
      <c r="K102" s="29">
        <v>144</v>
      </c>
      <c r="L102" s="29">
        <f t="shared" ref="L102:L111" si="27">E102-K102</f>
        <v>-16</v>
      </c>
      <c r="M102" s="29"/>
      <c r="N102" s="29"/>
      <c r="O102" s="29">
        <v>171</v>
      </c>
      <c r="P102" s="29">
        <f t="shared" ref="P102:P121" si="28">E102/5</f>
        <v>25.6</v>
      </c>
      <c r="Q102" s="4">
        <f t="shared" si="26"/>
        <v>188</v>
      </c>
      <c r="R102" s="4">
        <f t="shared" si="20"/>
        <v>188</v>
      </c>
      <c r="S102" s="38"/>
      <c r="T102" s="29">
        <f t="shared" si="21"/>
        <v>15</v>
      </c>
      <c r="U102" s="29">
        <f t="shared" ref="U102:U121" si="29">(F102+O102)/P102</f>
        <v>7.65625</v>
      </c>
      <c r="V102" s="29">
        <v>21.6</v>
      </c>
      <c r="W102" s="29">
        <v>4</v>
      </c>
      <c r="X102" s="29">
        <v>18.600000000000001</v>
      </c>
      <c r="Y102" s="29">
        <v>16</v>
      </c>
      <c r="Z102" s="29">
        <v>0.6</v>
      </c>
      <c r="AA102" s="29">
        <v>19.2</v>
      </c>
      <c r="AB102" s="29">
        <v>23.8</v>
      </c>
      <c r="AC102" s="29">
        <v>11</v>
      </c>
      <c r="AD102" s="29">
        <v>7.6</v>
      </c>
      <c r="AE102" s="29">
        <v>12.2</v>
      </c>
      <c r="AF102" s="29" t="s">
        <v>153</v>
      </c>
      <c r="AG102" s="29">
        <f t="shared" si="22"/>
        <v>62.040000000000006</v>
      </c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</row>
    <row r="103" spans="1:48" x14ac:dyDescent="0.25">
      <c r="A103" s="8" t="s">
        <v>77</v>
      </c>
      <c r="B103" s="8" t="s">
        <v>34</v>
      </c>
      <c r="C103" s="8">
        <v>1</v>
      </c>
      <c r="D103" s="8">
        <v>50</v>
      </c>
      <c r="E103" s="8">
        <v>2</v>
      </c>
      <c r="F103" s="34">
        <f>48+F36</f>
        <v>46</v>
      </c>
      <c r="G103" s="9">
        <v>0</v>
      </c>
      <c r="H103" s="8">
        <v>45</v>
      </c>
      <c r="I103" s="28" t="s">
        <v>71</v>
      </c>
      <c r="J103" s="8"/>
      <c r="K103" s="8">
        <v>3</v>
      </c>
      <c r="L103" s="8">
        <f t="shared" si="27"/>
        <v>-1</v>
      </c>
      <c r="M103" s="8"/>
      <c r="N103" s="8"/>
      <c r="O103" s="8">
        <v>0</v>
      </c>
      <c r="P103" s="8">
        <f t="shared" si="28"/>
        <v>0.4</v>
      </c>
      <c r="Q103" s="10"/>
      <c r="R103" s="4">
        <f t="shared" si="20"/>
        <v>0</v>
      </c>
      <c r="S103" s="38"/>
      <c r="T103" s="29">
        <f t="shared" si="21"/>
        <v>115</v>
      </c>
      <c r="U103" s="8">
        <f t="shared" si="29"/>
        <v>115</v>
      </c>
      <c r="V103" s="8">
        <v>1.8</v>
      </c>
      <c r="W103" s="8">
        <v>6.6</v>
      </c>
      <c r="X103" s="8">
        <v>3.4</v>
      </c>
      <c r="Y103" s="8">
        <v>3.4</v>
      </c>
      <c r="Z103" s="8">
        <v>4</v>
      </c>
      <c r="AA103" s="8">
        <v>2.8</v>
      </c>
      <c r="AB103" s="8">
        <v>0</v>
      </c>
      <c r="AC103" s="8">
        <v>0</v>
      </c>
      <c r="AD103" s="8">
        <v>0</v>
      </c>
      <c r="AE103" s="8">
        <v>0</v>
      </c>
      <c r="AF103" s="8" t="s">
        <v>154</v>
      </c>
      <c r="AG103" s="29">
        <f t="shared" si="22"/>
        <v>0</v>
      </c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</row>
    <row r="104" spans="1:48" x14ac:dyDescent="0.25">
      <c r="A104" s="8" t="s">
        <v>134</v>
      </c>
      <c r="B104" s="8" t="s">
        <v>34</v>
      </c>
      <c r="C104" s="8">
        <v>22</v>
      </c>
      <c r="D104" s="8">
        <v>50</v>
      </c>
      <c r="E104" s="8">
        <v>26</v>
      </c>
      <c r="F104" s="34">
        <f>43+F87</f>
        <v>38</v>
      </c>
      <c r="G104" s="9">
        <v>0</v>
      </c>
      <c r="H104" s="8">
        <v>60</v>
      </c>
      <c r="I104" s="28" t="s">
        <v>71</v>
      </c>
      <c r="J104" s="8"/>
      <c r="K104" s="8">
        <v>26</v>
      </c>
      <c r="L104" s="8">
        <f t="shared" si="27"/>
        <v>0</v>
      </c>
      <c r="M104" s="8"/>
      <c r="N104" s="8"/>
      <c r="O104" s="8">
        <v>0</v>
      </c>
      <c r="P104" s="8">
        <f t="shared" si="28"/>
        <v>5.2</v>
      </c>
      <c r="Q104" s="10"/>
      <c r="R104" s="4">
        <f t="shared" si="20"/>
        <v>0</v>
      </c>
      <c r="S104" s="38"/>
      <c r="T104" s="29">
        <f t="shared" si="21"/>
        <v>7.3076923076923075</v>
      </c>
      <c r="U104" s="8">
        <f t="shared" si="29"/>
        <v>7.3076923076923075</v>
      </c>
      <c r="V104" s="8">
        <v>0.6</v>
      </c>
      <c r="W104" s="8">
        <v>7.4</v>
      </c>
      <c r="X104" s="8">
        <v>4.4000000000000004</v>
      </c>
      <c r="Y104" s="8">
        <v>5</v>
      </c>
      <c r="Z104" s="8">
        <v>5.6</v>
      </c>
      <c r="AA104" s="8">
        <v>7.2</v>
      </c>
      <c r="AB104" s="8">
        <v>0</v>
      </c>
      <c r="AC104" s="8">
        <v>0</v>
      </c>
      <c r="AD104" s="8">
        <v>0</v>
      </c>
      <c r="AE104" s="8">
        <v>0</v>
      </c>
      <c r="AF104" s="8" t="s">
        <v>155</v>
      </c>
      <c r="AG104" s="29">
        <f t="shared" si="22"/>
        <v>0</v>
      </c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</row>
    <row r="105" spans="1:48" x14ac:dyDescent="0.25">
      <c r="A105" s="29" t="s">
        <v>74</v>
      </c>
      <c r="B105" s="29" t="s">
        <v>34</v>
      </c>
      <c r="C105" s="29">
        <v>76</v>
      </c>
      <c r="D105" s="29">
        <v>80</v>
      </c>
      <c r="E105" s="29">
        <v>137</v>
      </c>
      <c r="F105" s="34">
        <f>19+F35</f>
        <v>8</v>
      </c>
      <c r="G105" s="6">
        <v>0.1</v>
      </c>
      <c r="H105" s="29">
        <v>60</v>
      </c>
      <c r="I105" s="29" t="s">
        <v>35</v>
      </c>
      <c r="J105" s="29"/>
      <c r="K105" s="29">
        <v>232</v>
      </c>
      <c r="L105" s="29">
        <f t="shared" si="27"/>
        <v>-95</v>
      </c>
      <c r="M105" s="29"/>
      <c r="N105" s="29"/>
      <c r="O105" s="29">
        <v>429</v>
      </c>
      <c r="P105" s="29">
        <f t="shared" si="28"/>
        <v>27.4</v>
      </c>
      <c r="Q105" s="4"/>
      <c r="R105" s="4">
        <f t="shared" si="20"/>
        <v>0</v>
      </c>
      <c r="S105" s="38"/>
      <c r="T105" s="29">
        <f t="shared" si="21"/>
        <v>15.948905109489052</v>
      </c>
      <c r="U105" s="29">
        <f t="shared" si="29"/>
        <v>15.948905109489052</v>
      </c>
      <c r="V105" s="29">
        <v>52.2</v>
      </c>
      <c r="W105" s="29">
        <v>26.4</v>
      </c>
      <c r="X105" s="29">
        <v>28</v>
      </c>
      <c r="Y105" s="29">
        <v>23.8</v>
      </c>
      <c r="Z105" s="29">
        <v>39</v>
      </c>
      <c r="AA105" s="29">
        <v>39.799999999999997</v>
      </c>
      <c r="AB105" s="29">
        <v>0</v>
      </c>
      <c r="AC105" s="29">
        <v>0</v>
      </c>
      <c r="AD105" s="29">
        <v>0</v>
      </c>
      <c r="AE105" s="29">
        <v>0</v>
      </c>
      <c r="AF105" s="29" t="s">
        <v>156</v>
      </c>
      <c r="AG105" s="29">
        <f t="shared" si="22"/>
        <v>0</v>
      </c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</row>
    <row r="106" spans="1:48" x14ac:dyDescent="0.25">
      <c r="A106" s="29" t="s">
        <v>157</v>
      </c>
      <c r="B106" s="29" t="s">
        <v>34</v>
      </c>
      <c r="C106" s="29">
        <v>48</v>
      </c>
      <c r="D106" s="29">
        <v>120</v>
      </c>
      <c r="E106" s="29">
        <v>36</v>
      </c>
      <c r="F106" s="29">
        <v>118</v>
      </c>
      <c r="G106" s="6">
        <v>0.1</v>
      </c>
      <c r="H106" s="29">
        <v>60</v>
      </c>
      <c r="I106" s="29" t="s">
        <v>35</v>
      </c>
      <c r="J106" s="29"/>
      <c r="K106" s="29">
        <v>115</v>
      </c>
      <c r="L106" s="29">
        <f t="shared" si="27"/>
        <v>-79</v>
      </c>
      <c r="M106" s="29"/>
      <c r="N106" s="29"/>
      <c r="O106" s="29">
        <v>0</v>
      </c>
      <c r="P106" s="29">
        <f t="shared" si="28"/>
        <v>7.2</v>
      </c>
      <c r="Q106" s="4"/>
      <c r="R106" s="4">
        <f t="shared" si="20"/>
        <v>0</v>
      </c>
      <c r="S106" s="38"/>
      <c r="T106" s="29">
        <f t="shared" si="21"/>
        <v>16.388888888888889</v>
      </c>
      <c r="U106" s="29">
        <f t="shared" si="29"/>
        <v>16.388888888888889</v>
      </c>
      <c r="V106" s="29">
        <v>7.2</v>
      </c>
      <c r="W106" s="29">
        <v>16</v>
      </c>
      <c r="X106" s="29">
        <v>9.8000000000000007</v>
      </c>
      <c r="Y106" s="29">
        <v>9</v>
      </c>
      <c r="Z106" s="29">
        <v>0.8</v>
      </c>
      <c r="AA106" s="29">
        <v>9</v>
      </c>
      <c r="AB106" s="29">
        <v>0</v>
      </c>
      <c r="AC106" s="29">
        <v>0</v>
      </c>
      <c r="AD106" s="29">
        <v>0</v>
      </c>
      <c r="AE106" s="29">
        <v>0</v>
      </c>
      <c r="AF106" s="29" t="s">
        <v>158</v>
      </c>
      <c r="AG106" s="29">
        <f t="shared" si="22"/>
        <v>0</v>
      </c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</row>
    <row r="107" spans="1:48" x14ac:dyDescent="0.25">
      <c r="A107" s="29" t="s">
        <v>67</v>
      </c>
      <c r="B107" s="29" t="s">
        <v>34</v>
      </c>
      <c r="C107" s="29">
        <v>-44</v>
      </c>
      <c r="D107" s="29">
        <v>248</v>
      </c>
      <c r="E107" s="34">
        <f>64+E32</f>
        <v>59</v>
      </c>
      <c r="F107" s="34">
        <f>131+F32</f>
        <v>115</v>
      </c>
      <c r="G107" s="6">
        <v>0.4</v>
      </c>
      <c r="H107" s="29">
        <v>60</v>
      </c>
      <c r="I107" s="29" t="s">
        <v>35</v>
      </c>
      <c r="J107" s="29"/>
      <c r="K107" s="29">
        <v>72</v>
      </c>
      <c r="L107" s="29">
        <f t="shared" si="27"/>
        <v>-13</v>
      </c>
      <c r="M107" s="29"/>
      <c r="N107" s="29"/>
      <c r="O107" s="29">
        <v>0</v>
      </c>
      <c r="P107" s="29">
        <f t="shared" si="28"/>
        <v>11.8</v>
      </c>
      <c r="Q107" s="4">
        <f t="shared" ref="Q107" si="30">15*P107-O107-F107</f>
        <v>62</v>
      </c>
      <c r="R107" s="4">
        <f t="shared" si="20"/>
        <v>62</v>
      </c>
      <c r="S107" s="38"/>
      <c r="T107" s="29">
        <f t="shared" si="21"/>
        <v>14.999999999999998</v>
      </c>
      <c r="U107" s="29">
        <f t="shared" si="29"/>
        <v>9.7457627118644066</v>
      </c>
      <c r="V107" s="29">
        <v>7.6</v>
      </c>
      <c r="W107" s="29">
        <v>30.8</v>
      </c>
      <c r="X107" s="29">
        <v>17.399999999999999</v>
      </c>
      <c r="Y107" s="29">
        <v>22.8</v>
      </c>
      <c r="Z107" s="29">
        <v>16.8</v>
      </c>
      <c r="AA107" s="29">
        <v>27.4</v>
      </c>
      <c r="AB107" s="29">
        <v>8.8000000000000007</v>
      </c>
      <c r="AC107" s="29">
        <v>0</v>
      </c>
      <c r="AD107" s="29">
        <v>0</v>
      </c>
      <c r="AE107" s="29">
        <v>0</v>
      </c>
      <c r="AF107" s="29" t="s">
        <v>159</v>
      </c>
      <c r="AG107" s="29">
        <f t="shared" si="22"/>
        <v>24.8</v>
      </c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</row>
    <row r="108" spans="1:48" x14ac:dyDescent="0.25">
      <c r="A108" s="29" t="s">
        <v>160</v>
      </c>
      <c r="B108" s="29" t="s">
        <v>34</v>
      </c>
      <c r="C108" s="29"/>
      <c r="D108" s="29"/>
      <c r="E108" s="29">
        <v>-3</v>
      </c>
      <c r="F108" s="29"/>
      <c r="G108" s="6">
        <v>0.1</v>
      </c>
      <c r="H108" s="29"/>
      <c r="I108" s="29" t="s">
        <v>35</v>
      </c>
      <c r="J108" s="29"/>
      <c r="K108" s="29">
        <v>2</v>
      </c>
      <c r="L108" s="29">
        <f t="shared" si="27"/>
        <v>-5</v>
      </c>
      <c r="M108" s="29"/>
      <c r="N108" s="29"/>
      <c r="O108" s="29">
        <v>20</v>
      </c>
      <c r="P108" s="29">
        <f t="shared" si="28"/>
        <v>-0.6</v>
      </c>
      <c r="Q108" s="4"/>
      <c r="R108" s="4">
        <f t="shared" si="20"/>
        <v>0</v>
      </c>
      <c r="S108" s="38"/>
      <c r="T108" s="29">
        <f t="shared" si="21"/>
        <v>-33.333333333333336</v>
      </c>
      <c r="U108" s="29">
        <f t="shared" si="29"/>
        <v>-33.333333333333336</v>
      </c>
      <c r="V108" s="29">
        <v>2.4</v>
      </c>
      <c r="W108" s="29">
        <v>3.2</v>
      </c>
      <c r="X108" s="29">
        <v>5</v>
      </c>
      <c r="Y108" s="29">
        <v>0.2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 t="s">
        <v>161</v>
      </c>
      <c r="AG108" s="29">
        <f t="shared" si="22"/>
        <v>0</v>
      </c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</row>
    <row r="109" spans="1:48" x14ac:dyDescent="0.25">
      <c r="A109" s="29" t="s">
        <v>162</v>
      </c>
      <c r="B109" s="29" t="s">
        <v>34</v>
      </c>
      <c r="C109" s="29">
        <v>-1</v>
      </c>
      <c r="D109" s="29"/>
      <c r="E109" s="29"/>
      <c r="F109" s="29">
        <v>-1</v>
      </c>
      <c r="G109" s="6">
        <v>0.1</v>
      </c>
      <c r="H109" s="29"/>
      <c r="I109" s="29" t="s">
        <v>35</v>
      </c>
      <c r="J109" s="29"/>
      <c r="K109" s="29">
        <v>10</v>
      </c>
      <c r="L109" s="29">
        <f t="shared" si="27"/>
        <v>-10</v>
      </c>
      <c r="M109" s="29"/>
      <c r="N109" s="29"/>
      <c r="O109" s="29">
        <v>10</v>
      </c>
      <c r="P109" s="29">
        <f t="shared" si="28"/>
        <v>0</v>
      </c>
      <c r="Q109" s="4"/>
      <c r="R109" s="4">
        <f t="shared" si="20"/>
        <v>0</v>
      </c>
      <c r="S109" s="38"/>
      <c r="T109" s="29" t="e">
        <f t="shared" si="21"/>
        <v>#DIV/0!</v>
      </c>
      <c r="U109" s="29" t="e">
        <f t="shared" si="29"/>
        <v>#DIV/0!</v>
      </c>
      <c r="V109" s="29">
        <v>0.8</v>
      </c>
      <c r="W109" s="29">
        <v>2.4</v>
      </c>
      <c r="X109" s="29">
        <v>4.5999999999999996</v>
      </c>
      <c r="Y109" s="29">
        <v>0.4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 t="s">
        <v>163</v>
      </c>
      <c r="AG109" s="29">
        <f t="shared" si="22"/>
        <v>0</v>
      </c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</row>
    <row r="110" spans="1:48" x14ac:dyDescent="0.25">
      <c r="A110" s="8" t="s">
        <v>164</v>
      </c>
      <c r="B110" s="8" t="s">
        <v>37</v>
      </c>
      <c r="C110" s="8"/>
      <c r="D110" s="8"/>
      <c r="E110" s="8"/>
      <c r="F110" s="8"/>
      <c r="G110" s="9">
        <v>0</v>
      </c>
      <c r="H110" s="8"/>
      <c r="I110" s="8" t="s">
        <v>35</v>
      </c>
      <c r="J110" s="8"/>
      <c r="K110" s="8"/>
      <c r="L110" s="8">
        <f t="shared" si="27"/>
        <v>0</v>
      </c>
      <c r="M110" s="8"/>
      <c r="N110" s="8"/>
      <c r="O110" s="8">
        <v>0</v>
      </c>
      <c r="P110" s="8">
        <f t="shared" si="28"/>
        <v>0</v>
      </c>
      <c r="Q110" s="10"/>
      <c r="R110" s="4">
        <f t="shared" si="20"/>
        <v>0</v>
      </c>
      <c r="S110" s="38"/>
      <c r="T110" s="29" t="e">
        <f t="shared" si="21"/>
        <v>#DIV/0!</v>
      </c>
      <c r="U110" s="8" t="e">
        <f t="shared" si="29"/>
        <v>#DIV/0!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89</v>
      </c>
      <c r="AG110" s="29">
        <f t="shared" si="22"/>
        <v>0</v>
      </c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</row>
    <row r="111" spans="1:48" x14ac:dyDescent="0.25">
      <c r="A111" s="8" t="s">
        <v>165</v>
      </c>
      <c r="B111" s="8" t="s">
        <v>34</v>
      </c>
      <c r="C111" s="8">
        <v>22</v>
      </c>
      <c r="D111" s="8"/>
      <c r="E111" s="8"/>
      <c r="F111" s="34">
        <v>22</v>
      </c>
      <c r="G111" s="9">
        <v>0</v>
      </c>
      <c r="H111" s="8"/>
      <c r="I111" s="8" t="s">
        <v>166</v>
      </c>
      <c r="J111" s="8" t="s">
        <v>110</v>
      </c>
      <c r="K111" s="8"/>
      <c r="L111" s="8">
        <f t="shared" si="27"/>
        <v>0</v>
      </c>
      <c r="M111" s="8"/>
      <c r="N111" s="8"/>
      <c r="O111" s="8">
        <v>0</v>
      </c>
      <c r="P111" s="8">
        <f t="shared" si="28"/>
        <v>0</v>
      </c>
      <c r="Q111" s="10"/>
      <c r="R111" s="4">
        <f t="shared" si="20"/>
        <v>0</v>
      </c>
      <c r="S111" s="38"/>
      <c r="T111" s="29" t="e">
        <f t="shared" si="21"/>
        <v>#DIV/0!</v>
      </c>
      <c r="U111" s="8" t="e">
        <f t="shared" si="29"/>
        <v>#DIV/0!</v>
      </c>
      <c r="V111" s="8">
        <v>0</v>
      </c>
      <c r="W111" s="8">
        <v>1.4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2.2000000000000002</v>
      </c>
      <c r="AE111" s="8">
        <v>2.8</v>
      </c>
      <c r="AF111" s="8"/>
      <c r="AG111" s="29">
        <f t="shared" si="22"/>
        <v>0</v>
      </c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</row>
    <row r="112" spans="1:48" x14ac:dyDescent="0.25">
      <c r="A112" s="30" t="s">
        <v>167</v>
      </c>
      <c r="B112" s="30" t="s">
        <v>37</v>
      </c>
      <c r="C112" s="30"/>
      <c r="D112" s="30"/>
      <c r="E112" s="30"/>
      <c r="F112" s="30"/>
      <c r="G112" s="31">
        <v>1</v>
      </c>
      <c r="H112" s="30">
        <v>30</v>
      </c>
      <c r="I112" s="30" t="s">
        <v>35</v>
      </c>
      <c r="J112" s="30"/>
      <c r="K112" s="30"/>
      <c r="L112" s="30"/>
      <c r="M112" s="30"/>
      <c r="N112" s="30"/>
      <c r="O112" s="30"/>
      <c r="P112" s="30">
        <f t="shared" si="28"/>
        <v>0</v>
      </c>
      <c r="Q112" s="32">
        <v>10</v>
      </c>
      <c r="R112" s="4">
        <v>100</v>
      </c>
      <c r="S112" s="38">
        <f>VLOOKUP(A112,[1]Sheet!$A:$R,18,0)</f>
        <v>150</v>
      </c>
      <c r="T112" s="29" t="e">
        <f t="shared" si="21"/>
        <v>#DIV/0!</v>
      </c>
      <c r="U112" s="30" t="e">
        <f t="shared" si="29"/>
        <v>#DIV/0!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33" t="s">
        <v>72</v>
      </c>
      <c r="AG112" s="29">
        <f t="shared" si="22"/>
        <v>100</v>
      </c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</row>
    <row r="113" spans="1:48" x14ac:dyDescent="0.25">
      <c r="A113" s="30" t="s">
        <v>168</v>
      </c>
      <c r="B113" s="30" t="s">
        <v>37</v>
      </c>
      <c r="C113" s="30"/>
      <c r="D113" s="30"/>
      <c r="E113" s="30"/>
      <c r="F113" s="30"/>
      <c r="G113" s="31">
        <v>1</v>
      </c>
      <c r="H113" s="30">
        <v>30</v>
      </c>
      <c r="I113" s="30" t="s">
        <v>35</v>
      </c>
      <c r="J113" s="30"/>
      <c r="K113" s="30"/>
      <c r="L113" s="30"/>
      <c r="M113" s="30"/>
      <c r="N113" s="30"/>
      <c r="O113" s="30"/>
      <c r="P113" s="30">
        <f t="shared" si="28"/>
        <v>0</v>
      </c>
      <c r="Q113" s="32">
        <v>10</v>
      </c>
      <c r="R113" s="4">
        <v>100</v>
      </c>
      <c r="S113" s="38">
        <f>VLOOKUP(A113,[1]Sheet!$A:$R,18,0)</f>
        <v>150</v>
      </c>
      <c r="T113" s="29" t="e">
        <f t="shared" si="21"/>
        <v>#DIV/0!</v>
      </c>
      <c r="U113" s="30" t="e">
        <f t="shared" si="29"/>
        <v>#DIV/0!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30">
        <v>0</v>
      </c>
      <c r="AE113" s="30">
        <v>0</v>
      </c>
      <c r="AF113" s="33" t="s">
        <v>72</v>
      </c>
      <c r="AG113" s="29">
        <f t="shared" si="22"/>
        <v>100</v>
      </c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</row>
    <row r="114" spans="1:48" x14ac:dyDescent="0.25">
      <c r="A114" s="30" t="s">
        <v>169</v>
      </c>
      <c r="B114" s="30" t="s">
        <v>37</v>
      </c>
      <c r="C114" s="30"/>
      <c r="D114" s="30"/>
      <c r="E114" s="30"/>
      <c r="F114" s="30"/>
      <c r="G114" s="31">
        <v>1</v>
      </c>
      <c r="H114" s="30">
        <v>45</v>
      </c>
      <c r="I114" s="30" t="s">
        <v>35</v>
      </c>
      <c r="J114" s="30"/>
      <c r="K114" s="30"/>
      <c r="L114" s="30"/>
      <c r="M114" s="30"/>
      <c r="N114" s="30"/>
      <c r="O114" s="30"/>
      <c r="P114" s="30">
        <f t="shared" si="28"/>
        <v>0</v>
      </c>
      <c r="Q114" s="32">
        <v>10</v>
      </c>
      <c r="R114" s="4">
        <v>100</v>
      </c>
      <c r="S114" s="38">
        <f>VLOOKUP(A114,[1]Sheet!$A:$R,18,0)</f>
        <v>150</v>
      </c>
      <c r="T114" s="29" t="e">
        <f t="shared" si="21"/>
        <v>#DIV/0!</v>
      </c>
      <c r="U114" s="30" t="e">
        <f t="shared" si="29"/>
        <v>#DIV/0!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33" t="s">
        <v>72</v>
      </c>
      <c r="AG114" s="29">
        <f t="shared" si="22"/>
        <v>100</v>
      </c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</row>
    <row r="115" spans="1:48" x14ac:dyDescent="0.25">
      <c r="A115" s="30" t="s">
        <v>170</v>
      </c>
      <c r="B115" s="30" t="s">
        <v>37</v>
      </c>
      <c r="C115" s="30"/>
      <c r="D115" s="30"/>
      <c r="E115" s="30"/>
      <c r="F115" s="30"/>
      <c r="G115" s="31">
        <v>1</v>
      </c>
      <c r="H115" s="30">
        <v>120</v>
      </c>
      <c r="I115" s="30" t="s">
        <v>35</v>
      </c>
      <c r="J115" s="30"/>
      <c r="K115" s="30"/>
      <c r="L115" s="30"/>
      <c r="M115" s="30"/>
      <c r="N115" s="30"/>
      <c r="O115" s="30"/>
      <c r="P115" s="30">
        <f t="shared" si="28"/>
        <v>0</v>
      </c>
      <c r="Q115" s="32">
        <v>10</v>
      </c>
      <c r="R115" s="4">
        <v>100</v>
      </c>
      <c r="S115" s="38">
        <f>VLOOKUP(A115,[1]Sheet!$A:$R,18,0)</f>
        <v>150</v>
      </c>
      <c r="T115" s="29" t="e">
        <f t="shared" si="21"/>
        <v>#DIV/0!</v>
      </c>
      <c r="U115" s="30" t="e">
        <f t="shared" si="29"/>
        <v>#DIV/0!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30">
        <v>0</v>
      </c>
      <c r="AF115" s="33" t="s">
        <v>72</v>
      </c>
      <c r="AG115" s="29">
        <f t="shared" si="22"/>
        <v>100</v>
      </c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</row>
    <row r="116" spans="1:48" x14ac:dyDescent="0.25">
      <c r="A116" s="30" t="s">
        <v>171</v>
      </c>
      <c r="B116" s="30" t="s">
        <v>34</v>
      </c>
      <c r="C116" s="30"/>
      <c r="D116" s="30"/>
      <c r="E116" s="30"/>
      <c r="F116" s="30"/>
      <c r="G116" s="31">
        <v>0.22</v>
      </c>
      <c r="H116" s="30">
        <v>120</v>
      </c>
      <c r="I116" s="30" t="s">
        <v>35</v>
      </c>
      <c r="J116" s="30"/>
      <c r="K116" s="30"/>
      <c r="L116" s="30"/>
      <c r="M116" s="30"/>
      <c r="N116" s="30"/>
      <c r="O116" s="30"/>
      <c r="P116" s="30">
        <f t="shared" si="28"/>
        <v>0</v>
      </c>
      <c r="Q116" s="32">
        <v>40</v>
      </c>
      <c r="R116" s="4">
        <v>100</v>
      </c>
      <c r="S116" s="38">
        <f>VLOOKUP(A116,[1]Sheet!$A:$R,18,0)</f>
        <v>150</v>
      </c>
      <c r="T116" s="29" t="e">
        <f t="shared" si="21"/>
        <v>#DIV/0!</v>
      </c>
      <c r="U116" s="30" t="e">
        <f t="shared" si="29"/>
        <v>#DIV/0!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30">
        <v>0</v>
      </c>
      <c r="AF116" s="33" t="s">
        <v>72</v>
      </c>
      <c r="AG116" s="29">
        <f t="shared" si="22"/>
        <v>22</v>
      </c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</row>
    <row r="117" spans="1:48" x14ac:dyDescent="0.25">
      <c r="A117" s="30" t="s">
        <v>172</v>
      </c>
      <c r="B117" s="30" t="s">
        <v>34</v>
      </c>
      <c r="C117" s="30"/>
      <c r="D117" s="30"/>
      <c r="E117" s="30"/>
      <c r="F117" s="30"/>
      <c r="G117" s="31">
        <v>0.3</v>
      </c>
      <c r="H117" s="30">
        <v>45</v>
      </c>
      <c r="I117" s="30" t="s">
        <v>35</v>
      </c>
      <c r="J117" s="30"/>
      <c r="K117" s="30"/>
      <c r="L117" s="30"/>
      <c r="M117" s="30"/>
      <c r="N117" s="30"/>
      <c r="O117" s="30"/>
      <c r="P117" s="30">
        <f t="shared" si="28"/>
        <v>0</v>
      </c>
      <c r="Q117" s="32">
        <v>40</v>
      </c>
      <c r="R117" s="4">
        <v>100</v>
      </c>
      <c r="S117" s="38">
        <f>VLOOKUP(A117,[1]Sheet!$A:$R,18,0)</f>
        <v>150</v>
      </c>
      <c r="T117" s="29" t="e">
        <f t="shared" si="21"/>
        <v>#DIV/0!</v>
      </c>
      <c r="U117" s="30" t="e">
        <f t="shared" si="29"/>
        <v>#DIV/0!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33" t="s">
        <v>72</v>
      </c>
      <c r="AG117" s="29">
        <f t="shared" si="22"/>
        <v>30</v>
      </c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</row>
    <row r="118" spans="1:48" x14ac:dyDescent="0.25">
      <c r="A118" s="30" t="s">
        <v>173</v>
      </c>
      <c r="B118" s="30" t="s">
        <v>34</v>
      </c>
      <c r="C118" s="30"/>
      <c r="D118" s="30"/>
      <c r="E118" s="30"/>
      <c r="F118" s="30"/>
      <c r="G118" s="31">
        <v>0.15</v>
      </c>
      <c r="H118" s="30">
        <v>90</v>
      </c>
      <c r="I118" s="30" t="s">
        <v>35</v>
      </c>
      <c r="J118" s="30"/>
      <c r="K118" s="30"/>
      <c r="L118" s="30"/>
      <c r="M118" s="30"/>
      <c r="N118" s="30"/>
      <c r="O118" s="30"/>
      <c r="P118" s="30">
        <f t="shared" si="28"/>
        <v>0</v>
      </c>
      <c r="Q118" s="32">
        <v>40</v>
      </c>
      <c r="R118" s="4">
        <v>100</v>
      </c>
      <c r="S118" s="38">
        <f>VLOOKUP(A118,[1]Sheet!$A:$R,18,0)</f>
        <v>150</v>
      </c>
      <c r="T118" s="29" t="e">
        <f t="shared" si="21"/>
        <v>#DIV/0!</v>
      </c>
      <c r="U118" s="30" t="e">
        <f t="shared" si="29"/>
        <v>#DIV/0!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0">
        <v>0</v>
      </c>
      <c r="AF118" s="33" t="s">
        <v>72</v>
      </c>
      <c r="AG118" s="29">
        <f t="shared" si="22"/>
        <v>15</v>
      </c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</row>
    <row r="119" spans="1:48" x14ac:dyDescent="0.25">
      <c r="A119" s="30" t="s">
        <v>174</v>
      </c>
      <c r="B119" s="30" t="s">
        <v>34</v>
      </c>
      <c r="C119" s="30"/>
      <c r="D119" s="30"/>
      <c r="E119" s="30"/>
      <c r="F119" s="30"/>
      <c r="G119" s="31">
        <v>0.15</v>
      </c>
      <c r="H119" s="30">
        <v>90</v>
      </c>
      <c r="I119" s="30" t="s">
        <v>35</v>
      </c>
      <c r="J119" s="30"/>
      <c r="K119" s="30"/>
      <c r="L119" s="30"/>
      <c r="M119" s="30"/>
      <c r="N119" s="30"/>
      <c r="O119" s="30"/>
      <c r="P119" s="30">
        <f t="shared" si="28"/>
        <v>0</v>
      </c>
      <c r="Q119" s="32">
        <v>40</v>
      </c>
      <c r="R119" s="4">
        <v>100</v>
      </c>
      <c r="S119" s="38">
        <f>VLOOKUP(A119,[1]Sheet!$A:$R,18,0)</f>
        <v>150</v>
      </c>
      <c r="T119" s="29" t="e">
        <f t="shared" si="21"/>
        <v>#DIV/0!</v>
      </c>
      <c r="U119" s="30" t="e">
        <f t="shared" si="29"/>
        <v>#DIV/0!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0">
        <v>0</v>
      </c>
      <c r="AF119" s="33" t="s">
        <v>72</v>
      </c>
      <c r="AG119" s="29">
        <f t="shared" si="22"/>
        <v>15</v>
      </c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</row>
    <row r="120" spans="1:48" x14ac:dyDescent="0.25">
      <c r="A120" s="30" t="s">
        <v>175</v>
      </c>
      <c r="B120" s="30" t="s">
        <v>34</v>
      </c>
      <c r="C120" s="30"/>
      <c r="D120" s="30"/>
      <c r="E120" s="30"/>
      <c r="F120" s="30"/>
      <c r="G120" s="31">
        <v>0.33800000000000002</v>
      </c>
      <c r="H120" s="30" t="s">
        <v>176</v>
      </c>
      <c r="I120" s="30" t="s">
        <v>35</v>
      </c>
      <c r="J120" s="30"/>
      <c r="K120" s="30"/>
      <c r="L120" s="30"/>
      <c r="M120" s="30"/>
      <c r="N120" s="30"/>
      <c r="O120" s="30"/>
      <c r="P120" s="30">
        <f t="shared" si="28"/>
        <v>0</v>
      </c>
      <c r="Q120" s="32">
        <v>50</v>
      </c>
      <c r="R120" s="4">
        <v>150</v>
      </c>
      <c r="S120" s="38">
        <f>VLOOKUP(A120,[1]Sheet!$A:$R,18,0)</f>
        <v>250</v>
      </c>
      <c r="T120" s="29" t="e">
        <f t="shared" si="21"/>
        <v>#DIV/0!</v>
      </c>
      <c r="U120" s="30" t="e">
        <f t="shared" si="29"/>
        <v>#DIV/0!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33" t="s">
        <v>72</v>
      </c>
      <c r="AG120" s="29">
        <f t="shared" si="22"/>
        <v>50.7</v>
      </c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</row>
    <row r="121" spans="1:48" x14ac:dyDescent="0.25">
      <c r="A121" s="30" t="s">
        <v>177</v>
      </c>
      <c r="B121" s="30" t="s">
        <v>34</v>
      </c>
      <c r="C121" s="30"/>
      <c r="D121" s="30"/>
      <c r="E121" s="30"/>
      <c r="F121" s="30"/>
      <c r="G121" s="31">
        <v>0.32500000000000001</v>
      </c>
      <c r="H121" s="30" t="s">
        <v>176</v>
      </c>
      <c r="I121" s="30" t="s">
        <v>35</v>
      </c>
      <c r="J121" s="30"/>
      <c r="K121" s="30"/>
      <c r="L121" s="30"/>
      <c r="M121" s="30"/>
      <c r="N121" s="30"/>
      <c r="O121" s="30"/>
      <c r="P121" s="30">
        <f t="shared" si="28"/>
        <v>0</v>
      </c>
      <c r="Q121" s="32">
        <v>50</v>
      </c>
      <c r="R121" s="4">
        <v>150</v>
      </c>
      <c r="S121" s="38">
        <f>VLOOKUP(A121,[1]Sheet!$A:$R,18,0)</f>
        <v>250</v>
      </c>
      <c r="T121" s="29" t="e">
        <f t="shared" si="21"/>
        <v>#DIV/0!</v>
      </c>
      <c r="U121" s="30" t="e">
        <f t="shared" si="29"/>
        <v>#DIV/0!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30">
        <v>0</v>
      </c>
      <c r="AF121" s="33" t="s">
        <v>72</v>
      </c>
      <c r="AG121" s="29">
        <f t="shared" si="22"/>
        <v>48.75</v>
      </c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</row>
    <row r="122" spans="1:48" x14ac:dyDescent="0.25">
      <c r="A122" s="29"/>
      <c r="B122" s="29"/>
      <c r="C122" s="29"/>
      <c r="D122" s="29"/>
      <c r="E122" s="29"/>
      <c r="F122" s="29"/>
      <c r="G122" s="6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</row>
    <row r="123" spans="1:48" x14ac:dyDescent="0.25">
      <c r="A123" s="29"/>
      <c r="B123" s="29"/>
      <c r="C123" s="29"/>
      <c r="D123" s="29"/>
      <c r="E123" s="29"/>
      <c r="F123" s="29"/>
      <c r="G123" s="6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</row>
    <row r="124" spans="1:48" x14ac:dyDescent="0.25">
      <c r="A124" s="29"/>
      <c r="B124" s="29"/>
      <c r="C124" s="29"/>
      <c r="D124" s="29"/>
      <c r="E124" s="29"/>
      <c r="F124" s="29"/>
      <c r="G124" s="6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</row>
    <row r="125" spans="1:48" x14ac:dyDescent="0.25">
      <c r="A125" s="29"/>
      <c r="B125" s="29"/>
      <c r="C125" s="29"/>
      <c r="D125" s="29"/>
      <c r="E125" s="29"/>
      <c r="F125" s="29"/>
      <c r="G125" s="6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</row>
    <row r="126" spans="1:48" x14ac:dyDescent="0.25">
      <c r="A126" s="29"/>
      <c r="B126" s="29"/>
      <c r="C126" s="29"/>
      <c r="D126" s="29"/>
      <c r="E126" s="29"/>
      <c r="F126" s="29"/>
      <c r="G126" s="6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</row>
    <row r="127" spans="1:48" x14ac:dyDescent="0.25">
      <c r="A127" s="29"/>
      <c r="B127" s="29"/>
      <c r="C127" s="29"/>
      <c r="D127" s="29"/>
      <c r="E127" s="29"/>
      <c r="F127" s="29"/>
      <c r="G127" s="6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</row>
    <row r="128" spans="1:48" x14ac:dyDescent="0.25">
      <c r="A128" s="29"/>
      <c r="B128" s="29"/>
      <c r="C128" s="29"/>
      <c r="D128" s="29"/>
      <c r="E128" s="29"/>
      <c r="F128" s="29"/>
      <c r="G128" s="6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</row>
    <row r="129" spans="1:48" x14ac:dyDescent="0.25">
      <c r="A129" s="29"/>
      <c r="B129" s="29"/>
      <c r="C129" s="29"/>
      <c r="D129" s="29"/>
      <c r="E129" s="29"/>
      <c r="F129" s="29"/>
      <c r="G129" s="6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</row>
    <row r="130" spans="1:48" x14ac:dyDescent="0.25">
      <c r="A130" s="29"/>
      <c r="B130" s="29"/>
      <c r="C130" s="29"/>
      <c r="D130" s="29"/>
      <c r="E130" s="29"/>
      <c r="F130" s="29"/>
      <c r="G130" s="6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</row>
    <row r="131" spans="1:48" x14ac:dyDescent="0.25">
      <c r="A131" s="29"/>
      <c r="B131" s="29"/>
      <c r="C131" s="29"/>
      <c r="D131" s="29"/>
      <c r="E131" s="29"/>
      <c r="F131" s="29"/>
      <c r="G131" s="6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</row>
    <row r="132" spans="1:48" x14ac:dyDescent="0.25">
      <c r="A132" s="29"/>
      <c r="B132" s="29"/>
      <c r="C132" s="29"/>
      <c r="D132" s="29"/>
      <c r="E132" s="29"/>
      <c r="F132" s="29"/>
      <c r="G132" s="6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</row>
    <row r="133" spans="1:48" x14ac:dyDescent="0.25">
      <c r="A133" s="29"/>
      <c r="B133" s="29"/>
      <c r="C133" s="29"/>
      <c r="D133" s="29"/>
      <c r="E133" s="29"/>
      <c r="F133" s="29"/>
      <c r="G133" s="6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</row>
    <row r="134" spans="1:48" x14ac:dyDescent="0.25">
      <c r="A134" s="29"/>
      <c r="B134" s="29"/>
      <c r="C134" s="29"/>
      <c r="D134" s="29"/>
      <c r="E134" s="29"/>
      <c r="F134" s="29"/>
      <c r="G134" s="6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</row>
    <row r="135" spans="1:48" x14ac:dyDescent="0.25">
      <c r="A135" s="29"/>
      <c r="B135" s="29"/>
      <c r="C135" s="29"/>
      <c r="D135" s="29"/>
      <c r="E135" s="29"/>
      <c r="F135" s="29"/>
      <c r="G135" s="6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</row>
    <row r="136" spans="1:48" x14ac:dyDescent="0.25">
      <c r="A136" s="29"/>
      <c r="B136" s="29"/>
      <c r="C136" s="29"/>
      <c r="D136" s="29"/>
      <c r="E136" s="29"/>
      <c r="F136" s="29"/>
      <c r="G136" s="6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</row>
    <row r="137" spans="1:48" x14ac:dyDescent="0.25">
      <c r="A137" s="29"/>
      <c r="B137" s="29"/>
      <c r="C137" s="29"/>
      <c r="D137" s="29"/>
      <c r="E137" s="29"/>
      <c r="F137" s="29"/>
      <c r="G137" s="6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</row>
    <row r="138" spans="1:48" x14ac:dyDescent="0.25">
      <c r="A138" s="29"/>
      <c r="B138" s="29"/>
      <c r="C138" s="29"/>
      <c r="D138" s="29"/>
      <c r="E138" s="29"/>
      <c r="F138" s="29"/>
      <c r="G138" s="6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</row>
    <row r="139" spans="1:48" x14ac:dyDescent="0.25">
      <c r="A139" s="29"/>
      <c r="B139" s="29"/>
      <c r="C139" s="29"/>
      <c r="D139" s="29"/>
      <c r="E139" s="29"/>
      <c r="F139" s="29"/>
      <c r="G139" s="6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</row>
    <row r="140" spans="1:48" x14ac:dyDescent="0.25">
      <c r="A140" s="29"/>
      <c r="B140" s="29"/>
      <c r="C140" s="29"/>
      <c r="D140" s="29"/>
      <c r="E140" s="29"/>
      <c r="F140" s="29"/>
      <c r="G140" s="6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</row>
    <row r="141" spans="1:48" x14ac:dyDescent="0.25">
      <c r="A141" s="29"/>
      <c r="B141" s="29"/>
      <c r="C141" s="29"/>
      <c r="D141" s="29"/>
      <c r="E141" s="29"/>
      <c r="F141" s="29"/>
      <c r="G141" s="6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</row>
    <row r="142" spans="1:48" x14ac:dyDescent="0.25">
      <c r="A142" s="29"/>
      <c r="B142" s="29"/>
      <c r="C142" s="29"/>
      <c r="D142" s="29"/>
      <c r="E142" s="29"/>
      <c r="F142" s="29"/>
      <c r="G142" s="6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</row>
    <row r="143" spans="1:48" x14ac:dyDescent="0.25">
      <c r="A143" s="29"/>
      <c r="B143" s="29"/>
      <c r="C143" s="29"/>
      <c r="D143" s="29"/>
      <c r="E143" s="29"/>
      <c r="F143" s="29"/>
      <c r="G143" s="6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</row>
    <row r="144" spans="1:48" x14ac:dyDescent="0.25">
      <c r="A144" s="29"/>
      <c r="B144" s="29"/>
      <c r="C144" s="29"/>
      <c r="D144" s="29"/>
      <c r="E144" s="29"/>
      <c r="F144" s="29"/>
      <c r="G144" s="6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</row>
    <row r="145" spans="1:48" x14ac:dyDescent="0.25">
      <c r="A145" s="29"/>
      <c r="B145" s="29"/>
      <c r="C145" s="29"/>
      <c r="D145" s="29"/>
      <c r="E145" s="29"/>
      <c r="F145" s="29"/>
      <c r="G145" s="6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</row>
    <row r="146" spans="1:48" x14ac:dyDescent="0.25">
      <c r="A146" s="29"/>
      <c r="B146" s="29"/>
      <c r="C146" s="29"/>
      <c r="D146" s="29"/>
      <c r="E146" s="29"/>
      <c r="F146" s="29"/>
      <c r="G146" s="6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</row>
    <row r="147" spans="1:48" x14ac:dyDescent="0.25">
      <c r="A147" s="29"/>
      <c r="B147" s="29"/>
      <c r="C147" s="29"/>
      <c r="D147" s="29"/>
      <c r="E147" s="29"/>
      <c r="F147" s="29"/>
      <c r="G147" s="6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</row>
    <row r="148" spans="1:48" x14ac:dyDescent="0.25">
      <c r="A148" s="29"/>
      <c r="B148" s="29"/>
      <c r="C148" s="29"/>
      <c r="D148" s="29"/>
      <c r="E148" s="29"/>
      <c r="F148" s="29"/>
      <c r="G148" s="6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</row>
    <row r="149" spans="1:48" x14ac:dyDescent="0.25">
      <c r="A149" s="29"/>
      <c r="B149" s="29"/>
      <c r="C149" s="29"/>
      <c r="D149" s="29"/>
      <c r="E149" s="29"/>
      <c r="F149" s="29"/>
      <c r="G149" s="6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</row>
    <row r="150" spans="1:48" x14ac:dyDescent="0.25">
      <c r="A150" s="29"/>
      <c r="B150" s="29"/>
      <c r="C150" s="29"/>
      <c r="D150" s="29"/>
      <c r="E150" s="29"/>
      <c r="F150" s="29"/>
      <c r="G150" s="6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</row>
    <row r="151" spans="1:48" x14ac:dyDescent="0.25">
      <c r="A151" s="29"/>
      <c r="B151" s="29"/>
      <c r="C151" s="29"/>
      <c r="D151" s="29"/>
      <c r="E151" s="29"/>
      <c r="F151" s="29"/>
      <c r="G151" s="6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</row>
    <row r="152" spans="1:48" x14ac:dyDescent="0.25">
      <c r="A152" s="29"/>
      <c r="B152" s="29"/>
      <c r="C152" s="29"/>
      <c r="D152" s="29"/>
      <c r="E152" s="29"/>
      <c r="F152" s="29"/>
      <c r="G152" s="6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</row>
    <row r="153" spans="1:48" x14ac:dyDescent="0.25">
      <c r="A153" s="29"/>
      <c r="B153" s="29"/>
      <c r="C153" s="29"/>
      <c r="D153" s="29"/>
      <c r="E153" s="29"/>
      <c r="F153" s="29"/>
      <c r="G153" s="6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</row>
    <row r="154" spans="1:48" x14ac:dyDescent="0.25">
      <c r="A154" s="29"/>
      <c r="B154" s="29"/>
      <c r="C154" s="29"/>
      <c r="D154" s="29"/>
      <c r="E154" s="29"/>
      <c r="F154" s="29"/>
      <c r="G154" s="6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</row>
    <row r="155" spans="1:48" x14ac:dyDescent="0.25">
      <c r="A155" s="29"/>
      <c r="B155" s="29"/>
      <c r="C155" s="29"/>
      <c r="D155" s="29"/>
      <c r="E155" s="29"/>
      <c r="F155" s="29"/>
      <c r="G155" s="6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</row>
    <row r="156" spans="1:48" x14ac:dyDescent="0.25">
      <c r="A156" s="29"/>
      <c r="B156" s="29"/>
      <c r="C156" s="29"/>
      <c r="D156" s="29"/>
      <c r="E156" s="29"/>
      <c r="F156" s="29"/>
      <c r="G156" s="6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</row>
    <row r="157" spans="1:48" x14ac:dyDescent="0.25">
      <c r="A157" s="29"/>
      <c r="B157" s="29"/>
      <c r="C157" s="29"/>
      <c r="D157" s="29"/>
      <c r="E157" s="29"/>
      <c r="F157" s="29"/>
      <c r="G157" s="6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</row>
    <row r="158" spans="1:48" x14ac:dyDescent="0.25">
      <c r="A158" s="29"/>
      <c r="B158" s="29"/>
      <c r="C158" s="29"/>
      <c r="D158" s="29"/>
      <c r="E158" s="29"/>
      <c r="F158" s="29"/>
      <c r="G158" s="6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</row>
    <row r="159" spans="1:48" x14ac:dyDescent="0.25">
      <c r="A159" s="29"/>
      <c r="B159" s="29"/>
      <c r="C159" s="29"/>
      <c r="D159" s="29"/>
      <c r="E159" s="29"/>
      <c r="F159" s="29"/>
      <c r="G159" s="6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</row>
    <row r="160" spans="1:48" x14ac:dyDescent="0.25">
      <c r="A160" s="29"/>
      <c r="B160" s="29"/>
      <c r="C160" s="29"/>
      <c r="D160" s="29"/>
      <c r="E160" s="29"/>
      <c r="F160" s="29"/>
      <c r="G160" s="6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</row>
    <row r="161" spans="1:48" x14ac:dyDescent="0.25">
      <c r="A161" s="29"/>
      <c r="B161" s="29"/>
      <c r="C161" s="29"/>
      <c r="D161" s="29"/>
      <c r="E161" s="29"/>
      <c r="F161" s="29"/>
      <c r="G161" s="6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</row>
    <row r="162" spans="1:48" x14ac:dyDescent="0.25">
      <c r="A162" s="29"/>
      <c r="B162" s="29"/>
      <c r="C162" s="29"/>
      <c r="D162" s="29"/>
      <c r="E162" s="29"/>
      <c r="F162" s="29"/>
      <c r="G162" s="6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</row>
    <row r="163" spans="1:48" x14ac:dyDescent="0.25">
      <c r="A163" s="29"/>
      <c r="B163" s="29"/>
      <c r="C163" s="29"/>
      <c r="D163" s="29"/>
      <c r="E163" s="29"/>
      <c r="F163" s="29"/>
      <c r="G163" s="6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</row>
    <row r="164" spans="1:48" x14ac:dyDescent="0.25">
      <c r="A164" s="29"/>
      <c r="B164" s="29"/>
      <c r="C164" s="29"/>
      <c r="D164" s="29"/>
      <c r="E164" s="29"/>
      <c r="F164" s="29"/>
      <c r="G164" s="6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</row>
    <row r="165" spans="1:48" x14ac:dyDescent="0.25">
      <c r="A165" s="29"/>
      <c r="B165" s="29"/>
      <c r="C165" s="29"/>
      <c r="D165" s="29"/>
      <c r="E165" s="29"/>
      <c r="F165" s="29"/>
      <c r="G165" s="6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</row>
    <row r="166" spans="1:48" x14ac:dyDescent="0.25">
      <c r="A166" s="29"/>
      <c r="B166" s="29"/>
      <c r="C166" s="29"/>
      <c r="D166" s="29"/>
      <c r="E166" s="29"/>
      <c r="F166" s="29"/>
      <c r="G166" s="6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</row>
    <row r="167" spans="1:48" x14ac:dyDescent="0.25">
      <c r="A167" s="29"/>
      <c r="B167" s="29"/>
      <c r="C167" s="29"/>
      <c r="D167" s="29"/>
      <c r="E167" s="29"/>
      <c r="F167" s="29"/>
      <c r="G167" s="6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</row>
    <row r="168" spans="1:48" x14ac:dyDescent="0.25">
      <c r="A168" s="29"/>
      <c r="B168" s="29"/>
      <c r="C168" s="29"/>
      <c r="D168" s="29"/>
      <c r="E168" s="29"/>
      <c r="F168" s="29"/>
      <c r="G168" s="6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</row>
    <row r="169" spans="1:48" x14ac:dyDescent="0.25">
      <c r="A169" s="29"/>
      <c r="B169" s="29"/>
      <c r="C169" s="29"/>
      <c r="D169" s="29"/>
      <c r="E169" s="29"/>
      <c r="F169" s="29"/>
      <c r="G169" s="6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</row>
    <row r="170" spans="1:48" x14ac:dyDescent="0.25">
      <c r="A170" s="29"/>
      <c r="B170" s="29"/>
      <c r="C170" s="29"/>
      <c r="D170" s="29"/>
      <c r="E170" s="29"/>
      <c r="F170" s="29"/>
      <c r="G170" s="6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</row>
    <row r="171" spans="1:48" x14ac:dyDescent="0.25">
      <c r="A171" s="29"/>
      <c r="B171" s="29"/>
      <c r="C171" s="29"/>
      <c r="D171" s="29"/>
      <c r="E171" s="29"/>
      <c r="F171" s="29"/>
      <c r="G171" s="6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</row>
    <row r="172" spans="1:48" x14ac:dyDescent="0.25">
      <c r="A172" s="29"/>
      <c r="B172" s="29"/>
      <c r="C172" s="29"/>
      <c r="D172" s="29"/>
      <c r="E172" s="29"/>
      <c r="F172" s="29"/>
      <c r="G172" s="6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</row>
    <row r="173" spans="1:48" x14ac:dyDescent="0.25">
      <c r="A173" s="29"/>
      <c r="B173" s="29"/>
      <c r="C173" s="29"/>
      <c r="D173" s="29"/>
      <c r="E173" s="29"/>
      <c r="F173" s="29"/>
      <c r="G173" s="6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</row>
    <row r="174" spans="1:48" x14ac:dyDescent="0.25">
      <c r="A174" s="29"/>
      <c r="B174" s="29"/>
      <c r="C174" s="29"/>
      <c r="D174" s="29"/>
      <c r="E174" s="29"/>
      <c r="F174" s="29"/>
      <c r="G174" s="6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</row>
    <row r="175" spans="1:48" x14ac:dyDescent="0.25">
      <c r="A175" s="29"/>
      <c r="B175" s="29"/>
      <c r="C175" s="29"/>
      <c r="D175" s="29"/>
      <c r="E175" s="29"/>
      <c r="F175" s="29"/>
      <c r="G175" s="6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</row>
    <row r="176" spans="1:48" x14ac:dyDescent="0.25">
      <c r="A176" s="29"/>
      <c r="B176" s="29"/>
      <c r="C176" s="29"/>
      <c r="D176" s="29"/>
      <c r="E176" s="29"/>
      <c r="F176" s="29"/>
      <c r="G176" s="6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</row>
    <row r="177" spans="1:48" x14ac:dyDescent="0.25">
      <c r="A177" s="29"/>
      <c r="B177" s="29"/>
      <c r="C177" s="29"/>
      <c r="D177" s="29"/>
      <c r="E177" s="29"/>
      <c r="F177" s="29"/>
      <c r="G177" s="6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</row>
    <row r="178" spans="1:48" x14ac:dyDescent="0.25">
      <c r="A178" s="29"/>
      <c r="B178" s="29"/>
      <c r="C178" s="29"/>
      <c r="D178" s="29"/>
      <c r="E178" s="29"/>
      <c r="F178" s="29"/>
      <c r="G178" s="6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</row>
    <row r="179" spans="1:48" x14ac:dyDescent="0.25">
      <c r="A179" s="29"/>
      <c r="B179" s="29"/>
      <c r="C179" s="29"/>
      <c r="D179" s="29"/>
      <c r="E179" s="29"/>
      <c r="F179" s="29"/>
      <c r="G179" s="6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</row>
    <row r="180" spans="1:48" x14ac:dyDescent="0.25">
      <c r="A180" s="29"/>
      <c r="B180" s="29"/>
      <c r="C180" s="29"/>
      <c r="D180" s="29"/>
      <c r="E180" s="29"/>
      <c r="F180" s="29"/>
      <c r="G180" s="6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</row>
    <row r="181" spans="1:48" x14ac:dyDescent="0.25">
      <c r="A181" s="29"/>
      <c r="B181" s="29"/>
      <c r="C181" s="29"/>
      <c r="D181" s="29"/>
      <c r="E181" s="29"/>
      <c r="F181" s="29"/>
      <c r="G181" s="6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</row>
    <row r="182" spans="1:48" x14ac:dyDescent="0.25">
      <c r="A182" s="29"/>
      <c r="B182" s="29"/>
      <c r="C182" s="29"/>
      <c r="D182" s="29"/>
      <c r="E182" s="29"/>
      <c r="F182" s="29"/>
      <c r="G182" s="6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</row>
    <row r="183" spans="1:48" x14ac:dyDescent="0.25">
      <c r="A183" s="29"/>
      <c r="B183" s="29"/>
      <c r="C183" s="29"/>
      <c r="D183" s="29"/>
      <c r="E183" s="29"/>
      <c r="F183" s="29"/>
      <c r="G183" s="6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</row>
    <row r="184" spans="1:48" x14ac:dyDescent="0.25">
      <c r="A184" s="29"/>
      <c r="B184" s="29"/>
      <c r="C184" s="29"/>
      <c r="D184" s="29"/>
      <c r="E184" s="29"/>
      <c r="F184" s="29"/>
      <c r="G184" s="6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</row>
    <row r="185" spans="1:48" x14ac:dyDescent="0.25">
      <c r="A185" s="29"/>
      <c r="B185" s="29"/>
      <c r="C185" s="29"/>
      <c r="D185" s="29"/>
      <c r="E185" s="29"/>
      <c r="F185" s="29"/>
      <c r="G185" s="6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</row>
    <row r="186" spans="1:48" x14ac:dyDescent="0.25">
      <c r="A186" s="29"/>
      <c r="B186" s="29"/>
      <c r="C186" s="29"/>
      <c r="D186" s="29"/>
      <c r="E186" s="29"/>
      <c r="F186" s="29"/>
      <c r="G186" s="6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</row>
    <row r="187" spans="1:48" x14ac:dyDescent="0.25">
      <c r="A187" s="29"/>
      <c r="B187" s="29"/>
      <c r="C187" s="29"/>
      <c r="D187" s="29"/>
      <c r="E187" s="29"/>
      <c r="F187" s="29"/>
      <c r="G187" s="6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</row>
    <row r="188" spans="1:48" x14ac:dyDescent="0.25">
      <c r="A188" s="29"/>
      <c r="B188" s="29"/>
      <c r="C188" s="29"/>
      <c r="D188" s="29"/>
      <c r="E188" s="29"/>
      <c r="F188" s="29"/>
      <c r="G188" s="6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</row>
    <row r="189" spans="1:48" x14ac:dyDescent="0.25">
      <c r="A189" s="29"/>
      <c r="B189" s="29"/>
      <c r="C189" s="29"/>
      <c r="D189" s="29"/>
      <c r="E189" s="29"/>
      <c r="F189" s="29"/>
      <c r="G189" s="6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</row>
    <row r="190" spans="1:48" x14ac:dyDescent="0.25">
      <c r="A190" s="29"/>
      <c r="B190" s="29"/>
      <c r="C190" s="29"/>
      <c r="D190" s="29"/>
      <c r="E190" s="29"/>
      <c r="F190" s="29"/>
      <c r="G190" s="6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</row>
    <row r="191" spans="1:48" x14ac:dyDescent="0.25">
      <c r="A191" s="29"/>
      <c r="B191" s="29"/>
      <c r="C191" s="29"/>
      <c r="D191" s="29"/>
      <c r="E191" s="29"/>
      <c r="F191" s="29"/>
      <c r="G191" s="6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</row>
    <row r="192" spans="1:48" x14ac:dyDescent="0.25">
      <c r="A192" s="29"/>
      <c r="B192" s="29"/>
      <c r="C192" s="29"/>
      <c r="D192" s="29"/>
      <c r="E192" s="29"/>
      <c r="F192" s="29"/>
      <c r="G192" s="6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</row>
    <row r="193" spans="1:48" x14ac:dyDescent="0.25">
      <c r="A193" s="29"/>
      <c r="B193" s="29"/>
      <c r="C193" s="29"/>
      <c r="D193" s="29"/>
      <c r="E193" s="29"/>
      <c r="F193" s="29"/>
      <c r="G193" s="6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</row>
    <row r="194" spans="1:48" x14ac:dyDescent="0.25">
      <c r="A194" s="29"/>
      <c r="B194" s="29"/>
      <c r="C194" s="29"/>
      <c r="D194" s="29"/>
      <c r="E194" s="29"/>
      <c r="F194" s="29"/>
      <c r="G194" s="6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</row>
    <row r="195" spans="1:48" x14ac:dyDescent="0.25">
      <c r="A195" s="29"/>
      <c r="B195" s="29"/>
      <c r="C195" s="29"/>
      <c r="D195" s="29"/>
      <c r="E195" s="29"/>
      <c r="F195" s="29"/>
      <c r="G195" s="6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</row>
    <row r="196" spans="1:48" x14ac:dyDescent="0.25">
      <c r="A196" s="29"/>
      <c r="B196" s="29"/>
      <c r="C196" s="29"/>
      <c r="D196" s="29"/>
      <c r="E196" s="29"/>
      <c r="F196" s="29"/>
      <c r="G196" s="6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</row>
    <row r="197" spans="1:48" x14ac:dyDescent="0.25">
      <c r="A197" s="29"/>
      <c r="B197" s="29"/>
      <c r="C197" s="29"/>
      <c r="D197" s="29"/>
      <c r="E197" s="29"/>
      <c r="F197" s="29"/>
      <c r="G197" s="6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</row>
    <row r="198" spans="1:48" x14ac:dyDescent="0.25">
      <c r="A198" s="29"/>
      <c r="B198" s="29"/>
      <c r="C198" s="29"/>
      <c r="D198" s="29"/>
      <c r="E198" s="29"/>
      <c r="F198" s="29"/>
      <c r="G198" s="6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</row>
    <row r="199" spans="1:48" x14ac:dyDescent="0.25">
      <c r="A199" s="29"/>
      <c r="B199" s="29"/>
      <c r="C199" s="29"/>
      <c r="D199" s="29"/>
      <c r="E199" s="29"/>
      <c r="F199" s="29"/>
      <c r="G199" s="6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</row>
    <row r="200" spans="1:48" x14ac:dyDescent="0.25">
      <c r="A200" s="29"/>
      <c r="B200" s="29"/>
      <c r="C200" s="29"/>
      <c r="D200" s="29"/>
      <c r="E200" s="29"/>
      <c r="F200" s="29"/>
      <c r="G200" s="6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</row>
    <row r="201" spans="1:48" x14ac:dyDescent="0.25">
      <c r="A201" s="29"/>
      <c r="B201" s="29"/>
      <c r="C201" s="29"/>
      <c r="D201" s="29"/>
      <c r="E201" s="29"/>
      <c r="F201" s="29"/>
      <c r="G201" s="6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</row>
    <row r="202" spans="1:48" x14ac:dyDescent="0.25">
      <c r="A202" s="29"/>
      <c r="B202" s="29"/>
      <c r="C202" s="29"/>
      <c r="D202" s="29"/>
      <c r="E202" s="29"/>
      <c r="F202" s="29"/>
      <c r="G202" s="6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</row>
    <row r="203" spans="1:48" x14ac:dyDescent="0.25">
      <c r="A203" s="29"/>
      <c r="B203" s="29"/>
      <c r="C203" s="29"/>
      <c r="D203" s="29"/>
      <c r="E203" s="29"/>
      <c r="F203" s="29"/>
      <c r="G203" s="6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</row>
    <row r="204" spans="1:48" x14ac:dyDescent="0.25">
      <c r="A204" s="29"/>
      <c r="B204" s="29"/>
      <c r="C204" s="29"/>
      <c r="D204" s="29"/>
      <c r="E204" s="29"/>
      <c r="F204" s="29"/>
      <c r="G204" s="6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</row>
    <row r="205" spans="1:48" x14ac:dyDescent="0.25">
      <c r="A205" s="29"/>
      <c r="B205" s="29"/>
      <c r="C205" s="29"/>
      <c r="D205" s="29"/>
      <c r="E205" s="29"/>
      <c r="F205" s="29"/>
      <c r="G205" s="6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</row>
    <row r="206" spans="1:48" x14ac:dyDescent="0.25">
      <c r="A206" s="29"/>
      <c r="B206" s="29"/>
      <c r="C206" s="29"/>
      <c r="D206" s="29"/>
      <c r="E206" s="29"/>
      <c r="F206" s="29"/>
      <c r="G206" s="6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</row>
    <row r="207" spans="1:48" x14ac:dyDescent="0.25">
      <c r="A207" s="29"/>
      <c r="B207" s="29"/>
      <c r="C207" s="29"/>
      <c r="D207" s="29"/>
      <c r="E207" s="29"/>
      <c r="F207" s="29"/>
      <c r="G207" s="6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</row>
    <row r="208" spans="1:48" x14ac:dyDescent="0.25">
      <c r="A208" s="29"/>
      <c r="B208" s="29"/>
      <c r="C208" s="29"/>
      <c r="D208" s="29"/>
      <c r="E208" s="29"/>
      <c r="F208" s="29"/>
      <c r="G208" s="6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</row>
    <row r="209" spans="1:48" x14ac:dyDescent="0.25">
      <c r="A209" s="29"/>
      <c r="B209" s="29"/>
      <c r="C209" s="29"/>
      <c r="D209" s="29"/>
      <c r="E209" s="29"/>
      <c r="F209" s="29"/>
      <c r="G209" s="6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</row>
    <row r="210" spans="1:48" x14ac:dyDescent="0.25">
      <c r="A210" s="29"/>
      <c r="B210" s="29"/>
      <c r="C210" s="29"/>
      <c r="D210" s="29"/>
      <c r="E210" s="29"/>
      <c r="F210" s="29"/>
      <c r="G210" s="6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</row>
    <row r="211" spans="1:48" x14ac:dyDescent="0.25">
      <c r="A211" s="29"/>
      <c r="B211" s="29"/>
      <c r="C211" s="29"/>
      <c r="D211" s="29"/>
      <c r="E211" s="29"/>
      <c r="F211" s="29"/>
      <c r="G211" s="6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</row>
    <row r="212" spans="1:48" x14ac:dyDescent="0.25">
      <c r="A212" s="29"/>
      <c r="B212" s="29"/>
      <c r="C212" s="29"/>
      <c r="D212" s="29"/>
      <c r="E212" s="29"/>
      <c r="F212" s="29"/>
      <c r="G212" s="6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</row>
    <row r="213" spans="1:48" x14ac:dyDescent="0.25">
      <c r="A213" s="29"/>
      <c r="B213" s="29"/>
      <c r="C213" s="29"/>
      <c r="D213" s="29"/>
      <c r="E213" s="29"/>
      <c r="F213" s="29"/>
      <c r="G213" s="6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</row>
    <row r="214" spans="1:48" x14ac:dyDescent="0.25">
      <c r="A214" s="29"/>
      <c r="B214" s="29"/>
      <c r="C214" s="29"/>
      <c r="D214" s="29"/>
      <c r="E214" s="29"/>
      <c r="F214" s="29"/>
      <c r="G214" s="6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</row>
    <row r="215" spans="1:48" x14ac:dyDescent="0.25">
      <c r="A215" s="29"/>
      <c r="B215" s="29"/>
      <c r="C215" s="29"/>
      <c r="D215" s="29"/>
      <c r="E215" s="29"/>
      <c r="F215" s="29"/>
      <c r="G215" s="6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</row>
    <row r="216" spans="1:48" x14ac:dyDescent="0.25">
      <c r="A216" s="29"/>
      <c r="B216" s="29"/>
      <c r="C216" s="29"/>
      <c r="D216" s="29"/>
      <c r="E216" s="29"/>
      <c r="F216" s="29"/>
      <c r="G216" s="6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</row>
    <row r="217" spans="1:48" x14ac:dyDescent="0.25">
      <c r="A217" s="29"/>
      <c r="B217" s="29"/>
      <c r="C217" s="29"/>
      <c r="D217" s="29"/>
      <c r="E217" s="29"/>
      <c r="F217" s="29"/>
      <c r="G217" s="6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</row>
    <row r="218" spans="1:48" x14ac:dyDescent="0.25">
      <c r="A218" s="29"/>
      <c r="B218" s="29"/>
      <c r="C218" s="29"/>
      <c r="D218" s="29"/>
      <c r="E218" s="29"/>
      <c r="F218" s="29"/>
      <c r="G218" s="6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</row>
    <row r="219" spans="1:48" x14ac:dyDescent="0.25">
      <c r="A219" s="29"/>
      <c r="B219" s="29"/>
      <c r="C219" s="29"/>
      <c r="D219" s="29"/>
      <c r="E219" s="29"/>
      <c r="F219" s="29"/>
      <c r="G219" s="6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</row>
    <row r="220" spans="1:48" x14ac:dyDescent="0.25">
      <c r="A220" s="29"/>
      <c r="B220" s="29"/>
      <c r="C220" s="29"/>
      <c r="D220" s="29"/>
      <c r="E220" s="29"/>
      <c r="F220" s="29"/>
      <c r="G220" s="6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</row>
    <row r="221" spans="1:48" x14ac:dyDescent="0.25">
      <c r="A221" s="29"/>
      <c r="B221" s="29"/>
      <c r="C221" s="29"/>
      <c r="D221" s="29"/>
      <c r="E221" s="29"/>
      <c r="F221" s="29"/>
      <c r="G221" s="6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</row>
    <row r="222" spans="1:48" x14ac:dyDescent="0.25">
      <c r="A222" s="29"/>
      <c r="B222" s="29"/>
      <c r="C222" s="29"/>
      <c r="D222" s="29"/>
      <c r="E222" s="29"/>
      <c r="F222" s="29"/>
      <c r="G222" s="6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</row>
    <row r="223" spans="1:48" x14ac:dyDescent="0.25">
      <c r="A223" s="29"/>
      <c r="B223" s="29"/>
      <c r="C223" s="29"/>
      <c r="D223" s="29"/>
      <c r="E223" s="29"/>
      <c r="F223" s="29"/>
      <c r="G223" s="6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</row>
    <row r="224" spans="1:48" x14ac:dyDescent="0.25">
      <c r="A224" s="29"/>
      <c r="B224" s="29"/>
      <c r="C224" s="29"/>
      <c r="D224" s="29"/>
      <c r="E224" s="29"/>
      <c r="F224" s="29"/>
      <c r="G224" s="6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</row>
    <row r="225" spans="1:48" x14ac:dyDescent="0.25">
      <c r="A225" s="29"/>
      <c r="B225" s="29"/>
      <c r="C225" s="29"/>
      <c r="D225" s="29"/>
      <c r="E225" s="29"/>
      <c r="F225" s="29"/>
      <c r="G225" s="6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</row>
    <row r="226" spans="1:48" x14ac:dyDescent="0.25">
      <c r="A226" s="29"/>
      <c r="B226" s="29"/>
      <c r="C226" s="29"/>
      <c r="D226" s="29"/>
      <c r="E226" s="29"/>
      <c r="F226" s="29"/>
      <c r="G226" s="6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</row>
    <row r="227" spans="1:48" x14ac:dyDescent="0.25">
      <c r="A227" s="29"/>
      <c r="B227" s="29"/>
      <c r="C227" s="29"/>
      <c r="D227" s="29"/>
      <c r="E227" s="29"/>
      <c r="F227" s="29"/>
      <c r="G227" s="6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</row>
    <row r="228" spans="1:48" x14ac:dyDescent="0.25">
      <c r="A228" s="29"/>
      <c r="B228" s="29"/>
      <c r="C228" s="29"/>
      <c r="D228" s="29"/>
      <c r="E228" s="29"/>
      <c r="F228" s="29"/>
      <c r="G228" s="6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</row>
    <row r="229" spans="1:48" x14ac:dyDescent="0.25">
      <c r="A229" s="29"/>
      <c r="B229" s="29"/>
      <c r="C229" s="29"/>
      <c r="D229" s="29"/>
      <c r="E229" s="29"/>
      <c r="F229" s="29"/>
      <c r="G229" s="6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</row>
    <row r="230" spans="1:48" x14ac:dyDescent="0.25">
      <c r="A230" s="29"/>
      <c r="B230" s="29"/>
      <c r="C230" s="29"/>
      <c r="D230" s="29"/>
      <c r="E230" s="29"/>
      <c r="F230" s="29"/>
      <c r="G230" s="6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</row>
    <row r="231" spans="1:48" x14ac:dyDescent="0.25">
      <c r="A231" s="29"/>
      <c r="B231" s="29"/>
      <c r="C231" s="29"/>
      <c r="D231" s="29"/>
      <c r="E231" s="29"/>
      <c r="F231" s="29"/>
      <c r="G231" s="6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</row>
    <row r="232" spans="1:48" x14ac:dyDescent="0.25">
      <c r="A232" s="29"/>
      <c r="B232" s="29"/>
      <c r="C232" s="29"/>
      <c r="D232" s="29"/>
      <c r="E232" s="29"/>
      <c r="F232" s="29"/>
      <c r="G232" s="6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</row>
    <row r="233" spans="1:48" x14ac:dyDescent="0.25">
      <c r="A233" s="29"/>
      <c r="B233" s="29"/>
      <c r="C233" s="29"/>
      <c r="D233" s="29"/>
      <c r="E233" s="29"/>
      <c r="F233" s="29"/>
      <c r="G233" s="6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</row>
    <row r="234" spans="1:48" x14ac:dyDescent="0.25">
      <c r="A234" s="29"/>
      <c r="B234" s="29"/>
      <c r="C234" s="29"/>
      <c r="D234" s="29"/>
      <c r="E234" s="29"/>
      <c r="F234" s="29"/>
      <c r="G234" s="6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</row>
    <row r="235" spans="1:48" x14ac:dyDescent="0.25">
      <c r="A235" s="29"/>
      <c r="B235" s="29"/>
      <c r="C235" s="29"/>
      <c r="D235" s="29"/>
      <c r="E235" s="29"/>
      <c r="F235" s="29"/>
      <c r="G235" s="6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</row>
    <row r="236" spans="1:48" x14ac:dyDescent="0.25">
      <c r="A236" s="29"/>
      <c r="B236" s="29"/>
      <c r="C236" s="29"/>
      <c r="D236" s="29"/>
      <c r="E236" s="29"/>
      <c r="F236" s="29"/>
      <c r="G236" s="6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</row>
    <row r="237" spans="1:48" x14ac:dyDescent="0.25">
      <c r="A237" s="29"/>
      <c r="B237" s="29"/>
      <c r="C237" s="29"/>
      <c r="D237" s="29"/>
      <c r="E237" s="29"/>
      <c r="F237" s="29"/>
      <c r="G237" s="6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</row>
    <row r="238" spans="1:48" x14ac:dyDescent="0.25">
      <c r="A238" s="29"/>
      <c r="B238" s="29"/>
      <c r="C238" s="29"/>
      <c r="D238" s="29"/>
      <c r="E238" s="29"/>
      <c r="F238" s="29"/>
      <c r="G238" s="6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</row>
    <row r="239" spans="1:48" x14ac:dyDescent="0.25">
      <c r="A239" s="29"/>
      <c r="B239" s="29"/>
      <c r="C239" s="29"/>
      <c r="D239" s="29"/>
      <c r="E239" s="29"/>
      <c r="F239" s="29"/>
      <c r="G239" s="6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</row>
    <row r="240" spans="1:48" x14ac:dyDescent="0.25">
      <c r="A240" s="29"/>
      <c r="B240" s="29"/>
      <c r="C240" s="29"/>
      <c r="D240" s="29"/>
      <c r="E240" s="29"/>
      <c r="F240" s="29"/>
      <c r="G240" s="6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</row>
    <row r="241" spans="1:48" x14ac:dyDescent="0.25">
      <c r="A241" s="29"/>
      <c r="B241" s="29"/>
      <c r="C241" s="29"/>
      <c r="D241" s="29"/>
      <c r="E241" s="29"/>
      <c r="F241" s="29"/>
      <c r="G241" s="6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</row>
    <row r="242" spans="1:48" x14ac:dyDescent="0.25">
      <c r="A242" s="29"/>
      <c r="B242" s="29"/>
      <c r="C242" s="29"/>
      <c r="D242" s="29"/>
      <c r="E242" s="29"/>
      <c r="F242" s="29"/>
      <c r="G242" s="6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</row>
    <row r="243" spans="1:48" x14ac:dyDescent="0.25">
      <c r="A243" s="29"/>
      <c r="B243" s="29"/>
      <c r="C243" s="29"/>
      <c r="D243" s="29"/>
      <c r="E243" s="29"/>
      <c r="F243" s="29"/>
      <c r="G243" s="6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</row>
    <row r="244" spans="1:48" x14ac:dyDescent="0.25">
      <c r="A244" s="29"/>
      <c r="B244" s="29"/>
      <c r="C244" s="29"/>
      <c r="D244" s="29"/>
      <c r="E244" s="29"/>
      <c r="F244" s="29"/>
      <c r="G244" s="6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</row>
    <row r="245" spans="1:48" x14ac:dyDescent="0.25">
      <c r="A245" s="29"/>
      <c r="B245" s="29"/>
      <c r="C245" s="29"/>
      <c r="D245" s="29"/>
      <c r="E245" s="29"/>
      <c r="F245" s="29"/>
      <c r="G245" s="6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</row>
    <row r="246" spans="1:48" x14ac:dyDescent="0.25">
      <c r="A246" s="29"/>
      <c r="B246" s="29"/>
      <c r="C246" s="29"/>
      <c r="D246" s="29"/>
      <c r="E246" s="29"/>
      <c r="F246" s="29"/>
      <c r="G246" s="6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</row>
    <row r="247" spans="1:48" x14ac:dyDescent="0.25">
      <c r="A247" s="29"/>
      <c r="B247" s="29"/>
      <c r="C247" s="29"/>
      <c r="D247" s="29"/>
      <c r="E247" s="29"/>
      <c r="F247" s="29"/>
      <c r="G247" s="6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</row>
    <row r="248" spans="1:48" x14ac:dyDescent="0.25">
      <c r="A248" s="29"/>
      <c r="B248" s="29"/>
      <c r="C248" s="29"/>
      <c r="D248" s="29"/>
      <c r="E248" s="29"/>
      <c r="F248" s="29"/>
      <c r="G248" s="6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</row>
    <row r="249" spans="1:48" x14ac:dyDescent="0.25">
      <c r="A249" s="29"/>
      <c r="B249" s="29"/>
      <c r="C249" s="29"/>
      <c r="D249" s="29"/>
      <c r="E249" s="29"/>
      <c r="F249" s="29"/>
      <c r="G249" s="6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</row>
    <row r="250" spans="1:48" x14ac:dyDescent="0.25">
      <c r="A250" s="29"/>
      <c r="B250" s="29"/>
      <c r="C250" s="29"/>
      <c r="D250" s="29"/>
      <c r="E250" s="29"/>
      <c r="F250" s="29"/>
      <c r="G250" s="6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</row>
    <row r="251" spans="1:48" x14ac:dyDescent="0.25">
      <c r="A251" s="29"/>
      <c r="B251" s="29"/>
      <c r="C251" s="29"/>
      <c r="D251" s="29"/>
      <c r="E251" s="29"/>
      <c r="F251" s="29"/>
      <c r="G251" s="6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</row>
    <row r="252" spans="1:48" x14ac:dyDescent="0.25">
      <c r="A252" s="29"/>
      <c r="B252" s="29"/>
      <c r="C252" s="29"/>
      <c r="D252" s="29"/>
      <c r="E252" s="29"/>
      <c r="F252" s="29"/>
      <c r="G252" s="6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</row>
    <row r="253" spans="1:48" x14ac:dyDescent="0.25">
      <c r="A253" s="29"/>
      <c r="B253" s="29"/>
      <c r="C253" s="29"/>
      <c r="D253" s="29"/>
      <c r="E253" s="29"/>
      <c r="F253" s="29"/>
      <c r="G253" s="6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</row>
    <row r="254" spans="1:48" x14ac:dyDescent="0.25">
      <c r="A254" s="29"/>
      <c r="B254" s="29"/>
      <c r="C254" s="29"/>
      <c r="D254" s="29"/>
      <c r="E254" s="29"/>
      <c r="F254" s="29"/>
      <c r="G254" s="6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</row>
    <row r="255" spans="1:48" x14ac:dyDescent="0.25">
      <c r="A255" s="29"/>
      <c r="B255" s="29"/>
      <c r="C255" s="29"/>
      <c r="D255" s="29"/>
      <c r="E255" s="29"/>
      <c r="F255" s="29"/>
      <c r="G255" s="6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</row>
    <row r="256" spans="1:48" x14ac:dyDescent="0.25">
      <c r="A256" s="29"/>
      <c r="B256" s="29"/>
      <c r="C256" s="29"/>
      <c r="D256" s="29"/>
      <c r="E256" s="29"/>
      <c r="F256" s="29"/>
      <c r="G256" s="6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</row>
    <row r="257" spans="1:48" x14ac:dyDescent="0.25">
      <c r="A257" s="29"/>
      <c r="B257" s="29"/>
      <c r="C257" s="29"/>
      <c r="D257" s="29"/>
      <c r="E257" s="29"/>
      <c r="F257" s="29"/>
      <c r="G257" s="6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</row>
    <row r="258" spans="1:48" x14ac:dyDescent="0.25">
      <c r="A258" s="29"/>
      <c r="B258" s="29"/>
      <c r="C258" s="29"/>
      <c r="D258" s="29"/>
      <c r="E258" s="29"/>
      <c r="F258" s="29"/>
      <c r="G258" s="6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</row>
    <row r="259" spans="1:48" x14ac:dyDescent="0.25">
      <c r="A259" s="29"/>
      <c r="B259" s="29"/>
      <c r="C259" s="29"/>
      <c r="D259" s="29"/>
      <c r="E259" s="29"/>
      <c r="F259" s="29"/>
      <c r="G259" s="6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</row>
    <row r="260" spans="1:48" x14ac:dyDescent="0.25">
      <c r="A260" s="29"/>
      <c r="B260" s="29"/>
      <c r="C260" s="29"/>
      <c r="D260" s="29"/>
      <c r="E260" s="29"/>
      <c r="F260" s="29"/>
      <c r="G260" s="6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</row>
    <row r="261" spans="1:48" x14ac:dyDescent="0.25">
      <c r="A261" s="29"/>
      <c r="B261" s="29"/>
      <c r="C261" s="29"/>
      <c r="D261" s="29"/>
      <c r="E261" s="29"/>
      <c r="F261" s="29"/>
      <c r="G261" s="6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</row>
    <row r="262" spans="1:48" x14ac:dyDescent="0.25">
      <c r="A262" s="29"/>
      <c r="B262" s="29"/>
      <c r="C262" s="29"/>
      <c r="D262" s="29"/>
      <c r="E262" s="29"/>
      <c r="F262" s="29"/>
      <c r="G262" s="6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</row>
    <row r="263" spans="1:48" x14ac:dyDescent="0.25">
      <c r="A263" s="29"/>
      <c r="B263" s="29"/>
      <c r="C263" s="29"/>
      <c r="D263" s="29"/>
      <c r="E263" s="29"/>
      <c r="F263" s="29"/>
      <c r="G263" s="6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</row>
    <row r="264" spans="1:48" x14ac:dyDescent="0.25">
      <c r="A264" s="29"/>
      <c r="B264" s="29"/>
      <c r="C264" s="29"/>
      <c r="D264" s="29"/>
      <c r="E264" s="29"/>
      <c r="F264" s="29"/>
      <c r="G264" s="6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</row>
    <row r="265" spans="1:48" x14ac:dyDescent="0.25">
      <c r="A265" s="29"/>
      <c r="B265" s="29"/>
      <c r="C265" s="29"/>
      <c r="D265" s="29"/>
      <c r="E265" s="29"/>
      <c r="F265" s="29"/>
      <c r="G265" s="6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</row>
    <row r="266" spans="1:48" x14ac:dyDescent="0.25">
      <c r="A266" s="29"/>
      <c r="B266" s="29"/>
      <c r="C266" s="29"/>
      <c r="D266" s="29"/>
      <c r="E266" s="29"/>
      <c r="F266" s="29"/>
      <c r="G266" s="6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</row>
    <row r="267" spans="1:48" x14ac:dyDescent="0.25">
      <c r="A267" s="29"/>
      <c r="B267" s="29"/>
      <c r="C267" s="29"/>
      <c r="D267" s="29"/>
      <c r="E267" s="29"/>
      <c r="F267" s="29"/>
      <c r="G267" s="6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</row>
    <row r="268" spans="1:48" x14ac:dyDescent="0.25">
      <c r="A268" s="29"/>
      <c r="B268" s="29"/>
      <c r="C268" s="29"/>
      <c r="D268" s="29"/>
      <c r="E268" s="29"/>
      <c r="F268" s="29"/>
      <c r="G268" s="6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</row>
    <row r="269" spans="1:48" x14ac:dyDescent="0.25">
      <c r="A269" s="29"/>
      <c r="B269" s="29"/>
      <c r="C269" s="29"/>
      <c r="D269" s="29"/>
      <c r="E269" s="29"/>
      <c r="F269" s="29"/>
      <c r="G269" s="6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</row>
    <row r="270" spans="1:48" x14ac:dyDescent="0.25">
      <c r="A270" s="29"/>
      <c r="B270" s="29"/>
      <c r="C270" s="29"/>
      <c r="D270" s="29"/>
      <c r="E270" s="29"/>
      <c r="F270" s="29"/>
      <c r="G270" s="6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</row>
    <row r="271" spans="1:48" x14ac:dyDescent="0.25">
      <c r="A271" s="29"/>
      <c r="B271" s="29"/>
      <c r="C271" s="29"/>
      <c r="D271" s="29"/>
      <c r="E271" s="29"/>
      <c r="F271" s="29"/>
      <c r="G271" s="6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</row>
    <row r="272" spans="1:48" x14ac:dyDescent="0.25">
      <c r="A272" s="29"/>
      <c r="B272" s="29"/>
      <c r="C272" s="29"/>
      <c r="D272" s="29"/>
      <c r="E272" s="29"/>
      <c r="F272" s="29"/>
      <c r="G272" s="6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</row>
    <row r="273" spans="1:48" x14ac:dyDescent="0.25">
      <c r="A273" s="29"/>
      <c r="B273" s="29"/>
      <c r="C273" s="29"/>
      <c r="D273" s="29"/>
      <c r="E273" s="29"/>
      <c r="F273" s="29"/>
      <c r="G273" s="6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</row>
    <row r="274" spans="1:48" x14ac:dyDescent="0.25">
      <c r="A274" s="29"/>
      <c r="B274" s="29"/>
      <c r="C274" s="29"/>
      <c r="D274" s="29"/>
      <c r="E274" s="29"/>
      <c r="F274" s="29"/>
      <c r="G274" s="6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</row>
    <row r="275" spans="1:48" x14ac:dyDescent="0.25">
      <c r="A275" s="29"/>
      <c r="B275" s="29"/>
      <c r="C275" s="29"/>
      <c r="D275" s="29"/>
      <c r="E275" s="29"/>
      <c r="F275" s="29"/>
      <c r="G275" s="6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</row>
    <row r="276" spans="1:48" x14ac:dyDescent="0.25">
      <c r="A276" s="29"/>
      <c r="B276" s="29"/>
      <c r="C276" s="29"/>
      <c r="D276" s="29"/>
      <c r="E276" s="29"/>
      <c r="F276" s="29"/>
      <c r="G276" s="6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</row>
    <row r="277" spans="1:48" x14ac:dyDescent="0.25">
      <c r="A277" s="29"/>
      <c r="B277" s="29"/>
      <c r="C277" s="29"/>
      <c r="D277" s="29"/>
      <c r="E277" s="29"/>
      <c r="F277" s="29"/>
      <c r="G277" s="6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</row>
    <row r="278" spans="1:48" x14ac:dyDescent="0.25">
      <c r="A278" s="29"/>
      <c r="B278" s="29"/>
      <c r="C278" s="29"/>
      <c r="D278" s="29"/>
      <c r="E278" s="29"/>
      <c r="F278" s="29"/>
      <c r="G278" s="6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</row>
    <row r="279" spans="1:48" x14ac:dyDescent="0.25">
      <c r="A279" s="29"/>
      <c r="B279" s="29"/>
      <c r="C279" s="29"/>
      <c r="D279" s="29"/>
      <c r="E279" s="29"/>
      <c r="F279" s="29"/>
      <c r="G279" s="6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</row>
    <row r="280" spans="1:48" x14ac:dyDescent="0.25">
      <c r="A280" s="29"/>
      <c r="B280" s="29"/>
      <c r="C280" s="29"/>
      <c r="D280" s="29"/>
      <c r="E280" s="29"/>
      <c r="F280" s="29"/>
      <c r="G280" s="6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</row>
    <row r="281" spans="1:48" x14ac:dyDescent="0.25">
      <c r="A281" s="29"/>
      <c r="B281" s="29"/>
      <c r="C281" s="29"/>
      <c r="D281" s="29"/>
      <c r="E281" s="29"/>
      <c r="F281" s="29"/>
      <c r="G281" s="6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</row>
    <row r="282" spans="1:48" x14ac:dyDescent="0.25">
      <c r="A282" s="29"/>
      <c r="B282" s="29"/>
      <c r="C282" s="29"/>
      <c r="D282" s="29"/>
      <c r="E282" s="29"/>
      <c r="F282" s="29"/>
      <c r="G282" s="6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</row>
    <row r="283" spans="1:48" x14ac:dyDescent="0.25">
      <c r="A283" s="29"/>
      <c r="B283" s="29"/>
      <c r="C283" s="29"/>
      <c r="D283" s="29"/>
      <c r="E283" s="29"/>
      <c r="F283" s="29"/>
      <c r="G283" s="6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</row>
    <row r="284" spans="1:48" x14ac:dyDescent="0.25">
      <c r="A284" s="29"/>
      <c r="B284" s="29"/>
      <c r="C284" s="29"/>
      <c r="D284" s="29"/>
      <c r="E284" s="29"/>
      <c r="F284" s="29"/>
      <c r="G284" s="6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</row>
    <row r="285" spans="1:48" x14ac:dyDescent="0.25">
      <c r="A285" s="29"/>
      <c r="B285" s="29"/>
      <c r="C285" s="29"/>
      <c r="D285" s="29"/>
      <c r="E285" s="29"/>
      <c r="F285" s="29"/>
      <c r="G285" s="6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</row>
    <row r="286" spans="1:48" x14ac:dyDescent="0.25">
      <c r="A286" s="29"/>
      <c r="B286" s="29"/>
      <c r="C286" s="29"/>
      <c r="D286" s="29"/>
      <c r="E286" s="29"/>
      <c r="F286" s="29"/>
      <c r="G286" s="6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</row>
    <row r="287" spans="1:48" x14ac:dyDescent="0.25">
      <c r="A287" s="29"/>
      <c r="B287" s="29"/>
      <c r="C287" s="29"/>
      <c r="D287" s="29"/>
      <c r="E287" s="29"/>
      <c r="F287" s="29"/>
      <c r="G287" s="6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</row>
    <row r="288" spans="1:48" x14ac:dyDescent="0.25">
      <c r="A288" s="29"/>
      <c r="B288" s="29"/>
      <c r="C288" s="29"/>
      <c r="D288" s="29"/>
      <c r="E288" s="29"/>
      <c r="F288" s="29"/>
      <c r="G288" s="6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</row>
    <row r="289" spans="1:48" x14ac:dyDescent="0.25">
      <c r="A289" s="29"/>
      <c r="B289" s="29"/>
      <c r="C289" s="29"/>
      <c r="D289" s="29"/>
      <c r="E289" s="29"/>
      <c r="F289" s="29"/>
      <c r="G289" s="6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</row>
    <row r="290" spans="1:48" x14ac:dyDescent="0.25">
      <c r="A290" s="29"/>
      <c r="B290" s="29"/>
      <c r="C290" s="29"/>
      <c r="D290" s="29"/>
      <c r="E290" s="29"/>
      <c r="F290" s="29"/>
      <c r="G290" s="6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</row>
    <row r="291" spans="1:48" x14ac:dyDescent="0.25">
      <c r="A291" s="29"/>
      <c r="B291" s="29"/>
      <c r="C291" s="29"/>
      <c r="D291" s="29"/>
      <c r="E291" s="29"/>
      <c r="F291" s="29"/>
      <c r="G291" s="6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</row>
    <row r="292" spans="1:48" x14ac:dyDescent="0.25">
      <c r="A292" s="29"/>
      <c r="B292" s="29"/>
      <c r="C292" s="29"/>
      <c r="D292" s="29"/>
      <c r="E292" s="29"/>
      <c r="F292" s="29"/>
      <c r="G292" s="6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</row>
    <row r="293" spans="1:48" x14ac:dyDescent="0.25">
      <c r="A293" s="29"/>
      <c r="B293" s="29"/>
      <c r="C293" s="29"/>
      <c r="D293" s="29"/>
      <c r="E293" s="29"/>
      <c r="F293" s="29"/>
      <c r="G293" s="6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</row>
    <row r="294" spans="1:48" x14ac:dyDescent="0.25">
      <c r="A294" s="29"/>
      <c r="B294" s="29"/>
      <c r="C294" s="29"/>
      <c r="D294" s="29"/>
      <c r="E294" s="29"/>
      <c r="F294" s="29"/>
      <c r="G294" s="6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</row>
    <row r="295" spans="1:48" x14ac:dyDescent="0.25">
      <c r="A295" s="29"/>
      <c r="B295" s="29"/>
      <c r="C295" s="29"/>
      <c r="D295" s="29"/>
      <c r="E295" s="29"/>
      <c r="F295" s="29"/>
      <c r="G295" s="6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</row>
    <row r="296" spans="1:48" x14ac:dyDescent="0.25">
      <c r="A296" s="29"/>
      <c r="B296" s="29"/>
      <c r="C296" s="29"/>
      <c r="D296" s="29"/>
      <c r="E296" s="29"/>
      <c r="F296" s="29"/>
      <c r="G296" s="6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</row>
    <row r="297" spans="1:48" x14ac:dyDescent="0.25">
      <c r="A297" s="29"/>
      <c r="B297" s="29"/>
      <c r="C297" s="29"/>
      <c r="D297" s="29"/>
      <c r="E297" s="29"/>
      <c r="F297" s="29"/>
      <c r="G297" s="6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</row>
    <row r="298" spans="1:48" x14ac:dyDescent="0.25">
      <c r="A298" s="29"/>
      <c r="B298" s="29"/>
      <c r="C298" s="29"/>
      <c r="D298" s="29"/>
      <c r="E298" s="29"/>
      <c r="F298" s="29"/>
      <c r="G298" s="6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</row>
    <row r="299" spans="1:48" x14ac:dyDescent="0.25">
      <c r="A299" s="29"/>
      <c r="B299" s="29"/>
      <c r="C299" s="29"/>
      <c r="D299" s="29"/>
      <c r="E299" s="29"/>
      <c r="F299" s="29"/>
      <c r="G299" s="6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</row>
    <row r="300" spans="1:48" x14ac:dyDescent="0.25">
      <c r="A300" s="29"/>
      <c r="B300" s="29"/>
      <c r="C300" s="29"/>
      <c r="D300" s="29"/>
      <c r="E300" s="29"/>
      <c r="F300" s="29"/>
      <c r="G300" s="6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</row>
    <row r="301" spans="1:48" x14ac:dyDescent="0.25">
      <c r="A301" s="29"/>
      <c r="B301" s="29"/>
      <c r="C301" s="29"/>
      <c r="D301" s="29"/>
      <c r="E301" s="29"/>
      <c r="F301" s="29"/>
      <c r="G301" s="6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</row>
    <row r="302" spans="1:48" x14ac:dyDescent="0.25">
      <c r="A302" s="29"/>
      <c r="B302" s="29"/>
      <c r="C302" s="29"/>
      <c r="D302" s="29"/>
      <c r="E302" s="29"/>
      <c r="F302" s="29"/>
      <c r="G302" s="6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</row>
    <row r="303" spans="1:48" x14ac:dyDescent="0.25">
      <c r="A303" s="29"/>
      <c r="B303" s="29"/>
      <c r="C303" s="29"/>
      <c r="D303" s="29"/>
      <c r="E303" s="29"/>
      <c r="F303" s="29"/>
      <c r="G303" s="6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</row>
    <row r="304" spans="1:48" x14ac:dyDescent="0.25">
      <c r="A304" s="29"/>
      <c r="B304" s="29"/>
      <c r="C304" s="29"/>
      <c r="D304" s="29"/>
      <c r="E304" s="29"/>
      <c r="F304" s="29"/>
      <c r="G304" s="6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</row>
    <row r="305" spans="1:48" x14ac:dyDescent="0.25">
      <c r="A305" s="29"/>
      <c r="B305" s="29"/>
      <c r="C305" s="29"/>
      <c r="D305" s="29"/>
      <c r="E305" s="29"/>
      <c r="F305" s="29"/>
      <c r="G305" s="6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</row>
    <row r="306" spans="1:48" x14ac:dyDescent="0.25">
      <c r="A306" s="29"/>
      <c r="B306" s="29"/>
      <c r="C306" s="29"/>
      <c r="D306" s="29"/>
      <c r="E306" s="29"/>
      <c r="F306" s="29"/>
      <c r="G306" s="6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</row>
    <row r="307" spans="1:48" x14ac:dyDescent="0.25">
      <c r="A307" s="29"/>
      <c r="B307" s="29"/>
      <c r="C307" s="29"/>
      <c r="D307" s="29"/>
      <c r="E307" s="29"/>
      <c r="F307" s="29"/>
      <c r="G307" s="6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</row>
    <row r="308" spans="1:48" x14ac:dyDescent="0.25">
      <c r="A308" s="29"/>
      <c r="B308" s="29"/>
      <c r="C308" s="29"/>
      <c r="D308" s="29"/>
      <c r="E308" s="29"/>
      <c r="F308" s="29"/>
      <c r="G308" s="6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</row>
    <row r="309" spans="1:48" x14ac:dyDescent="0.25">
      <c r="A309" s="29"/>
      <c r="B309" s="29"/>
      <c r="C309" s="29"/>
      <c r="D309" s="29"/>
      <c r="E309" s="29"/>
      <c r="F309" s="29"/>
      <c r="G309" s="6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</row>
    <row r="310" spans="1:48" x14ac:dyDescent="0.25">
      <c r="A310" s="29"/>
      <c r="B310" s="29"/>
      <c r="C310" s="29"/>
      <c r="D310" s="29"/>
      <c r="E310" s="29"/>
      <c r="F310" s="29"/>
      <c r="G310" s="6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</row>
    <row r="311" spans="1:48" x14ac:dyDescent="0.25">
      <c r="A311" s="29"/>
      <c r="B311" s="29"/>
      <c r="C311" s="29"/>
      <c r="D311" s="29"/>
      <c r="E311" s="29"/>
      <c r="F311" s="29"/>
      <c r="G311" s="6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</row>
    <row r="312" spans="1:48" x14ac:dyDescent="0.25">
      <c r="A312" s="29"/>
      <c r="B312" s="29"/>
      <c r="C312" s="29"/>
      <c r="D312" s="29"/>
      <c r="E312" s="29"/>
      <c r="F312" s="29"/>
      <c r="G312" s="6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</row>
    <row r="313" spans="1:48" x14ac:dyDescent="0.25">
      <c r="A313" s="29"/>
      <c r="B313" s="29"/>
      <c r="C313" s="29"/>
      <c r="D313" s="29"/>
      <c r="E313" s="29"/>
      <c r="F313" s="29"/>
      <c r="G313" s="6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</row>
    <row r="314" spans="1:48" x14ac:dyDescent="0.25">
      <c r="A314" s="29"/>
      <c r="B314" s="29"/>
      <c r="C314" s="29"/>
      <c r="D314" s="29"/>
      <c r="E314" s="29"/>
      <c r="F314" s="29"/>
      <c r="G314" s="6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</row>
    <row r="315" spans="1:48" x14ac:dyDescent="0.25">
      <c r="A315" s="29"/>
      <c r="B315" s="29"/>
      <c r="C315" s="29"/>
      <c r="D315" s="29"/>
      <c r="E315" s="29"/>
      <c r="F315" s="29"/>
      <c r="G315" s="6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</row>
    <row r="316" spans="1:48" x14ac:dyDescent="0.25">
      <c r="A316" s="29"/>
      <c r="B316" s="29"/>
      <c r="C316" s="29"/>
      <c r="D316" s="29"/>
      <c r="E316" s="29"/>
      <c r="F316" s="29"/>
      <c r="G316" s="6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</row>
    <row r="317" spans="1:48" x14ac:dyDescent="0.25">
      <c r="A317" s="29"/>
      <c r="B317" s="29"/>
      <c r="C317" s="29"/>
      <c r="D317" s="29"/>
      <c r="E317" s="29"/>
      <c r="F317" s="29"/>
      <c r="G317" s="6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</row>
    <row r="318" spans="1:48" x14ac:dyDescent="0.25">
      <c r="A318" s="29"/>
      <c r="B318" s="29"/>
      <c r="C318" s="29"/>
      <c r="D318" s="29"/>
      <c r="E318" s="29"/>
      <c r="F318" s="29"/>
      <c r="G318" s="6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</row>
    <row r="319" spans="1:48" x14ac:dyDescent="0.25">
      <c r="A319" s="29"/>
      <c r="B319" s="29"/>
      <c r="C319" s="29"/>
      <c r="D319" s="29"/>
      <c r="E319" s="29"/>
      <c r="F319" s="29"/>
      <c r="G319" s="6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</row>
    <row r="320" spans="1:48" x14ac:dyDescent="0.25">
      <c r="A320" s="29"/>
      <c r="B320" s="29"/>
      <c r="C320" s="29"/>
      <c r="D320" s="29"/>
      <c r="E320" s="29"/>
      <c r="F320" s="29"/>
      <c r="G320" s="6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</row>
    <row r="321" spans="1:48" x14ac:dyDescent="0.25">
      <c r="A321" s="29"/>
      <c r="B321" s="29"/>
      <c r="C321" s="29"/>
      <c r="D321" s="29"/>
      <c r="E321" s="29"/>
      <c r="F321" s="29"/>
      <c r="G321" s="6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</row>
    <row r="322" spans="1:48" x14ac:dyDescent="0.25">
      <c r="A322" s="29"/>
      <c r="B322" s="29"/>
      <c r="C322" s="29"/>
      <c r="D322" s="29"/>
      <c r="E322" s="29"/>
      <c r="F322" s="29"/>
      <c r="G322" s="6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</row>
    <row r="323" spans="1:48" x14ac:dyDescent="0.25">
      <c r="A323" s="29"/>
      <c r="B323" s="29"/>
      <c r="C323" s="29"/>
      <c r="D323" s="29"/>
      <c r="E323" s="29"/>
      <c r="F323" s="29"/>
      <c r="G323" s="6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</row>
    <row r="324" spans="1:48" x14ac:dyDescent="0.25">
      <c r="A324" s="29"/>
      <c r="B324" s="29"/>
      <c r="C324" s="29"/>
      <c r="D324" s="29"/>
      <c r="E324" s="29"/>
      <c r="F324" s="29"/>
      <c r="G324" s="6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</row>
    <row r="325" spans="1:48" x14ac:dyDescent="0.25">
      <c r="A325" s="29"/>
      <c r="B325" s="29"/>
      <c r="C325" s="29"/>
      <c r="D325" s="29"/>
      <c r="E325" s="29"/>
      <c r="F325" s="29"/>
      <c r="G325" s="6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</row>
    <row r="326" spans="1:48" x14ac:dyDescent="0.25">
      <c r="A326" s="29"/>
      <c r="B326" s="29"/>
      <c r="C326" s="29"/>
      <c r="D326" s="29"/>
      <c r="E326" s="29"/>
      <c r="F326" s="29"/>
      <c r="G326" s="6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</row>
    <row r="327" spans="1:48" x14ac:dyDescent="0.25">
      <c r="A327" s="29"/>
      <c r="B327" s="29"/>
      <c r="C327" s="29"/>
      <c r="D327" s="29"/>
      <c r="E327" s="29"/>
      <c r="F327" s="29"/>
      <c r="G327" s="6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</row>
    <row r="328" spans="1:48" x14ac:dyDescent="0.25">
      <c r="A328" s="29"/>
      <c r="B328" s="29"/>
      <c r="C328" s="29"/>
      <c r="D328" s="29"/>
      <c r="E328" s="29"/>
      <c r="F328" s="29"/>
      <c r="G328" s="6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</row>
    <row r="329" spans="1:48" x14ac:dyDescent="0.25">
      <c r="A329" s="29"/>
      <c r="B329" s="29"/>
      <c r="C329" s="29"/>
      <c r="D329" s="29"/>
      <c r="E329" s="29"/>
      <c r="F329" s="29"/>
      <c r="G329" s="6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</row>
    <row r="330" spans="1:48" x14ac:dyDescent="0.25">
      <c r="A330" s="29"/>
      <c r="B330" s="29"/>
      <c r="C330" s="29"/>
      <c r="D330" s="29"/>
      <c r="E330" s="29"/>
      <c r="F330" s="29"/>
      <c r="G330" s="6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</row>
    <row r="331" spans="1:48" x14ac:dyDescent="0.25">
      <c r="A331" s="29"/>
      <c r="B331" s="29"/>
      <c r="C331" s="29"/>
      <c r="D331" s="29"/>
      <c r="E331" s="29"/>
      <c r="F331" s="29"/>
      <c r="G331" s="6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</row>
    <row r="332" spans="1:48" x14ac:dyDescent="0.25">
      <c r="A332" s="29"/>
      <c r="B332" s="29"/>
      <c r="C332" s="29"/>
      <c r="D332" s="29"/>
      <c r="E332" s="29"/>
      <c r="F332" s="29"/>
      <c r="G332" s="6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</row>
    <row r="333" spans="1:48" x14ac:dyDescent="0.25">
      <c r="A333" s="29"/>
      <c r="B333" s="29"/>
      <c r="C333" s="29"/>
      <c r="D333" s="29"/>
      <c r="E333" s="29"/>
      <c r="F333" s="29"/>
      <c r="G333" s="6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</row>
    <row r="334" spans="1:48" x14ac:dyDescent="0.25">
      <c r="A334" s="29"/>
      <c r="B334" s="29"/>
      <c r="C334" s="29"/>
      <c r="D334" s="29"/>
      <c r="E334" s="29"/>
      <c r="F334" s="29"/>
      <c r="G334" s="6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</row>
    <row r="335" spans="1:48" x14ac:dyDescent="0.25">
      <c r="A335" s="29"/>
      <c r="B335" s="29"/>
      <c r="C335" s="29"/>
      <c r="D335" s="29"/>
      <c r="E335" s="29"/>
      <c r="F335" s="29"/>
      <c r="G335" s="6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</row>
    <row r="336" spans="1:48" x14ac:dyDescent="0.25">
      <c r="A336" s="29"/>
      <c r="B336" s="29"/>
      <c r="C336" s="29"/>
      <c r="D336" s="29"/>
      <c r="E336" s="29"/>
      <c r="F336" s="29"/>
      <c r="G336" s="6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</row>
    <row r="337" spans="1:48" x14ac:dyDescent="0.25">
      <c r="A337" s="29"/>
      <c r="B337" s="29"/>
      <c r="C337" s="29"/>
      <c r="D337" s="29"/>
      <c r="E337" s="29"/>
      <c r="F337" s="29"/>
      <c r="G337" s="6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</row>
    <row r="338" spans="1:48" x14ac:dyDescent="0.25">
      <c r="A338" s="29"/>
      <c r="B338" s="29"/>
      <c r="C338" s="29"/>
      <c r="D338" s="29"/>
      <c r="E338" s="29"/>
      <c r="F338" s="29"/>
      <c r="G338" s="6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</row>
    <row r="339" spans="1:48" x14ac:dyDescent="0.25">
      <c r="A339" s="29"/>
      <c r="B339" s="29"/>
      <c r="C339" s="29"/>
      <c r="D339" s="29"/>
      <c r="E339" s="29"/>
      <c r="F339" s="29"/>
      <c r="G339" s="6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</row>
    <row r="340" spans="1:48" x14ac:dyDescent="0.25">
      <c r="A340" s="29"/>
      <c r="B340" s="29"/>
      <c r="C340" s="29"/>
      <c r="D340" s="29"/>
      <c r="E340" s="29"/>
      <c r="F340" s="29"/>
      <c r="G340" s="6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</row>
    <row r="341" spans="1:48" x14ac:dyDescent="0.25">
      <c r="A341" s="29"/>
      <c r="B341" s="29"/>
      <c r="C341" s="29"/>
      <c r="D341" s="29"/>
      <c r="E341" s="29"/>
      <c r="F341" s="29"/>
      <c r="G341" s="6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</row>
    <row r="342" spans="1:48" x14ac:dyDescent="0.25">
      <c r="A342" s="29"/>
      <c r="B342" s="29"/>
      <c r="C342" s="29"/>
      <c r="D342" s="29"/>
      <c r="E342" s="29"/>
      <c r="F342" s="29"/>
      <c r="G342" s="6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</row>
    <row r="343" spans="1:48" x14ac:dyDescent="0.25">
      <c r="A343" s="29"/>
      <c r="B343" s="29"/>
      <c r="C343" s="29"/>
      <c r="D343" s="29"/>
      <c r="E343" s="29"/>
      <c r="F343" s="29"/>
      <c r="G343" s="6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</row>
    <row r="344" spans="1:48" x14ac:dyDescent="0.25">
      <c r="A344" s="29"/>
      <c r="B344" s="29"/>
      <c r="C344" s="29"/>
      <c r="D344" s="29"/>
      <c r="E344" s="29"/>
      <c r="F344" s="29"/>
      <c r="G344" s="6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</row>
    <row r="345" spans="1:48" x14ac:dyDescent="0.25">
      <c r="A345" s="29"/>
      <c r="B345" s="29"/>
      <c r="C345" s="29"/>
      <c r="D345" s="29"/>
      <c r="E345" s="29"/>
      <c r="F345" s="29"/>
      <c r="G345" s="6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</row>
    <row r="346" spans="1:48" x14ac:dyDescent="0.25">
      <c r="A346" s="29"/>
      <c r="B346" s="29"/>
      <c r="C346" s="29"/>
      <c r="D346" s="29"/>
      <c r="E346" s="29"/>
      <c r="F346" s="29"/>
      <c r="G346" s="6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</row>
    <row r="347" spans="1:48" x14ac:dyDescent="0.25">
      <c r="A347" s="29"/>
      <c r="B347" s="29"/>
      <c r="C347" s="29"/>
      <c r="D347" s="29"/>
      <c r="E347" s="29"/>
      <c r="F347" s="29"/>
      <c r="G347" s="6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</row>
    <row r="348" spans="1:48" x14ac:dyDescent="0.25">
      <c r="A348" s="29"/>
      <c r="B348" s="29"/>
      <c r="C348" s="29"/>
      <c r="D348" s="29"/>
      <c r="E348" s="29"/>
      <c r="F348" s="29"/>
      <c r="G348" s="6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</row>
    <row r="349" spans="1:48" x14ac:dyDescent="0.25">
      <c r="A349" s="29"/>
      <c r="B349" s="29"/>
      <c r="C349" s="29"/>
      <c r="D349" s="29"/>
      <c r="E349" s="29"/>
      <c r="F349" s="29"/>
      <c r="G349" s="6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</row>
    <row r="350" spans="1:48" x14ac:dyDescent="0.25">
      <c r="A350" s="29"/>
      <c r="B350" s="29"/>
      <c r="C350" s="29"/>
      <c r="D350" s="29"/>
      <c r="E350" s="29"/>
      <c r="F350" s="29"/>
      <c r="G350" s="6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</row>
    <row r="351" spans="1:48" x14ac:dyDescent="0.25">
      <c r="A351" s="29"/>
      <c r="B351" s="29"/>
      <c r="C351" s="29"/>
      <c r="D351" s="29"/>
      <c r="E351" s="29"/>
      <c r="F351" s="29"/>
      <c r="G351" s="6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</row>
    <row r="352" spans="1:48" x14ac:dyDescent="0.25">
      <c r="A352" s="29"/>
      <c r="B352" s="29"/>
      <c r="C352" s="29"/>
      <c r="D352" s="29"/>
      <c r="E352" s="29"/>
      <c r="F352" s="29"/>
      <c r="G352" s="6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</row>
    <row r="353" spans="1:48" x14ac:dyDescent="0.25">
      <c r="A353" s="29"/>
      <c r="B353" s="29"/>
      <c r="C353" s="29"/>
      <c r="D353" s="29"/>
      <c r="E353" s="29"/>
      <c r="F353" s="29"/>
      <c r="G353" s="6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</row>
    <row r="354" spans="1:48" x14ac:dyDescent="0.25">
      <c r="A354" s="29"/>
      <c r="B354" s="29"/>
      <c r="C354" s="29"/>
      <c r="D354" s="29"/>
      <c r="E354" s="29"/>
      <c r="F354" s="29"/>
      <c r="G354" s="6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</row>
    <row r="355" spans="1:48" x14ac:dyDescent="0.25">
      <c r="A355" s="29"/>
      <c r="B355" s="29"/>
      <c r="C355" s="29"/>
      <c r="D355" s="29"/>
      <c r="E355" s="29"/>
      <c r="F355" s="29"/>
      <c r="G355" s="6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</row>
    <row r="356" spans="1:48" x14ac:dyDescent="0.25">
      <c r="A356" s="29"/>
      <c r="B356" s="29"/>
      <c r="C356" s="29"/>
      <c r="D356" s="29"/>
      <c r="E356" s="29"/>
      <c r="F356" s="29"/>
      <c r="G356" s="6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</row>
    <row r="357" spans="1:48" x14ac:dyDescent="0.25">
      <c r="A357" s="29"/>
      <c r="B357" s="29"/>
      <c r="C357" s="29"/>
      <c r="D357" s="29"/>
      <c r="E357" s="29"/>
      <c r="F357" s="29"/>
      <c r="G357" s="6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</row>
    <row r="358" spans="1:48" x14ac:dyDescent="0.25">
      <c r="A358" s="29"/>
      <c r="B358" s="29"/>
      <c r="C358" s="29"/>
      <c r="D358" s="29"/>
      <c r="E358" s="29"/>
      <c r="F358" s="29"/>
      <c r="G358" s="6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</row>
    <row r="359" spans="1:48" x14ac:dyDescent="0.25">
      <c r="A359" s="29"/>
      <c r="B359" s="29"/>
      <c r="C359" s="29"/>
      <c r="D359" s="29"/>
      <c r="E359" s="29"/>
      <c r="F359" s="29"/>
      <c r="G359" s="6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</row>
    <row r="360" spans="1:48" x14ac:dyDescent="0.25">
      <c r="A360" s="29"/>
      <c r="B360" s="29"/>
      <c r="C360" s="29"/>
      <c r="D360" s="29"/>
      <c r="E360" s="29"/>
      <c r="F360" s="29"/>
      <c r="G360" s="6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</row>
    <row r="361" spans="1:48" x14ac:dyDescent="0.25">
      <c r="A361" s="29"/>
      <c r="B361" s="29"/>
      <c r="C361" s="29"/>
      <c r="D361" s="29"/>
      <c r="E361" s="29"/>
      <c r="F361" s="29"/>
      <c r="G361" s="6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</row>
    <row r="362" spans="1:48" x14ac:dyDescent="0.25">
      <c r="A362" s="29"/>
      <c r="B362" s="29"/>
      <c r="C362" s="29"/>
      <c r="D362" s="29"/>
      <c r="E362" s="29"/>
      <c r="F362" s="29"/>
      <c r="G362" s="6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</row>
    <row r="363" spans="1:48" x14ac:dyDescent="0.25">
      <c r="A363" s="29"/>
      <c r="B363" s="29"/>
      <c r="C363" s="29"/>
      <c r="D363" s="29"/>
      <c r="E363" s="29"/>
      <c r="F363" s="29"/>
      <c r="G363" s="6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</row>
    <row r="364" spans="1:48" x14ac:dyDescent="0.25">
      <c r="A364" s="29"/>
      <c r="B364" s="29"/>
      <c r="C364" s="29"/>
      <c r="D364" s="29"/>
      <c r="E364" s="29"/>
      <c r="F364" s="29"/>
      <c r="G364" s="6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</row>
    <row r="365" spans="1:48" x14ac:dyDescent="0.25">
      <c r="A365" s="29"/>
      <c r="B365" s="29"/>
      <c r="C365" s="29"/>
      <c r="D365" s="29"/>
      <c r="E365" s="29"/>
      <c r="F365" s="29"/>
      <c r="G365" s="6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</row>
    <row r="366" spans="1:48" x14ac:dyDescent="0.25">
      <c r="A366" s="29"/>
      <c r="B366" s="29"/>
      <c r="C366" s="29"/>
      <c r="D366" s="29"/>
      <c r="E366" s="29"/>
      <c r="F366" s="29"/>
      <c r="G366" s="6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</row>
    <row r="367" spans="1:48" x14ac:dyDescent="0.25">
      <c r="A367" s="29"/>
      <c r="B367" s="29"/>
      <c r="C367" s="29"/>
      <c r="D367" s="29"/>
      <c r="E367" s="29"/>
      <c r="F367" s="29"/>
      <c r="G367" s="6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</row>
    <row r="368" spans="1:48" x14ac:dyDescent="0.25">
      <c r="A368" s="29"/>
      <c r="B368" s="29"/>
      <c r="C368" s="29"/>
      <c r="D368" s="29"/>
      <c r="E368" s="29"/>
      <c r="F368" s="29"/>
      <c r="G368" s="6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</row>
    <row r="369" spans="1:48" x14ac:dyDescent="0.25">
      <c r="A369" s="29"/>
      <c r="B369" s="29"/>
      <c r="C369" s="29"/>
      <c r="D369" s="29"/>
      <c r="E369" s="29"/>
      <c r="F369" s="29"/>
      <c r="G369" s="6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</row>
    <row r="370" spans="1:48" x14ac:dyDescent="0.25">
      <c r="A370" s="29"/>
      <c r="B370" s="29"/>
      <c r="C370" s="29"/>
      <c r="D370" s="29"/>
      <c r="E370" s="29"/>
      <c r="F370" s="29"/>
      <c r="G370" s="6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</row>
    <row r="371" spans="1:48" x14ac:dyDescent="0.25">
      <c r="A371" s="29"/>
      <c r="B371" s="29"/>
      <c r="C371" s="29"/>
      <c r="D371" s="29"/>
      <c r="E371" s="29"/>
      <c r="F371" s="29"/>
      <c r="G371" s="6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</row>
    <row r="372" spans="1:48" x14ac:dyDescent="0.25">
      <c r="A372" s="29"/>
      <c r="B372" s="29"/>
      <c r="C372" s="29"/>
      <c r="D372" s="29"/>
      <c r="E372" s="29"/>
      <c r="F372" s="29"/>
      <c r="G372" s="6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</row>
    <row r="373" spans="1:48" x14ac:dyDescent="0.25">
      <c r="A373" s="29"/>
      <c r="B373" s="29"/>
      <c r="C373" s="29"/>
      <c r="D373" s="29"/>
      <c r="E373" s="29"/>
      <c r="F373" s="29"/>
      <c r="G373" s="6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</row>
    <row r="374" spans="1:48" x14ac:dyDescent="0.25">
      <c r="A374" s="29"/>
      <c r="B374" s="29"/>
      <c r="C374" s="29"/>
      <c r="D374" s="29"/>
      <c r="E374" s="29"/>
      <c r="F374" s="29"/>
      <c r="G374" s="6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</row>
    <row r="375" spans="1:48" x14ac:dyDescent="0.25">
      <c r="A375" s="29"/>
      <c r="B375" s="29"/>
      <c r="C375" s="29"/>
      <c r="D375" s="29"/>
      <c r="E375" s="29"/>
      <c r="F375" s="29"/>
      <c r="G375" s="6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</row>
    <row r="376" spans="1:48" x14ac:dyDescent="0.25">
      <c r="A376" s="29"/>
      <c r="B376" s="29"/>
      <c r="C376" s="29"/>
      <c r="D376" s="29"/>
      <c r="E376" s="29"/>
      <c r="F376" s="29"/>
      <c r="G376" s="6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</row>
    <row r="377" spans="1:48" x14ac:dyDescent="0.25">
      <c r="A377" s="29"/>
      <c r="B377" s="29"/>
      <c r="C377" s="29"/>
      <c r="D377" s="29"/>
      <c r="E377" s="29"/>
      <c r="F377" s="29"/>
      <c r="G377" s="6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</row>
    <row r="378" spans="1:48" x14ac:dyDescent="0.25">
      <c r="A378" s="29"/>
      <c r="B378" s="29"/>
      <c r="C378" s="29"/>
      <c r="D378" s="29"/>
      <c r="E378" s="29"/>
      <c r="F378" s="29"/>
      <c r="G378" s="6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</row>
    <row r="379" spans="1:48" x14ac:dyDescent="0.25">
      <c r="A379" s="29"/>
      <c r="B379" s="29"/>
      <c r="C379" s="29"/>
      <c r="D379" s="29"/>
      <c r="E379" s="29"/>
      <c r="F379" s="29"/>
      <c r="G379" s="6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</row>
    <row r="380" spans="1:48" x14ac:dyDescent="0.25">
      <c r="A380" s="29"/>
      <c r="B380" s="29"/>
      <c r="C380" s="29"/>
      <c r="D380" s="29"/>
      <c r="E380" s="29"/>
      <c r="F380" s="29"/>
      <c r="G380" s="6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</row>
    <row r="381" spans="1:48" x14ac:dyDescent="0.25">
      <c r="A381" s="29"/>
      <c r="B381" s="29"/>
      <c r="C381" s="29"/>
      <c r="D381" s="29"/>
      <c r="E381" s="29"/>
      <c r="F381" s="29"/>
      <c r="G381" s="6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</row>
    <row r="382" spans="1:48" x14ac:dyDescent="0.25">
      <c r="A382" s="29"/>
      <c r="B382" s="29"/>
      <c r="C382" s="29"/>
      <c r="D382" s="29"/>
      <c r="E382" s="29"/>
      <c r="F382" s="29"/>
      <c r="G382" s="6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</row>
    <row r="383" spans="1:48" x14ac:dyDescent="0.25">
      <c r="A383" s="29"/>
      <c r="B383" s="29"/>
      <c r="C383" s="29"/>
      <c r="D383" s="29"/>
      <c r="E383" s="29"/>
      <c r="F383" s="29"/>
      <c r="G383" s="6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</row>
    <row r="384" spans="1:48" x14ac:dyDescent="0.25">
      <c r="A384" s="29"/>
      <c r="B384" s="29"/>
      <c r="C384" s="29"/>
      <c r="D384" s="29"/>
      <c r="E384" s="29"/>
      <c r="F384" s="29"/>
      <c r="G384" s="6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</row>
    <row r="385" spans="1:48" x14ac:dyDescent="0.25">
      <c r="A385" s="29"/>
      <c r="B385" s="29"/>
      <c r="C385" s="29"/>
      <c r="D385" s="29"/>
      <c r="E385" s="29"/>
      <c r="F385" s="29"/>
      <c r="G385" s="6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</row>
    <row r="386" spans="1:48" x14ac:dyDescent="0.25">
      <c r="A386" s="29"/>
      <c r="B386" s="29"/>
      <c r="C386" s="29"/>
      <c r="D386" s="29"/>
      <c r="E386" s="29"/>
      <c r="F386" s="29"/>
      <c r="G386" s="6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</row>
    <row r="387" spans="1:48" x14ac:dyDescent="0.25">
      <c r="A387" s="29"/>
      <c r="B387" s="29"/>
      <c r="C387" s="29"/>
      <c r="D387" s="29"/>
      <c r="E387" s="29"/>
      <c r="F387" s="29"/>
      <c r="G387" s="6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</row>
    <row r="388" spans="1:48" x14ac:dyDescent="0.25">
      <c r="A388" s="29"/>
      <c r="B388" s="29"/>
      <c r="C388" s="29"/>
      <c r="D388" s="29"/>
      <c r="E388" s="29"/>
      <c r="F388" s="29"/>
      <c r="G388" s="6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</row>
    <row r="389" spans="1:48" x14ac:dyDescent="0.25">
      <c r="A389" s="29"/>
      <c r="B389" s="29"/>
      <c r="C389" s="29"/>
      <c r="D389" s="29"/>
      <c r="E389" s="29"/>
      <c r="F389" s="29"/>
      <c r="G389" s="6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</row>
    <row r="390" spans="1:48" x14ac:dyDescent="0.25">
      <c r="A390" s="29"/>
      <c r="B390" s="29"/>
      <c r="C390" s="29"/>
      <c r="D390" s="29"/>
      <c r="E390" s="29"/>
      <c r="F390" s="29"/>
      <c r="G390" s="6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</row>
    <row r="391" spans="1:48" x14ac:dyDescent="0.25">
      <c r="A391" s="29"/>
      <c r="B391" s="29"/>
      <c r="C391" s="29"/>
      <c r="D391" s="29"/>
      <c r="E391" s="29"/>
      <c r="F391" s="29"/>
      <c r="G391" s="6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</row>
    <row r="392" spans="1:48" x14ac:dyDescent="0.25">
      <c r="A392" s="29"/>
      <c r="B392" s="29"/>
      <c r="C392" s="29"/>
      <c r="D392" s="29"/>
      <c r="E392" s="29"/>
      <c r="F392" s="29"/>
      <c r="G392" s="6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</row>
    <row r="393" spans="1:48" x14ac:dyDescent="0.25">
      <c r="A393" s="29"/>
      <c r="B393" s="29"/>
      <c r="C393" s="29"/>
      <c r="D393" s="29"/>
      <c r="E393" s="29"/>
      <c r="F393" s="29"/>
      <c r="G393" s="6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</row>
    <row r="394" spans="1:48" x14ac:dyDescent="0.25">
      <c r="A394" s="29"/>
      <c r="B394" s="29"/>
      <c r="C394" s="29"/>
      <c r="D394" s="29"/>
      <c r="E394" s="29"/>
      <c r="F394" s="29"/>
      <c r="G394" s="6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</row>
    <row r="395" spans="1:48" x14ac:dyDescent="0.25">
      <c r="A395" s="29"/>
      <c r="B395" s="29"/>
      <c r="C395" s="29"/>
      <c r="D395" s="29"/>
      <c r="E395" s="29"/>
      <c r="F395" s="29"/>
      <c r="G395" s="6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</row>
    <row r="396" spans="1:48" x14ac:dyDescent="0.25">
      <c r="A396" s="29"/>
      <c r="B396" s="29"/>
      <c r="C396" s="29"/>
      <c r="D396" s="29"/>
      <c r="E396" s="29"/>
      <c r="F396" s="29"/>
      <c r="G396" s="6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</row>
    <row r="397" spans="1:48" x14ac:dyDescent="0.25">
      <c r="A397" s="29"/>
      <c r="B397" s="29"/>
      <c r="C397" s="29"/>
      <c r="D397" s="29"/>
      <c r="E397" s="29"/>
      <c r="F397" s="29"/>
      <c r="G397" s="6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</row>
    <row r="398" spans="1:48" x14ac:dyDescent="0.25">
      <c r="A398" s="29"/>
      <c r="B398" s="29"/>
      <c r="C398" s="29"/>
      <c r="D398" s="29"/>
      <c r="E398" s="29"/>
      <c r="F398" s="29"/>
      <c r="G398" s="6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</row>
    <row r="399" spans="1:48" x14ac:dyDescent="0.25">
      <c r="A399" s="29"/>
      <c r="B399" s="29"/>
      <c r="C399" s="29"/>
      <c r="D399" s="29"/>
      <c r="E399" s="29"/>
      <c r="F399" s="29"/>
      <c r="G399" s="6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</row>
    <row r="400" spans="1:48" x14ac:dyDescent="0.25">
      <c r="A400" s="29"/>
      <c r="B400" s="29"/>
      <c r="C400" s="29"/>
      <c r="D400" s="29"/>
      <c r="E400" s="29"/>
      <c r="F400" s="29"/>
      <c r="G400" s="6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</row>
    <row r="401" spans="1:48" x14ac:dyDescent="0.25">
      <c r="A401" s="29"/>
      <c r="B401" s="29"/>
      <c r="C401" s="29"/>
      <c r="D401" s="29"/>
      <c r="E401" s="29"/>
      <c r="F401" s="29"/>
      <c r="G401" s="6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</row>
    <row r="402" spans="1:48" x14ac:dyDescent="0.25">
      <c r="A402" s="29"/>
      <c r="B402" s="29"/>
      <c r="C402" s="29"/>
      <c r="D402" s="29"/>
      <c r="E402" s="29"/>
      <c r="F402" s="29"/>
      <c r="G402" s="6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</row>
    <row r="403" spans="1:48" x14ac:dyDescent="0.25">
      <c r="A403" s="29"/>
      <c r="B403" s="29"/>
      <c r="C403" s="29"/>
      <c r="D403" s="29"/>
      <c r="E403" s="29"/>
      <c r="F403" s="29"/>
      <c r="G403" s="6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</row>
    <row r="404" spans="1:48" x14ac:dyDescent="0.25">
      <c r="A404" s="29"/>
      <c r="B404" s="29"/>
      <c r="C404" s="29"/>
      <c r="D404" s="29"/>
      <c r="E404" s="29"/>
      <c r="F404" s="29"/>
      <c r="G404" s="6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</row>
    <row r="405" spans="1:48" x14ac:dyDescent="0.25">
      <c r="A405" s="29"/>
      <c r="B405" s="29"/>
      <c r="C405" s="29"/>
      <c r="D405" s="29"/>
      <c r="E405" s="29"/>
      <c r="F405" s="29"/>
      <c r="G405" s="6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</row>
    <row r="406" spans="1:48" x14ac:dyDescent="0.25">
      <c r="A406" s="29"/>
      <c r="B406" s="29"/>
      <c r="C406" s="29"/>
      <c r="D406" s="29"/>
      <c r="E406" s="29"/>
      <c r="F406" s="29"/>
      <c r="G406" s="6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</row>
    <row r="407" spans="1:48" x14ac:dyDescent="0.25">
      <c r="A407" s="29"/>
      <c r="B407" s="29"/>
      <c r="C407" s="29"/>
      <c r="D407" s="29"/>
      <c r="E407" s="29"/>
      <c r="F407" s="29"/>
      <c r="G407" s="6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</row>
    <row r="408" spans="1:48" x14ac:dyDescent="0.25">
      <c r="A408" s="29"/>
      <c r="B408" s="29"/>
      <c r="C408" s="29"/>
      <c r="D408" s="29"/>
      <c r="E408" s="29"/>
      <c r="F408" s="29"/>
      <c r="G408" s="6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</row>
    <row r="409" spans="1:48" x14ac:dyDescent="0.25">
      <c r="A409" s="29"/>
      <c r="B409" s="29"/>
      <c r="C409" s="29"/>
      <c r="D409" s="29"/>
      <c r="E409" s="29"/>
      <c r="F409" s="29"/>
      <c r="G409" s="6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</row>
    <row r="410" spans="1:48" x14ac:dyDescent="0.25">
      <c r="A410" s="29"/>
      <c r="B410" s="29"/>
      <c r="C410" s="29"/>
      <c r="D410" s="29"/>
      <c r="E410" s="29"/>
      <c r="F410" s="29"/>
      <c r="G410" s="6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</row>
    <row r="411" spans="1:48" x14ac:dyDescent="0.25">
      <c r="A411" s="29"/>
      <c r="B411" s="29"/>
      <c r="C411" s="29"/>
      <c r="D411" s="29"/>
      <c r="E411" s="29"/>
      <c r="F411" s="29"/>
      <c r="G411" s="6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</row>
    <row r="412" spans="1:48" x14ac:dyDescent="0.25">
      <c r="A412" s="29"/>
      <c r="B412" s="29"/>
      <c r="C412" s="29"/>
      <c r="D412" s="29"/>
      <c r="E412" s="29"/>
      <c r="F412" s="29"/>
      <c r="G412" s="6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</row>
    <row r="413" spans="1:48" x14ac:dyDescent="0.25">
      <c r="A413" s="29"/>
      <c r="B413" s="29"/>
      <c r="C413" s="29"/>
      <c r="D413" s="29"/>
      <c r="E413" s="29"/>
      <c r="F413" s="29"/>
      <c r="G413" s="6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</row>
    <row r="414" spans="1:48" x14ac:dyDescent="0.25">
      <c r="A414" s="29"/>
      <c r="B414" s="29"/>
      <c r="C414" s="29"/>
      <c r="D414" s="29"/>
      <c r="E414" s="29"/>
      <c r="F414" s="29"/>
      <c r="G414" s="6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</row>
    <row r="415" spans="1:48" x14ac:dyDescent="0.25">
      <c r="A415" s="29"/>
      <c r="B415" s="29"/>
      <c r="C415" s="29"/>
      <c r="D415" s="29"/>
      <c r="E415" s="29"/>
      <c r="F415" s="29"/>
      <c r="G415" s="6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</row>
    <row r="416" spans="1:48" x14ac:dyDescent="0.25">
      <c r="A416" s="29"/>
      <c r="B416" s="29"/>
      <c r="C416" s="29"/>
      <c r="D416" s="29"/>
      <c r="E416" s="29"/>
      <c r="F416" s="29"/>
      <c r="G416" s="6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</row>
    <row r="417" spans="1:48" x14ac:dyDescent="0.25">
      <c r="A417" s="29"/>
      <c r="B417" s="29"/>
      <c r="C417" s="29"/>
      <c r="D417" s="29"/>
      <c r="E417" s="29"/>
      <c r="F417" s="29"/>
      <c r="G417" s="6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</row>
    <row r="418" spans="1:48" x14ac:dyDescent="0.25">
      <c r="A418" s="29"/>
      <c r="B418" s="29"/>
      <c r="C418" s="29"/>
      <c r="D418" s="29"/>
      <c r="E418" s="29"/>
      <c r="F418" s="29"/>
      <c r="G418" s="6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</row>
    <row r="419" spans="1:48" x14ac:dyDescent="0.25">
      <c r="A419" s="29"/>
      <c r="B419" s="29"/>
      <c r="C419" s="29"/>
      <c r="D419" s="29"/>
      <c r="E419" s="29"/>
      <c r="F419" s="29"/>
      <c r="G419" s="6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</row>
    <row r="420" spans="1:48" x14ac:dyDescent="0.25">
      <c r="A420" s="29"/>
      <c r="B420" s="29"/>
      <c r="C420" s="29"/>
      <c r="D420" s="29"/>
      <c r="E420" s="29"/>
      <c r="F420" s="29"/>
      <c r="G420" s="6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</row>
    <row r="421" spans="1:48" x14ac:dyDescent="0.25">
      <c r="A421" s="29"/>
      <c r="B421" s="29"/>
      <c r="C421" s="29"/>
      <c r="D421" s="29"/>
      <c r="E421" s="29"/>
      <c r="F421" s="29"/>
      <c r="G421" s="6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</row>
    <row r="422" spans="1:48" x14ac:dyDescent="0.25">
      <c r="A422" s="29"/>
      <c r="B422" s="29"/>
      <c r="C422" s="29"/>
      <c r="D422" s="29"/>
      <c r="E422" s="29"/>
      <c r="F422" s="29"/>
      <c r="G422" s="6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</row>
    <row r="423" spans="1:48" x14ac:dyDescent="0.25">
      <c r="A423" s="29"/>
      <c r="B423" s="29"/>
      <c r="C423" s="29"/>
      <c r="D423" s="29"/>
      <c r="E423" s="29"/>
      <c r="F423" s="29"/>
      <c r="G423" s="6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</row>
    <row r="424" spans="1:48" x14ac:dyDescent="0.25">
      <c r="A424" s="29"/>
      <c r="B424" s="29"/>
      <c r="C424" s="29"/>
      <c r="D424" s="29"/>
      <c r="E424" s="29"/>
      <c r="F424" s="29"/>
      <c r="G424" s="6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</row>
    <row r="425" spans="1:48" x14ac:dyDescent="0.25">
      <c r="A425" s="29"/>
      <c r="B425" s="29"/>
      <c r="C425" s="29"/>
      <c r="D425" s="29"/>
      <c r="E425" s="29"/>
      <c r="F425" s="29"/>
      <c r="G425" s="6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</row>
    <row r="426" spans="1:48" x14ac:dyDescent="0.25">
      <c r="A426" s="29"/>
      <c r="B426" s="29"/>
      <c r="C426" s="29"/>
      <c r="D426" s="29"/>
      <c r="E426" s="29"/>
      <c r="F426" s="29"/>
      <c r="G426" s="6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</row>
    <row r="427" spans="1:48" x14ac:dyDescent="0.25">
      <c r="A427" s="29"/>
      <c r="B427" s="29"/>
      <c r="C427" s="29"/>
      <c r="D427" s="29"/>
      <c r="E427" s="29"/>
      <c r="F427" s="29"/>
      <c r="G427" s="6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</row>
    <row r="428" spans="1:48" x14ac:dyDescent="0.25">
      <c r="A428" s="29"/>
      <c r="B428" s="29"/>
      <c r="C428" s="29"/>
      <c r="D428" s="29"/>
      <c r="E428" s="29"/>
      <c r="F428" s="29"/>
      <c r="G428" s="6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</row>
    <row r="429" spans="1:48" x14ac:dyDescent="0.25">
      <c r="A429" s="29"/>
      <c r="B429" s="29"/>
      <c r="C429" s="29"/>
      <c r="D429" s="29"/>
      <c r="E429" s="29"/>
      <c r="F429" s="29"/>
      <c r="G429" s="6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</row>
    <row r="430" spans="1:48" x14ac:dyDescent="0.25">
      <c r="A430" s="29"/>
      <c r="B430" s="29"/>
      <c r="C430" s="29"/>
      <c r="D430" s="29"/>
      <c r="E430" s="29"/>
      <c r="F430" s="29"/>
      <c r="G430" s="6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</row>
    <row r="431" spans="1:48" x14ac:dyDescent="0.25">
      <c r="A431" s="29"/>
      <c r="B431" s="29"/>
      <c r="C431" s="29"/>
      <c r="D431" s="29"/>
      <c r="E431" s="29"/>
      <c r="F431" s="29"/>
      <c r="G431" s="6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</row>
    <row r="432" spans="1:48" x14ac:dyDescent="0.25">
      <c r="A432" s="29"/>
      <c r="B432" s="29"/>
      <c r="C432" s="29"/>
      <c r="D432" s="29"/>
      <c r="E432" s="29"/>
      <c r="F432" s="29"/>
      <c r="G432" s="6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</row>
    <row r="433" spans="1:48" x14ac:dyDescent="0.25">
      <c r="A433" s="29"/>
      <c r="B433" s="29"/>
      <c r="C433" s="29"/>
      <c r="D433" s="29"/>
      <c r="E433" s="29"/>
      <c r="F433" s="29"/>
      <c r="G433" s="6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</row>
    <row r="434" spans="1:48" x14ac:dyDescent="0.25">
      <c r="A434" s="29"/>
      <c r="B434" s="29"/>
      <c r="C434" s="29"/>
      <c r="D434" s="29"/>
      <c r="E434" s="29"/>
      <c r="F434" s="29"/>
      <c r="G434" s="6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</row>
    <row r="435" spans="1:48" x14ac:dyDescent="0.25">
      <c r="A435" s="29"/>
      <c r="B435" s="29"/>
      <c r="C435" s="29"/>
      <c r="D435" s="29"/>
      <c r="E435" s="29"/>
      <c r="F435" s="29"/>
      <c r="G435" s="6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</row>
    <row r="436" spans="1:48" x14ac:dyDescent="0.25">
      <c r="A436" s="29"/>
      <c r="B436" s="29"/>
      <c r="C436" s="29"/>
      <c r="D436" s="29"/>
      <c r="E436" s="29"/>
      <c r="F436" s="29"/>
      <c r="G436" s="6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</row>
    <row r="437" spans="1:48" x14ac:dyDescent="0.25">
      <c r="A437" s="29"/>
      <c r="B437" s="29"/>
      <c r="C437" s="29"/>
      <c r="D437" s="29"/>
      <c r="E437" s="29"/>
      <c r="F437" s="29"/>
      <c r="G437" s="6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</row>
    <row r="438" spans="1:48" x14ac:dyDescent="0.25">
      <c r="A438" s="29"/>
      <c r="B438" s="29"/>
      <c r="C438" s="29"/>
      <c r="D438" s="29"/>
      <c r="E438" s="29"/>
      <c r="F438" s="29"/>
      <c r="G438" s="6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</row>
    <row r="439" spans="1:48" x14ac:dyDescent="0.25">
      <c r="A439" s="29"/>
      <c r="B439" s="29"/>
      <c r="C439" s="29"/>
      <c r="D439" s="29"/>
      <c r="E439" s="29"/>
      <c r="F439" s="29"/>
      <c r="G439" s="6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</row>
    <row r="440" spans="1:48" x14ac:dyDescent="0.25">
      <c r="A440" s="29"/>
      <c r="B440" s="29"/>
      <c r="C440" s="29"/>
      <c r="D440" s="29"/>
      <c r="E440" s="29"/>
      <c r="F440" s="29"/>
      <c r="G440" s="6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</row>
    <row r="441" spans="1:48" x14ac:dyDescent="0.25">
      <c r="A441" s="29"/>
      <c r="B441" s="29"/>
      <c r="C441" s="29"/>
      <c r="D441" s="29"/>
      <c r="E441" s="29"/>
      <c r="F441" s="29"/>
      <c r="G441" s="6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</row>
    <row r="442" spans="1:48" x14ac:dyDescent="0.25">
      <c r="A442" s="29"/>
      <c r="B442" s="29"/>
      <c r="C442" s="29"/>
      <c r="D442" s="29"/>
      <c r="E442" s="29"/>
      <c r="F442" s="29"/>
      <c r="G442" s="6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</row>
    <row r="443" spans="1:48" x14ac:dyDescent="0.25">
      <c r="A443" s="29"/>
      <c r="B443" s="29"/>
      <c r="C443" s="29"/>
      <c r="D443" s="29"/>
      <c r="E443" s="29"/>
      <c r="F443" s="29"/>
      <c r="G443" s="6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</row>
    <row r="444" spans="1:48" x14ac:dyDescent="0.25">
      <c r="A444" s="29"/>
      <c r="B444" s="29"/>
      <c r="C444" s="29"/>
      <c r="D444" s="29"/>
      <c r="E444" s="29"/>
      <c r="F444" s="29"/>
      <c r="G444" s="6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</row>
    <row r="445" spans="1:48" x14ac:dyDescent="0.25">
      <c r="A445" s="29"/>
      <c r="B445" s="29"/>
      <c r="C445" s="29"/>
      <c r="D445" s="29"/>
      <c r="E445" s="29"/>
      <c r="F445" s="29"/>
      <c r="G445" s="6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</row>
    <row r="446" spans="1:48" x14ac:dyDescent="0.25">
      <c r="A446" s="29"/>
      <c r="B446" s="29"/>
      <c r="C446" s="29"/>
      <c r="D446" s="29"/>
      <c r="E446" s="29"/>
      <c r="F446" s="29"/>
      <c r="G446" s="6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</row>
    <row r="447" spans="1:48" x14ac:dyDescent="0.25">
      <c r="A447" s="29"/>
      <c r="B447" s="29"/>
      <c r="C447" s="29"/>
      <c r="D447" s="29"/>
      <c r="E447" s="29"/>
      <c r="F447" s="29"/>
      <c r="G447" s="6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</row>
    <row r="448" spans="1:48" x14ac:dyDescent="0.25">
      <c r="A448" s="29"/>
      <c r="B448" s="29"/>
      <c r="C448" s="29"/>
      <c r="D448" s="29"/>
      <c r="E448" s="29"/>
      <c r="F448" s="29"/>
      <c r="G448" s="6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</row>
    <row r="449" spans="1:48" x14ac:dyDescent="0.25">
      <c r="A449" s="29"/>
      <c r="B449" s="29"/>
      <c r="C449" s="29"/>
      <c r="D449" s="29"/>
      <c r="E449" s="29"/>
      <c r="F449" s="29"/>
      <c r="G449" s="6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</row>
    <row r="450" spans="1:48" x14ac:dyDescent="0.25">
      <c r="A450" s="29"/>
      <c r="B450" s="29"/>
      <c r="C450" s="29"/>
      <c r="D450" s="29"/>
      <c r="E450" s="29"/>
      <c r="F450" s="29"/>
      <c r="G450" s="6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</row>
    <row r="451" spans="1:48" x14ac:dyDescent="0.25">
      <c r="A451" s="29"/>
      <c r="B451" s="29"/>
      <c r="C451" s="29"/>
      <c r="D451" s="29"/>
      <c r="E451" s="29"/>
      <c r="F451" s="29"/>
      <c r="G451" s="6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</row>
    <row r="452" spans="1:48" x14ac:dyDescent="0.25">
      <c r="A452" s="29"/>
      <c r="B452" s="29"/>
      <c r="C452" s="29"/>
      <c r="D452" s="29"/>
      <c r="E452" s="29"/>
      <c r="F452" s="29"/>
      <c r="G452" s="6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</row>
    <row r="453" spans="1:48" x14ac:dyDescent="0.25">
      <c r="A453" s="29"/>
      <c r="B453" s="29"/>
      <c r="C453" s="29"/>
      <c r="D453" s="29"/>
      <c r="E453" s="29"/>
      <c r="F453" s="29"/>
      <c r="G453" s="6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</row>
    <row r="454" spans="1:48" x14ac:dyDescent="0.25">
      <c r="A454" s="29"/>
      <c r="B454" s="29"/>
      <c r="C454" s="29"/>
      <c r="D454" s="29"/>
      <c r="E454" s="29"/>
      <c r="F454" s="29"/>
      <c r="G454" s="6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</row>
    <row r="455" spans="1:48" x14ac:dyDescent="0.25">
      <c r="A455" s="29"/>
      <c r="B455" s="29"/>
      <c r="C455" s="29"/>
      <c r="D455" s="29"/>
      <c r="E455" s="29"/>
      <c r="F455" s="29"/>
      <c r="G455" s="6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</row>
    <row r="456" spans="1:48" x14ac:dyDescent="0.25">
      <c r="A456" s="29"/>
      <c r="B456" s="29"/>
      <c r="C456" s="29"/>
      <c r="D456" s="29"/>
      <c r="E456" s="29"/>
      <c r="F456" s="29"/>
      <c r="G456" s="6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</row>
    <row r="457" spans="1:48" x14ac:dyDescent="0.25">
      <c r="A457" s="29"/>
      <c r="B457" s="29"/>
      <c r="C457" s="29"/>
      <c r="D457" s="29"/>
      <c r="E457" s="29"/>
      <c r="F457" s="29"/>
      <c r="G457" s="6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</row>
    <row r="458" spans="1:48" x14ac:dyDescent="0.25">
      <c r="A458" s="29"/>
      <c r="B458" s="29"/>
      <c r="C458" s="29"/>
      <c r="D458" s="29"/>
      <c r="E458" s="29"/>
      <c r="F458" s="29"/>
      <c r="G458" s="6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</row>
    <row r="459" spans="1:48" x14ac:dyDescent="0.25">
      <c r="A459" s="29"/>
      <c r="B459" s="29"/>
      <c r="C459" s="29"/>
      <c r="D459" s="29"/>
      <c r="E459" s="29"/>
      <c r="F459" s="29"/>
      <c r="G459" s="6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</row>
    <row r="460" spans="1:48" x14ac:dyDescent="0.25">
      <c r="A460" s="29"/>
      <c r="B460" s="29"/>
      <c r="C460" s="29"/>
      <c r="D460" s="29"/>
      <c r="E460" s="29"/>
      <c r="F460" s="29"/>
      <c r="G460" s="6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</row>
    <row r="461" spans="1:48" x14ac:dyDescent="0.25">
      <c r="A461" s="29"/>
      <c r="B461" s="29"/>
      <c r="C461" s="29"/>
      <c r="D461" s="29"/>
      <c r="E461" s="29"/>
      <c r="F461" s="29"/>
      <c r="G461" s="6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</row>
    <row r="462" spans="1:48" x14ac:dyDescent="0.25">
      <c r="A462" s="29"/>
      <c r="B462" s="29"/>
      <c r="C462" s="29"/>
      <c r="D462" s="29"/>
      <c r="E462" s="29"/>
      <c r="F462" s="29"/>
      <c r="G462" s="6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</row>
    <row r="463" spans="1:48" x14ac:dyDescent="0.25">
      <c r="A463" s="29"/>
      <c r="B463" s="29"/>
      <c r="C463" s="29"/>
      <c r="D463" s="29"/>
      <c r="E463" s="29"/>
      <c r="F463" s="29"/>
      <c r="G463" s="6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</row>
    <row r="464" spans="1:48" x14ac:dyDescent="0.25">
      <c r="A464" s="29"/>
      <c r="B464" s="29"/>
      <c r="C464" s="29"/>
      <c r="D464" s="29"/>
      <c r="E464" s="29"/>
      <c r="F464" s="29"/>
      <c r="G464" s="6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</row>
    <row r="465" spans="1:48" x14ac:dyDescent="0.25">
      <c r="A465" s="29"/>
      <c r="B465" s="29"/>
      <c r="C465" s="29"/>
      <c r="D465" s="29"/>
      <c r="E465" s="29"/>
      <c r="F465" s="29"/>
      <c r="G465" s="6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</row>
    <row r="466" spans="1:48" x14ac:dyDescent="0.25">
      <c r="A466" s="29"/>
      <c r="B466" s="29"/>
      <c r="C466" s="29"/>
      <c r="D466" s="29"/>
      <c r="E466" s="29"/>
      <c r="F466" s="29"/>
      <c r="G466" s="6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</row>
    <row r="467" spans="1:48" x14ac:dyDescent="0.25">
      <c r="A467" s="29"/>
      <c r="B467" s="29"/>
      <c r="C467" s="29"/>
      <c r="D467" s="29"/>
      <c r="E467" s="29"/>
      <c r="F467" s="29"/>
      <c r="G467" s="6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</row>
    <row r="468" spans="1:48" x14ac:dyDescent="0.25">
      <c r="A468" s="29"/>
      <c r="B468" s="29"/>
      <c r="C468" s="29"/>
      <c r="D468" s="29"/>
      <c r="E468" s="29"/>
      <c r="F468" s="29"/>
      <c r="G468" s="6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</row>
    <row r="469" spans="1:48" x14ac:dyDescent="0.25">
      <c r="A469" s="29"/>
      <c r="B469" s="29"/>
      <c r="C469" s="29"/>
      <c r="D469" s="29"/>
      <c r="E469" s="29"/>
      <c r="F469" s="29"/>
      <c r="G469" s="6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</row>
    <row r="470" spans="1:48" x14ac:dyDescent="0.25">
      <c r="A470" s="29"/>
      <c r="B470" s="29"/>
      <c r="C470" s="29"/>
      <c r="D470" s="29"/>
      <c r="E470" s="29"/>
      <c r="F470" s="29"/>
      <c r="G470" s="6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</row>
    <row r="471" spans="1:48" x14ac:dyDescent="0.25">
      <c r="A471" s="29"/>
      <c r="B471" s="29"/>
      <c r="C471" s="29"/>
      <c r="D471" s="29"/>
      <c r="E471" s="29"/>
      <c r="F471" s="29"/>
      <c r="G471" s="6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</row>
    <row r="472" spans="1:48" x14ac:dyDescent="0.25">
      <c r="A472" s="29"/>
      <c r="B472" s="29"/>
      <c r="C472" s="29"/>
      <c r="D472" s="29"/>
      <c r="E472" s="29"/>
      <c r="F472" s="29"/>
      <c r="G472" s="6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</row>
    <row r="473" spans="1:48" x14ac:dyDescent="0.25">
      <c r="A473" s="29"/>
      <c r="B473" s="29"/>
      <c r="C473" s="29"/>
      <c r="D473" s="29"/>
      <c r="E473" s="29"/>
      <c r="F473" s="29"/>
      <c r="G473" s="6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</row>
    <row r="474" spans="1:48" x14ac:dyDescent="0.25">
      <c r="A474" s="29"/>
      <c r="B474" s="29"/>
      <c r="C474" s="29"/>
      <c r="D474" s="29"/>
      <c r="E474" s="29"/>
      <c r="F474" s="29"/>
      <c r="G474" s="6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</row>
    <row r="475" spans="1:48" x14ac:dyDescent="0.25">
      <c r="A475" s="29"/>
      <c r="B475" s="29"/>
      <c r="C475" s="29"/>
      <c r="D475" s="29"/>
      <c r="E475" s="29"/>
      <c r="F475" s="29"/>
      <c r="G475" s="6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</row>
    <row r="476" spans="1:48" x14ac:dyDescent="0.25">
      <c r="A476" s="29"/>
      <c r="B476" s="29"/>
      <c r="C476" s="29"/>
      <c r="D476" s="29"/>
      <c r="E476" s="29"/>
      <c r="F476" s="29"/>
      <c r="G476" s="6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</row>
    <row r="477" spans="1:48" x14ac:dyDescent="0.25">
      <c r="A477" s="29"/>
      <c r="B477" s="29"/>
      <c r="C477" s="29"/>
      <c r="D477" s="29"/>
      <c r="E477" s="29"/>
      <c r="F477" s="29"/>
      <c r="G477" s="6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</row>
    <row r="478" spans="1:48" x14ac:dyDescent="0.25">
      <c r="A478" s="29"/>
      <c r="B478" s="29"/>
      <c r="C478" s="29"/>
      <c r="D478" s="29"/>
      <c r="E478" s="29"/>
      <c r="F478" s="29"/>
      <c r="G478" s="6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</row>
    <row r="479" spans="1:48" x14ac:dyDescent="0.25">
      <c r="A479" s="29"/>
      <c r="B479" s="29"/>
      <c r="C479" s="29"/>
      <c r="D479" s="29"/>
      <c r="E479" s="29"/>
      <c r="F479" s="29"/>
      <c r="G479" s="6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</row>
    <row r="480" spans="1:48" x14ac:dyDescent="0.25">
      <c r="A480" s="29"/>
      <c r="B480" s="29"/>
      <c r="C480" s="29"/>
      <c r="D480" s="29"/>
      <c r="E480" s="29"/>
      <c r="F480" s="29"/>
      <c r="G480" s="6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</row>
    <row r="481" spans="1:48" x14ac:dyDescent="0.25">
      <c r="A481" s="29"/>
      <c r="B481" s="29"/>
      <c r="C481" s="29"/>
      <c r="D481" s="29"/>
      <c r="E481" s="29"/>
      <c r="F481" s="29"/>
      <c r="G481" s="6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</row>
    <row r="482" spans="1:48" x14ac:dyDescent="0.25">
      <c r="A482" s="29"/>
      <c r="B482" s="29"/>
      <c r="C482" s="29"/>
      <c r="D482" s="29"/>
      <c r="E482" s="29"/>
      <c r="F482" s="29"/>
      <c r="G482" s="6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</row>
    <row r="483" spans="1:48" x14ac:dyDescent="0.25">
      <c r="A483" s="29"/>
      <c r="B483" s="29"/>
      <c r="C483" s="29"/>
      <c r="D483" s="29"/>
      <c r="E483" s="29"/>
      <c r="F483" s="29"/>
      <c r="G483" s="6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</row>
    <row r="484" spans="1:48" x14ac:dyDescent="0.25">
      <c r="A484" s="29"/>
      <c r="B484" s="29"/>
      <c r="C484" s="29"/>
      <c r="D484" s="29"/>
      <c r="E484" s="29"/>
      <c r="F484" s="29"/>
      <c r="G484" s="6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</row>
    <row r="485" spans="1:48" x14ac:dyDescent="0.25">
      <c r="A485" s="29"/>
      <c r="B485" s="29"/>
      <c r="C485" s="29"/>
      <c r="D485" s="29"/>
      <c r="E485" s="29"/>
      <c r="F485" s="29"/>
      <c r="G485" s="6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</row>
    <row r="486" spans="1:48" x14ac:dyDescent="0.25">
      <c r="A486" s="29"/>
      <c r="B486" s="29"/>
      <c r="C486" s="29"/>
      <c r="D486" s="29"/>
      <c r="E486" s="29"/>
      <c r="F486" s="29"/>
      <c r="G486" s="6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</row>
    <row r="487" spans="1:48" x14ac:dyDescent="0.25">
      <c r="A487" s="29"/>
      <c r="B487" s="29"/>
      <c r="C487" s="29"/>
      <c r="D487" s="29"/>
      <c r="E487" s="29"/>
      <c r="F487" s="29"/>
      <c r="G487" s="6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</row>
    <row r="488" spans="1:48" x14ac:dyDescent="0.25">
      <c r="A488" s="29"/>
      <c r="B488" s="29"/>
      <c r="C488" s="29"/>
      <c r="D488" s="29"/>
      <c r="E488" s="29"/>
      <c r="F488" s="29"/>
      <c r="G488" s="6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</row>
    <row r="489" spans="1:48" x14ac:dyDescent="0.25">
      <c r="A489" s="29"/>
      <c r="B489" s="29"/>
      <c r="C489" s="29"/>
      <c r="D489" s="29"/>
      <c r="E489" s="29"/>
      <c r="F489" s="29"/>
      <c r="G489" s="6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</row>
    <row r="490" spans="1:48" x14ac:dyDescent="0.25">
      <c r="A490" s="29"/>
      <c r="B490" s="29"/>
      <c r="C490" s="29"/>
      <c r="D490" s="29"/>
      <c r="E490" s="29"/>
      <c r="F490" s="29"/>
      <c r="G490" s="6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</row>
    <row r="491" spans="1:48" x14ac:dyDescent="0.25">
      <c r="A491" s="29"/>
      <c r="B491" s="29"/>
      <c r="C491" s="29"/>
      <c r="D491" s="29"/>
      <c r="E491" s="29"/>
      <c r="F491" s="29"/>
      <c r="G491" s="6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</row>
    <row r="492" spans="1:48" x14ac:dyDescent="0.25">
      <c r="A492" s="29"/>
      <c r="B492" s="29"/>
      <c r="C492" s="29"/>
      <c r="D492" s="29"/>
      <c r="E492" s="29"/>
      <c r="F492" s="29"/>
      <c r="G492" s="6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</row>
    <row r="493" spans="1:48" x14ac:dyDescent="0.25">
      <c r="A493" s="29"/>
      <c r="B493" s="29"/>
      <c r="C493" s="29"/>
      <c r="D493" s="29"/>
      <c r="E493" s="29"/>
      <c r="F493" s="29"/>
      <c r="G493" s="6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</row>
    <row r="494" spans="1:48" x14ac:dyDescent="0.25">
      <c r="A494" s="29"/>
      <c r="B494" s="29"/>
      <c r="C494" s="29"/>
      <c r="D494" s="29"/>
      <c r="E494" s="29"/>
      <c r="F494" s="29"/>
      <c r="G494" s="6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</row>
    <row r="495" spans="1:48" x14ac:dyDescent="0.25">
      <c r="A495" s="29"/>
      <c r="B495" s="29"/>
      <c r="C495" s="29"/>
      <c r="D495" s="29"/>
      <c r="E495" s="29"/>
      <c r="F495" s="29"/>
      <c r="G495" s="6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</row>
    <row r="496" spans="1:48" x14ac:dyDescent="0.25">
      <c r="A496" s="29"/>
      <c r="B496" s="29"/>
      <c r="C496" s="29"/>
      <c r="D496" s="29"/>
      <c r="E496" s="29"/>
      <c r="F496" s="29"/>
      <c r="G496" s="6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</row>
    <row r="497" spans="1:48" x14ac:dyDescent="0.25">
      <c r="A497" s="29"/>
      <c r="B497" s="29"/>
      <c r="C497" s="29"/>
      <c r="D497" s="29"/>
      <c r="E497" s="29"/>
      <c r="F497" s="29"/>
      <c r="G497" s="6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</row>
    <row r="498" spans="1:48" x14ac:dyDescent="0.25">
      <c r="A498" s="29"/>
      <c r="B498" s="29"/>
      <c r="C498" s="29"/>
      <c r="D498" s="29"/>
      <c r="E498" s="29"/>
      <c r="F498" s="29"/>
      <c r="G498" s="6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</row>
  </sheetData>
  <autoFilter ref="A3:AG12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F1" sqref="F1:F10"/>
    </sheetView>
  </sheetViews>
  <sheetFormatPr defaultRowHeight="15" x14ac:dyDescent="0.25"/>
  <cols>
    <col min="1" max="1" width="9.140625" style="15" customWidth="1"/>
    <col min="2" max="2" width="16" style="25" bestFit="1" customWidth="1"/>
    <col min="3" max="3" width="52.28515625" style="15" bestFit="1" customWidth="1"/>
    <col min="4" max="4" width="61.28515625" style="15" customWidth="1"/>
    <col min="5" max="6" width="9.140625" style="15" customWidth="1"/>
    <col min="7" max="7" width="47.85546875" style="15" customWidth="1"/>
    <col min="8" max="10" width="9.140625" style="15" customWidth="1"/>
  </cols>
  <sheetData>
    <row r="1" spans="1:10" ht="16.5" customHeight="1" thickBot="1" x14ac:dyDescent="0.3">
      <c r="A1" s="11">
        <v>7514</v>
      </c>
      <c r="B1" s="12">
        <v>1001017557514</v>
      </c>
      <c r="C1" s="13" t="s">
        <v>178</v>
      </c>
      <c r="D1" s="14" t="s">
        <v>167</v>
      </c>
      <c r="E1" s="15" t="s">
        <v>37</v>
      </c>
      <c r="F1" s="15">
        <v>30</v>
      </c>
      <c r="G1" s="15" t="s">
        <v>178</v>
      </c>
      <c r="H1" s="15">
        <v>1</v>
      </c>
      <c r="J1" s="15" t="str">
        <f>VLOOKUP(D1,[2]Sheet!A:I,9,0)</f>
        <v>матрица</v>
      </c>
    </row>
    <row r="2" spans="1:10" ht="16.5" customHeight="1" thickBot="1" x14ac:dyDescent="0.3">
      <c r="A2" s="16">
        <v>7518</v>
      </c>
      <c r="B2" s="17">
        <v>1001017567518</v>
      </c>
      <c r="C2" s="18" t="s">
        <v>179</v>
      </c>
      <c r="D2" s="14" t="s">
        <v>168</v>
      </c>
      <c r="E2" s="15" t="s">
        <v>37</v>
      </c>
      <c r="F2" s="15">
        <v>30</v>
      </c>
      <c r="G2" s="15" t="s">
        <v>179</v>
      </c>
      <c r="H2" s="15">
        <v>1</v>
      </c>
      <c r="J2" s="15" t="str">
        <f>VLOOKUP(D2,[2]Sheet!A:I,9,0)</f>
        <v>матрица</v>
      </c>
    </row>
    <row r="3" spans="1:10" ht="16.5" customHeight="1" thickBot="1" x14ac:dyDescent="0.3">
      <c r="A3" s="16">
        <v>6929</v>
      </c>
      <c r="B3" s="17">
        <v>1001085476929</v>
      </c>
      <c r="C3" s="18" t="s">
        <v>180</v>
      </c>
      <c r="D3" s="14" t="s">
        <v>169</v>
      </c>
      <c r="E3" s="15" t="s">
        <v>37</v>
      </c>
      <c r="F3" s="15">
        <v>45</v>
      </c>
      <c r="G3" s="15" t="s">
        <v>180</v>
      </c>
      <c r="H3" s="15">
        <v>1</v>
      </c>
      <c r="J3" s="15" t="str">
        <f>VLOOKUP(D3,[2]Sheet!A:I,9,0)</f>
        <v>матрица</v>
      </c>
    </row>
    <row r="4" spans="1:10" ht="16.5" customHeight="1" thickBot="1" x14ac:dyDescent="0.3">
      <c r="A4" s="19">
        <v>614</v>
      </c>
      <c r="B4" s="20">
        <v>1001060720614</v>
      </c>
      <c r="C4" s="21" t="s">
        <v>181</v>
      </c>
      <c r="D4" s="14" t="s">
        <v>170</v>
      </c>
      <c r="E4" s="15" t="s">
        <v>37</v>
      </c>
      <c r="F4" s="15">
        <v>120</v>
      </c>
      <c r="G4" s="15" t="s">
        <v>181</v>
      </c>
      <c r="H4" s="15">
        <v>1</v>
      </c>
      <c r="J4" s="15" t="str">
        <f>VLOOKUP(D4,[2]Sheet!A:I,9,0)</f>
        <v>матрица</v>
      </c>
    </row>
    <row r="5" spans="1:10" ht="16.5" customHeight="1" thickBot="1" x14ac:dyDescent="0.3">
      <c r="A5" s="16">
        <v>7143</v>
      </c>
      <c r="B5" s="17">
        <v>1001060717143</v>
      </c>
      <c r="C5" s="18" t="s">
        <v>182</v>
      </c>
      <c r="D5" s="15" t="s">
        <v>171</v>
      </c>
      <c r="E5" s="15" t="s">
        <v>34</v>
      </c>
      <c r="F5" s="15">
        <v>120</v>
      </c>
      <c r="G5" s="15" t="s">
        <v>182</v>
      </c>
      <c r="H5" s="15">
        <v>0.22</v>
      </c>
      <c r="J5" s="15" t="str">
        <f>VLOOKUP(D5,[2]Sheet!A:I,9,0)</f>
        <v>матрица</v>
      </c>
    </row>
    <row r="6" spans="1:10" ht="16.5" customHeight="1" thickBot="1" x14ac:dyDescent="0.3">
      <c r="A6" s="11">
        <v>7710</v>
      </c>
      <c r="B6" s="12">
        <v>1001307587710</v>
      </c>
      <c r="C6" s="13" t="s">
        <v>183</v>
      </c>
      <c r="D6" s="15" t="s">
        <v>172</v>
      </c>
      <c r="E6" s="15" t="s">
        <v>34</v>
      </c>
      <c r="F6" s="15">
        <v>45</v>
      </c>
      <c r="G6" s="15" t="s">
        <v>183</v>
      </c>
      <c r="H6" s="15">
        <v>0.3</v>
      </c>
      <c r="J6" s="15" t="str">
        <f>VLOOKUP(D6,[2]Sheet!A:I,9,0)</f>
        <v>матрица</v>
      </c>
    </row>
    <row r="7" spans="1:10" ht="16.5" customHeight="1" thickBot="1" x14ac:dyDescent="0.3">
      <c r="A7" s="16">
        <v>7456</v>
      </c>
      <c r="B7" s="17">
        <v>1001063097456</v>
      </c>
      <c r="C7" s="18" t="s">
        <v>184</v>
      </c>
      <c r="D7" s="15" t="s">
        <v>173</v>
      </c>
      <c r="E7" s="15" t="s">
        <v>34</v>
      </c>
      <c r="F7" s="15">
        <v>90</v>
      </c>
      <c r="G7" s="15" t="s">
        <v>184</v>
      </c>
      <c r="H7" s="15">
        <v>0.15</v>
      </c>
      <c r="J7" s="15" t="str">
        <f>VLOOKUP(D7,[2]Sheet!A:I,9,0)</f>
        <v>матрица</v>
      </c>
    </row>
    <row r="8" spans="1:10" ht="16.5" customHeight="1" thickBot="1" x14ac:dyDescent="0.3">
      <c r="A8" s="22">
        <v>7386</v>
      </c>
      <c r="B8" s="23">
        <v>1001067017386</v>
      </c>
      <c r="C8" s="24" t="s">
        <v>185</v>
      </c>
      <c r="D8" s="15" t="s">
        <v>174</v>
      </c>
      <c r="E8" s="15" t="s">
        <v>34</v>
      </c>
      <c r="F8" s="15">
        <v>90</v>
      </c>
      <c r="G8" s="15" t="s">
        <v>185</v>
      </c>
      <c r="H8" s="15">
        <v>0.15</v>
      </c>
      <c r="J8" s="15" t="str">
        <f>VLOOKUP(D8,[2]Sheet!A:I,9,0)</f>
        <v>матрица</v>
      </c>
    </row>
    <row r="9" spans="1:10" ht="16.5" customHeight="1" thickBot="1" x14ac:dyDescent="0.3">
      <c r="A9" s="16">
        <v>7344</v>
      </c>
      <c r="B9" s="17">
        <v>1001122287344</v>
      </c>
      <c r="C9" s="18" t="s">
        <v>186</v>
      </c>
      <c r="D9" s="15" t="s">
        <v>175</v>
      </c>
      <c r="E9" s="15" t="s">
        <v>34</v>
      </c>
      <c r="F9" s="15" t="s">
        <v>176</v>
      </c>
      <c r="G9" s="15" t="s">
        <v>186</v>
      </c>
      <c r="H9" s="15">
        <v>0.33800000000000002</v>
      </c>
      <c r="J9" s="15" t="str">
        <f>VLOOKUP(D9,[2]Sheet!A:I,9,0)</f>
        <v>матрица</v>
      </c>
    </row>
    <row r="10" spans="1:10" ht="16.5" customHeight="1" thickBot="1" x14ac:dyDescent="0.3">
      <c r="A10" s="16">
        <v>7345</v>
      </c>
      <c r="B10" s="17">
        <v>1001123677345</v>
      </c>
      <c r="C10" s="18" t="s">
        <v>187</v>
      </c>
      <c r="D10" s="15" t="s">
        <v>177</v>
      </c>
      <c r="E10" s="15" t="s">
        <v>34</v>
      </c>
      <c r="F10" s="15" t="s">
        <v>176</v>
      </c>
      <c r="G10" s="15" t="s">
        <v>187</v>
      </c>
      <c r="H10" s="15">
        <v>0.32500000000000001</v>
      </c>
      <c r="J10" s="15" t="str">
        <f>VLOOKUP(D10,[2]Sheet!A:I,9,0)</f>
        <v>матрица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F8" sqref="F8"/>
    </sheetView>
  </sheetViews>
  <sheetFormatPr defaultRowHeight="15" x14ac:dyDescent="0.25"/>
  <cols>
    <col min="1" max="1" width="70" style="15" bestFit="1" customWidth="1"/>
    <col min="2" max="2" width="9.140625" style="15" customWidth="1"/>
  </cols>
  <sheetData>
    <row r="1" spans="1:2" ht="16.5" customHeight="1" thickBot="1" x14ac:dyDescent="0.3">
      <c r="A1" s="26" t="s">
        <v>70</v>
      </c>
      <c r="B1" s="13" t="s">
        <v>71</v>
      </c>
    </row>
    <row r="2" spans="1:2" ht="16.5" customHeight="1" thickBot="1" x14ac:dyDescent="0.3">
      <c r="A2" s="27" t="s">
        <v>188</v>
      </c>
      <c r="B2" s="13" t="s">
        <v>71</v>
      </c>
    </row>
    <row r="3" spans="1:2" ht="16.5" customHeight="1" thickBot="1" x14ac:dyDescent="0.3">
      <c r="A3" s="27" t="s">
        <v>138</v>
      </c>
      <c r="B3" s="13" t="s">
        <v>71</v>
      </c>
    </row>
    <row r="4" spans="1:2" ht="16.5" customHeight="1" thickBot="1" x14ac:dyDescent="0.3">
      <c r="A4" s="27" t="s">
        <v>77</v>
      </c>
      <c r="B4" s="13" t="s">
        <v>71</v>
      </c>
    </row>
    <row r="5" spans="1:2" ht="16.5" customHeight="1" thickBot="1" x14ac:dyDescent="0.3">
      <c r="A5" s="27" t="s">
        <v>134</v>
      </c>
      <c r="B5" s="1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2026-08-31T12:27:56Z</dcterms:created>
  <dcterms:modified xsi:type="dcterms:W3CDTF">2026-09-07T08:44:51Z</dcterms:modified>
</cp:coreProperties>
</file>