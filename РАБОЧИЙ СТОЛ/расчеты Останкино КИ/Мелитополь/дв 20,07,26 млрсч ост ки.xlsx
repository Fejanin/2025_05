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07,26\20,07,26 Останкино КИ и ЗПФ\"/>
    </mc:Choice>
  </mc:AlternateContent>
  <xr:revisionPtr revIDLastSave="0" documentId="13_ncr:1_{EEFC7DE4-B063-451B-97ED-1473B9035F9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R11" i="1" l="1"/>
  <c r="AF11" i="1" s="1"/>
  <c r="R12" i="1"/>
  <c r="AF12" i="1" s="1"/>
  <c r="R18" i="1"/>
  <c r="AF18" i="1" s="1"/>
  <c r="R23" i="1"/>
  <c r="AF23" i="1" s="1"/>
  <c r="R24" i="1"/>
  <c r="AF24" i="1" s="1"/>
  <c r="R25" i="1"/>
  <c r="AF25" i="1" s="1"/>
  <c r="R28" i="1"/>
  <c r="AF28" i="1" s="1"/>
  <c r="R32" i="1"/>
  <c r="AF32" i="1" s="1"/>
  <c r="R34" i="1"/>
  <c r="AF34" i="1" s="1"/>
  <c r="R35" i="1"/>
  <c r="AF35" i="1" s="1"/>
  <c r="R36" i="1"/>
  <c r="AF36" i="1" s="1"/>
  <c r="R37" i="1"/>
  <c r="AF37" i="1" s="1"/>
  <c r="R39" i="1"/>
  <c r="AF39" i="1" s="1"/>
  <c r="R43" i="1"/>
  <c r="AF43" i="1" s="1"/>
  <c r="R51" i="1"/>
  <c r="AF51" i="1" s="1"/>
  <c r="R53" i="1"/>
  <c r="AF53" i="1" s="1"/>
  <c r="R55" i="1"/>
  <c r="AF55" i="1" s="1"/>
  <c r="R57" i="1"/>
  <c r="AF57" i="1" s="1"/>
  <c r="R58" i="1"/>
  <c r="AF58" i="1" s="1"/>
  <c r="R59" i="1"/>
  <c r="AF59" i="1" s="1"/>
  <c r="R60" i="1"/>
  <c r="AF60" i="1" s="1"/>
  <c r="R64" i="1"/>
  <c r="AF64" i="1" s="1"/>
  <c r="R67" i="1"/>
  <c r="AF67" i="1" s="1"/>
  <c r="R71" i="1"/>
  <c r="AF71" i="1" s="1"/>
  <c r="R73" i="1"/>
  <c r="AF73" i="1" s="1"/>
  <c r="R86" i="1"/>
  <c r="AF86" i="1" s="1"/>
  <c r="R87" i="1"/>
  <c r="AF87" i="1" s="1"/>
  <c r="R89" i="1"/>
  <c r="AF89" i="1" s="1"/>
  <c r="R90" i="1"/>
  <c r="AF90" i="1" s="1"/>
  <c r="R92" i="1"/>
  <c r="AF92" i="1" s="1"/>
  <c r="R93" i="1"/>
  <c r="AF93" i="1" s="1"/>
  <c r="R97" i="1"/>
  <c r="AF97" i="1" s="1"/>
  <c r="R100" i="1"/>
  <c r="AF100" i="1" s="1"/>
  <c r="R102" i="1"/>
  <c r="AF102" i="1" s="1"/>
  <c r="R103" i="1"/>
  <c r="AF103" i="1" s="1"/>
  <c r="R104" i="1"/>
  <c r="AF104" i="1" s="1"/>
  <c r="R105" i="1"/>
  <c r="AF105" i="1" s="1"/>
  <c r="R106" i="1"/>
  <c r="AF106" i="1" s="1"/>
  <c r="R107" i="1"/>
  <c r="AF107" i="1" s="1"/>
  <c r="R108" i="1"/>
  <c r="AF108" i="1" s="1"/>
  <c r="R109" i="1"/>
  <c r="AF109" i="1" s="1"/>
  <c r="R110" i="1"/>
  <c r="AF110" i="1" s="1"/>
  <c r="R113" i="1"/>
  <c r="AF113" i="1" s="1"/>
  <c r="R114" i="1"/>
  <c r="AF114" i="1" s="1"/>
  <c r="T13" i="1" l="1"/>
  <c r="R13" i="1" s="1"/>
  <c r="AF13" i="1" s="1"/>
  <c r="T15" i="1"/>
  <c r="R15" i="1" s="1"/>
  <c r="AF15" i="1" s="1"/>
  <c r="T22" i="1"/>
  <c r="R22" i="1" s="1"/>
  <c r="AF22" i="1" s="1"/>
  <c r="T29" i="1"/>
  <c r="R29" i="1" s="1"/>
  <c r="AF29" i="1" s="1"/>
  <c r="T38" i="1"/>
  <c r="R38" i="1" s="1"/>
  <c r="AF38" i="1" s="1"/>
  <c r="T75" i="1"/>
  <c r="R75" i="1" s="1"/>
  <c r="AF75" i="1" s="1"/>
  <c r="P114" i="1" l="1"/>
  <c r="U114" i="1" s="1"/>
  <c r="P113" i="1"/>
  <c r="U113" i="1" s="1"/>
  <c r="V114" i="1" l="1"/>
  <c r="V113" i="1"/>
  <c r="F112" i="1"/>
  <c r="E112" i="1"/>
  <c r="P112" i="1" s="1"/>
  <c r="F111" i="1"/>
  <c r="E111" i="1"/>
  <c r="P111" i="1" s="1"/>
  <c r="F110" i="1"/>
  <c r="E110" i="1"/>
  <c r="P110" i="1" s="1"/>
  <c r="P109" i="1"/>
  <c r="V109" i="1" s="1"/>
  <c r="P108" i="1"/>
  <c r="V108" i="1" s="1"/>
  <c r="P107" i="1"/>
  <c r="V107" i="1" s="1"/>
  <c r="L107" i="1"/>
  <c r="P106" i="1"/>
  <c r="V106" i="1" s="1"/>
  <c r="L106" i="1"/>
  <c r="P105" i="1"/>
  <c r="V105" i="1" s="1"/>
  <c r="L105" i="1"/>
  <c r="P104" i="1"/>
  <c r="V104" i="1" s="1"/>
  <c r="L104" i="1"/>
  <c r="F103" i="1"/>
  <c r="E103" i="1"/>
  <c r="P103" i="1" s="1"/>
  <c r="F102" i="1"/>
  <c r="E102" i="1"/>
  <c r="P102" i="1" s="1"/>
  <c r="P101" i="1"/>
  <c r="L101" i="1"/>
  <c r="P100" i="1"/>
  <c r="U100" i="1" s="1"/>
  <c r="L100" i="1"/>
  <c r="P99" i="1"/>
  <c r="Q99" i="1" s="1"/>
  <c r="R99" i="1" s="1"/>
  <c r="AF99" i="1" s="1"/>
  <c r="L99" i="1"/>
  <c r="P98" i="1"/>
  <c r="V98" i="1" s="1"/>
  <c r="L98" i="1"/>
  <c r="P97" i="1"/>
  <c r="U97" i="1" s="1"/>
  <c r="L97" i="1"/>
  <c r="P96" i="1"/>
  <c r="V96" i="1" s="1"/>
  <c r="L96" i="1"/>
  <c r="P95" i="1"/>
  <c r="V95" i="1" s="1"/>
  <c r="L95" i="1"/>
  <c r="P94" i="1"/>
  <c r="L94" i="1"/>
  <c r="P93" i="1"/>
  <c r="V93" i="1" s="1"/>
  <c r="L93" i="1"/>
  <c r="P92" i="1"/>
  <c r="V92" i="1" s="1"/>
  <c r="L92" i="1"/>
  <c r="P91" i="1"/>
  <c r="V91" i="1" s="1"/>
  <c r="L91" i="1"/>
  <c r="P90" i="1"/>
  <c r="V90" i="1" s="1"/>
  <c r="L90" i="1"/>
  <c r="P89" i="1"/>
  <c r="V89" i="1" s="1"/>
  <c r="L89" i="1"/>
  <c r="P88" i="1"/>
  <c r="Q88" i="1" s="1"/>
  <c r="R88" i="1" s="1"/>
  <c r="AF88" i="1" s="1"/>
  <c r="L88" i="1"/>
  <c r="P87" i="1"/>
  <c r="V87" i="1" s="1"/>
  <c r="L87" i="1"/>
  <c r="P86" i="1"/>
  <c r="V86" i="1" s="1"/>
  <c r="L86" i="1"/>
  <c r="P85" i="1"/>
  <c r="Q85" i="1" s="1"/>
  <c r="R85" i="1" s="1"/>
  <c r="AF85" i="1" s="1"/>
  <c r="L85" i="1"/>
  <c r="P84" i="1"/>
  <c r="Q84" i="1" s="1"/>
  <c r="R84" i="1" s="1"/>
  <c r="AF84" i="1" s="1"/>
  <c r="L84" i="1"/>
  <c r="P83" i="1"/>
  <c r="V83" i="1" s="1"/>
  <c r="L83" i="1"/>
  <c r="P82" i="1"/>
  <c r="Q82" i="1" s="1"/>
  <c r="R82" i="1" s="1"/>
  <c r="AF82" i="1" s="1"/>
  <c r="L82" i="1"/>
  <c r="P81" i="1"/>
  <c r="V81" i="1" s="1"/>
  <c r="L81" i="1"/>
  <c r="P80" i="1"/>
  <c r="V80" i="1" s="1"/>
  <c r="L80" i="1"/>
  <c r="P79" i="1"/>
  <c r="V79" i="1" s="1"/>
  <c r="L79" i="1"/>
  <c r="P78" i="1"/>
  <c r="V78" i="1" s="1"/>
  <c r="L78" i="1"/>
  <c r="P77" i="1"/>
  <c r="L77" i="1"/>
  <c r="P76" i="1"/>
  <c r="Q76" i="1" s="1"/>
  <c r="R76" i="1" s="1"/>
  <c r="AF76" i="1" s="1"/>
  <c r="L76" i="1"/>
  <c r="P75" i="1"/>
  <c r="Q75" i="1" s="1"/>
  <c r="L75" i="1"/>
  <c r="P74" i="1"/>
  <c r="Q74" i="1" s="1"/>
  <c r="R74" i="1" s="1"/>
  <c r="AF74" i="1" s="1"/>
  <c r="L74" i="1"/>
  <c r="P73" i="1"/>
  <c r="V73" i="1" s="1"/>
  <c r="L73" i="1"/>
  <c r="P72" i="1"/>
  <c r="V72" i="1" s="1"/>
  <c r="L72" i="1"/>
  <c r="P71" i="1"/>
  <c r="V71" i="1" s="1"/>
  <c r="L71" i="1"/>
  <c r="P70" i="1"/>
  <c r="Q70" i="1" s="1"/>
  <c r="R70" i="1" s="1"/>
  <c r="AF70" i="1" s="1"/>
  <c r="L70" i="1"/>
  <c r="P69" i="1"/>
  <c r="V69" i="1" s="1"/>
  <c r="L69" i="1"/>
  <c r="P68" i="1"/>
  <c r="V68" i="1" s="1"/>
  <c r="L68" i="1"/>
  <c r="P67" i="1"/>
  <c r="V67" i="1" s="1"/>
  <c r="L67" i="1"/>
  <c r="P66" i="1"/>
  <c r="Q66" i="1" s="1"/>
  <c r="R66" i="1" s="1"/>
  <c r="AF66" i="1" s="1"/>
  <c r="L66" i="1"/>
  <c r="P65" i="1"/>
  <c r="Q65" i="1" s="1"/>
  <c r="R65" i="1" s="1"/>
  <c r="AF65" i="1" s="1"/>
  <c r="L65" i="1"/>
  <c r="P64" i="1"/>
  <c r="V64" i="1" s="1"/>
  <c r="L64" i="1"/>
  <c r="F63" i="1"/>
  <c r="E63" i="1"/>
  <c r="P62" i="1"/>
  <c r="Q62" i="1" s="1"/>
  <c r="R62" i="1" s="1"/>
  <c r="AF62" i="1" s="1"/>
  <c r="L62" i="1"/>
  <c r="P61" i="1"/>
  <c r="Q61" i="1" s="1"/>
  <c r="R61" i="1" s="1"/>
  <c r="AF61" i="1" s="1"/>
  <c r="L61" i="1"/>
  <c r="P60" i="1"/>
  <c r="V60" i="1" s="1"/>
  <c r="L60" i="1"/>
  <c r="P59" i="1"/>
  <c r="V59" i="1" s="1"/>
  <c r="L59" i="1"/>
  <c r="P58" i="1"/>
  <c r="V58" i="1" s="1"/>
  <c r="L58" i="1"/>
  <c r="P57" i="1"/>
  <c r="U57" i="1" s="1"/>
  <c r="L57" i="1"/>
  <c r="P56" i="1"/>
  <c r="V56" i="1" s="1"/>
  <c r="L56" i="1"/>
  <c r="P55" i="1"/>
  <c r="U55" i="1" s="1"/>
  <c r="L55" i="1"/>
  <c r="P54" i="1"/>
  <c r="V54" i="1" s="1"/>
  <c r="L54" i="1"/>
  <c r="P53" i="1"/>
  <c r="V53" i="1" s="1"/>
  <c r="L53" i="1"/>
  <c r="P52" i="1"/>
  <c r="Q52" i="1" s="1"/>
  <c r="R52" i="1" s="1"/>
  <c r="AF52" i="1" s="1"/>
  <c r="L52" i="1"/>
  <c r="P51" i="1"/>
  <c r="V51" i="1" s="1"/>
  <c r="L51" i="1"/>
  <c r="P50" i="1"/>
  <c r="Q50" i="1" s="1"/>
  <c r="R50" i="1" s="1"/>
  <c r="AF50" i="1" s="1"/>
  <c r="L50" i="1"/>
  <c r="P49" i="1"/>
  <c r="Q49" i="1" s="1"/>
  <c r="R49" i="1" s="1"/>
  <c r="AF49" i="1" s="1"/>
  <c r="L49" i="1"/>
  <c r="P48" i="1"/>
  <c r="V48" i="1" s="1"/>
  <c r="L48" i="1"/>
  <c r="P47" i="1"/>
  <c r="V47" i="1" s="1"/>
  <c r="L47" i="1"/>
  <c r="P46" i="1"/>
  <c r="V46" i="1" s="1"/>
  <c r="L46" i="1"/>
  <c r="P45" i="1"/>
  <c r="L45" i="1"/>
  <c r="P44" i="1"/>
  <c r="V44" i="1" s="1"/>
  <c r="L44" i="1"/>
  <c r="P43" i="1"/>
  <c r="U43" i="1" s="1"/>
  <c r="L43" i="1"/>
  <c r="P42" i="1"/>
  <c r="Q42" i="1" s="1"/>
  <c r="R42" i="1" s="1"/>
  <c r="AF42" i="1" s="1"/>
  <c r="L42" i="1"/>
  <c r="P41" i="1"/>
  <c r="V41" i="1" s="1"/>
  <c r="L41" i="1"/>
  <c r="P40" i="1"/>
  <c r="L40" i="1"/>
  <c r="P39" i="1"/>
  <c r="V39" i="1" s="1"/>
  <c r="L39" i="1"/>
  <c r="P38" i="1"/>
  <c r="Q38" i="1" s="1"/>
  <c r="L38" i="1"/>
  <c r="P37" i="1"/>
  <c r="V37" i="1" s="1"/>
  <c r="L37" i="1"/>
  <c r="P36" i="1"/>
  <c r="V36" i="1" s="1"/>
  <c r="L36" i="1"/>
  <c r="P35" i="1"/>
  <c r="V35" i="1" s="1"/>
  <c r="L35" i="1"/>
  <c r="P34" i="1"/>
  <c r="U34" i="1" s="1"/>
  <c r="L34" i="1"/>
  <c r="P33" i="1"/>
  <c r="V33" i="1" s="1"/>
  <c r="L33" i="1"/>
  <c r="P32" i="1"/>
  <c r="U32" i="1" s="1"/>
  <c r="L32" i="1"/>
  <c r="P31" i="1"/>
  <c r="V31" i="1" s="1"/>
  <c r="L31" i="1"/>
  <c r="P30" i="1"/>
  <c r="V30" i="1" s="1"/>
  <c r="L30" i="1"/>
  <c r="P29" i="1"/>
  <c r="L29" i="1"/>
  <c r="P28" i="1"/>
  <c r="V28" i="1" s="1"/>
  <c r="L28" i="1"/>
  <c r="P27" i="1"/>
  <c r="V27" i="1" s="1"/>
  <c r="L27" i="1"/>
  <c r="P26" i="1"/>
  <c r="Q26" i="1" s="1"/>
  <c r="R26" i="1" s="1"/>
  <c r="AF26" i="1" s="1"/>
  <c r="L26" i="1"/>
  <c r="P25" i="1"/>
  <c r="V25" i="1" s="1"/>
  <c r="L25" i="1"/>
  <c r="P24" i="1"/>
  <c r="U24" i="1" s="1"/>
  <c r="L24" i="1"/>
  <c r="P23" i="1"/>
  <c r="U23" i="1" s="1"/>
  <c r="L23" i="1"/>
  <c r="P22" i="1"/>
  <c r="L22" i="1"/>
  <c r="P21" i="1"/>
  <c r="V21" i="1" s="1"/>
  <c r="L21" i="1"/>
  <c r="P20" i="1"/>
  <c r="Q20" i="1" s="1"/>
  <c r="R20" i="1" s="1"/>
  <c r="AF20" i="1" s="1"/>
  <c r="L20" i="1"/>
  <c r="P19" i="1"/>
  <c r="Q19" i="1" s="1"/>
  <c r="R19" i="1" s="1"/>
  <c r="AF19" i="1" s="1"/>
  <c r="L19" i="1"/>
  <c r="P18" i="1"/>
  <c r="V18" i="1" s="1"/>
  <c r="L18" i="1"/>
  <c r="P17" i="1"/>
  <c r="V17" i="1" s="1"/>
  <c r="L17" i="1"/>
  <c r="P16" i="1"/>
  <c r="V16" i="1" s="1"/>
  <c r="L16" i="1"/>
  <c r="P15" i="1"/>
  <c r="L15" i="1"/>
  <c r="P14" i="1"/>
  <c r="V14" i="1" s="1"/>
  <c r="L14" i="1"/>
  <c r="P13" i="1"/>
  <c r="Q13" i="1" s="1"/>
  <c r="L13" i="1"/>
  <c r="P12" i="1"/>
  <c r="V12" i="1" s="1"/>
  <c r="L12" i="1"/>
  <c r="P11" i="1"/>
  <c r="L11" i="1"/>
  <c r="P10" i="1"/>
  <c r="Q10" i="1" s="1"/>
  <c r="L10" i="1"/>
  <c r="P9" i="1"/>
  <c r="Q9" i="1" s="1"/>
  <c r="R9" i="1" s="1"/>
  <c r="AF9" i="1" s="1"/>
  <c r="L9" i="1"/>
  <c r="P8" i="1"/>
  <c r="V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O5" i="1"/>
  <c r="N5" i="1"/>
  <c r="M5" i="1"/>
  <c r="K5" i="1"/>
  <c r="V15" i="1" l="1"/>
  <c r="Q15" i="1"/>
  <c r="V22" i="1"/>
  <c r="Q22" i="1"/>
  <c r="U22" i="1" s="1"/>
  <c r="V29" i="1"/>
  <c r="Q29" i="1"/>
  <c r="V11" i="1"/>
  <c r="Q11" i="1"/>
  <c r="U10" i="1"/>
  <c r="R10" i="1"/>
  <c r="AF10" i="1" s="1"/>
  <c r="Q94" i="1"/>
  <c r="Q56" i="1"/>
  <c r="R56" i="1" s="1"/>
  <c r="AF56" i="1" s="1"/>
  <c r="Q79" i="1"/>
  <c r="R79" i="1" s="1"/>
  <c r="AF79" i="1" s="1"/>
  <c r="Q33" i="1"/>
  <c r="R33" i="1" s="1"/>
  <c r="AF33" i="1" s="1"/>
  <c r="Q91" i="1"/>
  <c r="R91" i="1" s="1"/>
  <c r="AF91" i="1" s="1"/>
  <c r="Q96" i="1"/>
  <c r="R96" i="1" s="1"/>
  <c r="AF96" i="1" s="1"/>
  <c r="U50" i="1"/>
  <c r="Q48" i="1"/>
  <c r="Q68" i="1"/>
  <c r="Q112" i="1"/>
  <c r="Q40" i="1"/>
  <c r="Q101" i="1"/>
  <c r="V49" i="1"/>
  <c r="V66" i="1"/>
  <c r="V42" i="1"/>
  <c r="U86" i="1"/>
  <c r="V76" i="1"/>
  <c r="U36" i="1"/>
  <c r="Q47" i="1"/>
  <c r="Q54" i="1"/>
  <c r="V40" i="1"/>
  <c r="V23" i="1"/>
  <c r="U87" i="1"/>
  <c r="V97" i="1"/>
  <c r="V34" i="1"/>
  <c r="Q17" i="1"/>
  <c r="V65" i="1"/>
  <c r="V82" i="1"/>
  <c r="V43" i="1"/>
  <c r="V50" i="1"/>
  <c r="U93" i="1"/>
  <c r="V101" i="1"/>
  <c r="Q46" i="1"/>
  <c r="V61" i="1"/>
  <c r="Q111" i="1"/>
  <c r="V111" i="1"/>
  <c r="U65" i="1"/>
  <c r="U82" i="1"/>
  <c r="V32" i="1"/>
  <c r="U58" i="1"/>
  <c r="Q72" i="1"/>
  <c r="R72" i="1" s="1"/>
  <c r="AF72" i="1" s="1"/>
  <c r="Q14" i="1"/>
  <c r="R14" i="1" s="1"/>
  <c r="AF14" i="1" s="1"/>
  <c r="V20" i="1"/>
  <c r="Q8" i="1"/>
  <c r="Q27" i="1"/>
  <c r="R27" i="1" s="1"/>
  <c r="AF27" i="1" s="1"/>
  <c r="V85" i="1"/>
  <c r="V9" i="1"/>
  <c r="U28" i="1"/>
  <c r="U73" i="1"/>
  <c r="V100" i="1"/>
  <c r="V10" i="1"/>
  <c r="U35" i="1"/>
  <c r="V94" i="1"/>
  <c r="V110" i="1"/>
  <c r="V55" i="1"/>
  <c r="V75" i="1"/>
  <c r="Q95" i="1"/>
  <c r="R95" i="1" s="1"/>
  <c r="AF95" i="1" s="1"/>
  <c r="V24" i="1"/>
  <c r="Q6" i="1"/>
  <c r="R6" i="1" s="1"/>
  <c r="AF6" i="1" s="1"/>
  <c r="U37" i="1"/>
  <c r="Q83" i="1"/>
  <c r="U90" i="1"/>
  <c r="Q31" i="1"/>
  <c r="R31" i="1" s="1"/>
  <c r="AF31" i="1" s="1"/>
  <c r="U25" i="1"/>
  <c r="U18" i="1"/>
  <c r="V57" i="1"/>
  <c r="V13" i="1"/>
  <c r="U66" i="1"/>
  <c r="U76" i="1"/>
  <c r="U62" i="1"/>
  <c r="Q21" i="1"/>
  <c r="R21" i="1" s="1"/>
  <c r="AF21" i="1" s="1"/>
  <c r="V62" i="1"/>
  <c r="U105" i="1"/>
  <c r="V26" i="1"/>
  <c r="U42" i="1"/>
  <c r="U52" i="1"/>
  <c r="E5" i="1"/>
  <c r="P63" i="1"/>
  <c r="Q63" i="1" s="1"/>
  <c r="F5" i="1"/>
  <c r="L63" i="1"/>
  <c r="U84" i="1"/>
  <c r="Q7" i="1"/>
  <c r="R7" i="1" s="1"/>
  <c r="AF7" i="1" s="1"/>
  <c r="U85" i="1"/>
  <c r="U59" i="1"/>
  <c r="U74" i="1"/>
  <c r="Q69" i="1"/>
  <c r="R69" i="1" s="1"/>
  <c r="AF69" i="1" s="1"/>
  <c r="V102" i="1"/>
  <c r="Q44" i="1"/>
  <c r="R44" i="1" s="1"/>
  <c r="AF44" i="1" s="1"/>
  <c r="U75" i="1"/>
  <c r="Q80" i="1"/>
  <c r="R80" i="1" s="1"/>
  <c r="AF80" i="1" s="1"/>
  <c r="L102" i="1"/>
  <c r="U49" i="1"/>
  <c r="U20" i="1"/>
  <c r="U13" i="1"/>
  <c r="U102" i="1"/>
  <c r="U70" i="1"/>
  <c r="Q98" i="1"/>
  <c r="R98" i="1" s="1"/>
  <c r="AF98" i="1" s="1"/>
  <c r="U9" i="1"/>
  <c r="V45" i="1"/>
  <c r="Q45" i="1"/>
  <c r="R45" i="1" s="1"/>
  <c r="AF45" i="1" s="1"/>
  <c r="V103" i="1"/>
  <c r="U38" i="1"/>
  <c r="U19" i="1"/>
  <c r="U61" i="1"/>
  <c r="V112" i="1"/>
  <c r="V77" i="1"/>
  <c r="Q77" i="1"/>
  <c r="R77" i="1" s="1"/>
  <c r="AF77" i="1" s="1"/>
  <c r="U88" i="1"/>
  <c r="U51" i="1"/>
  <c r="V99" i="1"/>
  <c r="Q41" i="1"/>
  <c r="R41" i="1" s="1"/>
  <c r="AF41" i="1" s="1"/>
  <c r="U106" i="1"/>
  <c r="U12" i="1"/>
  <c r="U60" i="1"/>
  <c r="U92" i="1"/>
  <c r="V19" i="1"/>
  <c r="Q30" i="1"/>
  <c r="R30" i="1" s="1"/>
  <c r="AF30" i="1" s="1"/>
  <c r="V38" i="1"/>
  <c r="V52" i="1"/>
  <c r="V70" i="1"/>
  <c r="V74" i="1"/>
  <c r="Q81" i="1"/>
  <c r="R81" i="1" s="1"/>
  <c r="AF81" i="1" s="1"/>
  <c r="V84" i="1"/>
  <c r="V88" i="1"/>
  <c r="L103" i="1"/>
  <c r="U107" i="1"/>
  <c r="Q16" i="1"/>
  <c r="R16" i="1" s="1"/>
  <c r="AF16" i="1" s="1"/>
  <c r="Q78" i="1"/>
  <c r="R78" i="1" s="1"/>
  <c r="AF78" i="1" s="1"/>
  <c r="U103" i="1"/>
  <c r="U39" i="1"/>
  <c r="U53" i="1"/>
  <c r="U64" i="1"/>
  <c r="U71" i="1"/>
  <c r="U89" i="1"/>
  <c r="U108" i="1"/>
  <c r="U104" i="1"/>
  <c r="U109" i="1"/>
  <c r="R63" i="1" l="1"/>
  <c r="AF63" i="1" s="1"/>
  <c r="R83" i="1"/>
  <c r="AF83" i="1" s="1"/>
  <c r="U111" i="1"/>
  <c r="R111" i="1"/>
  <c r="AF111" i="1" s="1"/>
  <c r="U46" i="1"/>
  <c r="R46" i="1"/>
  <c r="AF46" i="1" s="1"/>
  <c r="U101" i="1"/>
  <c r="R101" i="1"/>
  <c r="AF101" i="1" s="1"/>
  <c r="R112" i="1"/>
  <c r="AF112" i="1" s="1"/>
  <c r="R48" i="1"/>
  <c r="AF48" i="1" s="1"/>
  <c r="R8" i="1"/>
  <c r="AF8" i="1" s="1"/>
  <c r="R17" i="1"/>
  <c r="AF17" i="1" s="1"/>
  <c r="R54" i="1"/>
  <c r="AF54" i="1" s="1"/>
  <c r="R47" i="1"/>
  <c r="AF47" i="1" s="1"/>
  <c r="R40" i="1"/>
  <c r="AF40" i="1" s="1"/>
  <c r="U68" i="1"/>
  <c r="R68" i="1"/>
  <c r="AF68" i="1" s="1"/>
  <c r="U94" i="1"/>
  <c r="R94" i="1"/>
  <c r="AF94" i="1" s="1"/>
  <c r="U112" i="1"/>
  <c r="U40" i="1"/>
  <c r="U54" i="1"/>
  <c r="L5" i="1"/>
  <c r="U47" i="1"/>
  <c r="U110" i="1"/>
  <c r="U8" i="1"/>
  <c r="P5" i="1"/>
  <c r="U17" i="1"/>
  <c r="U48" i="1"/>
  <c r="U79" i="1"/>
  <c r="U63" i="1"/>
  <c r="U31" i="1"/>
  <c r="U27" i="1"/>
  <c r="U83" i="1"/>
  <c r="U6" i="1"/>
  <c r="U95" i="1"/>
  <c r="U14" i="1"/>
  <c r="U72" i="1"/>
  <c r="U11" i="1"/>
  <c r="V63" i="1"/>
  <c r="U26" i="1"/>
  <c r="U91" i="1"/>
  <c r="U67" i="1"/>
  <c r="U69" i="1"/>
  <c r="U30" i="1"/>
  <c r="Q5" i="1"/>
  <c r="U7" i="1"/>
  <c r="U21" i="1"/>
  <c r="U15" i="1"/>
  <c r="U78" i="1"/>
  <c r="U77" i="1"/>
  <c r="U56" i="1"/>
  <c r="U45" i="1"/>
  <c r="U16" i="1"/>
  <c r="U41" i="1"/>
  <c r="U29" i="1"/>
  <c r="U80" i="1"/>
  <c r="U99" i="1"/>
  <c r="U96" i="1"/>
  <c r="U33" i="1"/>
  <c r="U81" i="1"/>
  <c r="U98" i="1"/>
  <c r="U44" i="1"/>
  <c r="R5" i="1" l="1"/>
  <c r="AF5" i="1"/>
</calcChain>
</file>

<file path=xl/sharedStrings.xml><?xml version="1.0" encoding="utf-8"?>
<sst xmlns="http://schemas.openxmlformats.org/spreadsheetml/2006/main" count="423" uniqueCount="171">
  <si>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</si>
  <si>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</si>
  <si>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</si>
  <si>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</si>
  <si>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</si>
  <si>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</si>
  <si>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</si>
  <si>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</si>
  <si>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</si>
  <si>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</si>
  <si>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</si>
  <si>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</si>
  <si>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</si>
  <si>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</si>
  <si>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</si>
  <si>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</si>
  <si>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</si>
  <si>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</si>
  <si>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</si>
  <si>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</si>
  <si>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</si>
  <si>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</si>
  <si>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</si>
  <si>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13,07,</t>
  </si>
  <si>
    <t>06,07,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</si>
  <si>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</si>
  <si>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</si>
  <si>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</si>
  <si>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</si>
  <si>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</si>
  <si>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</si>
  <si>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</si>
  <si>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</si>
  <si>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</si>
  <si>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</si>
  <si>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</si>
  <si>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</si>
  <si>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</si>
  <si>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</si>
  <si>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</si>
  <si>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</si>
  <si>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нужно увеличить продажи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</si>
  <si>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</si>
  <si>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</si>
  <si>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</si>
  <si>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</si>
  <si>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</si>
  <si>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</si>
  <si>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</si>
  <si>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</si>
  <si>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</si>
  <si>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</si>
  <si>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</si>
  <si>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</si>
  <si>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</si>
  <si>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</si>
  <si>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</si>
  <si>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</si>
  <si>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</si>
  <si>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</si>
  <si>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</si>
  <si>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</si>
  <si>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</si>
  <si>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</si>
  <si>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</si>
  <si>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</si>
  <si>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</si>
  <si>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</si>
  <si>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</si>
  <si>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</si>
  <si>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</si>
  <si>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</si>
  <si>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</si>
  <si>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</si>
  <si>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</si>
  <si>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</si>
  <si>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</si>
  <si>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</si>
  <si>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</si>
  <si>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</si>
  <si>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</si>
  <si>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</si>
  <si>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</si>
  <si>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</si>
  <si>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</si>
  <si>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</si>
  <si>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</si>
  <si>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</si>
  <si>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</si>
  <si>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</si>
  <si>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</si>
  <si>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</si>
  <si>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</si>
  <si>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</si>
  <si>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</si>
  <si>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</si>
  <si>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</si>
  <si>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</si>
  <si>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</si>
  <si>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</si>
  <si>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</si>
  <si>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</si>
  <si>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</si>
  <si>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</si>
  <si>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</si>
  <si>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</si>
  <si>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</si>
  <si>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</si>
  <si>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</si>
  <si>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</si>
  <si>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</si>
  <si>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</si>
  <si>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</si>
  <si>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</si>
  <si>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</si>
  <si>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</si>
  <si>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</si>
  <si>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</si>
  <si>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</si>
  <si>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</si>
  <si>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</si>
  <si>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</si>
  <si>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</si>
  <si>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</si>
  <si>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</si>
  <si>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</si>
  <si>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</si>
  <si>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</si>
  <si>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</si>
  <si>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</si>
  <si>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</si>
  <si>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</si>
  <si>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</si>
  <si>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</si>
  <si>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</si>
  <si>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</si>
  <si>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</si>
  <si>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</si>
  <si>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</si>
  <si>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</si>
  <si>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</si>
  <si>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</si>
  <si>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</si>
  <si>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</si>
  <si>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</si>
  <si>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</si>
  <si>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</si>
  <si>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</si>
  <si>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</si>
  <si>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6353</t>
  </si>
  <si>
    <t>7647  ХОЧУ ВЕТЧ. ИЗ СВИН.ОТРУБА с/н мгс 1/100</t>
  </si>
  <si>
    <t>новинка / завод не отгрузил</t>
  </si>
  <si>
    <t>7651  ХОЧУ ВЕТЧ. МРАМОР. ПМ с/н мгс 1/100_Л11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</si>
  <si>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</si>
  <si>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</si>
  <si>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</si>
  <si>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6620 РЕБРЫШКИ к/в в/у_30с  Останкино</t>
  </si>
  <si>
    <t>нет потребности</t>
  </si>
  <si>
    <t>6925 ВЕТЧ.КЛАССИЧЕСКАЯ в/у 0,6кг 8шт. ОСТАНКИНО</t>
  </si>
  <si>
    <t>вместо 6453</t>
  </si>
  <si>
    <t>вместо 7288</t>
  </si>
  <si>
    <t>вместо 6454</t>
  </si>
  <si>
    <t>149шт списание сроки (15,07,26)</t>
  </si>
  <si>
    <t>22,06,26 в уценку - 197 шт.</t>
  </si>
  <si>
    <t>7040 С ИНДЕЙКОЙ ПМ сос ц/о в/у 1/270 8шт.  ОСТАНКИНО</t>
  </si>
  <si>
    <t>6411 ВЕТЧ.РУБЛЕНАЯ ПМ в/у срез 0.3кг 6шт.</t>
  </si>
  <si>
    <t>ТК</t>
  </si>
  <si>
    <t>Титенок</t>
  </si>
  <si>
    <t>заказ</t>
  </si>
  <si>
    <t>27,07,</t>
  </si>
  <si>
    <t>27,07,доз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</si>
</sst>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0" fontId="0" fillId="5" borderId="0" xfId="0" applyFill="1" applyBorder="1"/>
    <xf numFmtId="164" fontId="5" fillId="4" borderId="1" xfId="1" applyNumberFormat="1" applyFont="1" applyFill="1"/>
    <xf numFmtId="164" fontId="6" fillId="4" borderId="1" xfId="1" applyNumberFormat="1" applyFont="1" applyFill="1"/>
    <xf numFmtId="164" fontId="7" fillId="6" borderId="1" xfId="1" applyNumberFormat="1" applyFont="1" applyFill="1"/>
    <xf numFmtId="164" fontId="1" fillId="0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0,07,26%20&#1084;&#1083;&#1088;&#1089;&#1095;%20&#1086;&#1089;&#1090;%20&#1082;&#1080;%20&#1086;&#1090;%20&#1058;&#1080;&#1090;&#1077;&#1085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20,07,</v>
          </cell>
          <cell r="P4" t="str">
            <v>20,07,</v>
          </cell>
        </row>
        <row r="5">
          <cell r="E5">
            <v>12345.630000000001</v>
          </cell>
          <cell r="F5">
            <v>11145.098</v>
          </cell>
          <cell r="K5">
            <v>12902.231</v>
          </cell>
          <cell r="L5">
            <v>-836.60100000000011</v>
          </cell>
          <cell r="M5">
            <v>0</v>
          </cell>
          <cell r="N5">
            <v>0</v>
          </cell>
          <cell r="O5">
            <v>5498</v>
          </cell>
          <cell r="P5">
            <v>2469.1259999999997</v>
          </cell>
          <cell r="Q5">
            <v>20110.014999999996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188</v>
          </cell>
          <cell r="D6">
            <v>278</v>
          </cell>
          <cell r="E6">
            <v>208</v>
          </cell>
          <cell r="F6">
            <v>205</v>
          </cell>
          <cell r="G6">
            <v>0.4</v>
          </cell>
          <cell r="H6">
            <v>60</v>
          </cell>
          <cell r="I6" t="str">
            <v>матрица</v>
          </cell>
          <cell r="K6">
            <v>218</v>
          </cell>
          <cell r="L6">
            <v>-10</v>
          </cell>
          <cell r="O6">
            <v>107</v>
          </cell>
          <cell r="P6">
            <v>41.6</v>
          </cell>
          <cell r="Q6">
            <v>312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64.742999999999995</v>
          </cell>
          <cell r="D7">
            <v>8.9009999999999998</v>
          </cell>
          <cell r="E7">
            <v>41.755000000000003</v>
          </cell>
          <cell r="F7">
            <v>24.492000000000001</v>
          </cell>
          <cell r="G7">
            <v>1</v>
          </cell>
          <cell r="H7">
            <v>120</v>
          </cell>
          <cell r="I7" t="str">
            <v>матрица</v>
          </cell>
          <cell r="K7">
            <v>42.8</v>
          </cell>
          <cell r="L7">
            <v>-1.0449999999999946</v>
          </cell>
          <cell r="O7">
            <v>39</v>
          </cell>
          <cell r="P7">
            <v>8.3510000000000009</v>
          </cell>
          <cell r="Q7">
            <v>103.52800000000001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237</v>
          </cell>
          <cell r="D8">
            <v>200</v>
          </cell>
          <cell r="E8">
            <v>112</v>
          </cell>
          <cell r="F8">
            <v>303</v>
          </cell>
          <cell r="G8">
            <v>0.25</v>
          </cell>
          <cell r="H8">
            <v>120</v>
          </cell>
          <cell r="I8" t="str">
            <v>матрица</v>
          </cell>
          <cell r="K8">
            <v>113</v>
          </cell>
          <cell r="L8">
            <v>-1</v>
          </cell>
          <cell r="O8">
            <v>124</v>
          </cell>
          <cell r="P8">
            <v>22.4</v>
          </cell>
          <cell r="Q8">
            <v>21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179.47200000000001</v>
          </cell>
          <cell r="D9">
            <v>275.24799999999999</v>
          </cell>
          <cell r="E9">
            <v>177.321</v>
          </cell>
          <cell r="F9">
            <v>212.489</v>
          </cell>
          <cell r="G9">
            <v>1</v>
          </cell>
          <cell r="H9">
            <v>60</v>
          </cell>
          <cell r="I9" t="str">
            <v>матрица</v>
          </cell>
          <cell r="K9">
            <v>199.495</v>
          </cell>
          <cell r="L9">
            <v>-22.174000000000007</v>
          </cell>
          <cell r="O9">
            <v>0</v>
          </cell>
          <cell r="P9">
            <v>35.464199999999998</v>
          </cell>
          <cell r="Q9">
            <v>319.47399999999993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29.952000000000002</v>
          </cell>
          <cell r="D10">
            <v>32.015999999999998</v>
          </cell>
          <cell r="E10">
            <v>27.437999999999999</v>
          </cell>
          <cell r="F10">
            <v>28.062000000000001</v>
          </cell>
          <cell r="G10">
            <v>1</v>
          </cell>
          <cell r="H10">
            <v>120</v>
          </cell>
          <cell r="I10" t="str">
            <v>матрица</v>
          </cell>
          <cell r="K10">
            <v>28.4</v>
          </cell>
          <cell r="L10">
            <v>-0.96199999999999974</v>
          </cell>
          <cell r="O10">
            <v>0</v>
          </cell>
          <cell r="P10">
            <v>5.4875999999999996</v>
          </cell>
          <cell r="Q10">
            <v>81.69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38.292000000000002</v>
          </cell>
          <cell r="D11">
            <v>51.365000000000002</v>
          </cell>
          <cell r="E11">
            <v>30.452000000000002</v>
          </cell>
          <cell r="F11">
            <v>55.527999999999999</v>
          </cell>
          <cell r="G11">
            <v>1</v>
          </cell>
          <cell r="H11">
            <v>60</v>
          </cell>
          <cell r="I11" t="str">
            <v>матрица</v>
          </cell>
          <cell r="K11">
            <v>31.3</v>
          </cell>
          <cell r="L11">
            <v>-0.84799999999999898</v>
          </cell>
          <cell r="O11">
            <v>0</v>
          </cell>
          <cell r="P11">
            <v>6.0904000000000007</v>
          </cell>
          <cell r="Q11">
            <v>35.82800000000001</v>
          </cell>
          <cell r="R11">
            <v>0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163.35</v>
          </cell>
          <cell r="D12">
            <v>29.693000000000001</v>
          </cell>
          <cell r="E12">
            <v>26.937000000000001</v>
          </cell>
          <cell r="F12">
            <v>1.0189999999999999</v>
          </cell>
          <cell r="G12">
            <v>1</v>
          </cell>
          <cell r="H12">
            <v>60</v>
          </cell>
          <cell r="I12" t="str">
            <v>матрица</v>
          </cell>
          <cell r="K12">
            <v>191.6</v>
          </cell>
          <cell r="L12">
            <v>-164.66299999999998</v>
          </cell>
          <cell r="O12">
            <v>303</v>
          </cell>
          <cell r="P12">
            <v>5.3874000000000004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269</v>
          </cell>
          <cell r="D13">
            <v>90</v>
          </cell>
          <cell r="E13">
            <v>226</v>
          </cell>
          <cell r="F13">
            <v>103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248</v>
          </cell>
          <cell r="L13">
            <v>-22</v>
          </cell>
          <cell r="O13">
            <v>68</v>
          </cell>
          <cell r="P13">
            <v>45.2</v>
          </cell>
          <cell r="Q13">
            <v>687.80000000000007</v>
          </cell>
          <cell r="R13">
            <v>450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45.728000000000002</v>
          </cell>
          <cell r="D14">
            <v>1.37</v>
          </cell>
          <cell r="E14">
            <v>24.18</v>
          </cell>
          <cell r="F14">
            <v>17.141999999999999</v>
          </cell>
          <cell r="G14">
            <v>1</v>
          </cell>
          <cell r="H14">
            <v>60</v>
          </cell>
          <cell r="I14" t="str">
            <v>матрица</v>
          </cell>
          <cell r="K14">
            <v>23.7</v>
          </cell>
          <cell r="L14">
            <v>0.48000000000000043</v>
          </cell>
          <cell r="O14">
            <v>19</v>
          </cell>
          <cell r="P14">
            <v>4.8360000000000003</v>
          </cell>
          <cell r="Q14">
            <v>36.39800000000001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241</v>
          </cell>
          <cell r="D15">
            <v>177</v>
          </cell>
          <cell r="E15">
            <v>266</v>
          </cell>
          <cell r="F15">
            <v>102</v>
          </cell>
          <cell r="G15">
            <v>0.25</v>
          </cell>
          <cell r="H15">
            <v>120</v>
          </cell>
          <cell r="I15" t="str">
            <v>матрица</v>
          </cell>
          <cell r="K15">
            <v>274</v>
          </cell>
          <cell r="L15">
            <v>-8</v>
          </cell>
          <cell r="O15">
            <v>304</v>
          </cell>
          <cell r="P15">
            <v>53.2</v>
          </cell>
          <cell r="Q15">
            <v>658</v>
          </cell>
          <cell r="R15">
            <v>400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224</v>
          </cell>
          <cell r="D16">
            <v>189</v>
          </cell>
          <cell r="E16">
            <v>133</v>
          </cell>
          <cell r="F16">
            <v>254</v>
          </cell>
          <cell r="G16">
            <v>0.4</v>
          </cell>
          <cell r="H16">
            <v>60</v>
          </cell>
          <cell r="I16" t="str">
            <v>матрица</v>
          </cell>
          <cell r="K16">
            <v>128</v>
          </cell>
          <cell r="L16">
            <v>5</v>
          </cell>
          <cell r="O16">
            <v>0</v>
          </cell>
          <cell r="P16">
            <v>26.6</v>
          </cell>
          <cell r="Q16">
            <v>145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276.55200000000002</v>
          </cell>
          <cell r="D17">
            <v>44.395000000000003</v>
          </cell>
          <cell r="E17">
            <v>229.339</v>
          </cell>
          <cell r="F17">
            <v>58.314</v>
          </cell>
          <cell r="G17">
            <v>1</v>
          </cell>
          <cell r="H17">
            <v>45</v>
          </cell>
          <cell r="I17" t="str">
            <v>матрица</v>
          </cell>
          <cell r="K17">
            <v>222.7</v>
          </cell>
          <cell r="L17">
            <v>6.63900000000001</v>
          </cell>
          <cell r="O17">
            <v>221</v>
          </cell>
          <cell r="P17">
            <v>45.867800000000003</v>
          </cell>
          <cell r="Q17">
            <v>408.70300000000003</v>
          </cell>
        </row>
        <row r="18">
          <cell r="A18" t="str">
            <v>5679 САЛЯМИ ИТАЛЬЯНСКАЯ с/к в/у 1/150_60с ОСТАНКИНО</v>
          </cell>
          <cell r="B18" t="str">
            <v>шт</v>
          </cell>
          <cell r="C18">
            <v>8</v>
          </cell>
          <cell r="D18">
            <v>8</v>
          </cell>
          <cell r="E18">
            <v>12</v>
          </cell>
          <cell r="F18">
            <v>4</v>
          </cell>
          <cell r="G18">
            <v>0</v>
          </cell>
          <cell r="H18">
            <v>60</v>
          </cell>
          <cell r="I18" t="str">
            <v>не в матрице</v>
          </cell>
          <cell r="K18">
            <v>12</v>
          </cell>
          <cell r="L18">
            <v>0</v>
          </cell>
          <cell r="O18">
            <v>29</v>
          </cell>
          <cell r="P18">
            <v>2.4</v>
          </cell>
        </row>
        <row r="19">
          <cell r="A19" t="str">
            <v>5708 ПОСОЛЬСКАЯ Папа может с/к в/у ОСТАНКИНО</v>
          </cell>
          <cell r="B19" t="str">
            <v>кг</v>
          </cell>
          <cell r="C19">
            <v>115.622</v>
          </cell>
          <cell r="D19">
            <v>11.061999999999999</v>
          </cell>
          <cell r="E19">
            <v>29.085999999999999</v>
          </cell>
          <cell r="F19">
            <v>88.653999999999996</v>
          </cell>
          <cell r="G19">
            <v>1</v>
          </cell>
          <cell r="H19">
            <v>120</v>
          </cell>
          <cell r="I19" t="str">
            <v>матрица</v>
          </cell>
          <cell r="K19">
            <v>32.9</v>
          </cell>
          <cell r="L19">
            <v>-3.8140000000000001</v>
          </cell>
          <cell r="O19">
            <v>23</v>
          </cell>
          <cell r="P19">
            <v>5.8171999999999997</v>
          </cell>
          <cell r="Q19">
            <v>4.6899999999999977</v>
          </cell>
        </row>
        <row r="20">
          <cell r="A20" t="str">
            <v>5819 Сосиски Папа может 400г Мясные  ОСТАНКИНО</v>
          </cell>
          <cell r="B20" t="str">
            <v>шт</v>
          </cell>
          <cell r="C20">
            <v>165</v>
          </cell>
          <cell r="D20">
            <v>160</v>
          </cell>
          <cell r="E20">
            <v>210</v>
          </cell>
          <cell r="F20">
            <v>99</v>
          </cell>
          <cell r="G20">
            <v>0.4</v>
          </cell>
          <cell r="H20">
            <v>45</v>
          </cell>
          <cell r="I20" t="str">
            <v>матрица</v>
          </cell>
          <cell r="K20">
            <v>200</v>
          </cell>
          <cell r="L20">
            <v>10</v>
          </cell>
          <cell r="O20">
            <v>152</v>
          </cell>
          <cell r="P20">
            <v>42</v>
          </cell>
          <cell r="Q20">
            <v>379</v>
          </cell>
        </row>
        <row r="21">
          <cell r="A21" t="str">
            <v>5851 ЭКСТРА Папа может вар п/о   ОСТАНКИНО</v>
          </cell>
          <cell r="B21" t="str">
            <v>кг</v>
          </cell>
          <cell r="C21">
            <v>273.41500000000002</v>
          </cell>
          <cell r="D21">
            <v>18.687000000000001</v>
          </cell>
          <cell r="E21">
            <v>105.562</v>
          </cell>
          <cell r="F21">
            <v>12.427</v>
          </cell>
          <cell r="G21">
            <v>1</v>
          </cell>
          <cell r="H21">
            <v>60</v>
          </cell>
          <cell r="I21" t="str">
            <v>матрица</v>
          </cell>
          <cell r="K21">
            <v>160.94499999999999</v>
          </cell>
          <cell r="L21">
            <v>-55.382999999999996</v>
          </cell>
          <cell r="O21">
            <v>91</v>
          </cell>
          <cell r="P21">
            <v>21.112400000000001</v>
          </cell>
          <cell r="Q21">
            <v>213.25900000000004</v>
          </cell>
        </row>
        <row r="22">
          <cell r="A22" t="str">
            <v>5931 ОХОТНИЧЬЯ Папа может с/к в/у 1/220 8шт.   ОСТАНКИНО</v>
          </cell>
          <cell r="B22" t="str">
            <v>шт</v>
          </cell>
          <cell r="C22">
            <v>188</v>
          </cell>
          <cell r="D22">
            <v>212</v>
          </cell>
          <cell r="E22">
            <v>267</v>
          </cell>
          <cell r="F22">
            <v>97</v>
          </cell>
          <cell r="G22">
            <v>0.22</v>
          </cell>
          <cell r="H22">
            <v>120</v>
          </cell>
          <cell r="I22" t="str">
            <v>матрица</v>
          </cell>
          <cell r="K22">
            <v>277</v>
          </cell>
          <cell r="L22">
            <v>-10</v>
          </cell>
          <cell r="O22">
            <v>322</v>
          </cell>
          <cell r="P22">
            <v>53.4</v>
          </cell>
          <cell r="Q22">
            <v>649</v>
          </cell>
          <cell r="R22">
            <v>600</v>
          </cell>
        </row>
        <row r="23">
          <cell r="A23" t="str">
            <v>6008 САЛО СОЛЕНОЕ С ЧЕРНЫМ ПЕРЦЕМ мл/к в/у ОСТАНКИНО</v>
          </cell>
          <cell r="B23" t="str">
            <v>кг</v>
          </cell>
          <cell r="C23">
            <v>95.403999999999996</v>
          </cell>
          <cell r="D23">
            <v>45.747999999999998</v>
          </cell>
          <cell r="E23">
            <v>20.446000000000002</v>
          </cell>
          <cell r="F23">
            <v>70.706000000000003</v>
          </cell>
          <cell r="G23">
            <v>1</v>
          </cell>
          <cell r="H23">
            <v>40</v>
          </cell>
          <cell r="I23" t="str">
            <v>матрица</v>
          </cell>
          <cell r="K23">
            <v>17.8</v>
          </cell>
          <cell r="L23">
            <v>2.6460000000000008</v>
          </cell>
          <cell r="O23">
            <v>0</v>
          </cell>
          <cell r="P23">
            <v>4.0891999999999999</v>
          </cell>
        </row>
        <row r="24">
          <cell r="A24" t="str">
            <v>6208 ДЫМОВИЦА ИЗ ЛОПАТКИ ПМ к/в с/н в/у 1/150  Останкино</v>
          </cell>
          <cell r="B24" t="str">
            <v>шт</v>
          </cell>
          <cell r="C24">
            <v>224</v>
          </cell>
          <cell r="D24">
            <v>7</v>
          </cell>
          <cell r="E24">
            <v>4</v>
          </cell>
          <cell r="F24">
            <v>220</v>
          </cell>
          <cell r="G24">
            <v>0</v>
          </cell>
          <cell r="H24">
            <v>45</v>
          </cell>
          <cell r="I24" t="str">
            <v>не в матрице</v>
          </cell>
          <cell r="K24">
            <v>10</v>
          </cell>
          <cell r="L24">
            <v>-6</v>
          </cell>
          <cell r="O24">
            <v>0</v>
          </cell>
          <cell r="P24">
            <v>0.8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152.46100000000001</v>
          </cell>
          <cell r="D25">
            <v>88.447000000000003</v>
          </cell>
          <cell r="E25">
            <v>60.703000000000003</v>
          </cell>
          <cell r="F25">
            <v>178.84800000000001</v>
          </cell>
          <cell r="G25">
            <v>1</v>
          </cell>
          <cell r="H25">
            <v>60</v>
          </cell>
          <cell r="I25" t="str">
            <v>матрица</v>
          </cell>
          <cell r="K25">
            <v>59.4</v>
          </cell>
          <cell r="L25">
            <v>1.3030000000000044</v>
          </cell>
          <cell r="O25">
            <v>0</v>
          </cell>
          <cell r="P25">
            <v>12.140600000000001</v>
          </cell>
        </row>
        <row r="26">
          <cell r="A26" t="str">
            <v>6221 НЕОПОЛИТАНСКИЙ ДУЭТ с/к с/н мгс 1/90  Останкино</v>
          </cell>
          <cell r="B26" t="str">
            <v>шт</v>
          </cell>
          <cell r="C26">
            <v>140</v>
          </cell>
          <cell r="D26">
            <v>50</v>
          </cell>
          <cell r="E26">
            <v>49</v>
          </cell>
          <cell r="F26">
            <v>131</v>
          </cell>
          <cell r="G26">
            <v>0.09</v>
          </cell>
          <cell r="H26">
            <v>60</v>
          </cell>
          <cell r="I26" t="str">
            <v>матрица</v>
          </cell>
          <cell r="K26">
            <v>44</v>
          </cell>
          <cell r="L26">
            <v>5</v>
          </cell>
          <cell r="O26">
            <v>0</v>
          </cell>
          <cell r="P26">
            <v>9.8000000000000007</v>
          </cell>
          <cell r="Q26">
            <v>6.2000000000000171</v>
          </cell>
        </row>
        <row r="27">
          <cell r="A27" t="str">
            <v>6228 МЯСНОЕ АССОРТИ к/з с/н мгс 1/90 10шт  Останкино</v>
          </cell>
          <cell r="B27" t="str">
            <v>шт</v>
          </cell>
          <cell r="C27">
            <v>156</v>
          </cell>
          <cell r="D27">
            <v>100</v>
          </cell>
          <cell r="E27">
            <v>73</v>
          </cell>
          <cell r="F27">
            <v>161</v>
          </cell>
          <cell r="G27">
            <v>0.09</v>
          </cell>
          <cell r="H27">
            <v>45</v>
          </cell>
          <cell r="I27" t="str">
            <v>матрица</v>
          </cell>
          <cell r="K27">
            <v>75</v>
          </cell>
          <cell r="L27">
            <v>-2</v>
          </cell>
          <cell r="O27">
            <v>0</v>
          </cell>
          <cell r="P27">
            <v>14.6</v>
          </cell>
          <cell r="Q27">
            <v>58</v>
          </cell>
        </row>
        <row r="28">
          <cell r="A28" t="str">
            <v>6279 КОРЕЙКА ПО-ОСТ.к/в в/с с/н в/у 1/150_45с  Останкино</v>
          </cell>
          <cell r="B28" t="str">
            <v>шт</v>
          </cell>
          <cell r="C28">
            <v>144</v>
          </cell>
          <cell r="D28">
            <v>148</v>
          </cell>
          <cell r="E28">
            <v>66</v>
          </cell>
          <cell r="F28">
            <v>221</v>
          </cell>
          <cell r="G28">
            <v>0.15</v>
          </cell>
          <cell r="H28">
            <v>45</v>
          </cell>
          <cell r="I28" t="str">
            <v>матрица</v>
          </cell>
          <cell r="K28">
            <v>68</v>
          </cell>
          <cell r="L28">
            <v>-2</v>
          </cell>
          <cell r="O28">
            <v>0</v>
          </cell>
          <cell r="P28">
            <v>13.2</v>
          </cell>
        </row>
        <row r="29">
          <cell r="A29" t="str">
            <v>6303 Мясные Папа может сос п/о мгс 1,5*3  Останкино</v>
          </cell>
          <cell r="B29" t="str">
            <v>кг</v>
          </cell>
          <cell r="C29">
            <v>216.387</v>
          </cell>
          <cell r="D29">
            <v>544.66499999999996</v>
          </cell>
          <cell r="E29">
            <v>337.62799999999999</v>
          </cell>
          <cell r="F29">
            <v>331.089</v>
          </cell>
          <cell r="G29">
            <v>1</v>
          </cell>
          <cell r="H29">
            <v>45</v>
          </cell>
          <cell r="I29" t="str">
            <v>матрица</v>
          </cell>
          <cell r="K29">
            <v>323.565</v>
          </cell>
          <cell r="L29">
            <v>14.062999999999988</v>
          </cell>
          <cell r="O29">
            <v>0</v>
          </cell>
          <cell r="P29">
            <v>67.525599999999997</v>
          </cell>
          <cell r="Q29">
            <v>681.79500000000007</v>
          </cell>
          <cell r="R29">
            <v>450</v>
          </cell>
        </row>
        <row r="30">
          <cell r="A30" t="str">
            <v>6325 ДОКТОРСКАЯ ПРЕМИУМ вар п/о 0.4кг 8шт.  ОСТАНКИНО</v>
          </cell>
          <cell r="B30" t="str">
            <v>шт</v>
          </cell>
          <cell r="C30">
            <v>176</v>
          </cell>
          <cell r="D30">
            <v>11</v>
          </cell>
          <cell r="E30">
            <v>71</v>
          </cell>
          <cell r="F30">
            <v>91</v>
          </cell>
          <cell r="G30">
            <v>0.4</v>
          </cell>
          <cell r="H30">
            <v>60</v>
          </cell>
          <cell r="I30" t="str">
            <v>матрица</v>
          </cell>
          <cell r="K30">
            <v>74</v>
          </cell>
          <cell r="L30">
            <v>-3</v>
          </cell>
          <cell r="O30">
            <v>0</v>
          </cell>
          <cell r="P30">
            <v>14.2</v>
          </cell>
          <cell r="Q30">
            <v>122</v>
          </cell>
        </row>
        <row r="31">
          <cell r="A31" t="str">
            <v>6333 МЯСНАЯ Папа может вар п/о 0.4кг 8шт.  ОСТАНКИНО</v>
          </cell>
          <cell r="B31" t="str">
            <v>шт</v>
          </cell>
          <cell r="C31">
            <v>318</v>
          </cell>
          <cell r="D31">
            <v>311</v>
          </cell>
          <cell r="E31">
            <v>256</v>
          </cell>
          <cell r="F31">
            <v>321</v>
          </cell>
          <cell r="G31">
            <v>0.4</v>
          </cell>
          <cell r="H31">
            <v>60</v>
          </cell>
          <cell r="I31" t="str">
            <v>матрица</v>
          </cell>
          <cell r="K31">
            <v>271</v>
          </cell>
          <cell r="L31">
            <v>-15</v>
          </cell>
          <cell r="O31">
            <v>85</v>
          </cell>
          <cell r="P31">
            <v>51.2</v>
          </cell>
          <cell r="Q31">
            <v>362</v>
          </cell>
        </row>
        <row r="32">
          <cell r="A32" t="str">
            <v>6353 ЭКСТРА Папа может вар п/о 0.4кг 8шт.  ОСТАНКИНО</v>
          </cell>
          <cell r="B32" t="str">
            <v>шт</v>
          </cell>
          <cell r="C32">
            <v>-4</v>
          </cell>
          <cell r="D32">
            <v>2</v>
          </cell>
          <cell r="E32">
            <v>4</v>
          </cell>
          <cell r="F32">
            <v>-6</v>
          </cell>
          <cell r="G32">
            <v>0</v>
          </cell>
          <cell r="H32">
            <v>60</v>
          </cell>
          <cell r="I32" t="str">
            <v>не в матрице</v>
          </cell>
          <cell r="J32" t="str">
            <v>7632 ЭКСТРА Папа может вар п/о 0.4кг 8шт_195к  ОСТАНКИНО</v>
          </cell>
          <cell r="K32">
            <v>56</v>
          </cell>
          <cell r="L32">
            <v>-52</v>
          </cell>
          <cell r="O32">
            <v>0</v>
          </cell>
          <cell r="P32">
            <v>0.8</v>
          </cell>
        </row>
        <row r="33">
          <cell r="A33" t="str">
            <v>6392 ФИЛЕЙНАЯ Папа может вар п/о 0,4кг  ОСТАНКИНО</v>
          </cell>
          <cell r="B33" t="str">
            <v>шт</v>
          </cell>
          <cell r="C33">
            <v>380</v>
          </cell>
          <cell r="D33">
            <v>327</v>
          </cell>
          <cell r="E33">
            <v>230</v>
          </cell>
          <cell r="F33">
            <v>157</v>
          </cell>
          <cell r="G33">
            <v>0.4</v>
          </cell>
          <cell r="H33">
            <v>60</v>
          </cell>
          <cell r="I33" t="str">
            <v>матрица</v>
          </cell>
          <cell r="K33">
            <v>242</v>
          </cell>
          <cell r="L33">
            <v>-12</v>
          </cell>
          <cell r="O33">
            <v>0</v>
          </cell>
          <cell r="P33">
            <v>46</v>
          </cell>
          <cell r="Q33">
            <v>441</v>
          </cell>
        </row>
        <row r="34">
          <cell r="A34" t="str">
            <v>6453 ЭКСТРА Папа может с/к с/н в/у 1/100 14шт.   ОСТАНКИНО</v>
          </cell>
          <cell r="B34" t="str">
            <v>шт</v>
          </cell>
          <cell r="C34">
            <v>41</v>
          </cell>
          <cell r="D34">
            <v>8</v>
          </cell>
          <cell r="E34">
            <v>45</v>
          </cell>
          <cell r="F34">
            <v>2</v>
          </cell>
          <cell r="G34">
            <v>0</v>
          </cell>
          <cell r="H34">
            <v>60</v>
          </cell>
          <cell r="I34" t="str">
            <v>не в матрице</v>
          </cell>
          <cell r="J34" t="str">
            <v>7616 ЭКСТРА Папа может с/к с/н в/у 1/100_  ОСТАНКИНО</v>
          </cell>
          <cell r="K34">
            <v>70</v>
          </cell>
          <cell r="L34">
            <v>-25</v>
          </cell>
          <cell r="P34">
            <v>9</v>
          </cell>
        </row>
        <row r="35">
          <cell r="A35" t="str">
            <v>6454 АРОМАТНАЯ с/к с/н в/у 1/100 10шт.  ОСТАНКИНО</v>
          </cell>
          <cell r="B35" t="str">
            <v>шт</v>
          </cell>
          <cell r="C35">
            <v>196</v>
          </cell>
          <cell r="D35">
            <v>225</v>
          </cell>
          <cell r="E35">
            <v>199</v>
          </cell>
          <cell r="F35">
            <v>210</v>
          </cell>
          <cell r="G35">
            <v>0</v>
          </cell>
          <cell r="H35">
            <v>60</v>
          </cell>
          <cell r="I35" t="str">
            <v>не в матрице</v>
          </cell>
          <cell r="J35" t="str">
            <v>7613 АРОМАТНАЯ с/к с/н в/у 1/100 10шт_Л10</v>
          </cell>
          <cell r="K35">
            <v>189</v>
          </cell>
          <cell r="L35">
            <v>10</v>
          </cell>
          <cell r="P35">
            <v>39.799999999999997</v>
          </cell>
        </row>
        <row r="36">
          <cell r="A36" t="str">
            <v>6459 СЕРВЕЛАТ ШВЕЙЦАРСК. в/к с/н в/у 1/100*10  Останкино</v>
          </cell>
          <cell r="B36" t="str">
            <v>шт</v>
          </cell>
          <cell r="C36">
            <v>85</v>
          </cell>
          <cell r="D36">
            <v>5</v>
          </cell>
          <cell r="E36">
            <v>14</v>
          </cell>
          <cell r="F36">
            <v>74</v>
          </cell>
          <cell r="G36">
            <v>0</v>
          </cell>
          <cell r="H36">
            <v>45</v>
          </cell>
          <cell r="I36" t="str">
            <v>не в матрице</v>
          </cell>
          <cell r="J36" t="str">
            <v>7608 СЕРВЕЛАТ ШВЕЙЦАРСК.в/к с/н в/у 1/100_Л11  ОСТАНКИНО</v>
          </cell>
          <cell r="K36">
            <v>16</v>
          </cell>
          <cell r="L36">
            <v>-2</v>
          </cell>
          <cell r="O36">
            <v>0</v>
          </cell>
          <cell r="P36">
            <v>2.8</v>
          </cell>
        </row>
        <row r="37">
          <cell r="A37" t="str">
            <v>6470 ВЕТЧ.МРАМОРНАЯ в/у_45с  ОСТАНКИНО</v>
          </cell>
          <cell r="B37" t="str">
            <v>кг</v>
          </cell>
          <cell r="C37">
            <v>47.969000000000001</v>
          </cell>
          <cell r="E37">
            <v>1.1890000000000001</v>
          </cell>
          <cell r="F37">
            <v>45.584000000000003</v>
          </cell>
          <cell r="G37">
            <v>0</v>
          </cell>
          <cell r="H37">
            <v>45</v>
          </cell>
          <cell r="I37" t="str">
            <v>не в матрице</v>
          </cell>
          <cell r="K37">
            <v>3.7</v>
          </cell>
          <cell r="L37">
            <v>-2.5110000000000001</v>
          </cell>
          <cell r="O37">
            <v>0</v>
          </cell>
          <cell r="P37">
            <v>0.23780000000000001</v>
          </cell>
        </row>
        <row r="38">
          <cell r="A38" t="str">
            <v>6475 Сосиски Папа может 400г С сыром  ОСТАНКИНО</v>
          </cell>
          <cell r="B38" t="str">
            <v>шт</v>
          </cell>
          <cell r="C38">
            <v>343</v>
          </cell>
          <cell r="D38">
            <v>308</v>
          </cell>
          <cell r="E38">
            <v>245.86</v>
          </cell>
          <cell r="F38">
            <v>288</v>
          </cell>
          <cell r="G38">
            <v>0.4</v>
          </cell>
          <cell r="H38">
            <v>45</v>
          </cell>
          <cell r="I38" t="str">
            <v>матрица</v>
          </cell>
          <cell r="K38">
            <v>260</v>
          </cell>
          <cell r="L38">
            <v>-14.139999999999986</v>
          </cell>
          <cell r="O38">
            <v>0</v>
          </cell>
          <cell r="P38">
            <v>49.172000000000004</v>
          </cell>
          <cell r="Q38">
            <v>449.58000000000004</v>
          </cell>
          <cell r="R38">
            <v>300</v>
          </cell>
        </row>
        <row r="39">
          <cell r="A39" t="str">
            <v>6495 ВЕТЧ.МРАМОРНАЯ в/у срез 0,3кг 6шт_45с  Останкино</v>
          </cell>
          <cell r="B39" t="str">
            <v>шт</v>
          </cell>
          <cell r="C39">
            <v>106</v>
          </cell>
          <cell r="D39">
            <v>13</v>
          </cell>
          <cell r="E39">
            <v>-3</v>
          </cell>
          <cell r="F39">
            <v>7</v>
          </cell>
          <cell r="G39">
            <v>0.3</v>
          </cell>
          <cell r="H39">
            <v>45</v>
          </cell>
          <cell r="I39" t="str">
            <v>матрица</v>
          </cell>
          <cell r="K39">
            <v>79</v>
          </cell>
          <cell r="L39">
            <v>-82</v>
          </cell>
          <cell r="O39">
            <v>73</v>
          </cell>
          <cell r="P39">
            <v>-0.6</v>
          </cell>
        </row>
        <row r="40">
          <cell r="A40" t="str">
            <v>6498 МОЛОЧНАЯ Папа может вар п/о  ОСТАНКИНО</v>
          </cell>
          <cell r="B40" t="str">
            <v>кг</v>
          </cell>
          <cell r="C40">
            <v>130.20400000000001</v>
          </cell>
          <cell r="D40">
            <v>65.793999999999997</v>
          </cell>
          <cell r="E40">
            <v>109.651</v>
          </cell>
          <cell r="F40">
            <v>8.5869999999999997</v>
          </cell>
          <cell r="G40">
            <v>1</v>
          </cell>
          <cell r="H40">
            <v>60</v>
          </cell>
          <cell r="I40" t="str">
            <v>матрица</v>
          </cell>
          <cell r="K40">
            <v>113</v>
          </cell>
          <cell r="L40">
            <v>-3.3490000000000038</v>
          </cell>
          <cell r="O40">
            <v>0</v>
          </cell>
          <cell r="P40">
            <v>21.930199999999999</v>
          </cell>
          <cell r="Q40">
            <v>210.715</v>
          </cell>
        </row>
        <row r="41">
          <cell r="A41" t="str">
            <v>6527 ШПИКАЧКИ СОЧНЫЕ ПМ сар б/о мгс 1*3 45с ОСТАНКИНО</v>
          </cell>
          <cell r="B41" t="str">
            <v>кг</v>
          </cell>
          <cell r="C41">
            <v>156.292</v>
          </cell>
          <cell r="D41">
            <v>137.50700000000001</v>
          </cell>
          <cell r="E41">
            <v>96.058999999999997</v>
          </cell>
          <cell r="F41">
            <v>129.25800000000001</v>
          </cell>
          <cell r="G41">
            <v>1</v>
          </cell>
          <cell r="H41">
            <v>45</v>
          </cell>
          <cell r="I41" t="str">
            <v>матрица</v>
          </cell>
          <cell r="K41">
            <v>103</v>
          </cell>
          <cell r="L41">
            <v>-6.9410000000000025</v>
          </cell>
          <cell r="O41">
            <v>0</v>
          </cell>
          <cell r="P41">
            <v>19.2118</v>
          </cell>
          <cell r="Q41">
            <v>158.91900000000001</v>
          </cell>
        </row>
        <row r="42">
          <cell r="A42" t="str">
            <v>6550 МЯСНЫЕ Папа может сар б/о мгс 1*3 О 45с  Останкино</v>
          </cell>
          <cell r="B42" t="str">
            <v>кг</v>
          </cell>
          <cell r="C42">
            <v>174.16300000000001</v>
          </cell>
          <cell r="D42">
            <v>99.956999999999994</v>
          </cell>
          <cell r="E42">
            <v>141.21</v>
          </cell>
          <cell r="F42">
            <v>96.058000000000007</v>
          </cell>
          <cell r="G42">
            <v>1</v>
          </cell>
          <cell r="H42">
            <v>45</v>
          </cell>
          <cell r="I42" t="str">
            <v>матрица</v>
          </cell>
          <cell r="K42">
            <v>141.66300000000001</v>
          </cell>
          <cell r="L42">
            <v>-0.45300000000000296</v>
          </cell>
          <cell r="O42">
            <v>52</v>
          </cell>
          <cell r="P42">
            <v>28.242000000000001</v>
          </cell>
          <cell r="Q42">
            <v>275.572</v>
          </cell>
        </row>
        <row r="43">
          <cell r="A43" t="str">
            <v>6602 БАВАРСКИЕ ПМ сос ц/о мгс 0,35кг 8шт  Останкино</v>
          </cell>
          <cell r="B43" t="str">
            <v>шт</v>
          </cell>
          <cell r="C43">
            <v>27</v>
          </cell>
          <cell r="D43">
            <v>24</v>
          </cell>
          <cell r="E43">
            <v>29</v>
          </cell>
          <cell r="F43">
            <v>13</v>
          </cell>
          <cell r="G43">
            <v>0</v>
          </cell>
          <cell r="H43">
            <v>45</v>
          </cell>
          <cell r="I43" t="str">
            <v>не в матрице</v>
          </cell>
          <cell r="K43">
            <v>28</v>
          </cell>
          <cell r="L43">
            <v>1</v>
          </cell>
          <cell r="O43">
            <v>0</v>
          </cell>
          <cell r="P43">
            <v>5.8</v>
          </cell>
        </row>
        <row r="44">
          <cell r="A44" t="str">
            <v>6608 С ГОВЯДИНОЙ ОРИГИН. сар б/о мгс 1*3_45с  ОСТАНКИНО</v>
          </cell>
          <cell r="B44" t="str">
            <v>кг</v>
          </cell>
          <cell r="C44">
            <v>39.909999999999997</v>
          </cell>
          <cell r="D44">
            <v>129.37299999999999</v>
          </cell>
          <cell r="E44">
            <v>97.718999999999994</v>
          </cell>
          <cell r="F44">
            <v>50.743000000000002</v>
          </cell>
          <cell r="G44">
            <v>1</v>
          </cell>
          <cell r="H44">
            <v>45</v>
          </cell>
          <cell r="I44" t="str">
            <v>матрица</v>
          </cell>
          <cell r="K44">
            <v>101.8</v>
          </cell>
          <cell r="L44">
            <v>-4.0810000000000031</v>
          </cell>
          <cell r="O44">
            <v>99</v>
          </cell>
          <cell r="P44">
            <v>19.543799999999997</v>
          </cell>
          <cell r="Q44">
            <v>143.41399999999999</v>
          </cell>
        </row>
        <row r="45">
          <cell r="A45" t="str">
            <v>6616 МОЛОЧНЫЕ КЛАССИЧЕСКИЕ сос п/о в/у 0,3 кг  Останкино</v>
          </cell>
          <cell r="B45" t="str">
            <v>шт</v>
          </cell>
          <cell r="C45">
            <v>507</v>
          </cell>
          <cell r="D45">
            <v>34</v>
          </cell>
          <cell r="E45">
            <v>268</v>
          </cell>
          <cell r="F45">
            <v>255</v>
          </cell>
          <cell r="G45">
            <v>0.3</v>
          </cell>
          <cell r="H45">
            <v>45</v>
          </cell>
          <cell r="I45" t="str">
            <v>матрица</v>
          </cell>
          <cell r="K45">
            <v>264</v>
          </cell>
          <cell r="L45">
            <v>4</v>
          </cell>
          <cell r="O45">
            <v>90</v>
          </cell>
          <cell r="P45">
            <v>53.6</v>
          </cell>
          <cell r="Q45">
            <v>459</v>
          </cell>
        </row>
        <row r="46">
          <cell r="A46" t="str">
            <v>6661 СОЧНЫЙ ГРИЛЬ ПМ сос п/о мгс 1,5*4_Маяк Останкино</v>
          </cell>
          <cell r="B46" t="str">
            <v>кг</v>
          </cell>
          <cell r="C46">
            <v>246.624</v>
          </cell>
          <cell r="D46">
            <v>14.029</v>
          </cell>
          <cell r="E46">
            <v>95.042000000000002</v>
          </cell>
          <cell r="F46">
            <v>148.47900000000001</v>
          </cell>
          <cell r="G46">
            <v>1</v>
          </cell>
          <cell r="H46">
            <v>45</v>
          </cell>
          <cell r="I46" t="str">
            <v>матрица</v>
          </cell>
          <cell r="K46">
            <v>94.8</v>
          </cell>
          <cell r="L46">
            <v>0.24200000000000443</v>
          </cell>
          <cell r="O46">
            <v>0</v>
          </cell>
          <cell r="P46">
            <v>19.008400000000002</v>
          </cell>
          <cell r="Q46">
            <v>136.64700000000002</v>
          </cell>
        </row>
        <row r="47">
          <cell r="A47" t="str">
            <v>6697 СЕРВЕЛАТ ФИНСКИЙ ПМ в/к в/у 0,35кг 8шт  ОСТАНКИНО</v>
          </cell>
          <cell r="B47" t="str">
            <v>шт</v>
          </cell>
          <cell r="C47">
            <v>366</v>
          </cell>
          <cell r="D47">
            <v>425</v>
          </cell>
          <cell r="E47">
            <v>421</v>
          </cell>
          <cell r="F47">
            <v>283.2</v>
          </cell>
          <cell r="G47">
            <v>0.35</v>
          </cell>
          <cell r="H47">
            <v>45</v>
          </cell>
          <cell r="I47" t="str">
            <v>матрица</v>
          </cell>
          <cell r="K47">
            <v>437</v>
          </cell>
          <cell r="L47">
            <v>-16</v>
          </cell>
          <cell r="O47">
            <v>207</v>
          </cell>
          <cell r="P47">
            <v>84.2</v>
          </cell>
          <cell r="Q47">
            <v>772.8</v>
          </cell>
        </row>
        <row r="48">
          <cell r="A48" t="str">
            <v>6713 СОЧНЫЙ ГРИЛЬ ПМ сос п/о мгс 0,41кг 8 шт.  ОСТАНКИНО</v>
          </cell>
          <cell r="B48" t="str">
            <v>шт</v>
          </cell>
          <cell r="C48">
            <v>338</v>
          </cell>
          <cell r="D48">
            <v>292</v>
          </cell>
          <cell r="E48">
            <v>222</v>
          </cell>
          <cell r="F48">
            <v>68</v>
          </cell>
          <cell r="G48">
            <v>0.41</v>
          </cell>
          <cell r="H48">
            <v>45</v>
          </cell>
          <cell r="I48" t="str">
            <v>матрица</v>
          </cell>
          <cell r="K48">
            <v>242</v>
          </cell>
          <cell r="L48">
            <v>-20</v>
          </cell>
          <cell r="O48">
            <v>0</v>
          </cell>
          <cell r="P48">
            <v>44.4</v>
          </cell>
          <cell r="Q48">
            <v>464.79999999999995</v>
          </cell>
        </row>
        <row r="49">
          <cell r="A49" t="str">
            <v>6724 МОЛОЧНЫЕ ПМ сос п/о мгс 0,41кг 10шт  Останкино</v>
          </cell>
          <cell r="B49" t="str">
            <v>шт</v>
          </cell>
          <cell r="C49">
            <v>239</v>
          </cell>
          <cell r="D49">
            <v>259</v>
          </cell>
          <cell r="E49">
            <v>219</v>
          </cell>
          <cell r="F49">
            <v>270</v>
          </cell>
          <cell r="G49">
            <v>0.41</v>
          </cell>
          <cell r="H49">
            <v>45</v>
          </cell>
          <cell r="I49" t="str">
            <v>матрица</v>
          </cell>
          <cell r="K49">
            <v>214</v>
          </cell>
          <cell r="L49">
            <v>5</v>
          </cell>
          <cell r="O49">
            <v>0</v>
          </cell>
          <cell r="P49">
            <v>43.8</v>
          </cell>
          <cell r="Q49">
            <v>387</v>
          </cell>
        </row>
        <row r="50">
          <cell r="A50" t="str">
            <v>6765 РУБЛЕНЫЕ сос ц/о мгс 0,36кг 6шт  Останкино</v>
          </cell>
          <cell r="B50" t="str">
            <v>шт</v>
          </cell>
          <cell r="C50">
            <v>96</v>
          </cell>
          <cell r="D50">
            <v>288</v>
          </cell>
          <cell r="E50">
            <v>222</v>
          </cell>
          <cell r="F50">
            <v>138</v>
          </cell>
          <cell r="G50">
            <v>0.36</v>
          </cell>
          <cell r="H50">
            <v>45</v>
          </cell>
          <cell r="I50" t="str">
            <v>матрица</v>
          </cell>
          <cell r="K50">
            <v>238</v>
          </cell>
          <cell r="L50">
            <v>-16</v>
          </cell>
          <cell r="O50">
            <v>0</v>
          </cell>
          <cell r="P50">
            <v>44.4</v>
          </cell>
          <cell r="Q50">
            <v>439.19999999999993</v>
          </cell>
        </row>
        <row r="51">
          <cell r="A51" t="str">
            <v>6787 СЕРВЕЛАТ КРЕМЛЕВСКИЙ в/к в/у 0,33кг 8шт  Останкино</v>
          </cell>
          <cell r="B51" t="str">
            <v>шт</v>
          </cell>
          <cell r="C51">
            <v>55</v>
          </cell>
          <cell r="D51">
            <v>56</v>
          </cell>
          <cell r="E51">
            <v>19</v>
          </cell>
          <cell r="F51">
            <v>86</v>
          </cell>
          <cell r="G51">
            <v>0.33</v>
          </cell>
          <cell r="H51">
            <v>45</v>
          </cell>
          <cell r="I51" t="str">
            <v>матрица</v>
          </cell>
          <cell r="K51">
            <v>19</v>
          </cell>
          <cell r="L51">
            <v>0</v>
          </cell>
          <cell r="O51">
            <v>0</v>
          </cell>
          <cell r="P51">
            <v>3.8</v>
          </cell>
        </row>
        <row r="52">
          <cell r="A52" t="str">
            <v>6797 С ИНДЕЙКОЙ Папа может вар п/о 0,4кг 8шт. ОСТАНКИНО</v>
          </cell>
          <cell r="B52" t="str">
            <v>шт</v>
          </cell>
          <cell r="C52">
            <v>101</v>
          </cell>
          <cell r="D52">
            <v>2</v>
          </cell>
          <cell r="E52">
            <v>70</v>
          </cell>
          <cell r="F52">
            <v>26</v>
          </cell>
          <cell r="G52">
            <v>0.4</v>
          </cell>
          <cell r="H52">
            <v>60</v>
          </cell>
          <cell r="I52" t="str">
            <v>матрица</v>
          </cell>
          <cell r="K52">
            <v>68</v>
          </cell>
          <cell r="L52">
            <v>2</v>
          </cell>
          <cell r="O52">
            <v>94</v>
          </cell>
          <cell r="P52">
            <v>14</v>
          </cell>
          <cell r="Q52">
            <v>90</v>
          </cell>
        </row>
        <row r="53">
          <cell r="A53" t="str">
            <v>6807 СЕРВЕЛАТ ЕВРОПЕЙСКИЙ в/к в/у 0,33кг 8шт  Останкино</v>
          </cell>
          <cell r="B53" t="str">
            <v>шт</v>
          </cell>
          <cell r="C53">
            <v>128</v>
          </cell>
          <cell r="D53">
            <v>96</v>
          </cell>
          <cell r="E53">
            <v>27</v>
          </cell>
          <cell r="F53">
            <v>186</v>
          </cell>
          <cell r="G53">
            <v>0.33</v>
          </cell>
          <cell r="H53">
            <v>45</v>
          </cell>
          <cell r="I53" t="str">
            <v>матрица</v>
          </cell>
          <cell r="K53">
            <v>27</v>
          </cell>
          <cell r="L53">
            <v>0</v>
          </cell>
          <cell r="O53">
            <v>0</v>
          </cell>
          <cell r="P53">
            <v>5.4</v>
          </cell>
        </row>
        <row r="54">
          <cell r="A54" t="str">
            <v>6829  МОЛОЧНЫЕ КЛАССИЧЕСКИЕ сос п/о мгс 2*4 С  Останккино</v>
          </cell>
          <cell r="B54" t="str">
            <v>кг</v>
          </cell>
          <cell r="C54">
            <v>207.03800000000001</v>
          </cell>
          <cell r="D54">
            <v>745.09699999999998</v>
          </cell>
          <cell r="E54">
            <v>456.12</v>
          </cell>
          <cell r="F54">
            <v>303.13</v>
          </cell>
          <cell r="G54">
            <v>1</v>
          </cell>
          <cell r="H54">
            <v>45</v>
          </cell>
          <cell r="I54" t="str">
            <v>матрица</v>
          </cell>
          <cell r="K54">
            <v>447.76100000000002</v>
          </cell>
          <cell r="L54">
            <v>8.3589999999999804</v>
          </cell>
          <cell r="O54">
            <v>284</v>
          </cell>
          <cell r="P54">
            <v>91.224000000000004</v>
          </cell>
          <cell r="Q54">
            <v>781.23000000000013</v>
          </cell>
        </row>
        <row r="55">
          <cell r="A55" t="str">
            <v>6834 ПОСОЛЬСКАЯ с/к с/н в/у 1/100 10шт  Останкино</v>
          </cell>
          <cell r="B55" t="str">
            <v>шт</v>
          </cell>
          <cell r="C55">
            <v>-1</v>
          </cell>
          <cell r="E55">
            <v>-1</v>
          </cell>
          <cell r="F55">
            <v>-1</v>
          </cell>
          <cell r="G55">
            <v>0</v>
          </cell>
          <cell r="H55">
            <v>60</v>
          </cell>
          <cell r="I55" t="str">
            <v>не в матрице</v>
          </cell>
          <cell r="K55">
            <v>12</v>
          </cell>
          <cell r="L55">
            <v>-13</v>
          </cell>
          <cell r="O55">
            <v>0</v>
          </cell>
          <cell r="P55">
            <v>-0.2</v>
          </cell>
        </row>
        <row r="56">
          <cell r="A56" t="str">
            <v>6837 ФИЛЕЙНЫЕ Папа Может сос ц/о мгс 0,4кг  Останкино</v>
          </cell>
          <cell r="B56" t="str">
            <v>шт</v>
          </cell>
          <cell r="C56">
            <v>262</v>
          </cell>
          <cell r="D56">
            <v>219</v>
          </cell>
          <cell r="E56">
            <v>103</v>
          </cell>
          <cell r="F56">
            <v>66</v>
          </cell>
          <cell r="G56">
            <v>0.4</v>
          </cell>
          <cell r="H56">
            <v>45</v>
          </cell>
          <cell r="I56" t="str">
            <v>матрица</v>
          </cell>
          <cell r="K56">
            <v>163</v>
          </cell>
          <cell r="L56">
            <v>-60</v>
          </cell>
          <cell r="O56">
            <v>0</v>
          </cell>
          <cell r="P56">
            <v>20.6</v>
          </cell>
          <cell r="Q56">
            <v>201.8</v>
          </cell>
        </row>
        <row r="57">
          <cell r="A57" t="str">
            <v>6861 ДОМАШНИЙ РЕЦЕПТ Коровино вар п/о  Останкино</v>
          </cell>
          <cell r="B57" t="str">
            <v>кг</v>
          </cell>
          <cell r="C57">
            <v>15.621</v>
          </cell>
          <cell r="E57">
            <v>3.8759999999999999</v>
          </cell>
          <cell r="F57">
            <v>11.744999999999999</v>
          </cell>
          <cell r="G57">
            <v>1</v>
          </cell>
          <cell r="H57">
            <v>60</v>
          </cell>
          <cell r="I57" t="str">
            <v>матрица</v>
          </cell>
          <cell r="K57">
            <v>5</v>
          </cell>
          <cell r="L57">
            <v>-1.1240000000000001</v>
          </cell>
          <cell r="O57">
            <v>0</v>
          </cell>
          <cell r="P57">
            <v>0.7752</v>
          </cell>
        </row>
        <row r="58">
          <cell r="A58" t="str">
            <v>6862 ДОМАШНИЙ РЕЦЕПТ СО ШПИК. Коровино вар п/о  Останкино</v>
          </cell>
          <cell r="B58" t="str">
            <v>кг</v>
          </cell>
          <cell r="C58">
            <v>3.8809999999999998</v>
          </cell>
          <cell r="F58">
            <v>3.8809999999999998</v>
          </cell>
          <cell r="G58">
            <v>0</v>
          </cell>
          <cell r="H58">
            <v>60</v>
          </cell>
          <cell r="I58" t="str">
            <v>не в матрице</v>
          </cell>
          <cell r="L58">
            <v>0</v>
          </cell>
          <cell r="O58">
            <v>0</v>
          </cell>
          <cell r="P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47.92</v>
          </cell>
          <cell r="D59">
            <v>48.445</v>
          </cell>
          <cell r="E59">
            <v>12.015000000000001</v>
          </cell>
          <cell r="F59">
            <v>54.384999999999998</v>
          </cell>
          <cell r="G59">
            <v>1</v>
          </cell>
          <cell r="H59">
            <v>60</v>
          </cell>
          <cell r="I59" t="str">
            <v>матрица</v>
          </cell>
          <cell r="K59">
            <v>9</v>
          </cell>
          <cell r="L59">
            <v>3.0150000000000006</v>
          </cell>
          <cell r="O59">
            <v>0</v>
          </cell>
          <cell r="P59">
            <v>2.403</v>
          </cell>
        </row>
        <row r="60">
          <cell r="A60" t="str">
            <v>6967 БУРГУНДИЯ Папа может с/к в/у 1/250 8шт  Останкино</v>
          </cell>
          <cell r="B60" t="str">
            <v>шт</v>
          </cell>
          <cell r="C60">
            <v>132</v>
          </cell>
          <cell r="D60">
            <v>32</v>
          </cell>
          <cell r="E60">
            <v>3</v>
          </cell>
          <cell r="F60">
            <v>24</v>
          </cell>
          <cell r="G60">
            <v>0.25</v>
          </cell>
          <cell r="H60">
            <v>120</v>
          </cell>
          <cell r="I60" t="str">
            <v>матрица</v>
          </cell>
          <cell r="K60">
            <v>24</v>
          </cell>
          <cell r="L60">
            <v>-21</v>
          </cell>
          <cell r="O60">
            <v>0</v>
          </cell>
          <cell r="P60">
            <v>0.6</v>
          </cell>
        </row>
        <row r="61">
          <cell r="A61" t="str">
            <v>7001 КЛАССИЧЕСКИЕ Папа может сар б/о мгс 1*3  Останкино</v>
          </cell>
          <cell r="B61" t="str">
            <v>кг</v>
          </cell>
          <cell r="C61">
            <v>78.626000000000005</v>
          </cell>
          <cell r="D61">
            <v>55.923999999999999</v>
          </cell>
          <cell r="E61">
            <v>87.632000000000005</v>
          </cell>
          <cell r="F61">
            <v>31.478000000000002</v>
          </cell>
          <cell r="G61">
            <v>1</v>
          </cell>
          <cell r="H61">
            <v>45</v>
          </cell>
          <cell r="I61" t="str">
            <v>матрица</v>
          </cell>
          <cell r="K61">
            <v>91</v>
          </cell>
          <cell r="L61">
            <v>-3.367999999999995</v>
          </cell>
          <cell r="O61">
            <v>122</v>
          </cell>
          <cell r="P61">
            <v>17.526400000000002</v>
          </cell>
          <cell r="Q61">
            <v>109.41800000000001</v>
          </cell>
        </row>
        <row r="62">
          <cell r="A62" t="str">
            <v>7059 ШПИКАЧКИ СОЧНЫЕ С БЕК. п/о мгс 0,3кг 60с ОСТАНКИНО</v>
          </cell>
          <cell r="B62" t="str">
            <v>шт</v>
          </cell>
          <cell r="C62">
            <v>225</v>
          </cell>
          <cell r="D62">
            <v>84</v>
          </cell>
          <cell r="E62">
            <v>152</v>
          </cell>
          <cell r="F62">
            <v>2</v>
          </cell>
          <cell r="G62">
            <v>0.3</v>
          </cell>
          <cell r="H62">
            <v>60</v>
          </cell>
          <cell r="I62" t="str">
            <v>матрица</v>
          </cell>
          <cell r="K62">
            <v>143</v>
          </cell>
          <cell r="L62">
            <v>9</v>
          </cell>
          <cell r="O62">
            <v>0</v>
          </cell>
          <cell r="P62">
            <v>30.4</v>
          </cell>
          <cell r="Q62">
            <v>271.59999999999997</v>
          </cell>
        </row>
        <row r="63">
          <cell r="A63" t="str">
            <v>7066 СОЧНЫЕ ПМ сос п/о мгс 0,41кг 10шт 50с  Останкино</v>
          </cell>
          <cell r="B63" t="str">
            <v>шт</v>
          </cell>
          <cell r="C63">
            <v>461</v>
          </cell>
          <cell r="D63">
            <v>346</v>
          </cell>
          <cell r="E63">
            <v>440</v>
          </cell>
          <cell r="F63">
            <v>408</v>
          </cell>
          <cell r="G63">
            <v>0.41</v>
          </cell>
          <cell r="H63">
            <v>50</v>
          </cell>
          <cell r="I63" t="str">
            <v>матрица</v>
          </cell>
          <cell r="K63">
            <v>424</v>
          </cell>
          <cell r="L63">
            <v>16</v>
          </cell>
          <cell r="O63">
            <v>64</v>
          </cell>
          <cell r="P63">
            <v>88</v>
          </cell>
          <cell r="Q63">
            <v>848</v>
          </cell>
        </row>
        <row r="64">
          <cell r="A64" t="str">
            <v>7067 СОЧНЫЕ ПМ сос. п/о мгс 0,41кг СНГ 50с ОСТАНКИНО</v>
          </cell>
          <cell r="B64" t="str">
            <v>шт</v>
          </cell>
          <cell r="C64">
            <v>49</v>
          </cell>
          <cell r="E64">
            <v>17</v>
          </cell>
          <cell r="F64">
            <v>31</v>
          </cell>
          <cell r="G64">
            <v>0</v>
          </cell>
          <cell r="I64" t="str">
            <v>не в матрице</v>
          </cell>
          <cell r="J64" t="str">
            <v>7066 СОЧНЫЕ ПМ сос п/о мгс 0,41кг 10шт 50с  Останкино</v>
          </cell>
          <cell r="K64">
            <v>16</v>
          </cell>
          <cell r="L64">
            <v>1</v>
          </cell>
          <cell r="O64">
            <v>0</v>
          </cell>
          <cell r="P64">
            <v>3.4</v>
          </cell>
        </row>
        <row r="65">
          <cell r="A65" t="str">
            <v>7070 СОЧНЫЕ ПМ сос п/о 1,5*4_А_50с  Останкино</v>
          </cell>
          <cell r="B65" t="str">
            <v>кг</v>
          </cell>
          <cell r="C65">
            <v>252.012</v>
          </cell>
          <cell r="D65">
            <v>97.361000000000004</v>
          </cell>
          <cell r="E65">
            <v>209.648</v>
          </cell>
          <cell r="F65">
            <v>71.33</v>
          </cell>
          <cell r="G65">
            <v>1</v>
          </cell>
          <cell r="H65">
            <v>50</v>
          </cell>
          <cell r="I65" t="str">
            <v>матрица</v>
          </cell>
          <cell r="K65">
            <v>208.86199999999999</v>
          </cell>
          <cell r="L65">
            <v>0.78600000000000136</v>
          </cell>
          <cell r="O65">
            <v>353</v>
          </cell>
          <cell r="P65">
            <v>41.929600000000001</v>
          </cell>
          <cell r="Q65">
            <v>204.61399999999998</v>
          </cell>
        </row>
        <row r="66">
          <cell r="A66" t="str">
            <v>7073 МОЛОЧ.ПРЕМИУМ ПМ сос п/о в/у 1/350_50с  Останкино</v>
          </cell>
          <cell r="B66" t="str">
            <v>шт</v>
          </cell>
          <cell r="C66">
            <v>208</v>
          </cell>
          <cell r="D66">
            <v>120</v>
          </cell>
          <cell r="E66">
            <v>134</v>
          </cell>
          <cell r="F66">
            <v>186</v>
          </cell>
          <cell r="G66">
            <v>0.35</v>
          </cell>
          <cell r="H66">
            <v>50</v>
          </cell>
          <cell r="I66" t="str">
            <v>матрица</v>
          </cell>
          <cell r="K66">
            <v>127</v>
          </cell>
          <cell r="L66">
            <v>7</v>
          </cell>
          <cell r="O66">
            <v>0</v>
          </cell>
          <cell r="P66">
            <v>26.8</v>
          </cell>
          <cell r="Q66">
            <v>216</v>
          </cell>
        </row>
        <row r="67">
          <cell r="A67" t="str">
            <v>7075 МОЛОЧ.ПРЕМИУМ ПМ сос п/о мгс 1,5*4_О_50с  Останкино</v>
          </cell>
          <cell r="B67" t="str">
            <v>кг</v>
          </cell>
          <cell r="C67">
            <v>204.989</v>
          </cell>
          <cell r="D67">
            <v>9.4369999999999994</v>
          </cell>
          <cell r="E67">
            <v>50.454999999999998</v>
          </cell>
          <cell r="F67">
            <v>149.83099999999999</v>
          </cell>
          <cell r="G67">
            <v>1</v>
          </cell>
          <cell r="H67">
            <v>50</v>
          </cell>
          <cell r="I67" t="str">
            <v>матрица</v>
          </cell>
          <cell r="K67">
            <v>57.1</v>
          </cell>
          <cell r="L67">
            <v>-6.6450000000000031</v>
          </cell>
          <cell r="O67">
            <v>0</v>
          </cell>
          <cell r="P67">
            <v>10.090999999999999</v>
          </cell>
        </row>
        <row r="68">
          <cell r="A68" t="str">
            <v>7080 СЛИВОЧНЫЕ ПМ сос п/о мгс 0,41кг 10шт 50с  Останкино</v>
          </cell>
          <cell r="B68" t="str">
            <v>шт</v>
          </cell>
          <cell r="C68">
            <v>608</v>
          </cell>
          <cell r="D68">
            <v>211</v>
          </cell>
          <cell r="E68">
            <v>267</v>
          </cell>
          <cell r="F68">
            <v>10</v>
          </cell>
          <cell r="G68">
            <v>0.41</v>
          </cell>
          <cell r="H68">
            <v>50</v>
          </cell>
          <cell r="I68" t="str">
            <v>матрица</v>
          </cell>
          <cell r="K68">
            <v>266</v>
          </cell>
          <cell r="L68">
            <v>1</v>
          </cell>
          <cell r="O68">
            <v>98</v>
          </cell>
          <cell r="P68">
            <v>53.4</v>
          </cell>
          <cell r="Q68">
            <v>532.79999999999995</v>
          </cell>
        </row>
        <row r="69">
          <cell r="A69" t="str">
            <v>7083 СЛИВОЧНЫЕ ПМ сос п/о мгс 1.5*4_А_50с  ОСТАНКИНО</v>
          </cell>
          <cell r="B69" t="str">
            <v>кг</v>
          </cell>
          <cell r="C69">
            <v>229.42599999999999</v>
          </cell>
          <cell r="D69">
            <v>175.90600000000001</v>
          </cell>
          <cell r="E69">
            <v>152.255</v>
          </cell>
          <cell r="F69">
            <v>227.93700000000001</v>
          </cell>
          <cell r="G69">
            <v>1</v>
          </cell>
          <cell r="H69">
            <v>50</v>
          </cell>
          <cell r="I69" t="str">
            <v>матрица</v>
          </cell>
          <cell r="K69">
            <v>162.30000000000001</v>
          </cell>
          <cell r="L69">
            <v>-10.045000000000016</v>
          </cell>
          <cell r="O69">
            <v>54</v>
          </cell>
          <cell r="P69">
            <v>30.451000000000001</v>
          </cell>
          <cell r="Q69">
            <v>174.82799999999997</v>
          </cell>
        </row>
        <row r="70">
          <cell r="A70" t="str">
            <v>7090 СВИНИНА ПО-ДОМ.к/в мл/к в/у 0,3кг_50с  Останкино</v>
          </cell>
          <cell r="B70" t="str">
            <v>шт</v>
          </cell>
          <cell r="C70">
            <v>159</v>
          </cell>
          <cell r="D70">
            <v>5</v>
          </cell>
          <cell r="E70">
            <v>79</v>
          </cell>
          <cell r="F70">
            <v>51</v>
          </cell>
          <cell r="G70">
            <v>0.3</v>
          </cell>
          <cell r="H70">
            <v>50</v>
          </cell>
          <cell r="I70" t="str">
            <v>матрица</v>
          </cell>
          <cell r="K70">
            <v>77</v>
          </cell>
          <cell r="L70">
            <v>2</v>
          </cell>
          <cell r="O70">
            <v>111</v>
          </cell>
          <cell r="P70">
            <v>15.8</v>
          </cell>
          <cell r="Q70">
            <v>75</v>
          </cell>
        </row>
        <row r="71">
          <cell r="A71" t="str">
            <v>7092 БЕКОН Папа может с/к с/н в/у 1/140_50с  Останкино</v>
          </cell>
          <cell r="B71" t="str">
            <v>шт</v>
          </cell>
          <cell r="C71">
            <v>20</v>
          </cell>
          <cell r="D71">
            <v>35</v>
          </cell>
          <cell r="E71">
            <v>43</v>
          </cell>
          <cell r="F71">
            <v>7</v>
          </cell>
          <cell r="G71">
            <v>0</v>
          </cell>
          <cell r="H71">
            <v>50</v>
          </cell>
          <cell r="I71" t="str">
            <v>не в матрице</v>
          </cell>
          <cell r="K71">
            <v>48</v>
          </cell>
          <cell r="L71">
            <v>-5</v>
          </cell>
          <cell r="O71">
            <v>0</v>
          </cell>
          <cell r="P71">
            <v>8.6</v>
          </cell>
        </row>
        <row r="72">
          <cell r="A72" t="str">
            <v>7103 БЕКОН Останкино с/к с/н в/у 1/180_50с  Останкино</v>
          </cell>
          <cell r="B72" t="str">
            <v>шт</v>
          </cell>
          <cell r="C72">
            <v>67</v>
          </cell>
          <cell r="D72">
            <v>450</v>
          </cell>
          <cell r="E72">
            <v>165</v>
          </cell>
          <cell r="F72">
            <v>327</v>
          </cell>
          <cell r="G72">
            <v>0.18</v>
          </cell>
          <cell r="H72">
            <v>50</v>
          </cell>
          <cell r="I72" t="str">
            <v>матрица</v>
          </cell>
          <cell r="K72">
            <v>178</v>
          </cell>
          <cell r="L72">
            <v>-13</v>
          </cell>
          <cell r="O72">
            <v>0</v>
          </cell>
          <cell r="P72">
            <v>33</v>
          </cell>
          <cell r="Q72">
            <v>168</v>
          </cell>
        </row>
        <row r="73">
          <cell r="A73" t="str">
            <v>7147 САЛЬЧИЧОН Останкино с/к в/у 1/220 8 шт  Останкино</v>
          </cell>
          <cell r="B73" t="str">
            <v>шт</v>
          </cell>
          <cell r="C73">
            <v>75</v>
          </cell>
          <cell r="D73">
            <v>49</v>
          </cell>
          <cell r="E73">
            <v>13</v>
          </cell>
          <cell r="F73">
            <v>108</v>
          </cell>
          <cell r="G73">
            <v>0</v>
          </cell>
          <cell r="H73">
            <v>120</v>
          </cell>
          <cell r="I73" t="str">
            <v>не в матрице</v>
          </cell>
          <cell r="K73">
            <v>14</v>
          </cell>
          <cell r="L73">
            <v>-1</v>
          </cell>
          <cell r="O73">
            <v>0</v>
          </cell>
          <cell r="P73">
            <v>2.6</v>
          </cell>
        </row>
        <row r="74">
          <cell r="A74" t="str">
            <v>7149 БАЛЫКОВАЯ Коровино п/к в/у 0,84кг_50с  Останкино</v>
          </cell>
          <cell r="B74" t="str">
            <v>шт</v>
          </cell>
          <cell r="C74">
            <v>51</v>
          </cell>
          <cell r="D74">
            <v>4</v>
          </cell>
          <cell r="E74">
            <v>23</v>
          </cell>
          <cell r="F74">
            <v>31</v>
          </cell>
          <cell r="G74">
            <v>0.84</v>
          </cell>
          <cell r="H74">
            <v>50</v>
          </cell>
          <cell r="I74" t="str">
            <v>матрица</v>
          </cell>
          <cell r="K74">
            <v>22.44</v>
          </cell>
          <cell r="L74">
            <v>0.55999999999999872</v>
          </cell>
          <cell r="O74">
            <v>0</v>
          </cell>
          <cell r="P74">
            <v>4.5999999999999996</v>
          </cell>
          <cell r="Q74">
            <v>38</v>
          </cell>
        </row>
        <row r="75">
          <cell r="A75" t="str">
            <v>7154 СЕРВЕЛАТ ЗЕРНИСТЫЙ ПМ в/к в/у 0,35кг_50с  Останкино</v>
          </cell>
          <cell r="B75" t="str">
            <v>шт</v>
          </cell>
          <cell r="C75">
            <v>389</v>
          </cell>
          <cell r="D75">
            <v>528</v>
          </cell>
          <cell r="E75">
            <v>458</v>
          </cell>
          <cell r="F75">
            <v>210</v>
          </cell>
          <cell r="G75">
            <v>0.35</v>
          </cell>
          <cell r="H75">
            <v>50</v>
          </cell>
          <cell r="I75" t="str">
            <v>матрица</v>
          </cell>
          <cell r="K75">
            <v>536</v>
          </cell>
          <cell r="L75">
            <v>-78</v>
          </cell>
          <cell r="O75">
            <v>35</v>
          </cell>
          <cell r="P75">
            <v>91.6</v>
          </cell>
          <cell r="Q75">
            <v>945.8</v>
          </cell>
          <cell r="R75">
            <v>800</v>
          </cell>
        </row>
        <row r="76">
          <cell r="A76" t="str">
            <v>7157 СЕРВЕЛАТ ЗЕРНИСТЫЙ ПМ в/к в/у_50с  Останкино</v>
          </cell>
          <cell r="B76" t="str">
            <v>кг</v>
          </cell>
          <cell r="C76">
            <v>181.55199999999999</v>
          </cell>
          <cell r="D76">
            <v>123.751</v>
          </cell>
          <cell r="E76">
            <v>188.274</v>
          </cell>
          <cell r="F76">
            <v>88.8</v>
          </cell>
          <cell r="G76">
            <v>1</v>
          </cell>
          <cell r="H76">
            <v>50</v>
          </cell>
          <cell r="I76" t="str">
            <v>матрица</v>
          </cell>
          <cell r="K76">
            <v>188.7</v>
          </cell>
          <cell r="L76">
            <v>-0.42599999999998772</v>
          </cell>
          <cell r="O76">
            <v>168</v>
          </cell>
          <cell r="P76">
            <v>37.654800000000002</v>
          </cell>
          <cell r="Q76">
            <v>308.02199999999999</v>
          </cell>
        </row>
        <row r="77">
          <cell r="A77" t="str">
            <v>7166 СЕРВЕЛАТ ОХОТНИЧИЙ ПМ в/к в/у_50с  Останкино</v>
          </cell>
          <cell r="B77" t="str">
            <v>кг</v>
          </cell>
          <cell r="C77">
            <v>167.78399999999999</v>
          </cell>
          <cell r="D77">
            <v>139.20500000000001</v>
          </cell>
          <cell r="E77">
            <v>251.05500000000001</v>
          </cell>
          <cell r="F77">
            <v>13.874000000000001</v>
          </cell>
          <cell r="G77">
            <v>1</v>
          </cell>
          <cell r="H77">
            <v>50</v>
          </cell>
          <cell r="I77" t="str">
            <v>матрица</v>
          </cell>
          <cell r="K77">
            <v>243.9</v>
          </cell>
          <cell r="L77">
            <v>7.1550000000000011</v>
          </cell>
          <cell r="O77">
            <v>309</v>
          </cell>
          <cell r="P77">
            <v>50.210999999999999</v>
          </cell>
          <cell r="Q77">
            <v>430.29099999999994</v>
          </cell>
        </row>
        <row r="78">
          <cell r="A78" t="str">
            <v>7169 СЕРВЕЛАТ ОХОТНИЧИЙ ПМ в/к в/у 0,35кг_50с  Останкино</v>
          </cell>
          <cell r="B78" t="str">
            <v>шт</v>
          </cell>
          <cell r="C78">
            <v>534</v>
          </cell>
          <cell r="D78">
            <v>318</v>
          </cell>
          <cell r="E78">
            <v>269</v>
          </cell>
          <cell r="F78">
            <v>-18</v>
          </cell>
          <cell r="G78">
            <v>0.35</v>
          </cell>
          <cell r="H78">
            <v>50</v>
          </cell>
          <cell r="I78" t="str">
            <v>матрица</v>
          </cell>
          <cell r="K78">
            <v>377</v>
          </cell>
          <cell r="L78">
            <v>-108</v>
          </cell>
          <cell r="O78">
            <v>284</v>
          </cell>
          <cell r="P78">
            <v>53.8</v>
          </cell>
          <cell r="Q78">
            <v>541</v>
          </cell>
        </row>
        <row r="79">
          <cell r="A79" t="str">
            <v>7187 ГРУДИНКА ПРЕМИУМ к/в мл/к в/у 0,3кг_50с  Останкино</v>
          </cell>
          <cell r="B79" t="str">
            <v>шт</v>
          </cell>
          <cell r="C79">
            <v>129</v>
          </cell>
          <cell r="D79">
            <v>52</v>
          </cell>
          <cell r="E79">
            <v>90</v>
          </cell>
          <cell r="F79">
            <v>79</v>
          </cell>
          <cell r="G79">
            <v>0.3</v>
          </cell>
          <cell r="H79">
            <v>50</v>
          </cell>
          <cell r="I79" t="str">
            <v>матрица</v>
          </cell>
          <cell r="K79">
            <v>87</v>
          </cell>
          <cell r="L79">
            <v>3</v>
          </cell>
          <cell r="O79">
            <v>0</v>
          </cell>
          <cell r="P79">
            <v>18</v>
          </cell>
          <cell r="Q79">
            <v>173</v>
          </cell>
        </row>
        <row r="80">
          <cell r="A80" t="str">
            <v>7231 КЛАССИЧЕСКАЯ ПМ вар п/о 0,3кг 8 шт_209к  Останкино</v>
          </cell>
          <cell r="B80" t="str">
            <v>шт</v>
          </cell>
          <cell r="C80">
            <v>110</v>
          </cell>
          <cell r="D80">
            <v>116</v>
          </cell>
          <cell r="E80">
            <v>86</v>
          </cell>
          <cell r="F80">
            <v>132</v>
          </cell>
          <cell r="G80">
            <v>0.3</v>
          </cell>
          <cell r="H80">
            <v>60</v>
          </cell>
          <cell r="I80" t="str">
            <v>матрица</v>
          </cell>
          <cell r="K80">
            <v>80</v>
          </cell>
          <cell r="L80">
            <v>6</v>
          </cell>
          <cell r="O80">
            <v>0</v>
          </cell>
          <cell r="P80">
            <v>17.2</v>
          </cell>
          <cell r="Q80">
            <v>126</v>
          </cell>
        </row>
        <row r="81">
          <cell r="A81" t="str">
            <v>7232 БОЯNСКАЯ ПМ п/к в/у 0,28кг 8шт_209к  Останкино</v>
          </cell>
          <cell r="B81" t="str">
            <v>шт</v>
          </cell>
          <cell r="C81">
            <v>290</v>
          </cell>
          <cell r="D81">
            <v>417</v>
          </cell>
          <cell r="E81">
            <v>325</v>
          </cell>
          <cell r="F81">
            <v>139</v>
          </cell>
          <cell r="G81">
            <v>0.28000000000000003</v>
          </cell>
          <cell r="H81">
            <v>50</v>
          </cell>
          <cell r="I81" t="str">
            <v>матрица</v>
          </cell>
          <cell r="K81">
            <v>335</v>
          </cell>
          <cell r="L81">
            <v>-10</v>
          </cell>
          <cell r="O81">
            <v>266</v>
          </cell>
          <cell r="P81">
            <v>65</v>
          </cell>
          <cell r="Q81">
            <v>570</v>
          </cell>
        </row>
        <row r="82">
          <cell r="A82" t="str">
            <v>7236 СЕРВЕЛАТ КАРЕЛЬСКИЙ в/к в/у 0,28кг_209к  Останкино</v>
          </cell>
          <cell r="B82" t="str">
            <v>шт</v>
          </cell>
          <cell r="C82">
            <v>310</v>
          </cell>
          <cell r="D82">
            <v>334</v>
          </cell>
          <cell r="E82">
            <v>352</v>
          </cell>
          <cell r="F82">
            <v>131</v>
          </cell>
          <cell r="G82">
            <v>0.28000000000000003</v>
          </cell>
          <cell r="H82">
            <v>45</v>
          </cell>
          <cell r="I82" t="str">
            <v>матрица</v>
          </cell>
          <cell r="K82">
            <v>364</v>
          </cell>
          <cell r="L82">
            <v>-12</v>
          </cell>
          <cell r="O82">
            <v>176</v>
          </cell>
          <cell r="P82">
            <v>70.400000000000006</v>
          </cell>
          <cell r="Q82">
            <v>678.60000000000014</v>
          </cell>
        </row>
        <row r="83">
          <cell r="A83" t="str">
            <v>7237 СЕРВЕЛАТ ШВАРЦЕР ПМ в/к в/у 0,28кг_209к  Останкино</v>
          </cell>
          <cell r="B83" t="str">
            <v>шт</v>
          </cell>
          <cell r="C83">
            <v>159</v>
          </cell>
          <cell r="D83">
            <v>80</v>
          </cell>
          <cell r="E83">
            <v>119</v>
          </cell>
          <cell r="F83">
            <v>91</v>
          </cell>
          <cell r="G83">
            <v>0.28000000000000003</v>
          </cell>
          <cell r="H83">
            <v>45</v>
          </cell>
          <cell r="I83" t="str">
            <v>матрица</v>
          </cell>
          <cell r="K83">
            <v>127</v>
          </cell>
          <cell r="L83">
            <v>-8</v>
          </cell>
          <cell r="O83">
            <v>56</v>
          </cell>
          <cell r="P83">
            <v>23.8</v>
          </cell>
          <cell r="Q83">
            <v>210</v>
          </cell>
        </row>
        <row r="84">
          <cell r="A84" t="str">
            <v>7241 САЛЯМИ Папа может п/к в/у 0,28кг ОСТАНКИНО</v>
          </cell>
          <cell r="B84" t="str">
            <v>шт</v>
          </cell>
          <cell r="C84">
            <v>265</v>
          </cell>
          <cell r="D84">
            <v>215</v>
          </cell>
          <cell r="E84">
            <v>240</v>
          </cell>
          <cell r="F84">
            <v>77</v>
          </cell>
          <cell r="G84">
            <v>0.28000000000000003</v>
          </cell>
          <cell r="H84">
            <v>45</v>
          </cell>
          <cell r="I84" t="str">
            <v>матрица</v>
          </cell>
          <cell r="K84">
            <v>260</v>
          </cell>
          <cell r="L84">
            <v>-20</v>
          </cell>
          <cell r="O84">
            <v>59</v>
          </cell>
          <cell r="P84">
            <v>48</v>
          </cell>
          <cell r="Q84">
            <v>488</v>
          </cell>
        </row>
        <row r="85">
          <cell r="A85" t="str">
            <v>7255 МЯСНЫЕ С ГОВЯД.ПМ сос п/о мгс 0.4кг 6шт.  ОСТАНКИНО</v>
          </cell>
          <cell r="B85" t="str">
            <v>шт</v>
          </cell>
          <cell r="C85">
            <v>431</v>
          </cell>
          <cell r="D85">
            <v>176</v>
          </cell>
          <cell r="E85">
            <v>278</v>
          </cell>
          <cell r="F85">
            <v>280</v>
          </cell>
          <cell r="G85">
            <v>0.4</v>
          </cell>
          <cell r="H85">
            <v>50</v>
          </cell>
          <cell r="I85" t="str">
            <v>матрица</v>
          </cell>
          <cell r="K85">
            <v>278</v>
          </cell>
          <cell r="L85">
            <v>0</v>
          </cell>
          <cell r="O85">
            <v>0</v>
          </cell>
          <cell r="P85">
            <v>55.6</v>
          </cell>
          <cell r="Q85">
            <v>554</v>
          </cell>
        </row>
        <row r="86">
          <cell r="A86" t="str">
            <v>7271 МЯСНЫЕ С ГОВЯДИНОЙ ПМ сос п/о мгс 1.5*4  ОСТАНКИНО</v>
          </cell>
          <cell r="B86" t="str">
            <v>кг</v>
          </cell>
          <cell r="C86">
            <v>22.777000000000001</v>
          </cell>
          <cell r="D86">
            <v>50.469000000000001</v>
          </cell>
          <cell r="E86">
            <v>60.722999999999999</v>
          </cell>
          <cell r="F86">
            <v>4.6710000000000003</v>
          </cell>
          <cell r="G86">
            <v>0</v>
          </cell>
          <cell r="H86">
            <v>50</v>
          </cell>
          <cell r="I86" t="str">
            <v>не в матрице</v>
          </cell>
          <cell r="K86">
            <v>56.8</v>
          </cell>
          <cell r="L86">
            <v>3.9230000000000018</v>
          </cell>
          <cell r="O86">
            <v>81</v>
          </cell>
          <cell r="P86">
            <v>12.144600000000001</v>
          </cell>
        </row>
        <row r="87">
          <cell r="A87" t="str">
            <v>7276 СЛИВОЧНЫЕ ПМ сос п/о мгс 0,3кг 7шт  Останкино</v>
          </cell>
          <cell r="B87" t="str">
            <v>шт</v>
          </cell>
          <cell r="C87">
            <v>61</v>
          </cell>
          <cell r="D87">
            <v>5</v>
          </cell>
          <cell r="E87">
            <v>43</v>
          </cell>
          <cell r="F87">
            <v>19</v>
          </cell>
          <cell r="G87">
            <v>0</v>
          </cell>
          <cell r="H87">
            <v>50</v>
          </cell>
          <cell r="I87" t="str">
            <v>не в матрице</v>
          </cell>
          <cell r="K87">
            <v>39</v>
          </cell>
          <cell r="L87">
            <v>4</v>
          </cell>
          <cell r="O87">
            <v>0</v>
          </cell>
          <cell r="P87">
            <v>8.6</v>
          </cell>
        </row>
        <row r="88">
          <cell r="A88" t="str">
            <v>7284 ДЛЯ ДЕТЕЙ сос п/о мгс 0,33кг 6шт  Останкино</v>
          </cell>
          <cell r="B88" t="str">
            <v>шт</v>
          </cell>
          <cell r="C88">
            <v>271</v>
          </cell>
          <cell r="D88">
            <v>15</v>
          </cell>
          <cell r="E88">
            <v>7</v>
          </cell>
          <cell r="F88">
            <v>2</v>
          </cell>
          <cell r="G88">
            <v>0.33</v>
          </cell>
          <cell r="H88">
            <v>30</v>
          </cell>
          <cell r="I88" t="str">
            <v>матрица</v>
          </cell>
          <cell r="K88">
            <v>26</v>
          </cell>
          <cell r="L88">
            <v>-19</v>
          </cell>
          <cell r="O88">
            <v>0</v>
          </cell>
          <cell r="P88">
            <v>1.4</v>
          </cell>
          <cell r="Q88">
            <v>13.399999999999999</v>
          </cell>
        </row>
        <row r="89">
          <cell r="A89" t="str">
            <v>7288 БАЛЫК с/к с/н в/у 1/100 10шт ОСТАНКИНО</v>
          </cell>
          <cell r="B89" t="str">
            <v>шт</v>
          </cell>
          <cell r="C89">
            <v>89</v>
          </cell>
          <cell r="D89">
            <v>12</v>
          </cell>
          <cell r="E89">
            <v>36</v>
          </cell>
          <cell r="F89">
            <v>63</v>
          </cell>
          <cell r="G89">
            <v>0</v>
          </cell>
          <cell r="H89">
            <v>60</v>
          </cell>
          <cell r="I89" t="str">
            <v>не в матрице</v>
          </cell>
          <cell r="J89" t="str">
            <v>7612 БАЛЫК с/к с/н в/у 1/100 10шт_  ОСТАНКИНО</v>
          </cell>
          <cell r="K89">
            <v>34</v>
          </cell>
          <cell r="L89">
            <v>2</v>
          </cell>
          <cell r="O89">
            <v>0</v>
          </cell>
          <cell r="P89">
            <v>7.2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D90">
            <v>49.357999999999997</v>
          </cell>
          <cell r="F90">
            <v>49.357999999999997</v>
          </cell>
          <cell r="G90">
            <v>1</v>
          </cell>
          <cell r="I90" t="str">
            <v>матрица</v>
          </cell>
          <cell r="L90">
            <v>0</v>
          </cell>
          <cell r="O90">
            <v>0</v>
          </cell>
          <cell r="P90">
            <v>0</v>
          </cell>
        </row>
        <row r="91">
          <cell r="A91" t="str">
            <v>7332 БОЯРСКАЯ ПМ п/к в/у 0,28кг ОСТАНКИНО</v>
          </cell>
          <cell r="B91" t="str">
            <v>шт</v>
          </cell>
          <cell r="C91">
            <v>203</v>
          </cell>
          <cell r="D91">
            <v>86</v>
          </cell>
          <cell r="E91">
            <v>162</v>
          </cell>
          <cell r="F91">
            <v>105</v>
          </cell>
          <cell r="G91">
            <v>0.28000000000000003</v>
          </cell>
          <cell r="H91">
            <v>50</v>
          </cell>
          <cell r="I91" t="str">
            <v>матрица</v>
          </cell>
          <cell r="K91">
            <v>157</v>
          </cell>
          <cell r="L91">
            <v>5</v>
          </cell>
          <cell r="O91">
            <v>0</v>
          </cell>
          <cell r="P91">
            <v>32.4</v>
          </cell>
          <cell r="Q91">
            <v>316.2</v>
          </cell>
        </row>
        <row r="92">
          <cell r="A92" t="str">
            <v>7333 СЕРВЕЛАТ ОХОТНИЧИЙ ПМ в/к в/у 0,28кг ОСТАНКИНО</v>
          </cell>
          <cell r="B92" t="str">
            <v>шт</v>
          </cell>
          <cell r="C92">
            <v>56</v>
          </cell>
          <cell r="D92">
            <v>65</v>
          </cell>
          <cell r="E92">
            <v>44</v>
          </cell>
          <cell r="F92">
            <v>14</v>
          </cell>
          <cell r="G92">
            <v>0</v>
          </cell>
          <cell r="H92">
            <v>50</v>
          </cell>
          <cell r="I92" t="str">
            <v>не в матрице</v>
          </cell>
          <cell r="K92">
            <v>44</v>
          </cell>
          <cell r="L92">
            <v>0</v>
          </cell>
          <cell r="O92">
            <v>0</v>
          </cell>
          <cell r="P92">
            <v>8.8000000000000007</v>
          </cell>
        </row>
        <row r="93">
          <cell r="A93" t="str">
            <v>7343 СЕЙЧАС СЕЗОН ПМ вар п/о 0,4кг ОСТАНКИНО</v>
          </cell>
          <cell r="B93" t="str">
            <v>шт</v>
          </cell>
          <cell r="C93">
            <v>66</v>
          </cell>
          <cell r="D93">
            <v>33</v>
          </cell>
          <cell r="E93">
            <v>14</v>
          </cell>
          <cell r="F93">
            <v>84</v>
          </cell>
          <cell r="G93">
            <v>0</v>
          </cell>
          <cell r="H93">
            <v>60</v>
          </cell>
          <cell r="I93" t="str">
            <v>не в матрице</v>
          </cell>
          <cell r="K93">
            <v>15</v>
          </cell>
          <cell r="L93">
            <v>-1</v>
          </cell>
          <cell r="O93">
            <v>0</v>
          </cell>
          <cell r="P93">
            <v>2.8</v>
          </cell>
        </row>
        <row r="94">
          <cell r="A94" t="str">
            <v>7371 БРЕСТСКИЕ сос п/о в/у 0,3кг 8шт. ОСТАНКИНО</v>
          </cell>
          <cell r="B94" t="str">
            <v>шт</v>
          </cell>
          <cell r="C94">
            <v>279</v>
          </cell>
          <cell r="D94">
            <v>3</v>
          </cell>
          <cell r="E94">
            <v>142</v>
          </cell>
          <cell r="F94">
            <v>136</v>
          </cell>
          <cell r="G94">
            <v>0.3</v>
          </cell>
          <cell r="H94">
            <v>45</v>
          </cell>
          <cell r="I94" t="str">
            <v>матрица</v>
          </cell>
          <cell r="K94">
            <v>138</v>
          </cell>
          <cell r="L94">
            <v>4</v>
          </cell>
          <cell r="O94">
            <v>0</v>
          </cell>
          <cell r="P94">
            <v>28.4</v>
          </cell>
          <cell r="Q94">
            <v>204.79999999999995</v>
          </cell>
        </row>
        <row r="95">
          <cell r="A95" t="str">
            <v>7382  САЛЯМИ МЕЛКОЗЕРНЕНАЯ с/к в/у1/120 8шт.  ОСТАНКИНО</v>
          </cell>
          <cell r="B95" t="str">
            <v>шт</v>
          </cell>
          <cell r="C95">
            <v>103</v>
          </cell>
          <cell r="D95">
            <v>397</v>
          </cell>
          <cell r="E95">
            <v>191</v>
          </cell>
          <cell r="F95">
            <v>273</v>
          </cell>
          <cell r="G95">
            <v>0.12</v>
          </cell>
          <cell r="H95">
            <v>60</v>
          </cell>
          <cell r="I95" t="str">
            <v>матрица</v>
          </cell>
          <cell r="K95">
            <v>194</v>
          </cell>
          <cell r="L95">
            <v>-3</v>
          </cell>
          <cell r="O95">
            <v>183</v>
          </cell>
          <cell r="P95">
            <v>38.200000000000003</v>
          </cell>
          <cell r="Q95">
            <v>117</v>
          </cell>
        </row>
        <row r="96">
          <cell r="A96" t="str">
            <v>7461 ДЛЯ ДЕТЕЙ Папа Может сос п/о мгс 0,33кг ОСТАНКИНО</v>
          </cell>
          <cell r="B96" t="str">
            <v>шт</v>
          </cell>
          <cell r="C96">
            <v>185</v>
          </cell>
          <cell r="D96">
            <v>7</v>
          </cell>
          <cell r="E96">
            <v>87</v>
          </cell>
          <cell r="F96">
            <v>34</v>
          </cell>
          <cell r="G96">
            <v>0.12</v>
          </cell>
          <cell r="H96">
            <v>30</v>
          </cell>
          <cell r="I96" t="str">
            <v>матрица</v>
          </cell>
          <cell r="K96">
            <v>86</v>
          </cell>
          <cell r="L96">
            <v>1</v>
          </cell>
          <cell r="O96">
            <v>22</v>
          </cell>
          <cell r="P96">
            <v>17.399999999999999</v>
          </cell>
          <cell r="Q96">
            <v>170.2</v>
          </cell>
        </row>
        <row r="97">
          <cell r="A97" t="str">
            <v>7489 СЫРРРВЕЛАТ Папа Может в/к в/у 0,28кг 8шт. ОСТАНКИНО</v>
          </cell>
          <cell r="B97" t="str">
            <v>шт</v>
          </cell>
          <cell r="D97">
            <v>160</v>
          </cell>
          <cell r="E97">
            <v>16</v>
          </cell>
          <cell r="F97">
            <v>141</v>
          </cell>
          <cell r="G97">
            <v>0.28000000000000003</v>
          </cell>
          <cell r="H97">
            <v>45</v>
          </cell>
          <cell r="I97" t="str">
            <v>матрица</v>
          </cell>
          <cell r="K97">
            <v>16</v>
          </cell>
          <cell r="L97">
            <v>0</v>
          </cell>
          <cell r="O97">
            <v>0</v>
          </cell>
          <cell r="P97">
            <v>3.2</v>
          </cell>
        </row>
        <row r="98">
          <cell r="A98" t="str">
            <v>7523 ГОВЯЖЬЯ Папа Может вар п/о 0,4кг 6шт. ОСТАНКИНО</v>
          </cell>
          <cell r="B98" t="str">
            <v>шт</v>
          </cell>
          <cell r="D98">
            <v>42</v>
          </cell>
          <cell r="E98">
            <v>20</v>
          </cell>
          <cell r="F98">
            <v>18</v>
          </cell>
          <cell r="G98">
            <v>0.4</v>
          </cell>
          <cell r="H98">
            <v>60</v>
          </cell>
          <cell r="I98" t="str">
            <v>матрица</v>
          </cell>
          <cell r="K98">
            <v>16</v>
          </cell>
          <cell r="L98">
            <v>4</v>
          </cell>
          <cell r="O98">
            <v>0</v>
          </cell>
          <cell r="P98">
            <v>4</v>
          </cell>
          <cell r="Q98">
            <v>42</v>
          </cell>
        </row>
        <row r="99">
          <cell r="A99" t="str">
            <v>7539 ДОКТОРСКАЯ ГОСТ вар п/о 0,35кг ОСТАНКИНО</v>
          </cell>
          <cell r="B99" t="str">
            <v>шт</v>
          </cell>
          <cell r="C99">
            <v>166</v>
          </cell>
          <cell r="E99">
            <v>93</v>
          </cell>
          <cell r="F99">
            <v>65</v>
          </cell>
          <cell r="G99">
            <v>0.35</v>
          </cell>
          <cell r="H99">
            <v>60</v>
          </cell>
          <cell r="I99" t="str">
            <v>матрица</v>
          </cell>
          <cell r="K99">
            <v>87</v>
          </cell>
          <cell r="L99">
            <v>6</v>
          </cell>
          <cell r="O99">
            <v>11</v>
          </cell>
          <cell r="P99">
            <v>18.600000000000001</v>
          </cell>
          <cell r="Q99">
            <v>184.40000000000003</v>
          </cell>
        </row>
        <row r="100">
          <cell r="A100" t="str">
            <v>7564 Балыковая в/к в/у Останкино Вес  ОСТАНКИНО</v>
          </cell>
          <cell r="B100" t="str">
            <v>кг</v>
          </cell>
          <cell r="D100">
            <v>20.007000000000001</v>
          </cell>
          <cell r="F100">
            <v>14.999000000000001</v>
          </cell>
          <cell r="G100">
            <v>1</v>
          </cell>
          <cell r="I100" t="str">
            <v>матрица</v>
          </cell>
          <cell r="K100">
            <v>0.8</v>
          </cell>
          <cell r="L100">
            <v>-0.8</v>
          </cell>
          <cell r="P100">
            <v>0</v>
          </cell>
        </row>
        <row r="101">
          <cell r="A101" t="str">
            <v>7603 БАЛЫКОВАЯ в/к в/у 0.33кг 8шт. ОСТАНКИНО</v>
          </cell>
          <cell r="B101" t="str">
            <v>шт</v>
          </cell>
          <cell r="C101">
            <v>243</v>
          </cell>
          <cell r="D101">
            <v>96</v>
          </cell>
          <cell r="E101">
            <v>96</v>
          </cell>
          <cell r="G101">
            <v>0.33</v>
          </cell>
          <cell r="H101">
            <v>45</v>
          </cell>
          <cell r="I101" t="str">
            <v>матрица</v>
          </cell>
          <cell r="K101">
            <v>132</v>
          </cell>
          <cell r="L101">
            <v>-36</v>
          </cell>
          <cell r="O101">
            <v>0</v>
          </cell>
          <cell r="P101">
            <v>19.2</v>
          </cell>
          <cell r="Q101">
            <v>192</v>
          </cell>
        </row>
        <row r="102">
          <cell r="A102" t="str">
            <v>7608 СЕРВЕЛАТ ШВЕЙЦАРСК.в/к с/н в/у 1/100_Л11  ОСТАНКИНО</v>
          </cell>
          <cell r="B102" t="str">
            <v>шт</v>
          </cell>
          <cell r="D102">
            <v>50</v>
          </cell>
          <cell r="E102">
            <v>14</v>
          </cell>
          <cell r="F102">
            <v>124</v>
          </cell>
          <cell r="G102">
            <v>0.1</v>
          </cell>
          <cell r="H102">
            <v>45</v>
          </cell>
          <cell r="I102" t="str">
            <v>матрица</v>
          </cell>
          <cell r="L102">
            <v>14</v>
          </cell>
          <cell r="P102">
            <v>2.8</v>
          </cell>
        </row>
        <row r="103">
          <cell r="A103" t="str">
            <v>7632 ЭКСТРА Папа может вар п/о 0.4кг 8шт_195к  ОСТАНКИНО</v>
          </cell>
          <cell r="B103" t="str">
            <v>шт</v>
          </cell>
          <cell r="C103">
            <v>264</v>
          </cell>
          <cell r="D103">
            <v>336</v>
          </cell>
          <cell r="E103">
            <v>137</v>
          </cell>
          <cell r="F103">
            <v>440</v>
          </cell>
          <cell r="G103">
            <v>0.4</v>
          </cell>
          <cell r="H103">
            <v>60</v>
          </cell>
          <cell r="I103" t="str">
            <v>матрица</v>
          </cell>
          <cell r="K103">
            <v>135</v>
          </cell>
          <cell r="L103">
            <v>2</v>
          </cell>
          <cell r="O103">
            <v>0</v>
          </cell>
          <cell r="P103">
            <v>27.4</v>
          </cell>
        </row>
        <row r="104">
          <cell r="A104" t="str">
            <v>7647  ХОЧУ ВЕТЧ. ИЗ СВИН.ОТРУБА с/н мгс 1/100</v>
          </cell>
          <cell r="B104" t="str">
            <v>шт</v>
          </cell>
          <cell r="G104">
            <v>0.1</v>
          </cell>
          <cell r="I104" t="str">
            <v>матрица</v>
          </cell>
          <cell r="L104">
            <v>0</v>
          </cell>
          <cell r="O104">
            <v>0</v>
          </cell>
          <cell r="P104">
            <v>0</v>
          </cell>
          <cell r="Q104">
            <v>100</v>
          </cell>
        </row>
        <row r="105">
          <cell r="A105" t="str">
            <v>7651  ХОЧУ ВЕТЧ. МРАМОР. ПМ с/н мгс 1/100_Л11</v>
          </cell>
          <cell r="B105" t="str">
            <v>шт</v>
          </cell>
          <cell r="G105">
            <v>0.1</v>
          </cell>
          <cell r="I105" t="str">
            <v>матрица</v>
          </cell>
          <cell r="L105">
            <v>0</v>
          </cell>
          <cell r="O105">
            <v>0</v>
          </cell>
          <cell r="P105">
            <v>0</v>
          </cell>
          <cell r="Q105">
            <v>100</v>
          </cell>
        </row>
        <row r="106">
          <cell r="A106" t="str">
            <v>БОНУС_6087 СОЧНЫЕ ПМ сос п/о мгс 0,41кг 10шт.  ОСТАНКИНО</v>
          </cell>
          <cell r="B106" t="str">
            <v>шт</v>
          </cell>
          <cell r="C106">
            <v>29</v>
          </cell>
          <cell r="F106">
            <v>29</v>
          </cell>
          <cell r="G106">
            <v>0</v>
          </cell>
          <cell r="I106" t="str">
            <v>бонус</v>
          </cell>
          <cell r="J106" t="str">
            <v>7066 СОЧНЫЕ ПМ сос п/о мгс 0,41кг 10шт 50с  Останкино</v>
          </cell>
          <cell r="L106">
            <v>0</v>
          </cell>
          <cell r="O106">
            <v>0</v>
          </cell>
          <cell r="P106">
            <v>0</v>
          </cell>
        </row>
        <row r="107">
          <cell r="A107" t="str">
            <v>БОНУС_6954 СОЧНЫЕ Папа может сос п/о мгс 1.5*4_Х5  ОСТАНКИНО</v>
          </cell>
          <cell r="B107" t="str">
            <v>кг</v>
          </cell>
          <cell r="C107">
            <v>-3.11</v>
          </cell>
          <cell r="D107">
            <v>3.11</v>
          </cell>
          <cell r="G107">
            <v>0</v>
          </cell>
          <cell r="I107" t="str">
            <v>бонус</v>
          </cell>
          <cell r="J107" t="str">
            <v>7070 СОЧНЫЕ ПМ сос п/о 1,5*4_А_50с  Останкино</v>
          </cell>
          <cell r="L107">
            <v>0</v>
          </cell>
          <cell r="O107">
            <v>0</v>
          </cell>
          <cell r="P107">
            <v>0</v>
          </cell>
        </row>
        <row r="108">
          <cell r="A108" t="str">
            <v>6620 РЕБРЫШКИ к/в в/у_30с  Останкино</v>
          </cell>
          <cell r="B108" t="str">
            <v>кг</v>
          </cell>
          <cell r="G108">
            <v>0</v>
          </cell>
          <cell r="I108" t="str">
            <v>матрица</v>
          </cell>
          <cell r="P108">
            <v>0</v>
          </cell>
        </row>
        <row r="109">
          <cell r="A109" t="str">
            <v>6925 ВЕТЧ.КЛАССИЧЕСКАЯ в/у 0,6кг 8шт. ОСТАНКИНО</v>
          </cell>
          <cell r="B109" t="str">
            <v>шт</v>
          </cell>
          <cell r="G109">
            <v>0</v>
          </cell>
          <cell r="I109" t="str">
            <v>матрица</v>
          </cell>
          <cell r="P109">
            <v>0</v>
          </cell>
        </row>
        <row r="110">
          <cell r="A110" t="str">
            <v>7616 ЭКСТРА Папа может с/к с/н в/у 1/100_  ОСТАНКИНО</v>
          </cell>
          <cell r="B110" t="str">
            <v>шт</v>
          </cell>
          <cell r="E110">
            <v>45</v>
          </cell>
          <cell r="F110">
            <v>2</v>
          </cell>
          <cell r="G110">
            <v>0.1</v>
          </cell>
          <cell r="H110">
            <v>60</v>
          </cell>
          <cell r="I110" t="str">
            <v>матрица</v>
          </cell>
          <cell r="O110">
            <v>138</v>
          </cell>
          <cell r="P110">
            <v>9</v>
          </cell>
        </row>
        <row r="111">
          <cell r="A111" t="str">
            <v>7612 БАЛЫК с/к с/н в/у 1/100 10шт_  ОСТАНКИНО</v>
          </cell>
          <cell r="B111" t="str">
            <v>шт</v>
          </cell>
          <cell r="E111">
            <v>36</v>
          </cell>
          <cell r="F111">
            <v>63</v>
          </cell>
          <cell r="G111">
            <v>0.1</v>
          </cell>
          <cell r="H111">
            <v>60</v>
          </cell>
          <cell r="I111" t="str">
            <v>матрица</v>
          </cell>
          <cell r="P111">
            <v>7.2</v>
          </cell>
          <cell r="Q111">
            <v>45</v>
          </cell>
        </row>
        <row r="112">
          <cell r="A112" t="str">
            <v>7613 АРОМАТНАЯ с/к с/н в/у 1/100 10шт_Л10</v>
          </cell>
          <cell r="B112" t="str">
            <v>шт</v>
          </cell>
          <cell r="E112">
            <v>199</v>
          </cell>
          <cell r="F112">
            <v>210</v>
          </cell>
          <cell r="G112">
            <v>0.1</v>
          </cell>
          <cell r="H112">
            <v>60</v>
          </cell>
          <cell r="I112" t="str">
            <v>матрица</v>
          </cell>
          <cell r="O112">
            <v>122</v>
          </cell>
          <cell r="P112">
            <v>39.799999999999997</v>
          </cell>
          <cell r="Q112">
            <v>265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7" sqref="T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11.140625" style="24" customWidth="1"/>
    <col min="21" max="22" width="5" customWidth="1"/>
    <col min="23" max="30" width="6" customWidth="1"/>
    <col min="31" max="31" width="53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168</v>
      </c>
      <c r="S3" s="3" t="s">
        <v>168</v>
      </c>
      <c r="T3" s="3" t="s">
        <v>166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 t="s">
        <v>169</v>
      </c>
      <c r="S4" s="1" t="s">
        <v>170</v>
      </c>
      <c r="T4" s="1" t="s">
        <v>167</v>
      </c>
      <c r="U4" s="1"/>
      <c r="V4" s="1"/>
      <c r="W4" s="1" t="s">
        <v>23</v>
      </c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SUM(E6:E498)</f>
        <v>12345.630000000001</v>
      </c>
      <c r="F5" s="4">
        <f>SUM(F6:F498)</f>
        <v>11145.098</v>
      </c>
      <c r="G5" s="7"/>
      <c r="H5" s="1"/>
      <c r="I5" s="1"/>
      <c r="J5" s="1"/>
      <c r="K5" s="4">
        <f t="shared" ref="K5:R5" si="0">SUM(K6:K498)</f>
        <v>12902.231</v>
      </c>
      <c r="L5" s="4">
        <f t="shared" si="0"/>
        <v>-836.60100000000011</v>
      </c>
      <c r="M5" s="4">
        <f t="shared" si="0"/>
        <v>0</v>
      </c>
      <c r="N5" s="4">
        <f t="shared" si="0"/>
        <v>0</v>
      </c>
      <c r="O5" s="4">
        <f t="shared" si="0"/>
        <v>5498</v>
      </c>
      <c r="P5" s="4">
        <f t="shared" si="0"/>
        <v>2469.1259999999997</v>
      </c>
      <c r="Q5" s="4">
        <f t="shared" si="0"/>
        <v>19729.415000000001</v>
      </c>
      <c r="R5" s="4">
        <f t="shared" si="0"/>
        <v>19153</v>
      </c>
      <c r="S5" s="4">
        <f t="shared" ref="S5" si="1">SUM(S6:S498)</f>
        <v>100</v>
      </c>
      <c r="T5" s="4"/>
      <c r="U5" s="1"/>
      <c r="V5" s="1"/>
      <c r="W5" s="4">
        <f t="shared" ref="W5:AD5" si="2">SUM(W6:W498)</f>
        <v>1790.1371999999999</v>
      </c>
      <c r="X5" s="4">
        <f t="shared" si="2"/>
        <v>2127.1240000000003</v>
      </c>
      <c r="Y5" s="4">
        <f t="shared" si="2"/>
        <v>2749.5185999999999</v>
      </c>
      <c r="Z5" s="4">
        <f t="shared" si="2"/>
        <v>2137.7203999999997</v>
      </c>
      <c r="AA5" s="4">
        <f t="shared" si="2"/>
        <v>2234.9212000000002</v>
      </c>
      <c r="AB5" s="4">
        <f t="shared" si="2"/>
        <v>2185.6080000000006</v>
      </c>
      <c r="AC5" s="4">
        <f t="shared" si="2"/>
        <v>2365.7408000000005</v>
      </c>
      <c r="AD5" s="4">
        <f t="shared" si="2"/>
        <v>1763.3862000000001</v>
      </c>
      <c r="AE5" s="1"/>
      <c r="AF5" s="4">
        <f>SUM(AF6:AF498)</f>
        <v>9360.1700000000019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188</v>
      </c>
      <c r="D6" s="1">
        <v>278</v>
      </c>
      <c r="E6" s="1">
        <v>208</v>
      </c>
      <c r="F6" s="1">
        <v>205</v>
      </c>
      <c r="G6" s="7">
        <v>0.4</v>
      </c>
      <c r="H6" s="1">
        <v>60</v>
      </c>
      <c r="I6" s="1" t="s">
        <v>33</v>
      </c>
      <c r="J6" s="1"/>
      <c r="K6" s="1">
        <v>218</v>
      </c>
      <c r="L6" s="1">
        <f t="shared" ref="L6:L37" si="3">E6-K6</f>
        <v>-10</v>
      </c>
      <c r="M6" s="1"/>
      <c r="N6" s="1"/>
      <c r="O6" s="1">
        <v>107</v>
      </c>
      <c r="P6" s="1">
        <f t="shared" ref="P6:P37" si="4">E6/5</f>
        <v>41.6</v>
      </c>
      <c r="Q6" s="5">
        <f>15*P6-O6-F6</f>
        <v>312</v>
      </c>
      <c r="R6" s="5">
        <f>ROUND(Q6,0)</f>
        <v>312</v>
      </c>
      <c r="S6" s="5"/>
      <c r="T6" s="23"/>
      <c r="U6" s="1">
        <f t="shared" ref="U6:U34" si="5">(F6+O6+Q6)/P6</f>
        <v>15</v>
      </c>
      <c r="V6" s="1">
        <f t="shared" ref="V6:V34" si="6">(F6+O6)/P6</f>
        <v>7.5</v>
      </c>
      <c r="W6" s="1">
        <v>37.200000000000003</v>
      </c>
      <c r="X6" s="1">
        <v>43.2</v>
      </c>
      <c r="Y6" s="1">
        <v>54</v>
      </c>
      <c r="Z6" s="1">
        <v>43.4</v>
      </c>
      <c r="AA6" s="1">
        <v>44.2</v>
      </c>
      <c r="AB6" s="1">
        <v>54.4</v>
      </c>
      <c r="AC6" s="1">
        <v>58.2</v>
      </c>
      <c r="AD6" s="1">
        <v>26.6</v>
      </c>
      <c r="AE6" s="1"/>
      <c r="AF6" s="1">
        <f>G6*R6</f>
        <v>124.80000000000001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35</v>
      </c>
      <c r="C7" s="1">
        <v>64.742999999999995</v>
      </c>
      <c r="D7" s="1">
        <v>8.9009999999999998</v>
      </c>
      <c r="E7" s="1">
        <v>41.755000000000003</v>
      </c>
      <c r="F7" s="1">
        <v>24.492000000000001</v>
      </c>
      <c r="G7" s="7">
        <v>1</v>
      </c>
      <c r="H7" s="1">
        <v>120</v>
      </c>
      <c r="I7" s="1" t="s">
        <v>33</v>
      </c>
      <c r="J7" s="1"/>
      <c r="K7" s="1">
        <v>42.8</v>
      </c>
      <c r="L7" s="1">
        <f t="shared" si="3"/>
        <v>-1.0449999999999946</v>
      </c>
      <c r="M7" s="1"/>
      <c r="N7" s="1"/>
      <c r="O7" s="1">
        <v>39</v>
      </c>
      <c r="P7" s="1">
        <f t="shared" si="4"/>
        <v>8.3510000000000009</v>
      </c>
      <c r="Q7" s="5">
        <f>20*P7-O7-F7</f>
        <v>103.52800000000001</v>
      </c>
      <c r="R7" s="5">
        <f t="shared" ref="R7:R70" si="7">ROUND(Q7,0)</f>
        <v>104</v>
      </c>
      <c r="S7" s="5"/>
      <c r="T7" s="23"/>
      <c r="U7" s="1">
        <f t="shared" si="5"/>
        <v>20</v>
      </c>
      <c r="V7" s="1">
        <f t="shared" si="6"/>
        <v>7.6029218057717634</v>
      </c>
      <c r="W7" s="1">
        <v>6.8492000000000006</v>
      </c>
      <c r="X7" s="1">
        <v>5.0434000000000001</v>
      </c>
      <c r="Y7" s="1">
        <v>10.417999999999999</v>
      </c>
      <c r="Z7" s="1">
        <v>7.246599999999999</v>
      </c>
      <c r="AA7" s="1">
        <v>4.9813999999999998</v>
      </c>
      <c r="AB7" s="1">
        <v>9.3382000000000005</v>
      </c>
      <c r="AC7" s="1">
        <v>7.6756000000000002</v>
      </c>
      <c r="AD7" s="1">
        <v>4.343</v>
      </c>
      <c r="AE7" s="1" t="s">
        <v>36</v>
      </c>
      <c r="AF7" s="1">
        <f t="shared" ref="AF7:AF70" si="8">G7*R7</f>
        <v>104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32</v>
      </c>
      <c r="C8" s="1">
        <v>237</v>
      </c>
      <c r="D8" s="1">
        <v>200</v>
      </c>
      <c r="E8" s="1">
        <v>112</v>
      </c>
      <c r="F8" s="1">
        <v>303</v>
      </c>
      <c r="G8" s="7">
        <v>0.25</v>
      </c>
      <c r="H8" s="1">
        <v>120</v>
      </c>
      <c r="I8" s="1" t="s">
        <v>33</v>
      </c>
      <c r="J8" s="1"/>
      <c r="K8" s="1">
        <v>113</v>
      </c>
      <c r="L8" s="1">
        <f t="shared" si="3"/>
        <v>-1</v>
      </c>
      <c r="M8" s="1"/>
      <c r="N8" s="1"/>
      <c r="O8" s="1">
        <v>124</v>
      </c>
      <c r="P8" s="1">
        <f t="shared" si="4"/>
        <v>22.4</v>
      </c>
      <c r="Q8" s="5">
        <f>20*P8-O8-F8</f>
        <v>21</v>
      </c>
      <c r="R8" s="5">
        <f t="shared" si="7"/>
        <v>21</v>
      </c>
      <c r="S8" s="5"/>
      <c r="T8" s="23"/>
      <c r="U8" s="1">
        <f t="shared" si="5"/>
        <v>20</v>
      </c>
      <c r="V8" s="1">
        <f t="shared" si="6"/>
        <v>19.0625</v>
      </c>
      <c r="W8" s="1">
        <v>27.8</v>
      </c>
      <c r="X8" s="1">
        <v>29.4</v>
      </c>
      <c r="Y8" s="1">
        <v>53.8</v>
      </c>
      <c r="Z8" s="1">
        <v>3</v>
      </c>
      <c r="AA8" s="1">
        <v>23</v>
      </c>
      <c r="AB8" s="1">
        <v>29.8</v>
      </c>
      <c r="AC8" s="1">
        <v>17.600000000000001</v>
      </c>
      <c r="AD8" s="1">
        <v>20.2</v>
      </c>
      <c r="AE8" s="1" t="s">
        <v>36</v>
      </c>
      <c r="AF8" s="1">
        <f t="shared" si="8"/>
        <v>5.25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35</v>
      </c>
      <c r="C9" s="1">
        <v>179.47200000000001</v>
      </c>
      <c r="D9" s="1">
        <v>275.24799999999999</v>
      </c>
      <c r="E9" s="1">
        <v>177.321</v>
      </c>
      <c r="F9" s="1">
        <v>212.489</v>
      </c>
      <c r="G9" s="7">
        <v>1</v>
      </c>
      <c r="H9" s="1">
        <v>60</v>
      </c>
      <c r="I9" s="1" t="s">
        <v>33</v>
      </c>
      <c r="J9" s="1"/>
      <c r="K9" s="1">
        <v>199.495</v>
      </c>
      <c r="L9" s="1">
        <f t="shared" si="3"/>
        <v>-22.174000000000007</v>
      </c>
      <c r="M9" s="1"/>
      <c r="N9" s="1"/>
      <c r="O9" s="1">
        <v>0</v>
      </c>
      <c r="P9" s="1">
        <f t="shared" si="4"/>
        <v>35.464199999999998</v>
      </c>
      <c r="Q9" s="5">
        <f>15*P9-O9-F9</f>
        <v>319.47399999999993</v>
      </c>
      <c r="R9" s="5">
        <f t="shared" si="7"/>
        <v>319</v>
      </c>
      <c r="S9" s="5"/>
      <c r="T9" s="23"/>
      <c r="U9" s="1">
        <f t="shared" si="5"/>
        <v>15</v>
      </c>
      <c r="V9" s="1">
        <f t="shared" si="6"/>
        <v>5.9916479153625346</v>
      </c>
      <c r="W9" s="1">
        <v>22.991599999999998</v>
      </c>
      <c r="X9" s="1">
        <v>35.211200000000012</v>
      </c>
      <c r="Y9" s="1">
        <v>37.505800000000001</v>
      </c>
      <c r="Z9" s="1">
        <v>28.898199999999999</v>
      </c>
      <c r="AA9" s="1">
        <v>42.983400000000003</v>
      </c>
      <c r="AB9" s="1">
        <v>37.770800000000001</v>
      </c>
      <c r="AC9" s="1">
        <v>41.238999999999997</v>
      </c>
      <c r="AD9" s="1">
        <v>44.527200000000001</v>
      </c>
      <c r="AE9" s="1"/>
      <c r="AF9" s="1">
        <f t="shared" si="8"/>
        <v>319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39</v>
      </c>
      <c r="B10" s="1" t="s">
        <v>35</v>
      </c>
      <c r="C10" s="1">
        <v>29.952000000000002</v>
      </c>
      <c r="D10" s="1">
        <v>32.015999999999998</v>
      </c>
      <c r="E10" s="1">
        <v>27.437999999999999</v>
      </c>
      <c r="F10" s="1">
        <v>28.062000000000001</v>
      </c>
      <c r="G10" s="7">
        <v>1</v>
      </c>
      <c r="H10" s="1">
        <v>120</v>
      </c>
      <c r="I10" s="1" t="s">
        <v>33</v>
      </c>
      <c r="J10" s="1"/>
      <c r="K10" s="1">
        <v>28.4</v>
      </c>
      <c r="L10" s="1">
        <f t="shared" si="3"/>
        <v>-0.96199999999999974</v>
      </c>
      <c r="M10" s="1"/>
      <c r="N10" s="1"/>
      <c r="O10" s="1">
        <v>0</v>
      </c>
      <c r="P10" s="1">
        <f t="shared" si="4"/>
        <v>5.4875999999999996</v>
      </c>
      <c r="Q10" s="5">
        <f>20*P10-O10-F10</f>
        <v>81.69</v>
      </c>
      <c r="R10" s="5">
        <f t="shared" si="7"/>
        <v>82</v>
      </c>
      <c r="S10" s="5"/>
      <c r="T10" s="23"/>
      <c r="U10" s="1">
        <f t="shared" si="5"/>
        <v>20</v>
      </c>
      <c r="V10" s="1">
        <f t="shared" si="6"/>
        <v>5.113710911874044</v>
      </c>
      <c r="W10" s="1">
        <v>0.2</v>
      </c>
      <c r="X10" s="1">
        <v>0.1976</v>
      </c>
      <c r="Y10" s="1">
        <v>6.0484</v>
      </c>
      <c r="Z10" s="1">
        <v>6.9627999999999997</v>
      </c>
      <c r="AA10" s="1">
        <v>3.1852</v>
      </c>
      <c r="AB10" s="1">
        <v>4.3540000000000001</v>
      </c>
      <c r="AC10" s="1">
        <v>5.3411999999999997</v>
      </c>
      <c r="AD10" s="1">
        <v>3.0634000000000001</v>
      </c>
      <c r="AE10" s="1" t="s">
        <v>36</v>
      </c>
      <c r="AF10" s="1">
        <f t="shared" si="8"/>
        <v>82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40</v>
      </c>
      <c r="B11" s="1" t="s">
        <v>35</v>
      </c>
      <c r="C11" s="1">
        <v>38.292000000000002</v>
      </c>
      <c r="D11" s="1">
        <v>51.365000000000002</v>
      </c>
      <c r="E11" s="1">
        <v>30.452000000000002</v>
      </c>
      <c r="F11" s="1">
        <v>55.527999999999999</v>
      </c>
      <c r="G11" s="7">
        <v>1</v>
      </c>
      <c r="H11" s="1">
        <v>60</v>
      </c>
      <c r="I11" s="1" t="s">
        <v>33</v>
      </c>
      <c r="J11" s="1"/>
      <c r="K11" s="1">
        <v>31.3</v>
      </c>
      <c r="L11" s="1">
        <f t="shared" si="3"/>
        <v>-0.84799999999999898</v>
      </c>
      <c r="M11" s="1"/>
      <c r="N11" s="1"/>
      <c r="O11" s="1">
        <v>0</v>
      </c>
      <c r="P11" s="1">
        <f t="shared" si="4"/>
        <v>6.0904000000000007</v>
      </c>
      <c r="Q11" s="5">
        <f>15*P11-O11-F11</f>
        <v>35.82800000000001</v>
      </c>
      <c r="R11" s="5">
        <f>T11</f>
        <v>0</v>
      </c>
      <c r="S11" s="5"/>
      <c r="T11" s="23">
        <v>0</v>
      </c>
      <c r="U11" s="1">
        <f t="shared" si="5"/>
        <v>15</v>
      </c>
      <c r="V11" s="1">
        <f t="shared" si="6"/>
        <v>9.1172993563641125</v>
      </c>
      <c r="W11" s="1">
        <v>2.7360000000000002</v>
      </c>
      <c r="X11" s="1">
        <v>6.2005999999999997</v>
      </c>
      <c r="Y11" s="1">
        <v>9.0286000000000008</v>
      </c>
      <c r="Z11" s="1">
        <v>7.8545999999999996</v>
      </c>
      <c r="AA11" s="1">
        <v>8.6346000000000007</v>
      </c>
      <c r="AB11" s="1">
        <v>11.516999999999999</v>
      </c>
      <c r="AC11" s="1">
        <v>10.395</v>
      </c>
      <c r="AD11" s="1">
        <v>10.9404</v>
      </c>
      <c r="AE11" s="1"/>
      <c r="AF11" s="1">
        <f t="shared" si="8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42</v>
      </c>
      <c r="B12" s="1" t="s">
        <v>35</v>
      </c>
      <c r="C12" s="1">
        <v>163.35</v>
      </c>
      <c r="D12" s="1">
        <v>29.693000000000001</v>
      </c>
      <c r="E12" s="1">
        <v>26.937000000000001</v>
      </c>
      <c r="F12" s="1">
        <v>1.0189999999999999</v>
      </c>
      <c r="G12" s="7">
        <v>1</v>
      </c>
      <c r="H12" s="1">
        <v>60</v>
      </c>
      <c r="I12" s="1" t="s">
        <v>33</v>
      </c>
      <c r="J12" s="1"/>
      <c r="K12" s="1">
        <v>191.6</v>
      </c>
      <c r="L12" s="1">
        <f t="shared" si="3"/>
        <v>-164.66299999999998</v>
      </c>
      <c r="M12" s="1"/>
      <c r="N12" s="1"/>
      <c r="O12" s="1">
        <v>303</v>
      </c>
      <c r="P12" s="1">
        <f t="shared" si="4"/>
        <v>5.3874000000000004</v>
      </c>
      <c r="Q12" s="5"/>
      <c r="R12" s="5">
        <f t="shared" si="7"/>
        <v>0</v>
      </c>
      <c r="S12" s="5"/>
      <c r="T12" s="23"/>
      <c r="U12" s="1">
        <f t="shared" si="5"/>
        <v>56.431488287485614</v>
      </c>
      <c r="V12" s="1">
        <f t="shared" si="6"/>
        <v>56.431488287485614</v>
      </c>
      <c r="W12" s="1">
        <v>32.887999999999998</v>
      </c>
      <c r="X12" s="1">
        <v>23.7438</v>
      </c>
      <c r="Y12" s="1">
        <v>30.880600000000001</v>
      </c>
      <c r="Z12" s="1">
        <v>18.755199999999999</v>
      </c>
      <c r="AA12" s="1">
        <v>41.007599999999996</v>
      </c>
      <c r="AB12" s="1">
        <v>40.128599999999999</v>
      </c>
      <c r="AC12" s="1">
        <v>29.197199999999999</v>
      </c>
      <c r="AD12" s="1">
        <v>35.5212</v>
      </c>
      <c r="AE12" s="1"/>
      <c r="AF12" s="1">
        <f t="shared" si="8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43</v>
      </c>
      <c r="B13" s="1" t="s">
        <v>32</v>
      </c>
      <c r="C13" s="1">
        <v>269</v>
      </c>
      <c r="D13" s="1">
        <v>90</v>
      </c>
      <c r="E13" s="1">
        <v>226</v>
      </c>
      <c r="F13" s="1">
        <v>103</v>
      </c>
      <c r="G13" s="7">
        <v>0.25</v>
      </c>
      <c r="H13" s="1">
        <v>120</v>
      </c>
      <c r="I13" s="1" t="s">
        <v>33</v>
      </c>
      <c r="J13" s="1"/>
      <c r="K13" s="1">
        <v>248</v>
      </c>
      <c r="L13" s="1">
        <f t="shared" si="3"/>
        <v>-22</v>
      </c>
      <c r="M13" s="1"/>
      <c r="N13" s="1"/>
      <c r="O13" s="1">
        <v>68</v>
      </c>
      <c r="P13" s="1">
        <f t="shared" si="4"/>
        <v>45.2</v>
      </c>
      <c r="Q13" s="5">
        <f>15*P13-O13-F13</f>
        <v>507</v>
      </c>
      <c r="R13" s="5">
        <f>T13</f>
        <v>450</v>
      </c>
      <c r="S13" s="5"/>
      <c r="T13" s="23">
        <f>VLOOKUP(A13,[1]Sheet!$A:$R,18,0)</f>
        <v>450</v>
      </c>
      <c r="U13" s="1">
        <f t="shared" si="5"/>
        <v>14.999999999999998</v>
      </c>
      <c r="V13" s="1">
        <f t="shared" si="6"/>
        <v>3.7831858407079642</v>
      </c>
      <c r="W13" s="1">
        <v>21.4</v>
      </c>
      <c r="X13" s="1">
        <v>18.2</v>
      </c>
      <c r="Y13" s="1">
        <v>39.799999999999997</v>
      </c>
      <c r="Z13" s="1">
        <v>32.200000000000003</v>
      </c>
      <c r="AA13" s="1">
        <v>24</v>
      </c>
      <c r="AB13" s="1">
        <v>16.8</v>
      </c>
      <c r="AC13" s="1">
        <v>39</v>
      </c>
      <c r="AD13" s="1">
        <v>21.2</v>
      </c>
      <c r="AE13" s="1" t="s">
        <v>36</v>
      </c>
      <c r="AF13" s="1">
        <f t="shared" si="8"/>
        <v>112.5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44</v>
      </c>
      <c r="B14" s="1" t="s">
        <v>35</v>
      </c>
      <c r="C14" s="1">
        <v>45.728000000000002</v>
      </c>
      <c r="D14" s="1">
        <v>1.37</v>
      </c>
      <c r="E14" s="1">
        <v>24.18</v>
      </c>
      <c r="F14" s="1">
        <v>17.141999999999999</v>
      </c>
      <c r="G14" s="7">
        <v>1</v>
      </c>
      <c r="H14" s="1">
        <v>60</v>
      </c>
      <c r="I14" s="1" t="s">
        <v>33</v>
      </c>
      <c r="J14" s="1"/>
      <c r="K14" s="1">
        <v>23.7</v>
      </c>
      <c r="L14" s="1">
        <f t="shared" si="3"/>
        <v>0.48000000000000043</v>
      </c>
      <c r="M14" s="1"/>
      <c r="N14" s="1"/>
      <c r="O14" s="1">
        <v>19</v>
      </c>
      <c r="P14" s="1">
        <f t="shared" si="4"/>
        <v>4.8360000000000003</v>
      </c>
      <c r="Q14" s="5">
        <f>15*P14-O14-F14</f>
        <v>36.39800000000001</v>
      </c>
      <c r="R14" s="5">
        <f t="shared" si="7"/>
        <v>36</v>
      </c>
      <c r="S14" s="5"/>
      <c r="T14" s="23"/>
      <c r="U14" s="1">
        <f t="shared" si="5"/>
        <v>15</v>
      </c>
      <c r="V14" s="1">
        <f t="shared" si="6"/>
        <v>7.4735318444995853</v>
      </c>
      <c r="W14" s="1">
        <v>4.3343999999999996</v>
      </c>
      <c r="X14" s="1">
        <v>3.8136000000000001</v>
      </c>
      <c r="Y14" s="1">
        <v>3.4849999999999999</v>
      </c>
      <c r="Z14" s="1">
        <v>7.4036</v>
      </c>
      <c r="AA14" s="1">
        <v>10.1214</v>
      </c>
      <c r="AB14" s="1">
        <v>7.6818</v>
      </c>
      <c r="AC14" s="1">
        <v>7.3453999999999997</v>
      </c>
      <c r="AD14" s="1">
        <v>5.9554</v>
      </c>
      <c r="AE14" s="1"/>
      <c r="AF14" s="1">
        <f t="shared" si="8"/>
        <v>36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45</v>
      </c>
      <c r="B15" s="1" t="s">
        <v>32</v>
      </c>
      <c r="C15" s="1">
        <v>241</v>
      </c>
      <c r="D15" s="1">
        <v>177</v>
      </c>
      <c r="E15" s="1">
        <v>266</v>
      </c>
      <c r="F15" s="1">
        <v>102</v>
      </c>
      <c r="G15" s="7">
        <v>0.25</v>
      </c>
      <c r="H15" s="1">
        <v>120</v>
      </c>
      <c r="I15" s="1" t="s">
        <v>33</v>
      </c>
      <c r="J15" s="1"/>
      <c r="K15" s="1">
        <v>274</v>
      </c>
      <c r="L15" s="1">
        <f t="shared" si="3"/>
        <v>-8</v>
      </c>
      <c r="M15" s="1"/>
      <c r="N15" s="1"/>
      <c r="O15" s="1">
        <v>304</v>
      </c>
      <c r="P15" s="1">
        <f t="shared" si="4"/>
        <v>53.2</v>
      </c>
      <c r="Q15" s="5">
        <f>15*P15-O15-F15</f>
        <v>392</v>
      </c>
      <c r="R15" s="5">
        <f>T15</f>
        <v>400</v>
      </c>
      <c r="S15" s="5"/>
      <c r="T15" s="23">
        <f>VLOOKUP(A15,[1]Sheet!$A:$R,18,0)</f>
        <v>400</v>
      </c>
      <c r="U15" s="1">
        <f t="shared" si="5"/>
        <v>15</v>
      </c>
      <c r="V15" s="1">
        <f t="shared" si="6"/>
        <v>7.6315789473684204</v>
      </c>
      <c r="W15" s="1">
        <v>36</v>
      </c>
      <c r="X15" s="1">
        <v>37</v>
      </c>
      <c r="Y15" s="1">
        <v>50.6</v>
      </c>
      <c r="Z15" s="1">
        <v>39</v>
      </c>
      <c r="AA15" s="1">
        <v>43.6</v>
      </c>
      <c r="AB15" s="1">
        <v>47.4</v>
      </c>
      <c r="AC15" s="1">
        <v>40.6</v>
      </c>
      <c r="AD15" s="1">
        <v>29.6</v>
      </c>
      <c r="AE15" s="1" t="s">
        <v>36</v>
      </c>
      <c r="AF15" s="1">
        <f t="shared" si="8"/>
        <v>100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46</v>
      </c>
      <c r="B16" s="1" t="s">
        <v>32</v>
      </c>
      <c r="C16" s="1">
        <v>224</v>
      </c>
      <c r="D16" s="1">
        <v>189</v>
      </c>
      <c r="E16" s="1">
        <v>133</v>
      </c>
      <c r="F16" s="1">
        <v>254</v>
      </c>
      <c r="G16" s="7">
        <v>0.4</v>
      </c>
      <c r="H16" s="1">
        <v>60</v>
      </c>
      <c r="I16" s="1" t="s">
        <v>33</v>
      </c>
      <c r="J16" s="1"/>
      <c r="K16" s="1">
        <v>128</v>
      </c>
      <c r="L16" s="1">
        <f t="shared" si="3"/>
        <v>5</v>
      </c>
      <c r="M16" s="1"/>
      <c r="N16" s="1"/>
      <c r="O16" s="1">
        <v>0</v>
      </c>
      <c r="P16" s="1">
        <f t="shared" si="4"/>
        <v>26.6</v>
      </c>
      <c r="Q16" s="5">
        <f>15*P16-O16-F16</f>
        <v>145</v>
      </c>
      <c r="R16" s="5">
        <f t="shared" si="7"/>
        <v>145</v>
      </c>
      <c r="S16" s="5">
        <v>50</v>
      </c>
      <c r="T16" s="23"/>
      <c r="U16" s="1">
        <f t="shared" si="5"/>
        <v>15</v>
      </c>
      <c r="V16" s="1">
        <f t="shared" si="6"/>
        <v>9.5488721804511272</v>
      </c>
      <c r="W16" s="1">
        <v>10.8</v>
      </c>
      <c r="X16" s="1">
        <v>15.4</v>
      </c>
      <c r="Y16" s="1">
        <v>33.6</v>
      </c>
      <c r="Z16" s="1">
        <v>22.8</v>
      </c>
      <c r="AA16" s="1">
        <v>8.1999999999999993</v>
      </c>
      <c r="AB16" s="1">
        <v>19.600000000000001</v>
      </c>
      <c r="AC16" s="1">
        <v>16.399999999999999</v>
      </c>
      <c r="AD16" s="1">
        <v>10</v>
      </c>
      <c r="AE16" s="1"/>
      <c r="AF16" s="1">
        <f t="shared" si="8"/>
        <v>58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47</v>
      </c>
      <c r="B17" s="1" t="s">
        <v>35</v>
      </c>
      <c r="C17" s="1">
        <v>276.55200000000002</v>
      </c>
      <c r="D17" s="1">
        <v>44.395000000000003</v>
      </c>
      <c r="E17" s="1">
        <v>229.339</v>
      </c>
      <c r="F17" s="1">
        <v>58.314</v>
      </c>
      <c r="G17" s="7">
        <v>1</v>
      </c>
      <c r="H17" s="1">
        <v>45</v>
      </c>
      <c r="I17" s="1" t="s">
        <v>33</v>
      </c>
      <c r="J17" s="1"/>
      <c r="K17" s="1">
        <v>222.7</v>
      </c>
      <c r="L17" s="1">
        <f t="shared" si="3"/>
        <v>6.63900000000001</v>
      </c>
      <c r="M17" s="1"/>
      <c r="N17" s="1"/>
      <c r="O17" s="1">
        <v>221</v>
      </c>
      <c r="P17" s="1">
        <f t="shared" si="4"/>
        <v>45.867800000000003</v>
      </c>
      <c r="Q17" s="5">
        <f>15*P17-O17-F17</f>
        <v>408.70300000000003</v>
      </c>
      <c r="R17" s="5">
        <f t="shared" si="7"/>
        <v>409</v>
      </c>
      <c r="S17" s="5"/>
      <c r="T17" s="23"/>
      <c r="U17" s="1">
        <f t="shared" si="5"/>
        <v>15</v>
      </c>
      <c r="V17" s="1">
        <f t="shared" si="6"/>
        <v>6.0895442990507505</v>
      </c>
      <c r="W17" s="1">
        <v>34.546199999999999</v>
      </c>
      <c r="X17" s="1">
        <v>30.534400000000002</v>
      </c>
      <c r="Y17" s="1">
        <v>39.906199999999998</v>
      </c>
      <c r="Z17" s="1">
        <v>48.837800000000001</v>
      </c>
      <c r="AA17" s="1">
        <v>42.3718</v>
      </c>
      <c r="AB17" s="1">
        <v>42.197000000000003</v>
      </c>
      <c r="AC17" s="1">
        <v>46.965800000000002</v>
      </c>
      <c r="AD17" s="1">
        <v>39.526200000000003</v>
      </c>
      <c r="AE17" s="1"/>
      <c r="AF17" s="1">
        <f t="shared" si="8"/>
        <v>409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1" t="s">
        <v>48</v>
      </c>
      <c r="B18" s="11" t="s">
        <v>32</v>
      </c>
      <c r="C18" s="11">
        <v>8</v>
      </c>
      <c r="D18" s="11">
        <v>8</v>
      </c>
      <c r="E18" s="11">
        <v>12</v>
      </c>
      <c r="F18" s="11">
        <v>4</v>
      </c>
      <c r="G18" s="12">
        <v>0</v>
      </c>
      <c r="H18" s="11">
        <v>60</v>
      </c>
      <c r="I18" s="11" t="s">
        <v>49</v>
      </c>
      <c r="J18" s="11"/>
      <c r="K18" s="11">
        <v>12</v>
      </c>
      <c r="L18" s="11">
        <f t="shared" si="3"/>
        <v>0</v>
      </c>
      <c r="M18" s="11"/>
      <c r="N18" s="11"/>
      <c r="O18" s="11">
        <v>29</v>
      </c>
      <c r="P18" s="11">
        <f t="shared" si="4"/>
        <v>2.4</v>
      </c>
      <c r="Q18" s="13"/>
      <c r="R18" s="5">
        <f t="shared" si="7"/>
        <v>0</v>
      </c>
      <c r="S18" s="5"/>
      <c r="T18" s="23"/>
      <c r="U18" s="11">
        <f t="shared" si="5"/>
        <v>13.75</v>
      </c>
      <c r="V18" s="11">
        <f t="shared" si="6"/>
        <v>13.75</v>
      </c>
      <c r="W18" s="11">
        <v>3.2</v>
      </c>
      <c r="X18" s="11">
        <v>2.4</v>
      </c>
      <c r="Y18" s="11">
        <v>0</v>
      </c>
      <c r="Z18" s="11">
        <v>1.4</v>
      </c>
      <c r="AA18" s="11">
        <v>1.4</v>
      </c>
      <c r="AB18" s="11">
        <v>0.2</v>
      </c>
      <c r="AC18" s="11">
        <v>6</v>
      </c>
      <c r="AD18" s="11">
        <v>3.2</v>
      </c>
      <c r="AE18" s="11"/>
      <c r="AF18" s="1">
        <f t="shared" si="8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50</v>
      </c>
      <c r="B19" s="1" t="s">
        <v>35</v>
      </c>
      <c r="C19" s="1">
        <v>115.622</v>
      </c>
      <c r="D19" s="1">
        <v>11.061999999999999</v>
      </c>
      <c r="E19" s="1">
        <v>29.085999999999999</v>
      </c>
      <c r="F19" s="1">
        <v>88.653999999999996</v>
      </c>
      <c r="G19" s="7">
        <v>1</v>
      </c>
      <c r="H19" s="1">
        <v>120</v>
      </c>
      <c r="I19" s="1" t="s">
        <v>33</v>
      </c>
      <c r="J19" s="1"/>
      <c r="K19" s="1">
        <v>32.9</v>
      </c>
      <c r="L19" s="1">
        <f t="shared" si="3"/>
        <v>-3.8140000000000001</v>
      </c>
      <c r="M19" s="1"/>
      <c r="N19" s="1"/>
      <c r="O19" s="1">
        <v>23</v>
      </c>
      <c r="P19" s="1">
        <f t="shared" si="4"/>
        <v>5.8171999999999997</v>
      </c>
      <c r="Q19" s="5">
        <f>20*P19-O19-F19</f>
        <v>4.6899999999999977</v>
      </c>
      <c r="R19" s="5">
        <f t="shared" si="7"/>
        <v>5</v>
      </c>
      <c r="S19" s="5"/>
      <c r="T19" s="23"/>
      <c r="U19" s="1">
        <f t="shared" si="5"/>
        <v>20</v>
      </c>
      <c r="V19" s="1">
        <f t="shared" si="6"/>
        <v>19.193770198721033</v>
      </c>
      <c r="W19" s="1">
        <v>6.9495999999999993</v>
      </c>
      <c r="X19" s="1">
        <v>2.3774000000000002</v>
      </c>
      <c r="Y19" s="1">
        <v>3.0162</v>
      </c>
      <c r="Z19" s="1">
        <v>7.0650000000000004</v>
      </c>
      <c r="AA19" s="1">
        <v>2.3460000000000001</v>
      </c>
      <c r="AB19" s="1">
        <v>3.508</v>
      </c>
      <c r="AC19" s="1">
        <v>3.726</v>
      </c>
      <c r="AD19" s="1">
        <v>1.4081999999999999</v>
      </c>
      <c r="AE19" s="1" t="s">
        <v>36</v>
      </c>
      <c r="AF19" s="1">
        <f t="shared" si="8"/>
        <v>5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51</v>
      </c>
      <c r="B20" s="1" t="s">
        <v>32</v>
      </c>
      <c r="C20" s="1">
        <v>165</v>
      </c>
      <c r="D20" s="1">
        <v>160</v>
      </c>
      <c r="E20" s="1">
        <v>210</v>
      </c>
      <c r="F20" s="1">
        <v>99</v>
      </c>
      <c r="G20" s="7">
        <v>0.4</v>
      </c>
      <c r="H20" s="1">
        <v>45</v>
      </c>
      <c r="I20" s="1" t="s">
        <v>33</v>
      </c>
      <c r="J20" s="1"/>
      <c r="K20" s="1">
        <v>200</v>
      </c>
      <c r="L20" s="1">
        <f t="shared" si="3"/>
        <v>10</v>
      </c>
      <c r="M20" s="1"/>
      <c r="N20" s="1"/>
      <c r="O20" s="1">
        <v>152</v>
      </c>
      <c r="P20" s="1">
        <f t="shared" si="4"/>
        <v>42</v>
      </c>
      <c r="Q20" s="5">
        <f>15*P20-O20-F20</f>
        <v>379</v>
      </c>
      <c r="R20" s="5">
        <f t="shared" si="7"/>
        <v>379</v>
      </c>
      <c r="S20" s="5"/>
      <c r="T20" s="23"/>
      <c r="U20" s="1">
        <f t="shared" si="5"/>
        <v>15</v>
      </c>
      <c r="V20" s="1">
        <f t="shared" si="6"/>
        <v>5.9761904761904763</v>
      </c>
      <c r="W20" s="1">
        <v>31.8</v>
      </c>
      <c r="X20" s="1">
        <v>31.4</v>
      </c>
      <c r="Y20" s="1">
        <v>39.799999999999997</v>
      </c>
      <c r="Z20" s="1">
        <v>30.4</v>
      </c>
      <c r="AA20" s="1">
        <v>33.4</v>
      </c>
      <c r="AB20" s="1">
        <v>17.399999999999999</v>
      </c>
      <c r="AC20" s="1">
        <v>29.4</v>
      </c>
      <c r="AD20" s="1">
        <v>27.2</v>
      </c>
      <c r="AE20" s="1"/>
      <c r="AF20" s="1">
        <f t="shared" si="8"/>
        <v>151.6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52</v>
      </c>
      <c r="B21" s="1" t="s">
        <v>35</v>
      </c>
      <c r="C21" s="1">
        <v>273.41500000000002</v>
      </c>
      <c r="D21" s="1">
        <v>18.687000000000001</v>
      </c>
      <c r="E21" s="1">
        <v>105.562</v>
      </c>
      <c r="F21" s="1">
        <v>12.427</v>
      </c>
      <c r="G21" s="7">
        <v>1</v>
      </c>
      <c r="H21" s="1">
        <v>60</v>
      </c>
      <c r="I21" s="1" t="s">
        <v>33</v>
      </c>
      <c r="J21" s="1"/>
      <c r="K21" s="1">
        <v>160.94499999999999</v>
      </c>
      <c r="L21" s="1">
        <f t="shared" si="3"/>
        <v>-55.382999999999996</v>
      </c>
      <c r="M21" s="1"/>
      <c r="N21" s="1"/>
      <c r="O21" s="1">
        <v>91</v>
      </c>
      <c r="P21" s="1">
        <f t="shared" si="4"/>
        <v>21.112400000000001</v>
      </c>
      <c r="Q21" s="5">
        <f>15*P21-O21-F21</f>
        <v>213.25900000000004</v>
      </c>
      <c r="R21" s="5">
        <f t="shared" si="7"/>
        <v>213</v>
      </c>
      <c r="S21" s="5"/>
      <c r="T21" s="23"/>
      <c r="U21" s="1">
        <f t="shared" si="5"/>
        <v>15.000000000000002</v>
      </c>
      <c r="V21" s="1">
        <f t="shared" si="6"/>
        <v>4.8988745950247239</v>
      </c>
      <c r="W21" s="1">
        <v>24.304200000000002</v>
      </c>
      <c r="X21" s="1">
        <v>17.704999999999998</v>
      </c>
      <c r="Y21" s="1">
        <v>11.230600000000001</v>
      </c>
      <c r="Z21" s="1">
        <v>31.431000000000001</v>
      </c>
      <c r="AA21" s="1">
        <v>23.541599999999999</v>
      </c>
      <c r="AB21" s="1">
        <v>20.12</v>
      </c>
      <c r="AC21" s="1">
        <v>23.421399999999998</v>
      </c>
      <c r="AD21" s="1">
        <v>19.7346</v>
      </c>
      <c r="AE21" s="1"/>
      <c r="AF21" s="1">
        <f t="shared" si="8"/>
        <v>213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53</v>
      </c>
      <c r="B22" s="1" t="s">
        <v>32</v>
      </c>
      <c r="C22" s="1">
        <v>188</v>
      </c>
      <c r="D22" s="1">
        <v>212</v>
      </c>
      <c r="E22" s="1">
        <v>267</v>
      </c>
      <c r="F22" s="1">
        <v>97</v>
      </c>
      <c r="G22" s="7">
        <v>0.22</v>
      </c>
      <c r="H22" s="1">
        <v>120</v>
      </c>
      <c r="I22" s="1" t="s">
        <v>33</v>
      </c>
      <c r="J22" s="1"/>
      <c r="K22" s="1">
        <v>277</v>
      </c>
      <c r="L22" s="1">
        <f t="shared" si="3"/>
        <v>-10</v>
      </c>
      <c r="M22" s="1"/>
      <c r="N22" s="1"/>
      <c r="O22" s="1">
        <v>322</v>
      </c>
      <c r="P22" s="1">
        <f t="shared" si="4"/>
        <v>53.4</v>
      </c>
      <c r="Q22" s="5">
        <f>15*P22-O22-F22</f>
        <v>382</v>
      </c>
      <c r="R22" s="5">
        <f>T22</f>
        <v>600</v>
      </c>
      <c r="S22" s="5"/>
      <c r="T22" s="23">
        <f>VLOOKUP(A22,[1]Sheet!$A:$R,18,0)</f>
        <v>600</v>
      </c>
      <c r="U22" s="1">
        <f t="shared" si="5"/>
        <v>15</v>
      </c>
      <c r="V22" s="1">
        <f t="shared" si="6"/>
        <v>7.8464419475655429</v>
      </c>
      <c r="W22" s="1">
        <v>36.200000000000003</v>
      </c>
      <c r="X22" s="1">
        <v>39.200000000000003</v>
      </c>
      <c r="Y22" s="1">
        <v>46.6</v>
      </c>
      <c r="Z22" s="1">
        <v>40.4</v>
      </c>
      <c r="AA22" s="1">
        <v>43.2</v>
      </c>
      <c r="AB22" s="1">
        <v>45</v>
      </c>
      <c r="AC22" s="1">
        <v>49.2</v>
      </c>
      <c r="AD22" s="1">
        <v>40</v>
      </c>
      <c r="AE22" s="1" t="s">
        <v>36</v>
      </c>
      <c r="AF22" s="1">
        <f t="shared" si="8"/>
        <v>132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54</v>
      </c>
      <c r="B23" s="1" t="s">
        <v>35</v>
      </c>
      <c r="C23" s="1">
        <v>95.403999999999996</v>
      </c>
      <c r="D23" s="1">
        <v>45.747999999999998</v>
      </c>
      <c r="E23" s="1">
        <v>20.446000000000002</v>
      </c>
      <c r="F23" s="1">
        <v>70.706000000000003</v>
      </c>
      <c r="G23" s="7">
        <v>1</v>
      </c>
      <c r="H23" s="1">
        <v>40</v>
      </c>
      <c r="I23" s="1" t="s">
        <v>33</v>
      </c>
      <c r="J23" s="1"/>
      <c r="K23" s="1">
        <v>17.8</v>
      </c>
      <c r="L23" s="1">
        <f t="shared" si="3"/>
        <v>2.6460000000000008</v>
      </c>
      <c r="M23" s="1"/>
      <c r="N23" s="1"/>
      <c r="O23" s="1">
        <v>0</v>
      </c>
      <c r="P23" s="1">
        <f t="shared" si="4"/>
        <v>4.0891999999999999</v>
      </c>
      <c r="Q23" s="5"/>
      <c r="R23" s="5">
        <f t="shared" si="7"/>
        <v>0</v>
      </c>
      <c r="S23" s="5"/>
      <c r="T23" s="23"/>
      <c r="U23" s="1">
        <f t="shared" si="5"/>
        <v>17.290912647950702</v>
      </c>
      <c r="V23" s="1">
        <f t="shared" si="6"/>
        <v>17.290912647950702</v>
      </c>
      <c r="W23" s="1">
        <v>7.2516000000000007</v>
      </c>
      <c r="X23" s="1">
        <v>2.1152000000000002</v>
      </c>
      <c r="Y23" s="1">
        <v>12.4244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9" t="s">
        <v>41</v>
      </c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1" t="s">
        <v>55</v>
      </c>
      <c r="B24" s="11" t="s">
        <v>32</v>
      </c>
      <c r="C24" s="11">
        <v>224</v>
      </c>
      <c r="D24" s="11">
        <v>7</v>
      </c>
      <c r="E24" s="11">
        <v>4</v>
      </c>
      <c r="F24" s="11">
        <v>220</v>
      </c>
      <c r="G24" s="12">
        <v>0</v>
      </c>
      <c r="H24" s="11">
        <v>45</v>
      </c>
      <c r="I24" s="11" t="s">
        <v>49</v>
      </c>
      <c r="J24" s="11"/>
      <c r="K24" s="11">
        <v>10</v>
      </c>
      <c r="L24" s="11">
        <f t="shared" si="3"/>
        <v>-6</v>
      </c>
      <c r="M24" s="11"/>
      <c r="N24" s="11"/>
      <c r="O24" s="11">
        <v>0</v>
      </c>
      <c r="P24" s="11">
        <f t="shared" si="4"/>
        <v>0.8</v>
      </c>
      <c r="Q24" s="13"/>
      <c r="R24" s="5">
        <f t="shared" si="7"/>
        <v>0</v>
      </c>
      <c r="S24" s="5"/>
      <c r="T24" s="23"/>
      <c r="U24" s="11">
        <f t="shared" si="5"/>
        <v>275</v>
      </c>
      <c r="V24" s="11">
        <f t="shared" si="6"/>
        <v>275</v>
      </c>
      <c r="W24" s="11">
        <v>3.4</v>
      </c>
      <c r="X24" s="11">
        <v>0.6</v>
      </c>
      <c r="Y24" s="11">
        <v>6.4</v>
      </c>
      <c r="Z24" s="11">
        <v>12.4</v>
      </c>
      <c r="AA24" s="11">
        <v>1.4</v>
      </c>
      <c r="AB24" s="11">
        <v>1</v>
      </c>
      <c r="AC24" s="11">
        <v>0.6</v>
      </c>
      <c r="AD24" s="11">
        <v>5.4</v>
      </c>
      <c r="AE24" s="17" t="s">
        <v>56</v>
      </c>
      <c r="AF24" s="1">
        <f t="shared" si="8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57</v>
      </c>
      <c r="B25" s="1" t="s">
        <v>35</v>
      </c>
      <c r="C25" s="1">
        <v>152.46100000000001</v>
      </c>
      <c r="D25" s="1">
        <v>88.447000000000003</v>
      </c>
      <c r="E25" s="1">
        <v>60.703000000000003</v>
      </c>
      <c r="F25" s="1">
        <v>178.84800000000001</v>
      </c>
      <c r="G25" s="7">
        <v>1</v>
      </c>
      <c r="H25" s="1">
        <v>60</v>
      </c>
      <c r="I25" s="1" t="s">
        <v>33</v>
      </c>
      <c r="J25" s="1"/>
      <c r="K25" s="1">
        <v>59.4</v>
      </c>
      <c r="L25" s="1">
        <f t="shared" si="3"/>
        <v>1.3030000000000044</v>
      </c>
      <c r="M25" s="1"/>
      <c r="N25" s="1"/>
      <c r="O25" s="1">
        <v>0</v>
      </c>
      <c r="P25" s="1">
        <f t="shared" si="4"/>
        <v>12.140600000000001</v>
      </c>
      <c r="Q25" s="5"/>
      <c r="R25" s="5">
        <f t="shared" si="7"/>
        <v>0</v>
      </c>
      <c r="S25" s="5"/>
      <c r="T25" s="23"/>
      <c r="U25" s="1">
        <f t="shared" si="5"/>
        <v>14.731397130290102</v>
      </c>
      <c r="V25" s="1">
        <f t="shared" si="6"/>
        <v>14.731397130290102</v>
      </c>
      <c r="W25" s="1">
        <v>8.6478000000000002</v>
      </c>
      <c r="X25" s="1">
        <v>19.2288</v>
      </c>
      <c r="Y25" s="1">
        <v>4.0523999999999996</v>
      </c>
      <c r="Z25" s="1">
        <v>4.8731999999999998</v>
      </c>
      <c r="AA25" s="1">
        <v>18.799199999999999</v>
      </c>
      <c r="AB25" s="1">
        <v>6.53</v>
      </c>
      <c r="AC25" s="1">
        <v>11.285399999999999</v>
      </c>
      <c r="AD25" s="1">
        <v>11.37</v>
      </c>
      <c r="AE25" s="9" t="s">
        <v>41</v>
      </c>
      <c r="AF25" s="1">
        <f t="shared" si="8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58</v>
      </c>
      <c r="B26" s="1" t="s">
        <v>32</v>
      </c>
      <c r="C26" s="1">
        <v>140</v>
      </c>
      <c r="D26" s="1">
        <v>50</v>
      </c>
      <c r="E26" s="1">
        <v>49</v>
      </c>
      <c r="F26" s="1">
        <v>131</v>
      </c>
      <c r="G26" s="7">
        <v>0.09</v>
      </c>
      <c r="H26" s="1">
        <v>60</v>
      </c>
      <c r="I26" s="1" t="s">
        <v>33</v>
      </c>
      <c r="J26" s="1"/>
      <c r="K26" s="1">
        <v>44</v>
      </c>
      <c r="L26" s="1">
        <f t="shared" si="3"/>
        <v>5</v>
      </c>
      <c r="M26" s="1"/>
      <c r="N26" s="1"/>
      <c r="O26" s="1">
        <v>0</v>
      </c>
      <c r="P26" s="1">
        <f t="shared" si="4"/>
        <v>9.8000000000000007</v>
      </c>
      <c r="Q26" s="5">
        <f>14*P26-O26-F26</f>
        <v>6.2000000000000171</v>
      </c>
      <c r="R26" s="5">
        <f t="shared" si="7"/>
        <v>6</v>
      </c>
      <c r="S26" s="5"/>
      <c r="T26" s="23"/>
      <c r="U26" s="1">
        <f t="shared" si="5"/>
        <v>14</v>
      </c>
      <c r="V26" s="1">
        <f t="shared" si="6"/>
        <v>13.367346938775508</v>
      </c>
      <c r="W26" s="1">
        <v>4</v>
      </c>
      <c r="X26" s="1">
        <v>14.4</v>
      </c>
      <c r="Y26" s="1">
        <v>7.8</v>
      </c>
      <c r="Z26" s="1">
        <v>14.6</v>
      </c>
      <c r="AA26" s="1">
        <v>14.4</v>
      </c>
      <c r="AB26" s="1">
        <v>9.4</v>
      </c>
      <c r="AC26" s="1">
        <v>11.4</v>
      </c>
      <c r="AD26" s="1">
        <v>12</v>
      </c>
      <c r="AE26" s="1"/>
      <c r="AF26" s="1">
        <f t="shared" si="8"/>
        <v>0.54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59</v>
      </c>
      <c r="B27" s="1" t="s">
        <v>32</v>
      </c>
      <c r="C27" s="1">
        <v>156</v>
      </c>
      <c r="D27" s="1">
        <v>100</v>
      </c>
      <c r="E27" s="1">
        <v>73</v>
      </c>
      <c r="F27" s="1">
        <v>161</v>
      </c>
      <c r="G27" s="7">
        <v>0.09</v>
      </c>
      <c r="H27" s="1">
        <v>45</v>
      </c>
      <c r="I27" s="1" t="s">
        <v>33</v>
      </c>
      <c r="J27" s="1"/>
      <c r="K27" s="1">
        <v>75</v>
      </c>
      <c r="L27" s="1">
        <f t="shared" si="3"/>
        <v>-2</v>
      </c>
      <c r="M27" s="1"/>
      <c r="N27" s="1"/>
      <c r="O27" s="1">
        <v>0</v>
      </c>
      <c r="P27" s="1">
        <f t="shared" si="4"/>
        <v>14.6</v>
      </c>
      <c r="Q27" s="5">
        <f>15*P27-O27-F27</f>
        <v>58</v>
      </c>
      <c r="R27" s="5">
        <f t="shared" si="7"/>
        <v>58</v>
      </c>
      <c r="S27" s="5"/>
      <c r="T27" s="23"/>
      <c r="U27" s="1">
        <f t="shared" si="5"/>
        <v>15</v>
      </c>
      <c r="V27" s="1">
        <f t="shared" si="6"/>
        <v>11.027397260273974</v>
      </c>
      <c r="W27" s="1">
        <v>5.6</v>
      </c>
      <c r="X27" s="1">
        <v>14</v>
      </c>
      <c r="Y27" s="1">
        <v>24</v>
      </c>
      <c r="Z27" s="1">
        <v>9.4</v>
      </c>
      <c r="AA27" s="1">
        <v>20.6</v>
      </c>
      <c r="AB27" s="1">
        <v>11.8</v>
      </c>
      <c r="AC27" s="1">
        <v>11.2</v>
      </c>
      <c r="AD27" s="1">
        <v>7.2</v>
      </c>
      <c r="AE27" s="1"/>
      <c r="AF27" s="1">
        <f t="shared" si="8"/>
        <v>5.22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60</v>
      </c>
      <c r="B28" s="1" t="s">
        <v>32</v>
      </c>
      <c r="C28" s="1">
        <v>144</v>
      </c>
      <c r="D28" s="1">
        <v>148</v>
      </c>
      <c r="E28" s="1">
        <v>66</v>
      </c>
      <c r="F28" s="1">
        <v>221</v>
      </c>
      <c r="G28" s="7">
        <v>0.15</v>
      </c>
      <c r="H28" s="1">
        <v>45</v>
      </c>
      <c r="I28" s="1" t="s">
        <v>33</v>
      </c>
      <c r="J28" s="1"/>
      <c r="K28" s="1">
        <v>68</v>
      </c>
      <c r="L28" s="1">
        <f t="shared" si="3"/>
        <v>-2</v>
      </c>
      <c r="M28" s="1"/>
      <c r="N28" s="1"/>
      <c r="O28" s="1">
        <v>0</v>
      </c>
      <c r="P28" s="1">
        <f t="shared" si="4"/>
        <v>13.2</v>
      </c>
      <c r="Q28" s="5"/>
      <c r="R28" s="5">
        <f t="shared" si="7"/>
        <v>0</v>
      </c>
      <c r="S28" s="5"/>
      <c r="T28" s="23"/>
      <c r="U28" s="1">
        <f t="shared" si="5"/>
        <v>16.742424242424242</v>
      </c>
      <c r="V28" s="1">
        <f t="shared" si="6"/>
        <v>16.742424242424242</v>
      </c>
      <c r="W28" s="1">
        <v>6.2</v>
      </c>
      <c r="X28" s="1">
        <v>13.2</v>
      </c>
      <c r="Y28" s="1">
        <v>34.799999999999997</v>
      </c>
      <c r="Z28" s="1">
        <v>1.8</v>
      </c>
      <c r="AA28" s="1">
        <v>13.4</v>
      </c>
      <c r="AB28" s="1">
        <v>15.4</v>
      </c>
      <c r="AC28" s="1">
        <v>5.2</v>
      </c>
      <c r="AD28" s="1">
        <v>11.8</v>
      </c>
      <c r="AE28" s="9" t="s">
        <v>41</v>
      </c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61</v>
      </c>
      <c r="B29" s="1" t="s">
        <v>35</v>
      </c>
      <c r="C29" s="1">
        <v>216.387</v>
      </c>
      <c r="D29" s="1">
        <v>544.66499999999996</v>
      </c>
      <c r="E29" s="1">
        <v>337.62799999999999</v>
      </c>
      <c r="F29" s="1">
        <v>331.089</v>
      </c>
      <c r="G29" s="7">
        <v>1</v>
      </c>
      <c r="H29" s="1">
        <v>45</v>
      </c>
      <c r="I29" s="1" t="s">
        <v>33</v>
      </c>
      <c r="J29" s="1"/>
      <c r="K29" s="1">
        <v>323.565</v>
      </c>
      <c r="L29" s="1">
        <f t="shared" si="3"/>
        <v>14.062999999999988</v>
      </c>
      <c r="M29" s="1"/>
      <c r="N29" s="1"/>
      <c r="O29" s="1">
        <v>0</v>
      </c>
      <c r="P29" s="1">
        <f t="shared" si="4"/>
        <v>67.525599999999997</v>
      </c>
      <c r="Q29" s="5">
        <f>15*P29-O29-F29</f>
        <v>681.79500000000007</v>
      </c>
      <c r="R29" s="5">
        <f>T29</f>
        <v>450</v>
      </c>
      <c r="S29" s="5"/>
      <c r="T29" s="23">
        <f>VLOOKUP(A29,[1]Sheet!$A:$R,18,0)</f>
        <v>450</v>
      </c>
      <c r="U29" s="1">
        <f t="shared" si="5"/>
        <v>15</v>
      </c>
      <c r="V29" s="1">
        <f t="shared" si="6"/>
        <v>4.9031626523866505</v>
      </c>
      <c r="W29" s="1">
        <v>39.037400000000012</v>
      </c>
      <c r="X29" s="1">
        <v>59.512199999999993</v>
      </c>
      <c r="Y29" s="1">
        <v>62.627200000000002</v>
      </c>
      <c r="Z29" s="1">
        <v>30.008800000000001</v>
      </c>
      <c r="AA29" s="1">
        <v>37.003999999999998</v>
      </c>
      <c r="AB29" s="1">
        <v>51.902200000000001</v>
      </c>
      <c r="AC29" s="1">
        <v>56.673999999999999</v>
      </c>
      <c r="AD29" s="1">
        <v>41.094799999999999</v>
      </c>
      <c r="AE29" s="1"/>
      <c r="AF29" s="1">
        <f t="shared" si="8"/>
        <v>450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62</v>
      </c>
      <c r="B30" s="1" t="s">
        <v>32</v>
      </c>
      <c r="C30" s="1">
        <v>176</v>
      </c>
      <c r="D30" s="1">
        <v>11</v>
      </c>
      <c r="E30" s="1">
        <v>71</v>
      </c>
      <c r="F30" s="1">
        <v>91</v>
      </c>
      <c r="G30" s="7">
        <v>0.4</v>
      </c>
      <c r="H30" s="1">
        <v>60</v>
      </c>
      <c r="I30" s="1" t="s">
        <v>33</v>
      </c>
      <c r="J30" s="1"/>
      <c r="K30" s="1">
        <v>74</v>
      </c>
      <c r="L30" s="1">
        <f t="shared" si="3"/>
        <v>-3</v>
      </c>
      <c r="M30" s="1"/>
      <c r="N30" s="1"/>
      <c r="O30" s="1">
        <v>0</v>
      </c>
      <c r="P30" s="1">
        <f t="shared" si="4"/>
        <v>14.2</v>
      </c>
      <c r="Q30" s="5">
        <f>15*P30-O30-F30</f>
        <v>122</v>
      </c>
      <c r="R30" s="5">
        <f t="shared" si="7"/>
        <v>122</v>
      </c>
      <c r="S30" s="5"/>
      <c r="T30" s="23"/>
      <c r="U30" s="1">
        <f t="shared" si="5"/>
        <v>15</v>
      </c>
      <c r="V30" s="1">
        <f t="shared" si="6"/>
        <v>6.408450704225352</v>
      </c>
      <c r="W30" s="1">
        <v>11.4</v>
      </c>
      <c r="X30" s="1">
        <v>4.4000000000000004</v>
      </c>
      <c r="Y30" s="1">
        <v>4.8</v>
      </c>
      <c r="Z30" s="1">
        <v>20.2</v>
      </c>
      <c r="AA30" s="1">
        <v>9</v>
      </c>
      <c r="AB30" s="1">
        <v>9.1999999999999993</v>
      </c>
      <c r="AC30" s="1">
        <v>12.6</v>
      </c>
      <c r="AD30" s="1">
        <v>6</v>
      </c>
      <c r="AE30" s="1"/>
      <c r="AF30" s="1">
        <f t="shared" si="8"/>
        <v>48.800000000000004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63</v>
      </c>
      <c r="B31" s="1" t="s">
        <v>32</v>
      </c>
      <c r="C31" s="1">
        <v>318</v>
      </c>
      <c r="D31" s="1">
        <v>311</v>
      </c>
      <c r="E31" s="1">
        <v>256</v>
      </c>
      <c r="F31" s="1">
        <v>321</v>
      </c>
      <c r="G31" s="7">
        <v>0.4</v>
      </c>
      <c r="H31" s="1">
        <v>60</v>
      </c>
      <c r="I31" s="1" t="s">
        <v>33</v>
      </c>
      <c r="J31" s="1"/>
      <c r="K31" s="1">
        <v>271</v>
      </c>
      <c r="L31" s="1">
        <f t="shared" si="3"/>
        <v>-15</v>
      </c>
      <c r="M31" s="1"/>
      <c r="N31" s="1"/>
      <c r="O31" s="1">
        <v>85</v>
      </c>
      <c r="P31" s="1">
        <f t="shared" si="4"/>
        <v>51.2</v>
      </c>
      <c r="Q31" s="5">
        <f>15*P31-O31-F31</f>
        <v>362</v>
      </c>
      <c r="R31" s="5">
        <f t="shared" si="7"/>
        <v>362</v>
      </c>
      <c r="S31" s="5"/>
      <c r="T31" s="23"/>
      <c r="U31" s="1">
        <f t="shared" si="5"/>
        <v>15</v>
      </c>
      <c r="V31" s="1">
        <f t="shared" si="6"/>
        <v>7.9296875</v>
      </c>
      <c r="W31" s="1">
        <v>46.2</v>
      </c>
      <c r="X31" s="1">
        <v>56.2</v>
      </c>
      <c r="Y31" s="1">
        <v>71.599999999999994</v>
      </c>
      <c r="Z31" s="1">
        <v>65.2</v>
      </c>
      <c r="AA31" s="1">
        <v>40.200000000000003</v>
      </c>
      <c r="AB31" s="1">
        <v>72.400000000000006</v>
      </c>
      <c r="AC31" s="1">
        <v>67.400000000000006</v>
      </c>
      <c r="AD31" s="1">
        <v>48.4</v>
      </c>
      <c r="AE31" s="1"/>
      <c r="AF31" s="1">
        <f t="shared" si="8"/>
        <v>144.80000000000001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1" t="s">
        <v>64</v>
      </c>
      <c r="B32" s="11" t="s">
        <v>32</v>
      </c>
      <c r="C32" s="11">
        <v>-4</v>
      </c>
      <c r="D32" s="11">
        <v>2</v>
      </c>
      <c r="E32" s="18">
        <v>4</v>
      </c>
      <c r="F32" s="18">
        <v>-6</v>
      </c>
      <c r="G32" s="12">
        <v>0</v>
      </c>
      <c r="H32" s="11">
        <v>60</v>
      </c>
      <c r="I32" s="11" t="s">
        <v>49</v>
      </c>
      <c r="J32" s="11" t="s">
        <v>65</v>
      </c>
      <c r="K32" s="11">
        <v>56</v>
      </c>
      <c r="L32" s="11">
        <f t="shared" si="3"/>
        <v>-52</v>
      </c>
      <c r="M32" s="11"/>
      <c r="N32" s="11"/>
      <c r="O32" s="11">
        <v>0</v>
      </c>
      <c r="P32" s="11">
        <f t="shared" si="4"/>
        <v>0.8</v>
      </c>
      <c r="Q32" s="13"/>
      <c r="R32" s="5">
        <f t="shared" si="7"/>
        <v>0</v>
      </c>
      <c r="S32" s="5"/>
      <c r="T32" s="23"/>
      <c r="U32" s="11">
        <f t="shared" si="5"/>
        <v>-7.5</v>
      </c>
      <c r="V32" s="11">
        <f t="shared" si="6"/>
        <v>-7.5</v>
      </c>
      <c r="W32" s="11">
        <v>8.8000000000000007</v>
      </c>
      <c r="X32" s="11">
        <v>42.6</v>
      </c>
      <c r="Y32" s="11">
        <v>57</v>
      </c>
      <c r="Z32" s="11">
        <v>48.2</v>
      </c>
      <c r="AA32" s="11">
        <v>28.2</v>
      </c>
      <c r="AB32" s="11">
        <v>33.200000000000003</v>
      </c>
      <c r="AC32" s="11">
        <v>67.400000000000006</v>
      </c>
      <c r="AD32" s="11">
        <v>35.200000000000003</v>
      </c>
      <c r="AE32" s="14" t="s">
        <v>66</v>
      </c>
      <c r="AF32" s="1">
        <f t="shared" si="8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67</v>
      </c>
      <c r="B33" s="1" t="s">
        <v>32</v>
      </c>
      <c r="C33" s="1">
        <v>380</v>
      </c>
      <c r="D33" s="1">
        <v>327</v>
      </c>
      <c r="E33" s="1">
        <v>230</v>
      </c>
      <c r="F33" s="1">
        <v>157</v>
      </c>
      <c r="G33" s="7">
        <v>0.4</v>
      </c>
      <c r="H33" s="1">
        <v>60</v>
      </c>
      <c r="I33" s="1" t="s">
        <v>33</v>
      </c>
      <c r="J33" s="1"/>
      <c r="K33" s="1">
        <v>242</v>
      </c>
      <c r="L33" s="1">
        <f t="shared" si="3"/>
        <v>-12</v>
      </c>
      <c r="M33" s="1"/>
      <c r="N33" s="1"/>
      <c r="O33" s="1">
        <v>0</v>
      </c>
      <c r="P33" s="1">
        <f t="shared" si="4"/>
        <v>46</v>
      </c>
      <c r="Q33" s="5">
        <f>13*P33-O33-F33</f>
        <v>441</v>
      </c>
      <c r="R33" s="5">
        <f t="shared" si="7"/>
        <v>441</v>
      </c>
      <c r="S33" s="5"/>
      <c r="T33" s="23"/>
      <c r="U33" s="1">
        <f t="shared" si="5"/>
        <v>13</v>
      </c>
      <c r="V33" s="1">
        <f t="shared" si="6"/>
        <v>3.4130434782608696</v>
      </c>
      <c r="W33" s="1">
        <v>34.4</v>
      </c>
      <c r="X33" s="1">
        <v>57</v>
      </c>
      <c r="Y33" s="1">
        <v>67.8</v>
      </c>
      <c r="Z33" s="1">
        <v>64.599999999999994</v>
      </c>
      <c r="AA33" s="1">
        <v>57.2</v>
      </c>
      <c r="AB33" s="1">
        <v>63.2</v>
      </c>
      <c r="AC33" s="1">
        <v>67.599999999999994</v>
      </c>
      <c r="AD33" s="1">
        <v>52.8</v>
      </c>
      <c r="AE33" s="1"/>
      <c r="AF33" s="1">
        <f t="shared" si="8"/>
        <v>176.4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1" t="s">
        <v>68</v>
      </c>
      <c r="B34" s="11" t="s">
        <v>32</v>
      </c>
      <c r="C34" s="11">
        <v>41</v>
      </c>
      <c r="D34" s="11">
        <v>8</v>
      </c>
      <c r="E34" s="18">
        <v>45</v>
      </c>
      <c r="F34" s="18">
        <v>2</v>
      </c>
      <c r="G34" s="12">
        <v>0</v>
      </c>
      <c r="H34" s="11">
        <v>60</v>
      </c>
      <c r="I34" s="11" t="s">
        <v>49</v>
      </c>
      <c r="J34" s="11" t="s">
        <v>69</v>
      </c>
      <c r="K34" s="11">
        <v>70</v>
      </c>
      <c r="L34" s="11">
        <f t="shared" si="3"/>
        <v>-25</v>
      </c>
      <c r="M34" s="11"/>
      <c r="N34" s="11"/>
      <c r="O34" s="11"/>
      <c r="P34" s="11">
        <f t="shared" si="4"/>
        <v>9</v>
      </c>
      <c r="Q34" s="13"/>
      <c r="R34" s="5">
        <f t="shared" si="7"/>
        <v>0</v>
      </c>
      <c r="S34" s="5"/>
      <c r="T34" s="23"/>
      <c r="U34" s="11">
        <f t="shared" si="5"/>
        <v>0.22222222222222221</v>
      </c>
      <c r="V34" s="11">
        <f t="shared" si="6"/>
        <v>0.22222222222222221</v>
      </c>
      <c r="W34" s="11">
        <v>21.8</v>
      </c>
      <c r="X34" s="11">
        <v>17.600000000000001</v>
      </c>
      <c r="Y34" s="11">
        <v>37.6</v>
      </c>
      <c r="Z34" s="11">
        <v>23.8</v>
      </c>
      <c r="AA34" s="11">
        <v>15.6</v>
      </c>
      <c r="AB34" s="11">
        <v>20.6</v>
      </c>
      <c r="AC34" s="11">
        <v>38.6</v>
      </c>
      <c r="AD34" s="11">
        <v>20.399999999999999</v>
      </c>
      <c r="AE34" s="14" t="s">
        <v>70</v>
      </c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1" t="s">
        <v>71</v>
      </c>
      <c r="B35" s="11" t="s">
        <v>32</v>
      </c>
      <c r="C35" s="11">
        <v>196</v>
      </c>
      <c r="D35" s="11">
        <v>225</v>
      </c>
      <c r="E35" s="18">
        <v>199</v>
      </c>
      <c r="F35" s="18">
        <v>210</v>
      </c>
      <c r="G35" s="12">
        <v>0</v>
      </c>
      <c r="H35" s="11">
        <v>60</v>
      </c>
      <c r="I35" s="11" t="s">
        <v>49</v>
      </c>
      <c r="J35" s="11" t="s">
        <v>72</v>
      </c>
      <c r="K35" s="11">
        <v>189</v>
      </c>
      <c r="L35" s="11">
        <f t="shared" si="3"/>
        <v>10</v>
      </c>
      <c r="M35" s="11"/>
      <c r="N35" s="11"/>
      <c r="O35" s="15"/>
      <c r="P35" s="11">
        <f t="shared" si="4"/>
        <v>39.799999999999997</v>
      </c>
      <c r="Q35" s="13"/>
      <c r="R35" s="5">
        <f t="shared" si="7"/>
        <v>0</v>
      </c>
      <c r="S35" s="5"/>
      <c r="T35" s="23"/>
      <c r="U35" s="11">
        <f>(F35+O112+Q35)/P35</f>
        <v>8.3417085427135689</v>
      </c>
      <c r="V35" s="11">
        <f>(F35+O112)/P35</f>
        <v>8.3417085427135689</v>
      </c>
      <c r="W35" s="11">
        <v>36</v>
      </c>
      <c r="X35" s="11">
        <v>33.200000000000003</v>
      </c>
      <c r="Y35" s="11">
        <v>58.6</v>
      </c>
      <c r="Z35" s="11">
        <v>40.799999999999997</v>
      </c>
      <c r="AA35" s="11">
        <v>38.200000000000003</v>
      </c>
      <c r="AB35" s="11">
        <v>25.8</v>
      </c>
      <c r="AC35" s="11">
        <v>52.2</v>
      </c>
      <c r="AD35" s="11">
        <v>24.6</v>
      </c>
      <c r="AE35" s="14" t="s">
        <v>73</v>
      </c>
      <c r="AF35" s="1">
        <f t="shared" si="8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1" t="s">
        <v>74</v>
      </c>
      <c r="B36" s="11" t="s">
        <v>32</v>
      </c>
      <c r="C36" s="11">
        <v>85</v>
      </c>
      <c r="D36" s="11">
        <v>5</v>
      </c>
      <c r="E36" s="18">
        <v>14</v>
      </c>
      <c r="F36" s="18">
        <v>74</v>
      </c>
      <c r="G36" s="12">
        <v>0</v>
      </c>
      <c r="H36" s="11">
        <v>45</v>
      </c>
      <c r="I36" s="11" t="s">
        <v>49</v>
      </c>
      <c r="J36" s="11" t="s">
        <v>75</v>
      </c>
      <c r="K36" s="11">
        <v>16</v>
      </c>
      <c r="L36" s="11">
        <f t="shared" si="3"/>
        <v>-2</v>
      </c>
      <c r="M36" s="11"/>
      <c r="N36" s="11"/>
      <c r="O36" s="11">
        <v>0</v>
      </c>
      <c r="P36" s="11">
        <f t="shared" si="4"/>
        <v>2.8</v>
      </c>
      <c r="Q36" s="13"/>
      <c r="R36" s="5">
        <f t="shared" si="7"/>
        <v>0</v>
      </c>
      <c r="S36" s="5"/>
      <c r="T36" s="23"/>
      <c r="U36" s="11">
        <f t="shared" ref="U36:U67" si="9">(F36+O36+Q36)/P36</f>
        <v>26.428571428571431</v>
      </c>
      <c r="V36" s="11">
        <f t="shared" ref="V36:V67" si="10">(F36+O36)/P36</f>
        <v>26.428571428571431</v>
      </c>
      <c r="W36" s="11">
        <v>3.8</v>
      </c>
      <c r="X36" s="11">
        <v>10.6</v>
      </c>
      <c r="Y36" s="11">
        <v>3.2</v>
      </c>
      <c r="Z36" s="11">
        <v>-0.6</v>
      </c>
      <c r="AA36" s="11">
        <v>8.1999999999999993</v>
      </c>
      <c r="AB36" s="11">
        <v>1.4</v>
      </c>
      <c r="AC36" s="11">
        <v>1.4</v>
      </c>
      <c r="AD36" s="11">
        <v>2.8</v>
      </c>
      <c r="AE36" s="14" t="s">
        <v>76</v>
      </c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1" t="s">
        <v>77</v>
      </c>
      <c r="B37" s="11" t="s">
        <v>35</v>
      </c>
      <c r="C37" s="11">
        <v>47.969000000000001</v>
      </c>
      <c r="D37" s="11"/>
      <c r="E37" s="11">
        <v>1.1890000000000001</v>
      </c>
      <c r="F37" s="11">
        <v>45.584000000000003</v>
      </c>
      <c r="G37" s="12">
        <v>0</v>
      </c>
      <c r="H37" s="11">
        <v>45</v>
      </c>
      <c r="I37" s="11" t="s">
        <v>49</v>
      </c>
      <c r="J37" s="11"/>
      <c r="K37" s="11">
        <v>3.7</v>
      </c>
      <c r="L37" s="11">
        <f t="shared" si="3"/>
        <v>-2.5110000000000001</v>
      </c>
      <c r="M37" s="11"/>
      <c r="N37" s="11"/>
      <c r="O37" s="11">
        <v>0</v>
      </c>
      <c r="P37" s="11">
        <f t="shared" si="4"/>
        <v>0.23780000000000001</v>
      </c>
      <c r="Q37" s="13"/>
      <c r="R37" s="5">
        <f t="shared" si="7"/>
        <v>0</v>
      </c>
      <c r="S37" s="5"/>
      <c r="T37" s="23"/>
      <c r="U37" s="11">
        <f t="shared" si="9"/>
        <v>191.69049621530698</v>
      </c>
      <c r="V37" s="11">
        <f t="shared" si="10"/>
        <v>191.69049621530698</v>
      </c>
      <c r="W37" s="11">
        <v>1.9172</v>
      </c>
      <c r="X37" s="11">
        <v>0</v>
      </c>
      <c r="Y37" s="11">
        <v>1.6779999999999999</v>
      </c>
      <c r="Z37" s="11">
        <v>0</v>
      </c>
      <c r="AA37" s="11">
        <v>0.245</v>
      </c>
      <c r="AB37" s="11">
        <v>0</v>
      </c>
      <c r="AC37" s="11">
        <v>0</v>
      </c>
      <c r="AD37" s="11">
        <v>0</v>
      </c>
      <c r="AE37" s="17" t="s">
        <v>56</v>
      </c>
      <c r="AF37" s="1">
        <f t="shared" si="8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78</v>
      </c>
      <c r="B38" s="1" t="s">
        <v>32</v>
      </c>
      <c r="C38" s="1">
        <v>343</v>
      </c>
      <c r="D38" s="1">
        <v>308</v>
      </c>
      <c r="E38" s="1">
        <v>245.86</v>
      </c>
      <c r="F38" s="1">
        <v>288</v>
      </c>
      <c r="G38" s="7">
        <v>0.4</v>
      </c>
      <c r="H38" s="1">
        <v>45</v>
      </c>
      <c r="I38" s="1" t="s">
        <v>33</v>
      </c>
      <c r="J38" s="1"/>
      <c r="K38" s="1">
        <v>260</v>
      </c>
      <c r="L38" s="1">
        <f t="shared" ref="L38:L69" si="11">E38-K38</f>
        <v>-14.139999999999986</v>
      </c>
      <c r="M38" s="1"/>
      <c r="N38" s="1"/>
      <c r="O38" s="1">
        <v>0</v>
      </c>
      <c r="P38" s="1">
        <f t="shared" ref="P38:P69" si="12">E38/5</f>
        <v>49.172000000000004</v>
      </c>
      <c r="Q38" s="5">
        <f>15*P38-O38-F38</f>
        <v>449.58000000000004</v>
      </c>
      <c r="R38" s="5">
        <f>T38</f>
        <v>300</v>
      </c>
      <c r="S38" s="5"/>
      <c r="T38" s="23">
        <f>VLOOKUP(A38,[1]Sheet!$A:$R,18,0)</f>
        <v>300</v>
      </c>
      <c r="U38" s="1">
        <f t="shared" si="9"/>
        <v>15</v>
      </c>
      <c r="V38" s="1">
        <f t="shared" si="10"/>
        <v>5.85699178394208</v>
      </c>
      <c r="W38" s="1">
        <v>3.2</v>
      </c>
      <c r="X38" s="1">
        <v>36.4</v>
      </c>
      <c r="Y38" s="1">
        <v>56.8</v>
      </c>
      <c r="Z38" s="1">
        <v>33.799999999999997</v>
      </c>
      <c r="AA38" s="1">
        <v>35.6</v>
      </c>
      <c r="AB38" s="1">
        <v>16.600000000000001</v>
      </c>
      <c r="AC38" s="1">
        <v>69</v>
      </c>
      <c r="AD38" s="1">
        <v>28.8</v>
      </c>
      <c r="AE38" s="1"/>
      <c r="AF38" s="1">
        <f t="shared" si="8"/>
        <v>120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79</v>
      </c>
      <c r="B39" s="1" t="s">
        <v>32</v>
      </c>
      <c r="C39" s="1">
        <v>106</v>
      </c>
      <c r="D39" s="1">
        <v>13</v>
      </c>
      <c r="E39" s="1">
        <v>-3</v>
      </c>
      <c r="F39" s="1">
        <v>7</v>
      </c>
      <c r="G39" s="7">
        <v>0.3</v>
      </c>
      <c r="H39" s="1">
        <v>45</v>
      </c>
      <c r="I39" s="1" t="s">
        <v>33</v>
      </c>
      <c r="J39" s="1"/>
      <c r="K39" s="1">
        <v>79</v>
      </c>
      <c r="L39" s="1">
        <f t="shared" si="11"/>
        <v>-82</v>
      </c>
      <c r="M39" s="1"/>
      <c r="N39" s="1"/>
      <c r="O39" s="1">
        <v>73</v>
      </c>
      <c r="P39" s="1">
        <f t="shared" si="12"/>
        <v>-0.6</v>
      </c>
      <c r="Q39" s="5"/>
      <c r="R39" s="5">
        <f t="shared" si="7"/>
        <v>0</v>
      </c>
      <c r="S39" s="5"/>
      <c r="T39" s="23"/>
      <c r="U39" s="1">
        <f t="shared" si="9"/>
        <v>-133.33333333333334</v>
      </c>
      <c r="V39" s="1">
        <f t="shared" si="10"/>
        <v>-133.33333333333334</v>
      </c>
      <c r="W39" s="1">
        <v>12.8</v>
      </c>
      <c r="X39" s="1">
        <v>3.4</v>
      </c>
      <c r="Y39" s="1">
        <v>8.1999999999999993</v>
      </c>
      <c r="Z39" s="1">
        <v>4.2</v>
      </c>
      <c r="AA39" s="1">
        <v>0.2</v>
      </c>
      <c r="AB39" s="1">
        <v>0</v>
      </c>
      <c r="AC39" s="1">
        <v>0</v>
      </c>
      <c r="AD39" s="1">
        <v>0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35</v>
      </c>
      <c r="C40" s="1">
        <v>130.20400000000001</v>
      </c>
      <c r="D40" s="1">
        <v>65.793999999999997</v>
      </c>
      <c r="E40" s="1">
        <v>109.651</v>
      </c>
      <c r="F40" s="1">
        <v>8.5869999999999997</v>
      </c>
      <c r="G40" s="7">
        <v>1</v>
      </c>
      <c r="H40" s="1">
        <v>60</v>
      </c>
      <c r="I40" s="1" t="s">
        <v>33</v>
      </c>
      <c r="J40" s="1"/>
      <c r="K40" s="1">
        <v>113</v>
      </c>
      <c r="L40" s="1">
        <f t="shared" si="11"/>
        <v>-3.3490000000000038</v>
      </c>
      <c r="M40" s="1"/>
      <c r="N40" s="1"/>
      <c r="O40" s="1">
        <v>0</v>
      </c>
      <c r="P40" s="1">
        <f t="shared" si="12"/>
        <v>21.930199999999999</v>
      </c>
      <c r="Q40" s="5">
        <f>10*P40-O40-F40</f>
        <v>210.715</v>
      </c>
      <c r="R40" s="5">
        <f t="shared" si="7"/>
        <v>211</v>
      </c>
      <c r="S40" s="5"/>
      <c r="T40" s="23"/>
      <c r="U40" s="1">
        <f t="shared" si="9"/>
        <v>10</v>
      </c>
      <c r="V40" s="1">
        <f t="shared" si="10"/>
        <v>0.39156049648430019</v>
      </c>
      <c r="W40" s="1">
        <v>12.358000000000001</v>
      </c>
      <c r="X40" s="1">
        <v>16.8752</v>
      </c>
      <c r="Y40" s="1">
        <v>20.814599999999999</v>
      </c>
      <c r="Z40" s="1">
        <v>3.6019999999999999</v>
      </c>
      <c r="AA40" s="1">
        <v>20.556999999999999</v>
      </c>
      <c r="AB40" s="1">
        <v>16.373200000000001</v>
      </c>
      <c r="AC40" s="1">
        <v>10.4732</v>
      </c>
      <c r="AD40" s="1">
        <v>14.219799999999999</v>
      </c>
      <c r="AE40" s="1"/>
      <c r="AF40" s="1">
        <f t="shared" si="8"/>
        <v>211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35</v>
      </c>
      <c r="C41" s="1">
        <v>156.292</v>
      </c>
      <c r="D41" s="1">
        <v>137.50700000000001</v>
      </c>
      <c r="E41" s="1">
        <v>96.058999999999997</v>
      </c>
      <c r="F41" s="1">
        <v>129.25800000000001</v>
      </c>
      <c r="G41" s="7">
        <v>1</v>
      </c>
      <c r="H41" s="1">
        <v>45</v>
      </c>
      <c r="I41" s="1" t="s">
        <v>33</v>
      </c>
      <c r="J41" s="1"/>
      <c r="K41" s="1">
        <v>103</v>
      </c>
      <c r="L41" s="1">
        <f t="shared" si="11"/>
        <v>-6.9410000000000025</v>
      </c>
      <c r="M41" s="1"/>
      <c r="N41" s="1"/>
      <c r="O41" s="1">
        <v>0</v>
      </c>
      <c r="P41" s="1">
        <f t="shared" si="12"/>
        <v>19.2118</v>
      </c>
      <c r="Q41" s="5">
        <f>15*P41-O41-F41</f>
        <v>158.91900000000001</v>
      </c>
      <c r="R41" s="5">
        <f t="shared" si="7"/>
        <v>159</v>
      </c>
      <c r="S41" s="5"/>
      <c r="T41" s="23"/>
      <c r="U41" s="1">
        <f t="shared" si="9"/>
        <v>15.000000000000002</v>
      </c>
      <c r="V41" s="1">
        <f t="shared" si="10"/>
        <v>6.7280525510363427</v>
      </c>
      <c r="W41" s="1">
        <v>11.6172</v>
      </c>
      <c r="X41" s="1">
        <v>8.0947999999999993</v>
      </c>
      <c r="Y41" s="1">
        <v>26.728999999999999</v>
      </c>
      <c r="Z41" s="1">
        <v>16.625599999999999</v>
      </c>
      <c r="AA41" s="1">
        <v>14.937200000000001</v>
      </c>
      <c r="AB41" s="1">
        <v>18.5396</v>
      </c>
      <c r="AC41" s="1">
        <v>19.953600000000002</v>
      </c>
      <c r="AD41" s="1">
        <v>17.642199999999999</v>
      </c>
      <c r="AE41" s="1"/>
      <c r="AF41" s="1">
        <f t="shared" si="8"/>
        <v>159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35</v>
      </c>
      <c r="C42" s="1">
        <v>174.16300000000001</v>
      </c>
      <c r="D42" s="1">
        <v>99.956999999999994</v>
      </c>
      <c r="E42" s="1">
        <v>141.21</v>
      </c>
      <c r="F42" s="1">
        <v>96.058000000000007</v>
      </c>
      <c r="G42" s="7">
        <v>1</v>
      </c>
      <c r="H42" s="1">
        <v>45</v>
      </c>
      <c r="I42" s="1" t="s">
        <v>33</v>
      </c>
      <c r="J42" s="1"/>
      <c r="K42" s="1">
        <v>141.66300000000001</v>
      </c>
      <c r="L42" s="1">
        <f t="shared" si="11"/>
        <v>-0.45300000000000296</v>
      </c>
      <c r="M42" s="1"/>
      <c r="N42" s="1"/>
      <c r="O42" s="1">
        <v>52</v>
      </c>
      <c r="P42" s="1">
        <f t="shared" si="12"/>
        <v>28.242000000000001</v>
      </c>
      <c r="Q42" s="5">
        <f>15*P42-O42-F42</f>
        <v>275.572</v>
      </c>
      <c r="R42" s="5">
        <f t="shared" si="7"/>
        <v>276</v>
      </c>
      <c r="S42" s="5"/>
      <c r="T42" s="23"/>
      <c r="U42" s="1">
        <f t="shared" si="9"/>
        <v>15</v>
      </c>
      <c r="V42" s="1">
        <f t="shared" si="10"/>
        <v>5.242475745343814</v>
      </c>
      <c r="W42" s="1">
        <v>19.793800000000001</v>
      </c>
      <c r="X42" s="1">
        <v>15.770799999999999</v>
      </c>
      <c r="Y42" s="1">
        <v>27.8246</v>
      </c>
      <c r="Z42" s="1">
        <v>26.491800000000001</v>
      </c>
      <c r="AA42" s="1">
        <v>19.845199999999998</v>
      </c>
      <c r="AB42" s="1">
        <v>21.102599999999999</v>
      </c>
      <c r="AC42" s="1">
        <v>20.839200000000002</v>
      </c>
      <c r="AD42" s="1">
        <v>14.5502</v>
      </c>
      <c r="AE42" s="1"/>
      <c r="AF42" s="1">
        <f t="shared" si="8"/>
        <v>276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1" t="s">
        <v>83</v>
      </c>
      <c r="B43" s="11" t="s">
        <v>32</v>
      </c>
      <c r="C43" s="11">
        <v>27</v>
      </c>
      <c r="D43" s="11">
        <v>24</v>
      </c>
      <c r="E43" s="11">
        <v>29</v>
      </c>
      <c r="F43" s="11">
        <v>13</v>
      </c>
      <c r="G43" s="12">
        <v>0</v>
      </c>
      <c r="H43" s="11">
        <v>45</v>
      </c>
      <c r="I43" s="11" t="s">
        <v>49</v>
      </c>
      <c r="J43" s="11"/>
      <c r="K43" s="11">
        <v>28</v>
      </c>
      <c r="L43" s="11">
        <f t="shared" si="11"/>
        <v>1</v>
      </c>
      <c r="M43" s="11"/>
      <c r="N43" s="11"/>
      <c r="O43" s="11">
        <v>0</v>
      </c>
      <c r="P43" s="11">
        <f t="shared" si="12"/>
        <v>5.8</v>
      </c>
      <c r="Q43" s="13"/>
      <c r="R43" s="5">
        <f t="shared" si="7"/>
        <v>0</v>
      </c>
      <c r="S43" s="5"/>
      <c r="T43" s="23"/>
      <c r="U43" s="11">
        <f t="shared" si="9"/>
        <v>2.2413793103448278</v>
      </c>
      <c r="V43" s="11">
        <f t="shared" si="10"/>
        <v>2.2413793103448278</v>
      </c>
      <c r="W43" s="11">
        <v>1</v>
      </c>
      <c r="X43" s="11">
        <v>3.4</v>
      </c>
      <c r="Y43" s="11">
        <v>5.6</v>
      </c>
      <c r="Z43" s="11">
        <v>4.2</v>
      </c>
      <c r="AA43" s="11">
        <v>5</v>
      </c>
      <c r="AB43" s="11">
        <v>4</v>
      </c>
      <c r="AC43" s="11">
        <v>4</v>
      </c>
      <c r="AD43" s="11">
        <v>5.4</v>
      </c>
      <c r="AE43" s="11"/>
      <c r="AF43" s="1">
        <f t="shared" si="8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84</v>
      </c>
      <c r="B44" s="1" t="s">
        <v>35</v>
      </c>
      <c r="C44" s="1">
        <v>39.909999999999997</v>
      </c>
      <c r="D44" s="1">
        <v>129.37299999999999</v>
      </c>
      <c r="E44" s="1">
        <v>97.718999999999994</v>
      </c>
      <c r="F44" s="1">
        <v>50.743000000000002</v>
      </c>
      <c r="G44" s="7">
        <v>1</v>
      </c>
      <c r="H44" s="1">
        <v>45</v>
      </c>
      <c r="I44" s="1" t="s">
        <v>33</v>
      </c>
      <c r="J44" s="1"/>
      <c r="K44" s="1">
        <v>101.8</v>
      </c>
      <c r="L44" s="1">
        <f t="shared" si="11"/>
        <v>-4.0810000000000031</v>
      </c>
      <c r="M44" s="1"/>
      <c r="N44" s="1"/>
      <c r="O44" s="1">
        <v>99</v>
      </c>
      <c r="P44" s="1">
        <f t="shared" si="12"/>
        <v>19.543799999999997</v>
      </c>
      <c r="Q44" s="5">
        <f t="shared" ref="Q44:Q49" si="13">15*P44-O44-F44</f>
        <v>143.41399999999999</v>
      </c>
      <c r="R44" s="5">
        <f t="shared" si="7"/>
        <v>143</v>
      </c>
      <c r="S44" s="5"/>
      <c r="T44" s="23"/>
      <c r="U44" s="1">
        <f t="shared" si="9"/>
        <v>15.000000000000002</v>
      </c>
      <c r="V44" s="1">
        <f t="shared" si="10"/>
        <v>7.6619183577400509</v>
      </c>
      <c r="W44" s="1">
        <v>16.501799999999999</v>
      </c>
      <c r="X44" s="1">
        <v>15.445600000000001</v>
      </c>
      <c r="Y44" s="1">
        <v>13.050800000000001</v>
      </c>
      <c r="Z44" s="1">
        <v>15.378399999999999</v>
      </c>
      <c r="AA44" s="1">
        <v>16.527000000000001</v>
      </c>
      <c r="AB44" s="1">
        <v>13.536799999999999</v>
      </c>
      <c r="AC44" s="1">
        <v>16.508800000000001</v>
      </c>
      <c r="AD44" s="1">
        <v>15.13</v>
      </c>
      <c r="AE44" s="1"/>
      <c r="AF44" s="1">
        <f t="shared" si="8"/>
        <v>143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85</v>
      </c>
      <c r="B45" s="1" t="s">
        <v>32</v>
      </c>
      <c r="C45" s="1">
        <v>507</v>
      </c>
      <c r="D45" s="1">
        <v>34</v>
      </c>
      <c r="E45" s="1">
        <v>268</v>
      </c>
      <c r="F45" s="1">
        <v>255</v>
      </c>
      <c r="G45" s="7">
        <v>0.3</v>
      </c>
      <c r="H45" s="1">
        <v>45</v>
      </c>
      <c r="I45" s="1" t="s">
        <v>33</v>
      </c>
      <c r="J45" s="1"/>
      <c r="K45" s="1">
        <v>264</v>
      </c>
      <c r="L45" s="1">
        <f t="shared" si="11"/>
        <v>4</v>
      </c>
      <c r="M45" s="1"/>
      <c r="N45" s="1"/>
      <c r="O45" s="1">
        <v>90</v>
      </c>
      <c r="P45" s="1">
        <f t="shared" si="12"/>
        <v>53.6</v>
      </c>
      <c r="Q45" s="5">
        <f t="shared" si="13"/>
        <v>459</v>
      </c>
      <c r="R45" s="5">
        <f t="shared" si="7"/>
        <v>459</v>
      </c>
      <c r="S45" s="5"/>
      <c r="T45" s="23"/>
      <c r="U45" s="1">
        <f t="shared" si="9"/>
        <v>15</v>
      </c>
      <c r="V45" s="1">
        <f t="shared" si="10"/>
        <v>6.4365671641791042</v>
      </c>
      <c r="W45" s="1">
        <v>41.2</v>
      </c>
      <c r="X45" s="1">
        <v>35.799999999999997</v>
      </c>
      <c r="Y45" s="1">
        <v>64.8</v>
      </c>
      <c r="Z45" s="1">
        <v>75.8</v>
      </c>
      <c r="AA45" s="1">
        <v>57.2</v>
      </c>
      <c r="AB45" s="1">
        <v>53.4</v>
      </c>
      <c r="AC45" s="1">
        <v>77</v>
      </c>
      <c r="AD45" s="1">
        <v>47.8</v>
      </c>
      <c r="AE45" s="1"/>
      <c r="AF45" s="1">
        <f t="shared" si="8"/>
        <v>137.69999999999999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86</v>
      </c>
      <c r="B46" s="1" t="s">
        <v>35</v>
      </c>
      <c r="C46" s="1">
        <v>246.624</v>
      </c>
      <c r="D46" s="1">
        <v>14.029</v>
      </c>
      <c r="E46" s="1">
        <v>95.042000000000002</v>
      </c>
      <c r="F46" s="1">
        <v>148.47900000000001</v>
      </c>
      <c r="G46" s="7">
        <v>1</v>
      </c>
      <c r="H46" s="1">
        <v>45</v>
      </c>
      <c r="I46" s="1" t="s">
        <v>33</v>
      </c>
      <c r="J46" s="1"/>
      <c r="K46" s="1">
        <v>94.8</v>
      </c>
      <c r="L46" s="1">
        <f t="shared" si="11"/>
        <v>0.24200000000000443</v>
      </c>
      <c r="M46" s="1"/>
      <c r="N46" s="1"/>
      <c r="O46" s="1">
        <v>0</v>
      </c>
      <c r="P46" s="1">
        <f t="shared" si="12"/>
        <v>19.008400000000002</v>
      </c>
      <c r="Q46" s="5">
        <f t="shared" si="13"/>
        <v>136.64700000000002</v>
      </c>
      <c r="R46" s="5">
        <f t="shared" si="7"/>
        <v>137</v>
      </c>
      <c r="S46" s="5"/>
      <c r="T46" s="23"/>
      <c r="U46" s="1">
        <f t="shared" si="9"/>
        <v>15</v>
      </c>
      <c r="V46" s="1">
        <f t="shared" si="10"/>
        <v>7.8112308242671658</v>
      </c>
      <c r="W46" s="1">
        <v>13.199</v>
      </c>
      <c r="X46" s="1">
        <v>7.4875999999999996</v>
      </c>
      <c r="Y46" s="1">
        <v>18.929200000000002</v>
      </c>
      <c r="Z46" s="1">
        <v>23.3964</v>
      </c>
      <c r="AA46" s="1">
        <v>8.8699999999999992</v>
      </c>
      <c r="AB46" s="1">
        <v>15.527799999999999</v>
      </c>
      <c r="AC46" s="1">
        <v>14.678599999999999</v>
      </c>
      <c r="AD46" s="1">
        <v>9.5939999999999994</v>
      </c>
      <c r="AE46" s="1"/>
      <c r="AF46" s="1">
        <f t="shared" si="8"/>
        <v>137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87</v>
      </c>
      <c r="B47" s="1" t="s">
        <v>32</v>
      </c>
      <c r="C47" s="1">
        <v>366</v>
      </c>
      <c r="D47" s="1">
        <v>425</v>
      </c>
      <c r="E47" s="1">
        <v>421</v>
      </c>
      <c r="F47" s="1">
        <v>283.2</v>
      </c>
      <c r="G47" s="7">
        <v>0.35</v>
      </c>
      <c r="H47" s="1">
        <v>45</v>
      </c>
      <c r="I47" s="1" t="s">
        <v>33</v>
      </c>
      <c r="J47" s="1"/>
      <c r="K47" s="1">
        <v>437</v>
      </c>
      <c r="L47" s="1">
        <f t="shared" si="11"/>
        <v>-16</v>
      </c>
      <c r="M47" s="1"/>
      <c r="N47" s="1"/>
      <c r="O47" s="1">
        <v>207</v>
      </c>
      <c r="P47" s="1">
        <f t="shared" si="12"/>
        <v>84.2</v>
      </c>
      <c r="Q47" s="5">
        <f t="shared" si="13"/>
        <v>772.8</v>
      </c>
      <c r="R47" s="5">
        <f t="shared" si="7"/>
        <v>773</v>
      </c>
      <c r="S47" s="5"/>
      <c r="T47" s="23"/>
      <c r="U47" s="1">
        <f t="shared" si="9"/>
        <v>15</v>
      </c>
      <c r="V47" s="1">
        <f t="shared" si="10"/>
        <v>5.8218527315914486</v>
      </c>
      <c r="W47" s="1">
        <v>64</v>
      </c>
      <c r="X47" s="1">
        <v>66.400000000000006</v>
      </c>
      <c r="Y47" s="1">
        <v>97</v>
      </c>
      <c r="Z47" s="1">
        <v>35.4</v>
      </c>
      <c r="AA47" s="1">
        <v>90.2</v>
      </c>
      <c r="AB47" s="1">
        <v>96.6</v>
      </c>
      <c r="AC47" s="1">
        <v>73.599999999999994</v>
      </c>
      <c r="AD47" s="1">
        <v>73.8</v>
      </c>
      <c r="AE47" s="1"/>
      <c r="AF47" s="1">
        <f t="shared" si="8"/>
        <v>270.54999999999995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88</v>
      </c>
      <c r="B48" s="1" t="s">
        <v>32</v>
      </c>
      <c r="C48" s="1">
        <v>338</v>
      </c>
      <c r="D48" s="1">
        <v>292</v>
      </c>
      <c r="E48" s="1">
        <v>222</v>
      </c>
      <c r="F48" s="1">
        <v>68</v>
      </c>
      <c r="G48" s="7">
        <v>0.41</v>
      </c>
      <c r="H48" s="1">
        <v>45</v>
      </c>
      <c r="I48" s="1" t="s">
        <v>33</v>
      </c>
      <c r="J48" s="1"/>
      <c r="K48" s="1">
        <v>242</v>
      </c>
      <c r="L48" s="1">
        <f t="shared" si="11"/>
        <v>-20</v>
      </c>
      <c r="M48" s="1"/>
      <c r="N48" s="1"/>
      <c r="O48" s="1">
        <v>0</v>
      </c>
      <c r="P48" s="1">
        <f t="shared" si="12"/>
        <v>44.4</v>
      </c>
      <c r="Q48" s="5">
        <f>12*P48-O48-F48</f>
        <v>464.79999999999995</v>
      </c>
      <c r="R48" s="5">
        <f t="shared" si="7"/>
        <v>465</v>
      </c>
      <c r="S48" s="5"/>
      <c r="T48" s="23"/>
      <c r="U48" s="1">
        <f t="shared" si="9"/>
        <v>12</v>
      </c>
      <c r="V48" s="1">
        <f t="shared" si="10"/>
        <v>1.5315315315315317</v>
      </c>
      <c r="W48" s="1">
        <v>27.8</v>
      </c>
      <c r="X48" s="1">
        <v>50.4</v>
      </c>
      <c r="Y48" s="1">
        <v>57.6</v>
      </c>
      <c r="Z48" s="1">
        <v>51</v>
      </c>
      <c r="AA48" s="1">
        <v>42.2</v>
      </c>
      <c r="AB48" s="1">
        <v>35.6</v>
      </c>
      <c r="AC48" s="1">
        <v>66.8</v>
      </c>
      <c r="AD48" s="1">
        <v>32.6</v>
      </c>
      <c r="AE48" s="1"/>
      <c r="AF48" s="1">
        <f t="shared" si="8"/>
        <v>190.64999999999998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89</v>
      </c>
      <c r="B49" s="1" t="s">
        <v>32</v>
      </c>
      <c r="C49" s="1">
        <v>239</v>
      </c>
      <c r="D49" s="1">
        <v>259</v>
      </c>
      <c r="E49" s="1">
        <v>219</v>
      </c>
      <c r="F49" s="1">
        <v>270</v>
      </c>
      <c r="G49" s="7">
        <v>0.41</v>
      </c>
      <c r="H49" s="1">
        <v>45</v>
      </c>
      <c r="I49" s="1" t="s">
        <v>33</v>
      </c>
      <c r="J49" s="1"/>
      <c r="K49" s="1">
        <v>214</v>
      </c>
      <c r="L49" s="1">
        <f t="shared" si="11"/>
        <v>5</v>
      </c>
      <c r="M49" s="1"/>
      <c r="N49" s="1"/>
      <c r="O49" s="1">
        <v>0</v>
      </c>
      <c r="P49" s="1">
        <f t="shared" si="12"/>
        <v>43.8</v>
      </c>
      <c r="Q49" s="5">
        <f t="shared" si="13"/>
        <v>387</v>
      </c>
      <c r="R49" s="5">
        <f t="shared" si="7"/>
        <v>387</v>
      </c>
      <c r="S49" s="5"/>
      <c r="T49" s="23"/>
      <c r="U49" s="1">
        <f t="shared" si="9"/>
        <v>15.000000000000002</v>
      </c>
      <c r="V49" s="1">
        <f t="shared" si="10"/>
        <v>6.1643835616438363</v>
      </c>
      <c r="W49" s="1">
        <v>18</v>
      </c>
      <c r="X49" s="1">
        <v>38.799999999999997</v>
      </c>
      <c r="Y49" s="1">
        <v>53</v>
      </c>
      <c r="Z49" s="1">
        <v>5.2</v>
      </c>
      <c r="AA49" s="1">
        <v>33.799999999999997</v>
      </c>
      <c r="AB49" s="1">
        <v>31.8</v>
      </c>
      <c r="AC49" s="1">
        <v>10.4</v>
      </c>
      <c r="AD49" s="1">
        <v>24</v>
      </c>
      <c r="AE49" s="1"/>
      <c r="AF49" s="1">
        <f t="shared" si="8"/>
        <v>158.66999999999999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90</v>
      </c>
      <c r="B50" s="1" t="s">
        <v>32</v>
      </c>
      <c r="C50" s="1">
        <v>96</v>
      </c>
      <c r="D50" s="1">
        <v>288</v>
      </c>
      <c r="E50" s="1">
        <v>222</v>
      </c>
      <c r="F50" s="1">
        <v>138</v>
      </c>
      <c r="G50" s="7">
        <v>0.36</v>
      </c>
      <c r="H50" s="1">
        <v>45</v>
      </c>
      <c r="I50" s="1" t="s">
        <v>33</v>
      </c>
      <c r="J50" s="1"/>
      <c r="K50" s="1">
        <v>238</v>
      </c>
      <c r="L50" s="1">
        <f t="shared" si="11"/>
        <v>-16</v>
      </c>
      <c r="M50" s="1"/>
      <c r="N50" s="1"/>
      <c r="O50" s="1">
        <v>0</v>
      </c>
      <c r="P50" s="1">
        <f t="shared" si="12"/>
        <v>44.4</v>
      </c>
      <c r="Q50" s="5">
        <f>13*P50-O50-F50</f>
        <v>439.19999999999993</v>
      </c>
      <c r="R50" s="5">
        <f t="shared" si="7"/>
        <v>439</v>
      </c>
      <c r="S50" s="5"/>
      <c r="T50" s="23"/>
      <c r="U50" s="1">
        <f t="shared" si="9"/>
        <v>12.999999999999998</v>
      </c>
      <c r="V50" s="1">
        <f t="shared" si="10"/>
        <v>3.1081081081081083</v>
      </c>
      <c r="W50" s="1">
        <v>4</v>
      </c>
      <c r="X50" s="1">
        <v>26.6</v>
      </c>
      <c r="Y50" s="1">
        <v>24</v>
      </c>
      <c r="Z50" s="1">
        <v>20.399999999999999</v>
      </c>
      <c r="AA50" s="1">
        <v>23.2</v>
      </c>
      <c r="AB50" s="1">
        <v>10.199999999999999</v>
      </c>
      <c r="AC50" s="1">
        <v>27</v>
      </c>
      <c r="AD50" s="1">
        <v>15</v>
      </c>
      <c r="AE50" s="1"/>
      <c r="AF50" s="1">
        <f t="shared" si="8"/>
        <v>158.04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91</v>
      </c>
      <c r="B51" s="1" t="s">
        <v>32</v>
      </c>
      <c r="C51" s="1">
        <v>55</v>
      </c>
      <c r="D51" s="1">
        <v>56</v>
      </c>
      <c r="E51" s="1">
        <v>19</v>
      </c>
      <c r="F51" s="1">
        <v>86</v>
      </c>
      <c r="G51" s="7">
        <v>0.33</v>
      </c>
      <c r="H51" s="1">
        <v>45</v>
      </c>
      <c r="I51" s="1" t="s">
        <v>33</v>
      </c>
      <c r="J51" s="1"/>
      <c r="K51" s="1">
        <v>19</v>
      </c>
      <c r="L51" s="1">
        <f t="shared" si="11"/>
        <v>0</v>
      </c>
      <c r="M51" s="1"/>
      <c r="N51" s="1"/>
      <c r="O51" s="1">
        <v>0</v>
      </c>
      <c r="P51" s="1">
        <f t="shared" si="12"/>
        <v>3.8</v>
      </c>
      <c r="Q51" s="5"/>
      <c r="R51" s="5">
        <f t="shared" si="7"/>
        <v>0</v>
      </c>
      <c r="S51" s="5"/>
      <c r="T51" s="23"/>
      <c r="U51" s="1">
        <f t="shared" si="9"/>
        <v>22.631578947368421</v>
      </c>
      <c r="V51" s="1">
        <f t="shared" si="10"/>
        <v>22.631578947368421</v>
      </c>
      <c r="W51" s="1">
        <v>3.2</v>
      </c>
      <c r="X51" s="1">
        <v>5.8</v>
      </c>
      <c r="Y51" s="1">
        <v>13</v>
      </c>
      <c r="Z51" s="1">
        <v>1.8</v>
      </c>
      <c r="AA51" s="1">
        <v>-0.4</v>
      </c>
      <c r="AB51" s="1">
        <v>5.4</v>
      </c>
      <c r="AC51" s="1">
        <v>0.2</v>
      </c>
      <c r="AD51" s="1">
        <v>1</v>
      </c>
      <c r="AE51" s="10" t="s">
        <v>92</v>
      </c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93</v>
      </c>
      <c r="B52" s="1" t="s">
        <v>32</v>
      </c>
      <c r="C52" s="1">
        <v>101</v>
      </c>
      <c r="D52" s="1">
        <v>2</v>
      </c>
      <c r="E52" s="1">
        <v>70</v>
      </c>
      <c r="F52" s="1">
        <v>26</v>
      </c>
      <c r="G52" s="7">
        <v>0.4</v>
      </c>
      <c r="H52" s="1">
        <v>60</v>
      </c>
      <c r="I52" s="1" t="s">
        <v>33</v>
      </c>
      <c r="J52" s="1"/>
      <c r="K52" s="1">
        <v>68</v>
      </c>
      <c r="L52" s="1">
        <f t="shared" si="11"/>
        <v>2</v>
      </c>
      <c r="M52" s="1"/>
      <c r="N52" s="1"/>
      <c r="O52" s="1">
        <v>94</v>
      </c>
      <c r="P52" s="1">
        <f t="shared" si="12"/>
        <v>14</v>
      </c>
      <c r="Q52" s="5">
        <f>15*P52-O52-F52</f>
        <v>90</v>
      </c>
      <c r="R52" s="5">
        <f t="shared" si="7"/>
        <v>90</v>
      </c>
      <c r="S52" s="5">
        <v>50</v>
      </c>
      <c r="T52" s="23"/>
      <c r="U52" s="1">
        <f t="shared" si="9"/>
        <v>15</v>
      </c>
      <c r="V52" s="1">
        <f t="shared" si="10"/>
        <v>8.5714285714285712</v>
      </c>
      <c r="W52" s="1">
        <v>13</v>
      </c>
      <c r="X52" s="1">
        <v>8.4</v>
      </c>
      <c r="Y52" s="1">
        <v>6.4</v>
      </c>
      <c r="Z52" s="1">
        <v>15</v>
      </c>
      <c r="AA52" s="1">
        <v>11.6</v>
      </c>
      <c r="AB52" s="1">
        <v>1</v>
      </c>
      <c r="AC52" s="1">
        <v>0</v>
      </c>
      <c r="AD52" s="1">
        <v>0</v>
      </c>
      <c r="AE52" s="1"/>
      <c r="AF52" s="1">
        <f t="shared" si="8"/>
        <v>36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94</v>
      </c>
      <c r="B53" s="1" t="s">
        <v>32</v>
      </c>
      <c r="C53" s="1">
        <v>128</v>
      </c>
      <c r="D53" s="1">
        <v>96</v>
      </c>
      <c r="E53" s="1">
        <v>27</v>
      </c>
      <c r="F53" s="1">
        <v>186</v>
      </c>
      <c r="G53" s="7">
        <v>0.33</v>
      </c>
      <c r="H53" s="1">
        <v>45</v>
      </c>
      <c r="I53" s="1" t="s">
        <v>33</v>
      </c>
      <c r="J53" s="1"/>
      <c r="K53" s="1">
        <v>27</v>
      </c>
      <c r="L53" s="1">
        <f t="shared" si="11"/>
        <v>0</v>
      </c>
      <c r="M53" s="1"/>
      <c r="N53" s="1"/>
      <c r="O53" s="1">
        <v>0</v>
      </c>
      <c r="P53" s="1">
        <f t="shared" si="12"/>
        <v>5.4</v>
      </c>
      <c r="Q53" s="5"/>
      <c r="R53" s="5">
        <f t="shared" si="7"/>
        <v>0</v>
      </c>
      <c r="S53" s="5"/>
      <c r="T53" s="23"/>
      <c r="U53" s="1">
        <f t="shared" si="9"/>
        <v>34.444444444444443</v>
      </c>
      <c r="V53" s="1">
        <f t="shared" si="10"/>
        <v>34.444444444444443</v>
      </c>
      <c r="W53" s="1">
        <v>5.4</v>
      </c>
      <c r="X53" s="1">
        <v>10.6</v>
      </c>
      <c r="Y53" s="1">
        <v>22.4</v>
      </c>
      <c r="Z53" s="1">
        <v>4.2</v>
      </c>
      <c r="AA53" s="1">
        <v>13.2</v>
      </c>
      <c r="AB53" s="1">
        <v>13.8</v>
      </c>
      <c r="AC53" s="1">
        <v>2</v>
      </c>
      <c r="AD53" s="1">
        <v>3.4</v>
      </c>
      <c r="AE53" s="16" t="s">
        <v>56</v>
      </c>
      <c r="AF53" s="1">
        <f t="shared" si="8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95</v>
      </c>
      <c r="B54" s="1" t="s">
        <v>35</v>
      </c>
      <c r="C54" s="1">
        <v>207.03800000000001</v>
      </c>
      <c r="D54" s="1">
        <v>745.09699999999998</v>
      </c>
      <c r="E54" s="1">
        <v>456.12</v>
      </c>
      <c r="F54" s="1">
        <v>303.13</v>
      </c>
      <c r="G54" s="7">
        <v>1</v>
      </c>
      <c r="H54" s="1">
        <v>45</v>
      </c>
      <c r="I54" s="1" t="s">
        <v>33</v>
      </c>
      <c r="J54" s="1"/>
      <c r="K54" s="1">
        <v>447.76100000000002</v>
      </c>
      <c r="L54" s="1">
        <f t="shared" si="11"/>
        <v>8.3589999999999804</v>
      </c>
      <c r="M54" s="1"/>
      <c r="N54" s="1"/>
      <c r="O54" s="1">
        <v>284</v>
      </c>
      <c r="P54" s="1">
        <f t="shared" si="12"/>
        <v>91.224000000000004</v>
      </c>
      <c r="Q54" s="5">
        <f>15*P54-O54-F54</f>
        <v>781.23000000000013</v>
      </c>
      <c r="R54" s="5">
        <f t="shared" si="7"/>
        <v>781</v>
      </c>
      <c r="S54" s="5"/>
      <c r="T54" s="23"/>
      <c r="U54" s="1">
        <f t="shared" si="9"/>
        <v>15</v>
      </c>
      <c r="V54" s="1">
        <f t="shared" si="10"/>
        <v>6.4361352275716914</v>
      </c>
      <c r="W54" s="1">
        <v>74.652200000000008</v>
      </c>
      <c r="X54" s="1">
        <v>81.558999999999997</v>
      </c>
      <c r="Y54" s="1">
        <v>91.169399999999996</v>
      </c>
      <c r="Z54" s="1">
        <v>78.173599999999993</v>
      </c>
      <c r="AA54" s="1">
        <v>86.486199999999997</v>
      </c>
      <c r="AB54" s="1">
        <v>76.927999999999997</v>
      </c>
      <c r="AC54" s="1">
        <v>77.873199999999997</v>
      </c>
      <c r="AD54" s="1">
        <v>66.671400000000006</v>
      </c>
      <c r="AE54" s="1"/>
      <c r="AF54" s="1">
        <f t="shared" si="8"/>
        <v>781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1" t="s">
        <v>96</v>
      </c>
      <c r="B55" s="11" t="s">
        <v>32</v>
      </c>
      <c r="C55" s="11">
        <v>-1</v>
      </c>
      <c r="D55" s="11"/>
      <c r="E55" s="11">
        <v>-1</v>
      </c>
      <c r="F55" s="11">
        <v>-1</v>
      </c>
      <c r="G55" s="12">
        <v>0</v>
      </c>
      <c r="H55" s="11">
        <v>60</v>
      </c>
      <c r="I55" s="11" t="s">
        <v>49</v>
      </c>
      <c r="J55" s="11"/>
      <c r="K55" s="11">
        <v>12</v>
      </c>
      <c r="L55" s="11">
        <f t="shared" si="11"/>
        <v>-13</v>
      </c>
      <c r="M55" s="11"/>
      <c r="N55" s="11"/>
      <c r="O55" s="11">
        <v>0</v>
      </c>
      <c r="P55" s="11">
        <f t="shared" si="12"/>
        <v>-0.2</v>
      </c>
      <c r="Q55" s="13"/>
      <c r="R55" s="5">
        <f t="shared" si="7"/>
        <v>0</v>
      </c>
      <c r="S55" s="5"/>
      <c r="T55" s="23"/>
      <c r="U55" s="11">
        <f t="shared" si="9"/>
        <v>5</v>
      </c>
      <c r="V55" s="11">
        <f t="shared" si="10"/>
        <v>5</v>
      </c>
      <c r="W55" s="11">
        <v>0</v>
      </c>
      <c r="X55" s="11">
        <v>0</v>
      </c>
      <c r="Y55" s="11">
        <v>5.8</v>
      </c>
      <c r="Z55" s="11">
        <v>6.4</v>
      </c>
      <c r="AA55" s="11">
        <v>2.8</v>
      </c>
      <c r="AB55" s="11">
        <v>0.4</v>
      </c>
      <c r="AC55" s="11">
        <v>4.4000000000000004</v>
      </c>
      <c r="AD55" s="11">
        <v>1.4</v>
      </c>
      <c r="AE55" s="11" t="s">
        <v>97</v>
      </c>
      <c r="AF55" s="1">
        <f t="shared" si="8"/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98</v>
      </c>
      <c r="B56" s="1" t="s">
        <v>32</v>
      </c>
      <c r="C56" s="1">
        <v>262</v>
      </c>
      <c r="D56" s="1">
        <v>219</v>
      </c>
      <c r="E56" s="1">
        <v>103</v>
      </c>
      <c r="F56" s="1">
        <v>66</v>
      </c>
      <c r="G56" s="7">
        <v>0.4</v>
      </c>
      <c r="H56" s="1">
        <v>45</v>
      </c>
      <c r="I56" s="1" t="s">
        <v>33</v>
      </c>
      <c r="J56" s="1"/>
      <c r="K56" s="1">
        <v>163</v>
      </c>
      <c r="L56" s="1">
        <f t="shared" si="11"/>
        <v>-60</v>
      </c>
      <c r="M56" s="1"/>
      <c r="N56" s="1"/>
      <c r="O56" s="1">
        <v>0</v>
      </c>
      <c r="P56" s="1">
        <f t="shared" si="12"/>
        <v>20.6</v>
      </c>
      <c r="Q56" s="5">
        <f>13*P56-O56-F56</f>
        <v>201.8</v>
      </c>
      <c r="R56" s="5">
        <f t="shared" si="7"/>
        <v>202</v>
      </c>
      <c r="S56" s="5"/>
      <c r="T56" s="23"/>
      <c r="U56" s="1">
        <f t="shared" si="9"/>
        <v>13</v>
      </c>
      <c r="V56" s="1">
        <f t="shared" si="10"/>
        <v>3.203883495145631</v>
      </c>
      <c r="W56" s="1">
        <v>10.6</v>
      </c>
      <c r="X56" s="1">
        <v>35.4</v>
      </c>
      <c r="Y56" s="1">
        <v>18.8</v>
      </c>
      <c r="Z56" s="1">
        <v>0.2</v>
      </c>
      <c r="AA56" s="1">
        <v>35</v>
      </c>
      <c r="AB56" s="1">
        <v>11.8</v>
      </c>
      <c r="AC56" s="1">
        <v>15.8</v>
      </c>
      <c r="AD56" s="1">
        <v>18.399999999999999</v>
      </c>
      <c r="AE56" s="1"/>
      <c r="AF56" s="1">
        <f t="shared" si="8"/>
        <v>80.800000000000011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99</v>
      </c>
      <c r="B57" s="1" t="s">
        <v>35</v>
      </c>
      <c r="C57" s="1">
        <v>15.621</v>
      </c>
      <c r="D57" s="1"/>
      <c r="E57" s="1">
        <v>3.8759999999999999</v>
      </c>
      <c r="F57" s="1">
        <v>11.744999999999999</v>
      </c>
      <c r="G57" s="7">
        <v>1</v>
      </c>
      <c r="H57" s="1">
        <v>60</v>
      </c>
      <c r="I57" s="1" t="s">
        <v>33</v>
      </c>
      <c r="J57" s="1"/>
      <c r="K57" s="1">
        <v>5</v>
      </c>
      <c r="L57" s="1">
        <f t="shared" si="11"/>
        <v>-1.1240000000000001</v>
      </c>
      <c r="M57" s="1"/>
      <c r="N57" s="1"/>
      <c r="O57" s="1">
        <v>0</v>
      </c>
      <c r="P57" s="1">
        <f t="shared" si="12"/>
        <v>0.7752</v>
      </c>
      <c r="Q57" s="5"/>
      <c r="R57" s="5">
        <f t="shared" si="7"/>
        <v>0</v>
      </c>
      <c r="S57" s="5"/>
      <c r="T57" s="23"/>
      <c r="U57" s="1">
        <f t="shared" si="9"/>
        <v>15.150928792569658</v>
      </c>
      <c r="V57" s="1">
        <f t="shared" si="10"/>
        <v>15.150928792569658</v>
      </c>
      <c r="W57" s="1">
        <v>0.39200000000000002</v>
      </c>
      <c r="X57" s="1">
        <v>0.39140000000000003</v>
      </c>
      <c r="Y57" s="1">
        <v>0.8146000000000001</v>
      </c>
      <c r="Z57" s="1">
        <v>0</v>
      </c>
      <c r="AA57" s="1">
        <v>0.39</v>
      </c>
      <c r="AB57" s="1">
        <v>0</v>
      </c>
      <c r="AC57" s="1">
        <v>0</v>
      </c>
      <c r="AD57" s="1">
        <v>0</v>
      </c>
      <c r="AE57" s="16" t="s">
        <v>56</v>
      </c>
      <c r="AF57" s="1">
        <f t="shared" si="8"/>
        <v>0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1" t="s">
        <v>100</v>
      </c>
      <c r="B58" s="11" t="s">
        <v>35</v>
      </c>
      <c r="C58" s="11">
        <v>3.8809999999999998</v>
      </c>
      <c r="D58" s="11"/>
      <c r="E58" s="11"/>
      <c r="F58" s="11">
        <v>3.8809999999999998</v>
      </c>
      <c r="G58" s="12">
        <v>0</v>
      </c>
      <c r="H58" s="11">
        <v>60</v>
      </c>
      <c r="I58" s="11" t="s">
        <v>49</v>
      </c>
      <c r="J58" s="11"/>
      <c r="K58" s="11"/>
      <c r="L58" s="11">
        <f t="shared" si="11"/>
        <v>0</v>
      </c>
      <c r="M58" s="11"/>
      <c r="N58" s="11"/>
      <c r="O58" s="11">
        <v>0</v>
      </c>
      <c r="P58" s="11">
        <f t="shared" si="12"/>
        <v>0</v>
      </c>
      <c r="Q58" s="13"/>
      <c r="R58" s="5">
        <f t="shared" si="7"/>
        <v>0</v>
      </c>
      <c r="S58" s="5"/>
      <c r="T58" s="23"/>
      <c r="U58" s="11" t="e">
        <f t="shared" si="9"/>
        <v>#DIV/0!</v>
      </c>
      <c r="V58" s="11" t="e">
        <f t="shared" si="10"/>
        <v>#DIV/0!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0.78059999999999996</v>
      </c>
      <c r="AE58" s="17" t="s">
        <v>56</v>
      </c>
      <c r="AF58" s="1">
        <f t="shared" si="8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101</v>
      </c>
      <c r="B59" s="1" t="s">
        <v>35</v>
      </c>
      <c r="C59" s="1">
        <v>47.92</v>
      </c>
      <c r="D59" s="1">
        <v>48.445</v>
      </c>
      <c r="E59" s="1">
        <v>12.015000000000001</v>
      </c>
      <c r="F59" s="1">
        <v>54.384999999999998</v>
      </c>
      <c r="G59" s="7">
        <v>1</v>
      </c>
      <c r="H59" s="1">
        <v>60</v>
      </c>
      <c r="I59" s="1" t="s">
        <v>33</v>
      </c>
      <c r="J59" s="1"/>
      <c r="K59" s="1">
        <v>9</v>
      </c>
      <c r="L59" s="1">
        <f t="shared" si="11"/>
        <v>3.0150000000000006</v>
      </c>
      <c r="M59" s="1"/>
      <c r="N59" s="1"/>
      <c r="O59" s="1">
        <v>0</v>
      </c>
      <c r="P59" s="1">
        <f t="shared" si="12"/>
        <v>2.403</v>
      </c>
      <c r="Q59" s="5"/>
      <c r="R59" s="5">
        <f t="shared" si="7"/>
        <v>0</v>
      </c>
      <c r="S59" s="5"/>
      <c r="T59" s="23"/>
      <c r="U59" s="1">
        <f t="shared" si="9"/>
        <v>22.632126508531002</v>
      </c>
      <c r="V59" s="1">
        <f t="shared" si="10"/>
        <v>22.632126508531002</v>
      </c>
      <c r="W59" s="1">
        <v>4.1829999999999998</v>
      </c>
      <c r="X59" s="1">
        <v>7.7939999999999996</v>
      </c>
      <c r="Y59" s="1">
        <v>11.387</v>
      </c>
      <c r="Z59" s="1">
        <v>0.59699999999999998</v>
      </c>
      <c r="AA59" s="1">
        <v>9.3550000000000004</v>
      </c>
      <c r="AB59" s="1">
        <v>3.5259999999999998</v>
      </c>
      <c r="AC59" s="1">
        <v>10.635999999999999</v>
      </c>
      <c r="AD59" s="1">
        <v>7.5484</v>
      </c>
      <c r="AE59" s="9" t="s">
        <v>41</v>
      </c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102</v>
      </c>
      <c r="B60" s="1" t="s">
        <v>32</v>
      </c>
      <c r="C60" s="1">
        <v>132</v>
      </c>
      <c r="D60" s="1">
        <v>32</v>
      </c>
      <c r="E60" s="1">
        <v>3</v>
      </c>
      <c r="F60" s="1">
        <v>24</v>
      </c>
      <c r="G60" s="7">
        <v>0.25</v>
      </c>
      <c r="H60" s="1">
        <v>120</v>
      </c>
      <c r="I60" s="1" t="s">
        <v>33</v>
      </c>
      <c r="J60" s="1"/>
      <c r="K60" s="1">
        <v>24</v>
      </c>
      <c r="L60" s="1">
        <f t="shared" si="11"/>
        <v>-21</v>
      </c>
      <c r="M60" s="1"/>
      <c r="N60" s="1"/>
      <c r="O60" s="1">
        <v>0</v>
      </c>
      <c r="P60" s="1">
        <f t="shared" si="12"/>
        <v>0.6</v>
      </c>
      <c r="Q60" s="5"/>
      <c r="R60" s="5">
        <f t="shared" si="7"/>
        <v>0</v>
      </c>
      <c r="S60" s="5"/>
      <c r="T60" s="23"/>
      <c r="U60" s="1">
        <f t="shared" si="9"/>
        <v>40</v>
      </c>
      <c r="V60" s="1">
        <f t="shared" si="10"/>
        <v>40</v>
      </c>
      <c r="W60" s="1">
        <v>6.4</v>
      </c>
      <c r="X60" s="1">
        <v>13.2</v>
      </c>
      <c r="Y60" s="1">
        <v>2.8</v>
      </c>
      <c r="Z60" s="1">
        <v>0.8</v>
      </c>
      <c r="AA60" s="1">
        <v>14</v>
      </c>
      <c r="AB60" s="1">
        <v>0.8</v>
      </c>
      <c r="AC60" s="1">
        <v>0.8</v>
      </c>
      <c r="AD60" s="1">
        <v>5.8</v>
      </c>
      <c r="AE60" s="1" t="s">
        <v>36</v>
      </c>
      <c r="AF60" s="1">
        <f t="shared" si="8"/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103</v>
      </c>
      <c r="B61" s="1" t="s">
        <v>35</v>
      </c>
      <c r="C61" s="1">
        <v>78.626000000000005</v>
      </c>
      <c r="D61" s="1">
        <v>55.923999999999999</v>
      </c>
      <c r="E61" s="1">
        <v>87.632000000000005</v>
      </c>
      <c r="F61" s="1">
        <v>31.478000000000002</v>
      </c>
      <c r="G61" s="7">
        <v>1</v>
      </c>
      <c r="H61" s="1">
        <v>45</v>
      </c>
      <c r="I61" s="1" t="s">
        <v>33</v>
      </c>
      <c r="J61" s="1"/>
      <c r="K61" s="1">
        <v>91</v>
      </c>
      <c r="L61" s="1">
        <f t="shared" si="11"/>
        <v>-3.367999999999995</v>
      </c>
      <c r="M61" s="1"/>
      <c r="N61" s="1"/>
      <c r="O61" s="1">
        <v>122</v>
      </c>
      <c r="P61" s="1">
        <f t="shared" si="12"/>
        <v>17.526400000000002</v>
      </c>
      <c r="Q61" s="5">
        <f>15*P61-O61-F61</f>
        <v>109.41800000000001</v>
      </c>
      <c r="R61" s="5">
        <f t="shared" si="7"/>
        <v>109</v>
      </c>
      <c r="S61" s="5"/>
      <c r="T61" s="23"/>
      <c r="U61" s="1">
        <f t="shared" si="9"/>
        <v>14.999999999999998</v>
      </c>
      <c r="V61" s="1">
        <f t="shared" si="10"/>
        <v>8.7569609275150615</v>
      </c>
      <c r="W61" s="1">
        <v>15.994</v>
      </c>
      <c r="X61" s="1">
        <v>13.3072</v>
      </c>
      <c r="Y61" s="1">
        <v>7.6114000000000006</v>
      </c>
      <c r="Z61" s="1">
        <v>11.939399999999999</v>
      </c>
      <c r="AA61" s="1">
        <v>18.562999999999999</v>
      </c>
      <c r="AB61" s="1">
        <v>5.4871999999999996</v>
      </c>
      <c r="AC61" s="1">
        <v>4.3868</v>
      </c>
      <c r="AD61" s="1">
        <v>14.728400000000001</v>
      </c>
      <c r="AE61" s="1"/>
      <c r="AF61" s="1">
        <f t="shared" si="8"/>
        <v>109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104</v>
      </c>
      <c r="B62" s="1" t="s">
        <v>32</v>
      </c>
      <c r="C62" s="1">
        <v>225</v>
      </c>
      <c r="D62" s="1">
        <v>84</v>
      </c>
      <c r="E62" s="1">
        <v>152</v>
      </c>
      <c r="F62" s="1">
        <v>2</v>
      </c>
      <c r="G62" s="7">
        <v>0.3</v>
      </c>
      <c r="H62" s="1">
        <v>60</v>
      </c>
      <c r="I62" s="1" t="s">
        <v>33</v>
      </c>
      <c r="J62" s="1"/>
      <c r="K62" s="1">
        <v>143</v>
      </c>
      <c r="L62" s="1">
        <f t="shared" si="11"/>
        <v>9</v>
      </c>
      <c r="M62" s="1"/>
      <c r="N62" s="1"/>
      <c r="O62" s="1">
        <v>0</v>
      </c>
      <c r="P62" s="1">
        <f t="shared" si="12"/>
        <v>30.4</v>
      </c>
      <c r="Q62" s="5">
        <f>9*P62-O62-F62</f>
        <v>271.59999999999997</v>
      </c>
      <c r="R62" s="5">
        <f t="shared" si="7"/>
        <v>272</v>
      </c>
      <c r="S62" s="5"/>
      <c r="T62" s="23"/>
      <c r="U62" s="1">
        <f t="shared" si="9"/>
        <v>9</v>
      </c>
      <c r="V62" s="1">
        <f t="shared" si="10"/>
        <v>6.5789473684210523E-2</v>
      </c>
      <c r="W62" s="1">
        <v>6.2</v>
      </c>
      <c r="X62" s="1">
        <v>4.2</v>
      </c>
      <c r="Y62" s="1">
        <v>25.8</v>
      </c>
      <c r="Z62" s="1">
        <v>16.600000000000001</v>
      </c>
      <c r="AA62" s="1">
        <v>19.600000000000001</v>
      </c>
      <c r="AB62" s="1">
        <v>23</v>
      </c>
      <c r="AC62" s="1">
        <v>8.1999999999999993</v>
      </c>
      <c r="AD62" s="1">
        <v>12</v>
      </c>
      <c r="AE62" s="1" t="s">
        <v>162</v>
      </c>
      <c r="AF62" s="1">
        <f t="shared" si="8"/>
        <v>81.599999999999994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105</v>
      </c>
      <c r="B63" s="1" t="s">
        <v>32</v>
      </c>
      <c r="C63" s="1">
        <v>461</v>
      </c>
      <c r="D63" s="1">
        <v>346</v>
      </c>
      <c r="E63" s="18">
        <f>423+E64</f>
        <v>440</v>
      </c>
      <c r="F63" s="18">
        <f>348+F64+F106</f>
        <v>408</v>
      </c>
      <c r="G63" s="7">
        <v>0.41</v>
      </c>
      <c r="H63" s="1">
        <v>50</v>
      </c>
      <c r="I63" s="1" t="s">
        <v>33</v>
      </c>
      <c r="J63" s="1"/>
      <c r="K63" s="1">
        <v>424</v>
      </c>
      <c r="L63" s="1">
        <f t="shared" si="11"/>
        <v>16</v>
      </c>
      <c r="M63" s="1"/>
      <c r="N63" s="1"/>
      <c r="O63" s="1">
        <v>64</v>
      </c>
      <c r="P63" s="1">
        <f t="shared" si="12"/>
        <v>88</v>
      </c>
      <c r="Q63" s="5">
        <f>15*P63-O63-F63</f>
        <v>848</v>
      </c>
      <c r="R63" s="5">
        <f t="shared" si="7"/>
        <v>848</v>
      </c>
      <c r="S63" s="5"/>
      <c r="T63" s="23"/>
      <c r="U63" s="1">
        <f t="shared" si="9"/>
        <v>15</v>
      </c>
      <c r="V63" s="1">
        <f t="shared" si="10"/>
        <v>5.3636363636363633</v>
      </c>
      <c r="W63" s="1">
        <v>61</v>
      </c>
      <c r="X63" s="1">
        <v>77.2</v>
      </c>
      <c r="Y63" s="1">
        <v>89.8</v>
      </c>
      <c r="Z63" s="1">
        <v>95.6</v>
      </c>
      <c r="AA63" s="1">
        <v>75</v>
      </c>
      <c r="AB63" s="1">
        <v>97</v>
      </c>
      <c r="AC63" s="1">
        <v>117.8</v>
      </c>
      <c r="AD63" s="1">
        <v>54.2</v>
      </c>
      <c r="AE63" s="1"/>
      <c r="AF63" s="1">
        <f t="shared" si="8"/>
        <v>347.68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1" t="s">
        <v>106</v>
      </c>
      <c r="B64" s="11" t="s">
        <v>32</v>
      </c>
      <c r="C64" s="11">
        <v>49</v>
      </c>
      <c r="D64" s="11"/>
      <c r="E64" s="18">
        <v>17</v>
      </c>
      <c r="F64" s="18">
        <v>31</v>
      </c>
      <c r="G64" s="12">
        <v>0</v>
      </c>
      <c r="H64" s="11"/>
      <c r="I64" s="11" t="s">
        <v>49</v>
      </c>
      <c r="J64" s="11" t="s">
        <v>105</v>
      </c>
      <c r="K64" s="11">
        <v>16</v>
      </c>
      <c r="L64" s="11">
        <f t="shared" si="11"/>
        <v>1</v>
      </c>
      <c r="M64" s="11"/>
      <c r="N64" s="11"/>
      <c r="O64" s="11">
        <v>0</v>
      </c>
      <c r="P64" s="11">
        <f t="shared" si="12"/>
        <v>3.4</v>
      </c>
      <c r="Q64" s="13"/>
      <c r="R64" s="5">
        <f t="shared" si="7"/>
        <v>0</v>
      </c>
      <c r="S64" s="5"/>
      <c r="T64" s="23"/>
      <c r="U64" s="11">
        <f t="shared" si="9"/>
        <v>9.117647058823529</v>
      </c>
      <c r="V64" s="11">
        <f t="shared" si="10"/>
        <v>9.117647058823529</v>
      </c>
      <c r="W64" s="11">
        <v>2</v>
      </c>
      <c r="X64" s="11">
        <v>15.6</v>
      </c>
      <c r="Y64" s="11">
        <v>4.5999999999999996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/>
      <c r="AF64" s="1">
        <f t="shared" si="8"/>
        <v>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107</v>
      </c>
      <c r="B65" s="1" t="s">
        <v>35</v>
      </c>
      <c r="C65" s="1">
        <v>252.012</v>
      </c>
      <c r="D65" s="1">
        <v>97.361000000000004</v>
      </c>
      <c r="E65" s="1">
        <v>209.648</v>
      </c>
      <c r="F65" s="1">
        <v>71.33</v>
      </c>
      <c r="G65" s="7">
        <v>1</v>
      </c>
      <c r="H65" s="1">
        <v>50</v>
      </c>
      <c r="I65" s="1" t="s">
        <v>33</v>
      </c>
      <c r="J65" s="1"/>
      <c r="K65" s="1">
        <v>208.86199999999999</v>
      </c>
      <c r="L65" s="1">
        <f t="shared" si="11"/>
        <v>0.78600000000000136</v>
      </c>
      <c r="M65" s="1"/>
      <c r="N65" s="1"/>
      <c r="O65" s="1">
        <v>353</v>
      </c>
      <c r="P65" s="1">
        <f t="shared" si="12"/>
        <v>41.929600000000001</v>
      </c>
      <c r="Q65" s="5">
        <f t="shared" ref="Q65:Q70" si="14">15*P65-O65-F65</f>
        <v>204.61399999999998</v>
      </c>
      <c r="R65" s="5">
        <f t="shared" si="7"/>
        <v>205</v>
      </c>
      <c r="S65" s="5"/>
      <c r="T65" s="23"/>
      <c r="U65" s="1">
        <f t="shared" si="9"/>
        <v>14.999999999999998</v>
      </c>
      <c r="V65" s="1">
        <f t="shared" si="10"/>
        <v>10.12005838357628</v>
      </c>
      <c r="W65" s="1">
        <v>42.965600000000002</v>
      </c>
      <c r="X65" s="1">
        <v>32.3782</v>
      </c>
      <c r="Y65" s="1">
        <v>45.654600000000002</v>
      </c>
      <c r="Z65" s="1">
        <v>10.1288</v>
      </c>
      <c r="AA65" s="1">
        <v>53.4602</v>
      </c>
      <c r="AB65" s="1">
        <v>36.601999999999997</v>
      </c>
      <c r="AC65" s="1">
        <v>34.4</v>
      </c>
      <c r="AD65" s="1">
        <v>39.615600000000001</v>
      </c>
      <c r="AE65" s="1"/>
      <c r="AF65" s="1">
        <f t="shared" si="8"/>
        <v>205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108</v>
      </c>
      <c r="B66" s="1" t="s">
        <v>32</v>
      </c>
      <c r="C66" s="1">
        <v>208</v>
      </c>
      <c r="D66" s="1">
        <v>120</v>
      </c>
      <c r="E66" s="1">
        <v>134</v>
      </c>
      <c r="F66" s="1">
        <v>186</v>
      </c>
      <c r="G66" s="7">
        <v>0.35</v>
      </c>
      <c r="H66" s="1">
        <v>50</v>
      </c>
      <c r="I66" s="1" t="s">
        <v>33</v>
      </c>
      <c r="J66" s="1"/>
      <c r="K66" s="1">
        <v>127</v>
      </c>
      <c r="L66" s="1">
        <f t="shared" si="11"/>
        <v>7</v>
      </c>
      <c r="M66" s="1"/>
      <c r="N66" s="1"/>
      <c r="O66" s="1">
        <v>0</v>
      </c>
      <c r="P66" s="1">
        <f t="shared" si="12"/>
        <v>26.8</v>
      </c>
      <c r="Q66" s="5">
        <f t="shared" si="14"/>
        <v>216</v>
      </c>
      <c r="R66" s="5">
        <f t="shared" si="7"/>
        <v>216</v>
      </c>
      <c r="S66" s="5"/>
      <c r="T66" s="23"/>
      <c r="U66" s="1">
        <f t="shared" si="9"/>
        <v>15</v>
      </c>
      <c r="V66" s="1">
        <f t="shared" si="10"/>
        <v>6.9402985074626864</v>
      </c>
      <c r="W66" s="1">
        <v>3.4</v>
      </c>
      <c r="X66" s="1">
        <v>23.2</v>
      </c>
      <c r="Y66" s="1">
        <v>13.4</v>
      </c>
      <c r="Z66" s="1">
        <v>4.4000000000000004</v>
      </c>
      <c r="AA66" s="1">
        <v>21.4</v>
      </c>
      <c r="AB66" s="1">
        <v>9.6</v>
      </c>
      <c r="AC66" s="1">
        <v>10.6</v>
      </c>
      <c r="AD66" s="1">
        <v>6.8</v>
      </c>
      <c r="AE66" s="1"/>
      <c r="AF66" s="1">
        <f t="shared" si="8"/>
        <v>75.599999999999994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109</v>
      </c>
      <c r="B67" s="1" t="s">
        <v>35</v>
      </c>
      <c r="C67" s="1">
        <v>204.989</v>
      </c>
      <c r="D67" s="1">
        <v>9.4369999999999994</v>
      </c>
      <c r="E67" s="1">
        <v>50.454999999999998</v>
      </c>
      <c r="F67" s="1">
        <v>149.83099999999999</v>
      </c>
      <c r="G67" s="7">
        <v>1</v>
      </c>
      <c r="H67" s="1">
        <v>50</v>
      </c>
      <c r="I67" s="1" t="s">
        <v>33</v>
      </c>
      <c r="J67" s="1"/>
      <c r="K67" s="1">
        <v>57.1</v>
      </c>
      <c r="L67" s="1">
        <f t="shared" si="11"/>
        <v>-6.6450000000000031</v>
      </c>
      <c r="M67" s="1"/>
      <c r="N67" s="1"/>
      <c r="O67" s="1">
        <v>0</v>
      </c>
      <c r="P67" s="1">
        <f t="shared" si="12"/>
        <v>10.090999999999999</v>
      </c>
      <c r="Q67" s="5"/>
      <c r="R67" s="5">
        <f t="shared" si="7"/>
        <v>0</v>
      </c>
      <c r="S67" s="5"/>
      <c r="T67" s="23"/>
      <c r="U67" s="1">
        <f t="shared" si="9"/>
        <v>14.847983351501338</v>
      </c>
      <c r="V67" s="1">
        <f t="shared" si="10"/>
        <v>14.847983351501338</v>
      </c>
      <c r="W67" s="1">
        <v>7.3322000000000003</v>
      </c>
      <c r="X67" s="1">
        <v>1.9112</v>
      </c>
      <c r="Y67" s="1">
        <v>3.419</v>
      </c>
      <c r="Z67" s="1">
        <v>12.1236</v>
      </c>
      <c r="AA67" s="1">
        <v>5.9020000000000001</v>
      </c>
      <c r="AB67" s="1">
        <v>12.3688</v>
      </c>
      <c r="AC67" s="1">
        <v>10.2056</v>
      </c>
      <c r="AD67" s="1">
        <v>10.2094</v>
      </c>
      <c r="AE67" s="9" t="s">
        <v>41</v>
      </c>
      <c r="AF67" s="1">
        <f t="shared" si="8"/>
        <v>0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110</v>
      </c>
      <c r="B68" s="1" t="s">
        <v>32</v>
      </c>
      <c r="C68" s="1">
        <v>608</v>
      </c>
      <c r="D68" s="1">
        <v>211</v>
      </c>
      <c r="E68" s="1">
        <v>267</v>
      </c>
      <c r="F68" s="1">
        <v>10</v>
      </c>
      <c r="G68" s="7">
        <v>0.41</v>
      </c>
      <c r="H68" s="1">
        <v>50</v>
      </c>
      <c r="I68" s="1" t="s">
        <v>33</v>
      </c>
      <c r="J68" s="1"/>
      <c r="K68" s="1">
        <v>266</v>
      </c>
      <c r="L68" s="1">
        <f t="shared" si="11"/>
        <v>1</v>
      </c>
      <c r="M68" s="1"/>
      <c r="N68" s="1"/>
      <c r="O68" s="1">
        <v>98</v>
      </c>
      <c r="P68" s="1">
        <f t="shared" si="12"/>
        <v>53.4</v>
      </c>
      <c r="Q68" s="5">
        <f>12*P68-O68-F68</f>
        <v>532.79999999999995</v>
      </c>
      <c r="R68" s="5">
        <f t="shared" si="7"/>
        <v>533</v>
      </c>
      <c r="S68" s="5"/>
      <c r="T68" s="23"/>
      <c r="U68" s="1">
        <f t="shared" ref="U68:U99" si="15">(F68+O68+Q68)/P68</f>
        <v>12</v>
      </c>
      <c r="V68" s="1">
        <f t="shared" ref="V68:V99" si="16">(F68+O68)/P68</f>
        <v>2.0224719101123596</v>
      </c>
      <c r="W68" s="1">
        <v>61.4</v>
      </c>
      <c r="X68" s="1">
        <v>75.400000000000006</v>
      </c>
      <c r="Y68" s="1">
        <v>106</v>
      </c>
      <c r="Z68" s="1">
        <v>103</v>
      </c>
      <c r="AA68" s="1">
        <v>69.400000000000006</v>
      </c>
      <c r="AB68" s="1">
        <v>50.2</v>
      </c>
      <c r="AC68" s="1">
        <v>106.4</v>
      </c>
      <c r="AD68" s="1">
        <v>53.4</v>
      </c>
      <c r="AE68" s="1"/>
      <c r="AF68" s="1">
        <f t="shared" si="8"/>
        <v>218.53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111</v>
      </c>
      <c r="B69" s="1" t="s">
        <v>35</v>
      </c>
      <c r="C69" s="1">
        <v>229.42599999999999</v>
      </c>
      <c r="D69" s="1">
        <v>175.90600000000001</v>
      </c>
      <c r="E69" s="1">
        <v>152.255</v>
      </c>
      <c r="F69" s="1">
        <v>227.93700000000001</v>
      </c>
      <c r="G69" s="7">
        <v>1</v>
      </c>
      <c r="H69" s="1">
        <v>50</v>
      </c>
      <c r="I69" s="1" t="s">
        <v>33</v>
      </c>
      <c r="J69" s="1"/>
      <c r="K69" s="1">
        <v>162.30000000000001</v>
      </c>
      <c r="L69" s="1">
        <f t="shared" si="11"/>
        <v>-10.045000000000016</v>
      </c>
      <c r="M69" s="1"/>
      <c r="N69" s="1"/>
      <c r="O69" s="1">
        <v>54</v>
      </c>
      <c r="P69" s="1">
        <f t="shared" si="12"/>
        <v>30.451000000000001</v>
      </c>
      <c r="Q69" s="5">
        <f t="shared" si="14"/>
        <v>174.82799999999997</v>
      </c>
      <c r="R69" s="5">
        <f t="shared" si="7"/>
        <v>175</v>
      </c>
      <c r="S69" s="5"/>
      <c r="T69" s="23"/>
      <c r="U69" s="1">
        <f t="shared" si="15"/>
        <v>15</v>
      </c>
      <c r="V69" s="1">
        <f t="shared" si="16"/>
        <v>9.2587107155758428</v>
      </c>
      <c r="W69" s="1">
        <v>29.3094</v>
      </c>
      <c r="X69" s="1">
        <v>35.366799999999998</v>
      </c>
      <c r="Y69" s="1">
        <v>41.764600000000002</v>
      </c>
      <c r="Z69" s="1">
        <v>31.7944</v>
      </c>
      <c r="AA69" s="1">
        <v>35.7166</v>
      </c>
      <c r="AB69" s="1">
        <v>39.016599999999997</v>
      </c>
      <c r="AC69" s="1">
        <v>33.249600000000001</v>
      </c>
      <c r="AD69" s="1">
        <v>8.1592000000000002</v>
      </c>
      <c r="AE69" s="1"/>
      <c r="AF69" s="1">
        <f t="shared" si="8"/>
        <v>175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112</v>
      </c>
      <c r="B70" s="1" t="s">
        <v>32</v>
      </c>
      <c r="C70" s="1">
        <v>159</v>
      </c>
      <c r="D70" s="1">
        <v>5</v>
      </c>
      <c r="E70" s="1">
        <v>79</v>
      </c>
      <c r="F70" s="1">
        <v>51</v>
      </c>
      <c r="G70" s="7">
        <v>0.3</v>
      </c>
      <c r="H70" s="1">
        <v>50</v>
      </c>
      <c r="I70" s="1" t="s">
        <v>33</v>
      </c>
      <c r="J70" s="1"/>
      <c r="K70" s="1">
        <v>77</v>
      </c>
      <c r="L70" s="1">
        <f t="shared" ref="L70:L101" si="17">E70-K70</f>
        <v>2</v>
      </c>
      <c r="M70" s="1"/>
      <c r="N70" s="1"/>
      <c r="O70" s="1">
        <v>111</v>
      </c>
      <c r="P70" s="1">
        <f t="shared" ref="P70:P101" si="18">E70/5</f>
        <v>15.8</v>
      </c>
      <c r="Q70" s="5">
        <f t="shared" si="14"/>
        <v>75</v>
      </c>
      <c r="R70" s="5">
        <f t="shared" si="7"/>
        <v>75</v>
      </c>
      <c r="S70" s="5"/>
      <c r="T70" s="23"/>
      <c r="U70" s="1">
        <f t="shared" si="15"/>
        <v>15</v>
      </c>
      <c r="V70" s="1">
        <f t="shared" si="16"/>
        <v>10.253164556962025</v>
      </c>
      <c r="W70" s="1">
        <v>18</v>
      </c>
      <c r="X70" s="1">
        <v>10.199999999999999</v>
      </c>
      <c r="Y70" s="1">
        <v>15.8</v>
      </c>
      <c r="Z70" s="1">
        <v>21.6</v>
      </c>
      <c r="AA70" s="1">
        <v>13.4</v>
      </c>
      <c r="AB70" s="1">
        <v>16.600000000000001</v>
      </c>
      <c r="AC70" s="1">
        <v>16.2</v>
      </c>
      <c r="AD70" s="1">
        <v>11</v>
      </c>
      <c r="AE70" s="1"/>
      <c r="AF70" s="1">
        <f t="shared" si="8"/>
        <v>22.5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1" t="s">
        <v>113</v>
      </c>
      <c r="B71" s="11" t="s">
        <v>32</v>
      </c>
      <c r="C71" s="11">
        <v>20</v>
      </c>
      <c r="D71" s="11">
        <v>35</v>
      </c>
      <c r="E71" s="11">
        <v>43</v>
      </c>
      <c r="F71" s="11">
        <v>7</v>
      </c>
      <c r="G71" s="12">
        <v>0</v>
      </c>
      <c r="H71" s="11">
        <v>50</v>
      </c>
      <c r="I71" s="11" t="s">
        <v>49</v>
      </c>
      <c r="J71" s="11"/>
      <c r="K71" s="11">
        <v>48</v>
      </c>
      <c r="L71" s="11">
        <f t="shared" si="17"/>
        <v>-5</v>
      </c>
      <c r="M71" s="11"/>
      <c r="N71" s="11"/>
      <c r="O71" s="11">
        <v>0</v>
      </c>
      <c r="P71" s="11">
        <f t="shared" si="18"/>
        <v>8.6</v>
      </c>
      <c r="Q71" s="13"/>
      <c r="R71" s="5">
        <f t="shared" ref="R71:R114" si="19">ROUND(Q71,0)</f>
        <v>0</v>
      </c>
      <c r="S71" s="5"/>
      <c r="T71" s="23"/>
      <c r="U71" s="11">
        <f t="shared" si="15"/>
        <v>0.81395348837209303</v>
      </c>
      <c r="V71" s="11">
        <f t="shared" si="16"/>
        <v>0.81395348837209303</v>
      </c>
      <c r="W71" s="11">
        <v>0</v>
      </c>
      <c r="X71" s="11">
        <v>1.8</v>
      </c>
      <c r="Y71" s="11">
        <v>5.6</v>
      </c>
      <c r="Z71" s="11">
        <v>5</v>
      </c>
      <c r="AA71" s="11">
        <v>4.8</v>
      </c>
      <c r="AB71" s="11">
        <v>2.4</v>
      </c>
      <c r="AC71" s="11">
        <v>5.2</v>
      </c>
      <c r="AD71" s="11">
        <v>4.8</v>
      </c>
      <c r="AE71" s="11"/>
      <c r="AF71" s="1">
        <f t="shared" ref="AF71:AF114" si="20">G71*R71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114</v>
      </c>
      <c r="B72" s="1" t="s">
        <v>32</v>
      </c>
      <c r="C72" s="1">
        <v>67</v>
      </c>
      <c r="D72" s="1">
        <v>450</v>
      </c>
      <c r="E72" s="1">
        <v>165</v>
      </c>
      <c r="F72" s="1">
        <v>327</v>
      </c>
      <c r="G72" s="7">
        <v>0.18</v>
      </c>
      <c r="H72" s="1">
        <v>50</v>
      </c>
      <c r="I72" s="1" t="s">
        <v>33</v>
      </c>
      <c r="J72" s="1"/>
      <c r="K72" s="1">
        <v>178</v>
      </c>
      <c r="L72" s="1">
        <f t="shared" si="17"/>
        <v>-13</v>
      </c>
      <c r="M72" s="1"/>
      <c r="N72" s="1"/>
      <c r="O72" s="1">
        <v>0</v>
      </c>
      <c r="P72" s="1">
        <f t="shared" si="18"/>
        <v>33</v>
      </c>
      <c r="Q72" s="5">
        <f>15*P72-O72-F72</f>
        <v>168</v>
      </c>
      <c r="R72" s="5">
        <f t="shared" si="19"/>
        <v>168</v>
      </c>
      <c r="S72" s="5"/>
      <c r="T72" s="23"/>
      <c r="U72" s="1">
        <f t="shared" si="15"/>
        <v>15</v>
      </c>
      <c r="V72" s="1">
        <f t="shared" si="16"/>
        <v>9.9090909090909083</v>
      </c>
      <c r="W72" s="1">
        <v>6.4</v>
      </c>
      <c r="X72" s="1">
        <v>36.6</v>
      </c>
      <c r="Y72" s="1">
        <v>24</v>
      </c>
      <c r="Z72" s="1">
        <v>24.6</v>
      </c>
      <c r="AA72" s="1">
        <v>28.2</v>
      </c>
      <c r="AB72" s="1">
        <v>23.4</v>
      </c>
      <c r="AC72" s="1">
        <v>14.6</v>
      </c>
      <c r="AD72" s="1">
        <v>36.6</v>
      </c>
      <c r="AE72" s="1"/>
      <c r="AF72" s="1">
        <f t="shared" si="20"/>
        <v>30.24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1" t="s">
        <v>115</v>
      </c>
      <c r="B73" s="11" t="s">
        <v>32</v>
      </c>
      <c r="C73" s="11">
        <v>75</v>
      </c>
      <c r="D73" s="11">
        <v>49</v>
      </c>
      <c r="E73" s="11">
        <v>13</v>
      </c>
      <c r="F73" s="11">
        <v>108</v>
      </c>
      <c r="G73" s="12">
        <v>0</v>
      </c>
      <c r="H73" s="11">
        <v>120</v>
      </c>
      <c r="I73" s="11" t="s">
        <v>49</v>
      </c>
      <c r="J73" s="11"/>
      <c r="K73" s="11">
        <v>14</v>
      </c>
      <c r="L73" s="11">
        <f t="shared" si="17"/>
        <v>-1</v>
      </c>
      <c r="M73" s="11"/>
      <c r="N73" s="11"/>
      <c r="O73" s="11">
        <v>0</v>
      </c>
      <c r="P73" s="11">
        <f t="shared" si="18"/>
        <v>2.6</v>
      </c>
      <c r="Q73" s="13"/>
      <c r="R73" s="5">
        <f t="shared" si="19"/>
        <v>0</v>
      </c>
      <c r="S73" s="5"/>
      <c r="T73" s="23"/>
      <c r="U73" s="11">
        <f t="shared" si="15"/>
        <v>41.53846153846154</v>
      </c>
      <c r="V73" s="11">
        <f t="shared" si="16"/>
        <v>41.53846153846154</v>
      </c>
      <c r="W73" s="11">
        <v>1.8</v>
      </c>
      <c r="X73" s="11">
        <v>11.4</v>
      </c>
      <c r="Y73" s="11">
        <v>0.6</v>
      </c>
      <c r="Z73" s="11">
        <v>8.8000000000000007</v>
      </c>
      <c r="AA73" s="11">
        <v>9.8000000000000007</v>
      </c>
      <c r="AB73" s="11">
        <v>3.6</v>
      </c>
      <c r="AC73" s="11">
        <v>4</v>
      </c>
      <c r="AD73" s="11">
        <v>4.2</v>
      </c>
      <c r="AE73" s="17" t="s">
        <v>56</v>
      </c>
      <c r="AF73" s="1">
        <f t="shared" si="20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116</v>
      </c>
      <c r="B74" s="1" t="s">
        <v>32</v>
      </c>
      <c r="C74" s="1">
        <v>51</v>
      </c>
      <c r="D74" s="1">
        <v>4</v>
      </c>
      <c r="E74" s="1">
        <v>23</v>
      </c>
      <c r="F74" s="1">
        <v>31</v>
      </c>
      <c r="G74" s="7">
        <v>0.84</v>
      </c>
      <c r="H74" s="1">
        <v>50</v>
      </c>
      <c r="I74" s="1" t="s">
        <v>33</v>
      </c>
      <c r="J74" s="1"/>
      <c r="K74" s="1">
        <v>22.44</v>
      </c>
      <c r="L74" s="1">
        <f t="shared" si="17"/>
        <v>0.55999999999999872</v>
      </c>
      <c r="M74" s="1"/>
      <c r="N74" s="1"/>
      <c r="O74" s="1">
        <v>0</v>
      </c>
      <c r="P74" s="1">
        <f t="shared" si="18"/>
        <v>4.5999999999999996</v>
      </c>
      <c r="Q74" s="5">
        <f t="shared" ref="Q74:Q85" si="21">15*P74-O74-F74</f>
        <v>38</v>
      </c>
      <c r="R74" s="5">
        <f t="shared" si="19"/>
        <v>38</v>
      </c>
      <c r="S74" s="5"/>
      <c r="T74" s="23"/>
      <c r="U74" s="1">
        <f t="shared" si="15"/>
        <v>15.000000000000002</v>
      </c>
      <c r="V74" s="1">
        <f t="shared" si="16"/>
        <v>6.7391304347826093</v>
      </c>
      <c r="W74" s="1">
        <v>2.8</v>
      </c>
      <c r="X74" s="1">
        <v>1</v>
      </c>
      <c r="Y74" s="1">
        <v>1.6</v>
      </c>
      <c r="Z74" s="1">
        <v>5.8</v>
      </c>
      <c r="AA74" s="1">
        <v>4.4000000000000004</v>
      </c>
      <c r="AB74" s="1">
        <v>3.6</v>
      </c>
      <c r="AC74" s="1">
        <v>4.8</v>
      </c>
      <c r="AD74" s="1">
        <v>2.6</v>
      </c>
      <c r="AE74" s="1"/>
      <c r="AF74" s="1">
        <f t="shared" si="20"/>
        <v>31.919999999999998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117</v>
      </c>
      <c r="B75" s="1" t="s">
        <v>32</v>
      </c>
      <c r="C75" s="1">
        <v>389</v>
      </c>
      <c r="D75" s="1">
        <v>528</v>
      </c>
      <c r="E75" s="1">
        <v>458</v>
      </c>
      <c r="F75" s="1">
        <v>210</v>
      </c>
      <c r="G75" s="7">
        <v>0.35</v>
      </c>
      <c r="H75" s="1">
        <v>50</v>
      </c>
      <c r="I75" s="1" t="s">
        <v>33</v>
      </c>
      <c r="J75" s="1"/>
      <c r="K75" s="1">
        <v>536</v>
      </c>
      <c r="L75" s="1">
        <f t="shared" si="17"/>
        <v>-78</v>
      </c>
      <c r="M75" s="1"/>
      <c r="N75" s="1"/>
      <c r="O75" s="1">
        <v>35</v>
      </c>
      <c r="P75" s="1">
        <f t="shared" si="18"/>
        <v>91.6</v>
      </c>
      <c r="Q75" s="5">
        <f>15*P75-O75-F75</f>
        <v>1129</v>
      </c>
      <c r="R75" s="5">
        <f>T75</f>
        <v>800</v>
      </c>
      <c r="S75" s="5"/>
      <c r="T75" s="23">
        <f>VLOOKUP(A75,[1]Sheet!$A:$R,18,0)</f>
        <v>800</v>
      </c>
      <c r="U75" s="1">
        <f t="shared" si="15"/>
        <v>15.000000000000002</v>
      </c>
      <c r="V75" s="1">
        <f t="shared" si="16"/>
        <v>2.6746724890829694</v>
      </c>
      <c r="W75" s="1">
        <v>61.8</v>
      </c>
      <c r="X75" s="1">
        <v>80.8</v>
      </c>
      <c r="Y75" s="1">
        <v>98.6</v>
      </c>
      <c r="Z75" s="1">
        <v>77.599999999999994</v>
      </c>
      <c r="AA75" s="1">
        <v>76.599999999999994</v>
      </c>
      <c r="AB75" s="1">
        <v>88.4</v>
      </c>
      <c r="AC75" s="1">
        <v>76</v>
      </c>
      <c r="AD75" s="1">
        <v>69.2</v>
      </c>
      <c r="AE75" s="1"/>
      <c r="AF75" s="1">
        <f t="shared" si="20"/>
        <v>280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118</v>
      </c>
      <c r="B76" s="1" t="s">
        <v>35</v>
      </c>
      <c r="C76" s="1">
        <v>181.55199999999999</v>
      </c>
      <c r="D76" s="1">
        <v>123.751</v>
      </c>
      <c r="E76" s="1">
        <v>188.274</v>
      </c>
      <c r="F76" s="1">
        <v>88.8</v>
      </c>
      <c r="G76" s="7">
        <v>1</v>
      </c>
      <c r="H76" s="1">
        <v>50</v>
      </c>
      <c r="I76" s="1" t="s">
        <v>33</v>
      </c>
      <c r="J76" s="1"/>
      <c r="K76" s="1">
        <v>188.7</v>
      </c>
      <c r="L76" s="1">
        <f t="shared" si="17"/>
        <v>-0.42599999999998772</v>
      </c>
      <c r="M76" s="1"/>
      <c r="N76" s="1"/>
      <c r="O76" s="1">
        <v>168</v>
      </c>
      <c r="P76" s="1">
        <f t="shared" si="18"/>
        <v>37.654800000000002</v>
      </c>
      <c r="Q76" s="5">
        <f t="shared" si="21"/>
        <v>308.02199999999999</v>
      </c>
      <c r="R76" s="5">
        <f t="shared" si="19"/>
        <v>308</v>
      </c>
      <c r="S76" s="5"/>
      <c r="T76" s="23"/>
      <c r="U76" s="1">
        <f t="shared" si="15"/>
        <v>15</v>
      </c>
      <c r="V76" s="1">
        <f t="shared" si="16"/>
        <v>6.8198476688230985</v>
      </c>
      <c r="W76" s="1">
        <v>30.102599999999999</v>
      </c>
      <c r="X76" s="1">
        <v>26.282599999999999</v>
      </c>
      <c r="Y76" s="1">
        <v>29.624600000000001</v>
      </c>
      <c r="Z76" s="1">
        <v>13.597799999999999</v>
      </c>
      <c r="AA76" s="1">
        <v>23.0444</v>
      </c>
      <c r="AB76" s="1">
        <v>30.029800000000002</v>
      </c>
      <c r="AC76" s="1">
        <v>28.277200000000001</v>
      </c>
      <c r="AD76" s="1">
        <v>31.450399999999998</v>
      </c>
      <c r="AE76" s="1"/>
      <c r="AF76" s="1">
        <f t="shared" si="20"/>
        <v>308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119</v>
      </c>
      <c r="B77" s="1" t="s">
        <v>35</v>
      </c>
      <c r="C77" s="1">
        <v>167.78399999999999</v>
      </c>
      <c r="D77" s="1">
        <v>139.20500000000001</v>
      </c>
      <c r="E77" s="1">
        <v>251.05500000000001</v>
      </c>
      <c r="F77" s="1">
        <v>13.874000000000001</v>
      </c>
      <c r="G77" s="7">
        <v>1</v>
      </c>
      <c r="H77" s="1">
        <v>50</v>
      </c>
      <c r="I77" s="1" t="s">
        <v>33</v>
      </c>
      <c r="J77" s="1"/>
      <c r="K77" s="1">
        <v>243.9</v>
      </c>
      <c r="L77" s="1">
        <f t="shared" si="17"/>
        <v>7.1550000000000011</v>
      </c>
      <c r="M77" s="1"/>
      <c r="N77" s="1"/>
      <c r="O77" s="1">
        <v>309</v>
      </c>
      <c r="P77" s="1">
        <f t="shared" si="18"/>
        <v>50.210999999999999</v>
      </c>
      <c r="Q77" s="5">
        <f t="shared" si="21"/>
        <v>430.29099999999994</v>
      </c>
      <c r="R77" s="5">
        <f t="shared" si="19"/>
        <v>430</v>
      </c>
      <c r="S77" s="5"/>
      <c r="T77" s="23"/>
      <c r="U77" s="1">
        <f t="shared" si="15"/>
        <v>15</v>
      </c>
      <c r="V77" s="1">
        <f t="shared" si="16"/>
        <v>6.4303439485371738</v>
      </c>
      <c r="W77" s="1">
        <v>40.056600000000003</v>
      </c>
      <c r="X77" s="1">
        <v>33.135599999999997</v>
      </c>
      <c r="Y77" s="1">
        <v>41.604599999999998</v>
      </c>
      <c r="Z77" s="1">
        <v>44.145400000000002</v>
      </c>
      <c r="AA77" s="1">
        <v>38.8658</v>
      </c>
      <c r="AB77" s="1">
        <v>50.016800000000003</v>
      </c>
      <c r="AC77" s="1">
        <v>41.149000000000001</v>
      </c>
      <c r="AD77" s="1">
        <v>39.247199999999999</v>
      </c>
      <c r="AE77" s="1"/>
      <c r="AF77" s="1">
        <f t="shared" si="20"/>
        <v>430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120</v>
      </c>
      <c r="B78" s="1" t="s">
        <v>32</v>
      </c>
      <c r="C78" s="1">
        <v>534</v>
      </c>
      <c r="D78" s="1">
        <v>318</v>
      </c>
      <c r="E78" s="1">
        <v>269</v>
      </c>
      <c r="F78" s="1">
        <v>-18</v>
      </c>
      <c r="G78" s="7">
        <v>0.35</v>
      </c>
      <c r="H78" s="1">
        <v>50</v>
      </c>
      <c r="I78" s="1" t="s">
        <v>33</v>
      </c>
      <c r="J78" s="1"/>
      <c r="K78" s="1">
        <v>377</v>
      </c>
      <c r="L78" s="1">
        <f t="shared" si="17"/>
        <v>-108</v>
      </c>
      <c r="M78" s="1"/>
      <c r="N78" s="1"/>
      <c r="O78" s="1">
        <v>284</v>
      </c>
      <c r="P78" s="1">
        <f t="shared" si="18"/>
        <v>53.8</v>
      </c>
      <c r="Q78" s="5">
        <f t="shared" si="21"/>
        <v>541</v>
      </c>
      <c r="R78" s="5">
        <f t="shared" si="19"/>
        <v>541</v>
      </c>
      <c r="S78" s="5"/>
      <c r="T78" s="23"/>
      <c r="U78" s="1">
        <f t="shared" si="15"/>
        <v>15</v>
      </c>
      <c r="V78" s="1">
        <f t="shared" si="16"/>
        <v>4.944237918215614</v>
      </c>
      <c r="W78" s="1">
        <v>74</v>
      </c>
      <c r="X78" s="1">
        <v>80.599999999999994</v>
      </c>
      <c r="Y78" s="1">
        <v>102</v>
      </c>
      <c r="Z78" s="1">
        <v>99.4</v>
      </c>
      <c r="AA78" s="1">
        <v>83</v>
      </c>
      <c r="AB78" s="1">
        <v>99</v>
      </c>
      <c r="AC78" s="1">
        <v>89</v>
      </c>
      <c r="AD78" s="1">
        <v>63</v>
      </c>
      <c r="AE78" s="1"/>
      <c r="AF78" s="1">
        <f t="shared" si="20"/>
        <v>189.35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121</v>
      </c>
      <c r="B79" s="1" t="s">
        <v>32</v>
      </c>
      <c r="C79" s="1">
        <v>129</v>
      </c>
      <c r="D79" s="1">
        <v>52</v>
      </c>
      <c r="E79" s="1">
        <v>90</v>
      </c>
      <c r="F79" s="1">
        <v>79</v>
      </c>
      <c r="G79" s="7">
        <v>0.3</v>
      </c>
      <c r="H79" s="1">
        <v>50</v>
      </c>
      <c r="I79" s="1" t="s">
        <v>33</v>
      </c>
      <c r="J79" s="1"/>
      <c r="K79" s="1">
        <v>87</v>
      </c>
      <c r="L79" s="1">
        <f t="shared" si="17"/>
        <v>3</v>
      </c>
      <c r="M79" s="1"/>
      <c r="N79" s="1"/>
      <c r="O79" s="1">
        <v>0</v>
      </c>
      <c r="P79" s="1">
        <f t="shared" si="18"/>
        <v>18</v>
      </c>
      <c r="Q79" s="5">
        <f>14*P79-O79-F79</f>
        <v>173</v>
      </c>
      <c r="R79" s="5">
        <f t="shared" si="19"/>
        <v>173</v>
      </c>
      <c r="S79" s="5"/>
      <c r="T79" s="23"/>
      <c r="U79" s="1">
        <f t="shared" si="15"/>
        <v>14</v>
      </c>
      <c r="V79" s="1">
        <f t="shared" si="16"/>
        <v>4.3888888888888893</v>
      </c>
      <c r="W79" s="1">
        <v>11.2</v>
      </c>
      <c r="X79" s="1">
        <v>15.8</v>
      </c>
      <c r="Y79" s="1">
        <v>10.8</v>
      </c>
      <c r="Z79" s="1">
        <v>18.399999999999999</v>
      </c>
      <c r="AA79" s="1">
        <v>18</v>
      </c>
      <c r="AB79" s="1">
        <v>13.6</v>
      </c>
      <c r="AC79" s="1">
        <v>6.4</v>
      </c>
      <c r="AD79" s="1">
        <v>13.6</v>
      </c>
      <c r="AE79" s="1"/>
      <c r="AF79" s="1">
        <f t="shared" si="20"/>
        <v>51.9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122</v>
      </c>
      <c r="B80" s="1" t="s">
        <v>32</v>
      </c>
      <c r="C80" s="1">
        <v>110</v>
      </c>
      <c r="D80" s="1">
        <v>116</v>
      </c>
      <c r="E80" s="1">
        <v>86</v>
      </c>
      <c r="F80" s="1">
        <v>132</v>
      </c>
      <c r="G80" s="7">
        <v>0.3</v>
      </c>
      <c r="H80" s="1">
        <v>60</v>
      </c>
      <c r="I80" s="1" t="s">
        <v>33</v>
      </c>
      <c r="J80" s="1"/>
      <c r="K80" s="1">
        <v>80</v>
      </c>
      <c r="L80" s="1">
        <f t="shared" si="17"/>
        <v>6</v>
      </c>
      <c r="M80" s="1"/>
      <c r="N80" s="1"/>
      <c r="O80" s="1">
        <v>0</v>
      </c>
      <c r="P80" s="1">
        <f t="shared" si="18"/>
        <v>17.2</v>
      </c>
      <c r="Q80" s="5">
        <f t="shared" si="21"/>
        <v>126</v>
      </c>
      <c r="R80" s="5">
        <f t="shared" si="19"/>
        <v>126</v>
      </c>
      <c r="S80" s="5"/>
      <c r="T80" s="23"/>
      <c r="U80" s="1">
        <f t="shared" si="15"/>
        <v>15</v>
      </c>
      <c r="V80" s="1">
        <f t="shared" si="16"/>
        <v>7.6744186046511631</v>
      </c>
      <c r="W80" s="1">
        <v>2.2000000000000002</v>
      </c>
      <c r="X80" s="1">
        <v>6</v>
      </c>
      <c r="Y80" s="1">
        <v>25.2</v>
      </c>
      <c r="Z80" s="1">
        <v>5.4</v>
      </c>
      <c r="AA80" s="1">
        <v>11.6</v>
      </c>
      <c r="AB80" s="1">
        <v>13.8</v>
      </c>
      <c r="AC80" s="1">
        <v>3.4</v>
      </c>
      <c r="AD80" s="1">
        <v>0.6</v>
      </c>
      <c r="AE80" s="1"/>
      <c r="AF80" s="1">
        <f t="shared" si="20"/>
        <v>37.799999999999997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123</v>
      </c>
      <c r="B81" s="1" t="s">
        <v>32</v>
      </c>
      <c r="C81" s="1">
        <v>290</v>
      </c>
      <c r="D81" s="1">
        <v>417</v>
      </c>
      <c r="E81" s="1">
        <v>325</v>
      </c>
      <c r="F81" s="1">
        <v>139</v>
      </c>
      <c r="G81" s="7">
        <v>0.28000000000000003</v>
      </c>
      <c r="H81" s="1">
        <v>50</v>
      </c>
      <c r="I81" s="1" t="s">
        <v>33</v>
      </c>
      <c r="J81" s="1"/>
      <c r="K81" s="1">
        <v>335</v>
      </c>
      <c r="L81" s="1">
        <f t="shared" si="17"/>
        <v>-10</v>
      </c>
      <c r="M81" s="1"/>
      <c r="N81" s="1"/>
      <c r="O81" s="1">
        <v>266</v>
      </c>
      <c r="P81" s="1">
        <f t="shared" si="18"/>
        <v>65</v>
      </c>
      <c r="Q81" s="5">
        <f t="shared" si="21"/>
        <v>570</v>
      </c>
      <c r="R81" s="5">
        <f t="shared" si="19"/>
        <v>570</v>
      </c>
      <c r="S81" s="5"/>
      <c r="T81" s="23"/>
      <c r="U81" s="1">
        <f t="shared" si="15"/>
        <v>15</v>
      </c>
      <c r="V81" s="1">
        <f t="shared" si="16"/>
        <v>6.2307692307692308</v>
      </c>
      <c r="W81" s="1">
        <v>63.2</v>
      </c>
      <c r="X81" s="1">
        <v>67.2</v>
      </c>
      <c r="Y81" s="1">
        <v>80.8</v>
      </c>
      <c r="Z81" s="1">
        <v>74.400000000000006</v>
      </c>
      <c r="AA81" s="1">
        <v>71.2</v>
      </c>
      <c r="AB81" s="1">
        <v>69.2</v>
      </c>
      <c r="AC81" s="1">
        <v>69</v>
      </c>
      <c r="AD81" s="1">
        <v>58</v>
      </c>
      <c r="AE81" s="1"/>
      <c r="AF81" s="1">
        <f t="shared" si="20"/>
        <v>159.60000000000002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124</v>
      </c>
      <c r="B82" s="1" t="s">
        <v>32</v>
      </c>
      <c r="C82" s="1">
        <v>310</v>
      </c>
      <c r="D82" s="1">
        <v>334</v>
      </c>
      <c r="E82" s="1">
        <v>352</v>
      </c>
      <c r="F82" s="1">
        <v>131</v>
      </c>
      <c r="G82" s="7">
        <v>0.28000000000000003</v>
      </c>
      <c r="H82" s="1">
        <v>45</v>
      </c>
      <c r="I82" s="1" t="s">
        <v>33</v>
      </c>
      <c r="J82" s="1"/>
      <c r="K82" s="1">
        <v>364</v>
      </c>
      <c r="L82" s="1">
        <f t="shared" si="17"/>
        <v>-12</v>
      </c>
      <c r="M82" s="1"/>
      <c r="N82" s="1"/>
      <c r="O82" s="1">
        <v>176</v>
      </c>
      <c r="P82" s="1">
        <f t="shared" si="18"/>
        <v>70.400000000000006</v>
      </c>
      <c r="Q82" s="5">
        <f>14*P82-O82-F82</f>
        <v>678.60000000000014</v>
      </c>
      <c r="R82" s="5">
        <f t="shared" si="19"/>
        <v>679</v>
      </c>
      <c r="S82" s="5"/>
      <c r="T82" s="23"/>
      <c r="U82" s="1">
        <f t="shared" si="15"/>
        <v>14</v>
      </c>
      <c r="V82" s="1">
        <f t="shared" si="16"/>
        <v>4.3607954545454541</v>
      </c>
      <c r="W82" s="1">
        <v>52.2</v>
      </c>
      <c r="X82" s="1">
        <v>56.6</v>
      </c>
      <c r="Y82" s="1">
        <v>78.8</v>
      </c>
      <c r="Z82" s="1">
        <v>61.2</v>
      </c>
      <c r="AA82" s="1">
        <v>54.2</v>
      </c>
      <c r="AB82" s="1">
        <v>71.599999999999994</v>
      </c>
      <c r="AC82" s="1">
        <v>74.599999999999994</v>
      </c>
      <c r="AD82" s="1">
        <v>56</v>
      </c>
      <c r="AE82" s="1"/>
      <c r="AF82" s="1">
        <f t="shared" si="20"/>
        <v>190.12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125</v>
      </c>
      <c r="B83" s="1" t="s">
        <v>32</v>
      </c>
      <c r="C83" s="1">
        <v>159</v>
      </c>
      <c r="D83" s="1">
        <v>80</v>
      </c>
      <c r="E83" s="1">
        <v>119</v>
      </c>
      <c r="F83" s="1">
        <v>91</v>
      </c>
      <c r="G83" s="7">
        <v>0.28000000000000003</v>
      </c>
      <c r="H83" s="1">
        <v>45</v>
      </c>
      <c r="I83" s="1" t="s">
        <v>33</v>
      </c>
      <c r="J83" s="1"/>
      <c r="K83" s="1">
        <v>127</v>
      </c>
      <c r="L83" s="1">
        <f t="shared" si="17"/>
        <v>-8</v>
      </c>
      <c r="M83" s="1"/>
      <c r="N83" s="1"/>
      <c r="O83" s="1">
        <v>56</v>
      </c>
      <c r="P83" s="1">
        <f t="shared" si="18"/>
        <v>23.8</v>
      </c>
      <c r="Q83" s="5">
        <f t="shared" si="21"/>
        <v>210</v>
      </c>
      <c r="R83" s="5">
        <f t="shared" si="19"/>
        <v>210</v>
      </c>
      <c r="S83" s="5"/>
      <c r="T83" s="23"/>
      <c r="U83" s="1">
        <f t="shared" si="15"/>
        <v>15</v>
      </c>
      <c r="V83" s="1">
        <f t="shared" si="16"/>
        <v>6.1764705882352935</v>
      </c>
      <c r="W83" s="1">
        <v>17.600000000000001</v>
      </c>
      <c r="X83" s="1">
        <v>12.2</v>
      </c>
      <c r="Y83" s="1">
        <v>26.4</v>
      </c>
      <c r="Z83" s="1">
        <v>20</v>
      </c>
      <c r="AA83" s="1">
        <v>16.399999999999999</v>
      </c>
      <c r="AB83" s="1">
        <v>18.600000000000001</v>
      </c>
      <c r="AC83" s="1">
        <v>15.8</v>
      </c>
      <c r="AD83" s="1">
        <v>14.4</v>
      </c>
      <c r="AE83" s="1"/>
      <c r="AF83" s="1">
        <f t="shared" si="20"/>
        <v>58.800000000000004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126</v>
      </c>
      <c r="B84" s="1" t="s">
        <v>32</v>
      </c>
      <c r="C84" s="1">
        <v>265</v>
      </c>
      <c r="D84" s="1">
        <v>215</v>
      </c>
      <c r="E84" s="1">
        <v>240</v>
      </c>
      <c r="F84" s="1">
        <v>77</v>
      </c>
      <c r="G84" s="7">
        <v>0.28000000000000003</v>
      </c>
      <c r="H84" s="1">
        <v>45</v>
      </c>
      <c r="I84" s="1" t="s">
        <v>33</v>
      </c>
      <c r="J84" s="1"/>
      <c r="K84" s="1">
        <v>260</v>
      </c>
      <c r="L84" s="1">
        <f t="shared" si="17"/>
        <v>-20</v>
      </c>
      <c r="M84" s="1"/>
      <c r="N84" s="1"/>
      <c r="O84" s="1">
        <v>59</v>
      </c>
      <c r="P84" s="1">
        <f t="shared" si="18"/>
        <v>48</v>
      </c>
      <c r="Q84" s="5">
        <f>13*P84-O84-F84</f>
        <v>488</v>
      </c>
      <c r="R84" s="5">
        <f t="shared" si="19"/>
        <v>488</v>
      </c>
      <c r="S84" s="5"/>
      <c r="T84" s="23"/>
      <c r="U84" s="1">
        <f t="shared" si="15"/>
        <v>13</v>
      </c>
      <c r="V84" s="1">
        <f t="shared" si="16"/>
        <v>2.8333333333333335</v>
      </c>
      <c r="W84" s="1">
        <v>34</v>
      </c>
      <c r="X84" s="1">
        <v>38.6</v>
      </c>
      <c r="Y84" s="1">
        <v>62.4</v>
      </c>
      <c r="Z84" s="1">
        <v>50.2</v>
      </c>
      <c r="AA84" s="1">
        <v>32.6</v>
      </c>
      <c r="AB84" s="1">
        <v>51.4</v>
      </c>
      <c r="AC84" s="1">
        <v>46.4</v>
      </c>
      <c r="AD84" s="1">
        <v>28.4</v>
      </c>
      <c r="AE84" s="1"/>
      <c r="AF84" s="1">
        <f t="shared" si="20"/>
        <v>136.64000000000001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127</v>
      </c>
      <c r="B85" s="1" t="s">
        <v>32</v>
      </c>
      <c r="C85" s="1">
        <v>431</v>
      </c>
      <c r="D85" s="1">
        <v>176</v>
      </c>
      <c r="E85" s="1">
        <v>278</v>
      </c>
      <c r="F85" s="1">
        <v>280</v>
      </c>
      <c r="G85" s="7">
        <v>0.4</v>
      </c>
      <c r="H85" s="1">
        <v>50</v>
      </c>
      <c r="I85" s="1" t="s">
        <v>33</v>
      </c>
      <c r="J85" s="1"/>
      <c r="K85" s="1">
        <v>278</v>
      </c>
      <c r="L85" s="1">
        <f t="shared" si="17"/>
        <v>0</v>
      </c>
      <c r="M85" s="1"/>
      <c r="N85" s="1"/>
      <c r="O85" s="1">
        <v>0</v>
      </c>
      <c r="P85" s="1">
        <f t="shared" si="18"/>
        <v>55.6</v>
      </c>
      <c r="Q85" s="5">
        <f t="shared" si="21"/>
        <v>554</v>
      </c>
      <c r="R85" s="5">
        <f t="shared" si="19"/>
        <v>554</v>
      </c>
      <c r="S85" s="5"/>
      <c r="T85" s="23"/>
      <c r="U85" s="1">
        <f t="shared" si="15"/>
        <v>15</v>
      </c>
      <c r="V85" s="1">
        <f t="shared" si="16"/>
        <v>5.0359712230215825</v>
      </c>
      <c r="W85" s="1">
        <v>34.6</v>
      </c>
      <c r="X85" s="1">
        <v>26.4</v>
      </c>
      <c r="Y85" s="1">
        <v>63</v>
      </c>
      <c r="Z85" s="1">
        <v>61.8</v>
      </c>
      <c r="AA85" s="1">
        <v>33.6</v>
      </c>
      <c r="AB85" s="1">
        <v>27.2</v>
      </c>
      <c r="AC85" s="1">
        <v>59.8</v>
      </c>
      <c r="AD85" s="1">
        <v>26.4</v>
      </c>
      <c r="AE85" s="1"/>
      <c r="AF85" s="1">
        <f t="shared" si="20"/>
        <v>221.60000000000002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1" t="s">
        <v>128</v>
      </c>
      <c r="B86" s="11" t="s">
        <v>35</v>
      </c>
      <c r="C86" s="11">
        <v>22.777000000000001</v>
      </c>
      <c r="D86" s="11">
        <v>50.469000000000001</v>
      </c>
      <c r="E86" s="11">
        <v>60.722999999999999</v>
      </c>
      <c r="F86" s="11">
        <v>4.6710000000000003</v>
      </c>
      <c r="G86" s="12">
        <v>0</v>
      </c>
      <c r="H86" s="11">
        <v>50</v>
      </c>
      <c r="I86" s="11" t="s">
        <v>49</v>
      </c>
      <c r="J86" s="11"/>
      <c r="K86" s="11">
        <v>56.8</v>
      </c>
      <c r="L86" s="11">
        <f t="shared" si="17"/>
        <v>3.9230000000000018</v>
      </c>
      <c r="M86" s="11"/>
      <c r="N86" s="11"/>
      <c r="O86" s="11">
        <v>81</v>
      </c>
      <c r="P86" s="11">
        <f t="shared" si="18"/>
        <v>12.144600000000001</v>
      </c>
      <c r="Q86" s="13"/>
      <c r="R86" s="5">
        <f t="shared" si="19"/>
        <v>0</v>
      </c>
      <c r="S86" s="5"/>
      <c r="T86" s="23"/>
      <c r="U86" s="11">
        <f t="shared" si="15"/>
        <v>7.0542463317029798</v>
      </c>
      <c r="V86" s="11">
        <f t="shared" si="16"/>
        <v>7.0542463317029798</v>
      </c>
      <c r="W86" s="11">
        <v>10.204599999999999</v>
      </c>
      <c r="X86" s="11">
        <v>5.8887999999999998</v>
      </c>
      <c r="Y86" s="11">
        <v>9.9792000000000005</v>
      </c>
      <c r="Z86" s="11">
        <v>2.3894000000000002</v>
      </c>
      <c r="AA86" s="11">
        <v>11.3804</v>
      </c>
      <c r="AB86" s="11">
        <v>10.7052</v>
      </c>
      <c r="AC86" s="11">
        <v>6.6440000000000001</v>
      </c>
      <c r="AD86" s="11">
        <v>6.9550000000000001</v>
      </c>
      <c r="AE86" s="11"/>
      <c r="AF86" s="1">
        <f t="shared" si="20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1" t="s">
        <v>129</v>
      </c>
      <c r="B87" s="11" t="s">
        <v>32</v>
      </c>
      <c r="C87" s="11">
        <v>61</v>
      </c>
      <c r="D87" s="11">
        <v>5</v>
      </c>
      <c r="E87" s="11">
        <v>43</v>
      </c>
      <c r="F87" s="11">
        <v>19</v>
      </c>
      <c r="G87" s="12">
        <v>0</v>
      </c>
      <c r="H87" s="11">
        <v>50</v>
      </c>
      <c r="I87" s="11" t="s">
        <v>49</v>
      </c>
      <c r="J87" s="11"/>
      <c r="K87" s="11">
        <v>39</v>
      </c>
      <c r="L87" s="11">
        <f t="shared" si="17"/>
        <v>4</v>
      </c>
      <c r="M87" s="11"/>
      <c r="N87" s="11"/>
      <c r="O87" s="11">
        <v>0</v>
      </c>
      <c r="P87" s="11">
        <f t="shared" si="18"/>
        <v>8.6</v>
      </c>
      <c r="Q87" s="13"/>
      <c r="R87" s="5">
        <f t="shared" si="19"/>
        <v>0</v>
      </c>
      <c r="S87" s="5"/>
      <c r="T87" s="23"/>
      <c r="U87" s="11">
        <f t="shared" si="15"/>
        <v>2.2093023255813953</v>
      </c>
      <c r="V87" s="11">
        <f t="shared" si="16"/>
        <v>2.2093023255813953</v>
      </c>
      <c r="W87" s="11">
        <v>3.2</v>
      </c>
      <c r="X87" s="11">
        <v>5.4</v>
      </c>
      <c r="Y87" s="11">
        <v>6.6</v>
      </c>
      <c r="Z87" s="11">
        <v>2.8</v>
      </c>
      <c r="AA87" s="11">
        <v>4</v>
      </c>
      <c r="AB87" s="11">
        <v>7.6</v>
      </c>
      <c r="AC87" s="11">
        <v>1.8</v>
      </c>
      <c r="AD87" s="11">
        <v>11</v>
      </c>
      <c r="AE87" s="11" t="s">
        <v>41</v>
      </c>
      <c r="AF87" s="1">
        <f t="shared" si="20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130</v>
      </c>
      <c r="B88" s="1" t="s">
        <v>32</v>
      </c>
      <c r="C88" s="1">
        <v>271</v>
      </c>
      <c r="D88" s="1">
        <v>15</v>
      </c>
      <c r="E88" s="1">
        <v>7</v>
      </c>
      <c r="F88" s="1">
        <v>2</v>
      </c>
      <c r="G88" s="7">
        <v>0.33</v>
      </c>
      <c r="H88" s="1">
        <v>30</v>
      </c>
      <c r="I88" s="1" t="s">
        <v>33</v>
      </c>
      <c r="J88" s="1"/>
      <c r="K88" s="1">
        <v>26</v>
      </c>
      <c r="L88" s="1">
        <f t="shared" si="17"/>
        <v>-19</v>
      </c>
      <c r="M88" s="1"/>
      <c r="N88" s="1"/>
      <c r="O88" s="1">
        <v>0</v>
      </c>
      <c r="P88" s="1">
        <f t="shared" si="18"/>
        <v>1.4</v>
      </c>
      <c r="Q88" s="5">
        <f>11*P88-O88-F88</f>
        <v>13.399999999999999</v>
      </c>
      <c r="R88" s="5">
        <f t="shared" si="19"/>
        <v>13</v>
      </c>
      <c r="S88" s="5"/>
      <c r="T88" s="23"/>
      <c r="U88" s="1">
        <f t="shared" si="15"/>
        <v>11</v>
      </c>
      <c r="V88" s="1">
        <f t="shared" si="16"/>
        <v>1.4285714285714286</v>
      </c>
      <c r="W88" s="1">
        <v>6.6</v>
      </c>
      <c r="X88" s="1">
        <v>21.2</v>
      </c>
      <c r="Y88" s="1">
        <v>6.8</v>
      </c>
      <c r="Z88" s="1">
        <v>-1.2</v>
      </c>
      <c r="AA88" s="1">
        <v>22.2</v>
      </c>
      <c r="AB88" s="1">
        <v>1</v>
      </c>
      <c r="AC88" s="1">
        <v>-0.2</v>
      </c>
      <c r="AD88" s="1">
        <v>5</v>
      </c>
      <c r="AE88" s="1"/>
      <c r="AF88" s="1">
        <f t="shared" si="20"/>
        <v>4.29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1" t="s">
        <v>131</v>
      </c>
      <c r="B89" s="11" t="s">
        <v>32</v>
      </c>
      <c r="C89" s="11">
        <v>89</v>
      </c>
      <c r="D89" s="11">
        <v>12</v>
      </c>
      <c r="E89" s="18">
        <v>36</v>
      </c>
      <c r="F89" s="18">
        <v>63</v>
      </c>
      <c r="G89" s="12">
        <v>0</v>
      </c>
      <c r="H89" s="11">
        <v>60</v>
      </c>
      <c r="I89" s="11" t="s">
        <v>49</v>
      </c>
      <c r="J89" s="11" t="s">
        <v>132</v>
      </c>
      <c r="K89" s="11">
        <v>34</v>
      </c>
      <c r="L89" s="11">
        <f t="shared" si="17"/>
        <v>2</v>
      </c>
      <c r="M89" s="11"/>
      <c r="N89" s="11"/>
      <c r="O89" s="11">
        <v>0</v>
      </c>
      <c r="P89" s="11">
        <f t="shared" si="18"/>
        <v>7.2</v>
      </c>
      <c r="Q89" s="13"/>
      <c r="R89" s="5">
        <f t="shared" si="19"/>
        <v>0</v>
      </c>
      <c r="S89" s="5"/>
      <c r="T89" s="23"/>
      <c r="U89" s="11">
        <f t="shared" si="15"/>
        <v>8.75</v>
      </c>
      <c r="V89" s="11">
        <f t="shared" si="16"/>
        <v>8.75</v>
      </c>
      <c r="W89" s="11">
        <v>6.4</v>
      </c>
      <c r="X89" s="11">
        <v>9.1999999999999993</v>
      </c>
      <c r="Y89" s="11">
        <v>4.2</v>
      </c>
      <c r="Z89" s="11">
        <v>6.2</v>
      </c>
      <c r="AA89" s="11">
        <v>10.6</v>
      </c>
      <c r="AB89" s="11">
        <v>5.8</v>
      </c>
      <c r="AC89" s="11">
        <v>7.2</v>
      </c>
      <c r="AD89" s="11">
        <v>7.8</v>
      </c>
      <c r="AE89" s="14" t="s">
        <v>133</v>
      </c>
      <c r="AF89" s="1">
        <f t="shared" si="20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134</v>
      </c>
      <c r="B90" s="1" t="s">
        <v>35</v>
      </c>
      <c r="C90" s="1"/>
      <c r="D90" s="1">
        <v>49.357999999999997</v>
      </c>
      <c r="E90" s="1"/>
      <c r="F90" s="1">
        <v>49.357999999999997</v>
      </c>
      <c r="G90" s="7">
        <v>1</v>
      </c>
      <c r="H90" s="1"/>
      <c r="I90" s="1" t="s">
        <v>33</v>
      </c>
      <c r="J90" s="1"/>
      <c r="K90" s="1"/>
      <c r="L90" s="1">
        <f t="shared" si="17"/>
        <v>0</v>
      </c>
      <c r="M90" s="1"/>
      <c r="N90" s="1"/>
      <c r="O90" s="1">
        <v>0</v>
      </c>
      <c r="P90" s="1">
        <f t="shared" si="18"/>
        <v>0</v>
      </c>
      <c r="Q90" s="5"/>
      <c r="R90" s="5">
        <f t="shared" si="19"/>
        <v>0</v>
      </c>
      <c r="S90" s="5"/>
      <c r="T90" s="23"/>
      <c r="U90" s="1" t="e">
        <f t="shared" si="15"/>
        <v>#DIV/0!</v>
      </c>
      <c r="V90" s="1" t="e">
        <f t="shared" si="16"/>
        <v>#DIV/0!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 t="s">
        <v>135</v>
      </c>
      <c r="AF90" s="1">
        <f t="shared" si="20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136</v>
      </c>
      <c r="B91" s="1" t="s">
        <v>32</v>
      </c>
      <c r="C91" s="1">
        <v>203</v>
      </c>
      <c r="D91" s="1">
        <v>86</v>
      </c>
      <c r="E91" s="1">
        <v>162</v>
      </c>
      <c r="F91" s="1">
        <v>105</v>
      </c>
      <c r="G91" s="7">
        <v>0.28000000000000003</v>
      </c>
      <c r="H91" s="1">
        <v>50</v>
      </c>
      <c r="I91" s="1" t="s">
        <v>33</v>
      </c>
      <c r="J91" s="1"/>
      <c r="K91" s="1">
        <v>157</v>
      </c>
      <c r="L91" s="1">
        <f t="shared" si="17"/>
        <v>5</v>
      </c>
      <c r="M91" s="1"/>
      <c r="N91" s="1"/>
      <c r="O91" s="1">
        <v>0</v>
      </c>
      <c r="P91" s="1">
        <f t="shared" si="18"/>
        <v>32.4</v>
      </c>
      <c r="Q91" s="5">
        <f>13*P91-O91-F91</f>
        <v>316.2</v>
      </c>
      <c r="R91" s="5">
        <f t="shared" si="19"/>
        <v>316</v>
      </c>
      <c r="S91" s="5"/>
      <c r="T91" s="23"/>
      <c r="U91" s="1">
        <f t="shared" si="15"/>
        <v>13</v>
      </c>
      <c r="V91" s="1">
        <f t="shared" si="16"/>
        <v>3.2407407407407409</v>
      </c>
      <c r="W91" s="1">
        <v>15.4</v>
      </c>
      <c r="X91" s="1">
        <v>20.6</v>
      </c>
      <c r="Y91" s="1">
        <v>31</v>
      </c>
      <c r="Z91" s="1">
        <v>5.4</v>
      </c>
      <c r="AA91" s="1">
        <v>26.6</v>
      </c>
      <c r="AB91" s="1">
        <v>25.8</v>
      </c>
      <c r="AC91" s="1">
        <v>19.600000000000001</v>
      </c>
      <c r="AD91" s="1">
        <v>2.4</v>
      </c>
      <c r="AE91" s="1"/>
      <c r="AF91" s="1">
        <f t="shared" si="20"/>
        <v>88.48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1" t="s">
        <v>137</v>
      </c>
      <c r="B92" s="11" t="s">
        <v>32</v>
      </c>
      <c r="C92" s="11">
        <v>56</v>
      </c>
      <c r="D92" s="11">
        <v>65</v>
      </c>
      <c r="E92" s="11">
        <v>44</v>
      </c>
      <c r="F92" s="11">
        <v>14</v>
      </c>
      <c r="G92" s="12">
        <v>0</v>
      </c>
      <c r="H92" s="11">
        <v>50</v>
      </c>
      <c r="I92" s="11" t="s">
        <v>49</v>
      </c>
      <c r="J92" s="11"/>
      <c r="K92" s="11">
        <v>44</v>
      </c>
      <c r="L92" s="11">
        <f t="shared" si="17"/>
        <v>0</v>
      </c>
      <c r="M92" s="11"/>
      <c r="N92" s="11"/>
      <c r="O92" s="11">
        <v>0</v>
      </c>
      <c r="P92" s="11">
        <f t="shared" si="18"/>
        <v>8.8000000000000007</v>
      </c>
      <c r="Q92" s="13"/>
      <c r="R92" s="5">
        <f t="shared" si="19"/>
        <v>0</v>
      </c>
      <c r="S92" s="5"/>
      <c r="T92" s="23"/>
      <c r="U92" s="11">
        <f t="shared" si="15"/>
        <v>1.5909090909090908</v>
      </c>
      <c r="V92" s="11">
        <f t="shared" si="16"/>
        <v>1.5909090909090908</v>
      </c>
      <c r="W92" s="11">
        <v>8</v>
      </c>
      <c r="X92" s="11">
        <v>11</v>
      </c>
      <c r="Y92" s="11">
        <v>1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/>
      <c r="AF92" s="1">
        <f t="shared" si="20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1" t="s">
        <v>138</v>
      </c>
      <c r="B93" s="11" t="s">
        <v>32</v>
      </c>
      <c r="C93" s="11">
        <v>66</v>
      </c>
      <c r="D93" s="11">
        <v>33</v>
      </c>
      <c r="E93" s="11">
        <v>14</v>
      </c>
      <c r="F93" s="11">
        <v>84</v>
      </c>
      <c r="G93" s="12">
        <v>0</v>
      </c>
      <c r="H93" s="11">
        <v>60</v>
      </c>
      <c r="I93" s="11" t="s">
        <v>49</v>
      </c>
      <c r="J93" s="11"/>
      <c r="K93" s="11">
        <v>15</v>
      </c>
      <c r="L93" s="11">
        <f t="shared" si="17"/>
        <v>-1</v>
      </c>
      <c r="M93" s="11"/>
      <c r="N93" s="11"/>
      <c r="O93" s="11">
        <v>0</v>
      </c>
      <c r="P93" s="11">
        <f t="shared" si="18"/>
        <v>2.8</v>
      </c>
      <c r="Q93" s="13"/>
      <c r="R93" s="5">
        <f t="shared" si="19"/>
        <v>0</v>
      </c>
      <c r="S93" s="5"/>
      <c r="T93" s="23"/>
      <c r="U93" s="11">
        <f t="shared" si="15"/>
        <v>30.000000000000004</v>
      </c>
      <c r="V93" s="11">
        <f t="shared" si="16"/>
        <v>30.000000000000004</v>
      </c>
      <c r="W93" s="11">
        <v>3.6</v>
      </c>
      <c r="X93" s="11">
        <v>8</v>
      </c>
      <c r="Y93" s="11">
        <v>0.8</v>
      </c>
      <c r="Z93" s="11">
        <v>2.6</v>
      </c>
      <c r="AA93" s="11">
        <v>8</v>
      </c>
      <c r="AB93" s="11">
        <v>0.4</v>
      </c>
      <c r="AC93" s="11">
        <v>0</v>
      </c>
      <c r="AD93" s="11">
        <v>3</v>
      </c>
      <c r="AE93" s="17" t="s">
        <v>56</v>
      </c>
      <c r="AF93" s="1">
        <f t="shared" si="20"/>
        <v>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139</v>
      </c>
      <c r="B94" s="1" t="s">
        <v>32</v>
      </c>
      <c r="C94" s="1">
        <v>279</v>
      </c>
      <c r="D94" s="1">
        <v>3</v>
      </c>
      <c r="E94" s="1">
        <v>142</v>
      </c>
      <c r="F94" s="1">
        <v>136</v>
      </c>
      <c r="G94" s="7">
        <v>0.3</v>
      </c>
      <c r="H94" s="1">
        <v>45</v>
      </c>
      <c r="I94" s="1" t="s">
        <v>33</v>
      </c>
      <c r="J94" s="1"/>
      <c r="K94" s="1">
        <v>138</v>
      </c>
      <c r="L94" s="1">
        <f t="shared" si="17"/>
        <v>4</v>
      </c>
      <c r="M94" s="1"/>
      <c r="N94" s="1"/>
      <c r="O94" s="1">
        <v>0</v>
      </c>
      <c r="P94" s="1">
        <f t="shared" si="18"/>
        <v>28.4</v>
      </c>
      <c r="Q94" s="5">
        <f>12*P94-O94-F94</f>
        <v>204.79999999999995</v>
      </c>
      <c r="R94" s="5">
        <f t="shared" si="19"/>
        <v>205</v>
      </c>
      <c r="S94" s="5"/>
      <c r="T94" s="23"/>
      <c r="U94" s="1">
        <f t="shared" si="15"/>
        <v>11.999999999999998</v>
      </c>
      <c r="V94" s="1">
        <f t="shared" si="16"/>
        <v>4.788732394366197</v>
      </c>
      <c r="W94" s="1">
        <v>9</v>
      </c>
      <c r="X94" s="1">
        <v>1.8</v>
      </c>
      <c r="Y94" s="1">
        <v>0</v>
      </c>
      <c r="Z94" s="1">
        <v>20.399999999999999</v>
      </c>
      <c r="AA94" s="1">
        <v>15.6</v>
      </c>
      <c r="AB94" s="1">
        <v>10.4</v>
      </c>
      <c r="AC94" s="1">
        <v>9.4</v>
      </c>
      <c r="AD94" s="1">
        <v>3.2</v>
      </c>
      <c r="AE94" s="1" t="s">
        <v>163</v>
      </c>
      <c r="AF94" s="1">
        <f t="shared" si="20"/>
        <v>61.5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140</v>
      </c>
      <c r="B95" s="1" t="s">
        <v>32</v>
      </c>
      <c r="C95" s="1">
        <v>103</v>
      </c>
      <c r="D95" s="1">
        <v>397</v>
      </c>
      <c r="E95" s="1">
        <v>191</v>
      </c>
      <c r="F95" s="1">
        <v>273</v>
      </c>
      <c r="G95" s="7">
        <v>0.12</v>
      </c>
      <c r="H95" s="1">
        <v>60</v>
      </c>
      <c r="I95" s="1" t="s">
        <v>33</v>
      </c>
      <c r="J95" s="1"/>
      <c r="K95" s="1">
        <v>194</v>
      </c>
      <c r="L95" s="1">
        <f t="shared" si="17"/>
        <v>-3</v>
      </c>
      <c r="M95" s="1"/>
      <c r="N95" s="1"/>
      <c r="O95" s="1">
        <v>183</v>
      </c>
      <c r="P95" s="1">
        <f t="shared" si="18"/>
        <v>38.200000000000003</v>
      </c>
      <c r="Q95" s="5">
        <f>15*P95-O95-F95</f>
        <v>117</v>
      </c>
      <c r="R95" s="5">
        <f t="shared" si="19"/>
        <v>117</v>
      </c>
      <c r="S95" s="5"/>
      <c r="T95" s="23"/>
      <c r="U95" s="1">
        <f t="shared" si="15"/>
        <v>14.999999999999998</v>
      </c>
      <c r="V95" s="1">
        <f t="shared" si="16"/>
        <v>11.93717277486911</v>
      </c>
      <c r="W95" s="1">
        <v>45.6</v>
      </c>
      <c r="X95" s="1">
        <v>49.6</v>
      </c>
      <c r="Y95" s="1">
        <v>48.2</v>
      </c>
      <c r="Z95" s="1">
        <v>46</v>
      </c>
      <c r="AA95" s="1">
        <v>50</v>
      </c>
      <c r="AB95" s="1">
        <v>48</v>
      </c>
      <c r="AC95" s="1">
        <v>44.6</v>
      </c>
      <c r="AD95" s="1">
        <v>16.8</v>
      </c>
      <c r="AE95" s="1"/>
      <c r="AF95" s="1">
        <f t="shared" si="20"/>
        <v>14.04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141</v>
      </c>
      <c r="B96" s="1" t="s">
        <v>32</v>
      </c>
      <c r="C96" s="1">
        <v>185</v>
      </c>
      <c r="D96" s="1">
        <v>7</v>
      </c>
      <c r="E96" s="1">
        <v>87</v>
      </c>
      <c r="F96" s="1">
        <v>34</v>
      </c>
      <c r="G96" s="7">
        <v>0.33</v>
      </c>
      <c r="H96" s="1">
        <v>30</v>
      </c>
      <c r="I96" s="1" t="s">
        <v>33</v>
      </c>
      <c r="J96" s="1"/>
      <c r="K96" s="1">
        <v>86</v>
      </c>
      <c r="L96" s="1">
        <f t="shared" si="17"/>
        <v>1</v>
      </c>
      <c r="M96" s="1"/>
      <c r="N96" s="1"/>
      <c r="O96" s="1">
        <v>22</v>
      </c>
      <c r="P96" s="1">
        <f t="shared" si="18"/>
        <v>17.399999999999999</v>
      </c>
      <c r="Q96" s="5">
        <f>13*P96-O96-F96</f>
        <v>170.2</v>
      </c>
      <c r="R96" s="5">
        <f t="shared" si="19"/>
        <v>170</v>
      </c>
      <c r="S96" s="5"/>
      <c r="T96" s="23"/>
      <c r="U96" s="1">
        <f t="shared" si="15"/>
        <v>13</v>
      </c>
      <c r="V96" s="1">
        <f t="shared" si="16"/>
        <v>3.2183908045977012</v>
      </c>
      <c r="W96" s="1">
        <v>13.8</v>
      </c>
      <c r="X96" s="1">
        <v>12.2</v>
      </c>
      <c r="Y96" s="1">
        <v>16.600000000000001</v>
      </c>
      <c r="Z96" s="1">
        <v>23.6</v>
      </c>
      <c r="AA96" s="1">
        <v>6</v>
      </c>
      <c r="AB96" s="1">
        <v>24.6</v>
      </c>
      <c r="AC96" s="1">
        <v>25</v>
      </c>
      <c r="AD96" s="1">
        <v>7.4</v>
      </c>
      <c r="AE96" s="1"/>
      <c r="AF96" s="1">
        <f t="shared" si="20"/>
        <v>56.1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 t="s">
        <v>142</v>
      </c>
      <c r="B97" s="1" t="s">
        <v>32</v>
      </c>
      <c r="C97" s="1"/>
      <c r="D97" s="1">
        <v>160</v>
      </c>
      <c r="E97" s="1">
        <v>16</v>
      </c>
      <c r="F97" s="1">
        <v>141</v>
      </c>
      <c r="G97" s="7">
        <v>0.28000000000000003</v>
      </c>
      <c r="H97" s="1">
        <v>45</v>
      </c>
      <c r="I97" s="1" t="s">
        <v>33</v>
      </c>
      <c r="J97" s="1"/>
      <c r="K97" s="1">
        <v>16</v>
      </c>
      <c r="L97" s="1">
        <f t="shared" si="17"/>
        <v>0</v>
      </c>
      <c r="M97" s="1"/>
      <c r="N97" s="1"/>
      <c r="O97" s="1">
        <v>0</v>
      </c>
      <c r="P97" s="1">
        <f t="shared" si="18"/>
        <v>3.2</v>
      </c>
      <c r="Q97" s="5"/>
      <c r="R97" s="5">
        <f t="shared" si="19"/>
        <v>0</v>
      </c>
      <c r="S97" s="5"/>
      <c r="T97" s="23"/>
      <c r="U97" s="1">
        <f t="shared" si="15"/>
        <v>44.0625</v>
      </c>
      <c r="V97" s="1">
        <f t="shared" si="16"/>
        <v>44.0625</v>
      </c>
      <c r="W97" s="1">
        <v>1.8</v>
      </c>
      <c r="X97" s="1">
        <v>4</v>
      </c>
      <c r="Y97" s="1">
        <v>34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/>
      <c r="AF97" s="1">
        <f t="shared" si="20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143</v>
      </c>
      <c r="B98" s="1" t="s">
        <v>32</v>
      </c>
      <c r="C98" s="1"/>
      <c r="D98" s="1">
        <v>42</v>
      </c>
      <c r="E98" s="1">
        <v>20</v>
      </c>
      <c r="F98" s="1">
        <v>18</v>
      </c>
      <c r="G98" s="7">
        <v>0.4</v>
      </c>
      <c r="H98" s="1">
        <v>60</v>
      </c>
      <c r="I98" s="1" t="s">
        <v>33</v>
      </c>
      <c r="J98" s="1"/>
      <c r="K98" s="1">
        <v>16</v>
      </c>
      <c r="L98" s="1">
        <f t="shared" si="17"/>
        <v>4</v>
      </c>
      <c r="M98" s="1"/>
      <c r="N98" s="1"/>
      <c r="O98" s="1">
        <v>0</v>
      </c>
      <c r="P98" s="1">
        <f t="shared" si="18"/>
        <v>4</v>
      </c>
      <c r="Q98" s="5">
        <f>15*P98-O98-F98</f>
        <v>42</v>
      </c>
      <c r="R98" s="5">
        <f t="shared" si="19"/>
        <v>42</v>
      </c>
      <c r="S98" s="5"/>
      <c r="T98" s="23"/>
      <c r="U98" s="1">
        <f t="shared" si="15"/>
        <v>15</v>
      </c>
      <c r="V98" s="1">
        <f t="shared" si="16"/>
        <v>4.5</v>
      </c>
      <c r="W98" s="1">
        <v>0</v>
      </c>
      <c r="X98" s="1">
        <v>0</v>
      </c>
      <c r="Y98" s="1">
        <v>0</v>
      </c>
      <c r="Z98" s="1">
        <v>0</v>
      </c>
      <c r="AA98" s="1">
        <v>7.2</v>
      </c>
      <c r="AB98" s="1">
        <v>10.4</v>
      </c>
      <c r="AC98" s="1">
        <v>5.6</v>
      </c>
      <c r="AD98" s="1">
        <v>7</v>
      </c>
      <c r="AE98" s="1"/>
      <c r="AF98" s="1">
        <f t="shared" si="20"/>
        <v>16.8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144</v>
      </c>
      <c r="B99" s="1" t="s">
        <v>32</v>
      </c>
      <c r="C99" s="1">
        <v>166</v>
      </c>
      <c r="D99" s="1"/>
      <c r="E99" s="1">
        <v>93</v>
      </c>
      <c r="F99" s="1">
        <v>65</v>
      </c>
      <c r="G99" s="7">
        <v>0.35</v>
      </c>
      <c r="H99" s="1">
        <v>60</v>
      </c>
      <c r="I99" s="1" t="s">
        <v>33</v>
      </c>
      <c r="J99" s="1"/>
      <c r="K99" s="1">
        <v>87</v>
      </c>
      <c r="L99" s="1">
        <f t="shared" si="17"/>
        <v>6</v>
      </c>
      <c r="M99" s="1"/>
      <c r="N99" s="1"/>
      <c r="O99" s="1">
        <v>11</v>
      </c>
      <c r="P99" s="1">
        <f t="shared" si="18"/>
        <v>18.600000000000001</v>
      </c>
      <c r="Q99" s="5">
        <f>14*P99-O99-F99</f>
        <v>184.40000000000003</v>
      </c>
      <c r="R99" s="5">
        <f t="shared" si="19"/>
        <v>184</v>
      </c>
      <c r="S99" s="5"/>
      <c r="T99" s="23"/>
      <c r="U99" s="1">
        <f t="shared" si="15"/>
        <v>14</v>
      </c>
      <c r="V99" s="1">
        <f t="shared" si="16"/>
        <v>4.086021505376344</v>
      </c>
      <c r="W99" s="1">
        <v>11.8</v>
      </c>
      <c r="X99" s="1">
        <v>9.4</v>
      </c>
      <c r="Y99" s="1">
        <v>3.4</v>
      </c>
      <c r="Z99" s="1">
        <v>2</v>
      </c>
      <c r="AA99" s="1">
        <v>11.4</v>
      </c>
      <c r="AB99" s="1">
        <v>9.1999999999999993</v>
      </c>
      <c r="AC99" s="1">
        <v>6.8</v>
      </c>
      <c r="AD99" s="1">
        <v>5.4</v>
      </c>
      <c r="AE99" s="1"/>
      <c r="AF99" s="1">
        <f t="shared" si="20"/>
        <v>64.399999999999991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 t="s">
        <v>145</v>
      </c>
      <c r="B100" s="1" t="s">
        <v>35</v>
      </c>
      <c r="C100" s="1"/>
      <c r="D100" s="1">
        <v>20.007000000000001</v>
      </c>
      <c r="E100" s="1"/>
      <c r="F100" s="1">
        <v>14.999000000000001</v>
      </c>
      <c r="G100" s="7">
        <v>1</v>
      </c>
      <c r="H100" s="1"/>
      <c r="I100" s="1" t="s">
        <v>33</v>
      </c>
      <c r="J100" s="1"/>
      <c r="K100" s="1">
        <v>0.8</v>
      </c>
      <c r="L100" s="1">
        <f t="shared" si="17"/>
        <v>-0.8</v>
      </c>
      <c r="M100" s="1"/>
      <c r="N100" s="1"/>
      <c r="O100" s="1"/>
      <c r="P100" s="1">
        <f t="shared" si="18"/>
        <v>0</v>
      </c>
      <c r="Q100" s="5"/>
      <c r="R100" s="5">
        <f t="shared" si="19"/>
        <v>0</v>
      </c>
      <c r="S100" s="5"/>
      <c r="T100" s="23"/>
      <c r="U100" s="1" t="e">
        <f t="shared" ref="U100:U111" si="22">(F100+O100+Q100)/P100</f>
        <v>#DIV/0!</v>
      </c>
      <c r="V100" s="1" t="e">
        <f t="shared" ref="V100:V111" si="23">(F100+O100)/P100</f>
        <v>#DIV/0!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/>
      <c r="AF100" s="1">
        <f t="shared" si="20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146</v>
      </c>
      <c r="B101" s="1" t="s">
        <v>32</v>
      </c>
      <c r="C101" s="1">
        <v>243</v>
      </c>
      <c r="D101" s="1">
        <v>96</v>
      </c>
      <c r="E101" s="1">
        <v>96</v>
      </c>
      <c r="F101" s="1"/>
      <c r="G101" s="7">
        <v>0.33</v>
      </c>
      <c r="H101" s="1">
        <v>45</v>
      </c>
      <c r="I101" s="1" t="s">
        <v>33</v>
      </c>
      <c r="J101" s="1"/>
      <c r="K101" s="1">
        <v>132</v>
      </c>
      <c r="L101" s="1">
        <f t="shared" si="17"/>
        <v>-36</v>
      </c>
      <c r="M101" s="1"/>
      <c r="N101" s="1"/>
      <c r="O101" s="1">
        <v>0</v>
      </c>
      <c r="P101" s="1">
        <f t="shared" si="18"/>
        <v>19.2</v>
      </c>
      <c r="Q101" s="5">
        <f>10*P101-O101-F101</f>
        <v>192</v>
      </c>
      <c r="R101" s="5">
        <f t="shared" si="19"/>
        <v>192</v>
      </c>
      <c r="S101" s="5"/>
      <c r="T101" s="23"/>
      <c r="U101" s="1">
        <f t="shared" si="22"/>
        <v>10</v>
      </c>
      <c r="V101" s="1">
        <f t="shared" si="23"/>
        <v>0</v>
      </c>
      <c r="W101" s="1">
        <v>23.8</v>
      </c>
      <c r="X101" s="1">
        <v>11</v>
      </c>
      <c r="Y101" s="1">
        <v>7.6</v>
      </c>
      <c r="Z101" s="1">
        <v>12.2</v>
      </c>
      <c r="AA101" s="1">
        <v>0</v>
      </c>
      <c r="AB101" s="1">
        <v>0</v>
      </c>
      <c r="AC101" s="1">
        <v>0</v>
      </c>
      <c r="AD101" s="1">
        <v>0</v>
      </c>
      <c r="AE101" s="1" t="s">
        <v>147</v>
      </c>
      <c r="AF101" s="1">
        <f t="shared" si="20"/>
        <v>63.36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0" t="s">
        <v>75</v>
      </c>
      <c r="B102" s="1" t="s">
        <v>32</v>
      </c>
      <c r="C102" s="1"/>
      <c r="D102" s="1">
        <v>50</v>
      </c>
      <c r="E102" s="18">
        <f>0+E36</f>
        <v>14</v>
      </c>
      <c r="F102" s="18">
        <f>50+F36</f>
        <v>124</v>
      </c>
      <c r="G102" s="7">
        <v>0.1</v>
      </c>
      <c r="H102" s="1">
        <v>45</v>
      </c>
      <c r="I102" s="1" t="s">
        <v>33</v>
      </c>
      <c r="J102" s="1"/>
      <c r="K102" s="1"/>
      <c r="L102" s="1">
        <f t="shared" ref="L102:L107" si="24">E102-K102</f>
        <v>14</v>
      </c>
      <c r="M102" s="1"/>
      <c r="N102" s="1"/>
      <c r="O102" s="1"/>
      <c r="P102" s="1">
        <f t="shared" ref="P102:P112" si="25">E102/5</f>
        <v>2.8</v>
      </c>
      <c r="Q102" s="5"/>
      <c r="R102" s="5">
        <f t="shared" si="19"/>
        <v>0</v>
      </c>
      <c r="S102" s="5"/>
      <c r="T102" s="23"/>
      <c r="U102" s="1">
        <f t="shared" si="22"/>
        <v>44.285714285714292</v>
      </c>
      <c r="V102" s="1">
        <f t="shared" si="23"/>
        <v>44.285714285714292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0" t="s">
        <v>148</v>
      </c>
      <c r="AF102" s="1">
        <f t="shared" si="20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65</v>
      </c>
      <c r="B103" s="1" t="s">
        <v>32</v>
      </c>
      <c r="C103" s="1">
        <v>264</v>
      </c>
      <c r="D103" s="1">
        <v>336</v>
      </c>
      <c r="E103" s="18">
        <f>133+E32</f>
        <v>137</v>
      </c>
      <c r="F103" s="18">
        <f>446+F32</f>
        <v>440</v>
      </c>
      <c r="G103" s="7">
        <v>0.4</v>
      </c>
      <c r="H103" s="1">
        <v>60</v>
      </c>
      <c r="I103" s="1" t="s">
        <v>33</v>
      </c>
      <c r="J103" s="1"/>
      <c r="K103" s="1">
        <v>135</v>
      </c>
      <c r="L103" s="1">
        <f t="shared" si="24"/>
        <v>2</v>
      </c>
      <c r="M103" s="1"/>
      <c r="N103" s="1"/>
      <c r="O103" s="1">
        <v>0</v>
      </c>
      <c r="P103" s="1">
        <f t="shared" si="25"/>
        <v>27.4</v>
      </c>
      <c r="Q103" s="5"/>
      <c r="R103" s="5">
        <f t="shared" si="19"/>
        <v>0</v>
      </c>
      <c r="S103" s="5"/>
      <c r="T103" s="23"/>
      <c r="U103" s="1">
        <f t="shared" si="22"/>
        <v>16.058394160583944</v>
      </c>
      <c r="V103" s="1">
        <f t="shared" si="23"/>
        <v>16.058394160583944</v>
      </c>
      <c r="W103" s="1">
        <v>8.8000000000000007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0" t="s">
        <v>149</v>
      </c>
      <c r="AF103" s="1">
        <f t="shared" si="20"/>
        <v>0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9" t="s">
        <v>150</v>
      </c>
      <c r="B104" s="1" t="s">
        <v>32</v>
      </c>
      <c r="C104" s="1"/>
      <c r="D104" s="1"/>
      <c r="E104" s="1"/>
      <c r="F104" s="1"/>
      <c r="G104" s="7">
        <v>0.1</v>
      </c>
      <c r="H104" s="1"/>
      <c r="I104" s="1" t="s">
        <v>33</v>
      </c>
      <c r="J104" s="1"/>
      <c r="K104" s="1"/>
      <c r="L104" s="1">
        <f t="shared" si="24"/>
        <v>0</v>
      </c>
      <c r="M104" s="1"/>
      <c r="N104" s="1"/>
      <c r="O104" s="1">
        <v>0</v>
      </c>
      <c r="P104" s="1">
        <f t="shared" si="25"/>
        <v>0</v>
      </c>
      <c r="Q104" s="5">
        <v>100</v>
      </c>
      <c r="R104" s="5">
        <f t="shared" si="19"/>
        <v>100</v>
      </c>
      <c r="S104" s="5"/>
      <c r="T104" s="23"/>
      <c r="U104" s="1" t="e">
        <f t="shared" si="22"/>
        <v>#DIV/0!</v>
      </c>
      <c r="V104" s="1" t="e">
        <f t="shared" si="23"/>
        <v>#DIV/0!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0" t="s">
        <v>151</v>
      </c>
      <c r="AF104" s="1">
        <f t="shared" si="20"/>
        <v>10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9" t="s">
        <v>152</v>
      </c>
      <c r="B105" s="1" t="s">
        <v>32</v>
      </c>
      <c r="C105" s="1"/>
      <c r="D105" s="1"/>
      <c r="E105" s="1"/>
      <c r="F105" s="1"/>
      <c r="G105" s="7">
        <v>0.1</v>
      </c>
      <c r="H105" s="1"/>
      <c r="I105" s="1" t="s">
        <v>33</v>
      </c>
      <c r="J105" s="1"/>
      <c r="K105" s="1"/>
      <c r="L105" s="1">
        <f t="shared" si="24"/>
        <v>0</v>
      </c>
      <c r="M105" s="1"/>
      <c r="N105" s="1"/>
      <c r="O105" s="1">
        <v>0</v>
      </c>
      <c r="P105" s="1">
        <f t="shared" si="25"/>
        <v>0</v>
      </c>
      <c r="Q105" s="5">
        <v>100</v>
      </c>
      <c r="R105" s="5">
        <f t="shared" si="19"/>
        <v>100</v>
      </c>
      <c r="S105" s="5"/>
      <c r="T105" s="23"/>
      <c r="U105" s="1" t="e">
        <f t="shared" si="22"/>
        <v>#DIV/0!</v>
      </c>
      <c r="V105" s="1" t="e">
        <f t="shared" si="23"/>
        <v>#DIV/0!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0" t="s">
        <v>151</v>
      </c>
      <c r="AF105" s="1">
        <f t="shared" si="20"/>
        <v>10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1" t="s">
        <v>153</v>
      </c>
      <c r="B106" s="11" t="s">
        <v>32</v>
      </c>
      <c r="C106" s="11">
        <v>29</v>
      </c>
      <c r="D106" s="11"/>
      <c r="E106" s="11"/>
      <c r="F106" s="18">
        <v>29</v>
      </c>
      <c r="G106" s="12">
        <v>0</v>
      </c>
      <c r="H106" s="11"/>
      <c r="I106" s="11" t="s">
        <v>154</v>
      </c>
      <c r="J106" s="11" t="s">
        <v>105</v>
      </c>
      <c r="K106" s="11"/>
      <c r="L106" s="11">
        <f t="shared" si="24"/>
        <v>0</v>
      </c>
      <c r="M106" s="11"/>
      <c r="N106" s="11"/>
      <c r="O106" s="11">
        <v>0</v>
      </c>
      <c r="P106" s="11">
        <f t="shared" si="25"/>
        <v>0</v>
      </c>
      <c r="Q106" s="13"/>
      <c r="R106" s="5">
        <f t="shared" si="19"/>
        <v>0</v>
      </c>
      <c r="S106" s="5"/>
      <c r="T106" s="23"/>
      <c r="U106" s="11" t="e">
        <f t="shared" si="22"/>
        <v>#DIV/0!</v>
      </c>
      <c r="V106" s="11" t="e">
        <f t="shared" si="23"/>
        <v>#DIV/0!</v>
      </c>
      <c r="W106" s="11">
        <v>0</v>
      </c>
      <c r="X106" s="11">
        <v>0</v>
      </c>
      <c r="Y106" s="11">
        <v>2.2000000000000002</v>
      </c>
      <c r="Z106" s="11">
        <v>2.8</v>
      </c>
      <c r="AA106" s="11">
        <v>0</v>
      </c>
      <c r="AB106" s="11">
        <v>0</v>
      </c>
      <c r="AC106" s="11">
        <v>2.2000000000000002</v>
      </c>
      <c r="AD106" s="11">
        <v>3.2</v>
      </c>
      <c r="AE106" s="11"/>
      <c r="AF106" s="1">
        <f t="shared" si="20"/>
        <v>0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1" t="s">
        <v>155</v>
      </c>
      <c r="B107" s="11" t="s">
        <v>35</v>
      </c>
      <c r="C107" s="11">
        <v>-3.11</v>
      </c>
      <c r="D107" s="11">
        <v>3.11</v>
      </c>
      <c r="E107" s="11"/>
      <c r="F107" s="11"/>
      <c r="G107" s="12">
        <v>0</v>
      </c>
      <c r="H107" s="11"/>
      <c r="I107" s="11" t="s">
        <v>154</v>
      </c>
      <c r="J107" s="11" t="s">
        <v>107</v>
      </c>
      <c r="K107" s="11"/>
      <c r="L107" s="11">
        <f t="shared" si="24"/>
        <v>0</v>
      </c>
      <c r="M107" s="11"/>
      <c r="N107" s="11"/>
      <c r="O107" s="11">
        <v>0</v>
      </c>
      <c r="P107" s="11">
        <f t="shared" si="25"/>
        <v>0</v>
      </c>
      <c r="Q107" s="13"/>
      <c r="R107" s="5">
        <f t="shared" si="19"/>
        <v>0</v>
      </c>
      <c r="S107" s="5"/>
      <c r="T107" s="23"/>
      <c r="U107" s="11" t="e">
        <f t="shared" si="22"/>
        <v>#DIV/0!</v>
      </c>
      <c r="V107" s="11" t="e">
        <f t="shared" si="23"/>
        <v>#DIV/0!</v>
      </c>
      <c r="W107" s="11">
        <v>0.622</v>
      </c>
      <c r="X107" s="11">
        <v>0.95199999999999996</v>
      </c>
      <c r="Y107" s="11">
        <v>1.24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/>
      <c r="AF107" s="1">
        <f t="shared" si="20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1" t="s">
        <v>156</v>
      </c>
      <c r="B108" s="11" t="s">
        <v>35</v>
      </c>
      <c r="C108" s="11"/>
      <c r="D108" s="11"/>
      <c r="E108" s="11"/>
      <c r="F108" s="11"/>
      <c r="G108" s="12">
        <v>0</v>
      </c>
      <c r="H108" s="11"/>
      <c r="I108" s="11" t="s">
        <v>33</v>
      </c>
      <c r="J108" s="11"/>
      <c r="K108" s="11"/>
      <c r="L108" s="11"/>
      <c r="M108" s="11"/>
      <c r="N108" s="11"/>
      <c r="O108" s="11"/>
      <c r="P108" s="11">
        <f t="shared" si="25"/>
        <v>0</v>
      </c>
      <c r="Q108" s="13"/>
      <c r="R108" s="5">
        <f t="shared" si="19"/>
        <v>0</v>
      </c>
      <c r="S108" s="5"/>
      <c r="T108" s="23"/>
      <c r="U108" s="11" t="e">
        <f t="shared" si="22"/>
        <v>#DIV/0!</v>
      </c>
      <c r="V108" s="11" t="e">
        <f t="shared" si="23"/>
        <v>#DIV/0!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4" t="s">
        <v>157</v>
      </c>
      <c r="AF108" s="1">
        <f t="shared" si="20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1" t="s">
        <v>158</v>
      </c>
      <c r="B109" s="14" t="s">
        <v>32</v>
      </c>
      <c r="C109" s="11"/>
      <c r="D109" s="11"/>
      <c r="E109" s="11"/>
      <c r="F109" s="11"/>
      <c r="G109" s="12">
        <v>0</v>
      </c>
      <c r="H109" s="11"/>
      <c r="I109" s="11" t="s">
        <v>33</v>
      </c>
      <c r="J109" s="11"/>
      <c r="K109" s="11"/>
      <c r="L109" s="11"/>
      <c r="M109" s="11"/>
      <c r="N109" s="11"/>
      <c r="O109" s="11"/>
      <c r="P109" s="11">
        <f t="shared" si="25"/>
        <v>0</v>
      </c>
      <c r="Q109" s="13"/>
      <c r="R109" s="5">
        <f t="shared" si="19"/>
        <v>0</v>
      </c>
      <c r="S109" s="5"/>
      <c r="T109" s="23"/>
      <c r="U109" s="11" t="e">
        <f t="shared" si="22"/>
        <v>#DIV/0!</v>
      </c>
      <c r="V109" s="11" t="e">
        <f t="shared" si="23"/>
        <v>#DIV/0!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4" t="s">
        <v>157</v>
      </c>
      <c r="AF109" s="1">
        <f t="shared" si="20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0" t="s">
        <v>69</v>
      </c>
      <c r="B110" s="10" t="s">
        <v>32</v>
      </c>
      <c r="C110" s="1"/>
      <c r="D110" s="1"/>
      <c r="E110" s="18">
        <f>0+E34</f>
        <v>45</v>
      </c>
      <c r="F110" s="18">
        <f>0+F34</f>
        <v>2</v>
      </c>
      <c r="G110" s="7">
        <v>0.1</v>
      </c>
      <c r="H110" s="1">
        <v>60</v>
      </c>
      <c r="I110" s="1" t="s">
        <v>33</v>
      </c>
      <c r="J110" s="1"/>
      <c r="K110" s="1"/>
      <c r="L110" s="1"/>
      <c r="M110" s="1"/>
      <c r="N110" s="1"/>
      <c r="O110" s="1">
        <v>138</v>
      </c>
      <c r="P110" s="1">
        <f t="shared" si="25"/>
        <v>9</v>
      </c>
      <c r="Q110" s="5"/>
      <c r="R110" s="5">
        <f t="shared" si="19"/>
        <v>0</v>
      </c>
      <c r="S110" s="5"/>
      <c r="T110" s="23"/>
      <c r="U110" s="1">
        <f t="shared" si="22"/>
        <v>15.555555555555555</v>
      </c>
      <c r="V110" s="1">
        <f t="shared" si="23"/>
        <v>15.555555555555555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0" t="s">
        <v>159</v>
      </c>
      <c r="AF110" s="1">
        <f t="shared" si="20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0" t="s">
        <v>132</v>
      </c>
      <c r="B111" s="10" t="s">
        <v>32</v>
      </c>
      <c r="C111" s="1"/>
      <c r="D111" s="1"/>
      <c r="E111" s="18">
        <f>0+E89</f>
        <v>36</v>
      </c>
      <c r="F111" s="18">
        <f>0+F89</f>
        <v>63</v>
      </c>
      <c r="G111" s="7">
        <v>0.1</v>
      </c>
      <c r="H111" s="1">
        <v>60</v>
      </c>
      <c r="I111" s="1" t="s">
        <v>33</v>
      </c>
      <c r="J111" s="1"/>
      <c r="K111" s="1"/>
      <c r="L111" s="1"/>
      <c r="M111" s="1"/>
      <c r="N111" s="1"/>
      <c r="O111" s="1"/>
      <c r="P111" s="1">
        <f t="shared" si="25"/>
        <v>7.2</v>
      </c>
      <c r="Q111" s="5">
        <f>15*P111-O111-F111</f>
        <v>45</v>
      </c>
      <c r="R111" s="5">
        <f t="shared" si="19"/>
        <v>45</v>
      </c>
      <c r="S111" s="5"/>
      <c r="T111" s="23"/>
      <c r="U111" s="1">
        <f t="shared" si="22"/>
        <v>15</v>
      </c>
      <c r="V111" s="1">
        <f t="shared" si="23"/>
        <v>8.75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0" t="s">
        <v>160</v>
      </c>
      <c r="AF111" s="1">
        <f t="shared" si="20"/>
        <v>4.5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0" t="s">
        <v>72</v>
      </c>
      <c r="B112" s="10" t="s">
        <v>32</v>
      </c>
      <c r="C112" s="1"/>
      <c r="D112" s="1"/>
      <c r="E112" s="18">
        <f>0+E35</f>
        <v>199</v>
      </c>
      <c r="F112" s="18">
        <f>0+F35</f>
        <v>210</v>
      </c>
      <c r="G112" s="7">
        <v>0.1</v>
      </c>
      <c r="H112" s="1">
        <v>60</v>
      </c>
      <c r="I112" s="1" t="s">
        <v>33</v>
      </c>
      <c r="J112" s="1"/>
      <c r="K112" s="1"/>
      <c r="L112" s="1"/>
      <c r="M112" s="1"/>
      <c r="N112" s="1"/>
      <c r="O112" s="1">
        <v>122</v>
      </c>
      <c r="P112" s="1">
        <f t="shared" si="25"/>
        <v>39.799999999999997</v>
      </c>
      <c r="Q112" s="5">
        <f>15*P112-O112-F112</f>
        <v>265</v>
      </c>
      <c r="R112" s="5">
        <f t="shared" si="19"/>
        <v>265</v>
      </c>
      <c r="S112" s="5"/>
      <c r="T112" s="23"/>
      <c r="U112" s="1" t="e">
        <f>(F112+#REF!+Q112)/P112</f>
        <v>#REF!</v>
      </c>
      <c r="V112" s="1" t="e">
        <f>(F112+#REF!)/P112</f>
        <v>#REF!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0" t="s">
        <v>161</v>
      </c>
      <c r="AF112" s="1">
        <f t="shared" si="20"/>
        <v>26.5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20" t="s">
        <v>164</v>
      </c>
      <c r="B113" s="20" t="s">
        <v>32</v>
      </c>
      <c r="C113" s="20"/>
      <c r="D113" s="20"/>
      <c r="E113" s="20"/>
      <c r="F113" s="20"/>
      <c r="G113" s="21">
        <v>0.27</v>
      </c>
      <c r="H113" s="20"/>
      <c r="I113" s="20" t="s">
        <v>33</v>
      </c>
      <c r="J113" s="20"/>
      <c r="K113" s="20"/>
      <c r="L113" s="20"/>
      <c r="M113" s="20"/>
      <c r="N113" s="20"/>
      <c r="O113" s="20"/>
      <c r="P113" s="20">
        <f t="shared" ref="P113" si="26">E113/5</f>
        <v>0</v>
      </c>
      <c r="Q113" s="22">
        <v>100</v>
      </c>
      <c r="R113" s="5">
        <f t="shared" si="19"/>
        <v>100</v>
      </c>
      <c r="S113" s="5"/>
      <c r="T113" s="23"/>
      <c r="U113" s="20" t="e">
        <f>(F113+#REF!+Q113)/P113</f>
        <v>#REF!</v>
      </c>
      <c r="V113" s="20" t="e">
        <f>(F113+#REF!)/P113</f>
        <v>#REF!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 t="s">
        <v>135</v>
      </c>
      <c r="AF113" s="1">
        <f t="shared" si="20"/>
        <v>27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20" t="s">
        <v>165</v>
      </c>
      <c r="B114" s="20" t="s">
        <v>32</v>
      </c>
      <c r="C114" s="20"/>
      <c r="D114" s="20"/>
      <c r="E114" s="20"/>
      <c r="F114" s="20"/>
      <c r="G114" s="21">
        <v>0.3</v>
      </c>
      <c r="H114" s="20">
        <v>45</v>
      </c>
      <c r="I114" s="20" t="s">
        <v>33</v>
      </c>
      <c r="J114" s="20"/>
      <c r="K114" s="20"/>
      <c r="L114" s="20"/>
      <c r="M114" s="20"/>
      <c r="N114" s="20"/>
      <c r="O114" s="20"/>
      <c r="P114" s="20">
        <f t="shared" ref="P114" si="27">E114/5</f>
        <v>0</v>
      </c>
      <c r="Q114" s="22">
        <v>50</v>
      </c>
      <c r="R114" s="5">
        <f t="shared" si="19"/>
        <v>50</v>
      </c>
      <c r="S114" s="5"/>
      <c r="T114" s="23"/>
      <c r="U114" s="20" t="e">
        <f>(F114+#REF!+Q114)/P114</f>
        <v>#REF!</v>
      </c>
      <c r="V114" s="20" t="e">
        <f>(F114+#REF!)/P114</f>
        <v>#REF!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 t="s">
        <v>135</v>
      </c>
      <c r="AF114" s="1">
        <f t="shared" si="20"/>
        <v>15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</sheetData>
  <autoFilter ref="A3:AF1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2026-07-20T16:59:51Z</dcterms:created>
  <dcterms:modified xsi:type="dcterms:W3CDTF">2026-07-24T10:41:44Z</dcterms:modified>
</cp:coreProperties>
</file>