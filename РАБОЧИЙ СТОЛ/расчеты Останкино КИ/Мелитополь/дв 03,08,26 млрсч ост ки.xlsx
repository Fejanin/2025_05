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464EC15-BEE1-478B-8D2D-3BE0095EB0D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S8" i="1" s="1"/>
  <c r="R9" i="1"/>
  <c r="R10" i="1"/>
  <c r="S10" i="1" s="1"/>
  <c r="R11" i="1"/>
  <c r="R12" i="1"/>
  <c r="S12" i="1" s="1"/>
  <c r="R13" i="1"/>
  <c r="R14" i="1"/>
  <c r="S14" i="1" s="1"/>
  <c r="R15" i="1"/>
  <c r="R16" i="1"/>
  <c r="S16" i="1" s="1"/>
  <c r="R17" i="1"/>
  <c r="R18" i="1"/>
  <c r="S18" i="1" s="1"/>
  <c r="R19" i="1"/>
  <c r="R20" i="1"/>
  <c r="S20" i="1" s="1"/>
  <c r="R21" i="1"/>
  <c r="R22" i="1"/>
  <c r="S22" i="1" s="1"/>
  <c r="R23" i="1"/>
  <c r="R24" i="1"/>
  <c r="S24" i="1" s="1"/>
  <c r="R25" i="1"/>
  <c r="R26" i="1"/>
  <c r="S26" i="1" s="1"/>
  <c r="R27" i="1"/>
  <c r="R28" i="1"/>
  <c r="S28" i="1" s="1"/>
  <c r="R29" i="1"/>
  <c r="R30" i="1"/>
  <c r="S30" i="1" s="1"/>
  <c r="R31" i="1"/>
  <c r="R32" i="1"/>
  <c r="S32" i="1" s="1"/>
  <c r="R33" i="1"/>
  <c r="R34" i="1"/>
  <c r="S34" i="1" s="1"/>
  <c r="R35" i="1"/>
  <c r="R36" i="1"/>
  <c r="S36" i="1" s="1"/>
  <c r="R37" i="1"/>
  <c r="R38" i="1"/>
  <c r="S38" i="1" s="1"/>
  <c r="R39" i="1"/>
  <c r="R40" i="1"/>
  <c r="S40" i="1" s="1"/>
  <c r="R41" i="1"/>
  <c r="R42" i="1"/>
  <c r="S42" i="1" s="1"/>
  <c r="R43" i="1"/>
  <c r="R44" i="1"/>
  <c r="S44" i="1" s="1"/>
  <c r="R45" i="1"/>
  <c r="R46" i="1"/>
  <c r="S46" i="1" s="1"/>
  <c r="R47" i="1"/>
  <c r="R48" i="1"/>
  <c r="S48" i="1" s="1"/>
  <c r="R49" i="1"/>
  <c r="R50" i="1"/>
  <c r="S50" i="1" s="1"/>
  <c r="R51" i="1"/>
  <c r="R52" i="1"/>
  <c r="S52" i="1" s="1"/>
  <c r="R53" i="1"/>
  <c r="R54" i="1"/>
  <c r="S54" i="1" s="1"/>
  <c r="R55" i="1"/>
  <c r="R56" i="1"/>
  <c r="S56" i="1" s="1"/>
  <c r="R57" i="1"/>
  <c r="R58" i="1"/>
  <c r="S58" i="1" s="1"/>
  <c r="R59" i="1"/>
  <c r="R60" i="1"/>
  <c r="S60" i="1" s="1"/>
  <c r="R61" i="1"/>
  <c r="R62" i="1"/>
  <c r="S62" i="1" s="1"/>
  <c r="R63" i="1"/>
  <c r="R64" i="1"/>
  <c r="S64" i="1" s="1"/>
  <c r="R65" i="1"/>
  <c r="R66" i="1"/>
  <c r="S66" i="1" s="1"/>
  <c r="R67" i="1"/>
  <c r="R68" i="1"/>
  <c r="S68" i="1" s="1"/>
  <c r="R69" i="1"/>
  <c r="R70" i="1"/>
  <c r="S70" i="1" s="1"/>
  <c r="R71" i="1"/>
  <c r="R72" i="1"/>
  <c r="S72" i="1" s="1"/>
  <c r="R73" i="1"/>
  <c r="R74" i="1"/>
  <c r="S74" i="1" s="1"/>
  <c r="R75" i="1"/>
  <c r="R76" i="1"/>
  <c r="S76" i="1" s="1"/>
  <c r="R77" i="1"/>
  <c r="R78" i="1"/>
  <c r="S78" i="1" s="1"/>
  <c r="R79" i="1"/>
  <c r="R80" i="1"/>
  <c r="S80" i="1" s="1"/>
  <c r="R81" i="1"/>
  <c r="R82" i="1"/>
  <c r="S82" i="1" s="1"/>
  <c r="R83" i="1"/>
  <c r="R84" i="1"/>
  <c r="S84" i="1" s="1"/>
  <c r="R85" i="1"/>
  <c r="R86" i="1"/>
  <c r="S86" i="1" s="1"/>
  <c r="R87" i="1"/>
  <c r="R88" i="1"/>
  <c r="S88" i="1" s="1"/>
  <c r="R89" i="1"/>
  <c r="R90" i="1"/>
  <c r="S90" i="1" s="1"/>
  <c r="R91" i="1"/>
  <c r="R92" i="1"/>
  <c r="S92" i="1" s="1"/>
  <c r="R93" i="1"/>
  <c r="R94" i="1"/>
  <c r="S94" i="1" s="1"/>
  <c r="R95" i="1"/>
  <c r="R96" i="1"/>
  <c r="S96" i="1" s="1"/>
  <c r="R97" i="1"/>
  <c r="R98" i="1"/>
  <c r="S98" i="1" s="1"/>
  <c r="R99" i="1"/>
  <c r="R100" i="1"/>
  <c r="S100" i="1" s="1"/>
  <c r="R101" i="1"/>
  <c r="R102" i="1"/>
  <c r="S102" i="1" s="1"/>
  <c r="R103" i="1"/>
  <c r="R104" i="1"/>
  <c r="S104" i="1" s="1"/>
  <c r="R105" i="1"/>
  <c r="R106" i="1"/>
  <c r="S106" i="1" s="1"/>
  <c r="R107" i="1"/>
  <c r="R108" i="1"/>
  <c r="S108" i="1" s="1"/>
  <c r="R109" i="1"/>
  <c r="R110" i="1"/>
  <c r="S110" i="1" s="1"/>
  <c r="R111" i="1"/>
  <c r="R112" i="1"/>
  <c r="S112" i="1" s="1"/>
  <c r="R113" i="1"/>
  <c r="R114" i="1"/>
  <c r="S114" i="1" s="1"/>
  <c r="R115" i="1"/>
  <c r="R116" i="1"/>
  <c r="S116" i="1" s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6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S97" i="1"/>
  <c r="S99" i="1"/>
  <c r="S101" i="1"/>
  <c r="S103" i="1"/>
  <c r="S105" i="1"/>
  <c r="S107" i="1"/>
  <c r="S109" i="1"/>
  <c r="S111" i="1"/>
  <c r="S113" i="1"/>
  <c r="S115" i="1"/>
  <c r="S6" i="1"/>
  <c r="R6" i="1"/>
  <c r="R5" i="1" l="1"/>
  <c r="P116" i="1"/>
  <c r="T116" i="1" s="1"/>
  <c r="L116" i="1"/>
  <c r="P115" i="1"/>
  <c r="L115" i="1"/>
  <c r="P114" i="1"/>
  <c r="T114" i="1" s="1"/>
  <c r="L114" i="1"/>
  <c r="F113" i="1"/>
  <c r="E113" i="1"/>
  <c r="P113" i="1" s="1"/>
  <c r="P112" i="1"/>
  <c r="T112" i="1" s="1"/>
  <c r="L112" i="1"/>
  <c r="F111" i="1"/>
  <c r="E111" i="1"/>
  <c r="L111" i="1" s="1"/>
  <c r="F110" i="1"/>
  <c r="E110" i="1"/>
  <c r="P110" i="1" s="1"/>
  <c r="P109" i="1"/>
  <c r="L109" i="1"/>
  <c r="F109" i="1"/>
  <c r="P108" i="1"/>
  <c r="L108" i="1"/>
  <c r="P107" i="1"/>
  <c r="T107" i="1" s="1"/>
  <c r="L107" i="1"/>
  <c r="P106" i="1"/>
  <c r="T106" i="1" s="1"/>
  <c r="L106" i="1"/>
  <c r="P105" i="1"/>
  <c r="L105" i="1"/>
  <c r="P104" i="1"/>
  <c r="T104" i="1" s="1"/>
  <c r="L104" i="1"/>
  <c r="P103" i="1"/>
  <c r="T103" i="1" s="1"/>
  <c r="L103" i="1"/>
  <c r="P102" i="1"/>
  <c r="T102" i="1" s="1"/>
  <c r="L102" i="1"/>
  <c r="P101" i="1"/>
  <c r="L101" i="1"/>
  <c r="P100" i="1"/>
  <c r="L100" i="1"/>
  <c r="P99" i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L94" i="1"/>
  <c r="P93" i="1"/>
  <c r="T93" i="1" s="1"/>
  <c r="L93" i="1"/>
  <c r="P92" i="1"/>
  <c r="T92" i="1" s="1"/>
  <c r="L92" i="1"/>
  <c r="P91" i="1"/>
  <c r="L91" i="1"/>
  <c r="P90" i="1"/>
  <c r="T90" i="1" s="1"/>
  <c r="L90" i="1"/>
  <c r="P89" i="1"/>
  <c r="T89" i="1" s="1"/>
  <c r="L89" i="1"/>
  <c r="P88" i="1"/>
  <c r="T88" i="1" s="1"/>
  <c r="L88" i="1"/>
  <c r="P87" i="1"/>
  <c r="L87" i="1"/>
  <c r="P86" i="1"/>
  <c r="T86" i="1" s="1"/>
  <c r="L86" i="1"/>
  <c r="P85" i="1"/>
  <c r="L85" i="1"/>
  <c r="P84" i="1"/>
  <c r="T84" i="1" s="1"/>
  <c r="L84" i="1"/>
  <c r="P83" i="1"/>
  <c r="T83" i="1" s="1"/>
  <c r="L83" i="1"/>
  <c r="P82" i="1"/>
  <c r="T82" i="1" s="1"/>
  <c r="L82" i="1"/>
  <c r="P81" i="1"/>
  <c r="L81" i="1"/>
  <c r="P80" i="1"/>
  <c r="T80" i="1" s="1"/>
  <c r="L80" i="1"/>
  <c r="P79" i="1"/>
  <c r="T79" i="1" s="1"/>
  <c r="L79" i="1"/>
  <c r="P78" i="1"/>
  <c r="T78" i="1" s="1"/>
  <c r="L78" i="1"/>
  <c r="P77" i="1"/>
  <c r="L77" i="1"/>
  <c r="P76" i="1"/>
  <c r="T76" i="1" s="1"/>
  <c r="L76" i="1"/>
  <c r="P75" i="1"/>
  <c r="T75" i="1" s="1"/>
  <c r="L75" i="1"/>
  <c r="P74" i="1"/>
  <c r="L74" i="1"/>
  <c r="P73" i="1"/>
  <c r="T73" i="1" s="1"/>
  <c r="L73" i="1"/>
  <c r="P72" i="1"/>
  <c r="T72" i="1" s="1"/>
  <c r="L72" i="1"/>
  <c r="P71" i="1"/>
  <c r="L71" i="1"/>
  <c r="P70" i="1"/>
  <c r="L70" i="1"/>
  <c r="P69" i="1"/>
  <c r="L69" i="1"/>
  <c r="P68" i="1"/>
  <c r="T68" i="1" s="1"/>
  <c r="L68" i="1"/>
  <c r="P67" i="1"/>
  <c r="T67" i="1" s="1"/>
  <c r="L67" i="1"/>
  <c r="P66" i="1"/>
  <c r="L66" i="1"/>
  <c r="F66" i="1"/>
  <c r="P65" i="1"/>
  <c r="L65" i="1"/>
  <c r="P64" i="1"/>
  <c r="L64" i="1"/>
  <c r="P63" i="1"/>
  <c r="Q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L58" i="1"/>
  <c r="P57" i="1"/>
  <c r="T57" i="1" s="1"/>
  <c r="L57" i="1"/>
  <c r="P56" i="1"/>
  <c r="L56" i="1"/>
  <c r="P55" i="1"/>
  <c r="L55" i="1"/>
  <c r="P54" i="1"/>
  <c r="L54" i="1"/>
  <c r="P53" i="1"/>
  <c r="T53" i="1" s="1"/>
  <c r="L53" i="1"/>
  <c r="P52" i="1"/>
  <c r="L52" i="1"/>
  <c r="P51" i="1"/>
  <c r="T51" i="1" s="1"/>
  <c r="L51" i="1"/>
  <c r="P50" i="1"/>
  <c r="T50" i="1" s="1"/>
  <c r="L50" i="1"/>
  <c r="P49" i="1"/>
  <c r="T49" i="1" s="1"/>
  <c r="L49" i="1"/>
  <c r="P48" i="1"/>
  <c r="L48" i="1"/>
  <c r="P47" i="1"/>
  <c r="Q47" i="1" s="1"/>
  <c r="L47" i="1"/>
  <c r="P46" i="1"/>
  <c r="L46" i="1"/>
  <c r="P45" i="1"/>
  <c r="T45" i="1" s="1"/>
  <c r="L45" i="1"/>
  <c r="P44" i="1"/>
  <c r="T44" i="1" s="1"/>
  <c r="L44" i="1"/>
  <c r="P43" i="1"/>
  <c r="T43" i="1" s="1"/>
  <c r="L43" i="1"/>
  <c r="P42" i="1"/>
  <c r="L42" i="1"/>
  <c r="P41" i="1"/>
  <c r="Q41" i="1" s="1"/>
  <c r="L41" i="1"/>
  <c r="P40" i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T34" i="1" s="1"/>
  <c r="L34" i="1"/>
  <c r="P33" i="1"/>
  <c r="L33" i="1"/>
  <c r="P32" i="1"/>
  <c r="L32" i="1"/>
  <c r="P31" i="1"/>
  <c r="T31" i="1" s="1"/>
  <c r="L31" i="1"/>
  <c r="P30" i="1"/>
  <c r="T30" i="1" s="1"/>
  <c r="L30" i="1"/>
  <c r="P29" i="1"/>
  <c r="L29" i="1"/>
  <c r="P28" i="1"/>
  <c r="L28" i="1"/>
  <c r="P27" i="1"/>
  <c r="L27" i="1"/>
  <c r="P26" i="1"/>
  <c r="T26" i="1" s="1"/>
  <c r="L26" i="1"/>
  <c r="P25" i="1"/>
  <c r="Q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Q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09" i="1" l="1"/>
  <c r="Q54" i="1"/>
  <c r="Q52" i="1"/>
  <c r="F5" i="1"/>
  <c r="T48" i="1"/>
  <c r="Q110" i="1"/>
  <c r="T113" i="1"/>
  <c r="T32" i="1"/>
  <c r="E5" i="1"/>
  <c r="Q68" i="1"/>
  <c r="T58" i="1"/>
  <c r="Q75" i="1"/>
  <c r="L110" i="1"/>
  <c r="Q80" i="1"/>
  <c r="T16" i="1"/>
  <c r="Q112" i="1"/>
  <c r="T87" i="1"/>
  <c r="Q50" i="1"/>
  <c r="Q15" i="1"/>
  <c r="T66" i="1"/>
  <c r="Q22" i="1"/>
  <c r="T69" i="1"/>
  <c r="Q12" i="1"/>
  <c r="Q39" i="1"/>
  <c r="T91" i="1"/>
  <c r="Q98" i="1"/>
  <c r="Q44" i="1"/>
  <c r="Q17" i="1"/>
  <c r="Q45" i="1"/>
  <c r="Q101" i="1"/>
  <c r="Q20" i="1"/>
  <c r="Q72" i="1"/>
  <c r="T37" i="1"/>
  <c r="T52" i="1"/>
  <c r="T115" i="1"/>
  <c r="Q23" i="1"/>
  <c r="Q108" i="1"/>
  <c r="Q53" i="1"/>
  <c r="Q79" i="1"/>
  <c r="T81" i="1"/>
  <c r="Q6" i="1"/>
  <c r="Q81" i="1"/>
  <c r="Q113" i="1"/>
  <c r="T8" i="1"/>
  <c r="Q31" i="1"/>
  <c r="T40" i="1"/>
  <c r="T94" i="1"/>
  <c r="T70" i="1"/>
  <c r="T27" i="1"/>
  <c r="T28" i="1"/>
  <c r="T65" i="1"/>
  <c r="L113" i="1"/>
  <c r="T100" i="1"/>
  <c r="T41" i="1"/>
  <c r="T77" i="1"/>
  <c r="T110" i="1"/>
  <c r="T85" i="1"/>
  <c r="T56" i="1"/>
  <c r="P111" i="1"/>
  <c r="T99" i="1"/>
  <c r="T74" i="1"/>
  <c r="T25" i="1"/>
  <c r="T29" i="1"/>
  <c r="T42" i="1"/>
  <c r="T63" i="1"/>
  <c r="T71" i="1"/>
  <c r="T101" i="1"/>
  <c r="T54" i="1"/>
  <c r="T46" i="1"/>
  <c r="T47" i="1"/>
  <c r="T109" i="1"/>
  <c r="T33" i="1"/>
  <c r="T105" i="1"/>
  <c r="T55" i="1"/>
  <c r="T64" i="1"/>
  <c r="T108" i="1"/>
  <c r="L5" i="1" l="1"/>
  <c r="P5" i="1"/>
  <c r="T111" i="1"/>
  <c r="AF5" i="1" l="1"/>
  <c r="Q5" i="1"/>
</calcChain>
</file>

<file path=xl/sharedStrings.xml><?xml version="1.0" encoding="utf-8"?>
<sst xmlns="http://schemas.openxmlformats.org/spreadsheetml/2006/main" count="424" uniqueCount="171">
  <si>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</si>
  <si>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</si>
  <si>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</si>
  <si>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</si>
  <si>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</si>
  <si>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</si>
  <si>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</si>
  <si>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</si>
  <si>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</si>
  <si>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</si>
  <si>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</si>
  <si>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</si>
  <si>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</si>
  <si>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</si>
  <si>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</si>
  <si>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</si>
  <si>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</si>
  <si>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</si>
  <si>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</si>
  <si>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</si>
  <si>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</si>
  <si>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</si>
  <si>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</si>
  <si>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</si>
  <si>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</si>
  <si>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</si>
  <si>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</si>
  <si>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</si>
  <si>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</si>
  <si>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</si>
  <si>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</si>
  <si>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</si>
  <si>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</si>
  <si>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</si>
  <si>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</si>
  <si>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</si>
  <si>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</si>
  <si>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</si>
  <si>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</si>
  <si>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</si>
  <si>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</si>
  <si>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</si>
  <si>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</si>
  <si>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</si>
  <si>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</si>
  <si>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</si>
  <si>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</si>
  <si>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</si>
  <si>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</si>
  <si>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</si>
  <si>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</si>
  <si>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</si>
  <si>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</si>
  <si>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</si>
  <si>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</si>
  <si>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</si>
  <si>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</si>
  <si>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</si>
  <si>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</si>
  <si>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</si>
  <si>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</si>
  <si>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</si>
  <si>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</si>
  <si>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</si>
  <si>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</si>
  <si>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</si>
  <si>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</si>
  <si>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</si>
  <si>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</si>
  <si>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</si>
  <si>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</si>
  <si>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</si>
  <si>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</si>
  <si>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</si>
  <si>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</si>
  <si>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</si>
  <si>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</si>
  <si>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</si>
  <si>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</si>
  <si>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</si>
  <si>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</si>
  <si>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</si>
  <si>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</si>
  <si>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</si>
  <si>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</si>
  <si>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</si>
  <si>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</si>
  <si>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</si>
  <si>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</si>
  <si>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</si>
  <si>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</si>
  <si>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</si>
  <si>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</si>
  <si>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</si>
  <si>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</si>
  <si>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</si>
  <si>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</si>
  <si>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</si>
  <si>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</si>
  <si>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</si>
  <si>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</si>
  <si>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</si>
  <si>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</si>
  <si>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</si>
  <si>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нужно увеличить продажи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</si>
  <si>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</si>
  <si>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</si>
  <si>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</si>
  <si>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</si>
  <si>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</si>
  <si>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</si>
  <si>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</si>
  <si>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</si>
  <si>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</si>
  <si>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</si>
  <si>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</si>
  <si>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</si>
  <si>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</si>
  <si>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</si>
  <si>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</si>
  <si>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</si>
  <si>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</si>
  <si>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</si>
  <si>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</si>
  <si>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</si>
  <si>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</si>
  <si>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</si>
  <si>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</si>
  <si>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</si>
  <si>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</si>
  <si>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</si>
  <si>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</si>
  <si>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</si>
  <si>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</si>
  <si>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</si>
  <si>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</si>
  <si>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</si>
  <si>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</si>
  <si>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</si>
  <si>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</si>
  <si>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</si>
  <si>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</si>
  <si>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</si>
  <si>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</si>
  <si>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</si>
  <si>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</si>
  <si>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</si>
  <si>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</si>
  <si>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</si>
  <si>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</si>
  <si>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</si>
  <si>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</si>
  <si>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</si>
  <si>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</si>
  <si>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</si>
  <si>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</si>
  <si>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</si>
  <si>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</si>
  <si>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</si>
  <si>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</si>
  <si>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7616 ЭКСТРА Папа может с/к с/н в/у 1/100_  ОСТАНКИНО</t>
  </si>
  <si>
    <t>вместо 6453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</si>
  <si>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</si>
  <si>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</si>
  <si>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</si>
  <si>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</si>
  <si>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</si>
  <si>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вместо 6459</t>
  </si>
  <si>
    <t>вместо 6353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</si>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</sst>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4" fillId="0" borderId="1" xfId="1" applyNumberFormat="1" applyFont="1" applyFill="1"/>
    <xf numFmtId="164" fontId="4" fillId="4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52.57031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169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170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SUM(E6:E495)</f>
        <v>7617.9610000000002</v>
      </c>
      <c r="F5" s="4">
        <f>SUM(F6:F495)</f>
        <v>15823.681999999999</v>
      </c>
      <c r="G5" s="7"/>
      <c r="H5" s="1"/>
      <c r="I5" s="1"/>
      <c r="J5" s="1"/>
      <c r="K5" s="4">
        <f t="shared" ref="K5:R5" si="0">SUM(K6:K495)</f>
        <v>9610.8810000000012</v>
      </c>
      <c r="L5" s="4">
        <f t="shared" si="0"/>
        <v>-1992.92</v>
      </c>
      <c r="M5" s="4">
        <f t="shared" si="0"/>
        <v>0</v>
      </c>
      <c r="N5" s="4">
        <f t="shared" si="0"/>
        <v>0</v>
      </c>
      <c r="O5" s="4">
        <f t="shared" si="0"/>
        <v>8473</v>
      </c>
      <c r="P5" s="4">
        <f t="shared" si="0"/>
        <v>1523.5921999999994</v>
      </c>
      <c r="Q5" s="4">
        <f t="shared" si="0"/>
        <v>6477.6889999999994</v>
      </c>
      <c r="R5" s="4">
        <f t="shared" si="0"/>
        <v>6478</v>
      </c>
      <c r="S5" s="1"/>
      <c r="T5" s="1"/>
      <c r="U5" s="4">
        <f t="shared" ref="U5:AD5" si="1">SUM(U6:U495)</f>
        <v>1956.9149999999997</v>
      </c>
      <c r="V5" s="4">
        <f t="shared" si="1"/>
        <v>2460.1259999999997</v>
      </c>
      <c r="W5" s="4">
        <f t="shared" si="1"/>
        <v>1767.7152000000001</v>
      </c>
      <c r="X5" s="4">
        <f t="shared" si="1"/>
        <v>2108.5720000000001</v>
      </c>
      <c r="Y5" s="4">
        <f t="shared" si="1"/>
        <v>2710.6786000000002</v>
      </c>
      <c r="Z5" s="4">
        <f t="shared" si="1"/>
        <v>2113.9203999999995</v>
      </c>
      <c r="AA5" s="4">
        <f t="shared" si="1"/>
        <v>2219.3211999999999</v>
      </c>
      <c r="AB5" s="4">
        <f t="shared" si="1"/>
        <v>2165.0079999999998</v>
      </c>
      <c r="AC5" s="4">
        <f t="shared" si="1"/>
        <v>2327.1408000000006</v>
      </c>
      <c r="AD5" s="4">
        <f t="shared" si="1"/>
        <v>1742.9861999999998</v>
      </c>
      <c r="AE5" s="1"/>
      <c r="AF5" s="4">
        <f>SUM(AF6:AF495)</f>
        <v>3233.81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129</v>
      </c>
      <c r="D6" s="1">
        <v>336</v>
      </c>
      <c r="E6" s="1">
        <v>200</v>
      </c>
      <c r="F6" s="1">
        <v>229</v>
      </c>
      <c r="G6" s="7">
        <v>0.4</v>
      </c>
      <c r="H6" s="1">
        <v>60</v>
      </c>
      <c r="I6" s="1" t="s">
        <v>35</v>
      </c>
      <c r="J6" s="1"/>
      <c r="K6" s="1">
        <v>195</v>
      </c>
      <c r="L6" s="1">
        <f t="shared" ref="L6:L37" si="2">E6-K6</f>
        <v>5</v>
      </c>
      <c r="M6" s="1"/>
      <c r="N6" s="1"/>
      <c r="O6" s="1">
        <v>200</v>
      </c>
      <c r="P6" s="1">
        <f t="shared" ref="P6:P37" si="3">E6/5</f>
        <v>40</v>
      </c>
      <c r="Q6" s="5">
        <f>15*P6-O6-F6</f>
        <v>171</v>
      </c>
      <c r="R6" s="5">
        <f>ROUND(Q6,0)</f>
        <v>171</v>
      </c>
      <c r="S6" s="1">
        <f>(F6+O6+R6)/P6</f>
        <v>15</v>
      </c>
      <c r="T6" s="1">
        <f t="shared" ref="T6:T37" si="4">(F6+O6)/P6</f>
        <v>10.725</v>
      </c>
      <c r="U6" s="1">
        <v>39.200000000000003</v>
      </c>
      <c r="V6" s="1">
        <v>41.6</v>
      </c>
      <c r="W6" s="1">
        <v>37.200000000000003</v>
      </c>
      <c r="X6" s="1">
        <v>43.2</v>
      </c>
      <c r="Y6" s="1">
        <v>54</v>
      </c>
      <c r="Z6" s="1">
        <v>43.4</v>
      </c>
      <c r="AA6" s="1">
        <v>44.2</v>
      </c>
      <c r="AB6" s="1">
        <v>54.4</v>
      </c>
      <c r="AC6" s="1">
        <v>58.2</v>
      </c>
      <c r="AD6" s="1">
        <v>26.6</v>
      </c>
      <c r="AE6" s="1"/>
      <c r="AF6" s="1">
        <f>G6*R6</f>
        <v>68.400000000000006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28.873000000000001</v>
      </c>
      <c r="D7" s="1">
        <v>108.458</v>
      </c>
      <c r="E7" s="1">
        <v>16.966999999999999</v>
      </c>
      <c r="F7" s="1">
        <v>116.364</v>
      </c>
      <c r="G7" s="7">
        <v>1</v>
      </c>
      <c r="H7" s="1">
        <v>120</v>
      </c>
      <c r="I7" s="1" t="s">
        <v>35</v>
      </c>
      <c r="J7" s="1"/>
      <c r="K7" s="1">
        <v>17</v>
      </c>
      <c r="L7" s="1">
        <f t="shared" si="2"/>
        <v>-3.3000000000001251E-2</v>
      </c>
      <c r="M7" s="1"/>
      <c r="N7" s="1"/>
      <c r="O7" s="1">
        <v>4</v>
      </c>
      <c r="P7" s="1">
        <f t="shared" si="3"/>
        <v>3.3933999999999997</v>
      </c>
      <c r="Q7" s="5"/>
      <c r="R7" s="5">
        <f t="shared" ref="R7:R70" si="5">ROUND(Q7,0)</f>
        <v>0</v>
      </c>
      <c r="S7" s="1">
        <f t="shared" ref="S7:S70" si="6">(F7+O7+R7)/P7</f>
        <v>35.470030058348563</v>
      </c>
      <c r="T7" s="1">
        <f t="shared" si="4"/>
        <v>35.470030058348563</v>
      </c>
      <c r="U7" s="1">
        <v>7.0721999999999996</v>
      </c>
      <c r="V7" s="1">
        <v>8.3510000000000009</v>
      </c>
      <c r="W7" s="1">
        <v>6.8492000000000006</v>
      </c>
      <c r="X7" s="1">
        <v>5.0434000000000001</v>
      </c>
      <c r="Y7" s="1">
        <v>10.417999999999999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>
        <v>4.343</v>
      </c>
      <c r="AE7" s="1" t="s">
        <v>38</v>
      </c>
      <c r="AF7" s="1">
        <f t="shared" ref="AF7:AF70" si="7"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281</v>
      </c>
      <c r="D8" s="1">
        <v>17</v>
      </c>
      <c r="E8" s="1">
        <v>216</v>
      </c>
      <c r="F8" s="1">
        <v>39</v>
      </c>
      <c r="G8" s="7">
        <v>0.25</v>
      </c>
      <c r="H8" s="1">
        <v>120</v>
      </c>
      <c r="I8" s="1" t="s">
        <v>35</v>
      </c>
      <c r="J8" s="1"/>
      <c r="K8" s="1">
        <v>219</v>
      </c>
      <c r="L8" s="1">
        <f t="shared" si="2"/>
        <v>-3</v>
      </c>
      <c r="M8" s="1"/>
      <c r="N8" s="1"/>
      <c r="O8" s="1">
        <v>360</v>
      </c>
      <c r="P8" s="1">
        <f t="shared" si="3"/>
        <v>43.2</v>
      </c>
      <c r="Q8" s="5">
        <f>20*P8-O8-F8</f>
        <v>465</v>
      </c>
      <c r="R8" s="5">
        <f t="shared" si="5"/>
        <v>465</v>
      </c>
      <c r="S8" s="1">
        <f t="shared" si="6"/>
        <v>20</v>
      </c>
      <c r="T8" s="1">
        <f t="shared" si="4"/>
        <v>9.2361111111111107</v>
      </c>
      <c r="U8" s="1">
        <v>31.8</v>
      </c>
      <c r="V8" s="1">
        <v>22.4</v>
      </c>
      <c r="W8" s="1">
        <v>27.8</v>
      </c>
      <c r="X8" s="1">
        <v>29.4</v>
      </c>
      <c r="Y8" s="1">
        <v>53.8</v>
      </c>
      <c r="Z8" s="1">
        <v>3</v>
      </c>
      <c r="AA8" s="1">
        <v>23</v>
      </c>
      <c r="AB8" s="1">
        <v>29.8</v>
      </c>
      <c r="AC8" s="1">
        <v>17.600000000000001</v>
      </c>
      <c r="AD8" s="1">
        <v>20.2</v>
      </c>
      <c r="AE8" s="1" t="s">
        <v>38</v>
      </c>
      <c r="AF8" s="1">
        <f t="shared" si="7"/>
        <v>116.25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37</v>
      </c>
      <c r="C9" s="1">
        <v>19.899999999999999</v>
      </c>
      <c r="D9" s="1">
        <v>364.79700000000003</v>
      </c>
      <c r="E9" s="1">
        <v>44.164999999999999</v>
      </c>
      <c r="F9" s="1">
        <v>272.464</v>
      </c>
      <c r="G9" s="7">
        <v>1</v>
      </c>
      <c r="H9" s="1">
        <v>60</v>
      </c>
      <c r="I9" s="1" t="s">
        <v>35</v>
      </c>
      <c r="J9" s="1"/>
      <c r="K9" s="1">
        <v>88.748000000000005</v>
      </c>
      <c r="L9" s="1">
        <f t="shared" si="2"/>
        <v>-44.583000000000006</v>
      </c>
      <c r="M9" s="1"/>
      <c r="N9" s="1"/>
      <c r="O9" s="1">
        <v>360</v>
      </c>
      <c r="P9" s="1">
        <f t="shared" si="3"/>
        <v>8.8330000000000002</v>
      </c>
      <c r="Q9" s="5"/>
      <c r="R9" s="5">
        <f t="shared" si="5"/>
        <v>0</v>
      </c>
      <c r="S9" s="1">
        <f t="shared" si="6"/>
        <v>71.602400090569446</v>
      </c>
      <c r="T9" s="1">
        <f t="shared" si="4"/>
        <v>71.602400090569446</v>
      </c>
      <c r="U9" s="1">
        <v>40.827800000000003</v>
      </c>
      <c r="V9" s="1">
        <v>35.464199999999998</v>
      </c>
      <c r="W9" s="1">
        <v>22.991599999999998</v>
      </c>
      <c r="X9" s="1">
        <v>35.211200000000012</v>
      </c>
      <c r="Y9" s="1">
        <v>37.505800000000001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>
        <v>44.527200000000001</v>
      </c>
      <c r="AE9" s="9" t="s">
        <v>104</v>
      </c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37</v>
      </c>
      <c r="C10" s="1">
        <v>1.508</v>
      </c>
      <c r="D10" s="1">
        <v>79.658000000000001</v>
      </c>
      <c r="E10" s="1">
        <v>10.97</v>
      </c>
      <c r="F10" s="1">
        <v>66.215999999999994</v>
      </c>
      <c r="G10" s="7">
        <v>1</v>
      </c>
      <c r="H10" s="1">
        <v>120</v>
      </c>
      <c r="I10" s="1" t="s">
        <v>35</v>
      </c>
      <c r="J10" s="1"/>
      <c r="K10" s="1">
        <v>16.5</v>
      </c>
      <c r="L10" s="1">
        <f t="shared" si="2"/>
        <v>-5.5299999999999994</v>
      </c>
      <c r="M10" s="1"/>
      <c r="N10" s="1"/>
      <c r="O10" s="1">
        <v>33</v>
      </c>
      <c r="P10" s="1">
        <f t="shared" si="3"/>
        <v>2.194</v>
      </c>
      <c r="Q10" s="5"/>
      <c r="R10" s="5">
        <f t="shared" si="5"/>
        <v>0</v>
      </c>
      <c r="S10" s="1">
        <f t="shared" si="6"/>
        <v>45.221513217866907</v>
      </c>
      <c r="T10" s="1">
        <f t="shared" si="4"/>
        <v>45.221513217866907</v>
      </c>
      <c r="U10" s="1">
        <v>5.806</v>
      </c>
      <c r="V10" s="1">
        <v>5.4875999999999996</v>
      </c>
      <c r="W10" s="1">
        <v>0.2</v>
      </c>
      <c r="X10" s="1">
        <v>0.1976</v>
      </c>
      <c r="Y10" s="1">
        <v>6.0484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>
        <v>3.0634000000000001</v>
      </c>
      <c r="AE10" s="1" t="s">
        <v>38</v>
      </c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37</v>
      </c>
      <c r="C11" s="1">
        <v>14.912000000000001</v>
      </c>
      <c r="D11" s="1">
        <v>4.0670000000000002</v>
      </c>
      <c r="E11" s="1">
        <v>17.564</v>
      </c>
      <c r="F11" s="1">
        <v>1.415</v>
      </c>
      <c r="G11" s="7">
        <v>1</v>
      </c>
      <c r="H11" s="1">
        <v>60</v>
      </c>
      <c r="I11" s="1" t="s">
        <v>35</v>
      </c>
      <c r="J11" s="1"/>
      <c r="K11" s="1">
        <v>35.700000000000003</v>
      </c>
      <c r="L11" s="1">
        <f t="shared" si="2"/>
        <v>-18.136000000000003</v>
      </c>
      <c r="M11" s="1"/>
      <c r="N11" s="1"/>
      <c r="O11" s="1">
        <v>70</v>
      </c>
      <c r="P11" s="1">
        <f t="shared" si="3"/>
        <v>3.5127999999999999</v>
      </c>
      <c r="Q11" s="5"/>
      <c r="R11" s="5">
        <f t="shared" si="5"/>
        <v>0</v>
      </c>
      <c r="S11" s="1">
        <f t="shared" si="6"/>
        <v>20.329936233204283</v>
      </c>
      <c r="T11" s="1">
        <f t="shared" si="4"/>
        <v>20.329936233204283</v>
      </c>
      <c r="U11" s="1">
        <v>7.3248000000000006</v>
      </c>
      <c r="V11" s="1">
        <v>6.0904000000000007</v>
      </c>
      <c r="W11" s="1">
        <v>2.7360000000000002</v>
      </c>
      <c r="X11" s="1">
        <v>6.2005999999999997</v>
      </c>
      <c r="Y11" s="1">
        <v>9.0286000000000008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>
        <v>10.9404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37</v>
      </c>
      <c r="C12" s="1">
        <v>182.922</v>
      </c>
      <c r="D12" s="1">
        <v>8.1349999999999998</v>
      </c>
      <c r="E12" s="1">
        <v>169.63900000000001</v>
      </c>
      <c r="F12" s="1">
        <v>11.864000000000001</v>
      </c>
      <c r="G12" s="7">
        <v>1</v>
      </c>
      <c r="H12" s="1">
        <v>60</v>
      </c>
      <c r="I12" s="1" t="s">
        <v>35</v>
      </c>
      <c r="J12" s="1"/>
      <c r="K12" s="1">
        <v>160.4</v>
      </c>
      <c r="L12" s="1">
        <f t="shared" si="2"/>
        <v>9.2390000000000043</v>
      </c>
      <c r="M12" s="1"/>
      <c r="N12" s="1"/>
      <c r="O12" s="1">
        <v>142</v>
      </c>
      <c r="P12" s="1">
        <f t="shared" si="3"/>
        <v>33.927800000000005</v>
      </c>
      <c r="Q12" s="5">
        <f t="shared" ref="Q12:Q17" si="8">15*P12-O12-F12</f>
        <v>355.05300000000011</v>
      </c>
      <c r="R12" s="5">
        <f t="shared" si="5"/>
        <v>355</v>
      </c>
      <c r="S12" s="1">
        <f t="shared" si="6"/>
        <v>14.998437859218692</v>
      </c>
      <c r="T12" s="1">
        <f t="shared" si="4"/>
        <v>4.5350420599036774</v>
      </c>
      <c r="U12" s="1">
        <v>22.140599999999999</v>
      </c>
      <c r="V12" s="1">
        <v>5.3874000000000004</v>
      </c>
      <c r="W12" s="1">
        <v>32.887999999999998</v>
      </c>
      <c r="X12" s="1">
        <v>23.7438</v>
      </c>
      <c r="Y12" s="1">
        <v>30.880600000000001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>
        <v>35.5212</v>
      </c>
      <c r="AE12" s="1"/>
      <c r="AF12" s="1">
        <f t="shared" si="7"/>
        <v>355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12</v>
      </c>
      <c r="D13" s="1">
        <v>449</v>
      </c>
      <c r="E13" s="1">
        <v>26</v>
      </c>
      <c r="F13" s="1">
        <v>392</v>
      </c>
      <c r="G13" s="7">
        <v>0.25</v>
      </c>
      <c r="H13" s="1">
        <v>120</v>
      </c>
      <c r="I13" s="1" t="s">
        <v>35</v>
      </c>
      <c r="J13" s="1"/>
      <c r="K13" s="1">
        <v>85</v>
      </c>
      <c r="L13" s="1">
        <f t="shared" si="2"/>
        <v>-59</v>
      </c>
      <c r="M13" s="1"/>
      <c r="N13" s="1"/>
      <c r="O13" s="1">
        <v>267</v>
      </c>
      <c r="P13" s="1">
        <f t="shared" si="3"/>
        <v>5.2</v>
      </c>
      <c r="Q13" s="5"/>
      <c r="R13" s="5">
        <f t="shared" si="5"/>
        <v>0</v>
      </c>
      <c r="S13" s="1">
        <f t="shared" si="6"/>
        <v>126.73076923076923</v>
      </c>
      <c r="T13" s="1">
        <f t="shared" si="4"/>
        <v>126.73076923076923</v>
      </c>
      <c r="U13" s="1">
        <v>36.200000000000003</v>
      </c>
      <c r="V13" s="1">
        <v>45.2</v>
      </c>
      <c r="W13" s="1">
        <v>21.4</v>
      </c>
      <c r="X13" s="1">
        <v>18.2</v>
      </c>
      <c r="Y13" s="1">
        <v>39.799999999999997</v>
      </c>
      <c r="Z13" s="1">
        <v>32.200000000000003</v>
      </c>
      <c r="AA13" s="1">
        <v>24</v>
      </c>
      <c r="AB13" s="1">
        <v>16.8</v>
      </c>
      <c r="AC13" s="1">
        <v>39</v>
      </c>
      <c r="AD13" s="1">
        <v>21.2</v>
      </c>
      <c r="AE13" s="1" t="s">
        <v>38</v>
      </c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37</v>
      </c>
      <c r="C14" s="1">
        <v>8.9659999999999993</v>
      </c>
      <c r="D14" s="1">
        <v>37.011000000000003</v>
      </c>
      <c r="E14" s="1">
        <v>13.425000000000001</v>
      </c>
      <c r="F14" s="1">
        <v>31.155999999999999</v>
      </c>
      <c r="G14" s="7">
        <v>1</v>
      </c>
      <c r="H14" s="1">
        <v>60</v>
      </c>
      <c r="I14" s="1" t="s">
        <v>35</v>
      </c>
      <c r="J14" s="1"/>
      <c r="K14" s="1">
        <v>19.899999999999999</v>
      </c>
      <c r="L14" s="1">
        <f t="shared" si="2"/>
        <v>-6.4749999999999979</v>
      </c>
      <c r="M14" s="1"/>
      <c r="N14" s="1"/>
      <c r="O14" s="1">
        <v>41</v>
      </c>
      <c r="P14" s="1">
        <f t="shared" si="3"/>
        <v>2.6850000000000001</v>
      </c>
      <c r="Q14" s="5"/>
      <c r="R14" s="5">
        <f t="shared" si="5"/>
        <v>0</v>
      </c>
      <c r="S14" s="1">
        <f t="shared" si="6"/>
        <v>26.873743016759779</v>
      </c>
      <c r="T14" s="1">
        <f t="shared" si="4"/>
        <v>26.873743016759779</v>
      </c>
      <c r="U14" s="1">
        <v>5.6701999999999986</v>
      </c>
      <c r="V14" s="1">
        <v>4.8360000000000003</v>
      </c>
      <c r="W14" s="1">
        <v>4.3343999999999996</v>
      </c>
      <c r="X14" s="1">
        <v>3.8136000000000001</v>
      </c>
      <c r="Y14" s="1">
        <v>3.4849999999999999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">
        <v>5.9554</v>
      </c>
      <c r="AE14" s="1"/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215</v>
      </c>
      <c r="D15" s="1">
        <v>409</v>
      </c>
      <c r="E15" s="1">
        <v>210</v>
      </c>
      <c r="F15" s="1">
        <v>366</v>
      </c>
      <c r="G15" s="7">
        <v>0.25</v>
      </c>
      <c r="H15" s="1">
        <v>120</v>
      </c>
      <c r="I15" s="1" t="s">
        <v>35</v>
      </c>
      <c r="J15" s="1"/>
      <c r="K15" s="1">
        <v>213</v>
      </c>
      <c r="L15" s="1">
        <f t="shared" si="2"/>
        <v>-3</v>
      </c>
      <c r="M15" s="1"/>
      <c r="N15" s="1"/>
      <c r="O15" s="1">
        <v>292</v>
      </c>
      <c r="P15" s="1">
        <f t="shared" si="3"/>
        <v>42</v>
      </c>
      <c r="Q15" s="5">
        <f>20*P15-O15-F15</f>
        <v>182</v>
      </c>
      <c r="R15" s="5">
        <f t="shared" si="5"/>
        <v>182</v>
      </c>
      <c r="S15" s="1">
        <f t="shared" si="6"/>
        <v>20</v>
      </c>
      <c r="T15" s="1">
        <f t="shared" si="4"/>
        <v>15.666666666666666</v>
      </c>
      <c r="U15" s="1">
        <v>44.6</v>
      </c>
      <c r="V15" s="1">
        <v>53.2</v>
      </c>
      <c r="W15" s="1">
        <v>36</v>
      </c>
      <c r="X15" s="1">
        <v>37</v>
      </c>
      <c r="Y15" s="1">
        <v>50.6</v>
      </c>
      <c r="Z15" s="1">
        <v>39</v>
      </c>
      <c r="AA15" s="1">
        <v>43.6</v>
      </c>
      <c r="AB15" s="1">
        <v>47.4</v>
      </c>
      <c r="AC15" s="1">
        <v>40.6</v>
      </c>
      <c r="AD15" s="1">
        <v>29.6</v>
      </c>
      <c r="AE15" s="1" t="s">
        <v>38</v>
      </c>
      <c r="AF15" s="1">
        <f t="shared" si="7"/>
        <v>45.5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167</v>
      </c>
      <c r="D16" s="1">
        <v>204</v>
      </c>
      <c r="E16" s="1">
        <v>88</v>
      </c>
      <c r="F16" s="1">
        <v>268</v>
      </c>
      <c r="G16" s="7">
        <v>0.4</v>
      </c>
      <c r="H16" s="1">
        <v>60</v>
      </c>
      <c r="I16" s="1" t="s">
        <v>35</v>
      </c>
      <c r="J16" s="1"/>
      <c r="K16" s="1">
        <v>86</v>
      </c>
      <c r="L16" s="1">
        <f t="shared" si="2"/>
        <v>2</v>
      </c>
      <c r="M16" s="1"/>
      <c r="N16" s="1"/>
      <c r="O16" s="1">
        <v>0</v>
      </c>
      <c r="P16" s="1">
        <f t="shared" si="3"/>
        <v>17.600000000000001</v>
      </c>
      <c r="Q16" s="5"/>
      <c r="R16" s="5">
        <f t="shared" si="5"/>
        <v>0</v>
      </c>
      <c r="S16" s="1">
        <f t="shared" si="6"/>
        <v>15.227272727272727</v>
      </c>
      <c r="T16" s="1">
        <f t="shared" si="4"/>
        <v>15.227272727272727</v>
      </c>
      <c r="U16" s="1">
        <v>17.600000000000001</v>
      </c>
      <c r="V16" s="1">
        <v>26.6</v>
      </c>
      <c r="W16" s="1">
        <v>10.8</v>
      </c>
      <c r="X16" s="1">
        <v>15.4</v>
      </c>
      <c r="Y16" s="1">
        <v>33.6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>
        <v>10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37</v>
      </c>
      <c r="C17" s="1">
        <v>150.72999999999999</v>
      </c>
      <c r="D17" s="1">
        <v>429.05799999999999</v>
      </c>
      <c r="E17" s="1">
        <v>173.316</v>
      </c>
      <c r="F17" s="1">
        <v>362.63</v>
      </c>
      <c r="G17" s="7">
        <v>1</v>
      </c>
      <c r="H17" s="1">
        <v>45</v>
      </c>
      <c r="I17" s="1" t="s">
        <v>35</v>
      </c>
      <c r="J17" s="1"/>
      <c r="K17" s="1">
        <v>164.5</v>
      </c>
      <c r="L17" s="1">
        <f t="shared" si="2"/>
        <v>8.8160000000000025</v>
      </c>
      <c r="M17" s="1"/>
      <c r="N17" s="1"/>
      <c r="O17" s="1">
        <v>0</v>
      </c>
      <c r="P17" s="1">
        <f t="shared" si="3"/>
        <v>34.663200000000003</v>
      </c>
      <c r="Q17" s="5">
        <f t="shared" si="8"/>
        <v>157.3180000000001</v>
      </c>
      <c r="R17" s="5">
        <f t="shared" si="5"/>
        <v>157</v>
      </c>
      <c r="S17" s="1">
        <f t="shared" si="6"/>
        <v>14.990826005677489</v>
      </c>
      <c r="T17" s="1">
        <f t="shared" si="4"/>
        <v>10.46152692192296</v>
      </c>
      <c r="U17" s="1">
        <v>30.606400000000001</v>
      </c>
      <c r="V17" s="1">
        <v>45.867800000000003</v>
      </c>
      <c r="W17" s="1">
        <v>34.546199999999999</v>
      </c>
      <c r="X17" s="1">
        <v>30.534400000000002</v>
      </c>
      <c r="Y17" s="1">
        <v>39.906199999999998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>
        <v>39.526200000000003</v>
      </c>
      <c r="AE17" s="1"/>
      <c r="AF17" s="1">
        <f t="shared" si="7"/>
        <v>157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49</v>
      </c>
      <c r="B18" s="10" t="s">
        <v>34</v>
      </c>
      <c r="C18" s="10">
        <v>24</v>
      </c>
      <c r="D18" s="10">
        <v>2</v>
      </c>
      <c r="E18" s="10">
        <v>15</v>
      </c>
      <c r="F18" s="10">
        <v>9</v>
      </c>
      <c r="G18" s="11">
        <v>0</v>
      </c>
      <c r="H18" s="10">
        <v>60</v>
      </c>
      <c r="I18" s="10" t="s">
        <v>50</v>
      </c>
      <c r="J18" s="10"/>
      <c r="K18" s="10">
        <v>25</v>
      </c>
      <c r="L18" s="10">
        <f t="shared" si="2"/>
        <v>-10</v>
      </c>
      <c r="M18" s="10"/>
      <c r="N18" s="10"/>
      <c r="O18" s="10">
        <v>0</v>
      </c>
      <c r="P18" s="10">
        <f t="shared" si="3"/>
        <v>3</v>
      </c>
      <c r="Q18" s="12"/>
      <c r="R18" s="5">
        <f t="shared" si="5"/>
        <v>0</v>
      </c>
      <c r="S18" s="1">
        <f t="shared" si="6"/>
        <v>3</v>
      </c>
      <c r="T18" s="10">
        <f t="shared" si="4"/>
        <v>3</v>
      </c>
      <c r="U18" s="10">
        <v>0.4</v>
      </c>
      <c r="V18" s="10">
        <v>2.4</v>
      </c>
      <c r="W18" s="10">
        <v>3.2</v>
      </c>
      <c r="X18" s="10">
        <v>2.4</v>
      </c>
      <c r="Y18" s="10">
        <v>0</v>
      </c>
      <c r="Z18" s="10">
        <v>1.4</v>
      </c>
      <c r="AA18" s="10">
        <v>1.4</v>
      </c>
      <c r="AB18" s="10">
        <v>0.2</v>
      </c>
      <c r="AC18" s="10">
        <v>6</v>
      </c>
      <c r="AD18" s="10">
        <v>3.2</v>
      </c>
      <c r="AE18" s="10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37</v>
      </c>
      <c r="C19" s="1">
        <v>86.376000000000005</v>
      </c>
      <c r="D19" s="1">
        <v>3.9940000000000002</v>
      </c>
      <c r="E19" s="1">
        <v>20.268000000000001</v>
      </c>
      <c r="F19" s="1">
        <v>66.108000000000004</v>
      </c>
      <c r="G19" s="7">
        <v>1</v>
      </c>
      <c r="H19" s="1">
        <v>120</v>
      </c>
      <c r="I19" s="1" t="s">
        <v>35</v>
      </c>
      <c r="J19" s="1"/>
      <c r="K19" s="1">
        <v>20</v>
      </c>
      <c r="L19" s="1">
        <f t="shared" si="2"/>
        <v>0.26800000000000068</v>
      </c>
      <c r="M19" s="1"/>
      <c r="N19" s="1"/>
      <c r="O19" s="1">
        <v>18</v>
      </c>
      <c r="P19" s="1">
        <f t="shared" si="3"/>
        <v>4.0536000000000003</v>
      </c>
      <c r="Q19" s="5"/>
      <c r="R19" s="5">
        <f t="shared" si="5"/>
        <v>0</v>
      </c>
      <c r="S19" s="1">
        <f t="shared" si="6"/>
        <v>20.748963883955003</v>
      </c>
      <c r="T19" s="1">
        <f t="shared" si="4"/>
        <v>20.748963883955003</v>
      </c>
      <c r="U19" s="1">
        <v>5.4851999999999999</v>
      </c>
      <c r="V19" s="1">
        <v>5.8171999999999997</v>
      </c>
      <c r="W19" s="1">
        <v>6.9495999999999993</v>
      </c>
      <c r="X19" s="1">
        <v>2.3774000000000002</v>
      </c>
      <c r="Y19" s="1">
        <v>3.0162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>
        <v>1.4081999999999999</v>
      </c>
      <c r="AE19" s="1" t="s">
        <v>38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34</v>
      </c>
      <c r="C20" s="1">
        <v>-1</v>
      </c>
      <c r="D20" s="1">
        <v>376</v>
      </c>
      <c r="E20" s="1">
        <v>91</v>
      </c>
      <c r="F20" s="1">
        <v>256</v>
      </c>
      <c r="G20" s="7">
        <v>0.4</v>
      </c>
      <c r="H20" s="1">
        <v>45</v>
      </c>
      <c r="I20" s="1" t="s">
        <v>35</v>
      </c>
      <c r="J20" s="1"/>
      <c r="K20" s="1">
        <v>145</v>
      </c>
      <c r="L20" s="1">
        <f t="shared" si="2"/>
        <v>-54</v>
      </c>
      <c r="M20" s="1"/>
      <c r="N20" s="1"/>
      <c r="O20" s="1">
        <v>0</v>
      </c>
      <c r="P20" s="1">
        <f t="shared" si="3"/>
        <v>18.2</v>
      </c>
      <c r="Q20" s="5">
        <f t="shared" ref="Q20:Q23" si="9">15*P20-O20-F20</f>
        <v>17</v>
      </c>
      <c r="R20" s="5">
        <f t="shared" si="5"/>
        <v>17</v>
      </c>
      <c r="S20" s="1">
        <f t="shared" si="6"/>
        <v>15</v>
      </c>
      <c r="T20" s="1">
        <f t="shared" si="4"/>
        <v>14.065934065934066</v>
      </c>
      <c r="U20" s="1">
        <v>23.2</v>
      </c>
      <c r="V20" s="1">
        <v>42</v>
      </c>
      <c r="W20" s="1">
        <v>31.8</v>
      </c>
      <c r="X20" s="1">
        <v>31.4</v>
      </c>
      <c r="Y20" s="1">
        <v>39.799999999999997</v>
      </c>
      <c r="Z20" s="1">
        <v>30.4</v>
      </c>
      <c r="AA20" s="1">
        <v>33.4</v>
      </c>
      <c r="AB20" s="1">
        <v>17.399999999999999</v>
      </c>
      <c r="AC20" s="1">
        <v>29.4</v>
      </c>
      <c r="AD20" s="1">
        <v>27.2</v>
      </c>
      <c r="AE20" s="1"/>
      <c r="AF20" s="1">
        <f t="shared" si="7"/>
        <v>6.8000000000000007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37</v>
      </c>
      <c r="C21" s="1">
        <v>27.56</v>
      </c>
      <c r="D21" s="1">
        <v>215.6</v>
      </c>
      <c r="E21" s="1">
        <v>40.762999999999998</v>
      </c>
      <c r="F21" s="1">
        <v>161.721</v>
      </c>
      <c r="G21" s="7">
        <v>1</v>
      </c>
      <c r="H21" s="1">
        <v>60</v>
      </c>
      <c r="I21" s="1" t="s">
        <v>35</v>
      </c>
      <c r="J21" s="1"/>
      <c r="K21" s="1">
        <v>73.099999999999994</v>
      </c>
      <c r="L21" s="1">
        <f t="shared" si="2"/>
        <v>-32.336999999999996</v>
      </c>
      <c r="M21" s="1"/>
      <c r="N21" s="1"/>
      <c r="O21" s="1">
        <v>40</v>
      </c>
      <c r="P21" s="1">
        <f t="shared" si="3"/>
        <v>8.1525999999999996</v>
      </c>
      <c r="Q21" s="5"/>
      <c r="R21" s="5">
        <f t="shared" si="5"/>
        <v>0</v>
      </c>
      <c r="S21" s="1">
        <f t="shared" si="6"/>
        <v>24.743149424723402</v>
      </c>
      <c r="T21" s="1">
        <f t="shared" si="4"/>
        <v>24.743149424723402</v>
      </c>
      <c r="U21" s="1">
        <v>17.556799999999999</v>
      </c>
      <c r="V21" s="1">
        <v>21.112400000000001</v>
      </c>
      <c r="W21" s="1">
        <v>24.304200000000002</v>
      </c>
      <c r="X21" s="1">
        <v>17.704999999999998</v>
      </c>
      <c r="Y21" s="1">
        <v>11.230600000000001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>
        <v>19.7346</v>
      </c>
      <c r="AE21" s="1"/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34</v>
      </c>
      <c r="C22" s="1">
        <v>243</v>
      </c>
      <c r="D22" s="1">
        <v>601</v>
      </c>
      <c r="E22" s="1">
        <v>254</v>
      </c>
      <c r="F22" s="1">
        <v>543</v>
      </c>
      <c r="G22" s="7">
        <v>0.22</v>
      </c>
      <c r="H22" s="1">
        <v>120</v>
      </c>
      <c r="I22" s="1" t="s">
        <v>35</v>
      </c>
      <c r="J22" s="1"/>
      <c r="K22" s="1">
        <v>260</v>
      </c>
      <c r="L22" s="1">
        <f t="shared" si="2"/>
        <v>-6</v>
      </c>
      <c r="M22" s="1"/>
      <c r="N22" s="1"/>
      <c r="O22" s="1">
        <v>0</v>
      </c>
      <c r="P22" s="1">
        <f t="shared" si="3"/>
        <v>50.8</v>
      </c>
      <c r="Q22" s="5">
        <f>20*P22-O22-F22</f>
        <v>473</v>
      </c>
      <c r="R22" s="5">
        <f t="shared" si="5"/>
        <v>473</v>
      </c>
      <c r="S22" s="1">
        <f t="shared" si="6"/>
        <v>20</v>
      </c>
      <c r="T22" s="1">
        <f t="shared" si="4"/>
        <v>10.688976377952757</v>
      </c>
      <c r="U22" s="1">
        <v>39.6</v>
      </c>
      <c r="V22" s="1">
        <v>53.4</v>
      </c>
      <c r="W22" s="1">
        <v>36.200000000000003</v>
      </c>
      <c r="X22" s="1">
        <v>39.200000000000003</v>
      </c>
      <c r="Y22" s="1">
        <v>46.6</v>
      </c>
      <c r="Z22" s="1">
        <v>40.4</v>
      </c>
      <c r="AA22" s="1">
        <v>43.2</v>
      </c>
      <c r="AB22" s="1">
        <v>45</v>
      </c>
      <c r="AC22" s="1">
        <v>49.2</v>
      </c>
      <c r="AD22" s="1">
        <v>40</v>
      </c>
      <c r="AE22" s="1" t="s">
        <v>38</v>
      </c>
      <c r="AF22" s="1">
        <f t="shared" si="7"/>
        <v>104.06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55</v>
      </c>
      <c r="B23" s="1" t="s">
        <v>37</v>
      </c>
      <c r="C23" s="1">
        <v>59.223999999999997</v>
      </c>
      <c r="D23" s="1">
        <v>0.60399999999999998</v>
      </c>
      <c r="E23" s="1">
        <v>21.312000000000001</v>
      </c>
      <c r="F23" s="1">
        <v>38.515999999999998</v>
      </c>
      <c r="G23" s="7">
        <v>1</v>
      </c>
      <c r="H23" s="1">
        <v>40</v>
      </c>
      <c r="I23" s="1" t="s">
        <v>35</v>
      </c>
      <c r="J23" s="1"/>
      <c r="K23" s="1">
        <v>18.2</v>
      </c>
      <c r="L23" s="1">
        <f t="shared" si="2"/>
        <v>3.1120000000000019</v>
      </c>
      <c r="M23" s="1"/>
      <c r="N23" s="1"/>
      <c r="O23" s="1">
        <v>0</v>
      </c>
      <c r="P23" s="1">
        <f t="shared" si="3"/>
        <v>4.2624000000000004</v>
      </c>
      <c r="Q23" s="5">
        <f t="shared" si="9"/>
        <v>25.420000000000009</v>
      </c>
      <c r="R23" s="5">
        <f t="shared" si="5"/>
        <v>25</v>
      </c>
      <c r="S23" s="1">
        <f t="shared" si="6"/>
        <v>14.901463963963963</v>
      </c>
      <c r="T23" s="1">
        <f t="shared" si="4"/>
        <v>9.0362237237237224</v>
      </c>
      <c r="U23" s="1">
        <v>2.1756000000000002</v>
      </c>
      <c r="V23" s="1">
        <v>4.0891999999999999</v>
      </c>
      <c r="W23" s="1">
        <v>7.2516000000000007</v>
      </c>
      <c r="X23" s="1">
        <v>2.1152000000000002</v>
      </c>
      <c r="Y23" s="1">
        <v>12.4244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7"/>
        <v>25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0" t="s">
        <v>57</v>
      </c>
      <c r="B24" s="10" t="s">
        <v>34</v>
      </c>
      <c r="C24" s="10">
        <v>219</v>
      </c>
      <c r="D24" s="10"/>
      <c r="E24" s="10">
        <v>6</v>
      </c>
      <c r="F24" s="10">
        <v>3</v>
      </c>
      <c r="G24" s="11">
        <v>0</v>
      </c>
      <c r="H24" s="10">
        <v>45</v>
      </c>
      <c r="I24" s="10" t="s">
        <v>50</v>
      </c>
      <c r="J24" s="10"/>
      <c r="K24" s="10">
        <v>6</v>
      </c>
      <c r="L24" s="10">
        <f t="shared" si="2"/>
        <v>0</v>
      </c>
      <c r="M24" s="10"/>
      <c r="N24" s="10"/>
      <c r="O24" s="10">
        <v>0</v>
      </c>
      <c r="P24" s="10">
        <f t="shared" si="3"/>
        <v>1.2</v>
      </c>
      <c r="Q24" s="12"/>
      <c r="R24" s="5">
        <f t="shared" si="5"/>
        <v>0</v>
      </c>
      <c r="S24" s="1">
        <f t="shared" si="6"/>
        <v>2.5</v>
      </c>
      <c r="T24" s="10">
        <f t="shared" si="4"/>
        <v>2.5</v>
      </c>
      <c r="U24" s="10">
        <v>-1</v>
      </c>
      <c r="V24" s="10">
        <v>0.8</v>
      </c>
      <c r="W24" s="10">
        <v>3.4</v>
      </c>
      <c r="X24" s="10">
        <v>0.6</v>
      </c>
      <c r="Y24" s="10">
        <v>6.4</v>
      </c>
      <c r="Z24" s="10">
        <v>12.4</v>
      </c>
      <c r="AA24" s="10">
        <v>1.4</v>
      </c>
      <c r="AB24" s="10">
        <v>1</v>
      </c>
      <c r="AC24" s="10">
        <v>0.6</v>
      </c>
      <c r="AD24" s="10">
        <v>5.4</v>
      </c>
      <c r="AE24" s="10"/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37</v>
      </c>
      <c r="C25" s="1">
        <v>81.716999999999999</v>
      </c>
      <c r="D25" s="1">
        <v>2.68</v>
      </c>
      <c r="E25" s="1">
        <v>84.481999999999999</v>
      </c>
      <c r="F25" s="1">
        <v>-8.5000000000000006E-2</v>
      </c>
      <c r="G25" s="7">
        <v>1</v>
      </c>
      <c r="H25" s="1">
        <v>60</v>
      </c>
      <c r="I25" s="1" t="s">
        <v>35</v>
      </c>
      <c r="J25" s="1"/>
      <c r="K25" s="1">
        <v>80.5</v>
      </c>
      <c r="L25" s="1">
        <f t="shared" si="2"/>
        <v>3.9819999999999993</v>
      </c>
      <c r="M25" s="1"/>
      <c r="N25" s="1"/>
      <c r="O25" s="1">
        <v>184</v>
      </c>
      <c r="P25" s="1">
        <f t="shared" si="3"/>
        <v>16.8964</v>
      </c>
      <c r="Q25" s="5">
        <f t="shared" ref="Q25:Q31" si="10">15*P25-O25-F25</f>
        <v>69.530999999999992</v>
      </c>
      <c r="R25" s="5">
        <f t="shared" si="5"/>
        <v>70</v>
      </c>
      <c r="S25" s="1">
        <f t="shared" si="6"/>
        <v>15.027757392107194</v>
      </c>
      <c r="T25" s="1">
        <f t="shared" si="4"/>
        <v>10.884863047749816</v>
      </c>
      <c r="U25" s="1">
        <v>19.1616</v>
      </c>
      <c r="V25" s="1">
        <v>12.140599999999999</v>
      </c>
      <c r="W25" s="1">
        <v>8.6478000000000002</v>
      </c>
      <c r="X25" s="1">
        <v>19.2288</v>
      </c>
      <c r="Y25" s="1">
        <v>4.0523999999999996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>
        <v>11.37</v>
      </c>
      <c r="AE25" s="1"/>
      <c r="AF25" s="1">
        <f t="shared" si="7"/>
        <v>70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91</v>
      </c>
      <c r="D26" s="1">
        <v>10</v>
      </c>
      <c r="E26" s="1">
        <v>31</v>
      </c>
      <c r="F26" s="1">
        <v>55</v>
      </c>
      <c r="G26" s="7">
        <v>0.09</v>
      </c>
      <c r="H26" s="1">
        <v>60</v>
      </c>
      <c r="I26" s="1" t="s">
        <v>35</v>
      </c>
      <c r="J26" s="1"/>
      <c r="K26" s="1">
        <v>31</v>
      </c>
      <c r="L26" s="1">
        <f t="shared" si="2"/>
        <v>0</v>
      </c>
      <c r="M26" s="1"/>
      <c r="N26" s="1"/>
      <c r="O26" s="1">
        <v>50</v>
      </c>
      <c r="P26" s="1">
        <f t="shared" si="3"/>
        <v>6.2</v>
      </c>
      <c r="Q26" s="5"/>
      <c r="R26" s="5">
        <f t="shared" si="5"/>
        <v>0</v>
      </c>
      <c r="S26" s="1">
        <f t="shared" si="6"/>
        <v>16.93548387096774</v>
      </c>
      <c r="T26" s="1">
        <f t="shared" si="4"/>
        <v>16.93548387096774</v>
      </c>
      <c r="U26" s="1">
        <v>9.8000000000000007</v>
      </c>
      <c r="V26" s="1">
        <v>9.8000000000000007</v>
      </c>
      <c r="W26" s="1">
        <v>4</v>
      </c>
      <c r="X26" s="1">
        <v>14.4</v>
      </c>
      <c r="Y26" s="1">
        <v>7.8</v>
      </c>
      <c r="Z26" s="1">
        <v>14.6</v>
      </c>
      <c r="AA26" s="1">
        <v>14.4</v>
      </c>
      <c r="AB26" s="1">
        <v>9.4</v>
      </c>
      <c r="AC26" s="1">
        <v>11.4</v>
      </c>
      <c r="AD26" s="1">
        <v>12</v>
      </c>
      <c r="AE26" s="1"/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34</v>
      </c>
      <c r="C27" s="1">
        <v>107</v>
      </c>
      <c r="D27" s="1">
        <v>50</v>
      </c>
      <c r="E27" s="1">
        <v>46</v>
      </c>
      <c r="F27" s="1">
        <v>89</v>
      </c>
      <c r="G27" s="7">
        <v>0.09</v>
      </c>
      <c r="H27" s="1">
        <v>45</v>
      </c>
      <c r="I27" s="1" t="s">
        <v>35</v>
      </c>
      <c r="J27" s="1"/>
      <c r="K27" s="1">
        <v>48</v>
      </c>
      <c r="L27" s="1">
        <f t="shared" si="2"/>
        <v>-2</v>
      </c>
      <c r="M27" s="1"/>
      <c r="N27" s="1"/>
      <c r="O27" s="1">
        <v>70</v>
      </c>
      <c r="P27" s="1">
        <f t="shared" si="3"/>
        <v>9.1999999999999993</v>
      </c>
      <c r="Q27" s="5"/>
      <c r="R27" s="5">
        <f t="shared" si="5"/>
        <v>0</v>
      </c>
      <c r="S27" s="1">
        <f t="shared" si="6"/>
        <v>17.282608695652176</v>
      </c>
      <c r="T27" s="1">
        <f t="shared" si="4"/>
        <v>17.282608695652176</v>
      </c>
      <c r="U27" s="1">
        <v>15</v>
      </c>
      <c r="V27" s="1">
        <v>14.6</v>
      </c>
      <c r="W27" s="1">
        <v>5.6</v>
      </c>
      <c r="X27" s="1">
        <v>14</v>
      </c>
      <c r="Y27" s="1">
        <v>24</v>
      </c>
      <c r="Z27" s="1">
        <v>9.4</v>
      </c>
      <c r="AA27" s="1">
        <v>20.6</v>
      </c>
      <c r="AB27" s="1">
        <v>11.8</v>
      </c>
      <c r="AC27" s="1">
        <v>11.2</v>
      </c>
      <c r="AD27" s="1">
        <v>7.2</v>
      </c>
      <c r="AE27" s="1"/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34</v>
      </c>
      <c r="C28" s="1">
        <v>41</v>
      </c>
      <c r="D28" s="1"/>
      <c r="E28" s="1">
        <v>27</v>
      </c>
      <c r="F28" s="1">
        <v>3</v>
      </c>
      <c r="G28" s="7">
        <v>0.15</v>
      </c>
      <c r="H28" s="1">
        <v>45</v>
      </c>
      <c r="I28" s="1" t="s">
        <v>35</v>
      </c>
      <c r="J28" s="1"/>
      <c r="K28" s="1">
        <v>77</v>
      </c>
      <c r="L28" s="1">
        <f t="shared" si="2"/>
        <v>-50</v>
      </c>
      <c r="M28" s="1"/>
      <c r="N28" s="1"/>
      <c r="O28" s="1">
        <v>245</v>
      </c>
      <c r="P28" s="1">
        <f t="shared" si="3"/>
        <v>5.4</v>
      </c>
      <c r="Q28" s="5"/>
      <c r="R28" s="5">
        <f t="shared" si="5"/>
        <v>0</v>
      </c>
      <c r="S28" s="1">
        <f t="shared" si="6"/>
        <v>45.925925925925924</v>
      </c>
      <c r="T28" s="1">
        <f t="shared" si="4"/>
        <v>45.925925925925924</v>
      </c>
      <c r="U28" s="1">
        <v>35.799999999999997</v>
      </c>
      <c r="V28" s="1">
        <v>13.2</v>
      </c>
      <c r="W28" s="1">
        <v>6.2</v>
      </c>
      <c r="X28" s="1">
        <v>13.2</v>
      </c>
      <c r="Y28" s="1">
        <v>34.799999999999997</v>
      </c>
      <c r="Z28" s="1">
        <v>1.8</v>
      </c>
      <c r="AA28" s="1">
        <v>13.4</v>
      </c>
      <c r="AB28" s="1">
        <v>15.4</v>
      </c>
      <c r="AC28" s="1">
        <v>5.2</v>
      </c>
      <c r="AD28" s="1">
        <v>11.8</v>
      </c>
      <c r="AE28" s="1"/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37</v>
      </c>
      <c r="C29" s="1">
        <v>62.494</v>
      </c>
      <c r="D29" s="1">
        <v>488.99700000000001</v>
      </c>
      <c r="E29" s="1">
        <v>145.77699999999999</v>
      </c>
      <c r="F29" s="1">
        <v>327.678</v>
      </c>
      <c r="G29" s="7">
        <v>1</v>
      </c>
      <c r="H29" s="1">
        <v>45</v>
      </c>
      <c r="I29" s="1" t="s">
        <v>35</v>
      </c>
      <c r="J29" s="1"/>
      <c r="K29" s="1">
        <v>243.75</v>
      </c>
      <c r="L29" s="1">
        <f t="shared" si="2"/>
        <v>-97.973000000000013</v>
      </c>
      <c r="M29" s="1"/>
      <c r="N29" s="1"/>
      <c r="O29" s="1">
        <v>620</v>
      </c>
      <c r="P29" s="1">
        <f t="shared" si="3"/>
        <v>29.155399999999997</v>
      </c>
      <c r="Q29" s="5"/>
      <c r="R29" s="5">
        <f t="shared" si="5"/>
        <v>0</v>
      </c>
      <c r="S29" s="1">
        <f t="shared" si="6"/>
        <v>32.504373117844381</v>
      </c>
      <c r="T29" s="1">
        <f t="shared" si="4"/>
        <v>32.504373117844381</v>
      </c>
      <c r="U29" s="1">
        <v>66.340599999999995</v>
      </c>
      <c r="V29" s="1">
        <v>67.525599999999997</v>
      </c>
      <c r="W29" s="1">
        <v>39.037400000000012</v>
      </c>
      <c r="X29" s="1">
        <v>59.512199999999993</v>
      </c>
      <c r="Y29" s="1">
        <v>62.627200000000002</v>
      </c>
      <c r="Z29" s="1">
        <v>30.008800000000001</v>
      </c>
      <c r="AA29" s="1">
        <v>37.003999999999998</v>
      </c>
      <c r="AB29" s="1">
        <v>51.902200000000001</v>
      </c>
      <c r="AC29" s="1">
        <v>56.673999999999999</v>
      </c>
      <c r="AD29" s="1">
        <v>41.094799999999999</v>
      </c>
      <c r="AE29" s="1"/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34</v>
      </c>
      <c r="C30" s="1">
        <v>27</v>
      </c>
      <c r="D30" s="1">
        <v>120</v>
      </c>
      <c r="E30" s="1">
        <v>38</v>
      </c>
      <c r="F30" s="1">
        <v>85</v>
      </c>
      <c r="G30" s="7">
        <v>0.4</v>
      </c>
      <c r="H30" s="1">
        <v>60</v>
      </c>
      <c r="I30" s="1" t="s">
        <v>35</v>
      </c>
      <c r="J30" s="1"/>
      <c r="K30" s="1">
        <v>56</v>
      </c>
      <c r="L30" s="1">
        <f t="shared" si="2"/>
        <v>-18</v>
      </c>
      <c r="M30" s="1"/>
      <c r="N30" s="1"/>
      <c r="O30" s="1">
        <v>95</v>
      </c>
      <c r="P30" s="1">
        <f t="shared" si="3"/>
        <v>7.6</v>
      </c>
      <c r="Q30" s="5"/>
      <c r="R30" s="5">
        <f t="shared" si="5"/>
        <v>0</v>
      </c>
      <c r="S30" s="1">
        <f t="shared" si="6"/>
        <v>23.684210526315791</v>
      </c>
      <c r="T30" s="1">
        <f t="shared" si="4"/>
        <v>23.684210526315791</v>
      </c>
      <c r="U30" s="1">
        <v>15.8</v>
      </c>
      <c r="V30" s="1">
        <v>14.2</v>
      </c>
      <c r="W30" s="1">
        <v>11.4</v>
      </c>
      <c r="X30" s="1">
        <v>4.4000000000000004</v>
      </c>
      <c r="Y30" s="1">
        <v>4.8</v>
      </c>
      <c r="Z30" s="1">
        <v>20.2</v>
      </c>
      <c r="AA30" s="1">
        <v>9</v>
      </c>
      <c r="AB30" s="1">
        <v>9.1999999999999993</v>
      </c>
      <c r="AC30" s="1">
        <v>12.6</v>
      </c>
      <c r="AD30" s="1">
        <v>6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34</v>
      </c>
      <c r="C31" s="1">
        <v>181</v>
      </c>
      <c r="D31" s="1">
        <v>362</v>
      </c>
      <c r="E31" s="1">
        <v>264</v>
      </c>
      <c r="F31" s="1">
        <v>242</v>
      </c>
      <c r="G31" s="7">
        <v>0.4</v>
      </c>
      <c r="H31" s="1">
        <v>60</v>
      </c>
      <c r="I31" s="1" t="s">
        <v>35</v>
      </c>
      <c r="J31" s="1"/>
      <c r="K31" s="1">
        <v>269</v>
      </c>
      <c r="L31" s="1">
        <f t="shared" si="2"/>
        <v>-5</v>
      </c>
      <c r="M31" s="1"/>
      <c r="N31" s="1"/>
      <c r="O31" s="1">
        <v>215</v>
      </c>
      <c r="P31" s="1">
        <f t="shared" si="3"/>
        <v>52.8</v>
      </c>
      <c r="Q31" s="5">
        <f t="shared" si="10"/>
        <v>335</v>
      </c>
      <c r="R31" s="5">
        <f t="shared" si="5"/>
        <v>335</v>
      </c>
      <c r="S31" s="1">
        <f t="shared" si="6"/>
        <v>15</v>
      </c>
      <c r="T31" s="1">
        <f t="shared" si="4"/>
        <v>8.6553030303030312</v>
      </c>
      <c r="U31" s="1">
        <v>48.4</v>
      </c>
      <c r="V31" s="1">
        <v>51.2</v>
      </c>
      <c r="W31" s="1">
        <v>46.2</v>
      </c>
      <c r="X31" s="1">
        <v>56.2</v>
      </c>
      <c r="Y31" s="1">
        <v>71.599999999999994</v>
      </c>
      <c r="Z31" s="1">
        <v>65.2</v>
      </c>
      <c r="AA31" s="1">
        <v>40.200000000000003</v>
      </c>
      <c r="AB31" s="1">
        <v>72.400000000000006</v>
      </c>
      <c r="AC31" s="1">
        <v>67.400000000000006</v>
      </c>
      <c r="AD31" s="1">
        <v>48.4</v>
      </c>
      <c r="AE31" s="1"/>
      <c r="AF31" s="1">
        <f t="shared" si="7"/>
        <v>134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65</v>
      </c>
      <c r="B32" s="10" t="s">
        <v>34</v>
      </c>
      <c r="C32" s="10">
        <v>-6</v>
      </c>
      <c r="D32" s="10"/>
      <c r="E32" s="15">
        <v>9</v>
      </c>
      <c r="F32" s="15">
        <v>-16</v>
      </c>
      <c r="G32" s="11">
        <v>0</v>
      </c>
      <c r="H32" s="10">
        <v>60</v>
      </c>
      <c r="I32" s="10" t="s">
        <v>50</v>
      </c>
      <c r="J32" s="10" t="s">
        <v>66</v>
      </c>
      <c r="K32" s="10">
        <v>74</v>
      </c>
      <c r="L32" s="10">
        <f t="shared" si="2"/>
        <v>-65</v>
      </c>
      <c r="M32" s="10"/>
      <c r="N32" s="10"/>
      <c r="O32" s="10">
        <v>0</v>
      </c>
      <c r="P32" s="10">
        <f t="shared" si="3"/>
        <v>1.8</v>
      </c>
      <c r="Q32" s="12"/>
      <c r="R32" s="5">
        <f t="shared" si="5"/>
        <v>0</v>
      </c>
      <c r="S32" s="1">
        <f t="shared" si="6"/>
        <v>-8.8888888888888893</v>
      </c>
      <c r="T32" s="10">
        <f t="shared" si="4"/>
        <v>-8.8888888888888893</v>
      </c>
      <c r="U32" s="10">
        <v>0</v>
      </c>
      <c r="V32" s="10">
        <v>0.8</v>
      </c>
      <c r="W32" s="10">
        <v>8.8000000000000007</v>
      </c>
      <c r="X32" s="10">
        <v>42.6</v>
      </c>
      <c r="Y32" s="10">
        <v>57</v>
      </c>
      <c r="Z32" s="10">
        <v>48.2</v>
      </c>
      <c r="AA32" s="10">
        <v>28.2</v>
      </c>
      <c r="AB32" s="10">
        <v>33.200000000000003</v>
      </c>
      <c r="AC32" s="10">
        <v>67.400000000000006</v>
      </c>
      <c r="AD32" s="10">
        <v>35.200000000000003</v>
      </c>
      <c r="AE32" s="10" t="s">
        <v>67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34</v>
      </c>
      <c r="C33" s="1"/>
      <c r="D33" s="1">
        <v>448</v>
      </c>
      <c r="E33" s="1">
        <v>89</v>
      </c>
      <c r="F33" s="1">
        <v>330</v>
      </c>
      <c r="G33" s="7">
        <v>0.4</v>
      </c>
      <c r="H33" s="1">
        <v>60</v>
      </c>
      <c r="I33" s="1" t="s">
        <v>35</v>
      </c>
      <c r="J33" s="1"/>
      <c r="K33" s="1">
        <v>199</v>
      </c>
      <c r="L33" s="1">
        <f t="shared" si="2"/>
        <v>-110</v>
      </c>
      <c r="M33" s="1"/>
      <c r="N33" s="1"/>
      <c r="O33" s="1">
        <v>62</v>
      </c>
      <c r="P33" s="1">
        <f t="shared" si="3"/>
        <v>17.8</v>
      </c>
      <c r="Q33" s="5"/>
      <c r="R33" s="5">
        <f t="shared" si="5"/>
        <v>0</v>
      </c>
      <c r="S33" s="1">
        <f t="shared" si="6"/>
        <v>22.022471910112358</v>
      </c>
      <c r="T33" s="1">
        <f t="shared" si="4"/>
        <v>22.022471910112358</v>
      </c>
      <c r="U33" s="1">
        <v>33.799999999999997</v>
      </c>
      <c r="V33" s="1">
        <v>46</v>
      </c>
      <c r="W33" s="1">
        <v>34.4</v>
      </c>
      <c r="X33" s="1">
        <v>57</v>
      </c>
      <c r="Y33" s="1">
        <v>67.8</v>
      </c>
      <c r="Z33" s="1">
        <v>64.599999999999994</v>
      </c>
      <c r="AA33" s="1">
        <v>57.2</v>
      </c>
      <c r="AB33" s="1">
        <v>63.2</v>
      </c>
      <c r="AC33" s="1">
        <v>67.599999999999994</v>
      </c>
      <c r="AD33" s="1">
        <v>52.8</v>
      </c>
      <c r="AE33" s="1"/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34</v>
      </c>
      <c r="C34" s="1"/>
      <c r="D34" s="1">
        <v>48</v>
      </c>
      <c r="E34" s="1">
        <v>1</v>
      </c>
      <c r="F34" s="1">
        <v>45</v>
      </c>
      <c r="G34" s="7">
        <v>0.3</v>
      </c>
      <c r="H34" s="1">
        <v>45</v>
      </c>
      <c r="I34" s="1" t="s">
        <v>35</v>
      </c>
      <c r="J34" s="1"/>
      <c r="K34" s="1"/>
      <c r="L34" s="1">
        <f t="shared" si="2"/>
        <v>1</v>
      </c>
      <c r="M34" s="1"/>
      <c r="N34" s="1"/>
      <c r="O34" s="1">
        <v>0</v>
      </c>
      <c r="P34" s="1">
        <f t="shared" si="3"/>
        <v>0.2</v>
      </c>
      <c r="Q34" s="5"/>
      <c r="R34" s="5">
        <f t="shared" si="5"/>
        <v>0</v>
      </c>
      <c r="S34" s="1">
        <f t="shared" si="6"/>
        <v>225</v>
      </c>
      <c r="T34" s="1">
        <f t="shared" si="4"/>
        <v>225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70</v>
      </c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0" t="s">
        <v>71</v>
      </c>
      <c r="B35" s="10" t="s">
        <v>34</v>
      </c>
      <c r="C35" s="10">
        <v>14</v>
      </c>
      <c r="D35" s="10">
        <v>13</v>
      </c>
      <c r="E35" s="15">
        <v>37</v>
      </c>
      <c r="F35" s="15">
        <v>-10</v>
      </c>
      <c r="G35" s="11">
        <v>0</v>
      </c>
      <c r="H35" s="10">
        <v>60</v>
      </c>
      <c r="I35" s="10" t="s">
        <v>50</v>
      </c>
      <c r="J35" s="13" t="s">
        <v>72</v>
      </c>
      <c r="K35" s="10">
        <v>59</v>
      </c>
      <c r="L35" s="10">
        <f t="shared" si="2"/>
        <v>-22</v>
      </c>
      <c r="M35" s="10"/>
      <c r="N35" s="10"/>
      <c r="O35" s="10">
        <v>0</v>
      </c>
      <c r="P35" s="10">
        <f t="shared" si="3"/>
        <v>7.4</v>
      </c>
      <c r="Q35" s="12"/>
      <c r="R35" s="5">
        <f t="shared" si="5"/>
        <v>0</v>
      </c>
      <c r="S35" s="1">
        <f t="shared" si="6"/>
        <v>-1.3513513513513513</v>
      </c>
      <c r="T35" s="10">
        <f t="shared" si="4"/>
        <v>-1.3513513513513513</v>
      </c>
      <c r="U35" s="10">
        <v>39</v>
      </c>
      <c r="V35" s="10">
        <v>39.799999999999997</v>
      </c>
      <c r="W35" s="10">
        <v>36</v>
      </c>
      <c r="X35" s="10">
        <v>33.200000000000003</v>
      </c>
      <c r="Y35" s="10">
        <v>58.6</v>
      </c>
      <c r="Z35" s="10">
        <v>40.799999999999997</v>
      </c>
      <c r="AA35" s="10">
        <v>38.200000000000003</v>
      </c>
      <c r="AB35" s="10">
        <v>25.8</v>
      </c>
      <c r="AC35" s="10">
        <v>52.2</v>
      </c>
      <c r="AD35" s="10">
        <v>24.6</v>
      </c>
      <c r="AE35" s="10" t="s">
        <v>73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74</v>
      </c>
      <c r="B36" s="10" t="s">
        <v>34</v>
      </c>
      <c r="C36" s="10">
        <v>64</v>
      </c>
      <c r="D36" s="10"/>
      <c r="E36" s="10"/>
      <c r="F36" s="15">
        <v>-2</v>
      </c>
      <c r="G36" s="11">
        <v>0</v>
      </c>
      <c r="H36" s="10">
        <v>45</v>
      </c>
      <c r="I36" s="10" t="s">
        <v>50</v>
      </c>
      <c r="J36" s="10" t="s">
        <v>75</v>
      </c>
      <c r="K36" s="10">
        <v>4</v>
      </c>
      <c r="L36" s="10">
        <f t="shared" si="2"/>
        <v>-4</v>
      </c>
      <c r="M36" s="10"/>
      <c r="N36" s="10"/>
      <c r="O36" s="10">
        <v>0</v>
      </c>
      <c r="P36" s="10">
        <f t="shared" si="3"/>
        <v>0</v>
      </c>
      <c r="Q36" s="12"/>
      <c r="R36" s="5">
        <f t="shared" si="5"/>
        <v>0</v>
      </c>
      <c r="S36" s="1" t="e">
        <f t="shared" si="6"/>
        <v>#DIV/0!</v>
      </c>
      <c r="T36" s="10" t="e">
        <f t="shared" si="4"/>
        <v>#DIV/0!</v>
      </c>
      <c r="U36" s="10">
        <v>2</v>
      </c>
      <c r="V36" s="10">
        <v>2.8</v>
      </c>
      <c r="W36" s="10">
        <v>3.8</v>
      </c>
      <c r="X36" s="10">
        <v>10.6</v>
      </c>
      <c r="Y36" s="10">
        <v>3.2</v>
      </c>
      <c r="Z36" s="10">
        <v>-0.6</v>
      </c>
      <c r="AA36" s="10">
        <v>8.1999999999999993</v>
      </c>
      <c r="AB36" s="10">
        <v>1.4</v>
      </c>
      <c r="AC36" s="10">
        <v>1.4</v>
      </c>
      <c r="AD36" s="10">
        <v>2.8</v>
      </c>
      <c r="AE36" s="10" t="s">
        <v>76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0" t="s">
        <v>77</v>
      </c>
      <c r="B37" s="10" t="s">
        <v>37</v>
      </c>
      <c r="C37" s="10">
        <v>45.584000000000003</v>
      </c>
      <c r="D37" s="10"/>
      <c r="E37" s="10"/>
      <c r="F37" s="10">
        <v>45.584000000000003</v>
      </c>
      <c r="G37" s="11">
        <v>0</v>
      </c>
      <c r="H37" s="10">
        <v>45</v>
      </c>
      <c r="I37" s="10" t="s">
        <v>50</v>
      </c>
      <c r="J37" s="10"/>
      <c r="K37" s="10">
        <v>8</v>
      </c>
      <c r="L37" s="10">
        <f t="shared" si="2"/>
        <v>-8</v>
      </c>
      <c r="M37" s="10"/>
      <c r="N37" s="10"/>
      <c r="O37" s="10">
        <v>0</v>
      </c>
      <c r="P37" s="10">
        <f t="shared" si="3"/>
        <v>0</v>
      </c>
      <c r="Q37" s="12"/>
      <c r="R37" s="5">
        <f t="shared" si="5"/>
        <v>0</v>
      </c>
      <c r="S37" s="1" t="e">
        <f t="shared" si="6"/>
        <v>#DIV/0!</v>
      </c>
      <c r="T37" s="10" t="e">
        <f t="shared" si="4"/>
        <v>#DIV/0!</v>
      </c>
      <c r="U37" s="10">
        <v>0</v>
      </c>
      <c r="V37" s="10">
        <v>0.23780000000000001</v>
      </c>
      <c r="W37" s="10">
        <v>1.9172</v>
      </c>
      <c r="X37" s="10">
        <v>0</v>
      </c>
      <c r="Y37" s="10">
        <v>1.6779999999999999</v>
      </c>
      <c r="Z37" s="10">
        <v>0</v>
      </c>
      <c r="AA37" s="10">
        <v>0.245</v>
      </c>
      <c r="AB37" s="10">
        <v>0</v>
      </c>
      <c r="AC37" s="10">
        <v>0</v>
      </c>
      <c r="AD37" s="10">
        <v>0</v>
      </c>
      <c r="AE37" s="14" t="s">
        <v>56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0" t="s">
        <v>78</v>
      </c>
      <c r="B38" s="10" t="s">
        <v>34</v>
      </c>
      <c r="C38" s="10">
        <v>30</v>
      </c>
      <c r="D38" s="10">
        <v>312</v>
      </c>
      <c r="E38" s="10">
        <v>72</v>
      </c>
      <c r="F38" s="10">
        <v>238</v>
      </c>
      <c r="G38" s="11">
        <v>0</v>
      </c>
      <c r="H38" s="10">
        <v>45</v>
      </c>
      <c r="I38" s="10" t="s">
        <v>50</v>
      </c>
      <c r="J38" s="10"/>
      <c r="K38" s="10">
        <v>199</v>
      </c>
      <c r="L38" s="10">
        <f t="shared" ref="L38:L69" si="11">E38-K38</f>
        <v>-127</v>
      </c>
      <c r="M38" s="10"/>
      <c r="N38" s="10"/>
      <c r="O38" s="10">
        <v>0</v>
      </c>
      <c r="P38" s="10">
        <f t="shared" ref="P38:P69" si="12">E38/5</f>
        <v>14.4</v>
      </c>
      <c r="Q38" s="12"/>
      <c r="R38" s="5">
        <f t="shared" si="5"/>
        <v>0</v>
      </c>
      <c r="S38" s="1">
        <f t="shared" si="6"/>
        <v>16.527777777777779</v>
      </c>
      <c r="T38" s="10">
        <f t="shared" ref="T38:T69" si="13">(F38+O38)/P38</f>
        <v>16.527777777777779</v>
      </c>
      <c r="U38" s="10">
        <v>20.6</v>
      </c>
      <c r="V38" s="10">
        <v>49.171999999999997</v>
      </c>
      <c r="W38" s="10">
        <v>3.2</v>
      </c>
      <c r="X38" s="10">
        <v>36.4</v>
      </c>
      <c r="Y38" s="10">
        <v>56.8</v>
      </c>
      <c r="Z38" s="10">
        <v>33.799999999999997</v>
      </c>
      <c r="AA38" s="10">
        <v>35.6</v>
      </c>
      <c r="AB38" s="10">
        <v>16.600000000000001</v>
      </c>
      <c r="AC38" s="10">
        <v>69</v>
      </c>
      <c r="AD38" s="10">
        <v>28.8</v>
      </c>
      <c r="AE38" s="10" t="s">
        <v>79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34</v>
      </c>
      <c r="C39" s="1">
        <v>67</v>
      </c>
      <c r="D39" s="1">
        <v>2</v>
      </c>
      <c r="E39" s="1">
        <v>24</v>
      </c>
      <c r="F39" s="1">
        <v>43</v>
      </c>
      <c r="G39" s="7">
        <v>0.3</v>
      </c>
      <c r="H39" s="1">
        <v>45</v>
      </c>
      <c r="I39" s="1" t="s">
        <v>35</v>
      </c>
      <c r="J39" s="1"/>
      <c r="K39" s="1">
        <v>24</v>
      </c>
      <c r="L39" s="1">
        <f t="shared" si="11"/>
        <v>0</v>
      </c>
      <c r="M39" s="1"/>
      <c r="N39" s="1"/>
      <c r="O39" s="1">
        <v>0</v>
      </c>
      <c r="P39" s="1">
        <f t="shared" si="12"/>
        <v>4.8</v>
      </c>
      <c r="Q39" s="5">
        <f t="shared" ref="Q39:Q41" si="14">15*P39-O39-F39</f>
        <v>29</v>
      </c>
      <c r="R39" s="5">
        <f t="shared" si="5"/>
        <v>29</v>
      </c>
      <c r="S39" s="1">
        <f t="shared" si="6"/>
        <v>15</v>
      </c>
      <c r="T39" s="1">
        <f t="shared" si="13"/>
        <v>8.9583333333333339</v>
      </c>
      <c r="U39" s="1">
        <v>1.2</v>
      </c>
      <c r="V39" s="1">
        <v>-0.6</v>
      </c>
      <c r="W39" s="1">
        <v>12.8</v>
      </c>
      <c r="X39" s="1">
        <v>3.4</v>
      </c>
      <c r="Y39" s="1">
        <v>8.1999999999999993</v>
      </c>
      <c r="Z39" s="1">
        <v>4.2</v>
      </c>
      <c r="AA39" s="1">
        <v>0.2</v>
      </c>
      <c r="AB39" s="1">
        <v>0</v>
      </c>
      <c r="AC39" s="1">
        <v>0</v>
      </c>
      <c r="AD39" s="1">
        <v>0</v>
      </c>
      <c r="AE39" s="1"/>
      <c r="AF39" s="1">
        <f t="shared" si="7"/>
        <v>8.6999999999999993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37</v>
      </c>
      <c r="C40" s="1">
        <v>-0.53</v>
      </c>
      <c r="D40" s="1">
        <v>208.11600000000001</v>
      </c>
      <c r="E40" s="1">
        <v>13.032</v>
      </c>
      <c r="F40" s="1">
        <v>168.52799999999999</v>
      </c>
      <c r="G40" s="7">
        <v>1</v>
      </c>
      <c r="H40" s="1">
        <v>60</v>
      </c>
      <c r="I40" s="1" t="s">
        <v>35</v>
      </c>
      <c r="J40" s="1"/>
      <c r="K40" s="1">
        <v>28.2</v>
      </c>
      <c r="L40" s="1">
        <f t="shared" si="11"/>
        <v>-15.167999999999999</v>
      </c>
      <c r="M40" s="1"/>
      <c r="N40" s="1"/>
      <c r="O40" s="1">
        <v>0</v>
      </c>
      <c r="P40" s="1">
        <f t="shared" si="12"/>
        <v>2.6063999999999998</v>
      </c>
      <c r="Q40" s="5"/>
      <c r="R40" s="5">
        <f t="shared" si="5"/>
        <v>0</v>
      </c>
      <c r="S40" s="1">
        <f t="shared" si="6"/>
        <v>64.659300184162063</v>
      </c>
      <c r="T40" s="1">
        <f t="shared" si="13"/>
        <v>64.659300184162063</v>
      </c>
      <c r="U40" s="1">
        <v>4.4555999999999996</v>
      </c>
      <c r="V40" s="1">
        <v>21.930199999999999</v>
      </c>
      <c r="W40" s="1">
        <v>12.358000000000001</v>
      </c>
      <c r="X40" s="1">
        <v>16.8752</v>
      </c>
      <c r="Y40" s="1">
        <v>20.814599999999999</v>
      </c>
      <c r="Z40" s="1">
        <v>3.6019999999999999</v>
      </c>
      <c r="AA40" s="1">
        <v>20.556999999999999</v>
      </c>
      <c r="AB40" s="1">
        <v>16.373200000000001</v>
      </c>
      <c r="AC40" s="1">
        <v>10.4732</v>
      </c>
      <c r="AD40" s="1">
        <v>14.219799999999999</v>
      </c>
      <c r="AE40" s="1"/>
      <c r="AF40" s="1">
        <f t="shared" si="7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37</v>
      </c>
      <c r="C41" s="1">
        <v>55.816000000000003</v>
      </c>
      <c r="D41" s="1">
        <v>166.57</v>
      </c>
      <c r="E41" s="1">
        <v>63.933</v>
      </c>
      <c r="F41" s="1">
        <v>147.08600000000001</v>
      </c>
      <c r="G41" s="7">
        <v>1</v>
      </c>
      <c r="H41" s="1">
        <v>45</v>
      </c>
      <c r="I41" s="1" t="s">
        <v>35</v>
      </c>
      <c r="J41" s="1"/>
      <c r="K41" s="1">
        <v>56</v>
      </c>
      <c r="L41" s="1">
        <f t="shared" si="11"/>
        <v>7.9329999999999998</v>
      </c>
      <c r="M41" s="1"/>
      <c r="N41" s="1"/>
      <c r="O41" s="1">
        <v>32</v>
      </c>
      <c r="P41" s="1">
        <f t="shared" si="12"/>
        <v>12.7866</v>
      </c>
      <c r="Q41" s="5">
        <f t="shared" si="14"/>
        <v>12.712999999999994</v>
      </c>
      <c r="R41" s="5">
        <f t="shared" si="5"/>
        <v>13</v>
      </c>
      <c r="S41" s="1">
        <f t="shared" si="6"/>
        <v>15.022445372499336</v>
      </c>
      <c r="T41" s="1">
        <f t="shared" si="13"/>
        <v>14.005756025839553</v>
      </c>
      <c r="U41" s="1">
        <v>16.497199999999999</v>
      </c>
      <c r="V41" s="1">
        <v>19.2118</v>
      </c>
      <c r="W41" s="1">
        <v>11.6172</v>
      </c>
      <c r="X41" s="1">
        <v>8.0947999999999993</v>
      </c>
      <c r="Y41" s="1">
        <v>26.728999999999999</v>
      </c>
      <c r="Z41" s="1">
        <v>16.625599999999999</v>
      </c>
      <c r="AA41" s="1">
        <v>14.937200000000001</v>
      </c>
      <c r="AB41" s="1">
        <v>18.5396</v>
      </c>
      <c r="AC41" s="1">
        <v>19.953600000000002</v>
      </c>
      <c r="AD41" s="1">
        <v>17.642199999999999</v>
      </c>
      <c r="AE41" s="1"/>
      <c r="AF41" s="1">
        <f t="shared" si="7"/>
        <v>13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37</v>
      </c>
      <c r="C42" s="1">
        <v>54.058</v>
      </c>
      <c r="D42" s="1">
        <v>306.72399999999999</v>
      </c>
      <c r="E42" s="1">
        <v>61.750999999999998</v>
      </c>
      <c r="F42" s="1">
        <v>275.88900000000001</v>
      </c>
      <c r="G42" s="7">
        <v>1</v>
      </c>
      <c r="H42" s="1">
        <v>45</v>
      </c>
      <c r="I42" s="1" t="s">
        <v>35</v>
      </c>
      <c r="J42" s="1"/>
      <c r="K42" s="1">
        <v>56.813000000000002</v>
      </c>
      <c r="L42" s="1">
        <f t="shared" si="11"/>
        <v>4.9379999999999953</v>
      </c>
      <c r="M42" s="1"/>
      <c r="N42" s="1"/>
      <c r="O42" s="1">
        <v>0</v>
      </c>
      <c r="P42" s="1">
        <f t="shared" si="12"/>
        <v>12.350199999999999</v>
      </c>
      <c r="Q42" s="5"/>
      <c r="R42" s="5">
        <f t="shared" si="5"/>
        <v>0</v>
      </c>
      <c r="S42" s="1">
        <f t="shared" si="6"/>
        <v>22.338828520995612</v>
      </c>
      <c r="T42" s="1">
        <f t="shared" si="13"/>
        <v>22.338828520995612</v>
      </c>
      <c r="U42" s="1">
        <v>21.627400000000002</v>
      </c>
      <c r="V42" s="1">
        <v>28.242000000000001</v>
      </c>
      <c r="W42" s="1">
        <v>19.793800000000001</v>
      </c>
      <c r="X42" s="1">
        <v>15.770799999999999</v>
      </c>
      <c r="Y42" s="1">
        <v>27.8246</v>
      </c>
      <c r="Z42" s="1">
        <v>26.491800000000001</v>
      </c>
      <c r="AA42" s="1">
        <v>19.845199999999998</v>
      </c>
      <c r="AB42" s="1">
        <v>21.102599999999999</v>
      </c>
      <c r="AC42" s="1">
        <v>20.839200000000002</v>
      </c>
      <c r="AD42" s="1">
        <v>14.5502</v>
      </c>
      <c r="AE42" s="1"/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0" t="s">
        <v>84</v>
      </c>
      <c r="B43" s="10" t="s">
        <v>34</v>
      </c>
      <c r="C43" s="10">
        <v>1</v>
      </c>
      <c r="D43" s="10"/>
      <c r="E43" s="10">
        <v>1</v>
      </c>
      <c r="F43" s="10"/>
      <c r="G43" s="11">
        <v>0</v>
      </c>
      <c r="H43" s="10">
        <v>45</v>
      </c>
      <c r="I43" s="10" t="s">
        <v>50</v>
      </c>
      <c r="J43" s="10"/>
      <c r="K43" s="10">
        <v>19</v>
      </c>
      <c r="L43" s="10">
        <f t="shared" si="11"/>
        <v>-18</v>
      </c>
      <c r="M43" s="10"/>
      <c r="N43" s="10"/>
      <c r="O43" s="10">
        <v>0</v>
      </c>
      <c r="P43" s="10">
        <f t="shared" si="12"/>
        <v>0.2</v>
      </c>
      <c r="Q43" s="12"/>
      <c r="R43" s="5">
        <f t="shared" si="5"/>
        <v>0</v>
      </c>
      <c r="S43" s="1">
        <f t="shared" si="6"/>
        <v>0</v>
      </c>
      <c r="T43" s="10">
        <f t="shared" si="13"/>
        <v>0</v>
      </c>
      <c r="U43" s="10">
        <v>2.2000000000000002</v>
      </c>
      <c r="V43" s="10">
        <v>5.8</v>
      </c>
      <c r="W43" s="10">
        <v>1</v>
      </c>
      <c r="X43" s="10">
        <v>3.4</v>
      </c>
      <c r="Y43" s="10">
        <v>5.6</v>
      </c>
      <c r="Z43" s="10">
        <v>4.2</v>
      </c>
      <c r="AA43" s="10">
        <v>5</v>
      </c>
      <c r="AB43" s="10">
        <v>4</v>
      </c>
      <c r="AC43" s="10">
        <v>4</v>
      </c>
      <c r="AD43" s="10">
        <v>5.4</v>
      </c>
      <c r="AE43" s="10"/>
      <c r="AF43" s="1">
        <f t="shared" si="7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37</v>
      </c>
      <c r="C44" s="1">
        <v>88.067999999999998</v>
      </c>
      <c r="D44" s="1">
        <v>148.02099999999999</v>
      </c>
      <c r="E44" s="1">
        <v>86.936999999999998</v>
      </c>
      <c r="F44" s="1">
        <v>144.34899999999999</v>
      </c>
      <c r="G44" s="7">
        <v>1</v>
      </c>
      <c r="H44" s="1">
        <v>45</v>
      </c>
      <c r="I44" s="1" t="s">
        <v>35</v>
      </c>
      <c r="J44" s="1"/>
      <c r="K44" s="1">
        <v>79</v>
      </c>
      <c r="L44" s="1">
        <f t="shared" si="11"/>
        <v>7.9369999999999976</v>
      </c>
      <c r="M44" s="1"/>
      <c r="N44" s="1"/>
      <c r="O44" s="1">
        <v>0</v>
      </c>
      <c r="P44" s="1">
        <f t="shared" si="12"/>
        <v>17.3874</v>
      </c>
      <c r="Q44" s="5">
        <f t="shared" ref="Q44:Q45" si="15">15*P44-O44-F44</f>
        <v>116.46199999999999</v>
      </c>
      <c r="R44" s="5">
        <f t="shared" si="5"/>
        <v>116</v>
      </c>
      <c r="S44" s="1">
        <f t="shared" si="6"/>
        <v>14.973429034818317</v>
      </c>
      <c r="T44" s="1">
        <f t="shared" si="13"/>
        <v>8.3019312835731611</v>
      </c>
      <c r="U44" s="1">
        <v>15.2568</v>
      </c>
      <c r="V44" s="1">
        <v>19.543800000000001</v>
      </c>
      <c r="W44" s="1">
        <v>16.501799999999999</v>
      </c>
      <c r="X44" s="1">
        <v>15.445600000000001</v>
      </c>
      <c r="Y44" s="1">
        <v>13.050800000000001</v>
      </c>
      <c r="Z44" s="1">
        <v>15.378399999999999</v>
      </c>
      <c r="AA44" s="1">
        <v>16.527000000000001</v>
      </c>
      <c r="AB44" s="1">
        <v>13.536799999999999</v>
      </c>
      <c r="AC44" s="1">
        <v>16.508800000000001</v>
      </c>
      <c r="AD44" s="1">
        <v>15.13</v>
      </c>
      <c r="AE44" s="1"/>
      <c r="AF44" s="1">
        <f t="shared" si="7"/>
        <v>116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34</v>
      </c>
      <c r="C45" s="1">
        <v>174</v>
      </c>
      <c r="D45" s="1">
        <v>459</v>
      </c>
      <c r="E45" s="1">
        <v>231</v>
      </c>
      <c r="F45" s="1">
        <v>386</v>
      </c>
      <c r="G45" s="7">
        <v>0.3</v>
      </c>
      <c r="H45" s="1">
        <v>45</v>
      </c>
      <c r="I45" s="1" t="s">
        <v>35</v>
      </c>
      <c r="J45" s="1"/>
      <c r="K45" s="1">
        <v>228</v>
      </c>
      <c r="L45" s="1">
        <f t="shared" si="11"/>
        <v>3</v>
      </c>
      <c r="M45" s="1"/>
      <c r="N45" s="1"/>
      <c r="O45" s="1">
        <v>0</v>
      </c>
      <c r="P45" s="1">
        <f t="shared" si="12"/>
        <v>46.2</v>
      </c>
      <c r="Q45" s="5">
        <f t="shared" si="15"/>
        <v>307</v>
      </c>
      <c r="R45" s="5">
        <f t="shared" si="5"/>
        <v>307</v>
      </c>
      <c r="S45" s="1">
        <f t="shared" si="6"/>
        <v>14.999999999999998</v>
      </c>
      <c r="T45" s="1">
        <f t="shared" si="13"/>
        <v>8.3549783549783552</v>
      </c>
      <c r="U45" s="1">
        <v>36</v>
      </c>
      <c r="V45" s="1">
        <v>53.6</v>
      </c>
      <c r="W45" s="1">
        <v>41.2</v>
      </c>
      <c r="X45" s="1">
        <v>35.799999999999997</v>
      </c>
      <c r="Y45" s="1">
        <v>64.8</v>
      </c>
      <c r="Z45" s="1">
        <v>75.8</v>
      </c>
      <c r="AA45" s="1">
        <v>57.2</v>
      </c>
      <c r="AB45" s="1">
        <v>53.4</v>
      </c>
      <c r="AC45" s="1">
        <v>77</v>
      </c>
      <c r="AD45" s="1">
        <v>47.8</v>
      </c>
      <c r="AE45" s="1"/>
      <c r="AF45" s="1">
        <f t="shared" si="7"/>
        <v>92.1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0" t="s">
        <v>87</v>
      </c>
      <c r="B46" s="10" t="s">
        <v>37</v>
      </c>
      <c r="C46" s="10"/>
      <c r="D46" s="10"/>
      <c r="E46" s="10"/>
      <c r="F46" s="10"/>
      <c r="G46" s="11">
        <v>0</v>
      </c>
      <c r="H46" s="10"/>
      <c r="I46" s="10" t="s">
        <v>35</v>
      </c>
      <c r="J46" s="10"/>
      <c r="K46" s="10"/>
      <c r="L46" s="10">
        <f t="shared" si="11"/>
        <v>0</v>
      </c>
      <c r="M46" s="10"/>
      <c r="N46" s="10"/>
      <c r="O46" s="10">
        <v>0</v>
      </c>
      <c r="P46" s="10">
        <f t="shared" si="12"/>
        <v>0</v>
      </c>
      <c r="Q46" s="12"/>
      <c r="R46" s="5">
        <f t="shared" si="5"/>
        <v>0</v>
      </c>
      <c r="S46" s="1" t="e">
        <f t="shared" si="6"/>
        <v>#DIV/0!</v>
      </c>
      <c r="T46" s="10" t="e">
        <f t="shared" si="13"/>
        <v>#DIV/0!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 t="s">
        <v>88</v>
      </c>
      <c r="AF46" s="1">
        <f t="shared" si="7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89</v>
      </c>
      <c r="B47" s="1" t="s">
        <v>37</v>
      </c>
      <c r="C47" s="1">
        <v>57.063000000000002</v>
      </c>
      <c r="D47" s="1">
        <v>140.26499999999999</v>
      </c>
      <c r="E47" s="1">
        <v>85.572999999999993</v>
      </c>
      <c r="F47" s="1">
        <v>101.813</v>
      </c>
      <c r="G47" s="7">
        <v>1</v>
      </c>
      <c r="H47" s="1">
        <v>45</v>
      </c>
      <c r="I47" s="1" t="s">
        <v>35</v>
      </c>
      <c r="J47" s="1"/>
      <c r="K47" s="1">
        <v>71</v>
      </c>
      <c r="L47" s="1">
        <f t="shared" si="11"/>
        <v>14.572999999999993</v>
      </c>
      <c r="M47" s="1"/>
      <c r="N47" s="1"/>
      <c r="O47" s="1">
        <v>85</v>
      </c>
      <c r="P47" s="1">
        <f t="shared" si="12"/>
        <v>17.114599999999999</v>
      </c>
      <c r="Q47" s="5">
        <f t="shared" ref="Q47:Q53" si="16">15*P47-O47-F47</f>
        <v>69.905999999999992</v>
      </c>
      <c r="R47" s="5">
        <f t="shared" si="5"/>
        <v>70</v>
      </c>
      <c r="S47" s="1">
        <f t="shared" si="6"/>
        <v>15.005492386617274</v>
      </c>
      <c r="T47" s="1">
        <f t="shared" si="13"/>
        <v>10.915417246093979</v>
      </c>
      <c r="U47" s="1">
        <v>18.900200000000002</v>
      </c>
      <c r="V47" s="1">
        <v>19.008400000000002</v>
      </c>
      <c r="W47" s="1">
        <v>13.199</v>
      </c>
      <c r="X47" s="1">
        <v>7.4875999999999996</v>
      </c>
      <c r="Y47" s="1">
        <v>18.929200000000002</v>
      </c>
      <c r="Z47" s="1">
        <v>23.3964</v>
      </c>
      <c r="AA47" s="1">
        <v>8.8699999999999992</v>
      </c>
      <c r="AB47" s="1">
        <v>15.527799999999999</v>
      </c>
      <c r="AC47" s="1">
        <v>14.678599999999999</v>
      </c>
      <c r="AD47" s="1">
        <v>9.5939999999999994</v>
      </c>
      <c r="AE47" s="1"/>
      <c r="AF47" s="1">
        <f t="shared" si="7"/>
        <v>70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90</v>
      </c>
      <c r="B48" s="1" t="s">
        <v>34</v>
      </c>
      <c r="C48" s="1">
        <v>102.2</v>
      </c>
      <c r="D48" s="1">
        <v>777</v>
      </c>
      <c r="E48" s="1">
        <v>200</v>
      </c>
      <c r="F48" s="1">
        <v>597.20000000000005</v>
      </c>
      <c r="G48" s="7">
        <v>0.35</v>
      </c>
      <c r="H48" s="1">
        <v>45</v>
      </c>
      <c r="I48" s="1" t="s">
        <v>35</v>
      </c>
      <c r="J48" s="1"/>
      <c r="K48" s="1">
        <v>317</v>
      </c>
      <c r="L48" s="1">
        <f t="shared" si="11"/>
        <v>-117</v>
      </c>
      <c r="M48" s="1"/>
      <c r="N48" s="1"/>
      <c r="O48" s="1">
        <v>500</v>
      </c>
      <c r="P48" s="1">
        <f t="shared" si="12"/>
        <v>40</v>
      </c>
      <c r="Q48" s="5"/>
      <c r="R48" s="5">
        <f t="shared" si="5"/>
        <v>0</v>
      </c>
      <c r="S48" s="1">
        <f t="shared" si="6"/>
        <v>27.43</v>
      </c>
      <c r="T48" s="1">
        <f t="shared" si="13"/>
        <v>27.43</v>
      </c>
      <c r="U48" s="1">
        <v>84.631</v>
      </c>
      <c r="V48" s="1">
        <v>84.2</v>
      </c>
      <c r="W48" s="1">
        <v>64</v>
      </c>
      <c r="X48" s="1">
        <v>66.400000000000006</v>
      </c>
      <c r="Y48" s="1">
        <v>97</v>
      </c>
      <c r="Z48" s="1">
        <v>35.4</v>
      </c>
      <c r="AA48" s="1">
        <v>90.2</v>
      </c>
      <c r="AB48" s="1">
        <v>96.6</v>
      </c>
      <c r="AC48" s="1">
        <v>73.599999999999994</v>
      </c>
      <c r="AD48" s="1">
        <v>73.8</v>
      </c>
      <c r="AE48" s="1"/>
      <c r="AF48" s="1">
        <f t="shared" si="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91</v>
      </c>
      <c r="B49" s="1" t="s">
        <v>34</v>
      </c>
      <c r="C49" s="1">
        <v>-1</v>
      </c>
      <c r="D49" s="1">
        <v>473</v>
      </c>
      <c r="E49" s="1">
        <v>72</v>
      </c>
      <c r="F49" s="1">
        <v>354</v>
      </c>
      <c r="G49" s="7">
        <v>0.41</v>
      </c>
      <c r="H49" s="1">
        <v>45</v>
      </c>
      <c r="I49" s="1" t="s">
        <v>35</v>
      </c>
      <c r="J49" s="1"/>
      <c r="K49" s="1">
        <v>169</v>
      </c>
      <c r="L49" s="1">
        <f t="shared" si="11"/>
        <v>-97</v>
      </c>
      <c r="M49" s="1"/>
      <c r="N49" s="1"/>
      <c r="O49" s="1">
        <v>40</v>
      </c>
      <c r="P49" s="1">
        <f t="shared" si="12"/>
        <v>14.4</v>
      </c>
      <c r="Q49" s="5"/>
      <c r="R49" s="5">
        <f t="shared" si="5"/>
        <v>0</v>
      </c>
      <c r="S49" s="1">
        <f t="shared" si="6"/>
        <v>27.361111111111111</v>
      </c>
      <c r="T49" s="1">
        <f t="shared" si="13"/>
        <v>27.361111111111111</v>
      </c>
      <c r="U49" s="1">
        <v>10.199999999999999</v>
      </c>
      <c r="V49" s="1">
        <v>44.4</v>
      </c>
      <c r="W49" s="1">
        <v>27.8</v>
      </c>
      <c r="X49" s="1">
        <v>50.4</v>
      </c>
      <c r="Y49" s="1">
        <v>57.6</v>
      </c>
      <c r="Z49" s="1">
        <v>51</v>
      </c>
      <c r="AA49" s="1">
        <v>42.2</v>
      </c>
      <c r="AB49" s="1">
        <v>35.6</v>
      </c>
      <c r="AC49" s="1">
        <v>66.8</v>
      </c>
      <c r="AD49" s="1">
        <v>32.6</v>
      </c>
      <c r="AE49" s="1"/>
      <c r="AF49" s="1">
        <f t="shared" si="7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92</v>
      </c>
      <c r="B50" s="1" t="s">
        <v>34</v>
      </c>
      <c r="C50" s="1">
        <v>193</v>
      </c>
      <c r="D50" s="1">
        <v>380</v>
      </c>
      <c r="E50" s="1">
        <v>172</v>
      </c>
      <c r="F50" s="1">
        <v>382</v>
      </c>
      <c r="G50" s="7">
        <v>0.41</v>
      </c>
      <c r="H50" s="1">
        <v>45</v>
      </c>
      <c r="I50" s="1" t="s">
        <v>35</v>
      </c>
      <c r="J50" s="1"/>
      <c r="K50" s="1">
        <v>165</v>
      </c>
      <c r="L50" s="1">
        <f t="shared" si="11"/>
        <v>7</v>
      </c>
      <c r="M50" s="1"/>
      <c r="N50" s="1"/>
      <c r="O50" s="1">
        <v>0</v>
      </c>
      <c r="P50" s="1">
        <f t="shared" si="12"/>
        <v>34.4</v>
      </c>
      <c r="Q50" s="5">
        <f t="shared" si="16"/>
        <v>134</v>
      </c>
      <c r="R50" s="5">
        <f t="shared" si="5"/>
        <v>134</v>
      </c>
      <c r="S50" s="1">
        <f t="shared" si="6"/>
        <v>15</v>
      </c>
      <c r="T50" s="1">
        <f t="shared" si="13"/>
        <v>11.104651162790699</v>
      </c>
      <c r="U50" s="1">
        <v>16.600000000000001</v>
      </c>
      <c r="V50" s="1">
        <v>43.8</v>
      </c>
      <c r="W50" s="1">
        <v>18</v>
      </c>
      <c r="X50" s="1">
        <v>38.799999999999997</v>
      </c>
      <c r="Y50" s="1">
        <v>53</v>
      </c>
      <c r="Z50" s="1">
        <v>5.2</v>
      </c>
      <c r="AA50" s="1">
        <v>33.799999999999997</v>
      </c>
      <c r="AB50" s="1">
        <v>31.8</v>
      </c>
      <c r="AC50" s="1">
        <v>10.4</v>
      </c>
      <c r="AD50" s="1">
        <v>24</v>
      </c>
      <c r="AE50" s="1"/>
      <c r="AF50" s="1">
        <f t="shared" si="7"/>
        <v>54.94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93</v>
      </c>
      <c r="B51" s="1" t="s">
        <v>34</v>
      </c>
      <c r="C51" s="1">
        <v>25</v>
      </c>
      <c r="D51" s="1">
        <v>438</v>
      </c>
      <c r="E51" s="1">
        <v>97</v>
      </c>
      <c r="F51" s="1">
        <v>355</v>
      </c>
      <c r="G51" s="7">
        <v>0.36</v>
      </c>
      <c r="H51" s="1">
        <v>45</v>
      </c>
      <c r="I51" s="1" t="s">
        <v>35</v>
      </c>
      <c r="J51" s="1"/>
      <c r="K51" s="1">
        <v>155</v>
      </c>
      <c r="L51" s="1">
        <f t="shared" si="11"/>
        <v>-58</v>
      </c>
      <c r="M51" s="1"/>
      <c r="N51" s="1"/>
      <c r="O51" s="1">
        <v>0</v>
      </c>
      <c r="P51" s="1">
        <f t="shared" si="12"/>
        <v>19.399999999999999</v>
      </c>
      <c r="Q51" s="5"/>
      <c r="R51" s="5">
        <f t="shared" si="5"/>
        <v>0</v>
      </c>
      <c r="S51" s="1">
        <f t="shared" si="6"/>
        <v>18.298969072164951</v>
      </c>
      <c r="T51" s="1">
        <f t="shared" si="13"/>
        <v>18.298969072164951</v>
      </c>
      <c r="U51" s="1">
        <v>22</v>
      </c>
      <c r="V51" s="1">
        <v>44.4</v>
      </c>
      <c r="W51" s="1">
        <v>4</v>
      </c>
      <c r="X51" s="1">
        <v>26.6</v>
      </c>
      <c r="Y51" s="1">
        <v>24</v>
      </c>
      <c r="Z51" s="1">
        <v>20.399999999999999</v>
      </c>
      <c r="AA51" s="1">
        <v>23.2</v>
      </c>
      <c r="AB51" s="1">
        <v>10.199999999999999</v>
      </c>
      <c r="AC51" s="1">
        <v>27</v>
      </c>
      <c r="AD51" s="1">
        <v>15</v>
      </c>
      <c r="AE51" s="1"/>
      <c r="AF51" s="1">
        <f t="shared" si="7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94</v>
      </c>
      <c r="B52" s="1" t="s">
        <v>34</v>
      </c>
      <c r="C52" s="1">
        <v>58</v>
      </c>
      <c r="D52" s="1"/>
      <c r="E52" s="1">
        <v>57</v>
      </c>
      <c r="F52" s="1">
        <v>1</v>
      </c>
      <c r="G52" s="7">
        <v>0.33</v>
      </c>
      <c r="H52" s="1">
        <v>45</v>
      </c>
      <c r="I52" s="1" t="s">
        <v>35</v>
      </c>
      <c r="J52" s="1"/>
      <c r="K52" s="1">
        <v>57</v>
      </c>
      <c r="L52" s="1">
        <f t="shared" si="11"/>
        <v>0</v>
      </c>
      <c r="M52" s="1"/>
      <c r="N52" s="1"/>
      <c r="O52" s="1">
        <v>14</v>
      </c>
      <c r="P52" s="1">
        <f t="shared" si="12"/>
        <v>11.4</v>
      </c>
      <c r="Q52" s="5">
        <f>11*P52-O52-F52</f>
        <v>110.4</v>
      </c>
      <c r="R52" s="5">
        <f t="shared" si="5"/>
        <v>110</v>
      </c>
      <c r="S52" s="1">
        <f t="shared" si="6"/>
        <v>10.964912280701753</v>
      </c>
      <c r="T52" s="1">
        <f t="shared" si="13"/>
        <v>1.3157894736842104</v>
      </c>
      <c r="U52" s="1">
        <v>4.8</v>
      </c>
      <c r="V52" s="1">
        <v>3.8</v>
      </c>
      <c r="W52" s="1">
        <v>3.2</v>
      </c>
      <c r="X52" s="1">
        <v>5.8</v>
      </c>
      <c r="Y52" s="1">
        <v>13</v>
      </c>
      <c r="Z52" s="1">
        <v>1.8</v>
      </c>
      <c r="AA52" s="1">
        <v>-0.4</v>
      </c>
      <c r="AB52" s="1">
        <v>5.4</v>
      </c>
      <c r="AC52" s="1">
        <v>0.2</v>
      </c>
      <c r="AD52" s="1">
        <v>1</v>
      </c>
      <c r="AE52" s="1" t="s">
        <v>95</v>
      </c>
      <c r="AF52" s="1">
        <f t="shared" si="7"/>
        <v>36.300000000000004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96</v>
      </c>
      <c r="B53" s="1" t="s">
        <v>34</v>
      </c>
      <c r="C53" s="1">
        <v>69</v>
      </c>
      <c r="D53" s="1">
        <v>144</v>
      </c>
      <c r="E53" s="1">
        <v>64</v>
      </c>
      <c r="F53" s="1">
        <v>130</v>
      </c>
      <c r="G53" s="7">
        <v>0.4</v>
      </c>
      <c r="H53" s="1">
        <v>60</v>
      </c>
      <c r="I53" s="1" t="s">
        <v>35</v>
      </c>
      <c r="J53" s="1"/>
      <c r="K53" s="1">
        <v>62</v>
      </c>
      <c r="L53" s="1">
        <f t="shared" si="11"/>
        <v>2</v>
      </c>
      <c r="M53" s="1"/>
      <c r="N53" s="1"/>
      <c r="O53" s="1">
        <v>0</v>
      </c>
      <c r="P53" s="1">
        <f t="shared" si="12"/>
        <v>12.8</v>
      </c>
      <c r="Q53" s="5">
        <f t="shared" si="16"/>
        <v>62</v>
      </c>
      <c r="R53" s="5">
        <f t="shared" si="5"/>
        <v>62</v>
      </c>
      <c r="S53" s="1">
        <f t="shared" si="6"/>
        <v>15</v>
      </c>
      <c r="T53" s="1">
        <f t="shared" si="13"/>
        <v>10.15625</v>
      </c>
      <c r="U53" s="1">
        <v>8.1999999999999993</v>
      </c>
      <c r="V53" s="1">
        <v>14</v>
      </c>
      <c r="W53" s="1">
        <v>13</v>
      </c>
      <c r="X53" s="1">
        <v>8.4</v>
      </c>
      <c r="Y53" s="1">
        <v>6.4</v>
      </c>
      <c r="Z53" s="1">
        <v>15</v>
      </c>
      <c r="AA53" s="1">
        <v>11.6</v>
      </c>
      <c r="AB53" s="1">
        <v>1</v>
      </c>
      <c r="AC53" s="1">
        <v>0</v>
      </c>
      <c r="AD53" s="1">
        <v>0</v>
      </c>
      <c r="AE53" s="1"/>
      <c r="AF53" s="1">
        <f t="shared" si="7"/>
        <v>24.8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34</v>
      </c>
      <c r="C54" s="1">
        <v>155</v>
      </c>
      <c r="D54" s="1">
        <v>2</v>
      </c>
      <c r="E54" s="1">
        <v>77</v>
      </c>
      <c r="F54" s="1">
        <v>55</v>
      </c>
      <c r="G54" s="7">
        <v>0.33</v>
      </c>
      <c r="H54" s="1">
        <v>45</v>
      </c>
      <c r="I54" s="1" t="s">
        <v>35</v>
      </c>
      <c r="J54" s="1"/>
      <c r="K54" s="1">
        <v>77</v>
      </c>
      <c r="L54" s="1">
        <f t="shared" si="11"/>
        <v>0</v>
      </c>
      <c r="M54" s="1"/>
      <c r="N54" s="1"/>
      <c r="O54" s="1">
        <v>0</v>
      </c>
      <c r="P54" s="1">
        <f t="shared" si="12"/>
        <v>15.4</v>
      </c>
      <c r="Q54" s="5">
        <f>11*P54-O54-F54</f>
        <v>114.4</v>
      </c>
      <c r="R54" s="5">
        <f t="shared" si="5"/>
        <v>114</v>
      </c>
      <c r="S54" s="1">
        <f t="shared" si="6"/>
        <v>10.974025974025974</v>
      </c>
      <c r="T54" s="1">
        <f t="shared" si="13"/>
        <v>3.5714285714285712</v>
      </c>
      <c r="U54" s="1">
        <v>6.2</v>
      </c>
      <c r="V54" s="1">
        <v>5.4</v>
      </c>
      <c r="W54" s="1">
        <v>5.4</v>
      </c>
      <c r="X54" s="1">
        <v>10.6</v>
      </c>
      <c r="Y54" s="1">
        <v>22.4</v>
      </c>
      <c r="Z54" s="1">
        <v>4.2</v>
      </c>
      <c r="AA54" s="1">
        <v>13.2</v>
      </c>
      <c r="AB54" s="1">
        <v>13.8</v>
      </c>
      <c r="AC54" s="1">
        <v>2</v>
      </c>
      <c r="AD54" s="1">
        <v>3.4</v>
      </c>
      <c r="AE54" s="1"/>
      <c r="AF54" s="1">
        <f t="shared" si="7"/>
        <v>37.620000000000005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37</v>
      </c>
      <c r="C55" s="1">
        <v>98.31</v>
      </c>
      <c r="D55" s="1">
        <v>856.22500000000002</v>
      </c>
      <c r="E55" s="1">
        <v>239.46899999999999</v>
      </c>
      <c r="F55" s="1">
        <v>578.93299999999999</v>
      </c>
      <c r="G55" s="7">
        <v>1</v>
      </c>
      <c r="H55" s="1">
        <v>45</v>
      </c>
      <c r="I55" s="1" t="s">
        <v>35</v>
      </c>
      <c r="J55" s="1"/>
      <c r="K55" s="1">
        <v>297.601</v>
      </c>
      <c r="L55" s="1">
        <f t="shared" si="11"/>
        <v>-58.132000000000005</v>
      </c>
      <c r="M55" s="1"/>
      <c r="N55" s="1"/>
      <c r="O55" s="1">
        <v>1000</v>
      </c>
      <c r="P55" s="1">
        <f t="shared" si="12"/>
        <v>47.893799999999999</v>
      </c>
      <c r="Q55" s="5"/>
      <c r="R55" s="5">
        <f t="shared" si="5"/>
        <v>0</v>
      </c>
      <c r="S55" s="1">
        <f t="shared" si="6"/>
        <v>32.967377823434347</v>
      </c>
      <c r="T55" s="1">
        <f t="shared" si="13"/>
        <v>32.967377823434347</v>
      </c>
      <c r="U55" s="1">
        <v>111.7034</v>
      </c>
      <c r="V55" s="1">
        <v>91.224000000000004</v>
      </c>
      <c r="W55" s="1">
        <v>74.652200000000008</v>
      </c>
      <c r="X55" s="1">
        <v>81.558999999999997</v>
      </c>
      <c r="Y55" s="1">
        <v>91.169399999999996</v>
      </c>
      <c r="Z55" s="1">
        <v>78.173599999999993</v>
      </c>
      <c r="AA55" s="1">
        <v>86.486199999999997</v>
      </c>
      <c r="AB55" s="1">
        <v>76.927999999999997</v>
      </c>
      <c r="AC55" s="1">
        <v>77.873199999999997</v>
      </c>
      <c r="AD55" s="1">
        <v>66.671400000000006</v>
      </c>
      <c r="AE55" s="1"/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0" t="s">
        <v>99</v>
      </c>
      <c r="B56" s="10" t="s">
        <v>34</v>
      </c>
      <c r="C56" s="10">
        <v>-1</v>
      </c>
      <c r="D56" s="10"/>
      <c r="E56" s="10"/>
      <c r="F56" s="10">
        <v>-1</v>
      </c>
      <c r="G56" s="11">
        <v>0</v>
      </c>
      <c r="H56" s="10">
        <v>60</v>
      </c>
      <c r="I56" s="10" t="s">
        <v>50</v>
      </c>
      <c r="J56" s="10"/>
      <c r="K56" s="10">
        <v>10</v>
      </c>
      <c r="L56" s="10">
        <f t="shared" si="11"/>
        <v>-10</v>
      </c>
      <c r="M56" s="10"/>
      <c r="N56" s="10"/>
      <c r="O56" s="10">
        <v>0</v>
      </c>
      <c r="P56" s="10">
        <f t="shared" si="12"/>
        <v>0</v>
      </c>
      <c r="Q56" s="12"/>
      <c r="R56" s="5">
        <f t="shared" si="5"/>
        <v>0</v>
      </c>
      <c r="S56" s="1" t="e">
        <f t="shared" si="6"/>
        <v>#DIV/0!</v>
      </c>
      <c r="T56" s="10" t="e">
        <f t="shared" si="13"/>
        <v>#DIV/0!</v>
      </c>
      <c r="U56" s="10">
        <v>0</v>
      </c>
      <c r="V56" s="10">
        <v>-0.2</v>
      </c>
      <c r="W56" s="10">
        <v>0</v>
      </c>
      <c r="X56" s="10">
        <v>0</v>
      </c>
      <c r="Y56" s="10">
        <v>5.8</v>
      </c>
      <c r="Z56" s="10">
        <v>6.4</v>
      </c>
      <c r="AA56" s="10">
        <v>2.8</v>
      </c>
      <c r="AB56" s="10">
        <v>0.4</v>
      </c>
      <c r="AC56" s="10">
        <v>4.4000000000000004</v>
      </c>
      <c r="AD56" s="10">
        <v>1.4</v>
      </c>
      <c r="AE56" s="10" t="s">
        <v>100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101</v>
      </c>
      <c r="B57" s="1" t="s">
        <v>34</v>
      </c>
      <c r="C57" s="1">
        <v>12</v>
      </c>
      <c r="D57" s="1">
        <v>199</v>
      </c>
      <c r="E57" s="1">
        <v>3</v>
      </c>
      <c r="F57" s="1">
        <v>196</v>
      </c>
      <c r="G57" s="7">
        <v>0.4</v>
      </c>
      <c r="H57" s="1">
        <v>45</v>
      </c>
      <c r="I57" s="1" t="s">
        <v>35</v>
      </c>
      <c r="J57" s="1"/>
      <c r="K57" s="1">
        <v>49</v>
      </c>
      <c r="L57" s="1">
        <f t="shared" si="11"/>
        <v>-46</v>
      </c>
      <c r="M57" s="1"/>
      <c r="N57" s="1"/>
      <c r="O57" s="1">
        <v>0</v>
      </c>
      <c r="P57" s="1">
        <f t="shared" si="12"/>
        <v>0.6</v>
      </c>
      <c r="Q57" s="5"/>
      <c r="R57" s="5">
        <f t="shared" si="5"/>
        <v>0</v>
      </c>
      <c r="S57" s="1">
        <f t="shared" si="6"/>
        <v>326.66666666666669</v>
      </c>
      <c r="T57" s="1">
        <f t="shared" si="13"/>
        <v>326.66666666666669</v>
      </c>
      <c r="U57" s="1">
        <v>7.4</v>
      </c>
      <c r="V57" s="1">
        <v>20.6</v>
      </c>
      <c r="W57" s="1">
        <v>10.6</v>
      </c>
      <c r="X57" s="1">
        <v>35.4</v>
      </c>
      <c r="Y57" s="1">
        <v>18.8</v>
      </c>
      <c r="Z57" s="1">
        <v>0.2</v>
      </c>
      <c r="AA57" s="1">
        <v>35</v>
      </c>
      <c r="AB57" s="1">
        <v>11.8</v>
      </c>
      <c r="AC57" s="1">
        <v>15.8</v>
      </c>
      <c r="AD57" s="1">
        <v>18.399999999999999</v>
      </c>
      <c r="AE57" s="1"/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102</v>
      </c>
      <c r="B58" s="1" t="s">
        <v>37</v>
      </c>
      <c r="C58" s="1">
        <v>7.8570000000000002</v>
      </c>
      <c r="D58" s="1"/>
      <c r="E58" s="1">
        <v>1.954</v>
      </c>
      <c r="F58" s="1">
        <v>-9.7000000000000003E-2</v>
      </c>
      <c r="G58" s="7">
        <v>1</v>
      </c>
      <c r="H58" s="1">
        <v>60</v>
      </c>
      <c r="I58" s="1" t="s">
        <v>35</v>
      </c>
      <c r="J58" s="1"/>
      <c r="K58" s="1">
        <v>2.5</v>
      </c>
      <c r="L58" s="1">
        <f t="shared" si="11"/>
        <v>-0.54600000000000004</v>
      </c>
      <c r="M58" s="1"/>
      <c r="N58" s="1"/>
      <c r="O58" s="1">
        <v>4</v>
      </c>
      <c r="P58" s="1">
        <f t="shared" si="12"/>
        <v>0.39079999999999998</v>
      </c>
      <c r="Q58" s="5">
        <v>4</v>
      </c>
      <c r="R58" s="5">
        <f t="shared" si="5"/>
        <v>4</v>
      </c>
      <c r="S58" s="1">
        <f t="shared" si="6"/>
        <v>20.222620266120781</v>
      </c>
      <c r="T58" s="1">
        <f t="shared" si="13"/>
        <v>9.9872057318321392</v>
      </c>
      <c r="U58" s="1">
        <v>0.77759999999999996</v>
      </c>
      <c r="V58" s="1">
        <v>0.7752</v>
      </c>
      <c r="W58" s="1">
        <v>0.39200000000000002</v>
      </c>
      <c r="X58" s="1">
        <v>0.39140000000000003</v>
      </c>
      <c r="Y58" s="1">
        <v>0.8146000000000001</v>
      </c>
      <c r="Z58" s="1">
        <v>0</v>
      </c>
      <c r="AA58" s="1">
        <v>0.39</v>
      </c>
      <c r="AB58" s="1">
        <v>0</v>
      </c>
      <c r="AC58" s="1">
        <v>0</v>
      </c>
      <c r="AD58" s="1">
        <v>0</v>
      </c>
      <c r="AE58" s="1"/>
      <c r="AF58" s="1">
        <f t="shared" si="7"/>
        <v>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0" t="s">
        <v>103</v>
      </c>
      <c r="B59" s="10" t="s">
        <v>37</v>
      </c>
      <c r="C59" s="10">
        <v>3.8809999999999998</v>
      </c>
      <c r="D59" s="10"/>
      <c r="E59" s="10"/>
      <c r="F59" s="10">
        <v>3.8809999999999998</v>
      </c>
      <c r="G59" s="11">
        <v>0</v>
      </c>
      <c r="H59" s="10">
        <v>60</v>
      </c>
      <c r="I59" s="10" t="s">
        <v>50</v>
      </c>
      <c r="J59" s="10"/>
      <c r="K59" s="10">
        <v>2.5</v>
      </c>
      <c r="L59" s="10">
        <f t="shared" si="11"/>
        <v>-2.5</v>
      </c>
      <c r="M59" s="10"/>
      <c r="N59" s="10"/>
      <c r="O59" s="10">
        <v>0</v>
      </c>
      <c r="P59" s="10">
        <f t="shared" si="12"/>
        <v>0</v>
      </c>
      <c r="Q59" s="12"/>
      <c r="R59" s="5">
        <f t="shared" si="5"/>
        <v>0</v>
      </c>
      <c r="S59" s="1" t="e">
        <f t="shared" si="6"/>
        <v>#DIV/0!</v>
      </c>
      <c r="T59" s="10" t="e">
        <f t="shared" si="13"/>
        <v>#DIV/0!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0.78059999999999996</v>
      </c>
      <c r="AE59" s="9" t="s">
        <v>104</v>
      </c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37</v>
      </c>
      <c r="C60" s="1">
        <v>30.22</v>
      </c>
      <c r="D60" s="1">
        <v>3.03</v>
      </c>
      <c r="E60" s="1">
        <v>33.215000000000003</v>
      </c>
      <c r="F60" s="1">
        <v>3.5000000000000003E-2</v>
      </c>
      <c r="G60" s="7">
        <v>1</v>
      </c>
      <c r="H60" s="1">
        <v>60</v>
      </c>
      <c r="I60" s="1" t="s">
        <v>35</v>
      </c>
      <c r="J60" s="1"/>
      <c r="K60" s="1">
        <v>44</v>
      </c>
      <c r="L60" s="1">
        <f t="shared" si="11"/>
        <v>-10.784999999999997</v>
      </c>
      <c r="M60" s="1"/>
      <c r="N60" s="1"/>
      <c r="O60" s="1">
        <v>103</v>
      </c>
      <c r="P60" s="1">
        <f t="shared" si="12"/>
        <v>6.6430000000000007</v>
      </c>
      <c r="Q60" s="5"/>
      <c r="R60" s="5">
        <f t="shared" si="5"/>
        <v>0</v>
      </c>
      <c r="S60" s="1">
        <f t="shared" si="6"/>
        <v>15.510311606202015</v>
      </c>
      <c r="T60" s="1">
        <f t="shared" si="13"/>
        <v>15.510311606202015</v>
      </c>
      <c r="U60" s="1">
        <v>10.220000000000001</v>
      </c>
      <c r="V60" s="1">
        <v>2.403</v>
      </c>
      <c r="W60" s="1">
        <v>4.1829999999999998</v>
      </c>
      <c r="X60" s="1">
        <v>7.7939999999999996</v>
      </c>
      <c r="Y60" s="1">
        <v>11.387</v>
      </c>
      <c r="Z60" s="1">
        <v>0.59699999999999998</v>
      </c>
      <c r="AA60" s="1">
        <v>9.3550000000000004</v>
      </c>
      <c r="AB60" s="1">
        <v>3.5259999999999998</v>
      </c>
      <c r="AC60" s="1">
        <v>10.635999999999999</v>
      </c>
      <c r="AD60" s="1">
        <v>7.5484</v>
      </c>
      <c r="AE60" s="1"/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0" t="s">
        <v>106</v>
      </c>
      <c r="B61" s="10" t="s">
        <v>34</v>
      </c>
      <c r="C61" s="10"/>
      <c r="D61" s="10"/>
      <c r="E61" s="10"/>
      <c r="F61" s="10"/>
      <c r="G61" s="11">
        <v>0</v>
      </c>
      <c r="H61" s="10"/>
      <c r="I61" s="10" t="s">
        <v>35</v>
      </c>
      <c r="J61" s="10"/>
      <c r="K61" s="10"/>
      <c r="L61" s="10">
        <f t="shared" si="11"/>
        <v>0</v>
      </c>
      <c r="M61" s="10"/>
      <c r="N61" s="10"/>
      <c r="O61" s="10">
        <v>0</v>
      </c>
      <c r="P61" s="10">
        <f t="shared" si="12"/>
        <v>0</v>
      </c>
      <c r="Q61" s="12"/>
      <c r="R61" s="5">
        <f t="shared" si="5"/>
        <v>0</v>
      </c>
      <c r="S61" s="1" t="e">
        <f t="shared" si="6"/>
        <v>#DIV/0!</v>
      </c>
      <c r="T61" s="10" t="e">
        <f t="shared" si="13"/>
        <v>#DIV/0!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 t="s">
        <v>88</v>
      </c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34</v>
      </c>
      <c r="C62" s="1"/>
      <c r="D62" s="1"/>
      <c r="E62" s="1">
        <v>5</v>
      </c>
      <c r="F62" s="1">
        <v>-5</v>
      </c>
      <c r="G62" s="7">
        <v>0.25</v>
      </c>
      <c r="H62" s="1">
        <v>120</v>
      </c>
      <c r="I62" s="1" t="s">
        <v>35</v>
      </c>
      <c r="J62" s="1"/>
      <c r="K62" s="1">
        <v>16</v>
      </c>
      <c r="L62" s="1">
        <f t="shared" si="11"/>
        <v>-11</v>
      </c>
      <c r="M62" s="1"/>
      <c r="N62" s="1"/>
      <c r="O62" s="1">
        <v>75</v>
      </c>
      <c r="P62" s="1">
        <f t="shared" si="12"/>
        <v>1</v>
      </c>
      <c r="Q62" s="5"/>
      <c r="R62" s="5">
        <f t="shared" si="5"/>
        <v>0</v>
      </c>
      <c r="S62" s="1">
        <f t="shared" si="6"/>
        <v>70</v>
      </c>
      <c r="T62" s="1">
        <f t="shared" si="13"/>
        <v>70</v>
      </c>
      <c r="U62" s="1">
        <v>5</v>
      </c>
      <c r="V62" s="1">
        <v>0.6</v>
      </c>
      <c r="W62" s="1">
        <v>6.4</v>
      </c>
      <c r="X62" s="1">
        <v>13.2</v>
      </c>
      <c r="Y62" s="1">
        <v>2.8</v>
      </c>
      <c r="Z62" s="1">
        <v>0.8</v>
      </c>
      <c r="AA62" s="1">
        <v>14</v>
      </c>
      <c r="AB62" s="1">
        <v>0.8</v>
      </c>
      <c r="AC62" s="1">
        <v>0.8</v>
      </c>
      <c r="AD62" s="1">
        <v>5.8</v>
      </c>
      <c r="AE62" s="1" t="s">
        <v>38</v>
      </c>
      <c r="AF62" s="1">
        <f t="shared" si="7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37</v>
      </c>
      <c r="C63" s="1">
        <v>108.23</v>
      </c>
      <c r="D63" s="1">
        <v>113.066</v>
      </c>
      <c r="E63" s="1">
        <v>91.92</v>
      </c>
      <c r="F63" s="1">
        <v>123.075</v>
      </c>
      <c r="G63" s="7">
        <v>1</v>
      </c>
      <c r="H63" s="1">
        <v>45</v>
      </c>
      <c r="I63" s="1" t="s">
        <v>35</v>
      </c>
      <c r="J63" s="1"/>
      <c r="K63" s="1">
        <v>85</v>
      </c>
      <c r="L63" s="1">
        <f t="shared" si="11"/>
        <v>6.9200000000000017</v>
      </c>
      <c r="M63" s="1"/>
      <c r="N63" s="1"/>
      <c r="O63" s="1">
        <v>0</v>
      </c>
      <c r="P63" s="1">
        <f t="shared" si="12"/>
        <v>18.384</v>
      </c>
      <c r="Q63" s="5">
        <f t="shared" ref="Q63" si="17">15*P63-O63-F63</f>
        <v>152.685</v>
      </c>
      <c r="R63" s="5">
        <f t="shared" si="5"/>
        <v>153</v>
      </c>
      <c r="S63" s="1">
        <f t="shared" si="6"/>
        <v>15.017134464751956</v>
      </c>
      <c r="T63" s="1">
        <f t="shared" si="13"/>
        <v>6.6946801566579639</v>
      </c>
      <c r="U63" s="1">
        <v>10.727600000000001</v>
      </c>
      <c r="V63" s="1">
        <v>17.526399999999999</v>
      </c>
      <c r="W63" s="1">
        <v>15.994</v>
      </c>
      <c r="X63" s="1">
        <v>13.3072</v>
      </c>
      <c r="Y63" s="1">
        <v>7.6114000000000006</v>
      </c>
      <c r="Z63" s="1">
        <v>11.939399999999999</v>
      </c>
      <c r="AA63" s="1">
        <v>18.562999999999999</v>
      </c>
      <c r="AB63" s="1">
        <v>5.4871999999999996</v>
      </c>
      <c r="AC63" s="1">
        <v>4.3868</v>
      </c>
      <c r="AD63" s="1">
        <v>14.728400000000001</v>
      </c>
      <c r="AE63" s="1"/>
      <c r="AF63" s="1">
        <f t="shared" si="7"/>
        <v>153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34</v>
      </c>
      <c r="C64" s="1"/>
      <c r="D64" s="1">
        <v>96</v>
      </c>
      <c r="E64" s="1"/>
      <c r="F64" s="1">
        <v>82</v>
      </c>
      <c r="G64" s="7">
        <v>0.27</v>
      </c>
      <c r="H64" s="1"/>
      <c r="I64" s="1" t="s">
        <v>35</v>
      </c>
      <c r="J64" s="1"/>
      <c r="K64" s="1"/>
      <c r="L64" s="1">
        <f t="shared" si="11"/>
        <v>0</v>
      </c>
      <c r="M64" s="1"/>
      <c r="N64" s="1"/>
      <c r="O64" s="1">
        <v>0</v>
      </c>
      <c r="P64" s="1">
        <f t="shared" si="12"/>
        <v>0</v>
      </c>
      <c r="Q64" s="5"/>
      <c r="R64" s="5">
        <f t="shared" si="5"/>
        <v>0</v>
      </c>
      <c r="S64" s="1" t="e">
        <f t="shared" si="6"/>
        <v>#DIV/0!</v>
      </c>
      <c r="T64" s="1" t="e">
        <f t="shared" si="13"/>
        <v>#DIV/0!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70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34</v>
      </c>
      <c r="C65" s="1">
        <v>2</v>
      </c>
      <c r="D65" s="1">
        <v>272</v>
      </c>
      <c r="E65" s="1">
        <v>1</v>
      </c>
      <c r="F65" s="1">
        <v>270</v>
      </c>
      <c r="G65" s="7">
        <v>0.3</v>
      </c>
      <c r="H65" s="1">
        <v>60</v>
      </c>
      <c r="I65" s="1" t="s">
        <v>35</v>
      </c>
      <c r="J65" s="1"/>
      <c r="K65" s="1">
        <v>19</v>
      </c>
      <c r="L65" s="1">
        <f t="shared" si="11"/>
        <v>-18</v>
      </c>
      <c r="M65" s="1"/>
      <c r="N65" s="1"/>
      <c r="O65" s="1">
        <v>0</v>
      </c>
      <c r="P65" s="1">
        <f t="shared" si="12"/>
        <v>0.2</v>
      </c>
      <c r="Q65" s="5"/>
      <c r="R65" s="5">
        <f t="shared" si="5"/>
        <v>0</v>
      </c>
      <c r="S65" s="1">
        <f t="shared" si="6"/>
        <v>1350</v>
      </c>
      <c r="T65" s="1">
        <f t="shared" si="13"/>
        <v>1350</v>
      </c>
      <c r="U65" s="1">
        <v>0.8</v>
      </c>
      <c r="V65" s="1">
        <v>30.4</v>
      </c>
      <c r="W65" s="1">
        <v>6.2</v>
      </c>
      <c r="X65" s="1">
        <v>4.2</v>
      </c>
      <c r="Y65" s="1">
        <v>25.8</v>
      </c>
      <c r="Z65" s="1">
        <v>16.600000000000001</v>
      </c>
      <c r="AA65" s="1">
        <v>19.600000000000001</v>
      </c>
      <c r="AB65" s="1">
        <v>23</v>
      </c>
      <c r="AC65" s="1">
        <v>8.1999999999999993</v>
      </c>
      <c r="AD65" s="1">
        <v>12</v>
      </c>
      <c r="AE65" s="1" t="s">
        <v>111</v>
      </c>
      <c r="AF65" s="1">
        <f t="shared" si="7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112</v>
      </c>
      <c r="B66" s="1" t="s">
        <v>34</v>
      </c>
      <c r="C66" s="1">
        <v>37</v>
      </c>
      <c r="D66" s="1">
        <v>850</v>
      </c>
      <c r="E66" s="1">
        <v>154</v>
      </c>
      <c r="F66" s="15">
        <f>689+F116</f>
        <v>718</v>
      </c>
      <c r="G66" s="7">
        <v>0.41</v>
      </c>
      <c r="H66" s="1">
        <v>50</v>
      </c>
      <c r="I66" s="1" t="s">
        <v>35</v>
      </c>
      <c r="J66" s="1"/>
      <c r="K66" s="1">
        <v>290</v>
      </c>
      <c r="L66" s="1">
        <f t="shared" si="11"/>
        <v>-136</v>
      </c>
      <c r="M66" s="1"/>
      <c r="N66" s="1"/>
      <c r="O66" s="1">
        <v>204</v>
      </c>
      <c r="P66" s="1">
        <f t="shared" si="12"/>
        <v>30.8</v>
      </c>
      <c r="Q66" s="5"/>
      <c r="R66" s="5">
        <f t="shared" si="5"/>
        <v>0</v>
      </c>
      <c r="S66" s="1">
        <f t="shared" si="6"/>
        <v>29.935064935064933</v>
      </c>
      <c r="T66" s="1">
        <f t="shared" si="13"/>
        <v>29.935064935064933</v>
      </c>
      <c r="U66" s="1">
        <v>75.8</v>
      </c>
      <c r="V66" s="1">
        <v>88</v>
      </c>
      <c r="W66" s="1">
        <v>61</v>
      </c>
      <c r="X66" s="1">
        <v>77.2</v>
      </c>
      <c r="Y66" s="1">
        <v>89.8</v>
      </c>
      <c r="Z66" s="1">
        <v>95.6</v>
      </c>
      <c r="AA66" s="1">
        <v>75</v>
      </c>
      <c r="AB66" s="1">
        <v>97</v>
      </c>
      <c r="AC66" s="1">
        <v>117.8</v>
      </c>
      <c r="AD66" s="1">
        <v>54.2</v>
      </c>
      <c r="AE66" s="1"/>
      <c r="AF66" s="1">
        <f t="shared" si="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0" t="s">
        <v>113</v>
      </c>
      <c r="B67" s="10" t="s">
        <v>34</v>
      </c>
      <c r="C67" s="10">
        <v>29</v>
      </c>
      <c r="D67" s="10"/>
      <c r="E67" s="10"/>
      <c r="F67" s="10"/>
      <c r="G67" s="11">
        <v>0</v>
      </c>
      <c r="H67" s="10"/>
      <c r="I67" s="10" t="s">
        <v>50</v>
      </c>
      <c r="J67" s="10" t="s">
        <v>112</v>
      </c>
      <c r="K67" s="10">
        <v>4</v>
      </c>
      <c r="L67" s="10">
        <f t="shared" si="11"/>
        <v>-4</v>
      </c>
      <c r="M67" s="10"/>
      <c r="N67" s="10"/>
      <c r="O67" s="10">
        <v>0</v>
      </c>
      <c r="P67" s="10">
        <f t="shared" si="12"/>
        <v>0</v>
      </c>
      <c r="Q67" s="12"/>
      <c r="R67" s="5">
        <f t="shared" si="5"/>
        <v>0</v>
      </c>
      <c r="S67" s="1" t="e">
        <f t="shared" si="6"/>
        <v>#DIV/0!</v>
      </c>
      <c r="T67" s="10" t="e">
        <f t="shared" si="13"/>
        <v>#DIV/0!</v>
      </c>
      <c r="U67" s="10">
        <v>0.6</v>
      </c>
      <c r="V67" s="10">
        <v>3.4</v>
      </c>
      <c r="W67" s="10">
        <v>2</v>
      </c>
      <c r="X67" s="10">
        <v>15.6</v>
      </c>
      <c r="Y67" s="10">
        <v>4.5999999999999996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/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114</v>
      </c>
      <c r="B68" s="1" t="s">
        <v>37</v>
      </c>
      <c r="C68" s="1">
        <v>244.36699999999999</v>
      </c>
      <c r="D68" s="1">
        <v>252.67099999999999</v>
      </c>
      <c r="E68" s="1">
        <v>269.99799999999999</v>
      </c>
      <c r="F68" s="1">
        <v>174.256</v>
      </c>
      <c r="G68" s="7">
        <v>1</v>
      </c>
      <c r="H68" s="1">
        <v>50</v>
      </c>
      <c r="I68" s="1" t="s">
        <v>35</v>
      </c>
      <c r="J68" s="1"/>
      <c r="K68" s="1">
        <v>242.06899999999999</v>
      </c>
      <c r="L68" s="1">
        <f t="shared" si="11"/>
        <v>27.929000000000002</v>
      </c>
      <c r="M68" s="1"/>
      <c r="N68" s="1"/>
      <c r="O68" s="1">
        <v>224</v>
      </c>
      <c r="P68" s="1">
        <f t="shared" si="12"/>
        <v>53.999600000000001</v>
      </c>
      <c r="Q68" s="5">
        <f t="shared" ref="Q68:Q72" si="18">15*P68-O68-F68</f>
        <v>411.73800000000006</v>
      </c>
      <c r="R68" s="5">
        <f t="shared" si="5"/>
        <v>412</v>
      </c>
      <c r="S68" s="1">
        <f t="shared" si="6"/>
        <v>15.00485188779176</v>
      </c>
      <c r="T68" s="1">
        <f t="shared" si="13"/>
        <v>7.3751657419684582</v>
      </c>
      <c r="U68" s="1">
        <v>43.759799999999998</v>
      </c>
      <c r="V68" s="1">
        <v>41.929600000000001</v>
      </c>
      <c r="W68" s="1">
        <v>42.965600000000002</v>
      </c>
      <c r="X68" s="1">
        <v>32.3782</v>
      </c>
      <c r="Y68" s="1">
        <v>45.654600000000002</v>
      </c>
      <c r="Z68" s="1">
        <v>10.1288</v>
      </c>
      <c r="AA68" s="1">
        <v>53.4602</v>
      </c>
      <c r="AB68" s="1">
        <v>36.601999999999997</v>
      </c>
      <c r="AC68" s="1">
        <v>34.4</v>
      </c>
      <c r="AD68" s="1">
        <v>39.615600000000001</v>
      </c>
      <c r="AE68" s="1"/>
      <c r="AF68" s="1">
        <f t="shared" si="7"/>
        <v>412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115</v>
      </c>
      <c r="B69" s="1" t="s">
        <v>34</v>
      </c>
      <c r="C69" s="1">
        <v>167</v>
      </c>
      <c r="D69" s="1">
        <v>216</v>
      </c>
      <c r="E69" s="1">
        <v>47</v>
      </c>
      <c r="F69" s="1">
        <v>224</v>
      </c>
      <c r="G69" s="7">
        <v>0.35</v>
      </c>
      <c r="H69" s="1">
        <v>50</v>
      </c>
      <c r="I69" s="1" t="s">
        <v>35</v>
      </c>
      <c r="J69" s="1"/>
      <c r="K69" s="1">
        <v>51</v>
      </c>
      <c r="L69" s="1">
        <f t="shared" si="11"/>
        <v>-4</v>
      </c>
      <c r="M69" s="1"/>
      <c r="N69" s="1"/>
      <c r="O69" s="1">
        <v>0</v>
      </c>
      <c r="P69" s="1">
        <f t="shared" si="12"/>
        <v>9.4</v>
      </c>
      <c r="Q69" s="5"/>
      <c r="R69" s="5">
        <f t="shared" si="5"/>
        <v>0</v>
      </c>
      <c r="S69" s="1">
        <f t="shared" si="6"/>
        <v>23.829787234042552</v>
      </c>
      <c r="T69" s="1">
        <f t="shared" si="13"/>
        <v>23.829787234042552</v>
      </c>
      <c r="U69" s="1">
        <v>5.4</v>
      </c>
      <c r="V69" s="1">
        <v>26.8</v>
      </c>
      <c r="W69" s="1">
        <v>3.4</v>
      </c>
      <c r="X69" s="1">
        <v>23.2</v>
      </c>
      <c r="Y69" s="1">
        <v>13.4</v>
      </c>
      <c r="Z69" s="1">
        <v>4.4000000000000004</v>
      </c>
      <c r="AA69" s="1">
        <v>21.4</v>
      </c>
      <c r="AB69" s="1">
        <v>9.6</v>
      </c>
      <c r="AC69" s="1">
        <v>10.6</v>
      </c>
      <c r="AD69" s="1">
        <v>6.8</v>
      </c>
      <c r="AE69" s="14" t="s">
        <v>56</v>
      </c>
      <c r="AF69" s="1">
        <f t="shared" si="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116</v>
      </c>
      <c r="B70" s="1" t="s">
        <v>37</v>
      </c>
      <c r="C70" s="1">
        <v>91.456999999999994</v>
      </c>
      <c r="D70" s="1"/>
      <c r="E70" s="1">
        <v>38.612000000000002</v>
      </c>
      <c r="F70" s="1">
        <v>51.313000000000002</v>
      </c>
      <c r="G70" s="7">
        <v>1</v>
      </c>
      <c r="H70" s="1">
        <v>50</v>
      </c>
      <c r="I70" s="1" t="s">
        <v>35</v>
      </c>
      <c r="J70" s="1"/>
      <c r="K70" s="1">
        <v>36</v>
      </c>
      <c r="L70" s="1">
        <f t="shared" ref="L70:L101" si="19">E70-K70</f>
        <v>2.6120000000000019</v>
      </c>
      <c r="M70" s="1"/>
      <c r="N70" s="1"/>
      <c r="O70" s="1">
        <v>87</v>
      </c>
      <c r="P70" s="1">
        <f t="shared" ref="P70:P101" si="20">E70/5</f>
        <v>7.7224000000000004</v>
      </c>
      <c r="Q70" s="5"/>
      <c r="R70" s="5">
        <f t="shared" si="5"/>
        <v>0</v>
      </c>
      <c r="S70" s="1">
        <f t="shared" si="6"/>
        <v>17.91062364031907</v>
      </c>
      <c r="T70" s="1">
        <f t="shared" ref="T70:T101" si="21">(F70+O70)/P70</f>
        <v>17.91062364031907</v>
      </c>
      <c r="U70" s="1">
        <v>12.615399999999999</v>
      </c>
      <c r="V70" s="1">
        <v>10.090999999999999</v>
      </c>
      <c r="W70" s="1">
        <v>7.3322000000000003</v>
      </c>
      <c r="X70" s="1">
        <v>1.9112</v>
      </c>
      <c r="Y70" s="1">
        <v>3.419</v>
      </c>
      <c r="Z70" s="1">
        <v>12.1236</v>
      </c>
      <c r="AA70" s="1">
        <v>5.9020000000000001</v>
      </c>
      <c r="AB70" s="1">
        <v>12.3688</v>
      </c>
      <c r="AC70" s="1">
        <v>10.2056</v>
      </c>
      <c r="AD70" s="1">
        <v>10.2094</v>
      </c>
      <c r="AE70" s="1"/>
      <c r="AF70" s="1">
        <f t="shared" si="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s="19" customFormat="1" x14ac:dyDescent="0.25">
      <c r="A71" s="16" t="s">
        <v>117</v>
      </c>
      <c r="B71" s="16" t="s">
        <v>34</v>
      </c>
      <c r="C71" s="16"/>
      <c r="D71" s="16"/>
      <c r="E71" s="16"/>
      <c r="F71" s="16"/>
      <c r="G71" s="17">
        <v>0.41</v>
      </c>
      <c r="H71" s="16">
        <v>50</v>
      </c>
      <c r="I71" s="16" t="s">
        <v>35</v>
      </c>
      <c r="J71" s="16"/>
      <c r="K71" s="16">
        <v>206</v>
      </c>
      <c r="L71" s="16">
        <f t="shared" si="19"/>
        <v>-206</v>
      </c>
      <c r="M71" s="16"/>
      <c r="N71" s="16"/>
      <c r="O71" s="16">
        <v>100</v>
      </c>
      <c r="P71" s="16">
        <f t="shared" si="20"/>
        <v>0</v>
      </c>
      <c r="Q71" s="18">
        <v>150</v>
      </c>
      <c r="R71" s="5">
        <f t="shared" ref="R71:R116" si="22">ROUND(Q71,0)</f>
        <v>150</v>
      </c>
      <c r="S71" s="1" t="e">
        <f t="shared" ref="S71:S116" si="23">(F71+O71+R71)/P71</f>
        <v>#DIV/0!</v>
      </c>
      <c r="T71" s="16" t="e">
        <f t="shared" si="21"/>
        <v>#DIV/0!</v>
      </c>
      <c r="U71" s="16">
        <v>4.2</v>
      </c>
      <c r="V71" s="16">
        <v>53.4</v>
      </c>
      <c r="W71" s="16">
        <v>61.4</v>
      </c>
      <c r="X71" s="16">
        <v>75.400000000000006</v>
      </c>
      <c r="Y71" s="16">
        <v>106</v>
      </c>
      <c r="Z71" s="16">
        <v>103</v>
      </c>
      <c r="AA71" s="16">
        <v>69.400000000000006</v>
      </c>
      <c r="AB71" s="16">
        <v>50.2</v>
      </c>
      <c r="AC71" s="16">
        <v>106.4</v>
      </c>
      <c r="AD71" s="16">
        <v>53.4</v>
      </c>
      <c r="AE71" s="16"/>
      <c r="AF71" s="1">
        <f t="shared" ref="AF71:AF116" si="24">G71*R71</f>
        <v>61.499999999999993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" t="s">
        <v>118</v>
      </c>
      <c r="B72" s="1" t="s">
        <v>37</v>
      </c>
      <c r="C72" s="1">
        <v>84.192999999999998</v>
      </c>
      <c r="D72" s="1">
        <v>184.87799999999999</v>
      </c>
      <c r="E72" s="1">
        <v>177.74299999999999</v>
      </c>
      <c r="F72" s="1">
        <v>69.516000000000005</v>
      </c>
      <c r="G72" s="7">
        <v>1</v>
      </c>
      <c r="H72" s="1">
        <v>50</v>
      </c>
      <c r="I72" s="1" t="s">
        <v>35</v>
      </c>
      <c r="J72" s="1"/>
      <c r="K72" s="1">
        <v>149.5</v>
      </c>
      <c r="L72" s="1">
        <f t="shared" si="19"/>
        <v>28.242999999999995</v>
      </c>
      <c r="M72" s="1"/>
      <c r="N72" s="1"/>
      <c r="O72" s="1">
        <v>358</v>
      </c>
      <c r="P72" s="1">
        <f t="shared" si="20"/>
        <v>35.5486</v>
      </c>
      <c r="Q72" s="5">
        <f t="shared" si="18"/>
        <v>105.71300000000004</v>
      </c>
      <c r="R72" s="5">
        <f t="shared" si="22"/>
        <v>106</v>
      </c>
      <c r="S72" s="1">
        <f t="shared" si="23"/>
        <v>15.008073454369512</v>
      </c>
      <c r="T72" s="1">
        <f t="shared" si="21"/>
        <v>12.026240133226063</v>
      </c>
      <c r="U72" s="1">
        <v>41.344999999999999</v>
      </c>
      <c r="V72" s="1">
        <v>30.451000000000001</v>
      </c>
      <c r="W72" s="1">
        <v>29.3094</v>
      </c>
      <c r="X72" s="1">
        <v>35.366799999999998</v>
      </c>
      <c r="Y72" s="1">
        <v>41.764600000000002</v>
      </c>
      <c r="Z72" s="1">
        <v>31.7944</v>
      </c>
      <c r="AA72" s="1">
        <v>35.7166</v>
      </c>
      <c r="AB72" s="1">
        <v>39.016599999999997</v>
      </c>
      <c r="AC72" s="1">
        <v>33.249600000000001</v>
      </c>
      <c r="AD72" s="1">
        <v>8.1592000000000002</v>
      </c>
      <c r="AE72" s="1"/>
      <c r="AF72" s="1">
        <f t="shared" si="24"/>
        <v>106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119</v>
      </c>
      <c r="B73" s="1" t="s">
        <v>34</v>
      </c>
      <c r="C73" s="1">
        <v>58</v>
      </c>
      <c r="D73" s="1">
        <v>75</v>
      </c>
      <c r="E73" s="1">
        <v>69</v>
      </c>
      <c r="F73" s="1">
        <v>38</v>
      </c>
      <c r="G73" s="7">
        <v>0.3</v>
      </c>
      <c r="H73" s="1">
        <v>50</v>
      </c>
      <c r="I73" s="1" t="s">
        <v>35</v>
      </c>
      <c r="J73" s="1"/>
      <c r="K73" s="1">
        <v>64</v>
      </c>
      <c r="L73" s="1">
        <f t="shared" si="19"/>
        <v>5</v>
      </c>
      <c r="M73" s="1"/>
      <c r="N73" s="1"/>
      <c r="O73" s="1">
        <v>252</v>
      </c>
      <c r="P73" s="1">
        <f t="shared" si="20"/>
        <v>13.8</v>
      </c>
      <c r="Q73" s="5"/>
      <c r="R73" s="5">
        <f t="shared" si="22"/>
        <v>0</v>
      </c>
      <c r="S73" s="1">
        <f t="shared" si="23"/>
        <v>21.014492753623188</v>
      </c>
      <c r="T73" s="1">
        <f t="shared" si="21"/>
        <v>21.014492753623188</v>
      </c>
      <c r="U73" s="1">
        <v>25.4</v>
      </c>
      <c r="V73" s="1">
        <v>15.8</v>
      </c>
      <c r="W73" s="1">
        <v>18</v>
      </c>
      <c r="X73" s="1">
        <v>10.199999999999999</v>
      </c>
      <c r="Y73" s="1">
        <v>15.8</v>
      </c>
      <c r="Z73" s="1">
        <v>21.6</v>
      </c>
      <c r="AA73" s="1">
        <v>13.4</v>
      </c>
      <c r="AB73" s="1">
        <v>16.600000000000001</v>
      </c>
      <c r="AC73" s="1">
        <v>16.2</v>
      </c>
      <c r="AD73" s="1">
        <v>11</v>
      </c>
      <c r="AE73" s="1"/>
      <c r="AF73" s="1">
        <f t="shared" si="24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0" t="s">
        <v>120</v>
      </c>
      <c r="B74" s="10" t="s">
        <v>34</v>
      </c>
      <c r="C74" s="10">
        <v>5</v>
      </c>
      <c r="D74" s="10"/>
      <c r="E74" s="10">
        <v>3</v>
      </c>
      <c r="F74" s="10">
        <v>2</v>
      </c>
      <c r="G74" s="11">
        <v>0</v>
      </c>
      <c r="H74" s="10">
        <v>50</v>
      </c>
      <c r="I74" s="10" t="s">
        <v>50</v>
      </c>
      <c r="J74" s="10"/>
      <c r="K74" s="10">
        <v>3</v>
      </c>
      <c r="L74" s="10">
        <f t="shared" si="19"/>
        <v>0</v>
      </c>
      <c r="M74" s="10"/>
      <c r="N74" s="10"/>
      <c r="O74" s="10">
        <v>0</v>
      </c>
      <c r="P74" s="10">
        <f t="shared" si="20"/>
        <v>0.6</v>
      </c>
      <c r="Q74" s="12"/>
      <c r="R74" s="5">
        <f t="shared" si="22"/>
        <v>0</v>
      </c>
      <c r="S74" s="1">
        <f t="shared" si="23"/>
        <v>3.3333333333333335</v>
      </c>
      <c r="T74" s="10">
        <f t="shared" si="21"/>
        <v>3.3333333333333335</v>
      </c>
      <c r="U74" s="10">
        <v>0.4</v>
      </c>
      <c r="V74" s="10">
        <v>8.6</v>
      </c>
      <c r="W74" s="10">
        <v>0</v>
      </c>
      <c r="X74" s="10">
        <v>1.8</v>
      </c>
      <c r="Y74" s="10">
        <v>5.6</v>
      </c>
      <c r="Z74" s="10">
        <v>5</v>
      </c>
      <c r="AA74" s="10">
        <v>4.8</v>
      </c>
      <c r="AB74" s="10">
        <v>2.4</v>
      </c>
      <c r="AC74" s="10">
        <v>5.2</v>
      </c>
      <c r="AD74" s="10">
        <v>4.8</v>
      </c>
      <c r="AE74" s="10"/>
      <c r="AF74" s="1">
        <f t="shared" si="24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121</v>
      </c>
      <c r="B75" s="1" t="s">
        <v>34</v>
      </c>
      <c r="C75" s="1">
        <v>166</v>
      </c>
      <c r="D75" s="1">
        <v>160</v>
      </c>
      <c r="E75" s="1">
        <v>190</v>
      </c>
      <c r="F75" s="1">
        <v>99</v>
      </c>
      <c r="G75" s="7">
        <v>0.18</v>
      </c>
      <c r="H75" s="1">
        <v>50</v>
      </c>
      <c r="I75" s="1" t="s">
        <v>35</v>
      </c>
      <c r="J75" s="1"/>
      <c r="K75" s="1">
        <v>187</v>
      </c>
      <c r="L75" s="1">
        <f t="shared" si="19"/>
        <v>3</v>
      </c>
      <c r="M75" s="1"/>
      <c r="N75" s="1"/>
      <c r="O75" s="1">
        <v>163</v>
      </c>
      <c r="P75" s="1">
        <f t="shared" si="20"/>
        <v>38</v>
      </c>
      <c r="Q75" s="5">
        <f>15*P75-O75-F75</f>
        <v>308</v>
      </c>
      <c r="R75" s="5">
        <f t="shared" si="22"/>
        <v>308</v>
      </c>
      <c r="S75" s="1">
        <f t="shared" si="23"/>
        <v>15</v>
      </c>
      <c r="T75" s="1">
        <f t="shared" si="21"/>
        <v>6.8947368421052628</v>
      </c>
      <c r="U75" s="1">
        <v>32.6</v>
      </c>
      <c r="V75" s="1">
        <v>33</v>
      </c>
      <c r="W75" s="1">
        <v>6.4</v>
      </c>
      <c r="X75" s="1">
        <v>36.6</v>
      </c>
      <c r="Y75" s="1">
        <v>24</v>
      </c>
      <c r="Z75" s="1">
        <v>24.6</v>
      </c>
      <c r="AA75" s="1">
        <v>28.2</v>
      </c>
      <c r="AB75" s="1">
        <v>23.4</v>
      </c>
      <c r="AC75" s="1">
        <v>14.6</v>
      </c>
      <c r="AD75" s="1">
        <v>36.6</v>
      </c>
      <c r="AE75" s="1"/>
      <c r="AF75" s="1">
        <f t="shared" si="24"/>
        <v>55.44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0" t="s">
        <v>122</v>
      </c>
      <c r="B76" s="10" t="s">
        <v>34</v>
      </c>
      <c r="C76" s="10">
        <v>68</v>
      </c>
      <c r="D76" s="10"/>
      <c r="E76" s="10">
        <v>51</v>
      </c>
      <c r="F76" s="10">
        <v>8</v>
      </c>
      <c r="G76" s="11">
        <v>0</v>
      </c>
      <c r="H76" s="10">
        <v>120</v>
      </c>
      <c r="I76" s="10" t="s">
        <v>50</v>
      </c>
      <c r="J76" s="10"/>
      <c r="K76" s="10">
        <v>52</v>
      </c>
      <c r="L76" s="10">
        <f t="shared" si="19"/>
        <v>-1</v>
      </c>
      <c r="M76" s="10"/>
      <c r="N76" s="10"/>
      <c r="O76" s="10">
        <v>0</v>
      </c>
      <c r="P76" s="10">
        <f t="shared" si="20"/>
        <v>10.199999999999999</v>
      </c>
      <c r="Q76" s="12"/>
      <c r="R76" s="5">
        <f t="shared" si="22"/>
        <v>0</v>
      </c>
      <c r="S76" s="1">
        <f t="shared" si="23"/>
        <v>0.78431372549019618</v>
      </c>
      <c r="T76" s="10">
        <f t="shared" si="21"/>
        <v>0.78431372549019618</v>
      </c>
      <c r="U76" s="10">
        <v>8</v>
      </c>
      <c r="V76" s="10">
        <v>2.6</v>
      </c>
      <c r="W76" s="10">
        <v>1.8</v>
      </c>
      <c r="X76" s="10">
        <v>11.4</v>
      </c>
      <c r="Y76" s="10">
        <v>0.6</v>
      </c>
      <c r="Z76" s="10">
        <v>8.8000000000000007</v>
      </c>
      <c r="AA76" s="10">
        <v>9.8000000000000007</v>
      </c>
      <c r="AB76" s="10">
        <v>3.6</v>
      </c>
      <c r="AC76" s="10">
        <v>4</v>
      </c>
      <c r="AD76" s="10">
        <v>4.2</v>
      </c>
      <c r="AE76" s="10"/>
      <c r="AF76" s="1">
        <f t="shared" si="24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123</v>
      </c>
      <c r="B77" s="1" t="s">
        <v>34</v>
      </c>
      <c r="C77" s="1"/>
      <c r="D77" s="1">
        <v>36</v>
      </c>
      <c r="E77" s="1">
        <v>7</v>
      </c>
      <c r="F77" s="1">
        <v>23</v>
      </c>
      <c r="G77" s="7">
        <v>0.84</v>
      </c>
      <c r="H77" s="1">
        <v>50</v>
      </c>
      <c r="I77" s="1" t="s">
        <v>35</v>
      </c>
      <c r="J77" s="1"/>
      <c r="K77" s="1">
        <v>7</v>
      </c>
      <c r="L77" s="1">
        <f t="shared" si="19"/>
        <v>0</v>
      </c>
      <c r="M77" s="1"/>
      <c r="N77" s="1"/>
      <c r="O77" s="1">
        <v>58</v>
      </c>
      <c r="P77" s="1">
        <f t="shared" si="20"/>
        <v>1.4</v>
      </c>
      <c r="Q77" s="5"/>
      <c r="R77" s="5">
        <f t="shared" si="22"/>
        <v>0</v>
      </c>
      <c r="S77" s="1">
        <f t="shared" si="23"/>
        <v>57.857142857142861</v>
      </c>
      <c r="T77" s="1">
        <f t="shared" si="21"/>
        <v>57.857142857142861</v>
      </c>
      <c r="U77" s="1">
        <v>6.4</v>
      </c>
      <c r="V77" s="1">
        <v>4.5999999999999996</v>
      </c>
      <c r="W77" s="1">
        <v>2.8</v>
      </c>
      <c r="X77" s="1">
        <v>1</v>
      </c>
      <c r="Y77" s="1">
        <v>1.6</v>
      </c>
      <c r="Z77" s="1">
        <v>5.8</v>
      </c>
      <c r="AA77" s="1">
        <v>4.4000000000000004</v>
      </c>
      <c r="AB77" s="1">
        <v>3.6</v>
      </c>
      <c r="AC77" s="1">
        <v>4.8</v>
      </c>
      <c r="AD77" s="1">
        <v>2.6</v>
      </c>
      <c r="AE77" s="1"/>
      <c r="AF77" s="1">
        <f t="shared" si="24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34</v>
      </c>
      <c r="C78" s="1">
        <v>-1</v>
      </c>
      <c r="D78" s="1">
        <v>808</v>
      </c>
      <c r="E78" s="1">
        <v>112</v>
      </c>
      <c r="F78" s="1">
        <v>622</v>
      </c>
      <c r="G78" s="7">
        <v>0.35</v>
      </c>
      <c r="H78" s="1">
        <v>50</v>
      </c>
      <c r="I78" s="1" t="s">
        <v>35</v>
      </c>
      <c r="J78" s="1"/>
      <c r="K78" s="1">
        <v>279</v>
      </c>
      <c r="L78" s="1">
        <f t="shared" si="19"/>
        <v>-167</v>
      </c>
      <c r="M78" s="1"/>
      <c r="N78" s="1"/>
      <c r="O78" s="1">
        <v>101</v>
      </c>
      <c r="P78" s="1">
        <f t="shared" si="20"/>
        <v>22.4</v>
      </c>
      <c r="Q78" s="5">
        <v>100</v>
      </c>
      <c r="R78" s="5">
        <f t="shared" si="22"/>
        <v>100</v>
      </c>
      <c r="S78" s="1">
        <f t="shared" si="23"/>
        <v>36.741071428571431</v>
      </c>
      <c r="T78" s="1">
        <f t="shared" si="21"/>
        <v>32.276785714285715</v>
      </c>
      <c r="U78" s="1">
        <v>60</v>
      </c>
      <c r="V78" s="1">
        <v>91.6</v>
      </c>
      <c r="W78" s="1">
        <v>61.8</v>
      </c>
      <c r="X78" s="1">
        <v>80.8</v>
      </c>
      <c r="Y78" s="1">
        <v>98.6</v>
      </c>
      <c r="Z78" s="1">
        <v>77.599999999999994</v>
      </c>
      <c r="AA78" s="1">
        <v>76.599999999999994</v>
      </c>
      <c r="AB78" s="1">
        <v>88.4</v>
      </c>
      <c r="AC78" s="1">
        <v>76</v>
      </c>
      <c r="AD78" s="1">
        <v>69.2</v>
      </c>
      <c r="AE78" s="1"/>
      <c r="AF78" s="1">
        <f t="shared" si="24"/>
        <v>35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37</v>
      </c>
      <c r="C79" s="1">
        <v>109.22199999999999</v>
      </c>
      <c r="D79" s="1">
        <v>347.24299999999999</v>
      </c>
      <c r="E79" s="1">
        <v>154.125</v>
      </c>
      <c r="F79" s="1">
        <v>285.83999999999997</v>
      </c>
      <c r="G79" s="7">
        <v>1</v>
      </c>
      <c r="H79" s="1">
        <v>50</v>
      </c>
      <c r="I79" s="1" t="s">
        <v>35</v>
      </c>
      <c r="J79" s="1"/>
      <c r="K79" s="1">
        <v>148.5</v>
      </c>
      <c r="L79" s="1">
        <f t="shared" si="19"/>
        <v>5.625</v>
      </c>
      <c r="M79" s="1"/>
      <c r="N79" s="1"/>
      <c r="O79" s="1">
        <v>107</v>
      </c>
      <c r="P79" s="1">
        <f t="shared" si="20"/>
        <v>30.824999999999999</v>
      </c>
      <c r="Q79" s="5">
        <f t="shared" ref="Q79:Q81" si="25">15*P79-O79-F79</f>
        <v>69.535000000000025</v>
      </c>
      <c r="R79" s="5">
        <f t="shared" si="22"/>
        <v>70</v>
      </c>
      <c r="S79" s="1">
        <f t="shared" si="23"/>
        <v>15.015085158150852</v>
      </c>
      <c r="T79" s="1">
        <f t="shared" si="21"/>
        <v>12.744201135442012</v>
      </c>
      <c r="U79" s="1">
        <v>34.910400000000003</v>
      </c>
      <c r="V79" s="1">
        <v>37.654800000000002</v>
      </c>
      <c r="W79" s="1">
        <v>30.102599999999999</v>
      </c>
      <c r="X79" s="1">
        <v>26.282599999999999</v>
      </c>
      <c r="Y79" s="1">
        <v>29.624600000000001</v>
      </c>
      <c r="Z79" s="1">
        <v>13.597799999999999</v>
      </c>
      <c r="AA79" s="1">
        <v>23.0444</v>
      </c>
      <c r="AB79" s="1">
        <v>30.029800000000002</v>
      </c>
      <c r="AC79" s="1">
        <v>28.277200000000001</v>
      </c>
      <c r="AD79" s="1">
        <v>31.450399999999998</v>
      </c>
      <c r="AE79" s="1"/>
      <c r="AF79" s="1">
        <f t="shared" si="24"/>
        <v>70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126</v>
      </c>
      <c r="B80" s="1" t="s">
        <v>37</v>
      </c>
      <c r="C80" s="1">
        <v>215.97</v>
      </c>
      <c r="D80" s="1">
        <v>427.93299999999999</v>
      </c>
      <c r="E80" s="1">
        <v>251.065</v>
      </c>
      <c r="F80" s="1">
        <v>334.58</v>
      </c>
      <c r="G80" s="7">
        <v>1</v>
      </c>
      <c r="H80" s="1">
        <v>50</v>
      </c>
      <c r="I80" s="1" t="s">
        <v>35</v>
      </c>
      <c r="J80" s="1"/>
      <c r="K80" s="1">
        <v>228.7</v>
      </c>
      <c r="L80" s="1">
        <f t="shared" si="19"/>
        <v>22.365000000000009</v>
      </c>
      <c r="M80" s="1"/>
      <c r="N80" s="1"/>
      <c r="O80" s="1">
        <v>0</v>
      </c>
      <c r="P80" s="1">
        <f t="shared" si="20"/>
        <v>50.213000000000001</v>
      </c>
      <c r="Q80" s="5">
        <f t="shared" si="25"/>
        <v>418.61500000000007</v>
      </c>
      <c r="R80" s="5">
        <f t="shared" si="22"/>
        <v>419</v>
      </c>
      <c r="S80" s="1">
        <f t="shared" si="23"/>
        <v>15.007667337143765</v>
      </c>
      <c r="T80" s="1">
        <f t="shared" si="21"/>
        <v>6.6632147053551867</v>
      </c>
      <c r="U80" s="1">
        <v>27.881599999999999</v>
      </c>
      <c r="V80" s="1">
        <v>50.210999999999999</v>
      </c>
      <c r="W80" s="1">
        <v>40.056600000000003</v>
      </c>
      <c r="X80" s="1">
        <v>33.135599999999997</v>
      </c>
      <c r="Y80" s="1">
        <v>41.604599999999998</v>
      </c>
      <c r="Z80" s="1">
        <v>44.145400000000002</v>
      </c>
      <c r="AA80" s="1">
        <v>38.8658</v>
      </c>
      <c r="AB80" s="1">
        <v>50.016800000000003</v>
      </c>
      <c r="AC80" s="1">
        <v>41.149000000000001</v>
      </c>
      <c r="AD80" s="1">
        <v>39.247199999999999</v>
      </c>
      <c r="AE80" s="1"/>
      <c r="AF80" s="1">
        <f t="shared" si="24"/>
        <v>419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34</v>
      </c>
      <c r="C81" s="1">
        <v>127</v>
      </c>
      <c r="D81" s="1">
        <v>538</v>
      </c>
      <c r="E81" s="1">
        <v>268</v>
      </c>
      <c r="F81" s="1">
        <v>318</v>
      </c>
      <c r="G81" s="7">
        <v>0.35</v>
      </c>
      <c r="H81" s="1">
        <v>50</v>
      </c>
      <c r="I81" s="1" t="s">
        <v>35</v>
      </c>
      <c r="J81" s="1"/>
      <c r="K81" s="1">
        <v>353</v>
      </c>
      <c r="L81" s="1">
        <f t="shared" si="19"/>
        <v>-85</v>
      </c>
      <c r="M81" s="1"/>
      <c r="N81" s="1"/>
      <c r="O81" s="1">
        <v>0</v>
      </c>
      <c r="P81" s="1">
        <f t="shared" si="20"/>
        <v>53.6</v>
      </c>
      <c r="Q81" s="5">
        <f t="shared" si="25"/>
        <v>486</v>
      </c>
      <c r="R81" s="5">
        <f t="shared" si="22"/>
        <v>486</v>
      </c>
      <c r="S81" s="1">
        <f t="shared" si="23"/>
        <v>15</v>
      </c>
      <c r="T81" s="1">
        <f t="shared" si="21"/>
        <v>5.9328358208955221</v>
      </c>
      <c r="U81" s="1">
        <v>28.4</v>
      </c>
      <c r="V81" s="1">
        <v>53.8</v>
      </c>
      <c r="W81" s="1">
        <v>74</v>
      </c>
      <c r="X81" s="1">
        <v>80.599999999999994</v>
      </c>
      <c r="Y81" s="1">
        <v>102</v>
      </c>
      <c r="Z81" s="1">
        <v>99.4</v>
      </c>
      <c r="AA81" s="1">
        <v>83</v>
      </c>
      <c r="AB81" s="1">
        <v>99</v>
      </c>
      <c r="AC81" s="1">
        <v>89</v>
      </c>
      <c r="AD81" s="1">
        <v>63</v>
      </c>
      <c r="AE81" s="1"/>
      <c r="AF81" s="1">
        <f t="shared" si="24"/>
        <v>170.1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34</v>
      </c>
      <c r="C82" s="1">
        <v>-2</v>
      </c>
      <c r="D82" s="1">
        <v>168</v>
      </c>
      <c r="E82" s="1">
        <v>15</v>
      </c>
      <c r="F82" s="1">
        <v>124</v>
      </c>
      <c r="G82" s="7">
        <v>0.3</v>
      </c>
      <c r="H82" s="1">
        <v>50</v>
      </c>
      <c r="I82" s="1" t="s">
        <v>35</v>
      </c>
      <c r="J82" s="1"/>
      <c r="K82" s="1">
        <v>27</v>
      </c>
      <c r="L82" s="1">
        <f t="shared" si="19"/>
        <v>-12</v>
      </c>
      <c r="M82" s="1"/>
      <c r="N82" s="1"/>
      <c r="O82" s="1">
        <v>120</v>
      </c>
      <c r="P82" s="1">
        <f t="shared" si="20"/>
        <v>3</v>
      </c>
      <c r="Q82" s="5"/>
      <c r="R82" s="5">
        <f t="shared" si="22"/>
        <v>0</v>
      </c>
      <c r="S82" s="1">
        <f t="shared" si="23"/>
        <v>81.333333333333329</v>
      </c>
      <c r="T82" s="1">
        <f t="shared" si="21"/>
        <v>81.333333333333329</v>
      </c>
      <c r="U82" s="1">
        <v>19.399999999999999</v>
      </c>
      <c r="V82" s="1">
        <v>18</v>
      </c>
      <c r="W82" s="1">
        <v>11.2</v>
      </c>
      <c r="X82" s="1">
        <v>15.8</v>
      </c>
      <c r="Y82" s="1">
        <v>10.8</v>
      </c>
      <c r="Z82" s="1">
        <v>18.399999999999999</v>
      </c>
      <c r="AA82" s="1">
        <v>18</v>
      </c>
      <c r="AB82" s="1">
        <v>13.6</v>
      </c>
      <c r="AC82" s="1">
        <v>6.4</v>
      </c>
      <c r="AD82" s="1">
        <v>13.6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34</v>
      </c>
      <c r="C83" s="1">
        <v>94</v>
      </c>
      <c r="D83" s="1">
        <v>123</v>
      </c>
      <c r="E83" s="1">
        <v>48</v>
      </c>
      <c r="F83" s="1">
        <v>158</v>
      </c>
      <c r="G83" s="7">
        <v>0.3</v>
      </c>
      <c r="H83" s="1">
        <v>60</v>
      </c>
      <c r="I83" s="1" t="s">
        <v>35</v>
      </c>
      <c r="J83" s="1"/>
      <c r="K83" s="1">
        <v>48</v>
      </c>
      <c r="L83" s="1">
        <f t="shared" si="19"/>
        <v>0</v>
      </c>
      <c r="M83" s="1"/>
      <c r="N83" s="1"/>
      <c r="O83" s="1">
        <v>0</v>
      </c>
      <c r="P83" s="1">
        <f t="shared" si="20"/>
        <v>9.6</v>
      </c>
      <c r="Q83" s="5"/>
      <c r="R83" s="5">
        <f t="shared" si="22"/>
        <v>0</v>
      </c>
      <c r="S83" s="1">
        <f t="shared" si="23"/>
        <v>16.458333333333336</v>
      </c>
      <c r="T83" s="1">
        <f t="shared" si="21"/>
        <v>16.458333333333336</v>
      </c>
      <c r="U83" s="1">
        <v>8.6</v>
      </c>
      <c r="V83" s="1">
        <v>17.2</v>
      </c>
      <c r="W83" s="1">
        <v>2.2000000000000002</v>
      </c>
      <c r="X83" s="1">
        <v>6</v>
      </c>
      <c r="Y83" s="1">
        <v>25.2</v>
      </c>
      <c r="Z83" s="1">
        <v>5.4</v>
      </c>
      <c r="AA83" s="1">
        <v>11.6</v>
      </c>
      <c r="AB83" s="1">
        <v>13.8</v>
      </c>
      <c r="AC83" s="1">
        <v>3.4</v>
      </c>
      <c r="AD83" s="1">
        <v>0.6</v>
      </c>
      <c r="AE83" s="9" t="s">
        <v>104</v>
      </c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34</v>
      </c>
      <c r="C84" s="1">
        <v>112</v>
      </c>
      <c r="D84" s="1">
        <v>578</v>
      </c>
      <c r="E84" s="1">
        <v>214</v>
      </c>
      <c r="F84" s="1">
        <v>415</v>
      </c>
      <c r="G84" s="7">
        <v>0.28000000000000003</v>
      </c>
      <c r="H84" s="1">
        <v>50</v>
      </c>
      <c r="I84" s="1" t="s">
        <v>35</v>
      </c>
      <c r="J84" s="1"/>
      <c r="K84" s="1">
        <v>287</v>
      </c>
      <c r="L84" s="1">
        <f t="shared" si="19"/>
        <v>-73</v>
      </c>
      <c r="M84" s="1"/>
      <c r="N84" s="1"/>
      <c r="O84" s="1">
        <v>372</v>
      </c>
      <c r="P84" s="1">
        <f t="shared" si="20"/>
        <v>42.8</v>
      </c>
      <c r="Q84" s="5"/>
      <c r="R84" s="5">
        <f t="shared" si="22"/>
        <v>0</v>
      </c>
      <c r="S84" s="1">
        <f t="shared" si="23"/>
        <v>18.38785046728972</v>
      </c>
      <c r="T84" s="1">
        <f t="shared" si="21"/>
        <v>18.38785046728972</v>
      </c>
      <c r="U84" s="1">
        <v>69.599999999999994</v>
      </c>
      <c r="V84" s="1">
        <v>65</v>
      </c>
      <c r="W84" s="1">
        <v>63.2</v>
      </c>
      <c r="X84" s="1">
        <v>67.2</v>
      </c>
      <c r="Y84" s="1">
        <v>80.8</v>
      </c>
      <c r="Z84" s="1">
        <v>74.400000000000006</v>
      </c>
      <c r="AA84" s="1">
        <v>71.2</v>
      </c>
      <c r="AB84" s="1">
        <v>69.2</v>
      </c>
      <c r="AC84" s="1">
        <v>69</v>
      </c>
      <c r="AD84" s="1">
        <v>58</v>
      </c>
      <c r="AE84" s="1"/>
      <c r="AF84" s="1">
        <f t="shared" si="24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131</v>
      </c>
      <c r="B85" s="1" t="s">
        <v>34</v>
      </c>
      <c r="C85" s="1">
        <v>74</v>
      </c>
      <c r="D85" s="1">
        <v>682</v>
      </c>
      <c r="E85" s="1">
        <v>174</v>
      </c>
      <c r="F85" s="1">
        <v>523</v>
      </c>
      <c r="G85" s="7">
        <v>0.28000000000000003</v>
      </c>
      <c r="H85" s="1">
        <v>45</v>
      </c>
      <c r="I85" s="1" t="s">
        <v>35</v>
      </c>
      <c r="J85" s="1"/>
      <c r="K85" s="1">
        <v>232</v>
      </c>
      <c r="L85" s="1">
        <f t="shared" si="19"/>
        <v>-58</v>
      </c>
      <c r="M85" s="1"/>
      <c r="N85" s="1"/>
      <c r="O85" s="1">
        <v>20</v>
      </c>
      <c r="P85" s="1">
        <f t="shared" si="20"/>
        <v>34.799999999999997</v>
      </c>
      <c r="Q85" s="5"/>
      <c r="R85" s="5">
        <f t="shared" si="22"/>
        <v>0</v>
      </c>
      <c r="S85" s="1">
        <f t="shared" si="23"/>
        <v>15.603448275862069</v>
      </c>
      <c r="T85" s="1">
        <f t="shared" si="21"/>
        <v>15.603448275862069</v>
      </c>
      <c r="U85" s="1">
        <v>51</v>
      </c>
      <c r="V85" s="1">
        <v>70.400000000000006</v>
      </c>
      <c r="W85" s="1">
        <v>52.2</v>
      </c>
      <c r="X85" s="1">
        <v>56.6</v>
      </c>
      <c r="Y85" s="1">
        <v>78.8</v>
      </c>
      <c r="Z85" s="1">
        <v>61.2</v>
      </c>
      <c r="AA85" s="1">
        <v>54.2</v>
      </c>
      <c r="AB85" s="1">
        <v>71.599999999999994</v>
      </c>
      <c r="AC85" s="1">
        <v>74.599999999999994</v>
      </c>
      <c r="AD85" s="1">
        <v>56</v>
      </c>
      <c r="AE85" s="1"/>
      <c r="AF85" s="1">
        <f t="shared" si="2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132</v>
      </c>
      <c r="B86" s="10" t="s">
        <v>34</v>
      </c>
      <c r="C86" s="10">
        <v>70</v>
      </c>
      <c r="D86" s="10">
        <v>1</v>
      </c>
      <c r="E86" s="10">
        <v>65</v>
      </c>
      <c r="F86" s="10"/>
      <c r="G86" s="11">
        <v>0</v>
      </c>
      <c r="H86" s="10">
        <v>45</v>
      </c>
      <c r="I86" s="10" t="s">
        <v>50</v>
      </c>
      <c r="J86" s="10"/>
      <c r="K86" s="10">
        <v>93</v>
      </c>
      <c r="L86" s="10">
        <f t="shared" si="19"/>
        <v>-28</v>
      </c>
      <c r="M86" s="10"/>
      <c r="N86" s="10"/>
      <c r="O86" s="10">
        <v>0</v>
      </c>
      <c r="P86" s="10">
        <f t="shared" si="20"/>
        <v>13</v>
      </c>
      <c r="Q86" s="12"/>
      <c r="R86" s="5">
        <f t="shared" si="22"/>
        <v>0</v>
      </c>
      <c r="S86" s="1">
        <f t="shared" si="23"/>
        <v>0</v>
      </c>
      <c r="T86" s="10">
        <f t="shared" si="21"/>
        <v>0</v>
      </c>
      <c r="U86" s="10">
        <v>17.600000000000001</v>
      </c>
      <c r="V86" s="10">
        <v>23.8</v>
      </c>
      <c r="W86" s="10">
        <v>17.600000000000001</v>
      </c>
      <c r="X86" s="10">
        <v>12.2</v>
      </c>
      <c r="Y86" s="10">
        <v>26.4</v>
      </c>
      <c r="Z86" s="10">
        <v>20</v>
      </c>
      <c r="AA86" s="10">
        <v>16.399999999999999</v>
      </c>
      <c r="AB86" s="10">
        <v>18.600000000000001</v>
      </c>
      <c r="AC86" s="10">
        <v>15.8</v>
      </c>
      <c r="AD86" s="10">
        <v>14.4</v>
      </c>
      <c r="AE86" s="10" t="s">
        <v>79</v>
      </c>
      <c r="AF86" s="1">
        <f t="shared" si="24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133</v>
      </c>
      <c r="B87" s="1" t="s">
        <v>34</v>
      </c>
      <c r="C87" s="1"/>
      <c r="D87" s="1">
        <v>488</v>
      </c>
      <c r="E87" s="1">
        <v>70</v>
      </c>
      <c r="F87" s="1">
        <v>375</v>
      </c>
      <c r="G87" s="7">
        <v>0.28000000000000003</v>
      </c>
      <c r="H87" s="1">
        <v>45</v>
      </c>
      <c r="I87" s="1" t="s">
        <v>35</v>
      </c>
      <c r="J87" s="1"/>
      <c r="K87" s="1">
        <v>148</v>
      </c>
      <c r="L87" s="1">
        <f t="shared" si="19"/>
        <v>-78</v>
      </c>
      <c r="M87" s="1"/>
      <c r="N87" s="1"/>
      <c r="O87" s="1">
        <v>0</v>
      </c>
      <c r="P87" s="1">
        <f t="shared" si="20"/>
        <v>14</v>
      </c>
      <c r="Q87" s="5">
        <v>100</v>
      </c>
      <c r="R87" s="5">
        <f t="shared" si="22"/>
        <v>100</v>
      </c>
      <c r="S87" s="1">
        <f t="shared" si="23"/>
        <v>33.928571428571431</v>
      </c>
      <c r="T87" s="1">
        <f t="shared" si="21"/>
        <v>26.785714285714285</v>
      </c>
      <c r="U87" s="1">
        <v>32</v>
      </c>
      <c r="V87" s="1">
        <v>48</v>
      </c>
      <c r="W87" s="1">
        <v>34</v>
      </c>
      <c r="X87" s="1">
        <v>38.6</v>
      </c>
      <c r="Y87" s="1">
        <v>62.4</v>
      </c>
      <c r="Z87" s="1">
        <v>50.2</v>
      </c>
      <c r="AA87" s="1">
        <v>32.6</v>
      </c>
      <c r="AB87" s="1">
        <v>51.4</v>
      </c>
      <c r="AC87" s="1">
        <v>46.4</v>
      </c>
      <c r="AD87" s="1">
        <v>28.4</v>
      </c>
      <c r="AE87" s="1"/>
      <c r="AF87" s="1">
        <f t="shared" si="24"/>
        <v>28.000000000000004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134</v>
      </c>
      <c r="B88" s="1" t="s">
        <v>34</v>
      </c>
      <c r="C88" s="1">
        <v>6</v>
      </c>
      <c r="D88" s="1">
        <v>552</v>
      </c>
      <c r="E88" s="1">
        <v>94</v>
      </c>
      <c r="F88" s="1">
        <v>442</v>
      </c>
      <c r="G88" s="7">
        <v>0.4</v>
      </c>
      <c r="H88" s="1">
        <v>50</v>
      </c>
      <c r="I88" s="1" t="s">
        <v>35</v>
      </c>
      <c r="J88" s="1"/>
      <c r="K88" s="1">
        <v>129</v>
      </c>
      <c r="L88" s="1">
        <f t="shared" si="19"/>
        <v>-35</v>
      </c>
      <c r="M88" s="1"/>
      <c r="N88" s="1"/>
      <c r="O88" s="1">
        <v>339</v>
      </c>
      <c r="P88" s="1">
        <f t="shared" si="20"/>
        <v>18.8</v>
      </c>
      <c r="Q88" s="5"/>
      <c r="R88" s="5">
        <f t="shared" si="22"/>
        <v>0</v>
      </c>
      <c r="S88" s="1">
        <f t="shared" si="23"/>
        <v>41.542553191489361</v>
      </c>
      <c r="T88" s="1">
        <f t="shared" si="21"/>
        <v>41.542553191489361</v>
      </c>
      <c r="U88" s="1">
        <v>59.4</v>
      </c>
      <c r="V88" s="1">
        <v>55.6</v>
      </c>
      <c r="W88" s="1">
        <v>34.6</v>
      </c>
      <c r="X88" s="1">
        <v>26.4</v>
      </c>
      <c r="Y88" s="1">
        <v>63</v>
      </c>
      <c r="Z88" s="1">
        <v>61.8</v>
      </c>
      <c r="AA88" s="1">
        <v>33.6</v>
      </c>
      <c r="AB88" s="1">
        <v>27.2</v>
      </c>
      <c r="AC88" s="1">
        <v>59.8</v>
      </c>
      <c r="AD88" s="1">
        <v>26.4</v>
      </c>
      <c r="AE88" s="1"/>
      <c r="AF88" s="1">
        <f t="shared" si="2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135</v>
      </c>
      <c r="B89" s="10" t="s">
        <v>37</v>
      </c>
      <c r="C89" s="10">
        <v>49.302999999999997</v>
      </c>
      <c r="D89" s="10"/>
      <c r="E89" s="10">
        <v>55.63</v>
      </c>
      <c r="F89" s="10">
        <v>-6.327</v>
      </c>
      <c r="G89" s="11">
        <v>0</v>
      </c>
      <c r="H89" s="10">
        <v>50</v>
      </c>
      <c r="I89" s="10" t="s">
        <v>50</v>
      </c>
      <c r="J89" s="10"/>
      <c r="K89" s="10">
        <v>59</v>
      </c>
      <c r="L89" s="10">
        <f t="shared" si="19"/>
        <v>-3.3699999999999974</v>
      </c>
      <c r="M89" s="10"/>
      <c r="N89" s="10"/>
      <c r="O89" s="10">
        <v>0</v>
      </c>
      <c r="P89" s="10">
        <f t="shared" si="20"/>
        <v>11.126000000000001</v>
      </c>
      <c r="Q89" s="12"/>
      <c r="R89" s="5">
        <f t="shared" si="22"/>
        <v>0</v>
      </c>
      <c r="S89" s="1">
        <f t="shared" si="23"/>
        <v>-0.56866798490023363</v>
      </c>
      <c r="T89" s="10">
        <f t="shared" si="21"/>
        <v>-0.56866798490023363</v>
      </c>
      <c r="U89" s="10">
        <v>8.2726000000000006</v>
      </c>
      <c r="V89" s="10">
        <v>12.144600000000001</v>
      </c>
      <c r="W89" s="10">
        <v>10.204599999999999</v>
      </c>
      <c r="X89" s="10">
        <v>5.8887999999999998</v>
      </c>
      <c r="Y89" s="10">
        <v>9.9792000000000005</v>
      </c>
      <c r="Z89" s="10">
        <v>2.3894000000000002</v>
      </c>
      <c r="AA89" s="10">
        <v>11.3804</v>
      </c>
      <c r="AB89" s="10">
        <v>10.7052</v>
      </c>
      <c r="AC89" s="10">
        <v>6.6440000000000001</v>
      </c>
      <c r="AD89" s="10">
        <v>6.9550000000000001</v>
      </c>
      <c r="AE89" s="10"/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0" t="s">
        <v>136</v>
      </c>
      <c r="B90" s="10" t="s">
        <v>34</v>
      </c>
      <c r="C90" s="10">
        <v>-2</v>
      </c>
      <c r="D90" s="10"/>
      <c r="E90" s="10"/>
      <c r="F90" s="10">
        <v>-2</v>
      </c>
      <c r="G90" s="11">
        <v>0</v>
      </c>
      <c r="H90" s="10">
        <v>50</v>
      </c>
      <c r="I90" s="10" t="s">
        <v>50</v>
      </c>
      <c r="J90" s="10"/>
      <c r="K90" s="10"/>
      <c r="L90" s="10">
        <f t="shared" si="19"/>
        <v>0</v>
      </c>
      <c r="M90" s="10"/>
      <c r="N90" s="10"/>
      <c r="O90" s="10">
        <v>0</v>
      </c>
      <c r="P90" s="10">
        <f t="shared" si="20"/>
        <v>0</v>
      </c>
      <c r="Q90" s="12"/>
      <c r="R90" s="5">
        <f t="shared" si="22"/>
        <v>0</v>
      </c>
      <c r="S90" s="1" t="e">
        <f t="shared" si="23"/>
        <v>#DIV/0!</v>
      </c>
      <c r="T90" s="10" t="e">
        <f t="shared" si="21"/>
        <v>#DIV/0!</v>
      </c>
      <c r="U90" s="10">
        <v>5</v>
      </c>
      <c r="V90" s="10">
        <v>8.6</v>
      </c>
      <c r="W90" s="10">
        <v>3.2</v>
      </c>
      <c r="X90" s="10">
        <v>5.4</v>
      </c>
      <c r="Y90" s="10">
        <v>6.6</v>
      </c>
      <c r="Z90" s="10">
        <v>2.8</v>
      </c>
      <c r="AA90" s="10">
        <v>4</v>
      </c>
      <c r="AB90" s="10">
        <v>7.6</v>
      </c>
      <c r="AC90" s="10">
        <v>1.8</v>
      </c>
      <c r="AD90" s="10">
        <v>11</v>
      </c>
      <c r="AE90" s="10"/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137</v>
      </c>
      <c r="B91" s="10" t="s">
        <v>34</v>
      </c>
      <c r="C91" s="10"/>
      <c r="D91" s="10">
        <v>12</v>
      </c>
      <c r="E91" s="10">
        <v>5</v>
      </c>
      <c r="F91" s="10"/>
      <c r="G91" s="11">
        <v>0</v>
      </c>
      <c r="H91" s="10">
        <v>30</v>
      </c>
      <c r="I91" s="10" t="s">
        <v>50</v>
      </c>
      <c r="J91" s="10"/>
      <c r="K91" s="10">
        <v>23</v>
      </c>
      <c r="L91" s="10">
        <f t="shared" si="19"/>
        <v>-18</v>
      </c>
      <c r="M91" s="10"/>
      <c r="N91" s="10"/>
      <c r="O91" s="10">
        <v>0</v>
      </c>
      <c r="P91" s="10">
        <f t="shared" si="20"/>
        <v>1</v>
      </c>
      <c r="Q91" s="12"/>
      <c r="R91" s="5">
        <f t="shared" si="22"/>
        <v>0</v>
      </c>
      <c r="S91" s="1">
        <f t="shared" si="23"/>
        <v>0</v>
      </c>
      <c r="T91" s="10">
        <f t="shared" si="21"/>
        <v>0</v>
      </c>
      <c r="U91" s="10">
        <v>0.6</v>
      </c>
      <c r="V91" s="10">
        <v>1.4</v>
      </c>
      <c r="W91" s="10">
        <v>6.6</v>
      </c>
      <c r="X91" s="10">
        <v>21.2</v>
      </c>
      <c r="Y91" s="10">
        <v>6.8</v>
      </c>
      <c r="Z91" s="10">
        <v>-1.2</v>
      </c>
      <c r="AA91" s="10">
        <v>22.2</v>
      </c>
      <c r="AB91" s="10">
        <v>1</v>
      </c>
      <c r="AC91" s="10">
        <v>-0.2</v>
      </c>
      <c r="AD91" s="10">
        <v>5</v>
      </c>
      <c r="AE91" s="10" t="s">
        <v>79</v>
      </c>
      <c r="AF91" s="1">
        <f t="shared" si="2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0" t="s">
        <v>138</v>
      </c>
      <c r="B92" s="10" t="s">
        <v>34</v>
      </c>
      <c r="C92" s="10">
        <v>35</v>
      </c>
      <c r="D92" s="10"/>
      <c r="E92" s="15">
        <v>25</v>
      </c>
      <c r="F92" s="15">
        <v>10</v>
      </c>
      <c r="G92" s="11">
        <v>0</v>
      </c>
      <c r="H92" s="10">
        <v>60</v>
      </c>
      <c r="I92" s="10" t="s">
        <v>50</v>
      </c>
      <c r="J92" s="10" t="s">
        <v>139</v>
      </c>
      <c r="K92" s="10">
        <v>35</v>
      </c>
      <c r="L92" s="10">
        <f t="shared" si="19"/>
        <v>-10</v>
      </c>
      <c r="M92" s="10"/>
      <c r="N92" s="10"/>
      <c r="O92" s="10">
        <v>0</v>
      </c>
      <c r="P92" s="10">
        <f t="shared" si="20"/>
        <v>5</v>
      </c>
      <c r="Q92" s="12"/>
      <c r="R92" s="5">
        <f t="shared" si="22"/>
        <v>0</v>
      </c>
      <c r="S92" s="1">
        <f t="shared" si="23"/>
        <v>2</v>
      </c>
      <c r="T92" s="10">
        <f t="shared" si="21"/>
        <v>2</v>
      </c>
      <c r="U92" s="10">
        <v>5.6</v>
      </c>
      <c r="V92" s="10">
        <v>7.2</v>
      </c>
      <c r="W92" s="10">
        <v>6.4</v>
      </c>
      <c r="X92" s="10">
        <v>9.1999999999999993</v>
      </c>
      <c r="Y92" s="10">
        <v>4.2</v>
      </c>
      <c r="Z92" s="10">
        <v>6.2</v>
      </c>
      <c r="AA92" s="10">
        <v>10.6</v>
      </c>
      <c r="AB92" s="10">
        <v>5.8</v>
      </c>
      <c r="AC92" s="10">
        <v>7.2</v>
      </c>
      <c r="AD92" s="10">
        <v>7.8</v>
      </c>
      <c r="AE92" s="10" t="s">
        <v>140</v>
      </c>
      <c r="AF92" s="1">
        <f t="shared" si="2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141</v>
      </c>
      <c r="B93" s="1" t="s">
        <v>37</v>
      </c>
      <c r="C93" s="1">
        <v>47.55</v>
      </c>
      <c r="D93" s="1"/>
      <c r="E93" s="1">
        <v>0.35599999999999998</v>
      </c>
      <c r="F93" s="1">
        <v>47.194000000000003</v>
      </c>
      <c r="G93" s="7">
        <v>1</v>
      </c>
      <c r="H93" s="1"/>
      <c r="I93" s="1" t="s">
        <v>35</v>
      </c>
      <c r="J93" s="1"/>
      <c r="K93" s="1">
        <v>0.2</v>
      </c>
      <c r="L93" s="1">
        <f t="shared" si="19"/>
        <v>0.15599999999999997</v>
      </c>
      <c r="M93" s="1"/>
      <c r="N93" s="1"/>
      <c r="O93" s="1">
        <v>0</v>
      </c>
      <c r="P93" s="1">
        <f t="shared" si="20"/>
        <v>7.1199999999999999E-2</v>
      </c>
      <c r="Q93" s="5"/>
      <c r="R93" s="5">
        <f t="shared" si="22"/>
        <v>0</v>
      </c>
      <c r="S93" s="1">
        <f t="shared" si="23"/>
        <v>662.83707865168549</v>
      </c>
      <c r="T93" s="1">
        <f t="shared" si="21"/>
        <v>662.83707865168549</v>
      </c>
      <c r="U93" s="1">
        <v>0.36159999999999998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21" t="s">
        <v>166</v>
      </c>
      <c r="AF93" s="1">
        <f t="shared" si="24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142</v>
      </c>
      <c r="B94" s="1" t="s">
        <v>34</v>
      </c>
      <c r="C94" s="1">
        <v>26</v>
      </c>
      <c r="D94" s="1">
        <v>312</v>
      </c>
      <c r="E94" s="1">
        <v>33</v>
      </c>
      <c r="F94" s="1">
        <v>283</v>
      </c>
      <c r="G94" s="7">
        <v>0.28000000000000003</v>
      </c>
      <c r="H94" s="1">
        <v>50</v>
      </c>
      <c r="I94" s="1" t="s">
        <v>35</v>
      </c>
      <c r="J94" s="1"/>
      <c r="K94" s="1">
        <v>70</v>
      </c>
      <c r="L94" s="1">
        <f t="shared" si="19"/>
        <v>-37</v>
      </c>
      <c r="M94" s="1"/>
      <c r="N94" s="1"/>
      <c r="O94" s="1">
        <v>0</v>
      </c>
      <c r="P94" s="1">
        <f t="shared" si="20"/>
        <v>6.6</v>
      </c>
      <c r="Q94" s="5"/>
      <c r="R94" s="5">
        <f t="shared" si="22"/>
        <v>0</v>
      </c>
      <c r="S94" s="1">
        <f t="shared" si="23"/>
        <v>42.878787878787882</v>
      </c>
      <c r="T94" s="1">
        <f t="shared" si="21"/>
        <v>42.878787878787882</v>
      </c>
      <c r="U94" s="1">
        <v>19</v>
      </c>
      <c r="V94" s="1">
        <v>32.4</v>
      </c>
      <c r="W94" s="1">
        <v>15.4</v>
      </c>
      <c r="X94" s="1">
        <v>20.6</v>
      </c>
      <c r="Y94" s="1">
        <v>31</v>
      </c>
      <c r="Z94" s="1">
        <v>5.4</v>
      </c>
      <c r="AA94" s="1">
        <v>26.6</v>
      </c>
      <c r="AB94" s="1">
        <v>25.8</v>
      </c>
      <c r="AC94" s="1">
        <v>19.600000000000001</v>
      </c>
      <c r="AD94" s="1">
        <v>2.4</v>
      </c>
      <c r="AE94" s="1"/>
      <c r="AF94" s="1">
        <f t="shared" si="2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143</v>
      </c>
      <c r="B95" s="10" t="s">
        <v>34</v>
      </c>
      <c r="C95" s="10">
        <v>14</v>
      </c>
      <c r="D95" s="10"/>
      <c r="E95" s="10"/>
      <c r="F95" s="10">
        <v>14</v>
      </c>
      <c r="G95" s="11">
        <v>0</v>
      </c>
      <c r="H95" s="10">
        <v>50</v>
      </c>
      <c r="I95" s="10" t="s">
        <v>50</v>
      </c>
      <c r="J95" s="10"/>
      <c r="K95" s="10">
        <v>61</v>
      </c>
      <c r="L95" s="10">
        <f t="shared" si="19"/>
        <v>-61</v>
      </c>
      <c r="M95" s="10"/>
      <c r="N95" s="10"/>
      <c r="O95" s="10">
        <v>0</v>
      </c>
      <c r="P95" s="10">
        <f t="shared" si="20"/>
        <v>0</v>
      </c>
      <c r="Q95" s="12"/>
      <c r="R95" s="5">
        <f t="shared" si="22"/>
        <v>0</v>
      </c>
      <c r="S95" s="1" t="e">
        <f t="shared" si="23"/>
        <v>#DIV/0!</v>
      </c>
      <c r="T95" s="10" t="e">
        <f t="shared" si="21"/>
        <v>#DIV/0!</v>
      </c>
      <c r="U95" s="10">
        <v>12.6</v>
      </c>
      <c r="V95" s="10">
        <v>8.8000000000000007</v>
      </c>
      <c r="W95" s="10">
        <v>8</v>
      </c>
      <c r="X95" s="10">
        <v>11</v>
      </c>
      <c r="Y95" s="10">
        <v>1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/>
      <c r="AF95" s="1">
        <f t="shared" si="24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144</v>
      </c>
      <c r="B96" s="10" t="s">
        <v>34</v>
      </c>
      <c r="C96" s="10">
        <v>73</v>
      </c>
      <c r="D96" s="10"/>
      <c r="E96" s="10">
        <v>33</v>
      </c>
      <c r="F96" s="10">
        <v>28</v>
      </c>
      <c r="G96" s="11">
        <v>0</v>
      </c>
      <c r="H96" s="10">
        <v>60</v>
      </c>
      <c r="I96" s="10" t="s">
        <v>50</v>
      </c>
      <c r="J96" s="10"/>
      <c r="K96" s="10">
        <v>33</v>
      </c>
      <c r="L96" s="10">
        <f t="shared" si="19"/>
        <v>0</v>
      </c>
      <c r="M96" s="10"/>
      <c r="N96" s="10"/>
      <c r="O96" s="10">
        <v>0</v>
      </c>
      <c r="P96" s="10">
        <f t="shared" si="20"/>
        <v>6.6</v>
      </c>
      <c r="Q96" s="12"/>
      <c r="R96" s="5">
        <f t="shared" si="22"/>
        <v>0</v>
      </c>
      <c r="S96" s="1">
        <f t="shared" si="23"/>
        <v>4.2424242424242422</v>
      </c>
      <c r="T96" s="10">
        <f t="shared" si="21"/>
        <v>4.2424242424242422</v>
      </c>
      <c r="U96" s="10">
        <v>2.2000000000000002</v>
      </c>
      <c r="V96" s="10">
        <v>2.8</v>
      </c>
      <c r="W96" s="10">
        <v>3.6</v>
      </c>
      <c r="X96" s="10">
        <v>8</v>
      </c>
      <c r="Y96" s="10">
        <v>0.8</v>
      </c>
      <c r="Z96" s="10">
        <v>2.6</v>
      </c>
      <c r="AA96" s="10">
        <v>8</v>
      </c>
      <c r="AB96" s="10">
        <v>0.4</v>
      </c>
      <c r="AC96" s="10">
        <v>0</v>
      </c>
      <c r="AD96" s="10">
        <v>3</v>
      </c>
      <c r="AE96" s="10"/>
      <c r="AF96" s="1">
        <f t="shared" si="24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145</v>
      </c>
      <c r="B97" s="10" t="s">
        <v>34</v>
      </c>
      <c r="C97" s="10">
        <v>114</v>
      </c>
      <c r="D97" s="10"/>
      <c r="E97" s="10">
        <v>33</v>
      </c>
      <c r="F97" s="10">
        <v>-2</v>
      </c>
      <c r="G97" s="11">
        <v>0</v>
      </c>
      <c r="H97" s="10">
        <v>45</v>
      </c>
      <c r="I97" s="10" t="s">
        <v>50</v>
      </c>
      <c r="J97" s="10"/>
      <c r="K97" s="10">
        <v>35</v>
      </c>
      <c r="L97" s="10">
        <f t="shared" si="19"/>
        <v>-2</v>
      </c>
      <c r="M97" s="10"/>
      <c r="N97" s="10"/>
      <c r="O97" s="10">
        <v>0</v>
      </c>
      <c r="P97" s="10">
        <f t="shared" si="20"/>
        <v>6.6</v>
      </c>
      <c r="Q97" s="12"/>
      <c r="R97" s="5">
        <f t="shared" si="22"/>
        <v>0</v>
      </c>
      <c r="S97" s="1">
        <f t="shared" si="23"/>
        <v>-0.30303030303030304</v>
      </c>
      <c r="T97" s="10">
        <f t="shared" si="21"/>
        <v>-0.30303030303030304</v>
      </c>
      <c r="U97" s="10">
        <v>4.8</v>
      </c>
      <c r="V97" s="10">
        <v>28.4</v>
      </c>
      <c r="W97" s="10">
        <v>9</v>
      </c>
      <c r="X97" s="10">
        <v>1.8</v>
      </c>
      <c r="Y97" s="10">
        <v>0</v>
      </c>
      <c r="Z97" s="10">
        <v>20.399999999999999</v>
      </c>
      <c r="AA97" s="10">
        <v>15.6</v>
      </c>
      <c r="AB97" s="10">
        <v>10.4</v>
      </c>
      <c r="AC97" s="10">
        <v>9.4</v>
      </c>
      <c r="AD97" s="10">
        <v>3.2</v>
      </c>
      <c r="AE97" s="10"/>
      <c r="AF97" s="1">
        <f t="shared" si="24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146</v>
      </c>
      <c r="B98" s="1" t="s">
        <v>34</v>
      </c>
      <c r="C98" s="1">
        <v>271</v>
      </c>
      <c r="D98" s="1">
        <v>112</v>
      </c>
      <c r="E98" s="1">
        <v>288</v>
      </c>
      <c r="F98" s="1">
        <v>58</v>
      </c>
      <c r="G98" s="7">
        <v>0.12</v>
      </c>
      <c r="H98" s="1">
        <v>60</v>
      </c>
      <c r="I98" s="1" t="s">
        <v>35</v>
      </c>
      <c r="J98" s="1"/>
      <c r="K98" s="1">
        <v>280</v>
      </c>
      <c r="L98" s="1">
        <f t="shared" si="19"/>
        <v>8</v>
      </c>
      <c r="M98" s="1"/>
      <c r="N98" s="1"/>
      <c r="O98" s="1">
        <v>286</v>
      </c>
      <c r="P98" s="1">
        <f t="shared" si="20"/>
        <v>57.6</v>
      </c>
      <c r="Q98" s="5">
        <f t="shared" ref="Q98:Q101" si="26">15*P98-O98-F98</f>
        <v>520</v>
      </c>
      <c r="R98" s="5">
        <f t="shared" si="22"/>
        <v>520</v>
      </c>
      <c r="S98" s="1">
        <f t="shared" si="23"/>
        <v>15</v>
      </c>
      <c r="T98" s="1">
        <f t="shared" si="21"/>
        <v>5.9722222222222223</v>
      </c>
      <c r="U98" s="1">
        <v>42.4</v>
      </c>
      <c r="V98" s="1">
        <v>38.200000000000003</v>
      </c>
      <c r="W98" s="1">
        <v>45.6</v>
      </c>
      <c r="X98" s="1">
        <v>49.6</v>
      </c>
      <c r="Y98" s="1">
        <v>48.2</v>
      </c>
      <c r="Z98" s="1">
        <v>46</v>
      </c>
      <c r="AA98" s="1">
        <v>50</v>
      </c>
      <c r="AB98" s="1">
        <v>48</v>
      </c>
      <c r="AC98" s="1">
        <v>44.6</v>
      </c>
      <c r="AD98" s="1">
        <v>16.8</v>
      </c>
      <c r="AE98" s="1"/>
      <c r="AF98" s="1">
        <f t="shared" si="24"/>
        <v>62.4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147</v>
      </c>
      <c r="B99" s="1" t="s">
        <v>34</v>
      </c>
      <c r="C99" s="1">
        <v>-1</v>
      </c>
      <c r="D99" s="1">
        <v>173</v>
      </c>
      <c r="E99" s="1">
        <v>13</v>
      </c>
      <c r="F99" s="1">
        <v>147</v>
      </c>
      <c r="G99" s="7">
        <v>0.33</v>
      </c>
      <c r="H99" s="1">
        <v>30</v>
      </c>
      <c r="I99" s="1" t="s">
        <v>35</v>
      </c>
      <c r="J99" s="1"/>
      <c r="K99" s="1">
        <v>28</v>
      </c>
      <c r="L99" s="1">
        <f t="shared" si="19"/>
        <v>-15</v>
      </c>
      <c r="M99" s="1"/>
      <c r="N99" s="1"/>
      <c r="O99" s="1">
        <v>0</v>
      </c>
      <c r="P99" s="1">
        <f t="shared" si="20"/>
        <v>2.6</v>
      </c>
      <c r="Q99" s="5"/>
      <c r="R99" s="5">
        <f t="shared" si="22"/>
        <v>0</v>
      </c>
      <c r="S99" s="1">
        <f t="shared" si="23"/>
        <v>56.538461538461533</v>
      </c>
      <c r="T99" s="1">
        <f t="shared" si="21"/>
        <v>56.538461538461533</v>
      </c>
      <c r="U99" s="1">
        <v>4.4000000000000004</v>
      </c>
      <c r="V99" s="1">
        <v>17.399999999999999</v>
      </c>
      <c r="W99" s="1">
        <v>13.8</v>
      </c>
      <c r="X99" s="1">
        <v>12.2</v>
      </c>
      <c r="Y99" s="1">
        <v>16.600000000000001</v>
      </c>
      <c r="Z99" s="1">
        <v>23.6</v>
      </c>
      <c r="AA99" s="1">
        <v>6</v>
      </c>
      <c r="AB99" s="1">
        <v>24.6</v>
      </c>
      <c r="AC99" s="1">
        <v>25</v>
      </c>
      <c r="AD99" s="1">
        <v>7.4</v>
      </c>
      <c r="AE99" s="1"/>
      <c r="AF99" s="1">
        <f t="shared" si="2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s="19" customFormat="1" x14ac:dyDescent="0.25">
      <c r="A100" s="16" t="s">
        <v>148</v>
      </c>
      <c r="B100" s="16" t="s">
        <v>34</v>
      </c>
      <c r="C100" s="16"/>
      <c r="D100" s="16"/>
      <c r="E100" s="16"/>
      <c r="F100" s="16"/>
      <c r="G100" s="17">
        <v>0.15</v>
      </c>
      <c r="H100" s="16">
        <v>60</v>
      </c>
      <c r="I100" s="16" t="s">
        <v>35</v>
      </c>
      <c r="J100" s="16"/>
      <c r="K100" s="16"/>
      <c r="L100" s="16">
        <f t="shared" si="19"/>
        <v>0</v>
      </c>
      <c r="M100" s="16"/>
      <c r="N100" s="16"/>
      <c r="O100" s="16">
        <v>50</v>
      </c>
      <c r="P100" s="16">
        <f t="shared" si="20"/>
        <v>0</v>
      </c>
      <c r="Q100" s="18"/>
      <c r="R100" s="5">
        <f t="shared" si="22"/>
        <v>0</v>
      </c>
      <c r="S100" s="1" t="e">
        <f t="shared" si="23"/>
        <v>#DIV/0!</v>
      </c>
      <c r="T100" s="16" t="e">
        <f t="shared" si="21"/>
        <v>#DIV/0!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 t="s">
        <v>70</v>
      </c>
      <c r="AF100" s="1">
        <f t="shared" si="24"/>
        <v>0</v>
      </c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" t="s">
        <v>149</v>
      </c>
      <c r="B101" s="1" t="s">
        <v>34</v>
      </c>
      <c r="C101" s="1">
        <v>102</v>
      </c>
      <c r="D101" s="1"/>
      <c r="E101" s="1">
        <v>42</v>
      </c>
      <c r="F101" s="1">
        <v>57</v>
      </c>
      <c r="G101" s="7">
        <v>0.28000000000000003</v>
      </c>
      <c r="H101" s="1">
        <v>45</v>
      </c>
      <c r="I101" s="1" t="s">
        <v>35</v>
      </c>
      <c r="J101" s="1"/>
      <c r="K101" s="1">
        <v>46</v>
      </c>
      <c r="L101" s="1">
        <f t="shared" si="19"/>
        <v>-4</v>
      </c>
      <c r="M101" s="1"/>
      <c r="N101" s="1"/>
      <c r="O101" s="1">
        <v>21</v>
      </c>
      <c r="P101" s="1">
        <f t="shared" si="20"/>
        <v>8.4</v>
      </c>
      <c r="Q101" s="5">
        <f t="shared" si="26"/>
        <v>48</v>
      </c>
      <c r="R101" s="5">
        <f t="shared" si="22"/>
        <v>48</v>
      </c>
      <c r="S101" s="1">
        <f t="shared" si="23"/>
        <v>15</v>
      </c>
      <c r="T101" s="1">
        <f t="shared" si="21"/>
        <v>9.2857142857142847</v>
      </c>
      <c r="U101" s="1">
        <v>8.1999999999999993</v>
      </c>
      <c r="V101" s="1">
        <v>3.2</v>
      </c>
      <c r="W101" s="1">
        <v>1.8</v>
      </c>
      <c r="X101" s="1">
        <v>4</v>
      </c>
      <c r="Y101" s="1">
        <v>34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/>
      <c r="AF101" s="1">
        <f t="shared" si="24"/>
        <v>13.440000000000001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150</v>
      </c>
      <c r="B102" s="10" t="s">
        <v>34</v>
      </c>
      <c r="C102" s="10"/>
      <c r="D102" s="10"/>
      <c r="E102" s="10"/>
      <c r="F102" s="10"/>
      <c r="G102" s="11">
        <v>0</v>
      </c>
      <c r="H102" s="10">
        <v>45</v>
      </c>
      <c r="I102" s="10" t="s">
        <v>35</v>
      </c>
      <c r="J102" s="10"/>
      <c r="K102" s="10"/>
      <c r="L102" s="10">
        <f t="shared" ref="L102:L116" si="27">E102-K102</f>
        <v>0</v>
      </c>
      <c r="M102" s="10"/>
      <c r="N102" s="10"/>
      <c r="O102" s="10">
        <v>0</v>
      </c>
      <c r="P102" s="10">
        <f t="shared" ref="P102:P116" si="28">E102/5</f>
        <v>0</v>
      </c>
      <c r="Q102" s="12"/>
      <c r="R102" s="5">
        <f t="shared" si="22"/>
        <v>0</v>
      </c>
      <c r="S102" s="1" t="e">
        <f t="shared" si="23"/>
        <v>#DIV/0!</v>
      </c>
      <c r="T102" s="10" t="e">
        <f t="shared" ref="T102:T116" si="29">(F102+O102)/P102</f>
        <v>#DIV/0!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 t="s">
        <v>88</v>
      </c>
      <c r="AF102" s="1">
        <f t="shared" si="24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45</v>
      </c>
      <c r="I103" s="10" t="s">
        <v>35</v>
      </c>
      <c r="J103" s="10"/>
      <c r="K103" s="10"/>
      <c r="L103" s="10">
        <f t="shared" si="27"/>
        <v>0</v>
      </c>
      <c r="M103" s="10"/>
      <c r="N103" s="10"/>
      <c r="O103" s="10">
        <v>0</v>
      </c>
      <c r="P103" s="10">
        <f t="shared" si="28"/>
        <v>0</v>
      </c>
      <c r="Q103" s="12"/>
      <c r="R103" s="5">
        <f t="shared" si="22"/>
        <v>0</v>
      </c>
      <c r="S103" s="1" t="e">
        <f t="shared" si="23"/>
        <v>#DIV/0!</v>
      </c>
      <c r="T103" s="10" t="e">
        <f t="shared" si="29"/>
        <v>#DIV/0!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 t="s">
        <v>88</v>
      </c>
      <c r="AF103" s="1">
        <f t="shared" si="24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152</v>
      </c>
      <c r="B104" s="1" t="s">
        <v>34</v>
      </c>
      <c r="C104" s="1"/>
      <c r="D104" s="1">
        <v>42</v>
      </c>
      <c r="E104" s="1"/>
      <c r="F104" s="1">
        <v>41</v>
      </c>
      <c r="G104" s="7">
        <v>0.4</v>
      </c>
      <c r="H104" s="1">
        <v>60</v>
      </c>
      <c r="I104" s="1" t="s">
        <v>35</v>
      </c>
      <c r="J104" s="1"/>
      <c r="K104" s="1">
        <v>2</v>
      </c>
      <c r="L104" s="1">
        <f t="shared" si="27"/>
        <v>-2</v>
      </c>
      <c r="M104" s="1"/>
      <c r="N104" s="1"/>
      <c r="O104" s="1">
        <v>24</v>
      </c>
      <c r="P104" s="1">
        <f t="shared" si="28"/>
        <v>0</v>
      </c>
      <c r="Q104" s="5"/>
      <c r="R104" s="5">
        <f t="shared" si="22"/>
        <v>0</v>
      </c>
      <c r="S104" s="1" t="e">
        <f t="shared" si="23"/>
        <v>#DIV/0!</v>
      </c>
      <c r="T104" s="1" t="e">
        <f t="shared" si="29"/>
        <v>#DIV/0!</v>
      </c>
      <c r="U104" s="1">
        <v>4.4000000000000004</v>
      </c>
      <c r="V104" s="1">
        <v>4</v>
      </c>
      <c r="W104" s="1">
        <v>0</v>
      </c>
      <c r="X104" s="1">
        <v>0</v>
      </c>
      <c r="Y104" s="1">
        <v>0</v>
      </c>
      <c r="Z104" s="1">
        <v>0</v>
      </c>
      <c r="AA104" s="1">
        <v>7.2</v>
      </c>
      <c r="AB104" s="1">
        <v>10.4</v>
      </c>
      <c r="AC104" s="1">
        <v>5.6</v>
      </c>
      <c r="AD104" s="1">
        <v>7</v>
      </c>
      <c r="AE104" s="1"/>
      <c r="AF104" s="1">
        <f t="shared" si="2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153</v>
      </c>
      <c r="B105" s="1" t="s">
        <v>34</v>
      </c>
      <c r="C105" s="1">
        <v>53</v>
      </c>
      <c r="D105" s="1">
        <v>184</v>
      </c>
      <c r="E105" s="1">
        <v>54</v>
      </c>
      <c r="F105" s="1">
        <v>174</v>
      </c>
      <c r="G105" s="7">
        <v>0.35</v>
      </c>
      <c r="H105" s="1">
        <v>60</v>
      </c>
      <c r="I105" s="1" t="s">
        <v>35</v>
      </c>
      <c r="J105" s="1"/>
      <c r="K105" s="1">
        <v>58</v>
      </c>
      <c r="L105" s="1">
        <f t="shared" si="27"/>
        <v>-4</v>
      </c>
      <c r="M105" s="1"/>
      <c r="N105" s="1"/>
      <c r="O105" s="1">
        <v>0</v>
      </c>
      <c r="P105" s="1">
        <f t="shared" si="28"/>
        <v>10.8</v>
      </c>
      <c r="Q105" s="5"/>
      <c r="R105" s="5">
        <f t="shared" si="22"/>
        <v>0</v>
      </c>
      <c r="S105" s="1">
        <f t="shared" si="23"/>
        <v>16.111111111111111</v>
      </c>
      <c r="T105" s="1">
        <f t="shared" si="29"/>
        <v>16.111111111111111</v>
      </c>
      <c r="U105" s="1">
        <v>5.6</v>
      </c>
      <c r="V105" s="1">
        <v>18.600000000000001</v>
      </c>
      <c r="W105" s="1">
        <v>11.8</v>
      </c>
      <c r="X105" s="1">
        <v>9.4</v>
      </c>
      <c r="Y105" s="1">
        <v>3.4</v>
      </c>
      <c r="Z105" s="1">
        <v>2</v>
      </c>
      <c r="AA105" s="1">
        <v>11.4</v>
      </c>
      <c r="AB105" s="1">
        <v>9.1999999999999993</v>
      </c>
      <c r="AC105" s="1">
        <v>6.8</v>
      </c>
      <c r="AD105" s="1">
        <v>5.4</v>
      </c>
      <c r="AE105" s="1"/>
      <c r="AF105" s="1">
        <f t="shared" si="24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154</v>
      </c>
      <c r="B106" s="10" t="s">
        <v>37</v>
      </c>
      <c r="C106" s="10"/>
      <c r="D106" s="10"/>
      <c r="E106" s="10"/>
      <c r="F106" s="10"/>
      <c r="G106" s="11">
        <v>0</v>
      </c>
      <c r="H106" s="10">
        <v>45</v>
      </c>
      <c r="I106" s="10" t="s">
        <v>35</v>
      </c>
      <c r="J106" s="10"/>
      <c r="K106" s="10"/>
      <c r="L106" s="10">
        <f t="shared" si="27"/>
        <v>0</v>
      </c>
      <c r="M106" s="10"/>
      <c r="N106" s="10"/>
      <c r="O106" s="10">
        <v>0</v>
      </c>
      <c r="P106" s="10">
        <f t="shared" si="28"/>
        <v>0</v>
      </c>
      <c r="Q106" s="12"/>
      <c r="R106" s="5">
        <f t="shared" si="22"/>
        <v>0</v>
      </c>
      <c r="S106" s="1" t="e">
        <f t="shared" si="23"/>
        <v>#DIV/0!</v>
      </c>
      <c r="T106" s="10" t="e">
        <f t="shared" si="29"/>
        <v>#DIV/0!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 t="s">
        <v>88</v>
      </c>
      <c r="AF106" s="1">
        <f t="shared" si="24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155</v>
      </c>
      <c r="B107" s="1" t="s">
        <v>37</v>
      </c>
      <c r="C107" s="1">
        <v>-1.2999999999999999E-2</v>
      </c>
      <c r="D107" s="1"/>
      <c r="E107" s="1"/>
      <c r="F107" s="1">
        <v>-1.2999999999999999E-2</v>
      </c>
      <c r="G107" s="7">
        <v>1</v>
      </c>
      <c r="H107" s="1"/>
      <c r="I107" s="1" t="s">
        <v>35</v>
      </c>
      <c r="J107" s="1"/>
      <c r="K107" s="1"/>
      <c r="L107" s="1">
        <f t="shared" si="27"/>
        <v>0</v>
      </c>
      <c r="M107" s="1"/>
      <c r="N107" s="1"/>
      <c r="O107" s="1">
        <v>40</v>
      </c>
      <c r="P107" s="1">
        <f t="shared" si="28"/>
        <v>0</v>
      </c>
      <c r="Q107" s="5"/>
      <c r="R107" s="5">
        <f t="shared" si="22"/>
        <v>0</v>
      </c>
      <c r="S107" s="1" t="e">
        <f t="shared" si="23"/>
        <v>#DIV/0!</v>
      </c>
      <c r="T107" s="1" t="e">
        <f t="shared" si="29"/>
        <v>#DIV/0!</v>
      </c>
      <c r="U107" s="1">
        <v>4.0039999999999996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/>
      <c r="AF107" s="1">
        <f t="shared" si="24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156</v>
      </c>
      <c r="B108" s="1" t="s">
        <v>34</v>
      </c>
      <c r="C108" s="1"/>
      <c r="D108" s="1">
        <v>192</v>
      </c>
      <c r="E108" s="1">
        <v>80</v>
      </c>
      <c r="F108" s="1">
        <v>78</v>
      </c>
      <c r="G108" s="7">
        <v>0.33</v>
      </c>
      <c r="H108" s="1">
        <v>45</v>
      </c>
      <c r="I108" s="1" t="s">
        <v>35</v>
      </c>
      <c r="J108" s="1"/>
      <c r="K108" s="1">
        <v>96</v>
      </c>
      <c r="L108" s="1">
        <f t="shared" si="27"/>
        <v>-16</v>
      </c>
      <c r="M108" s="1"/>
      <c r="N108" s="1"/>
      <c r="O108" s="1">
        <v>0</v>
      </c>
      <c r="P108" s="1">
        <f t="shared" si="28"/>
        <v>16</v>
      </c>
      <c r="Q108" s="5">
        <f t="shared" ref="Q108:Q113" si="30">15*P108-O108-F108</f>
        <v>162</v>
      </c>
      <c r="R108" s="5">
        <f t="shared" si="22"/>
        <v>162</v>
      </c>
      <c r="S108" s="1">
        <f t="shared" si="23"/>
        <v>15</v>
      </c>
      <c r="T108" s="1">
        <f t="shared" si="29"/>
        <v>4.875</v>
      </c>
      <c r="U108" s="1">
        <v>0.6</v>
      </c>
      <c r="V108" s="1">
        <v>19.2</v>
      </c>
      <c r="W108" s="1">
        <v>23.8</v>
      </c>
      <c r="X108" s="1">
        <v>11</v>
      </c>
      <c r="Y108" s="1">
        <v>7.6</v>
      </c>
      <c r="Z108" s="1">
        <v>12.2</v>
      </c>
      <c r="AA108" s="1">
        <v>0</v>
      </c>
      <c r="AB108" s="1">
        <v>0</v>
      </c>
      <c r="AC108" s="1">
        <v>0</v>
      </c>
      <c r="AD108" s="1">
        <v>0</v>
      </c>
      <c r="AE108" s="1" t="s">
        <v>157</v>
      </c>
      <c r="AF108" s="1">
        <f t="shared" si="24"/>
        <v>53.46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75</v>
      </c>
      <c r="B109" s="1" t="s">
        <v>34</v>
      </c>
      <c r="C109" s="1">
        <v>38</v>
      </c>
      <c r="D109" s="1">
        <v>2</v>
      </c>
      <c r="E109" s="1">
        <v>17</v>
      </c>
      <c r="F109" s="15">
        <f>13+F36</f>
        <v>11</v>
      </c>
      <c r="G109" s="7">
        <v>0.1</v>
      </c>
      <c r="H109" s="1">
        <v>45</v>
      </c>
      <c r="I109" s="1" t="s">
        <v>35</v>
      </c>
      <c r="J109" s="1"/>
      <c r="K109" s="1">
        <v>12</v>
      </c>
      <c r="L109" s="1">
        <f t="shared" si="27"/>
        <v>5</v>
      </c>
      <c r="M109" s="1"/>
      <c r="N109" s="1"/>
      <c r="O109" s="1">
        <v>0</v>
      </c>
      <c r="P109" s="1">
        <f t="shared" si="28"/>
        <v>3.4</v>
      </c>
      <c r="Q109" s="5">
        <f>13*P109-O109-F109</f>
        <v>33.199999999999996</v>
      </c>
      <c r="R109" s="5">
        <f t="shared" si="22"/>
        <v>33</v>
      </c>
      <c r="S109" s="1">
        <f t="shared" si="23"/>
        <v>12.941176470588236</v>
      </c>
      <c r="T109" s="1">
        <f t="shared" si="29"/>
        <v>3.2352941176470589</v>
      </c>
      <c r="U109" s="1">
        <v>4</v>
      </c>
      <c r="V109" s="1">
        <v>2.8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22" t="s">
        <v>167</v>
      </c>
      <c r="AF109" s="1">
        <f t="shared" si="24"/>
        <v>3.3000000000000003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139</v>
      </c>
      <c r="B110" s="1" t="s">
        <v>34</v>
      </c>
      <c r="C110" s="1"/>
      <c r="D110" s="1">
        <v>40</v>
      </c>
      <c r="E110" s="15">
        <f>0+E92</f>
        <v>25</v>
      </c>
      <c r="F110" s="15">
        <f>40+F92</f>
        <v>50</v>
      </c>
      <c r="G110" s="7">
        <v>0.1</v>
      </c>
      <c r="H110" s="1">
        <v>60</v>
      </c>
      <c r="I110" s="1" t="s">
        <v>35</v>
      </c>
      <c r="J110" s="1"/>
      <c r="K110" s="1"/>
      <c r="L110" s="1">
        <f t="shared" si="27"/>
        <v>25</v>
      </c>
      <c r="M110" s="1"/>
      <c r="N110" s="1"/>
      <c r="O110" s="1">
        <v>10</v>
      </c>
      <c r="P110" s="1">
        <f t="shared" si="28"/>
        <v>5</v>
      </c>
      <c r="Q110" s="5">
        <f t="shared" si="30"/>
        <v>15</v>
      </c>
      <c r="R110" s="5">
        <f t="shared" si="22"/>
        <v>15</v>
      </c>
      <c r="S110" s="1">
        <f t="shared" si="23"/>
        <v>15</v>
      </c>
      <c r="T110" s="1">
        <f t="shared" si="29"/>
        <v>12</v>
      </c>
      <c r="U110" s="1">
        <v>5.6</v>
      </c>
      <c r="V110" s="1">
        <v>7.2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158</v>
      </c>
      <c r="AF110" s="1">
        <f t="shared" si="24"/>
        <v>1.5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20" t="s">
        <v>72</v>
      </c>
      <c r="B111" s="1" t="s">
        <v>34</v>
      </c>
      <c r="C111" s="1">
        <v>120</v>
      </c>
      <c r="D111" s="1">
        <v>260</v>
      </c>
      <c r="E111" s="15">
        <f>82+E35</f>
        <v>119</v>
      </c>
      <c r="F111" s="15">
        <f>283+F35</f>
        <v>273</v>
      </c>
      <c r="G111" s="7">
        <v>0.1</v>
      </c>
      <c r="H111" s="1">
        <v>60</v>
      </c>
      <c r="I111" s="1" t="s">
        <v>35</v>
      </c>
      <c r="J111" s="1"/>
      <c r="K111" s="1">
        <v>77</v>
      </c>
      <c r="L111" s="1">
        <f t="shared" si="27"/>
        <v>42</v>
      </c>
      <c r="M111" s="1"/>
      <c r="N111" s="1"/>
      <c r="O111" s="1">
        <v>316</v>
      </c>
      <c r="P111" s="1">
        <f t="shared" si="28"/>
        <v>23.8</v>
      </c>
      <c r="Q111" s="5"/>
      <c r="R111" s="5">
        <f t="shared" si="22"/>
        <v>0</v>
      </c>
      <c r="S111" s="1">
        <f t="shared" si="23"/>
        <v>24.747899159663866</v>
      </c>
      <c r="T111" s="1">
        <f t="shared" si="29"/>
        <v>24.747899159663866</v>
      </c>
      <c r="U111" s="1">
        <v>39</v>
      </c>
      <c r="V111" s="1">
        <v>39.799999999999997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 t="s">
        <v>159</v>
      </c>
      <c r="AF111" s="1">
        <f t="shared" si="24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160</v>
      </c>
      <c r="B112" s="1" t="s">
        <v>34</v>
      </c>
      <c r="C112" s="1">
        <v>128</v>
      </c>
      <c r="D112" s="1"/>
      <c r="E112" s="1">
        <v>45</v>
      </c>
      <c r="F112" s="1">
        <v>53</v>
      </c>
      <c r="G112" s="7">
        <v>0.1</v>
      </c>
      <c r="H112" s="1">
        <v>60</v>
      </c>
      <c r="I112" s="1" t="s">
        <v>35</v>
      </c>
      <c r="J112" s="1"/>
      <c r="K112" s="1">
        <v>39</v>
      </c>
      <c r="L112" s="1">
        <f t="shared" si="27"/>
        <v>6</v>
      </c>
      <c r="M112" s="1"/>
      <c r="N112" s="1"/>
      <c r="O112" s="1">
        <v>0</v>
      </c>
      <c r="P112" s="1">
        <f t="shared" si="28"/>
        <v>9</v>
      </c>
      <c r="Q112" s="5">
        <f t="shared" si="30"/>
        <v>82</v>
      </c>
      <c r="R112" s="5">
        <f t="shared" si="22"/>
        <v>82</v>
      </c>
      <c r="S112" s="1">
        <f t="shared" si="23"/>
        <v>15</v>
      </c>
      <c r="T112" s="1">
        <f t="shared" si="29"/>
        <v>5.8888888888888893</v>
      </c>
      <c r="U112" s="1">
        <v>0.8</v>
      </c>
      <c r="V112" s="1">
        <v>9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 t="s">
        <v>161</v>
      </c>
      <c r="AF112" s="1">
        <f t="shared" si="24"/>
        <v>8.2000000000000011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66</v>
      </c>
      <c r="B113" s="1" t="s">
        <v>34</v>
      </c>
      <c r="C113" s="1">
        <v>373</v>
      </c>
      <c r="D113" s="1">
        <v>2</v>
      </c>
      <c r="E113" s="15">
        <f>105+E32</f>
        <v>114</v>
      </c>
      <c r="F113" s="15">
        <f>253+F32</f>
        <v>237</v>
      </c>
      <c r="G113" s="7">
        <v>0.4</v>
      </c>
      <c r="H113" s="1">
        <v>60</v>
      </c>
      <c r="I113" s="1" t="s">
        <v>35</v>
      </c>
      <c r="J113" s="1"/>
      <c r="K113" s="1">
        <v>103</v>
      </c>
      <c r="L113" s="1">
        <f t="shared" si="27"/>
        <v>11</v>
      </c>
      <c r="M113" s="1"/>
      <c r="N113" s="1"/>
      <c r="O113" s="1">
        <v>0</v>
      </c>
      <c r="P113" s="1">
        <f t="shared" si="28"/>
        <v>22.8</v>
      </c>
      <c r="Q113" s="5">
        <f t="shared" si="30"/>
        <v>105</v>
      </c>
      <c r="R113" s="5">
        <f t="shared" si="22"/>
        <v>105</v>
      </c>
      <c r="S113" s="1">
        <f t="shared" si="23"/>
        <v>15</v>
      </c>
      <c r="T113" s="1">
        <f t="shared" si="29"/>
        <v>10.394736842105264</v>
      </c>
      <c r="U113" s="1">
        <v>16.8</v>
      </c>
      <c r="V113" s="1">
        <v>27.4</v>
      </c>
      <c r="W113" s="1">
        <v>8.8000000000000007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22" t="s">
        <v>168</v>
      </c>
      <c r="AF113" s="1">
        <f t="shared" si="24"/>
        <v>42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162</v>
      </c>
      <c r="B114" s="1" t="s">
        <v>34</v>
      </c>
      <c r="C114" s="1"/>
      <c r="D114" s="1">
        <v>96</v>
      </c>
      <c r="E114" s="1">
        <v>1</v>
      </c>
      <c r="F114" s="1">
        <v>91</v>
      </c>
      <c r="G114" s="7">
        <v>0.1</v>
      </c>
      <c r="H114" s="1"/>
      <c r="I114" s="1" t="s">
        <v>35</v>
      </c>
      <c r="J114" s="1"/>
      <c r="K114" s="1">
        <v>1</v>
      </c>
      <c r="L114" s="1">
        <f t="shared" si="27"/>
        <v>0</v>
      </c>
      <c r="M114" s="1"/>
      <c r="N114" s="1"/>
      <c r="O114" s="1">
        <v>0</v>
      </c>
      <c r="P114" s="1">
        <f t="shared" si="28"/>
        <v>0.2</v>
      </c>
      <c r="Q114" s="5"/>
      <c r="R114" s="5">
        <f t="shared" si="22"/>
        <v>0</v>
      </c>
      <c r="S114" s="1">
        <f t="shared" si="23"/>
        <v>455</v>
      </c>
      <c r="T114" s="1">
        <f t="shared" si="29"/>
        <v>455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6" t="s">
        <v>70</v>
      </c>
      <c r="AF114" s="1">
        <f t="shared" si="24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163</v>
      </c>
      <c r="B115" s="1" t="s">
        <v>34</v>
      </c>
      <c r="C115" s="1"/>
      <c r="D115" s="1">
        <v>96</v>
      </c>
      <c r="E115" s="1">
        <v>2</v>
      </c>
      <c r="F115" s="1">
        <v>94</v>
      </c>
      <c r="G115" s="7">
        <v>0.1</v>
      </c>
      <c r="H115" s="1"/>
      <c r="I115" s="1" t="s">
        <v>35</v>
      </c>
      <c r="J115" s="1"/>
      <c r="K115" s="1">
        <v>2</v>
      </c>
      <c r="L115" s="1">
        <f t="shared" si="27"/>
        <v>0</v>
      </c>
      <c r="M115" s="1"/>
      <c r="N115" s="1"/>
      <c r="O115" s="1">
        <v>0</v>
      </c>
      <c r="P115" s="1">
        <f t="shared" si="28"/>
        <v>0.4</v>
      </c>
      <c r="Q115" s="5"/>
      <c r="R115" s="5">
        <f t="shared" si="22"/>
        <v>0</v>
      </c>
      <c r="S115" s="1">
        <f t="shared" si="23"/>
        <v>235</v>
      </c>
      <c r="T115" s="1">
        <f t="shared" si="29"/>
        <v>235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6" t="s">
        <v>70</v>
      </c>
      <c r="AF115" s="1">
        <f t="shared" si="24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0" t="s">
        <v>164</v>
      </c>
      <c r="B116" s="10" t="s">
        <v>34</v>
      </c>
      <c r="C116" s="10">
        <v>29</v>
      </c>
      <c r="D116" s="10"/>
      <c r="E116" s="10"/>
      <c r="F116" s="15">
        <v>29</v>
      </c>
      <c r="G116" s="11">
        <v>0</v>
      </c>
      <c r="H116" s="10"/>
      <c r="I116" s="10" t="s">
        <v>165</v>
      </c>
      <c r="J116" s="10" t="s">
        <v>112</v>
      </c>
      <c r="K116" s="10"/>
      <c r="L116" s="10">
        <f t="shared" si="27"/>
        <v>0</v>
      </c>
      <c r="M116" s="10"/>
      <c r="N116" s="10"/>
      <c r="O116" s="10">
        <v>0</v>
      </c>
      <c r="P116" s="10">
        <f t="shared" si="28"/>
        <v>0</v>
      </c>
      <c r="Q116" s="12"/>
      <c r="R116" s="5">
        <f t="shared" si="22"/>
        <v>0</v>
      </c>
      <c r="S116" s="1" t="e">
        <f t="shared" si="23"/>
        <v>#DIV/0!</v>
      </c>
      <c r="T116" s="10" t="e">
        <f t="shared" si="29"/>
        <v>#DIV/0!</v>
      </c>
      <c r="U116" s="10">
        <v>0</v>
      </c>
      <c r="V116" s="10">
        <v>0</v>
      </c>
      <c r="W116" s="10">
        <v>0</v>
      </c>
      <c r="X116" s="10">
        <v>0</v>
      </c>
      <c r="Y116" s="10">
        <v>2.2000000000000002</v>
      </c>
      <c r="Z116" s="10">
        <v>2.8</v>
      </c>
      <c r="AA116" s="10">
        <v>0</v>
      </c>
      <c r="AB116" s="10">
        <v>0</v>
      </c>
      <c r="AC116" s="10">
        <v>2.2000000000000002</v>
      </c>
      <c r="AD116" s="10">
        <v>3.2</v>
      </c>
      <c r="AE116" s="10"/>
      <c r="AF116" s="1">
        <f t="shared" si="24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</sheetData>
  <autoFilter ref="A3:AF1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2026-08-03T17:08:01Z</dcterms:created>
  <dcterms:modified xsi:type="dcterms:W3CDTF">2026-08-05T11:26:49Z</dcterms:modified>
</cp:coreProperties>
</file>