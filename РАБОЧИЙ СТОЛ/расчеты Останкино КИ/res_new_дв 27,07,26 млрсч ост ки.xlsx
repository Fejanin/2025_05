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882203E5-3A2D-489E-B64E-714E28E3EF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3" i="1" l="1"/>
  <c r="Q113" i="1"/>
  <c r="T113" i="1" s="1"/>
  <c r="L113" i="1"/>
  <c r="AE112" i="1"/>
  <c r="T112" i="1"/>
  <c r="Q112" i="1"/>
  <c r="S112" i="1" s="1"/>
  <c r="L112" i="1"/>
  <c r="AE111" i="1"/>
  <c r="S111" i="1"/>
  <c r="Q111" i="1"/>
  <c r="T111" i="1" s="1"/>
  <c r="L111" i="1"/>
  <c r="AE110" i="1"/>
  <c r="T110" i="1"/>
  <c r="Q110" i="1"/>
  <c r="L110" i="1"/>
  <c r="F110" i="1"/>
  <c r="S110" i="1" s="1"/>
  <c r="AE109" i="1"/>
  <c r="Q109" i="1"/>
  <c r="S109" i="1" s="1"/>
  <c r="E109" i="1"/>
  <c r="L109" i="1" s="1"/>
  <c r="AE108" i="1"/>
  <c r="Q108" i="1"/>
  <c r="F108" i="1"/>
  <c r="E108" i="1"/>
  <c r="L108" i="1" s="1"/>
  <c r="AE107" i="1"/>
  <c r="S107" i="1"/>
  <c r="F107" i="1"/>
  <c r="T107" i="1" s="1"/>
  <c r="E107" i="1"/>
  <c r="Q107" i="1" s="1"/>
  <c r="AE106" i="1"/>
  <c r="Q106" i="1"/>
  <c r="F106" i="1"/>
  <c r="E106" i="1"/>
  <c r="L106" i="1" s="1"/>
  <c r="AE105" i="1"/>
  <c r="S105" i="1"/>
  <c r="Q105" i="1"/>
  <c r="T105" i="1" s="1"/>
  <c r="L105" i="1"/>
  <c r="AE104" i="1"/>
  <c r="T104" i="1"/>
  <c r="Q104" i="1"/>
  <c r="S104" i="1" s="1"/>
  <c r="L104" i="1"/>
  <c r="AE103" i="1"/>
  <c r="S103" i="1"/>
  <c r="Q103" i="1"/>
  <c r="T103" i="1" s="1"/>
  <c r="L103" i="1"/>
  <c r="AE102" i="1"/>
  <c r="T102" i="1"/>
  <c r="Q102" i="1"/>
  <c r="S102" i="1" s="1"/>
  <c r="L102" i="1"/>
  <c r="AE101" i="1"/>
  <c r="S101" i="1"/>
  <c r="Q101" i="1"/>
  <c r="T101" i="1" s="1"/>
  <c r="L101" i="1"/>
  <c r="AE100" i="1"/>
  <c r="T100" i="1"/>
  <c r="Q100" i="1"/>
  <c r="S100" i="1" s="1"/>
  <c r="L100" i="1"/>
  <c r="AE99" i="1"/>
  <c r="S99" i="1"/>
  <c r="Q99" i="1"/>
  <c r="T99" i="1" s="1"/>
  <c r="L99" i="1"/>
  <c r="AE98" i="1"/>
  <c r="T98" i="1"/>
  <c r="Q98" i="1"/>
  <c r="S98" i="1" s="1"/>
  <c r="L98" i="1"/>
  <c r="Q97" i="1"/>
  <c r="S97" i="1" s="1"/>
  <c r="L97" i="1"/>
  <c r="T96" i="1"/>
  <c r="Q96" i="1"/>
  <c r="S96" i="1" s="1"/>
  <c r="L96" i="1"/>
  <c r="AE95" i="1"/>
  <c r="S95" i="1"/>
  <c r="Q95" i="1"/>
  <c r="T95" i="1" s="1"/>
  <c r="L95" i="1"/>
  <c r="AE94" i="1"/>
  <c r="T94" i="1"/>
  <c r="Q94" i="1"/>
  <c r="S94" i="1" s="1"/>
  <c r="L94" i="1"/>
  <c r="Q93" i="1"/>
  <c r="S93" i="1" s="1"/>
  <c r="L93" i="1"/>
  <c r="AE92" i="1"/>
  <c r="S92" i="1"/>
  <c r="Q92" i="1"/>
  <c r="T92" i="1" s="1"/>
  <c r="L92" i="1"/>
  <c r="S91" i="1"/>
  <c r="Q91" i="1"/>
  <c r="T91" i="1" s="1"/>
  <c r="L91" i="1"/>
  <c r="S90" i="1"/>
  <c r="Q90" i="1"/>
  <c r="T90" i="1" s="1"/>
  <c r="L90" i="1"/>
  <c r="AE89" i="1"/>
  <c r="Q89" i="1"/>
  <c r="S89" i="1" s="1"/>
  <c r="L89" i="1"/>
  <c r="AE88" i="1"/>
  <c r="S88" i="1"/>
  <c r="Q88" i="1"/>
  <c r="T88" i="1" s="1"/>
  <c r="L88" i="1"/>
  <c r="AE87" i="1"/>
  <c r="Q87" i="1"/>
  <c r="S87" i="1" s="1"/>
  <c r="L87" i="1"/>
  <c r="AE86" i="1"/>
  <c r="S86" i="1"/>
  <c r="Q86" i="1"/>
  <c r="T86" i="1" s="1"/>
  <c r="L86" i="1"/>
  <c r="AE85" i="1"/>
  <c r="Q85" i="1"/>
  <c r="S85" i="1" s="1"/>
  <c r="L85" i="1"/>
  <c r="AE84" i="1"/>
  <c r="S84" i="1"/>
  <c r="Q84" i="1"/>
  <c r="T84" i="1" s="1"/>
  <c r="L84" i="1"/>
  <c r="AE83" i="1"/>
  <c r="Q83" i="1"/>
  <c r="S83" i="1" s="1"/>
  <c r="L83" i="1"/>
  <c r="AE82" i="1"/>
  <c r="S82" i="1"/>
  <c r="Q82" i="1"/>
  <c r="T82" i="1" s="1"/>
  <c r="L82" i="1"/>
  <c r="AE81" i="1"/>
  <c r="Q81" i="1"/>
  <c r="S81" i="1" s="1"/>
  <c r="L81" i="1"/>
  <c r="AE80" i="1"/>
  <c r="S80" i="1"/>
  <c r="Q80" i="1"/>
  <c r="T80" i="1" s="1"/>
  <c r="L80" i="1"/>
  <c r="AE79" i="1"/>
  <c r="Q79" i="1"/>
  <c r="S79" i="1" s="1"/>
  <c r="L79" i="1"/>
  <c r="AE78" i="1"/>
  <c r="S78" i="1"/>
  <c r="Q78" i="1"/>
  <c r="T78" i="1" s="1"/>
  <c r="L78" i="1"/>
  <c r="S77" i="1"/>
  <c r="Q77" i="1"/>
  <c r="T77" i="1" s="1"/>
  <c r="L77" i="1"/>
  <c r="AE76" i="1"/>
  <c r="T76" i="1"/>
  <c r="Q76" i="1"/>
  <c r="S76" i="1" s="1"/>
  <c r="L76" i="1"/>
  <c r="Q75" i="1"/>
  <c r="S75" i="1" s="1"/>
  <c r="L75" i="1"/>
  <c r="AE74" i="1"/>
  <c r="S74" i="1"/>
  <c r="Q74" i="1"/>
  <c r="T74" i="1" s="1"/>
  <c r="L74" i="1"/>
  <c r="AE73" i="1"/>
  <c r="Q73" i="1"/>
  <c r="S73" i="1" s="1"/>
  <c r="L73" i="1"/>
  <c r="AE72" i="1"/>
  <c r="S72" i="1"/>
  <c r="Q72" i="1"/>
  <c r="T72" i="1" s="1"/>
  <c r="L72" i="1"/>
  <c r="AE71" i="1"/>
  <c r="Q71" i="1"/>
  <c r="S71" i="1" s="1"/>
  <c r="L71" i="1"/>
  <c r="AE70" i="1"/>
  <c r="S70" i="1"/>
  <c r="Q70" i="1"/>
  <c r="T70" i="1" s="1"/>
  <c r="L70" i="1"/>
  <c r="AE69" i="1"/>
  <c r="Q69" i="1"/>
  <c r="S69" i="1" s="1"/>
  <c r="L69" i="1"/>
  <c r="T68" i="1"/>
  <c r="Q68" i="1"/>
  <c r="S68" i="1" s="1"/>
  <c r="L68" i="1"/>
  <c r="AE67" i="1"/>
  <c r="S67" i="1"/>
  <c r="F67" i="1"/>
  <c r="T67" i="1" s="1"/>
  <c r="E67" i="1"/>
  <c r="Q67" i="1" s="1"/>
  <c r="AE66" i="1"/>
  <c r="Q66" i="1"/>
  <c r="S66" i="1" s="1"/>
  <c r="L66" i="1"/>
  <c r="AE65" i="1"/>
  <c r="S65" i="1"/>
  <c r="Q65" i="1"/>
  <c r="T65" i="1" s="1"/>
  <c r="L65" i="1"/>
  <c r="AE64" i="1"/>
  <c r="Q64" i="1"/>
  <c r="S64" i="1" s="1"/>
  <c r="L64" i="1"/>
  <c r="AE63" i="1"/>
  <c r="S63" i="1"/>
  <c r="Q63" i="1"/>
  <c r="T63" i="1" s="1"/>
  <c r="L63" i="1"/>
  <c r="S62" i="1"/>
  <c r="Q62" i="1"/>
  <c r="T62" i="1" s="1"/>
  <c r="L62" i="1"/>
  <c r="AE61" i="1"/>
  <c r="T61" i="1"/>
  <c r="Q61" i="1"/>
  <c r="S61" i="1" s="1"/>
  <c r="L61" i="1"/>
  <c r="Q60" i="1"/>
  <c r="S60" i="1" s="1"/>
  <c r="L60" i="1"/>
  <c r="AE59" i="1"/>
  <c r="S59" i="1"/>
  <c r="Q59" i="1"/>
  <c r="T59" i="1" s="1"/>
  <c r="L59" i="1"/>
  <c r="AE58" i="1"/>
  <c r="Q58" i="1"/>
  <c r="S58" i="1" s="1"/>
  <c r="L58" i="1"/>
  <c r="T57" i="1"/>
  <c r="Q57" i="1"/>
  <c r="S57" i="1" s="1"/>
  <c r="L57" i="1"/>
  <c r="AE56" i="1"/>
  <c r="S56" i="1"/>
  <c r="Q56" i="1"/>
  <c r="T56" i="1" s="1"/>
  <c r="L56" i="1"/>
  <c r="AE55" i="1"/>
  <c r="T55" i="1"/>
  <c r="Q55" i="1"/>
  <c r="S55" i="1" s="1"/>
  <c r="L55" i="1"/>
  <c r="AE54" i="1"/>
  <c r="S54" i="1"/>
  <c r="Q54" i="1"/>
  <c r="T54" i="1" s="1"/>
  <c r="L54" i="1"/>
  <c r="AE53" i="1"/>
  <c r="T53" i="1"/>
  <c r="Q53" i="1"/>
  <c r="S53" i="1" s="1"/>
  <c r="L53" i="1"/>
  <c r="AE52" i="1"/>
  <c r="S52" i="1"/>
  <c r="Q52" i="1"/>
  <c r="T52" i="1" s="1"/>
  <c r="L52" i="1"/>
  <c r="AE51" i="1"/>
  <c r="T51" i="1"/>
  <c r="Q51" i="1"/>
  <c r="S51" i="1" s="1"/>
  <c r="L51" i="1"/>
  <c r="AE50" i="1"/>
  <c r="S50" i="1"/>
  <c r="Q50" i="1"/>
  <c r="T50" i="1" s="1"/>
  <c r="L50" i="1"/>
  <c r="AE49" i="1"/>
  <c r="T49" i="1"/>
  <c r="Q49" i="1"/>
  <c r="S49" i="1" s="1"/>
  <c r="L49" i="1"/>
  <c r="AE48" i="1"/>
  <c r="S48" i="1"/>
  <c r="Q48" i="1"/>
  <c r="T48" i="1" s="1"/>
  <c r="L48" i="1"/>
  <c r="S47" i="1"/>
  <c r="Q47" i="1"/>
  <c r="T47" i="1" s="1"/>
  <c r="L47" i="1"/>
  <c r="AE46" i="1"/>
  <c r="Q46" i="1"/>
  <c r="S46" i="1" s="1"/>
  <c r="L46" i="1"/>
  <c r="AE45" i="1"/>
  <c r="S45" i="1"/>
  <c r="Q45" i="1"/>
  <c r="T45" i="1" s="1"/>
  <c r="L45" i="1"/>
  <c r="S44" i="1"/>
  <c r="Q44" i="1"/>
  <c r="T44" i="1" s="1"/>
  <c r="L44" i="1"/>
  <c r="AE43" i="1"/>
  <c r="T43" i="1"/>
  <c r="Q43" i="1"/>
  <c r="S43" i="1" s="1"/>
  <c r="L43" i="1"/>
  <c r="AE42" i="1"/>
  <c r="S42" i="1"/>
  <c r="Q42" i="1"/>
  <c r="T42" i="1" s="1"/>
  <c r="L42" i="1"/>
  <c r="AE41" i="1"/>
  <c r="T41" i="1"/>
  <c r="Q41" i="1"/>
  <c r="S41" i="1" s="1"/>
  <c r="L41" i="1"/>
  <c r="AE40" i="1"/>
  <c r="S40" i="1"/>
  <c r="Q40" i="1"/>
  <c r="T40" i="1" s="1"/>
  <c r="L40" i="1"/>
  <c r="AE39" i="1"/>
  <c r="T39" i="1"/>
  <c r="Q39" i="1"/>
  <c r="S39" i="1" s="1"/>
  <c r="L39" i="1"/>
  <c r="Q38" i="1"/>
  <c r="S38" i="1" s="1"/>
  <c r="L38" i="1"/>
  <c r="T37" i="1"/>
  <c r="Q37" i="1"/>
  <c r="S37" i="1" s="1"/>
  <c r="L37" i="1"/>
  <c r="Q36" i="1"/>
  <c r="S36" i="1" s="1"/>
  <c r="L36" i="1"/>
  <c r="T35" i="1"/>
  <c r="Q35" i="1"/>
  <c r="S35" i="1" s="1"/>
  <c r="L35" i="1"/>
  <c r="AE34" i="1"/>
  <c r="S34" i="1"/>
  <c r="Q34" i="1"/>
  <c r="T34" i="1" s="1"/>
  <c r="L34" i="1"/>
  <c r="AE33" i="1"/>
  <c r="Q33" i="1"/>
  <c r="S33" i="1" s="1"/>
  <c r="L33" i="1"/>
  <c r="Q32" i="1"/>
  <c r="S32" i="1" s="1"/>
  <c r="L32" i="1"/>
  <c r="AE31" i="1"/>
  <c r="S31" i="1"/>
  <c r="Q31" i="1"/>
  <c r="T31" i="1" s="1"/>
  <c r="L31" i="1"/>
  <c r="AE30" i="1"/>
  <c r="Q30" i="1"/>
  <c r="S30" i="1" s="1"/>
  <c r="L30" i="1"/>
  <c r="AE29" i="1"/>
  <c r="S29" i="1"/>
  <c r="Q29" i="1"/>
  <c r="T29" i="1" s="1"/>
  <c r="L29" i="1"/>
  <c r="AE28" i="1"/>
  <c r="Q28" i="1"/>
  <c r="S28" i="1" s="1"/>
  <c r="L28" i="1"/>
  <c r="AE27" i="1"/>
  <c r="S27" i="1"/>
  <c r="Q27" i="1"/>
  <c r="T27" i="1" s="1"/>
  <c r="L27" i="1"/>
  <c r="AE26" i="1"/>
  <c r="Q26" i="1"/>
  <c r="S26" i="1" s="1"/>
  <c r="L26" i="1"/>
  <c r="AE25" i="1"/>
  <c r="S25" i="1"/>
  <c r="Q25" i="1"/>
  <c r="T25" i="1" s="1"/>
  <c r="L25" i="1"/>
  <c r="S24" i="1"/>
  <c r="Q24" i="1"/>
  <c r="T24" i="1" s="1"/>
  <c r="L24" i="1"/>
  <c r="AE23" i="1"/>
  <c r="Q23" i="1"/>
  <c r="S23" i="1" s="1"/>
  <c r="L23" i="1"/>
  <c r="AE22" i="1"/>
  <c r="S22" i="1"/>
  <c r="Q22" i="1"/>
  <c r="T22" i="1" s="1"/>
  <c r="L22" i="1"/>
  <c r="AE21" i="1"/>
  <c r="Q21" i="1"/>
  <c r="S21" i="1" s="1"/>
  <c r="L21" i="1"/>
  <c r="AE20" i="1"/>
  <c r="S20" i="1"/>
  <c r="Q20" i="1"/>
  <c r="T20" i="1" s="1"/>
  <c r="L20" i="1"/>
  <c r="AE19" i="1"/>
  <c r="Q19" i="1"/>
  <c r="S19" i="1" s="1"/>
  <c r="L19" i="1"/>
  <c r="Q18" i="1"/>
  <c r="S18" i="1" s="1"/>
  <c r="L18" i="1"/>
  <c r="AE17" i="1"/>
  <c r="S17" i="1"/>
  <c r="Q17" i="1"/>
  <c r="T17" i="1" s="1"/>
  <c r="L17" i="1"/>
  <c r="AE16" i="1"/>
  <c r="Q16" i="1"/>
  <c r="S16" i="1" s="1"/>
  <c r="L16" i="1"/>
  <c r="AE15" i="1"/>
  <c r="S15" i="1"/>
  <c r="Q15" i="1"/>
  <c r="T15" i="1" s="1"/>
  <c r="L15" i="1"/>
  <c r="AE14" i="1"/>
  <c r="Q14" i="1"/>
  <c r="S14" i="1" s="1"/>
  <c r="L14" i="1"/>
  <c r="AE13" i="1"/>
  <c r="S13" i="1"/>
  <c r="Q13" i="1"/>
  <c r="T13" i="1" s="1"/>
  <c r="L13" i="1"/>
  <c r="AE12" i="1"/>
  <c r="Q12" i="1"/>
  <c r="S12" i="1" s="1"/>
  <c r="L12" i="1"/>
  <c r="AE11" i="1"/>
  <c r="S11" i="1"/>
  <c r="Q11" i="1"/>
  <c r="T11" i="1" s="1"/>
  <c r="L11" i="1"/>
  <c r="AE10" i="1"/>
  <c r="Q10" i="1"/>
  <c r="S10" i="1" s="1"/>
  <c r="L10" i="1"/>
  <c r="AE9" i="1"/>
  <c r="S9" i="1"/>
  <c r="Q9" i="1"/>
  <c r="T9" i="1" s="1"/>
  <c r="L9" i="1"/>
  <c r="AE8" i="1"/>
  <c r="Q8" i="1"/>
  <c r="S8" i="1" s="1"/>
  <c r="L8" i="1"/>
  <c r="AE7" i="1"/>
  <c r="S7" i="1"/>
  <c r="Q7" i="1"/>
  <c r="T7" i="1" s="1"/>
  <c r="L7" i="1"/>
  <c r="AE6" i="1"/>
  <c r="Q6" i="1"/>
  <c r="S6" i="1" s="1"/>
  <c r="L6" i="1"/>
  <c r="AE5" i="1"/>
  <c r="AC5" i="1"/>
  <c r="AB5" i="1"/>
  <c r="AA5" i="1"/>
  <c r="Z5" i="1"/>
  <c r="Y5" i="1"/>
  <c r="X5" i="1"/>
  <c r="W5" i="1"/>
  <c r="V5" i="1"/>
  <c r="U5" i="1"/>
  <c r="R5" i="1"/>
  <c r="P5" i="1"/>
  <c r="O5" i="1"/>
  <c r="N5" i="1"/>
  <c r="M5" i="1"/>
  <c r="K5" i="1"/>
  <c r="F5" i="1"/>
  <c r="E5" i="1"/>
  <c r="T6" i="1" l="1"/>
  <c r="T8" i="1"/>
  <c r="T10" i="1"/>
  <c r="T12" i="1"/>
  <c r="T14" i="1"/>
  <c r="T16" i="1"/>
  <c r="T18" i="1"/>
  <c r="T19" i="1"/>
  <c r="T21" i="1"/>
  <c r="T23" i="1"/>
  <c r="T26" i="1"/>
  <c r="T28" i="1"/>
  <c r="T30" i="1"/>
  <c r="T32" i="1"/>
  <c r="T33" i="1"/>
  <c r="Q5" i="1"/>
  <c r="T36" i="1"/>
  <c r="T38" i="1"/>
  <c r="T46" i="1"/>
  <c r="T58" i="1"/>
  <c r="T60" i="1"/>
  <c r="T64" i="1"/>
  <c r="T66" i="1"/>
  <c r="L67" i="1"/>
  <c r="T69" i="1"/>
  <c r="T71" i="1"/>
  <c r="T73" i="1"/>
  <c r="T75" i="1"/>
  <c r="T79" i="1"/>
  <c r="T81" i="1"/>
  <c r="T83" i="1"/>
  <c r="T85" i="1"/>
  <c r="T87" i="1"/>
  <c r="T89" i="1"/>
  <c r="T93" i="1"/>
  <c r="T97" i="1"/>
  <c r="S106" i="1"/>
  <c r="T106" i="1"/>
  <c r="L107" i="1"/>
  <c r="S108" i="1"/>
  <c r="T108" i="1"/>
  <c r="T109" i="1"/>
  <c r="L5" i="1" l="1"/>
</calcChain>
</file>

<file path=xl/sharedStrings.xml><?xml version="1.0" encoding="utf-8"?>
<sst xmlns="http://schemas.openxmlformats.org/spreadsheetml/2006/main" count="417" uniqueCount="167">
  <si>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</si>
  <si>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</si>
  <si>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</si>
  <si>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</si>
  <si>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</si>
  <si>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</si>
  <si>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</si>
  <si>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</si>
  <si>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</si>
  <si>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</si>
  <si>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</si>
  <si>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</si>
  <si>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</si>
  <si>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</si>
  <si>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</si>
  <si>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</si>
  <si>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</si>
  <si>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</si>
  <si>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</si>
  <si>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</si>
  <si>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</si>
  <si>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</si>
  <si>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</si>
  <si>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</si>
  <si>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</si>
  <si>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</si>
  <si>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</si>
  <si>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</si>
  <si>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</si>
  <si>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</si>
  <si>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</si>
  <si>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</si>
  <si>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</si>
  <si>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</si>
  <si>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</si>
  <si>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</si>
  <si>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</si>
  <si>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</si>
  <si>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</si>
  <si>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</si>
  <si>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</si>
  <si>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</si>
  <si>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</si>
  <si>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</si>
  <si>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</si>
  <si>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</si>
  <si>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</si>
  <si>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</si>
  <si>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</si>
  <si>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</si>
  <si>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</si>
  <si>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</si>
  <si>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</si>
  <si>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</si>
  <si>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</si>
  <si>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</si>
  <si>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</si>
  <si>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</si>
  <si>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</si>
  <si>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</si>
  <si>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</si>
  <si>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</si>
  <si>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</si>
  <si>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</si>
  <si>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</si>
  <si>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</si>
  <si>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</si>
  <si>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</si>
  <si>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</si>
  <si>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</si>
  <si>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</si>
  <si>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</si>
  <si>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</si>
  <si>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</si>
  <si>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</si>
  <si>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</si>
  <si>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</si>
  <si>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</si>
  <si>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</si>
  <si>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</si>
  <si>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</si>
  <si>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</si>
  <si>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</si>
  <si>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</si>
  <si>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</si>
  <si>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</si>
  <si>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</si>
  <si>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</si>
  <si>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</si>
  <si>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</si>
  <si>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</si>
  <si>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</si>
  <si>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</si>
  <si>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</si>
  <si>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</si>
  <si>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</si>
  <si>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</si>
  <si>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</si>
  <si>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</si>
  <si>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</si>
  <si>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</si>
  <si>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</si>
  <si>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</si>
  <si>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</si>
  <si>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</si>
  <si>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</si>
  <si>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</si>
  <si>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</si>
  <si>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</si>
  <si>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</si>
  <si>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</si>
  <si>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</si>
  <si>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</si>
  <si>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</si>
  <si>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</si>
  <si>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</si>
  <si>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</si>
  <si>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</si>
  <si>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</si>
  <si>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</si>
  <si>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</si>
  <si>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</si>
  <si>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</si>
  <si>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</si>
  <si>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</si>
  <si>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</si>
  <si>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</si>
  <si>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</si>
  <si>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</si>
  <si>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</si>
  <si>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</si>
  <si>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</si>
  <si>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</si>
  <si>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</si>
  <si>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</si>
  <si>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</si>
  <si>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</si>
  <si>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</si>
  <si>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</si>
  <si>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</si>
  <si>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</si>
  <si>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</si>
  <si>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</si>
  <si>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</si>
  <si>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</si>
  <si>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</si>
  <si>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</si>
  <si>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</si>
  <si>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22,06,26 в уценку - 197 шт.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</si>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</sst>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9" width="6" customWidth="1"/>
    <col min="30" max="30" width="43.42578125" customWidth="1"/>
    <col min="31" max="31" width="7" customWidth="1"/>
    <col min="32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R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0</v>
      </c>
      <c r="S5" s="8"/>
      <c r="T5" s="8"/>
      <c r="U5" s="3">
        <f t="shared" ref="U5:AC5" si="1">SUM(U6:U499)</f>
        <v>2469.1259999999997</v>
      </c>
      <c r="V5" s="3">
        <f t="shared" si="1"/>
        <v>1789.5151999999998</v>
      </c>
      <c r="W5" s="3">
        <f t="shared" si="1"/>
        <v>2126.172</v>
      </c>
      <c r="X5" s="3">
        <f t="shared" si="1"/>
        <v>2748.2786000000001</v>
      </c>
      <c r="Y5" s="3">
        <f t="shared" si="1"/>
        <v>2137.7203999999997</v>
      </c>
      <c r="Z5" s="3">
        <f t="shared" si="1"/>
        <v>2234.9212000000002</v>
      </c>
      <c r="AA5" s="3">
        <f t="shared" si="1"/>
        <v>2185.6080000000006</v>
      </c>
      <c r="AB5" s="3">
        <f t="shared" si="1"/>
        <v>2365.7408000000005</v>
      </c>
      <c r="AC5" s="3">
        <f t="shared" si="1"/>
        <v>1763.3862000000001</v>
      </c>
      <c r="AD5" s="8"/>
      <c r="AE5" s="3">
        <f>SUM(AE6:AE499)</f>
        <v>0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/>
      <c r="S6" s="8">
        <f t="shared" ref="S6:S37" si="4">(F6+O6+P6+R6)/Q6</f>
        <v>10.714285714285714</v>
      </c>
      <c r="T6" s="8">
        <f t="shared" ref="T6:T37" si="5">(F6+O6+P6)/Q6</f>
        <v>10.714285714285714</v>
      </c>
      <c r="U6" s="8">
        <v>41.6</v>
      </c>
      <c r="V6" s="8">
        <v>37.200000000000003</v>
      </c>
      <c r="W6" s="8">
        <v>43.2</v>
      </c>
      <c r="X6" s="8">
        <v>54</v>
      </c>
      <c r="Y6" s="8">
        <v>43.4</v>
      </c>
      <c r="Z6" s="8">
        <v>44.2</v>
      </c>
      <c r="AA6" s="8">
        <v>54.4</v>
      </c>
      <c r="AB6" s="8">
        <v>58.2</v>
      </c>
      <c r="AC6" s="8">
        <v>26.6</v>
      </c>
      <c r="AD6" s="8"/>
      <c r="AE6" s="8">
        <f t="shared" ref="AE6:AE17" si="6">G6*R6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/>
      <c r="S7" s="8">
        <f t="shared" si="4"/>
        <v>19.488278046435337</v>
      </c>
      <c r="T7" s="8">
        <f t="shared" si="5"/>
        <v>19.488278046435337</v>
      </c>
      <c r="U7" s="8">
        <v>8.3510000000000009</v>
      </c>
      <c r="V7" s="8">
        <v>6.8492000000000006</v>
      </c>
      <c r="W7" s="8">
        <v>5.0434000000000001</v>
      </c>
      <c r="X7" s="8">
        <v>10.417999999999999</v>
      </c>
      <c r="Y7" s="8">
        <v>7.246599999999999</v>
      </c>
      <c r="Z7" s="8">
        <v>4.9813999999999998</v>
      </c>
      <c r="AA7" s="8">
        <v>9.3382000000000005</v>
      </c>
      <c r="AB7" s="8">
        <v>7.6756000000000002</v>
      </c>
      <c r="AC7" s="8">
        <v>4.343</v>
      </c>
      <c r="AD7" s="8" t="s">
        <v>38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/>
      <c r="S8" s="8">
        <f t="shared" si="4"/>
        <v>8.6792452830188669</v>
      </c>
      <c r="T8" s="8">
        <f t="shared" si="5"/>
        <v>8.6792452830188669</v>
      </c>
      <c r="U8" s="8">
        <v>22.4</v>
      </c>
      <c r="V8" s="8">
        <v>27.8</v>
      </c>
      <c r="W8" s="8">
        <v>29.4</v>
      </c>
      <c r="X8" s="8">
        <v>53.8</v>
      </c>
      <c r="Y8" s="8">
        <v>3</v>
      </c>
      <c r="Z8" s="8">
        <v>23</v>
      </c>
      <c r="AA8" s="8">
        <v>29.8</v>
      </c>
      <c r="AB8" s="8">
        <v>17.600000000000001</v>
      </c>
      <c r="AC8" s="8">
        <v>20.2</v>
      </c>
      <c r="AD8" s="8" t="s">
        <v>38</v>
      </c>
      <c r="AE8" s="8">
        <f t="shared" si="6"/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/>
      <c r="S9" s="8">
        <f t="shared" si="4"/>
        <v>8.4327835445456287</v>
      </c>
      <c r="T9" s="8">
        <f t="shared" si="5"/>
        <v>8.4327835445456287</v>
      </c>
      <c r="U9" s="8">
        <v>35.464199999999998</v>
      </c>
      <c r="V9" s="8">
        <v>22.991599999999998</v>
      </c>
      <c r="W9" s="8">
        <v>35.211200000000012</v>
      </c>
      <c r="X9" s="8">
        <v>37.505800000000001</v>
      </c>
      <c r="Y9" s="8">
        <v>28.898199999999999</v>
      </c>
      <c r="Z9" s="8">
        <v>42.983400000000003</v>
      </c>
      <c r="AA9" s="8">
        <v>37.770800000000001</v>
      </c>
      <c r="AB9" s="8">
        <v>41.238999999999997</v>
      </c>
      <c r="AC9" s="8">
        <v>44.527200000000001</v>
      </c>
      <c r="AD9" s="8"/>
      <c r="AE9" s="8">
        <f t="shared" si="6"/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/>
      <c r="S10" s="8">
        <f t="shared" si="4"/>
        <v>14.383052015156734</v>
      </c>
      <c r="T10" s="8">
        <f t="shared" si="5"/>
        <v>14.383052015156734</v>
      </c>
      <c r="U10" s="8">
        <v>5.4875999999999996</v>
      </c>
      <c r="V10" s="8">
        <v>0.2</v>
      </c>
      <c r="W10" s="8">
        <v>0.1976</v>
      </c>
      <c r="X10" s="8">
        <v>6.0484</v>
      </c>
      <c r="Y10" s="8">
        <v>6.9627999999999997</v>
      </c>
      <c r="Z10" s="8">
        <v>3.1852</v>
      </c>
      <c r="AA10" s="8">
        <v>4.3540000000000001</v>
      </c>
      <c r="AB10" s="8">
        <v>5.3411999999999997</v>
      </c>
      <c r="AC10" s="8">
        <v>3.0634000000000001</v>
      </c>
      <c r="AD10" s="8" t="s">
        <v>38</v>
      </c>
      <c r="AE10" s="8">
        <f t="shared" si="6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/>
      <c r="S11" s="8">
        <f t="shared" si="4"/>
        <v>2.4051168632590652</v>
      </c>
      <c r="T11" s="8">
        <f t="shared" si="5"/>
        <v>2.4051168632590652</v>
      </c>
      <c r="U11" s="8">
        <v>6.0904000000000007</v>
      </c>
      <c r="V11" s="8">
        <v>2.7360000000000002</v>
      </c>
      <c r="W11" s="8">
        <v>6.2005999999999997</v>
      </c>
      <c r="X11" s="8">
        <v>9.0286000000000008</v>
      </c>
      <c r="Y11" s="8">
        <v>7.8545999999999996</v>
      </c>
      <c r="Z11" s="8">
        <v>8.6346000000000007</v>
      </c>
      <c r="AA11" s="8">
        <v>11.516999999999999</v>
      </c>
      <c r="AB11" s="8">
        <v>10.395</v>
      </c>
      <c r="AC11" s="8">
        <v>10.9404</v>
      </c>
      <c r="AD11" s="8"/>
      <c r="AE11" s="8">
        <f t="shared" si="6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/>
      <c r="S12" s="8">
        <f t="shared" si="4"/>
        <v>8.5678346566940373</v>
      </c>
      <c r="T12" s="8">
        <f t="shared" si="5"/>
        <v>8.5678346566940373</v>
      </c>
      <c r="U12" s="8">
        <v>5.3874000000000004</v>
      </c>
      <c r="V12" s="8">
        <v>32.887999999999998</v>
      </c>
      <c r="W12" s="8">
        <v>23.7438</v>
      </c>
      <c r="X12" s="8">
        <v>30.880600000000001</v>
      </c>
      <c r="Y12" s="8">
        <v>18.755199999999999</v>
      </c>
      <c r="Z12" s="8">
        <v>41.007599999999996</v>
      </c>
      <c r="AA12" s="8">
        <v>40.128599999999999</v>
      </c>
      <c r="AB12" s="8">
        <v>29.197199999999999</v>
      </c>
      <c r="AC12" s="8">
        <v>35.5212</v>
      </c>
      <c r="AD12" s="8"/>
      <c r="AE12" s="8">
        <f t="shared" si="6"/>
        <v>0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/>
      <c r="S13" s="8">
        <f t="shared" si="4"/>
        <v>12.624309392265193</v>
      </c>
      <c r="T13" s="8">
        <f t="shared" si="5"/>
        <v>12.624309392265193</v>
      </c>
      <c r="U13" s="8">
        <v>45.2</v>
      </c>
      <c r="V13" s="8">
        <v>21.4</v>
      </c>
      <c r="W13" s="8">
        <v>18.2</v>
      </c>
      <c r="X13" s="8">
        <v>39.799999999999997</v>
      </c>
      <c r="Y13" s="8">
        <v>32.200000000000003</v>
      </c>
      <c r="Z13" s="8">
        <v>24</v>
      </c>
      <c r="AA13" s="8">
        <v>16.8</v>
      </c>
      <c r="AB13" s="8">
        <v>39</v>
      </c>
      <c r="AC13" s="8">
        <v>21.2</v>
      </c>
      <c r="AD13" s="8" t="s">
        <v>38</v>
      </c>
      <c r="AE13" s="8">
        <f t="shared" si="6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/>
      <c r="S14" s="8">
        <f t="shared" si="4"/>
        <v>7.6924976191316015</v>
      </c>
      <c r="T14" s="8">
        <f t="shared" si="5"/>
        <v>7.6924976191316015</v>
      </c>
      <c r="U14" s="8">
        <v>4.8360000000000003</v>
      </c>
      <c r="V14" s="8">
        <v>4.3343999999999996</v>
      </c>
      <c r="W14" s="8">
        <v>3.8136000000000001</v>
      </c>
      <c r="X14" s="8">
        <v>3.4849999999999999</v>
      </c>
      <c r="Y14" s="8">
        <v>7.4036</v>
      </c>
      <c r="Z14" s="8">
        <v>10.1214</v>
      </c>
      <c r="AA14" s="8">
        <v>7.6818</v>
      </c>
      <c r="AB14" s="8">
        <v>7.3453999999999997</v>
      </c>
      <c r="AC14" s="8">
        <v>5.9554</v>
      </c>
      <c r="AD14" s="8"/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/>
      <c r="S15" s="8">
        <f t="shared" si="4"/>
        <v>13.452914798206278</v>
      </c>
      <c r="T15" s="8">
        <f t="shared" si="5"/>
        <v>13.452914798206278</v>
      </c>
      <c r="U15" s="8">
        <v>53.2</v>
      </c>
      <c r="V15" s="8">
        <v>36</v>
      </c>
      <c r="W15" s="8">
        <v>37</v>
      </c>
      <c r="X15" s="8">
        <v>50.6</v>
      </c>
      <c r="Y15" s="8">
        <v>39</v>
      </c>
      <c r="Z15" s="8">
        <v>43.6</v>
      </c>
      <c r="AA15" s="8">
        <v>47.4</v>
      </c>
      <c r="AB15" s="8">
        <v>40.6</v>
      </c>
      <c r="AC15" s="8">
        <v>29.6</v>
      </c>
      <c r="AD15" s="8" t="s">
        <v>38</v>
      </c>
      <c r="AE15" s="8">
        <f t="shared" si="6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8">
        <f t="shared" si="4"/>
        <v>20.68181818181818</v>
      </c>
      <c r="T16" s="8">
        <f t="shared" si="5"/>
        <v>20.68181818181818</v>
      </c>
      <c r="U16" s="8">
        <v>26.6</v>
      </c>
      <c r="V16" s="8">
        <v>10.8</v>
      </c>
      <c r="W16" s="8">
        <v>15.4</v>
      </c>
      <c r="X16" s="8">
        <v>33.6</v>
      </c>
      <c r="Y16" s="8">
        <v>22.8</v>
      </c>
      <c r="Z16" s="8">
        <v>8.1999999999999993</v>
      </c>
      <c r="AA16" s="8">
        <v>19.600000000000001</v>
      </c>
      <c r="AB16" s="8">
        <v>16.399999999999999</v>
      </c>
      <c r="AC16" s="8">
        <v>10</v>
      </c>
      <c r="AD16" s="8"/>
      <c r="AE16" s="8">
        <f t="shared" si="6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8">
        <f t="shared" si="4"/>
        <v>18.259775733179989</v>
      </c>
      <c r="T17" s="8">
        <f t="shared" si="5"/>
        <v>18.259775733179989</v>
      </c>
      <c r="U17" s="8">
        <v>45.867800000000003</v>
      </c>
      <c r="V17" s="8">
        <v>34.546199999999999</v>
      </c>
      <c r="W17" s="8">
        <v>30.534400000000002</v>
      </c>
      <c r="X17" s="8">
        <v>39.906199999999998</v>
      </c>
      <c r="Y17" s="8">
        <v>48.837800000000001</v>
      </c>
      <c r="Z17" s="8">
        <v>42.3718</v>
      </c>
      <c r="AA17" s="8">
        <v>42.197000000000003</v>
      </c>
      <c r="AB17" s="8">
        <v>46.965800000000002</v>
      </c>
      <c r="AC17" s="8">
        <v>39.526200000000003</v>
      </c>
      <c r="AD17" s="8"/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9">
        <f t="shared" si="4"/>
        <v>57.5</v>
      </c>
      <c r="T18" s="9">
        <f t="shared" si="5"/>
        <v>57.5</v>
      </c>
      <c r="U18" s="9">
        <v>2.4</v>
      </c>
      <c r="V18" s="9">
        <v>3.2</v>
      </c>
      <c r="W18" s="9">
        <v>2.4</v>
      </c>
      <c r="X18" s="9">
        <v>0</v>
      </c>
      <c r="Y18" s="9">
        <v>1.4</v>
      </c>
      <c r="Z18" s="9">
        <v>1.4</v>
      </c>
      <c r="AA18" s="9">
        <v>0.2</v>
      </c>
      <c r="AB18" s="9">
        <v>6</v>
      </c>
      <c r="AC18" s="9">
        <v>3.2</v>
      </c>
      <c r="AD18" s="9"/>
      <c r="AE18" s="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/>
      <c r="S19" s="8">
        <f t="shared" si="4"/>
        <v>16.658645081309707</v>
      </c>
      <c r="T19" s="8">
        <f t="shared" si="5"/>
        <v>16.658645081309707</v>
      </c>
      <c r="U19" s="8">
        <v>5.8171999999999997</v>
      </c>
      <c r="V19" s="8">
        <v>6.9495999999999993</v>
      </c>
      <c r="W19" s="8">
        <v>2.3774000000000002</v>
      </c>
      <c r="X19" s="8">
        <v>3.0162</v>
      </c>
      <c r="Y19" s="8">
        <v>7.0650000000000004</v>
      </c>
      <c r="Z19" s="8">
        <v>2.3460000000000001</v>
      </c>
      <c r="AA19" s="8">
        <v>3.508</v>
      </c>
      <c r="AB19" s="8">
        <v>3.726</v>
      </c>
      <c r="AC19" s="8">
        <v>1.4081999999999999</v>
      </c>
      <c r="AD19" s="8" t="s">
        <v>38</v>
      </c>
      <c r="AE19" s="8">
        <f>G19*R19</f>
        <v>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8">
        <f t="shared" si="4"/>
        <v>16.293103448275861</v>
      </c>
      <c r="T20" s="8">
        <f t="shared" si="5"/>
        <v>16.293103448275861</v>
      </c>
      <c r="U20" s="8">
        <v>42</v>
      </c>
      <c r="V20" s="8">
        <v>31.8</v>
      </c>
      <c r="W20" s="8">
        <v>31.4</v>
      </c>
      <c r="X20" s="8">
        <v>39.799999999999997</v>
      </c>
      <c r="Y20" s="8">
        <v>30.4</v>
      </c>
      <c r="Z20" s="8">
        <v>33.4</v>
      </c>
      <c r="AA20" s="8">
        <v>17.399999999999999</v>
      </c>
      <c r="AB20" s="8">
        <v>29.4</v>
      </c>
      <c r="AC20" s="8">
        <v>27.2</v>
      </c>
      <c r="AD20" s="8"/>
      <c r="AE20" s="8">
        <f>G20*R20</f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/>
      <c r="S21" s="8">
        <f t="shared" si="4"/>
        <v>12.701574318782464</v>
      </c>
      <c r="T21" s="8">
        <f t="shared" si="5"/>
        <v>12.701574318782464</v>
      </c>
      <c r="U21" s="8">
        <v>21.112400000000001</v>
      </c>
      <c r="V21" s="8">
        <v>24.304200000000002</v>
      </c>
      <c r="W21" s="8">
        <v>17.704999999999998</v>
      </c>
      <c r="X21" s="8">
        <v>11.230600000000001</v>
      </c>
      <c r="Y21" s="8">
        <v>31.431000000000001</v>
      </c>
      <c r="Z21" s="8">
        <v>23.541599999999999</v>
      </c>
      <c r="AA21" s="8">
        <v>20.12</v>
      </c>
      <c r="AB21" s="8">
        <v>23.421399999999998</v>
      </c>
      <c r="AC21" s="8">
        <v>19.7346</v>
      </c>
      <c r="AD21" s="8"/>
      <c r="AE21" s="8">
        <f>G21*R21</f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8">
        <f t="shared" si="4"/>
        <v>20.656565656565657</v>
      </c>
      <c r="T22" s="8">
        <f t="shared" si="5"/>
        <v>20.656565656565657</v>
      </c>
      <c r="U22" s="8">
        <v>53.4</v>
      </c>
      <c r="V22" s="8">
        <v>36.200000000000003</v>
      </c>
      <c r="W22" s="8">
        <v>39.200000000000003</v>
      </c>
      <c r="X22" s="8">
        <v>46.6</v>
      </c>
      <c r="Y22" s="8">
        <v>40.4</v>
      </c>
      <c r="Z22" s="8">
        <v>43.2</v>
      </c>
      <c r="AA22" s="8">
        <v>45</v>
      </c>
      <c r="AB22" s="8">
        <v>49.2</v>
      </c>
      <c r="AC22" s="8">
        <v>40</v>
      </c>
      <c r="AD22" s="8" t="s">
        <v>38</v>
      </c>
      <c r="AE22" s="8">
        <f>G22*R22</f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8">
        <f t="shared" si="4"/>
        <v>27.499540356683212</v>
      </c>
      <c r="T23" s="8">
        <f t="shared" si="5"/>
        <v>27.499540356683212</v>
      </c>
      <c r="U23" s="8">
        <v>4.0891999999999999</v>
      </c>
      <c r="V23" s="8">
        <v>7.2516000000000007</v>
      </c>
      <c r="W23" s="8">
        <v>2.1152000000000002</v>
      </c>
      <c r="X23" s="8">
        <v>12.4244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 t="s">
        <v>56</v>
      </c>
      <c r="AE23" s="8">
        <f>G23*R23</f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9">
        <f t="shared" si="4"/>
        <v>-214</v>
      </c>
      <c r="T24" s="9">
        <f t="shared" si="5"/>
        <v>-214</v>
      </c>
      <c r="U24" s="9">
        <v>0.8</v>
      </c>
      <c r="V24" s="9">
        <v>3.4</v>
      </c>
      <c r="W24" s="9">
        <v>0.6</v>
      </c>
      <c r="X24" s="9">
        <v>6.4</v>
      </c>
      <c r="Y24" s="9">
        <v>12.4</v>
      </c>
      <c r="Z24" s="9">
        <v>1.4</v>
      </c>
      <c r="AA24" s="9">
        <v>1</v>
      </c>
      <c r="AB24" s="9">
        <v>0.6</v>
      </c>
      <c r="AC24" s="9">
        <v>5.4</v>
      </c>
      <c r="AD24" s="9" t="s">
        <v>58</v>
      </c>
      <c r="AE24" s="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/>
      <c r="S25" s="8">
        <f t="shared" si="4"/>
        <v>4.404486055444222</v>
      </c>
      <c r="T25" s="8">
        <f t="shared" si="5"/>
        <v>4.404486055444222</v>
      </c>
      <c r="U25" s="8">
        <v>12.140599999999999</v>
      </c>
      <c r="V25" s="8">
        <v>8.6478000000000002</v>
      </c>
      <c r="W25" s="8">
        <v>19.2288</v>
      </c>
      <c r="X25" s="8">
        <v>4.0523999999999996</v>
      </c>
      <c r="Y25" s="8">
        <v>4.8731999999999998</v>
      </c>
      <c r="Z25" s="8">
        <v>18.799199999999999</v>
      </c>
      <c r="AA25" s="8">
        <v>6.53</v>
      </c>
      <c r="AB25" s="8">
        <v>11.285399999999999</v>
      </c>
      <c r="AC25" s="8">
        <v>11.37</v>
      </c>
      <c r="AD25" s="8" t="s">
        <v>56</v>
      </c>
      <c r="AE25" s="8">
        <f t="shared" ref="AE25:AE31" si="7">G25*R25</f>
        <v>0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/>
      <c r="S26" s="8">
        <f t="shared" si="4"/>
        <v>9.8979591836734695</v>
      </c>
      <c r="T26" s="8">
        <f t="shared" si="5"/>
        <v>9.8979591836734695</v>
      </c>
      <c r="U26" s="8">
        <v>9.8000000000000007</v>
      </c>
      <c r="V26" s="8">
        <v>4</v>
      </c>
      <c r="W26" s="8">
        <v>14.4</v>
      </c>
      <c r="X26" s="8">
        <v>7.8</v>
      </c>
      <c r="Y26" s="8">
        <v>14.6</v>
      </c>
      <c r="Z26" s="8">
        <v>14.4</v>
      </c>
      <c r="AA26" s="8">
        <v>9.4</v>
      </c>
      <c r="AB26" s="8">
        <v>11.4</v>
      </c>
      <c r="AC26" s="8">
        <v>12</v>
      </c>
      <c r="AD26" s="8"/>
      <c r="AE26" s="8">
        <f t="shared" si="7"/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/>
      <c r="S27" s="8">
        <f t="shared" si="4"/>
        <v>10.333333333333334</v>
      </c>
      <c r="T27" s="8">
        <f t="shared" si="5"/>
        <v>10.333333333333334</v>
      </c>
      <c r="U27" s="8">
        <v>14.6</v>
      </c>
      <c r="V27" s="8">
        <v>5.6</v>
      </c>
      <c r="W27" s="8">
        <v>14</v>
      </c>
      <c r="X27" s="8">
        <v>24</v>
      </c>
      <c r="Y27" s="8">
        <v>9.4</v>
      </c>
      <c r="Z27" s="8">
        <v>20.6</v>
      </c>
      <c r="AA27" s="8">
        <v>11.8</v>
      </c>
      <c r="AB27" s="8">
        <v>11.2</v>
      </c>
      <c r="AC27" s="8">
        <v>7.2</v>
      </c>
      <c r="AD27" s="8"/>
      <c r="AE27" s="8">
        <f t="shared" si="7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/>
      <c r="S28" s="8">
        <f t="shared" si="4"/>
        <v>1.1452513966480449</v>
      </c>
      <c r="T28" s="8">
        <f t="shared" si="5"/>
        <v>1.1452513966480449</v>
      </c>
      <c r="U28" s="8">
        <v>13.2</v>
      </c>
      <c r="V28" s="8">
        <v>6.2</v>
      </c>
      <c r="W28" s="8">
        <v>13.2</v>
      </c>
      <c r="X28" s="8">
        <v>34.799999999999997</v>
      </c>
      <c r="Y28" s="8">
        <v>1.8</v>
      </c>
      <c r="Z28" s="8">
        <v>13.4</v>
      </c>
      <c r="AA28" s="8">
        <v>15.4</v>
      </c>
      <c r="AB28" s="8">
        <v>5.2</v>
      </c>
      <c r="AC28" s="8">
        <v>11.8</v>
      </c>
      <c r="AD28" s="8" t="s">
        <v>56</v>
      </c>
      <c r="AE28" s="8">
        <f t="shared" si="7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/>
      <c r="S29" s="8">
        <f t="shared" si="4"/>
        <v>7.4473700870959867</v>
      </c>
      <c r="T29" s="8">
        <f t="shared" si="5"/>
        <v>7.4473700870959867</v>
      </c>
      <c r="U29" s="8">
        <v>67.525599999999997</v>
      </c>
      <c r="V29" s="8">
        <v>39.037400000000012</v>
      </c>
      <c r="W29" s="8">
        <v>59.512199999999993</v>
      </c>
      <c r="X29" s="8">
        <v>62.627200000000002</v>
      </c>
      <c r="Y29" s="8">
        <v>30.008800000000001</v>
      </c>
      <c r="Z29" s="8">
        <v>37.003999999999998</v>
      </c>
      <c r="AA29" s="8">
        <v>51.902200000000001</v>
      </c>
      <c r="AB29" s="8">
        <v>56.673999999999999</v>
      </c>
      <c r="AC29" s="8">
        <v>41.094799999999999</v>
      </c>
      <c r="AD29" s="8"/>
      <c r="AE29" s="8">
        <f t="shared" si="7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/>
      <c r="S30" s="8">
        <f t="shared" si="4"/>
        <v>8.9873417721518987</v>
      </c>
      <c r="T30" s="8">
        <f t="shared" si="5"/>
        <v>8.9873417721518987</v>
      </c>
      <c r="U30" s="8">
        <v>14.2</v>
      </c>
      <c r="V30" s="8">
        <v>11.4</v>
      </c>
      <c r="W30" s="8">
        <v>4.4000000000000004</v>
      </c>
      <c r="X30" s="8">
        <v>4.8</v>
      </c>
      <c r="Y30" s="8">
        <v>20.2</v>
      </c>
      <c r="Z30" s="8">
        <v>9</v>
      </c>
      <c r="AA30" s="8">
        <v>9.1999999999999993</v>
      </c>
      <c r="AB30" s="8">
        <v>12.6</v>
      </c>
      <c r="AC30" s="8">
        <v>6</v>
      </c>
      <c r="AD30" s="8"/>
      <c r="AE30" s="8">
        <f t="shared" si="7"/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/>
      <c r="S31" s="8">
        <f t="shared" si="4"/>
        <v>10.557851239669422</v>
      </c>
      <c r="T31" s="8">
        <f t="shared" si="5"/>
        <v>10.557851239669422</v>
      </c>
      <c r="U31" s="8">
        <v>51.2</v>
      </c>
      <c r="V31" s="8">
        <v>46.2</v>
      </c>
      <c r="W31" s="8">
        <v>56.2</v>
      </c>
      <c r="X31" s="8">
        <v>71.599999999999994</v>
      </c>
      <c r="Y31" s="8">
        <v>65.2</v>
      </c>
      <c r="Z31" s="8">
        <v>40.200000000000003</v>
      </c>
      <c r="AA31" s="8">
        <v>72.400000000000006</v>
      </c>
      <c r="AB31" s="8">
        <v>67.400000000000006</v>
      </c>
      <c r="AC31" s="8">
        <v>48.4</v>
      </c>
      <c r="AD31" s="8"/>
      <c r="AE31" s="8">
        <f t="shared" si="7"/>
        <v>0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9" t="e">
        <f t="shared" si="4"/>
        <v>#DIV/0!</v>
      </c>
      <c r="T32" s="9" t="e">
        <f t="shared" si="5"/>
        <v>#DIV/0!</v>
      </c>
      <c r="U32" s="9">
        <v>0.8</v>
      </c>
      <c r="V32" s="9">
        <v>8.8000000000000007</v>
      </c>
      <c r="W32" s="9">
        <v>42.6</v>
      </c>
      <c r="X32" s="9">
        <v>57</v>
      </c>
      <c r="Y32" s="9">
        <v>48.2</v>
      </c>
      <c r="Z32" s="9">
        <v>28.2</v>
      </c>
      <c r="AA32" s="9">
        <v>33.200000000000003</v>
      </c>
      <c r="AB32" s="9">
        <v>67.400000000000006</v>
      </c>
      <c r="AC32" s="9">
        <v>35.200000000000003</v>
      </c>
      <c r="AD32" s="9" t="s">
        <v>68</v>
      </c>
      <c r="AE32" s="9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/>
      <c r="S33" s="8">
        <f t="shared" si="4"/>
        <v>13.165680473372783</v>
      </c>
      <c r="T33" s="8">
        <f t="shared" si="5"/>
        <v>13.165680473372783</v>
      </c>
      <c r="U33" s="8">
        <v>46</v>
      </c>
      <c r="V33" s="8">
        <v>34.4</v>
      </c>
      <c r="W33" s="8">
        <v>57</v>
      </c>
      <c r="X33" s="8">
        <v>67.8</v>
      </c>
      <c r="Y33" s="8">
        <v>64.599999999999994</v>
      </c>
      <c r="Z33" s="8">
        <v>57.2</v>
      </c>
      <c r="AA33" s="8">
        <v>63.2</v>
      </c>
      <c r="AB33" s="8">
        <v>67.599999999999994</v>
      </c>
      <c r="AC33" s="8">
        <v>52.8</v>
      </c>
      <c r="AD33" s="8"/>
      <c r="AE33" s="8">
        <f>G33*R33</f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8" t="e">
        <f t="shared" si="4"/>
        <v>#DIV/0!</v>
      </c>
      <c r="T34" s="8" t="e">
        <f t="shared" si="5"/>
        <v>#DIV/0!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 t="s">
        <v>71</v>
      </c>
      <c r="AE34" s="8">
        <f>G34*R34</f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9">
        <f t="shared" si="4"/>
        <v>0</v>
      </c>
      <c r="T35" s="9">
        <f t="shared" si="5"/>
        <v>0</v>
      </c>
      <c r="U35" s="9">
        <v>9</v>
      </c>
      <c r="V35" s="9">
        <v>21.8</v>
      </c>
      <c r="W35" s="9">
        <v>17.600000000000001</v>
      </c>
      <c r="X35" s="9">
        <v>37.6</v>
      </c>
      <c r="Y35" s="9">
        <v>23.8</v>
      </c>
      <c r="Z35" s="9">
        <v>15.6</v>
      </c>
      <c r="AA35" s="9">
        <v>20.6</v>
      </c>
      <c r="AB35" s="9">
        <v>38.6</v>
      </c>
      <c r="AC35" s="9">
        <v>20.399999999999999</v>
      </c>
      <c r="AD35" s="9" t="s">
        <v>74</v>
      </c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9">
        <f t="shared" si="4"/>
        <v>0.10256410256410256</v>
      </c>
      <c r="T36" s="9">
        <f t="shared" si="5"/>
        <v>0.10256410256410256</v>
      </c>
      <c r="U36" s="9">
        <v>39.799999999999997</v>
      </c>
      <c r="V36" s="9">
        <v>36</v>
      </c>
      <c r="W36" s="9">
        <v>33.200000000000003</v>
      </c>
      <c r="X36" s="9">
        <v>58.6</v>
      </c>
      <c r="Y36" s="9">
        <v>40.799999999999997</v>
      </c>
      <c r="Z36" s="9">
        <v>38.200000000000003</v>
      </c>
      <c r="AA36" s="9">
        <v>25.8</v>
      </c>
      <c r="AB36" s="9">
        <v>52.2</v>
      </c>
      <c r="AC36" s="9">
        <v>24.6</v>
      </c>
      <c r="AD36" s="9" t="s">
        <v>77</v>
      </c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9">
        <f t="shared" si="4"/>
        <v>32</v>
      </c>
      <c r="T37" s="9">
        <f t="shared" si="5"/>
        <v>32</v>
      </c>
      <c r="U37" s="9">
        <v>2.8</v>
      </c>
      <c r="V37" s="9">
        <v>3.8</v>
      </c>
      <c r="W37" s="9">
        <v>10.6</v>
      </c>
      <c r="X37" s="9">
        <v>3.2</v>
      </c>
      <c r="Y37" s="9">
        <v>-0.6</v>
      </c>
      <c r="Z37" s="9">
        <v>8.1999999999999993</v>
      </c>
      <c r="AA37" s="9">
        <v>1.4</v>
      </c>
      <c r="AB37" s="9">
        <v>1.4</v>
      </c>
      <c r="AC37" s="9">
        <v>2.8</v>
      </c>
      <c r="AD37" s="9" t="s">
        <v>80</v>
      </c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8">E38-K38</f>
        <v>0</v>
      </c>
      <c r="M38" s="9"/>
      <c r="N38" s="9"/>
      <c r="O38" s="9">
        <v>0</v>
      </c>
      <c r="P38" s="9"/>
      <c r="Q38" s="9">
        <f t="shared" ref="Q38:Q69" si="9">E38/5</f>
        <v>0</v>
      </c>
      <c r="R38" s="11"/>
      <c r="S38" s="9" t="e">
        <f t="shared" ref="S38:S69" si="10">(F38+O38+P38+R38)/Q38</f>
        <v>#DIV/0!</v>
      </c>
      <c r="T38" s="9" t="e">
        <f t="shared" ref="T38:T69" si="11">(F38+O38+P38)/Q38</f>
        <v>#DIV/0!</v>
      </c>
      <c r="U38" s="9">
        <v>0.23780000000000001</v>
      </c>
      <c r="V38" s="9">
        <v>1.9172</v>
      </c>
      <c r="W38" s="9">
        <v>0</v>
      </c>
      <c r="X38" s="9">
        <v>1.6779999999999999</v>
      </c>
      <c r="Y38" s="9">
        <v>0</v>
      </c>
      <c r="Z38" s="9">
        <v>0.245</v>
      </c>
      <c r="AA38" s="9">
        <v>0</v>
      </c>
      <c r="AB38" s="9">
        <v>0</v>
      </c>
      <c r="AC38" s="9">
        <v>0</v>
      </c>
      <c r="AD38" s="9" t="s">
        <v>58</v>
      </c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82</v>
      </c>
      <c r="B39" s="8" t="s">
        <v>34</v>
      </c>
      <c r="C39" s="8">
        <v>290</v>
      </c>
      <c r="D39" s="8">
        <v>18</v>
      </c>
      <c r="E39" s="8">
        <v>103</v>
      </c>
      <c r="F39" s="8">
        <v>36</v>
      </c>
      <c r="G39" s="6">
        <v>0.4</v>
      </c>
      <c r="H39" s="8">
        <v>45</v>
      </c>
      <c r="I39" s="8" t="s">
        <v>35</v>
      </c>
      <c r="J39" s="8"/>
      <c r="K39" s="8">
        <v>222</v>
      </c>
      <c r="L39" s="8">
        <f t="shared" si="8"/>
        <v>-119</v>
      </c>
      <c r="M39" s="8"/>
      <c r="N39" s="8"/>
      <c r="O39" s="8">
        <v>300</v>
      </c>
      <c r="P39" s="8"/>
      <c r="Q39" s="8">
        <f t="shared" si="9"/>
        <v>20.6</v>
      </c>
      <c r="R39" s="4"/>
      <c r="S39" s="8">
        <f t="shared" si="10"/>
        <v>16.310679611650485</v>
      </c>
      <c r="T39" s="8">
        <f t="shared" si="11"/>
        <v>16.310679611650485</v>
      </c>
      <c r="U39" s="8">
        <v>49.171999999999997</v>
      </c>
      <c r="V39" s="8">
        <v>3.2</v>
      </c>
      <c r="W39" s="8">
        <v>36.4</v>
      </c>
      <c r="X39" s="8">
        <v>56.8</v>
      </c>
      <c r="Y39" s="8">
        <v>33.799999999999997</v>
      </c>
      <c r="Z39" s="8">
        <v>35.6</v>
      </c>
      <c r="AA39" s="8">
        <v>16.600000000000001</v>
      </c>
      <c r="AB39" s="8">
        <v>69</v>
      </c>
      <c r="AC39" s="8">
        <v>28.8</v>
      </c>
      <c r="AD39" s="8"/>
      <c r="AE39" s="8">
        <f>G39*R39</f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8"/>
        <v>-14</v>
      </c>
      <c r="M40" s="8"/>
      <c r="N40" s="8"/>
      <c r="O40" s="8">
        <v>0</v>
      </c>
      <c r="P40" s="8"/>
      <c r="Q40" s="8">
        <f t="shared" si="9"/>
        <v>1.2</v>
      </c>
      <c r="R40" s="4"/>
      <c r="S40" s="8">
        <f t="shared" si="10"/>
        <v>52.5</v>
      </c>
      <c r="T40" s="8">
        <f t="shared" si="11"/>
        <v>52.5</v>
      </c>
      <c r="U40" s="8">
        <v>-0.6</v>
      </c>
      <c r="V40" s="8">
        <v>12.8</v>
      </c>
      <c r="W40" s="8">
        <v>3.4</v>
      </c>
      <c r="X40" s="8">
        <v>8.1999999999999993</v>
      </c>
      <c r="Y40" s="8">
        <v>4.2</v>
      </c>
      <c r="Z40" s="8">
        <v>0.2</v>
      </c>
      <c r="AA40" s="8">
        <v>0</v>
      </c>
      <c r="AB40" s="8">
        <v>0</v>
      </c>
      <c r="AC40" s="8">
        <v>0</v>
      </c>
      <c r="AD40" s="8"/>
      <c r="AE40" s="8">
        <f>G40*R40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8"/>
        <v>-12.222000000000001</v>
      </c>
      <c r="M41" s="8"/>
      <c r="N41" s="8"/>
      <c r="O41" s="8">
        <v>211</v>
      </c>
      <c r="P41" s="8"/>
      <c r="Q41" s="8">
        <f t="shared" si="9"/>
        <v>4.4555999999999996</v>
      </c>
      <c r="R41" s="4"/>
      <c r="S41" s="8">
        <f t="shared" si="10"/>
        <v>47.237184666487124</v>
      </c>
      <c r="T41" s="8">
        <f t="shared" si="11"/>
        <v>47.237184666487124</v>
      </c>
      <c r="U41" s="8">
        <v>21.930199999999999</v>
      </c>
      <c r="V41" s="8">
        <v>12.358000000000001</v>
      </c>
      <c r="W41" s="8">
        <v>16.8752</v>
      </c>
      <c r="X41" s="8">
        <v>20.814599999999999</v>
      </c>
      <c r="Y41" s="8">
        <v>3.6019999999999999</v>
      </c>
      <c r="Z41" s="8">
        <v>20.556999999999999</v>
      </c>
      <c r="AA41" s="8">
        <v>16.373200000000001</v>
      </c>
      <c r="AB41" s="8">
        <v>10.4732</v>
      </c>
      <c r="AC41" s="8">
        <v>14.219799999999999</v>
      </c>
      <c r="AD41" s="8"/>
      <c r="AE41" s="8">
        <f>G41*R41</f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8"/>
        <v>1.9270000000000067</v>
      </c>
      <c r="M42" s="8"/>
      <c r="N42" s="8"/>
      <c r="O42" s="8">
        <v>159</v>
      </c>
      <c r="P42" s="8"/>
      <c r="Q42" s="8">
        <f t="shared" si="9"/>
        <v>16.497199999999999</v>
      </c>
      <c r="R42" s="4"/>
      <c r="S42" s="8">
        <f t="shared" si="10"/>
        <v>13.085311446790971</v>
      </c>
      <c r="T42" s="8">
        <f t="shared" si="11"/>
        <v>13.085311446790971</v>
      </c>
      <c r="U42" s="8">
        <v>19.2118</v>
      </c>
      <c r="V42" s="8">
        <v>11.6172</v>
      </c>
      <c r="W42" s="8">
        <v>8.0947999999999993</v>
      </c>
      <c r="X42" s="8">
        <v>26.728999999999999</v>
      </c>
      <c r="Y42" s="8">
        <v>16.625599999999999</v>
      </c>
      <c r="Z42" s="8">
        <v>14.937200000000001</v>
      </c>
      <c r="AA42" s="8">
        <v>18.5396</v>
      </c>
      <c r="AB42" s="8">
        <v>19.953600000000002</v>
      </c>
      <c r="AC42" s="8">
        <v>17.642199999999999</v>
      </c>
      <c r="AD42" s="8"/>
      <c r="AE42" s="8">
        <f>G42*R42</f>
        <v>0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8"/>
        <v>3.8119999999999976</v>
      </c>
      <c r="M43" s="8"/>
      <c r="N43" s="8"/>
      <c r="O43" s="8">
        <v>276</v>
      </c>
      <c r="P43" s="8"/>
      <c r="Q43" s="8">
        <f t="shared" si="9"/>
        <v>21.627400000000002</v>
      </c>
      <c r="R43" s="4"/>
      <c r="S43" s="8">
        <f t="shared" si="10"/>
        <v>15.261150207607015</v>
      </c>
      <c r="T43" s="8">
        <f t="shared" si="11"/>
        <v>15.261150207607015</v>
      </c>
      <c r="U43" s="8">
        <v>28.242000000000001</v>
      </c>
      <c r="V43" s="8">
        <v>19.793800000000001</v>
      </c>
      <c r="W43" s="8">
        <v>15.770799999999999</v>
      </c>
      <c r="X43" s="8">
        <v>27.8246</v>
      </c>
      <c r="Y43" s="8">
        <v>26.491800000000001</v>
      </c>
      <c r="Z43" s="8">
        <v>19.845199999999998</v>
      </c>
      <c r="AA43" s="8">
        <v>21.102599999999999</v>
      </c>
      <c r="AB43" s="8">
        <v>20.839200000000002</v>
      </c>
      <c r="AC43" s="8">
        <v>14.5502</v>
      </c>
      <c r="AD43" s="8"/>
      <c r="AE43" s="8">
        <f>G43*R43</f>
        <v>0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8"/>
        <v>-9</v>
      </c>
      <c r="M44" s="9"/>
      <c r="N44" s="9"/>
      <c r="O44" s="9">
        <v>0</v>
      </c>
      <c r="P44" s="9"/>
      <c r="Q44" s="9">
        <f t="shared" si="9"/>
        <v>2.2000000000000002</v>
      </c>
      <c r="R44" s="11"/>
      <c r="S44" s="9">
        <f t="shared" si="10"/>
        <v>0.45454545454545453</v>
      </c>
      <c r="T44" s="9">
        <f t="shared" si="11"/>
        <v>0.45454545454545453</v>
      </c>
      <c r="U44" s="9">
        <v>5.8</v>
      </c>
      <c r="V44" s="9">
        <v>1</v>
      </c>
      <c r="W44" s="9">
        <v>3.4</v>
      </c>
      <c r="X44" s="9">
        <v>5.6</v>
      </c>
      <c r="Y44" s="9">
        <v>4.2</v>
      </c>
      <c r="Z44" s="9">
        <v>5</v>
      </c>
      <c r="AA44" s="9">
        <v>4</v>
      </c>
      <c r="AB44" s="9">
        <v>4</v>
      </c>
      <c r="AC44" s="9">
        <v>5.4</v>
      </c>
      <c r="AD44" s="9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8"/>
        <v>3.784000000000006</v>
      </c>
      <c r="M45" s="8"/>
      <c r="N45" s="8"/>
      <c r="O45" s="8">
        <v>143</v>
      </c>
      <c r="P45" s="8"/>
      <c r="Q45" s="8">
        <f t="shared" si="9"/>
        <v>15.256800000000002</v>
      </c>
      <c r="R45" s="4"/>
      <c r="S45" s="8">
        <f t="shared" si="10"/>
        <v>15.076031671123694</v>
      </c>
      <c r="T45" s="8">
        <f t="shared" si="11"/>
        <v>15.076031671123694</v>
      </c>
      <c r="U45" s="8">
        <v>19.543800000000001</v>
      </c>
      <c r="V45" s="8">
        <v>16.501799999999999</v>
      </c>
      <c r="W45" s="8">
        <v>15.445600000000001</v>
      </c>
      <c r="X45" s="8">
        <v>13.050800000000001</v>
      </c>
      <c r="Y45" s="8">
        <v>15.378399999999999</v>
      </c>
      <c r="Z45" s="8">
        <v>16.527000000000001</v>
      </c>
      <c r="AA45" s="8">
        <v>13.536799999999999</v>
      </c>
      <c r="AB45" s="8">
        <v>16.508800000000001</v>
      </c>
      <c r="AC45" s="8">
        <v>15.13</v>
      </c>
      <c r="AD45" s="8"/>
      <c r="AE45" s="8">
        <f>G45*R45</f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8"/>
        <v>-5</v>
      </c>
      <c r="M46" s="8"/>
      <c r="N46" s="8"/>
      <c r="O46" s="8">
        <v>459</v>
      </c>
      <c r="P46" s="8"/>
      <c r="Q46" s="8">
        <f t="shared" si="9"/>
        <v>36</v>
      </c>
      <c r="R46" s="4"/>
      <c r="S46" s="8">
        <f t="shared" si="10"/>
        <v>17.277777777777779</v>
      </c>
      <c r="T46" s="8">
        <f t="shared" si="11"/>
        <v>17.277777777777779</v>
      </c>
      <c r="U46" s="8">
        <v>53.6</v>
      </c>
      <c r="V46" s="8">
        <v>41.2</v>
      </c>
      <c r="W46" s="8">
        <v>35.799999999999997</v>
      </c>
      <c r="X46" s="8">
        <v>64.8</v>
      </c>
      <c r="Y46" s="8">
        <v>75.8</v>
      </c>
      <c r="Z46" s="8">
        <v>57.2</v>
      </c>
      <c r="AA46" s="8">
        <v>53.4</v>
      </c>
      <c r="AB46" s="8">
        <v>77</v>
      </c>
      <c r="AC46" s="8">
        <v>47.8</v>
      </c>
      <c r="AD46" s="8"/>
      <c r="AE46" s="8">
        <f>G46*R46</f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8"/>
        <v>0</v>
      </c>
      <c r="M47" s="9"/>
      <c r="N47" s="9"/>
      <c r="O47" s="9">
        <v>0</v>
      </c>
      <c r="P47" s="9"/>
      <c r="Q47" s="9">
        <f t="shared" si="9"/>
        <v>0</v>
      </c>
      <c r="R47" s="11"/>
      <c r="S47" s="9" t="e">
        <f t="shared" si="10"/>
        <v>#DIV/0!</v>
      </c>
      <c r="T47" s="9" t="e">
        <f t="shared" si="11"/>
        <v>#DIV/0!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 t="s">
        <v>91</v>
      </c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8"/>
        <v>4.5010000000000048</v>
      </c>
      <c r="M48" s="8"/>
      <c r="N48" s="8"/>
      <c r="O48" s="8">
        <v>137</v>
      </c>
      <c r="P48" s="8"/>
      <c r="Q48" s="8">
        <f t="shared" si="9"/>
        <v>18.900200000000002</v>
      </c>
      <c r="R48" s="4"/>
      <c r="S48" s="8">
        <f t="shared" si="10"/>
        <v>10.517137384789578</v>
      </c>
      <c r="T48" s="8">
        <f t="shared" si="11"/>
        <v>10.517137384789578</v>
      </c>
      <c r="U48" s="8">
        <v>19.008400000000002</v>
      </c>
      <c r="V48" s="8">
        <v>13.199</v>
      </c>
      <c r="W48" s="8">
        <v>7.4875999999999996</v>
      </c>
      <c r="X48" s="8">
        <v>18.929200000000002</v>
      </c>
      <c r="Y48" s="8">
        <v>23.3964</v>
      </c>
      <c r="Z48" s="8">
        <v>8.8699999999999992</v>
      </c>
      <c r="AA48" s="8">
        <v>15.527799999999999</v>
      </c>
      <c r="AB48" s="8">
        <v>14.678599999999999</v>
      </c>
      <c r="AC48" s="8">
        <v>9.5939999999999994</v>
      </c>
      <c r="AD48" s="8"/>
      <c r="AE48" s="8">
        <f t="shared" ref="AE48:AE56" si="12">G48*R48</f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8"/>
        <v>-23.845000000000027</v>
      </c>
      <c r="M49" s="8"/>
      <c r="N49" s="8"/>
      <c r="O49" s="8">
        <v>773</v>
      </c>
      <c r="P49" s="8"/>
      <c r="Q49" s="8">
        <f t="shared" si="9"/>
        <v>84.631</v>
      </c>
      <c r="R49" s="4"/>
      <c r="S49" s="8">
        <f t="shared" si="10"/>
        <v>10.305916271815292</v>
      </c>
      <c r="T49" s="8">
        <f t="shared" si="11"/>
        <v>10.305916271815292</v>
      </c>
      <c r="U49" s="8">
        <v>84.2</v>
      </c>
      <c r="V49" s="8">
        <v>64</v>
      </c>
      <c r="W49" s="8">
        <v>66.400000000000006</v>
      </c>
      <c r="X49" s="8">
        <v>97</v>
      </c>
      <c r="Y49" s="8">
        <v>35.4</v>
      </c>
      <c r="Z49" s="8">
        <v>90.2</v>
      </c>
      <c r="AA49" s="8">
        <v>96.6</v>
      </c>
      <c r="AB49" s="8">
        <v>73.599999999999994</v>
      </c>
      <c r="AC49" s="8">
        <v>73.8</v>
      </c>
      <c r="AD49" s="8"/>
      <c r="AE49" s="8">
        <f t="shared" si="12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8"/>
        <v>-178</v>
      </c>
      <c r="M50" s="8"/>
      <c r="N50" s="8"/>
      <c r="O50" s="8">
        <v>465</v>
      </c>
      <c r="P50" s="8"/>
      <c r="Q50" s="8">
        <f t="shared" si="9"/>
        <v>10.199999999999999</v>
      </c>
      <c r="R50" s="4"/>
      <c r="S50" s="8">
        <f t="shared" si="10"/>
        <v>45.490196078431374</v>
      </c>
      <c r="T50" s="8">
        <f t="shared" si="11"/>
        <v>45.490196078431374</v>
      </c>
      <c r="U50" s="8">
        <v>44.4</v>
      </c>
      <c r="V50" s="8">
        <v>27.8</v>
      </c>
      <c r="W50" s="8">
        <v>50.4</v>
      </c>
      <c r="X50" s="8">
        <v>57.6</v>
      </c>
      <c r="Y50" s="8">
        <v>51</v>
      </c>
      <c r="Z50" s="8">
        <v>42.2</v>
      </c>
      <c r="AA50" s="8">
        <v>35.6</v>
      </c>
      <c r="AB50" s="8">
        <v>66.8</v>
      </c>
      <c r="AC50" s="8">
        <v>32.6</v>
      </c>
      <c r="AD50" s="8"/>
      <c r="AE50" s="8">
        <f t="shared" si="12"/>
        <v>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8"/>
        <v>-4</v>
      </c>
      <c r="M51" s="8"/>
      <c r="N51" s="8"/>
      <c r="O51" s="8">
        <v>387</v>
      </c>
      <c r="P51" s="8"/>
      <c r="Q51" s="8">
        <f t="shared" si="9"/>
        <v>16.600000000000001</v>
      </c>
      <c r="R51" s="4"/>
      <c r="S51" s="8">
        <f t="shared" si="10"/>
        <v>34.69879518072289</v>
      </c>
      <c r="T51" s="8">
        <f t="shared" si="11"/>
        <v>34.69879518072289</v>
      </c>
      <c r="U51" s="8">
        <v>43.8</v>
      </c>
      <c r="V51" s="8">
        <v>18</v>
      </c>
      <c r="W51" s="8">
        <v>38.799999999999997</v>
      </c>
      <c r="X51" s="8">
        <v>53</v>
      </c>
      <c r="Y51" s="8">
        <v>5.2</v>
      </c>
      <c r="Z51" s="8">
        <v>33.799999999999997</v>
      </c>
      <c r="AA51" s="8">
        <v>31.8</v>
      </c>
      <c r="AB51" s="8">
        <v>10.4</v>
      </c>
      <c r="AC51" s="8">
        <v>24</v>
      </c>
      <c r="AD51" s="8"/>
      <c r="AE51" s="8">
        <f t="shared" si="12"/>
        <v>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8"/>
        <v>-8</v>
      </c>
      <c r="M52" s="8"/>
      <c r="N52" s="8"/>
      <c r="O52" s="8">
        <v>439</v>
      </c>
      <c r="P52" s="8"/>
      <c r="Q52" s="8">
        <f t="shared" si="9"/>
        <v>22</v>
      </c>
      <c r="R52" s="4"/>
      <c r="S52" s="8">
        <f t="shared" si="10"/>
        <v>20.818181818181817</v>
      </c>
      <c r="T52" s="8">
        <f t="shared" si="11"/>
        <v>20.818181818181817</v>
      </c>
      <c r="U52" s="8">
        <v>44.4</v>
      </c>
      <c r="V52" s="8">
        <v>4</v>
      </c>
      <c r="W52" s="8">
        <v>26.6</v>
      </c>
      <c r="X52" s="8">
        <v>24</v>
      </c>
      <c r="Y52" s="8">
        <v>20.399999999999999</v>
      </c>
      <c r="Z52" s="8">
        <v>23.2</v>
      </c>
      <c r="AA52" s="8">
        <v>10.199999999999999</v>
      </c>
      <c r="AB52" s="8">
        <v>27</v>
      </c>
      <c r="AC52" s="8">
        <v>15</v>
      </c>
      <c r="AD52" s="8"/>
      <c r="AE52" s="8">
        <f t="shared" si="12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8"/>
        <v>-10</v>
      </c>
      <c r="M53" s="8"/>
      <c r="N53" s="8"/>
      <c r="O53" s="8">
        <v>0</v>
      </c>
      <c r="P53" s="8"/>
      <c r="Q53" s="8">
        <f t="shared" si="9"/>
        <v>4.8</v>
      </c>
      <c r="R53" s="4"/>
      <c r="S53" s="8">
        <f t="shared" si="10"/>
        <v>12.083333333333334</v>
      </c>
      <c r="T53" s="8">
        <f t="shared" si="11"/>
        <v>12.083333333333334</v>
      </c>
      <c r="U53" s="8">
        <v>3.8</v>
      </c>
      <c r="V53" s="8">
        <v>3.2</v>
      </c>
      <c r="W53" s="8">
        <v>5.8</v>
      </c>
      <c r="X53" s="8">
        <v>13</v>
      </c>
      <c r="Y53" s="8">
        <v>1.8</v>
      </c>
      <c r="Z53" s="8">
        <v>-0.4</v>
      </c>
      <c r="AA53" s="8">
        <v>5.4</v>
      </c>
      <c r="AB53" s="8">
        <v>0.2</v>
      </c>
      <c r="AC53" s="8">
        <v>1</v>
      </c>
      <c r="AD53" s="8" t="s">
        <v>98</v>
      </c>
      <c r="AE53" s="8">
        <f t="shared" si="12"/>
        <v>0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8"/>
        <v>-10</v>
      </c>
      <c r="M54" s="8"/>
      <c r="N54" s="8"/>
      <c r="O54" s="8">
        <v>90</v>
      </c>
      <c r="P54" s="8">
        <v>50</v>
      </c>
      <c r="Q54" s="8">
        <f t="shared" si="9"/>
        <v>8.1999999999999993</v>
      </c>
      <c r="R54" s="4"/>
      <c r="S54" s="8">
        <f t="shared" si="10"/>
        <v>25.975609756097562</v>
      </c>
      <c r="T54" s="8">
        <f t="shared" si="11"/>
        <v>25.975609756097562</v>
      </c>
      <c r="U54" s="8">
        <v>14</v>
      </c>
      <c r="V54" s="8">
        <v>13</v>
      </c>
      <c r="W54" s="8">
        <v>8.4</v>
      </c>
      <c r="X54" s="8">
        <v>6.4</v>
      </c>
      <c r="Y54" s="8">
        <v>15</v>
      </c>
      <c r="Z54" s="8">
        <v>11.6</v>
      </c>
      <c r="AA54" s="8">
        <v>1</v>
      </c>
      <c r="AB54" s="8">
        <v>0</v>
      </c>
      <c r="AC54" s="8">
        <v>0</v>
      </c>
      <c r="AD54" s="8"/>
      <c r="AE54" s="8">
        <f t="shared" si="12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8"/>
        <v>-11</v>
      </c>
      <c r="M55" s="8"/>
      <c r="N55" s="8"/>
      <c r="O55" s="8">
        <v>0</v>
      </c>
      <c r="P55" s="8"/>
      <c r="Q55" s="8">
        <f t="shared" si="9"/>
        <v>6.2</v>
      </c>
      <c r="R55" s="4"/>
      <c r="S55" s="8">
        <f t="shared" si="10"/>
        <v>23.870967741935484</v>
      </c>
      <c r="T55" s="8">
        <f t="shared" si="11"/>
        <v>23.870967741935484</v>
      </c>
      <c r="U55" s="8">
        <v>5.4</v>
      </c>
      <c r="V55" s="8">
        <v>5.4</v>
      </c>
      <c r="W55" s="8">
        <v>10.6</v>
      </c>
      <c r="X55" s="8">
        <v>22.4</v>
      </c>
      <c r="Y55" s="8">
        <v>4.2</v>
      </c>
      <c r="Z55" s="8">
        <v>13.2</v>
      </c>
      <c r="AA55" s="8">
        <v>13.8</v>
      </c>
      <c r="AB55" s="8">
        <v>2</v>
      </c>
      <c r="AC55" s="8">
        <v>3.4</v>
      </c>
      <c r="AD55" s="8" t="s">
        <v>58</v>
      </c>
      <c r="AE55" s="8">
        <f t="shared" si="12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8"/>
        <v>51.028000000000077</v>
      </c>
      <c r="M56" s="8"/>
      <c r="N56" s="8"/>
      <c r="O56" s="8">
        <v>781</v>
      </c>
      <c r="P56" s="8"/>
      <c r="Q56" s="8">
        <f t="shared" si="9"/>
        <v>111.70340000000002</v>
      </c>
      <c r="R56" s="4"/>
      <c r="S56" s="8">
        <f t="shared" si="10"/>
        <v>7.7719478547653864</v>
      </c>
      <c r="T56" s="8">
        <f t="shared" si="11"/>
        <v>7.7719478547653864</v>
      </c>
      <c r="U56" s="8">
        <v>91.224000000000004</v>
      </c>
      <c r="V56" s="8">
        <v>74.652200000000008</v>
      </c>
      <c r="W56" s="8">
        <v>81.558999999999997</v>
      </c>
      <c r="X56" s="8">
        <v>91.169399999999996</v>
      </c>
      <c r="Y56" s="8">
        <v>78.173599999999993</v>
      </c>
      <c r="Z56" s="8">
        <v>86.486199999999997</v>
      </c>
      <c r="AA56" s="8">
        <v>76.927999999999997</v>
      </c>
      <c r="AB56" s="8">
        <v>77.873199999999997</v>
      </c>
      <c r="AC56" s="8">
        <v>66.671400000000006</v>
      </c>
      <c r="AD56" s="8"/>
      <c r="AE56" s="8">
        <f t="shared" si="12"/>
        <v>0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8"/>
        <v>-10</v>
      </c>
      <c r="M57" s="9"/>
      <c r="N57" s="9"/>
      <c r="O57" s="9">
        <v>0</v>
      </c>
      <c r="P57" s="9"/>
      <c r="Q57" s="9">
        <f t="shared" si="9"/>
        <v>0</v>
      </c>
      <c r="R57" s="11"/>
      <c r="S57" s="9" t="e">
        <f t="shared" si="10"/>
        <v>#DIV/0!</v>
      </c>
      <c r="T57" s="9" t="e">
        <f t="shared" si="11"/>
        <v>#DIV/0!</v>
      </c>
      <c r="U57" s="9">
        <v>-0.2</v>
      </c>
      <c r="V57" s="9">
        <v>0</v>
      </c>
      <c r="W57" s="9">
        <v>0</v>
      </c>
      <c r="X57" s="9">
        <v>5.8</v>
      </c>
      <c r="Y57" s="9">
        <v>6.4</v>
      </c>
      <c r="Z57" s="9">
        <v>2.8</v>
      </c>
      <c r="AA57" s="9">
        <v>0.4</v>
      </c>
      <c r="AB57" s="9">
        <v>4.4000000000000004</v>
      </c>
      <c r="AC57" s="9">
        <v>1.4</v>
      </c>
      <c r="AD57" s="9" t="s">
        <v>103</v>
      </c>
      <c r="AE57" s="9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8"/>
        <v>-22</v>
      </c>
      <c r="M58" s="8"/>
      <c r="N58" s="8"/>
      <c r="O58" s="8">
        <v>202</v>
      </c>
      <c r="P58" s="8"/>
      <c r="Q58" s="8">
        <f t="shared" si="9"/>
        <v>7.4</v>
      </c>
      <c r="R58" s="4"/>
      <c r="S58" s="8">
        <f t="shared" si="10"/>
        <v>28.918918918918919</v>
      </c>
      <c r="T58" s="8">
        <f t="shared" si="11"/>
        <v>28.918918918918919</v>
      </c>
      <c r="U58" s="8">
        <v>20.6</v>
      </c>
      <c r="V58" s="8">
        <v>10.6</v>
      </c>
      <c r="W58" s="8">
        <v>35.4</v>
      </c>
      <c r="X58" s="8">
        <v>18.8</v>
      </c>
      <c r="Y58" s="8">
        <v>0.2</v>
      </c>
      <c r="Z58" s="8">
        <v>35</v>
      </c>
      <c r="AA58" s="8">
        <v>11.8</v>
      </c>
      <c r="AB58" s="8">
        <v>15.8</v>
      </c>
      <c r="AC58" s="8">
        <v>18.399999999999999</v>
      </c>
      <c r="AD58" s="8"/>
      <c r="AE58" s="8">
        <f>G58*R58</f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8"/>
        <v>-0.1120000000000001</v>
      </c>
      <c r="M59" s="8"/>
      <c r="N59" s="8"/>
      <c r="O59" s="8">
        <v>0</v>
      </c>
      <c r="P59" s="8"/>
      <c r="Q59" s="8">
        <f t="shared" si="9"/>
        <v>0.77759999999999996</v>
      </c>
      <c r="R59" s="4"/>
      <c r="S59" s="8">
        <f t="shared" si="10"/>
        <v>10.104166666666668</v>
      </c>
      <c r="T59" s="8">
        <f t="shared" si="11"/>
        <v>10.104166666666668</v>
      </c>
      <c r="U59" s="8">
        <v>0.7752</v>
      </c>
      <c r="V59" s="8">
        <v>0.39200000000000002</v>
      </c>
      <c r="W59" s="8">
        <v>0.39140000000000003</v>
      </c>
      <c r="X59" s="8">
        <v>0.8146000000000001</v>
      </c>
      <c r="Y59" s="8">
        <v>0</v>
      </c>
      <c r="Z59" s="8">
        <v>0.39</v>
      </c>
      <c r="AA59" s="8">
        <v>0</v>
      </c>
      <c r="AB59" s="8">
        <v>0</v>
      </c>
      <c r="AC59" s="8">
        <v>0</v>
      </c>
      <c r="AD59" s="8" t="s">
        <v>58</v>
      </c>
      <c r="AE59" s="8">
        <f>G59*R59</f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8"/>
        <v>0</v>
      </c>
      <c r="M60" s="9"/>
      <c r="N60" s="9"/>
      <c r="O60" s="9">
        <v>0</v>
      </c>
      <c r="P60" s="9"/>
      <c r="Q60" s="9">
        <f t="shared" si="9"/>
        <v>0</v>
      </c>
      <c r="R60" s="11"/>
      <c r="S60" s="9" t="e">
        <f t="shared" si="10"/>
        <v>#DIV/0!</v>
      </c>
      <c r="T60" s="9" t="e">
        <f t="shared" si="11"/>
        <v>#DIV/0!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0.78059999999999996</v>
      </c>
      <c r="AD60" s="9" t="s">
        <v>58</v>
      </c>
      <c r="AE60" s="9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8"/>
        <v>5.5</v>
      </c>
      <c r="M61" s="8"/>
      <c r="N61" s="8"/>
      <c r="O61" s="8">
        <v>0</v>
      </c>
      <c r="P61" s="8"/>
      <c r="Q61" s="8">
        <f t="shared" si="9"/>
        <v>10.220000000000001</v>
      </c>
      <c r="R61" s="4"/>
      <c r="S61" s="8">
        <f t="shared" si="10"/>
        <v>2.9569471624266144</v>
      </c>
      <c r="T61" s="8">
        <f t="shared" si="11"/>
        <v>2.9569471624266144</v>
      </c>
      <c r="U61" s="8">
        <v>2.403</v>
      </c>
      <c r="V61" s="8">
        <v>4.1829999999999998</v>
      </c>
      <c r="W61" s="8">
        <v>7.7939999999999996</v>
      </c>
      <c r="X61" s="8">
        <v>11.387</v>
      </c>
      <c r="Y61" s="8">
        <v>0.59699999999999998</v>
      </c>
      <c r="Z61" s="8">
        <v>9.3550000000000004</v>
      </c>
      <c r="AA61" s="8">
        <v>3.5259999999999998</v>
      </c>
      <c r="AB61" s="8">
        <v>10.635999999999999</v>
      </c>
      <c r="AC61" s="8">
        <v>7.5484</v>
      </c>
      <c r="AD61" s="8" t="s">
        <v>56</v>
      </c>
      <c r="AE61" s="8">
        <f>G61*R61</f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8"/>
        <v>0</v>
      </c>
      <c r="M62" s="9"/>
      <c r="N62" s="9"/>
      <c r="O62" s="9">
        <v>0</v>
      </c>
      <c r="P62" s="9"/>
      <c r="Q62" s="9">
        <f t="shared" si="9"/>
        <v>0</v>
      </c>
      <c r="R62" s="11"/>
      <c r="S62" s="9" t="e">
        <f t="shared" si="10"/>
        <v>#DIV/0!</v>
      </c>
      <c r="T62" s="9" t="e">
        <f t="shared" si="11"/>
        <v>#DIV/0!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 t="s">
        <v>91</v>
      </c>
      <c r="AE62" s="9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8"/>
        <v>-7</v>
      </c>
      <c r="M63" s="8"/>
      <c r="N63" s="8"/>
      <c r="O63" s="8">
        <v>0</v>
      </c>
      <c r="P63" s="8"/>
      <c r="Q63" s="8">
        <f t="shared" si="9"/>
        <v>5</v>
      </c>
      <c r="R63" s="4"/>
      <c r="S63" s="8">
        <f t="shared" si="10"/>
        <v>0</v>
      </c>
      <c r="T63" s="8">
        <f t="shared" si="11"/>
        <v>0</v>
      </c>
      <c r="U63" s="8">
        <v>0.6</v>
      </c>
      <c r="V63" s="8">
        <v>6.4</v>
      </c>
      <c r="W63" s="8">
        <v>13.2</v>
      </c>
      <c r="X63" s="8">
        <v>2.8</v>
      </c>
      <c r="Y63" s="8">
        <v>0.8</v>
      </c>
      <c r="Z63" s="8">
        <v>14</v>
      </c>
      <c r="AA63" s="8">
        <v>0.8</v>
      </c>
      <c r="AB63" s="8">
        <v>0.8</v>
      </c>
      <c r="AC63" s="8">
        <v>5.8</v>
      </c>
      <c r="AD63" s="8" t="s">
        <v>38</v>
      </c>
      <c r="AE63" s="8">
        <f>G63*R63</f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8"/>
        <v>3.6379999999999981</v>
      </c>
      <c r="M64" s="8"/>
      <c r="N64" s="8"/>
      <c r="O64" s="8">
        <v>109</v>
      </c>
      <c r="P64" s="8"/>
      <c r="Q64" s="8">
        <f t="shared" si="9"/>
        <v>10.727599999999999</v>
      </c>
      <c r="R64" s="4"/>
      <c r="S64" s="8">
        <f t="shared" si="10"/>
        <v>20.349099518997726</v>
      </c>
      <c r="T64" s="8">
        <f t="shared" si="11"/>
        <v>20.349099518997726</v>
      </c>
      <c r="U64" s="8">
        <v>17.526399999999999</v>
      </c>
      <c r="V64" s="8">
        <v>15.994</v>
      </c>
      <c r="W64" s="8">
        <v>13.3072</v>
      </c>
      <c r="X64" s="8">
        <v>7.6114000000000006</v>
      </c>
      <c r="Y64" s="8">
        <v>11.939399999999999</v>
      </c>
      <c r="Z64" s="8">
        <v>18.562999999999999</v>
      </c>
      <c r="AA64" s="8">
        <v>5.4871999999999996</v>
      </c>
      <c r="AB64" s="8">
        <v>4.3868</v>
      </c>
      <c r="AC64" s="8">
        <v>14.728400000000001</v>
      </c>
      <c r="AD64" s="8"/>
      <c r="AE64" s="8">
        <f>G64*R64</f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8"/>
        <v>0</v>
      </c>
      <c r="M65" s="8"/>
      <c r="N65" s="8"/>
      <c r="O65" s="8">
        <v>100</v>
      </c>
      <c r="P65" s="8"/>
      <c r="Q65" s="8">
        <f t="shared" si="9"/>
        <v>0</v>
      </c>
      <c r="R65" s="4"/>
      <c r="S65" s="8" t="e">
        <f t="shared" si="10"/>
        <v>#DIV/0!</v>
      </c>
      <c r="T65" s="8" t="e">
        <f t="shared" si="11"/>
        <v>#DIV/0!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 t="s">
        <v>71</v>
      </c>
      <c r="AE65" s="8">
        <f>G65*R65</f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8"/>
        <v>-27</v>
      </c>
      <c r="M66" s="8"/>
      <c r="N66" s="8"/>
      <c r="O66" s="8">
        <v>272</v>
      </c>
      <c r="P66" s="8"/>
      <c r="Q66" s="8">
        <f t="shared" si="9"/>
        <v>0.8</v>
      </c>
      <c r="R66" s="4"/>
      <c r="S66" s="8">
        <f t="shared" si="10"/>
        <v>342.5</v>
      </c>
      <c r="T66" s="8">
        <f t="shared" si="11"/>
        <v>342.5</v>
      </c>
      <c r="U66" s="8">
        <v>30.4</v>
      </c>
      <c r="V66" s="8">
        <v>6.2</v>
      </c>
      <c r="W66" s="8">
        <v>4.2</v>
      </c>
      <c r="X66" s="8">
        <v>25.8</v>
      </c>
      <c r="Y66" s="8">
        <v>16.600000000000001</v>
      </c>
      <c r="Z66" s="8">
        <v>19.600000000000001</v>
      </c>
      <c r="AA66" s="8">
        <v>23</v>
      </c>
      <c r="AB66" s="8">
        <v>8.1999999999999993</v>
      </c>
      <c r="AC66" s="8">
        <v>12</v>
      </c>
      <c r="AD66" s="8" t="s">
        <v>113</v>
      </c>
      <c r="AE66" s="8">
        <f>G66*R66</f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8"/>
        <v>-8</v>
      </c>
      <c r="M67" s="8"/>
      <c r="N67" s="8"/>
      <c r="O67" s="8">
        <v>848</v>
      </c>
      <c r="P67" s="8"/>
      <c r="Q67" s="8">
        <f t="shared" si="9"/>
        <v>75.8</v>
      </c>
      <c r="R67" s="4"/>
      <c r="S67" s="8">
        <f t="shared" si="10"/>
        <v>12.308707124010555</v>
      </c>
      <c r="T67" s="8">
        <f t="shared" si="11"/>
        <v>12.308707124010555</v>
      </c>
      <c r="U67" s="8">
        <v>88</v>
      </c>
      <c r="V67" s="8">
        <v>61</v>
      </c>
      <c r="W67" s="8">
        <v>77.2</v>
      </c>
      <c r="X67" s="8">
        <v>89.8</v>
      </c>
      <c r="Y67" s="8">
        <v>95.6</v>
      </c>
      <c r="Z67" s="8">
        <v>75</v>
      </c>
      <c r="AA67" s="8">
        <v>97</v>
      </c>
      <c r="AB67" s="8">
        <v>117.8</v>
      </c>
      <c r="AC67" s="8">
        <v>54.2</v>
      </c>
      <c r="AD67" s="8"/>
      <c r="AE67" s="8">
        <f>G67*R67</f>
        <v>0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8"/>
        <v>0</v>
      </c>
      <c r="M68" s="9"/>
      <c r="N68" s="9"/>
      <c r="O68" s="9">
        <v>0</v>
      </c>
      <c r="P68" s="9"/>
      <c r="Q68" s="9">
        <f t="shared" si="9"/>
        <v>0.6</v>
      </c>
      <c r="R68" s="11"/>
      <c r="S68" s="9">
        <f t="shared" si="10"/>
        <v>48.333333333333336</v>
      </c>
      <c r="T68" s="9">
        <f t="shared" si="11"/>
        <v>48.333333333333336</v>
      </c>
      <c r="U68" s="9">
        <v>3.4</v>
      </c>
      <c r="V68" s="9">
        <v>2</v>
      </c>
      <c r="W68" s="9">
        <v>15.6</v>
      </c>
      <c r="X68" s="9">
        <v>4.5999999999999996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/>
      <c r="AE68" s="9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8"/>
        <v>-1.4420000000000073</v>
      </c>
      <c r="M69" s="8"/>
      <c r="N69" s="8"/>
      <c r="O69" s="8">
        <v>205</v>
      </c>
      <c r="P69" s="8"/>
      <c r="Q69" s="8">
        <f t="shared" si="9"/>
        <v>43.759799999999998</v>
      </c>
      <c r="R69" s="4"/>
      <c r="S69" s="8">
        <f t="shared" si="10"/>
        <v>9.8811466231564129</v>
      </c>
      <c r="T69" s="8">
        <f t="shared" si="11"/>
        <v>9.8811466231564129</v>
      </c>
      <c r="U69" s="8">
        <v>41.929600000000001</v>
      </c>
      <c r="V69" s="8">
        <v>42.965600000000002</v>
      </c>
      <c r="W69" s="8">
        <v>32.3782</v>
      </c>
      <c r="X69" s="8">
        <v>45.654600000000002</v>
      </c>
      <c r="Y69" s="8">
        <v>10.1288</v>
      </c>
      <c r="Z69" s="8">
        <v>53.4602</v>
      </c>
      <c r="AA69" s="8">
        <v>36.601999999999997</v>
      </c>
      <c r="AB69" s="8">
        <v>34.4</v>
      </c>
      <c r="AC69" s="8">
        <v>39.615600000000001</v>
      </c>
      <c r="AD69" s="8"/>
      <c r="AE69" s="8">
        <f t="shared" ref="AE69:AE74" si="13">G69*R69</f>
        <v>0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14">E70-K70</f>
        <v>0</v>
      </c>
      <c r="M70" s="8"/>
      <c r="N70" s="8"/>
      <c r="O70" s="8">
        <v>216</v>
      </c>
      <c r="P70" s="8"/>
      <c r="Q70" s="8">
        <f t="shared" ref="Q70:Q101" si="15">E70/5</f>
        <v>5.4</v>
      </c>
      <c r="R70" s="4"/>
      <c r="S70" s="8">
        <f t="shared" ref="S70:S101" si="16">(F70+O70+P70+R70)/Q70</f>
        <v>68.888888888888886</v>
      </c>
      <c r="T70" s="8">
        <f t="shared" ref="T70:T101" si="17">(F70+O70+P70)/Q70</f>
        <v>68.888888888888886</v>
      </c>
      <c r="U70" s="8">
        <v>26.8</v>
      </c>
      <c r="V70" s="8">
        <v>3.4</v>
      </c>
      <c r="W70" s="8">
        <v>23.2</v>
      </c>
      <c r="X70" s="8">
        <v>13.4</v>
      </c>
      <c r="Y70" s="8">
        <v>4.4000000000000004</v>
      </c>
      <c r="Z70" s="8">
        <v>21.4</v>
      </c>
      <c r="AA70" s="8">
        <v>9.6</v>
      </c>
      <c r="AB70" s="8">
        <v>10.6</v>
      </c>
      <c r="AC70" s="8">
        <v>6.8</v>
      </c>
      <c r="AD70" s="8"/>
      <c r="AE70" s="8">
        <f t="shared" si="13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14"/>
        <v>8.9769999999999968</v>
      </c>
      <c r="M71" s="8"/>
      <c r="N71" s="8"/>
      <c r="O71" s="8">
        <v>0</v>
      </c>
      <c r="P71" s="8"/>
      <c r="Q71" s="8">
        <f t="shared" si="15"/>
        <v>12.615399999999999</v>
      </c>
      <c r="R71" s="4"/>
      <c r="S71" s="8">
        <f t="shared" si="16"/>
        <v>7.12494253055789</v>
      </c>
      <c r="T71" s="8">
        <f t="shared" si="17"/>
        <v>7.12494253055789</v>
      </c>
      <c r="U71" s="8">
        <v>10.090999999999999</v>
      </c>
      <c r="V71" s="8">
        <v>7.3322000000000003</v>
      </c>
      <c r="W71" s="8">
        <v>1.9112</v>
      </c>
      <c r="X71" s="8">
        <v>3.419</v>
      </c>
      <c r="Y71" s="8">
        <v>12.1236</v>
      </c>
      <c r="Z71" s="8">
        <v>5.9020000000000001</v>
      </c>
      <c r="AA71" s="8">
        <v>12.3688</v>
      </c>
      <c r="AB71" s="8">
        <v>10.2056</v>
      </c>
      <c r="AC71" s="8">
        <v>10.2094</v>
      </c>
      <c r="AD71" s="8" t="s">
        <v>56</v>
      </c>
      <c r="AE71" s="8">
        <f t="shared" si="13"/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14"/>
        <v>-234</v>
      </c>
      <c r="M72" s="8"/>
      <c r="N72" s="8"/>
      <c r="O72" s="8">
        <v>533</v>
      </c>
      <c r="P72" s="8"/>
      <c r="Q72" s="8">
        <f t="shared" si="15"/>
        <v>4.2</v>
      </c>
      <c r="R72" s="4"/>
      <c r="S72" s="8">
        <f t="shared" si="16"/>
        <v>126.9047619047619</v>
      </c>
      <c r="T72" s="8">
        <f t="shared" si="17"/>
        <v>126.9047619047619</v>
      </c>
      <c r="U72" s="8">
        <v>53.4</v>
      </c>
      <c r="V72" s="8">
        <v>61.4</v>
      </c>
      <c r="W72" s="8">
        <v>75.400000000000006</v>
      </c>
      <c r="X72" s="8">
        <v>106</v>
      </c>
      <c r="Y72" s="8">
        <v>103</v>
      </c>
      <c r="Z72" s="8">
        <v>69.400000000000006</v>
      </c>
      <c r="AA72" s="8">
        <v>50.2</v>
      </c>
      <c r="AB72" s="8">
        <v>106.4</v>
      </c>
      <c r="AC72" s="8">
        <v>53.4</v>
      </c>
      <c r="AD72" s="8"/>
      <c r="AE72" s="8">
        <f t="shared" si="13"/>
        <v>0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14"/>
        <v>16.698999999999984</v>
      </c>
      <c r="M73" s="8"/>
      <c r="N73" s="8"/>
      <c r="O73" s="8">
        <v>175</v>
      </c>
      <c r="P73" s="8"/>
      <c r="Q73" s="8">
        <f t="shared" si="15"/>
        <v>41.344999999999999</v>
      </c>
      <c r="R73" s="4"/>
      <c r="S73" s="8">
        <f t="shared" si="16"/>
        <v>6.3434272584351197</v>
      </c>
      <c r="T73" s="8">
        <f t="shared" si="17"/>
        <v>6.3434272584351197</v>
      </c>
      <c r="U73" s="8">
        <v>30.451000000000001</v>
      </c>
      <c r="V73" s="8">
        <v>29.3094</v>
      </c>
      <c r="W73" s="8">
        <v>35.366799999999998</v>
      </c>
      <c r="X73" s="8">
        <v>41.764600000000002</v>
      </c>
      <c r="Y73" s="8">
        <v>31.7944</v>
      </c>
      <c r="Z73" s="8">
        <v>35.7166</v>
      </c>
      <c r="AA73" s="8">
        <v>39.016599999999997</v>
      </c>
      <c r="AB73" s="8">
        <v>33.249600000000001</v>
      </c>
      <c r="AC73" s="8">
        <v>8.1592000000000002</v>
      </c>
      <c r="AD73" s="8"/>
      <c r="AE73" s="8">
        <f t="shared" si="13"/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14"/>
        <v>8</v>
      </c>
      <c r="M74" s="8"/>
      <c r="N74" s="8"/>
      <c r="O74" s="8">
        <v>75</v>
      </c>
      <c r="P74" s="8"/>
      <c r="Q74" s="8">
        <f t="shared" si="15"/>
        <v>25.4</v>
      </c>
      <c r="R74" s="4"/>
      <c r="S74" s="8">
        <f t="shared" si="16"/>
        <v>5.0787401574803148</v>
      </c>
      <c r="T74" s="8">
        <f t="shared" si="17"/>
        <v>5.0787401574803148</v>
      </c>
      <c r="U74" s="8">
        <v>15.8</v>
      </c>
      <c r="V74" s="8">
        <v>18</v>
      </c>
      <c r="W74" s="8">
        <v>10.199999999999999</v>
      </c>
      <c r="X74" s="8">
        <v>15.8</v>
      </c>
      <c r="Y74" s="8">
        <v>21.6</v>
      </c>
      <c r="Z74" s="8">
        <v>13.4</v>
      </c>
      <c r="AA74" s="8">
        <v>16.600000000000001</v>
      </c>
      <c r="AB74" s="8">
        <v>16.2</v>
      </c>
      <c r="AC74" s="8">
        <v>11</v>
      </c>
      <c r="AD74" s="8"/>
      <c r="AE74" s="8">
        <f t="shared" si="13"/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14"/>
        <v>0</v>
      </c>
      <c r="M75" s="9"/>
      <c r="N75" s="9"/>
      <c r="O75" s="9">
        <v>0</v>
      </c>
      <c r="P75" s="9"/>
      <c r="Q75" s="9">
        <f t="shared" si="15"/>
        <v>0.4</v>
      </c>
      <c r="R75" s="11"/>
      <c r="S75" s="9">
        <f t="shared" si="16"/>
        <v>12.5</v>
      </c>
      <c r="T75" s="9">
        <f t="shared" si="17"/>
        <v>12.5</v>
      </c>
      <c r="U75" s="9">
        <v>8.6</v>
      </c>
      <c r="V75" s="9">
        <v>0</v>
      </c>
      <c r="W75" s="9">
        <v>1.8</v>
      </c>
      <c r="X75" s="9">
        <v>5.6</v>
      </c>
      <c r="Y75" s="9">
        <v>5</v>
      </c>
      <c r="Z75" s="9">
        <v>4.8</v>
      </c>
      <c r="AA75" s="9">
        <v>2.4</v>
      </c>
      <c r="AB75" s="9">
        <v>5.2</v>
      </c>
      <c r="AC75" s="9">
        <v>4.8</v>
      </c>
      <c r="AD75" s="9"/>
      <c r="AE75" s="9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14"/>
        <v>-2</v>
      </c>
      <c r="M76" s="8"/>
      <c r="N76" s="8"/>
      <c r="O76" s="8">
        <v>168</v>
      </c>
      <c r="P76" s="8"/>
      <c r="Q76" s="8">
        <f t="shared" si="15"/>
        <v>32.6</v>
      </c>
      <c r="R76" s="4"/>
      <c r="S76" s="8">
        <f t="shared" si="16"/>
        <v>10</v>
      </c>
      <c r="T76" s="8">
        <f t="shared" si="17"/>
        <v>10</v>
      </c>
      <c r="U76" s="8">
        <v>33</v>
      </c>
      <c r="V76" s="8">
        <v>6.4</v>
      </c>
      <c r="W76" s="8">
        <v>36.6</v>
      </c>
      <c r="X76" s="8">
        <v>24</v>
      </c>
      <c r="Y76" s="8">
        <v>24.6</v>
      </c>
      <c r="Z76" s="8">
        <v>28.2</v>
      </c>
      <c r="AA76" s="8">
        <v>23.4</v>
      </c>
      <c r="AB76" s="8">
        <v>14.6</v>
      </c>
      <c r="AC76" s="8">
        <v>36.6</v>
      </c>
      <c r="AD76" s="8"/>
      <c r="AE76" s="8">
        <f>G76*R76</f>
        <v>0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14"/>
        <v>1</v>
      </c>
      <c r="M77" s="9"/>
      <c r="N77" s="9"/>
      <c r="O77" s="9">
        <v>0</v>
      </c>
      <c r="P77" s="9"/>
      <c r="Q77" s="9">
        <f t="shared" si="15"/>
        <v>8</v>
      </c>
      <c r="R77" s="11"/>
      <c r="S77" s="9">
        <f t="shared" si="16"/>
        <v>8.5</v>
      </c>
      <c r="T77" s="9">
        <f t="shared" si="17"/>
        <v>8.5</v>
      </c>
      <c r="U77" s="9">
        <v>2.6</v>
      </c>
      <c r="V77" s="9">
        <v>1.8</v>
      </c>
      <c r="W77" s="9">
        <v>11.4</v>
      </c>
      <c r="X77" s="9">
        <v>0.6</v>
      </c>
      <c r="Y77" s="9">
        <v>8.8000000000000007</v>
      </c>
      <c r="Z77" s="9">
        <v>9.8000000000000007</v>
      </c>
      <c r="AA77" s="9">
        <v>3.6</v>
      </c>
      <c r="AB77" s="9">
        <v>4</v>
      </c>
      <c r="AC77" s="9">
        <v>4.2</v>
      </c>
      <c r="AD77" s="9" t="s">
        <v>58</v>
      </c>
      <c r="AE77" s="9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14"/>
        <v>0.69999999999999929</v>
      </c>
      <c r="M78" s="8"/>
      <c r="N78" s="8"/>
      <c r="O78" s="8">
        <v>38</v>
      </c>
      <c r="P78" s="8"/>
      <c r="Q78" s="8">
        <f t="shared" si="15"/>
        <v>6.4</v>
      </c>
      <c r="R78" s="4"/>
      <c r="S78" s="8">
        <f t="shared" si="16"/>
        <v>5.9375</v>
      </c>
      <c r="T78" s="8">
        <f t="shared" si="17"/>
        <v>5.9375</v>
      </c>
      <c r="U78" s="8">
        <v>4.5999999999999996</v>
      </c>
      <c r="V78" s="8">
        <v>2.8</v>
      </c>
      <c r="W78" s="8">
        <v>1</v>
      </c>
      <c r="X78" s="8">
        <v>1.6</v>
      </c>
      <c r="Y78" s="8">
        <v>5.8</v>
      </c>
      <c r="Z78" s="8">
        <v>4.4000000000000004</v>
      </c>
      <c r="AA78" s="8">
        <v>3.6</v>
      </c>
      <c r="AB78" s="8">
        <v>4.8</v>
      </c>
      <c r="AC78" s="8">
        <v>2.6</v>
      </c>
      <c r="AD78" s="8"/>
      <c r="AE78" s="8">
        <f t="shared" ref="AE78:AE89" si="18">G78*R78</f>
        <v>0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14"/>
        <v>-47.199999999999989</v>
      </c>
      <c r="M79" s="8"/>
      <c r="N79" s="8"/>
      <c r="O79" s="8">
        <v>800</v>
      </c>
      <c r="P79" s="8"/>
      <c r="Q79" s="8">
        <f t="shared" si="15"/>
        <v>60</v>
      </c>
      <c r="R79" s="4"/>
      <c r="S79" s="8">
        <f t="shared" si="16"/>
        <v>13.316666666666666</v>
      </c>
      <c r="T79" s="8">
        <f t="shared" si="17"/>
        <v>13.316666666666666</v>
      </c>
      <c r="U79" s="8">
        <v>91.6</v>
      </c>
      <c r="V79" s="8">
        <v>61.8</v>
      </c>
      <c r="W79" s="8">
        <v>80.8</v>
      </c>
      <c r="X79" s="8">
        <v>98.6</v>
      </c>
      <c r="Y79" s="8">
        <v>77.599999999999994</v>
      </c>
      <c r="Z79" s="8">
        <v>76.599999999999994</v>
      </c>
      <c r="AA79" s="8">
        <v>88.4</v>
      </c>
      <c r="AB79" s="8">
        <v>76</v>
      </c>
      <c r="AC79" s="8">
        <v>69.2</v>
      </c>
      <c r="AD79" s="8"/>
      <c r="AE79" s="8">
        <f t="shared" si="18"/>
        <v>0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14"/>
        <v>12.051999999999992</v>
      </c>
      <c r="M80" s="8"/>
      <c r="N80" s="8"/>
      <c r="O80" s="8">
        <v>308</v>
      </c>
      <c r="P80" s="8"/>
      <c r="Q80" s="8">
        <f t="shared" si="15"/>
        <v>34.910399999999996</v>
      </c>
      <c r="R80" s="4"/>
      <c r="S80" s="8">
        <f t="shared" si="16"/>
        <v>11.932575965901281</v>
      </c>
      <c r="T80" s="8">
        <f t="shared" si="17"/>
        <v>11.932575965901281</v>
      </c>
      <c r="U80" s="8">
        <v>37.654800000000002</v>
      </c>
      <c r="V80" s="8">
        <v>30.102599999999999</v>
      </c>
      <c r="W80" s="8">
        <v>26.282599999999999</v>
      </c>
      <c r="X80" s="8">
        <v>29.624600000000001</v>
      </c>
      <c r="Y80" s="8">
        <v>13.597799999999999</v>
      </c>
      <c r="Z80" s="8">
        <v>23.0444</v>
      </c>
      <c r="AA80" s="8">
        <v>30.029800000000002</v>
      </c>
      <c r="AB80" s="8">
        <v>28.277200000000001</v>
      </c>
      <c r="AC80" s="8">
        <v>31.450399999999998</v>
      </c>
      <c r="AD80" s="8"/>
      <c r="AE80" s="8">
        <f t="shared" si="18"/>
        <v>0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14"/>
        <v>-30.692000000000007</v>
      </c>
      <c r="M81" s="8"/>
      <c r="N81" s="8"/>
      <c r="O81" s="8">
        <v>430</v>
      </c>
      <c r="P81" s="8"/>
      <c r="Q81" s="8">
        <f t="shared" si="15"/>
        <v>27.881599999999999</v>
      </c>
      <c r="R81" s="4"/>
      <c r="S81" s="8">
        <f t="shared" si="16"/>
        <v>22.991578675542296</v>
      </c>
      <c r="T81" s="8">
        <f t="shared" si="17"/>
        <v>22.991578675542296</v>
      </c>
      <c r="U81" s="8">
        <v>50.210999999999999</v>
      </c>
      <c r="V81" s="8">
        <v>40.056600000000003</v>
      </c>
      <c r="W81" s="8">
        <v>33.135599999999997</v>
      </c>
      <c r="X81" s="8">
        <v>41.604599999999998</v>
      </c>
      <c r="Y81" s="8">
        <v>44.145400000000002</v>
      </c>
      <c r="Z81" s="8">
        <v>38.8658</v>
      </c>
      <c r="AA81" s="8">
        <v>50.016800000000003</v>
      </c>
      <c r="AB81" s="8">
        <v>41.149000000000001</v>
      </c>
      <c r="AC81" s="8">
        <v>39.247199999999999</v>
      </c>
      <c r="AD81" s="8"/>
      <c r="AE81" s="8">
        <f t="shared" si="18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14"/>
        <v>-93</v>
      </c>
      <c r="M82" s="8"/>
      <c r="N82" s="8"/>
      <c r="O82" s="8">
        <v>541</v>
      </c>
      <c r="P82" s="8"/>
      <c r="Q82" s="8">
        <f t="shared" si="15"/>
        <v>28.4</v>
      </c>
      <c r="R82" s="4"/>
      <c r="S82" s="8">
        <f t="shared" si="16"/>
        <v>22.04225352112676</v>
      </c>
      <c r="T82" s="8">
        <f t="shared" si="17"/>
        <v>22.04225352112676</v>
      </c>
      <c r="U82" s="8">
        <v>53.8</v>
      </c>
      <c r="V82" s="8">
        <v>74</v>
      </c>
      <c r="W82" s="8">
        <v>80.599999999999994</v>
      </c>
      <c r="X82" s="8">
        <v>102</v>
      </c>
      <c r="Y82" s="8">
        <v>99.4</v>
      </c>
      <c r="Z82" s="8">
        <v>83</v>
      </c>
      <c r="AA82" s="8">
        <v>99</v>
      </c>
      <c r="AB82" s="8">
        <v>89</v>
      </c>
      <c r="AC82" s="8">
        <v>63</v>
      </c>
      <c r="AD82" s="8"/>
      <c r="AE82" s="8">
        <f t="shared" si="18"/>
        <v>0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14"/>
        <v>4</v>
      </c>
      <c r="M83" s="8"/>
      <c r="N83" s="8"/>
      <c r="O83" s="8">
        <v>173</v>
      </c>
      <c r="P83" s="8"/>
      <c r="Q83" s="8">
        <f t="shared" si="15"/>
        <v>19.399999999999999</v>
      </c>
      <c r="R83" s="4"/>
      <c r="S83" s="8">
        <f t="shared" si="16"/>
        <v>8.8144329896907223</v>
      </c>
      <c r="T83" s="8">
        <f t="shared" si="17"/>
        <v>8.8144329896907223</v>
      </c>
      <c r="U83" s="8">
        <v>18</v>
      </c>
      <c r="V83" s="8">
        <v>11.2</v>
      </c>
      <c r="W83" s="8">
        <v>15.8</v>
      </c>
      <c r="X83" s="8">
        <v>10.8</v>
      </c>
      <c r="Y83" s="8">
        <v>18.399999999999999</v>
      </c>
      <c r="Z83" s="8">
        <v>18</v>
      </c>
      <c r="AA83" s="8">
        <v>13.6</v>
      </c>
      <c r="AB83" s="8">
        <v>6.4</v>
      </c>
      <c r="AC83" s="8">
        <v>13.6</v>
      </c>
      <c r="AD83" s="8"/>
      <c r="AE83" s="8">
        <f t="shared" si="18"/>
        <v>0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14"/>
        <v>-2</v>
      </c>
      <c r="M84" s="8"/>
      <c r="N84" s="8"/>
      <c r="O84" s="8">
        <v>126</v>
      </c>
      <c r="P84" s="8"/>
      <c r="Q84" s="8">
        <f t="shared" si="15"/>
        <v>8.6</v>
      </c>
      <c r="R84" s="4"/>
      <c r="S84" s="8">
        <f t="shared" si="16"/>
        <v>24.88372093023256</v>
      </c>
      <c r="T84" s="8">
        <f t="shared" si="17"/>
        <v>24.88372093023256</v>
      </c>
      <c r="U84" s="8">
        <v>17.2</v>
      </c>
      <c r="V84" s="8">
        <v>2.2000000000000002</v>
      </c>
      <c r="W84" s="8">
        <v>6</v>
      </c>
      <c r="X84" s="8">
        <v>25.2</v>
      </c>
      <c r="Y84" s="8">
        <v>5.4</v>
      </c>
      <c r="Z84" s="8">
        <v>11.6</v>
      </c>
      <c r="AA84" s="8">
        <v>13.8</v>
      </c>
      <c r="AB84" s="8">
        <v>3.4</v>
      </c>
      <c r="AC84" s="8">
        <v>0.6</v>
      </c>
      <c r="AD84" s="8"/>
      <c r="AE84" s="8">
        <f t="shared" si="18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14"/>
        <v>-44</v>
      </c>
      <c r="M85" s="8"/>
      <c r="N85" s="8"/>
      <c r="O85" s="8">
        <v>570</v>
      </c>
      <c r="P85" s="8"/>
      <c r="Q85" s="8">
        <f t="shared" si="15"/>
        <v>69.599999999999994</v>
      </c>
      <c r="R85" s="4"/>
      <c r="S85" s="8">
        <f t="shared" si="16"/>
        <v>9.655172413793105</v>
      </c>
      <c r="T85" s="8">
        <f t="shared" si="17"/>
        <v>9.655172413793105</v>
      </c>
      <c r="U85" s="8">
        <v>65</v>
      </c>
      <c r="V85" s="8">
        <v>63.2</v>
      </c>
      <c r="W85" s="8">
        <v>67.2</v>
      </c>
      <c r="X85" s="8">
        <v>80.8</v>
      </c>
      <c r="Y85" s="8">
        <v>74.400000000000006</v>
      </c>
      <c r="Z85" s="8">
        <v>71.2</v>
      </c>
      <c r="AA85" s="8">
        <v>69.2</v>
      </c>
      <c r="AB85" s="8">
        <v>69</v>
      </c>
      <c r="AC85" s="8">
        <v>58</v>
      </c>
      <c r="AD85" s="8"/>
      <c r="AE85" s="8">
        <f t="shared" si="18"/>
        <v>0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14"/>
        <v>-26</v>
      </c>
      <c r="M86" s="8"/>
      <c r="N86" s="8"/>
      <c r="O86" s="8">
        <v>679</v>
      </c>
      <c r="P86" s="8"/>
      <c r="Q86" s="8">
        <f t="shared" si="15"/>
        <v>51</v>
      </c>
      <c r="R86" s="4"/>
      <c r="S86" s="8">
        <f t="shared" si="16"/>
        <v>14.607843137254902</v>
      </c>
      <c r="T86" s="8">
        <f t="shared" si="17"/>
        <v>14.607843137254902</v>
      </c>
      <c r="U86" s="8">
        <v>70.400000000000006</v>
      </c>
      <c r="V86" s="8">
        <v>52.2</v>
      </c>
      <c r="W86" s="8">
        <v>56.6</v>
      </c>
      <c r="X86" s="8">
        <v>78.8</v>
      </c>
      <c r="Y86" s="8">
        <v>61.2</v>
      </c>
      <c r="Z86" s="8">
        <v>54.2</v>
      </c>
      <c r="AA86" s="8">
        <v>71.599999999999994</v>
      </c>
      <c r="AB86" s="8">
        <v>74.599999999999994</v>
      </c>
      <c r="AC86" s="8">
        <v>56</v>
      </c>
      <c r="AD86" s="8"/>
      <c r="AE86" s="8">
        <f t="shared" si="18"/>
        <v>0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134</v>
      </c>
      <c r="B87" s="8" t="s">
        <v>34</v>
      </c>
      <c r="C87" s="8">
        <v>87</v>
      </c>
      <c r="D87" s="8">
        <v>74</v>
      </c>
      <c r="E87" s="8">
        <v>88</v>
      </c>
      <c r="F87" s="8">
        <v>63</v>
      </c>
      <c r="G87" s="6">
        <v>0.28000000000000003</v>
      </c>
      <c r="H87" s="8">
        <v>45</v>
      </c>
      <c r="I87" s="8" t="s">
        <v>35</v>
      </c>
      <c r="J87" s="8"/>
      <c r="K87" s="8">
        <v>97</v>
      </c>
      <c r="L87" s="8">
        <f t="shared" si="14"/>
        <v>-9</v>
      </c>
      <c r="M87" s="8"/>
      <c r="N87" s="8"/>
      <c r="O87" s="8">
        <v>210</v>
      </c>
      <c r="P87" s="8"/>
      <c r="Q87" s="8">
        <f t="shared" si="15"/>
        <v>17.600000000000001</v>
      </c>
      <c r="R87" s="4"/>
      <c r="S87" s="8">
        <f t="shared" si="16"/>
        <v>15.511363636363635</v>
      </c>
      <c r="T87" s="8">
        <f t="shared" si="17"/>
        <v>15.511363636363635</v>
      </c>
      <c r="U87" s="8">
        <v>23.8</v>
      </c>
      <c r="V87" s="8">
        <v>17.600000000000001</v>
      </c>
      <c r="W87" s="8">
        <v>12.2</v>
      </c>
      <c r="X87" s="8">
        <v>26.4</v>
      </c>
      <c r="Y87" s="8">
        <v>20</v>
      </c>
      <c r="Z87" s="8">
        <v>16.399999999999999</v>
      </c>
      <c r="AA87" s="8">
        <v>18.600000000000001</v>
      </c>
      <c r="AB87" s="8">
        <v>15.8</v>
      </c>
      <c r="AC87" s="8">
        <v>14.4</v>
      </c>
      <c r="AD87" s="8"/>
      <c r="AE87" s="8">
        <f t="shared" si="18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14"/>
        <v>-56</v>
      </c>
      <c r="M88" s="8"/>
      <c r="N88" s="8"/>
      <c r="O88" s="8">
        <v>488</v>
      </c>
      <c r="P88" s="8"/>
      <c r="Q88" s="8">
        <f t="shared" si="15"/>
        <v>32</v>
      </c>
      <c r="R88" s="4"/>
      <c r="S88" s="8">
        <f t="shared" si="16"/>
        <v>15.25</v>
      </c>
      <c r="T88" s="8">
        <f t="shared" si="17"/>
        <v>15.25</v>
      </c>
      <c r="U88" s="8">
        <v>48</v>
      </c>
      <c r="V88" s="8">
        <v>34</v>
      </c>
      <c r="W88" s="8">
        <v>38.6</v>
      </c>
      <c r="X88" s="8">
        <v>62.4</v>
      </c>
      <c r="Y88" s="8">
        <v>50.2</v>
      </c>
      <c r="Z88" s="8">
        <v>32.6</v>
      </c>
      <c r="AA88" s="8">
        <v>51.4</v>
      </c>
      <c r="AB88" s="8">
        <v>46.4</v>
      </c>
      <c r="AC88" s="8">
        <v>28.4</v>
      </c>
      <c r="AD88" s="8"/>
      <c r="AE88" s="8">
        <f t="shared" si="18"/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14"/>
        <v>38</v>
      </c>
      <c r="M89" s="8"/>
      <c r="N89" s="8"/>
      <c r="O89" s="8">
        <v>554</v>
      </c>
      <c r="P89" s="8"/>
      <c r="Q89" s="8">
        <f t="shared" si="15"/>
        <v>59.4</v>
      </c>
      <c r="R89" s="4"/>
      <c r="S89" s="8">
        <f t="shared" si="16"/>
        <v>9.2929292929292924</v>
      </c>
      <c r="T89" s="8">
        <f t="shared" si="17"/>
        <v>9.2929292929292924</v>
      </c>
      <c r="U89" s="8">
        <v>55.6</v>
      </c>
      <c r="V89" s="8">
        <v>34.6</v>
      </c>
      <c r="W89" s="8">
        <v>26.4</v>
      </c>
      <c r="X89" s="8">
        <v>63</v>
      </c>
      <c r="Y89" s="8">
        <v>61.8</v>
      </c>
      <c r="Z89" s="8">
        <v>33.6</v>
      </c>
      <c r="AA89" s="8">
        <v>27.2</v>
      </c>
      <c r="AB89" s="8">
        <v>59.8</v>
      </c>
      <c r="AC89" s="8">
        <v>26.4</v>
      </c>
      <c r="AD89" s="8"/>
      <c r="AE89" s="8">
        <f t="shared" si="18"/>
        <v>0</v>
      </c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14"/>
        <v>9.0630000000000024</v>
      </c>
      <c r="M90" s="9"/>
      <c r="N90" s="9"/>
      <c r="O90" s="9">
        <v>0</v>
      </c>
      <c r="P90" s="9"/>
      <c r="Q90" s="9">
        <f t="shared" si="15"/>
        <v>8.2726000000000006</v>
      </c>
      <c r="R90" s="11"/>
      <c r="S90" s="9">
        <f t="shared" si="16"/>
        <v>5.9597949858569246</v>
      </c>
      <c r="T90" s="9">
        <f t="shared" si="17"/>
        <v>5.9597949858569246</v>
      </c>
      <c r="U90" s="9">
        <v>12.144600000000001</v>
      </c>
      <c r="V90" s="9">
        <v>10.204599999999999</v>
      </c>
      <c r="W90" s="9">
        <v>5.8887999999999998</v>
      </c>
      <c r="X90" s="9">
        <v>9.9792000000000005</v>
      </c>
      <c r="Y90" s="9">
        <v>2.3894000000000002</v>
      </c>
      <c r="Z90" s="9">
        <v>11.3804</v>
      </c>
      <c r="AA90" s="9">
        <v>10.7052</v>
      </c>
      <c r="AB90" s="9">
        <v>6.6440000000000001</v>
      </c>
      <c r="AC90" s="9">
        <v>6.9550000000000001</v>
      </c>
      <c r="AD90" s="9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14"/>
        <v>0</v>
      </c>
      <c r="M91" s="9"/>
      <c r="N91" s="9"/>
      <c r="O91" s="9">
        <v>0</v>
      </c>
      <c r="P91" s="9"/>
      <c r="Q91" s="9">
        <f t="shared" si="15"/>
        <v>5</v>
      </c>
      <c r="R91" s="11"/>
      <c r="S91" s="9">
        <f t="shared" si="16"/>
        <v>-0.4</v>
      </c>
      <c r="T91" s="9">
        <f t="shared" si="17"/>
        <v>-0.4</v>
      </c>
      <c r="U91" s="9">
        <v>8.6</v>
      </c>
      <c r="V91" s="9">
        <v>3.2</v>
      </c>
      <c r="W91" s="9">
        <v>5.4</v>
      </c>
      <c r="X91" s="9">
        <v>6.6</v>
      </c>
      <c r="Y91" s="9">
        <v>2.8</v>
      </c>
      <c r="Z91" s="9">
        <v>4</v>
      </c>
      <c r="AA91" s="9">
        <v>7.6</v>
      </c>
      <c r="AB91" s="9">
        <v>1.8</v>
      </c>
      <c r="AC91" s="9">
        <v>11</v>
      </c>
      <c r="AD91" s="9" t="s">
        <v>56</v>
      </c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139</v>
      </c>
      <c r="B92" s="8" t="s">
        <v>34</v>
      </c>
      <c r="C92" s="8">
        <v>6</v>
      </c>
      <c r="D92" s="8"/>
      <c r="E92" s="8">
        <v>3</v>
      </c>
      <c r="F92" s="8"/>
      <c r="G92" s="6">
        <v>0.33</v>
      </c>
      <c r="H92" s="8">
        <v>30</v>
      </c>
      <c r="I92" s="8" t="s">
        <v>35</v>
      </c>
      <c r="J92" s="8"/>
      <c r="K92" s="8">
        <v>26</v>
      </c>
      <c r="L92" s="8">
        <f t="shared" si="14"/>
        <v>-23</v>
      </c>
      <c r="M92" s="8"/>
      <c r="N92" s="8"/>
      <c r="O92" s="8">
        <v>13</v>
      </c>
      <c r="P92" s="8"/>
      <c r="Q92" s="8">
        <f t="shared" si="15"/>
        <v>0.6</v>
      </c>
      <c r="R92" s="4"/>
      <c r="S92" s="8">
        <f t="shared" si="16"/>
        <v>21.666666666666668</v>
      </c>
      <c r="T92" s="8">
        <f t="shared" si="17"/>
        <v>21.666666666666668</v>
      </c>
      <c r="U92" s="8">
        <v>1.4</v>
      </c>
      <c r="V92" s="8">
        <v>6.6</v>
      </c>
      <c r="W92" s="8">
        <v>21.2</v>
      </c>
      <c r="X92" s="8">
        <v>6.8</v>
      </c>
      <c r="Y92" s="8">
        <v>-1.2</v>
      </c>
      <c r="Z92" s="8">
        <v>22.2</v>
      </c>
      <c r="AA92" s="8">
        <v>1</v>
      </c>
      <c r="AB92" s="8">
        <v>-0.2</v>
      </c>
      <c r="AC92" s="8">
        <v>5</v>
      </c>
      <c r="AD92" s="8"/>
      <c r="AE92" s="8">
        <f>G92*R92</f>
        <v>0</v>
      </c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14"/>
        <v>-10</v>
      </c>
      <c r="M93" s="9"/>
      <c r="N93" s="9"/>
      <c r="O93" s="9">
        <v>0</v>
      </c>
      <c r="P93" s="9"/>
      <c r="Q93" s="9">
        <f t="shared" si="15"/>
        <v>5.6</v>
      </c>
      <c r="R93" s="11"/>
      <c r="S93" s="9">
        <f t="shared" si="16"/>
        <v>6.25</v>
      </c>
      <c r="T93" s="9">
        <f t="shared" si="17"/>
        <v>6.25</v>
      </c>
      <c r="U93" s="9">
        <v>7.2</v>
      </c>
      <c r="V93" s="9">
        <v>6.4</v>
      </c>
      <c r="W93" s="9">
        <v>9.1999999999999993</v>
      </c>
      <c r="X93" s="9">
        <v>4.2</v>
      </c>
      <c r="Y93" s="9">
        <v>6.2</v>
      </c>
      <c r="Z93" s="9">
        <v>10.6</v>
      </c>
      <c r="AA93" s="9">
        <v>5.8</v>
      </c>
      <c r="AB93" s="9">
        <v>7.2</v>
      </c>
      <c r="AC93" s="9">
        <v>7.8</v>
      </c>
      <c r="AD93" s="9" t="s">
        <v>142</v>
      </c>
      <c r="AE93" s="9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14"/>
        <v>0.40800000000000014</v>
      </c>
      <c r="M94" s="8"/>
      <c r="N94" s="8"/>
      <c r="O94" s="8">
        <v>0</v>
      </c>
      <c r="P94" s="8"/>
      <c r="Q94" s="8">
        <f t="shared" si="15"/>
        <v>0.36160000000000003</v>
      </c>
      <c r="R94" s="4"/>
      <c r="S94" s="8">
        <f t="shared" si="16"/>
        <v>131.49889380530971</v>
      </c>
      <c r="T94" s="8">
        <f t="shared" si="17"/>
        <v>131.49889380530971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 t="s">
        <v>71</v>
      </c>
      <c r="AE94" s="8">
        <f>G94*R94</f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14"/>
        <v>5</v>
      </c>
      <c r="M95" s="8"/>
      <c r="N95" s="8"/>
      <c r="O95" s="8">
        <v>316</v>
      </c>
      <c r="P95" s="8"/>
      <c r="Q95" s="8">
        <f t="shared" si="15"/>
        <v>19</v>
      </c>
      <c r="R95" s="4"/>
      <c r="S95" s="8">
        <f t="shared" si="16"/>
        <v>17.894736842105264</v>
      </c>
      <c r="T95" s="8">
        <f t="shared" si="17"/>
        <v>17.894736842105264</v>
      </c>
      <c r="U95" s="8">
        <v>32.4</v>
      </c>
      <c r="V95" s="8">
        <v>15.4</v>
      </c>
      <c r="W95" s="8">
        <v>20.6</v>
      </c>
      <c r="X95" s="8">
        <v>31</v>
      </c>
      <c r="Y95" s="8">
        <v>5.4</v>
      </c>
      <c r="Z95" s="8">
        <v>26.6</v>
      </c>
      <c r="AA95" s="8">
        <v>25.8</v>
      </c>
      <c r="AB95" s="8">
        <v>19.600000000000001</v>
      </c>
      <c r="AC95" s="8">
        <v>2.4</v>
      </c>
      <c r="AD95" s="8"/>
      <c r="AE95" s="8">
        <f>G95*R95</f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14"/>
        <v>-51</v>
      </c>
      <c r="M96" s="9"/>
      <c r="N96" s="9"/>
      <c r="O96" s="9">
        <v>0</v>
      </c>
      <c r="P96" s="9"/>
      <c r="Q96" s="9">
        <f t="shared" si="15"/>
        <v>12.6</v>
      </c>
      <c r="R96" s="11"/>
      <c r="S96" s="9">
        <f t="shared" si="16"/>
        <v>1.1111111111111112</v>
      </c>
      <c r="T96" s="9">
        <f t="shared" si="17"/>
        <v>1.1111111111111112</v>
      </c>
      <c r="U96" s="9">
        <v>8.8000000000000007</v>
      </c>
      <c r="V96" s="9">
        <v>8</v>
      </c>
      <c r="W96" s="9">
        <v>11</v>
      </c>
      <c r="X96" s="9">
        <v>1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14"/>
        <v>0</v>
      </c>
      <c r="M97" s="9"/>
      <c r="N97" s="9"/>
      <c r="O97" s="9">
        <v>0</v>
      </c>
      <c r="P97" s="9"/>
      <c r="Q97" s="9">
        <f t="shared" si="15"/>
        <v>2.2000000000000002</v>
      </c>
      <c r="R97" s="11"/>
      <c r="S97" s="9">
        <f t="shared" si="16"/>
        <v>31.36363636363636</v>
      </c>
      <c r="T97" s="9">
        <f t="shared" si="17"/>
        <v>31.36363636363636</v>
      </c>
      <c r="U97" s="9">
        <v>2.8</v>
      </c>
      <c r="V97" s="9">
        <v>3.6</v>
      </c>
      <c r="W97" s="9">
        <v>8</v>
      </c>
      <c r="X97" s="9">
        <v>0.8</v>
      </c>
      <c r="Y97" s="9">
        <v>2.6</v>
      </c>
      <c r="Z97" s="9">
        <v>8</v>
      </c>
      <c r="AA97" s="9">
        <v>0.4</v>
      </c>
      <c r="AB97" s="9">
        <v>0</v>
      </c>
      <c r="AC97" s="9">
        <v>3</v>
      </c>
      <c r="AD97" s="9" t="s">
        <v>58</v>
      </c>
      <c r="AE97" s="9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147</v>
      </c>
      <c r="B98" s="8" t="s">
        <v>34</v>
      </c>
      <c r="C98" s="8">
        <v>138</v>
      </c>
      <c r="D98" s="8"/>
      <c r="E98" s="8">
        <v>24</v>
      </c>
      <c r="F98" s="8">
        <v>114</v>
      </c>
      <c r="G98" s="6">
        <v>0.3</v>
      </c>
      <c r="H98" s="8">
        <v>45</v>
      </c>
      <c r="I98" s="8" t="s">
        <v>35</v>
      </c>
      <c r="J98" s="8"/>
      <c r="K98" s="8">
        <v>24</v>
      </c>
      <c r="L98" s="8">
        <f t="shared" si="14"/>
        <v>0</v>
      </c>
      <c r="M98" s="8"/>
      <c r="N98" s="8"/>
      <c r="O98" s="8">
        <v>205</v>
      </c>
      <c r="P98" s="8"/>
      <c r="Q98" s="8">
        <f t="shared" si="15"/>
        <v>4.8</v>
      </c>
      <c r="R98" s="4"/>
      <c r="S98" s="8">
        <f t="shared" si="16"/>
        <v>66.458333333333343</v>
      </c>
      <c r="T98" s="8">
        <f t="shared" si="17"/>
        <v>66.458333333333343</v>
      </c>
      <c r="U98" s="8">
        <v>28.4</v>
      </c>
      <c r="V98" s="8">
        <v>9</v>
      </c>
      <c r="W98" s="8">
        <v>1.8</v>
      </c>
      <c r="X98" s="8">
        <v>0</v>
      </c>
      <c r="Y98" s="8">
        <v>20.399999999999999</v>
      </c>
      <c r="Z98" s="8">
        <v>15.6</v>
      </c>
      <c r="AA98" s="8">
        <v>10.4</v>
      </c>
      <c r="AB98" s="8">
        <v>9.4</v>
      </c>
      <c r="AC98" s="8">
        <v>3.2</v>
      </c>
      <c r="AD98" s="8" t="s">
        <v>148</v>
      </c>
      <c r="AE98" s="8">
        <f t="shared" ref="AE98:AE112" si="19">G98*R98</f>
        <v>0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 t="s">
        <v>149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14"/>
        <v>-4</v>
      </c>
      <c r="M99" s="8"/>
      <c r="N99" s="8"/>
      <c r="O99" s="8">
        <v>117</v>
      </c>
      <c r="P99" s="8"/>
      <c r="Q99" s="8">
        <f t="shared" si="15"/>
        <v>42.4</v>
      </c>
      <c r="R99" s="4"/>
      <c r="S99" s="8">
        <f t="shared" si="16"/>
        <v>8.2547169811320753</v>
      </c>
      <c r="T99" s="8">
        <f t="shared" si="17"/>
        <v>8.2547169811320753</v>
      </c>
      <c r="U99" s="8">
        <v>38.200000000000003</v>
      </c>
      <c r="V99" s="8">
        <v>45.6</v>
      </c>
      <c r="W99" s="8">
        <v>49.6</v>
      </c>
      <c r="X99" s="8">
        <v>48.2</v>
      </c>
      <c r="Y99" s="8">
        <v>46</v>
      </c>
      <c r="Z99" s="8">
        <v>50</v>
      </c>
      <c r="AA99" s="8">
        <v>48</v>
      </c>
      <c r="AB99" s="8">
        <v>44.6</v>
      </c>
      <c r="AC99" s="8">
        <v>16.8</v>
      </c>
      <c r="AD99" s="8"/>
      <c r="AE99" s="8">
        <f t="shared" si="19"/>
        <v>0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150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14"/>
        <v>-15</v>
      </c>
      <c r="M100" s="8"/>
      <c r="N100" s="8"/>
      <c r="O100" s="8">
        <v>170</v>
      </c>
      <c r="P100" s="8"/>
      <c r="Q100" s="8">
        <f t="shared" si="15"/>
        <v>4.4000000000000004</v>
      </c>
      <c r="R100" s="4"/>
      <c r="S100" s="8">
        <f t="shared" si="16"/>
        <v>37.727272727272727</v>
      </c>
      <c r="T100" s="8">
        <f t="shared" si="17"/>
        <v>37.727272727272727</v>
      </c>
      <c r="U100" s="8">
        <v>17.399999999999999</v>
      </c>
      <c r="V100" s="8">
        <v>13.8</v>
      </c>
      <c r="W100" s="8">
        <v>12.2</v>
      </c>
      <c r="X100" s="8">
        <v>16.600000000000001</v>
      </c>
      <c r="Y100" s="8">
        <v>23.6</v>
      </c>
      <c r="Z100" s="8">
        <v>6</v>
      </c>
      <c r="AA100" s="8">
        <v>24.6</v>
      </c>
      <c r="AB100" s="8">
        <v>25</v>
      </c>
      <c r="AC100" s="8">
        <v>7.4</v>
      </c>
      <c r="AD100" s="8"/>
      <c r="AE100" s="8">
        <f t="shared" si="19"/>
        <v>0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151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14"/>
        <v>-3</v>
      </c>
      <c r="M101" s="8"/>
      <c r="N101" s="8"/>
      <c r="O101" s="8">
        <v>0</v>
      </c>
      <c r="P101" s="8"/>
      <c r="Q101" s="8">
        <f t="shared" si="15"/>
        <v>8.1999999999999993</v>
      </c>
      <c r="R101" s="4"/>
      <c r="S101" s="8">
        <f t="shared" si="16"/>
        <v>12.439024390243903</v>
      </c>
      <c r="T101" s="8">
        <f t="shared" si="17"/>
        <v>12.439024390243903</v>
      </c>
      <c r="U101" s="8">
        <v>3.2</v>
      </c>
      <c r="V101" s="8">
        <v>1.8</v>
      </c>
      <c r="W101" s="8">
        <v>4</v>
      </c>
      <c r="X101" s="8">
        <v>34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/>
      <c r="AE101" s="8">
        <f t="shared" si="19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 t="s">
        <v>152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33" si="20">E102-K102</f>
        <v>-1</v>
      </c>
      <c r="M102" s="8"/>
      <c r="N102" s="8"/>
      <c r="O102" s="8">
        <v>42</v>
      </c>
      <c r="P102" s="8"/>
      <c r="Q102" s="8">
        <f t="shared" ref="Q102:Q113" si="21">E102/5</f>
        <v>4.4000000000000004</v>
      </c>
      <c r="R102" s="4"/>
      <c r="S102" s="8">
        <f t="shared" ref="S102:S133" si="22">(F102+O102+P102+R102)/Q102</f>
        <v>9.545454545454545</v>
      </c>
      <c r="T102" s="8">
        <f t="shared" ref="T102:T113" si="23">(F102+O102+P102)/Q102</f>
        <v>9.545454545454545</v>
      </c>
      <c r="U102" s="8">
        <v>4</v>
      </c>
      <c r="V102" s="8">
        <v>0</v>
      </c>
      <c r="W102" s="8">
        <v>0</v>
      </c>
      <c r="X102" s="8">
        <v>0</v>
      </c>
      <c r="Y102" s="8">
        <v>0</v>
      </c>
      <c r="Z102" s="8">
        <v>7.2</v>
      </c>
      <c r="AA102" s="8">
        <v>10.4</v>
      </c>
      <c r="AB102" s="8">
        <v>5.6</v>
      </c>
      <c r="AC102" s="8">
        <v>7</v>
      </c>
      <c r="AD102" s="8"/>
      <c r="AE102" s="8">
        <f t="shared" si="19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 t="s">
        <v>153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20"/>
        <v>0</v>
      </c>
      <c r="M103" s="8"/>
      <c r="N103" s="8"/>
      <c r="O103" s="8">
        <v>184</v>
      </c>
      <c r="P103" s="8"/>
      <c r="Q103" s="8">
        <f t="shared" si="21"/>
        <v>5.6</v>
      </c>
      <c r="R103" s="4"/>
      <c r="S103" s="8">
        <f t="shared" si="22"/>
        <v>39.107142857142861</v>
      </c>
      <c r="T103" s="8">
        <f t="shared" si="23"/>
        <v>39.107142857142861</v>
      </c>
      <c r="U103" s="8">
        <v>18.600000000000001</v>
      </c>
      <c r="V103" s="8">
        <v>11.8</v>
      </c>
      <c r="W103" s="8">
        <v>9.4</v>
      </c>
      <c r="X103" s="8">
        <v>3.4</v>
      </c>
      <c r="Y103" s="8">
        <v>2</v>
      </c>
      <c r="Z103" s="8">
        <v>11.4</v>
      </c>
      <c r="AA103" s="8">
        <v>9.1999999999999993</v>
      </c>
      <c r="AB103" s="8">
        <v>6.8</v>
      </c>
      <c r="AC103" s="8">
        <v>5.4</v>
      </c>
      <c r="AD103" s="8"/>
      <c r="AE103" s="8">
        <f t="shared" si="19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154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20"/>
        <v>-3.4800000000000004</v>
      </c>
      <c r="M104" s="8"/>
      <c r="N104" s="8"/>
      <c r="O104" s="8">
        <v>0</v>
      </c>
      <c r="P104" s="8"/>
      <c r="Q104" s="8">
        <f t="shared" si="21"/>
        <v>4.0039999999999996</v>
      </c>
      <c r="R104" s="4"/>
      <c r="S104" s="8">
        <f t="shared" si="22"/>
        <v>-3.246753246753247E-3</v>
      </c>
      <c r="T104" s="8">
        <f t="shared" si="23"/>
        <v>-3.246753246753247E-3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/>
      <c r="AE104" s="8">
        <f t="shared" si="19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155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20"/>
        <v>-53</v>
      </c>
      <c r="M105" s="8"/>
      <c r="N105" s="8"/>
      <c r="O105" s="8">
        <v>192</v>
      </c>
      <c r="P105" s="8"/>
      <c r="Q105" s="8">
        <f t="shared" si="21"/>
        <v>0.6</v>
      </c>
      <c r="R105" s="4"/>
      <c r="S105" s="8">
        <f t="shared" si="22"/>
        <v>320</v>
      </c>
      <c r="T105" s="8">
        <f t="shared" si="23"/>
        <v>320</v>
      </c>
      <c r="U105" s="8">
        <v>19.2</v>
      </c>
      <c r="V105" s="8">
        <v>23.8</v>
      </c>
      <c r="W105" s="8">
        <v>11</v>
      </c>
      <c r="X105" s="8">
        <v>7.6</v>
      </c>
      <c r="Y105" s="8">
        <v>12.2</v>
      </c>
      <c r="Z105" s="8">
        <v>0</v>
      </c>
      <c r="AA105" s="8">
        <v>0</v>
      </c>
      <c r="AB105" s="8">
        <v>0</v>
      </c>
      <c r="AC105" s="8">
        <v>0</v>
      </c>
      <c r="AD105" s="8" t="s">
        <v>156</v>
      </c>
      <c r="AE105" s="8">
        <f t="shared" si="19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20"/>
        <v>5</v>
      </c>
      <c r="M106" s="8"/>
      <c r="N106" s="8"/>
      <c r="O106" s="8">
        <v>0</v>
      </c>
      <c r="P106" s="8"/>
      <c r="Q106" s="8">
        <f t="shared" si="21"/>
        <v>4</v>
      </c>
      <c r="R106" s="4"/>
      <c r="S106" s="8">
        <f t="shared" si="22"/>
        <v>25.5</v>
      </c>
      <c r="T106" s="8">
        <f t="shared" si="23"/>
        <v>25.5</v>
      </c>
      <c r="U106" s="8">
        <v>2.8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 t="s">
        <v>157</v>
      </c>
      <c r="AE106" s="8">
        <f t="shared" si="19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20"/>
        <v>28</v>
      </c>
      <c r="M107" s="8"/>
      <c r="N107" s="8"/>
      <c r="O107" s="8">
        <v>45</v>
      </c>
      <c r="P107" s="8"/>
      <c r="Q107" s="8">
        <f t="shared" si="21"/>
        <v>5.6</v>
      </c>
      <c r="R107" s="4"/>
      <c r="S107" s="8">
        <f t="shared" si="22"/>
        <v>14.285714285714286</v>
      </c>
      <c r="T107" s="8">
        <f t="shared" si="23"/>
        <v>14.285714285714286</v>
      </c>
      <c r="U107" s="8">
        <v>7.2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 t="s">
        <v>158</v>
      </c>
      <c r="AE107" s="8">
        <f t="shared" si="19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20"/>
        <v>195</v>
      </c>
      <c r="M108" s="8"/>
      <c r="N108" s="8"/>
      <c r="O108" s="8">
        <v>265</v>
      </c>
      <c r="P108" s="8"/>
      <c r="Q108" s="8">
        <f t="shared" si="21"/>
        <v>39</v>
      </c>
      <c r="R108" s="4"/>
      <c r="S108" s="8">
        <f t="shared" si="22"/>
        <v>6.8974358974358978</v>
      </c>
      <c r="T108" s="8">
        <f t="shared" si="23"/>
        <v>6.8974358974358978</v>
      </c>
      <c r="U108" s="8">
        <v>39.799999999999997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 t="s">
        <v>159</v>
      </c>
      <c r="AE108" s="8">
        <f t="shared" si="19"/>
        <v>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20"/>
        <v>2</v>
      </c>
      <c r="M109" s="8"/>
      <c r="N109" s="8"/>
      <c r="O109" s="8">
        <v>0</v>
      </c>
      <c r="P109" s="8"/>
      <c r="Q109" s="8">
        <f t="shared" si="21"/>
        <v>0.8</v>
      </c>
      <c r="R109" s="4"/>
      <c r="S109" s="8">
        <f t="shared" si="22"/>
        <v>131.25</v>
      </c>
      <c r="T109" s="8">
        <f t="shared" si="23"/>
        <v>131.25</v>
      </c>
      <c r="U109" s="8">
        <v>9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 t="s">
        <v>160</v>
      </c>
      <c r="AE109" s="8">
        <f t="shared" si="19"/>
        <v>0</v>
      </c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20"/>
        <v>-2</v>
      </c>
      <c r="M110" s="8"/>
      <c r="N110" s="8"/>
      <c r="O110" s="8">
        <v>0</v>
      </c>
      <c r="P110" s="8"/>
      <c r="Q110" s="8">
        <f t="shared" si="21"/>
        <v>16.8</v>
      </c>
      <c r="R110" s="4"/>
      <c r="S110" s="8">
        <f t="shared" si="22"/>
        <v>21.369047619047617</v>
      </c>
      <c r="T110" s="8">
        <f t="shared" si="23"/>
        <v>21.369047619047617</v>
      </c>
      <c r="U110" s="8">
        <v>27.4</v>
      </c>
      <c r="V110" s="8">
        <v>8.8000000000000007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 t="s">
        <v>161</v>
      </c>
      <c r="AE110" s="8">
        <f t="shared" si="19"/>
        <v>0</v>
      </c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 t="s">
        <v>162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20"/>
        <v>0</v>
      </c>
      <c r="M111" s="8"/>
      <c r="N111" s="8"/>
      <c r="O111" s="8">
        <v>100</v>
      </c>
      <c r="P111" s="8"/>
      <c r="Q111" s="8">
        <f t="shared" si="21"/>
        <v>0</v>
      </c>
      <c r="R111" s="4"/>
      <c r="S111" s="8" t="e">
        <f t="shared" si="22"/>
        <v>#DIV/0!</v>
      </c>
      <c r="T111" s="8" t="e">
        <f t="shared" si="23"/>
        <v>#DIV/0!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 t="s">
        <v>163</v>
      </c>
      <c r="AE111" s="8">
        <f t="shared" si="19"/>
        <v>0</v>
      </c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 t="s">
        <v>164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20"/>
        <v>0</v>
      </c>
      <c r="M112" s="8"/>
      <c r="N112" s="8"/>
      <c r="O112" s="8">
        <v>100</v>
      </c>
      <c r="P112" s="8"/>
      <c r="Q112" s="8">
        <f t="shared" si="21"/>
        <v>0</v>
      </c>
      <c r="R112" s="4"/>
      <c r="S112" s="8" t="e">
        <f t="shared" si="22"/>
        <v>#DIV/0!</v>
      </c>
      <c r="T112" s="8" t="e">
        <f t="shared" si="23"/>
        <v>#DIV/0!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 t="s">
        <v>163</v>
      </c>
      <c r="AE112" s="8">
        <f t="shared" si="19"/>
        <v>0</v>
      </c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9" t="s">
        <v>165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166</v>
      </c>
      <c r="J113" s="9" t="s">
        <v>114</v>
      </c>
      <c r="K113" s="9"/>
      <c r="L113" s="9">
        <f t="shared" si="20"/>
        <v>0</v>
      </c>
      <c r="M113" s="9"/>
      <c r="N113" s="9"/>
      <c r="O113" s="9">
        <v>0</v>
      </c>
      <c r="P113" s="9"/>
      <c r="Q113" s="9">
        <f t="shared" si="21"/>
        <v>0</v>
      </c>
      <c r="R113" s="11"/>
      <c r="S113" s="9" t="e">
        <f t="shared" si="22"/>
        <v>#DIV/0!</v>
      </c>
      <c r="T113" s="9" t="e">
        <f t="shared" si="23"/>
        <v>#DIV/0!</v>
      </c>
      <c r="U113" s="9">
        <v>0</v>
      </c>
      <c r="V113" s="9">
        <v>0</v>
      </c>
      <c r="W113" s="9">
        <v>0</v>
      </c>
      <c r="X113" s="9">
        <v>2.2000000000000002</v>
      </c>
      <c r="Y113" s="9">
        <v>2.8</v>
      </c>
      <c r="Z113" s="9">
        <v>0</v>
      </c>
      <c r="AA113" s="9">
        <v>0</v>
      </c>
      <c r="AB113" s="9">
        <v>2.2000000000000002</v>
      </c>
      <c r="AC113" s="9">
        <v>3.2</v>
      </c>
      <c r="AD113" s="9"/>
      <c r="AE113" s="9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E11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2026-07-27T12:43:53Z</dcterms:created>
  <dcterms:modified xsi:type="dcterms:W3CDTF">2026-07-27T12:51:12Z</dcterms:modified>
</cp:coreProperties>
</file>