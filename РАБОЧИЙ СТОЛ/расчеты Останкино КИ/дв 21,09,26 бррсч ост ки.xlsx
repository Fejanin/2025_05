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90D493AC-7FFA-48A3-8F9C-B3B79E501C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Sheet!$A$3:$AJ$119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24" i="1" l="1"/>
  <c r="AK27" i="1"/>
  <c r="AK33" i="1"/>
  <c r="AK35" i="1"/>
  <c r="AK36" i="1"/>
  <c r="AK37" i="1"/>
  <c r="AK38" i="1"/>
  <c r="AK39" i="1"/>
  <c r="AK43" i="1"/>
  <c r="AK50" i="1"/>
  <c r="AK51" i="1"/>
  <c r="AK57" i="1"/>
  <c r="AK59" i="1"/>
  <c r="AK61" i="1"/>
  <c r="AK75" i="1"/>
  <c r="AK77" i="1"/>
  <c r="AK81" i="1"/>
  <c r="AK86" i="1"/>
  <c r="AK89" i="1"/>
  <c r="AK91" i="1"/>
  <c r="AK92" i="1"/>
  <c r="AK108" i="1"/>
  <c r="AK110" i="1"/>
  <c r="AK111" i="1"/>
  <c r="AK114" i="1"/>
  <c r="AK117" i="1"/>
  <c r="AK119" i="1"/>
  <c r="AJ24" i="1"/>
  <c r="AJ27" i="1"/>
  <c r="AJ29" i="1"/>
  <c r="AJ33" i="1"/>
  <c r="AJ35" i="1"/>
  <c r="AJ36" i="1"/>
  <c r="AJ37" i="1"/>
  <c r="AJ38" i="1"/>
  <c r="AJ39" i="1"/>
  <c r="AJ43" i="1"/>
  <c r="AJ50" i="1"/>
  <c r="AJ51" i="1"/>
  <c r="AJ57" i="1"/>
  <c r="AJ59" i="1"/>
  <c r="AJ61" i="1"/>
  <c r="AJ75" i="1"/>
  <c r="AJ77" i="1"/>
  <c r="AJ81" i="1"/>
  <c r="AJ86" i="1"/>
  <c r="AJ89" i="1"/>
  <c r="AJ91" i="1"/>
  <c r="AJ92" i="1"/>
  <c r="AJ108" i="1"/>
  <c r="AJ110" i="1"/>
  <c r="AJ111" i="1"/>
  <c r="AJ114" i="1"/>
  <c r="AJ117" i="1"/>
  <c r="AJ119" i="1"/>
  <c r="T7" i="1"/>
  <c r="V7" i="1" s="1"/>
  <c r="T8" i="1"/>
  <c r="T9" i="1"/>
  <c r="V9" i="1" s="1"/>
  <c r="T10" i="1"/>
  <c r="V10" i="1" s="1"/>
  <c r="T11" i="1"/>
  <c r="V11" i="1" s="1"/>
  <c r="T12" i="1"/>
  <c r="T13" i="1"/>
  <c r="V13" i="1" s="1"/>
  <c r="T14" i="1"/>
  <c r="V14" i="1" s="1"/>
  <c r="T15" i="1"/>
  <c r="V15" i="1" s="1"/>
  <c r="T16" i="1"/>
  <c r="V16" i="1" s="1"/>
  <c r="U16" i="1" s="1"/>
  <c r="AJ16" i="1" s="1"/>
  <c r="T17" i="1"/>
  <c r="V17" i="1" s="1"/>
  <c r="T18" i="1"/>
  <c r="V18" i="1" s="1"/>
  <c r="T19" i="1"/>
  <c r="T20" i="1"/>
  <c r="T21" i="1"/>
  <c r="V21" i="1" s="1"/>
  <c r="T22" i="1"/>
  <c r="V22" i="1" s="1"/>
  <c r="T23" i="1"/>
  <c r="V23" i="1" s="1"/>
  <c r="T24" i="1"/>
  <c r="T25" i="1"/>
  <c r="V25" i="1" s="1"/>
  <c r="T26" i="1"/>
  <c r="T27" i="1"/>
  <c r="T28" i="1"/>
  <c r="T29" i="1"/>
  <c r="V29" i="1" s="1"/>
  <c r="T30" i="1"/>
  <c r="T31" i="1"/>
  <c r="V31" i="1" s="1"/>
  <c r="T32" i="1"/>
  <c r="T33" i="1"/>
  <c r="T34" i="1"/>
  <c r="T35" i="1"/>
  <c r="T36" i="1"/>
  <c r="T37" i="1"/>
  <c r="T38" i="1"/>
  <c r="T39" i="1"/>
  <c r="T40" i="1"/>
  <c r="V40" i="1" s="1"/>
  <c r="T41" i="1"/>
  <c r="T42" i="1"/>
  <c r="V42" i="1" s="1"/>
  <c r="U42" i="1" s="1"/>
  <c r="AJ42" i="1" s="1"/>
  <c r="T43" i="1"/>
  <c r="T44" i="1"/>
  <c r="V44" i="1" s="1"/>
  <c r="U44" i="1" s="1"/>
  <c r="AJ44" i="1" s="1"/>
  <c r="T45" i="1"/>
  <c r="T46" i="1"/>
  <c r="V46" i="1" s="1"/>
  <c r="T47" i="1"/>
  <c r="T48" i="1"/>
  <c r="V48" i="1" s="1"/>
  <c r="U48" i="1" s="1"/>
  <c r="AJ48" i="1" s="1"/>
  <c r="T49" i="1"/>
  <c r="T50" i="1"/>
  <c r="T51" i="1"/>
  <c r="T52" i="1"/>
  <c r="V52" i="1" s="1"/>
  <c r="T53" i="1"/>
  <c r="V53" i="1" s="1"/>
  <c r="T54" i="1"/>
  <c r="V54" i="1" s="1"/>
  <c r="U54" i="1" s="1"/>
  <c r="T55" i="1"/>
  <c r="V55" i="1" s="1"/>
  <c r="T56" i="1"/>
  <c r="T57" i="1"/>
  <c r="T58" i="1"/>
  <c r="V58" i="1" s="1"/>
  <c r="T59" i="1"/>
  <c r="T60" i="1"/>
  <c r="T61" i="1"/>
  <c r="T62" i="1"/>
  <c r="V62" i="1" s="1"/>
  <c r="T63" i="1"/>
  <c r="T64" i="1"/>
  <c r="V64" i="1" s="1"/>
  <c r="U64" i="1" s="1"/>
  <c r="AJ64" i="1" s="1"/>
  <c r="T65" i="1"/>
  <c r="V65" i="1" s="1"/>
  <c r="T66" i="1"/>
  <c r="V66" i="1" s="1"/>
  <c r="T67" i="1"/>
  <c r="V67" i="1" s="1"/>
  <c r="T68" i="1"/>
  <c r="T69" i="1"/>
  <c r="V69" i="1" s="1"/>
  <c r="T70" i="1"/>
  <c r="T71" i="1"/>
  <c r="T72" i="1"/>
  <c r="T73" i="1"/>
  <c r="T74" i="1"/>
  <c r="V74" i="1" s="1"/>
  <c r="T75" i="1"/>
  <c r="T76" i="1"/>
  <c r="V76" i="1" s="1"/>
  <c r="T77" i="1"/>
  <c r="T78" i="1"/>
  <c r="T79" i="1"/>
  <c r="T80" i="1"/>
  <c r="V80" i="1" s="1"/>
  <c r="U80" i="1" s="1"/>
  <c r="AJ80" i="1" s="1"/>
  <c r="T81" i="1"/>
  <c r="T82" i="1"/>
  <c r="V82" i="1" s="1"/>
  <c r="U82" i="1" s="1"/>
  <c r="AJ82" i="1" s="1"/>
  <c r="T83" i="1"/>
  <c r="T84" i="1"/>
  <c r="V84" i="1" s="1"/>
  <c r="T85" i="1"/>
  <c r="T86" i="1"/>
  <c r="T87" i="1"/>
  <c r="T88" i="1"/>
  <c r="T89" i="1"/>
  <c r="T90" i="1"/>
  <c r="V90" i="1" s="1"/>
  <c r="T91" i="1"/>
  <c r="T92" i="1"/>
  <c r="T93" i="1"/>
  <c r="T94" i="1"/>
  <c r="T95" i="1"/>
  <c r="V95" i="1" s="1"/>
  <c r="T96" i="1"/>
  <c r="T97" i="1"/>
  <c r="T98" i="1"/>
  <c r="T99" i="1"/>
  <c r="T100" i="1"/>
  <c r="T101" i="1"/>
  <c r="T102" i="1"/>
  <c r="T103" i="1"/>
  <c r="V103" i="1" s="1"/>
  <c r="T104" i="1"/>
  <c r="T105" i="1"/>
  <c r="V105" i="1" s="1"/>
  <c r="T106" i="1"/>
  <c r="T107" i="1"/>
  <c r="V107" i="1" s="1"/>
  <c r="T108" i="1"/>
  <c r="T109" i="1"/>
  <c r="V109" i="1" s="1"/>
  <c r="T110" i="1"/>
  <c r="T111" i="1"/>
  <c r="T112" i="1"/>
  <c r="T113" i="1"/>
  <c r="V113" i="1" s="1"/>
  <c r="T114" i="1"/>
  <c r="T115" i="1"/>
  <c r="T116" i="1"/>
  <c r="V116" i="1" s="1"/>
  <c r="U116" i="1" s="1"/>
  <c r="AJ116" i="1" s="1"/>
  <c r="T117" i="1"/>
  <c r="T118" i="1"/>
  <c r="T119" i="1"/>
  <c r="T6" i="1"/>
  <c r="V6" i="1" s="1"/>
  <c r="U6" i="1" s="1"/>
  <c r="AJ6" i="1" s="1"/>
  <c r="U69" i="1" l="1"/>
  <c r="AK69" i="1"/>
  <c r="U67" i="1"/>
  <c r="AJ67" i="1" s="1"/>
  <c r="AK67" i="1"/>
  <c r="U65" i="1"/>
  <c r="AK65" i="1"/>
  <c r="U90" i="1"/>
  <c r="AK90" i="1"/>
  <c r="U84" i="1"/>
  <c r="AJ84" i="1" s="1"/>
  <c r="AK84" i="1"/>
  <c r="U76" i="1"/>
  <c r="AJ76" i="1" s="1"/>
  <c r="AK76" i="1"/>
  <c r="U74" i="1"/>
  <c r="AK74" i="1"/>
  <c r="U66" i="1"/>
  <c r="AJ66" i="1" s="1"/>
  <c r="AK66" i="1"/>
  <c r="U62" i="1"/>
  <c r="AJ62" i="1" s="1"/>
  <c r="AK62" i="1"/>
  <c r="U58" i="1"/>
  <c r="AK58" i="1"/>
  <c r="AK56" i="1"/>
  <c r="U52" i="1"/>
  <c r="AK52" i="1"/>
  <c r="U46" i="1"/>
  <c r="AK46" i="1"/>
  <c r="U40" i="1"/>
  <c r="AJ40" i="1" s="1"/>
  <c r="AK40" i="1"/>
  <c r="U22" i="1"/>
  <c r="AJ22" i="1" s="1"/>
  <c r="AK22" i="1"/>
  <c r="U18" i="1"/>
  <c r="AK18" i="1"/>
  <c r="U14" i="1"/>
  <c r="AJ14" i="1" s="1"/>
  <c r="AK14" i="1"/>
  <c r="U10" i="1"/>
  <c r="AJ10" i="1" s="1"/>
  <c r="AK10" i="1"/>
  <c r="AJ54" i="1"/>
  <c r="AK64" i="1"/>
  <c r="AK54" i="1"/>
  <c r="AK44" i="1"/>
  <c r="AK42" i="1"/>
  <c r="U113" i="1"/>
  <c r="AJ113" i="1" s="1"/>
  <c r="AK113" i="1"/>
  <c r="U109" i="1"/>
  <c r="AK109" i="1"/>
  <c r="U107" i="1"/>
  <c r="AK107" i="1"/>
  <c r="U105" i="1"/>
  <c r="AK105" i="1"/>
  <c r="U103" i="1"/>
  <c r="AK103" i="1"/>
  <c r="U95" i="1"/>
  <c r="AJ95" i="1" s="1"/>
  <c r="AK95" i="1"/>
  <c r="U55" i="1"/>
  <c r="AJ55" i="1" s="1"/>
  <c r="AK55" i="1"/>
  <c r="U53" i="1"/>
  <c r="AJ53" i="1" s="1"/>
  <c r="AK53" i="1"/>
  <c r="U31" i="1"/>
  <c r="AK31" i="1"/>
  <c r="AK29" i="1"/>
  <c r="U25" i="1"/>
  <c r="AJ25" i="1" s="1"/>
  <c r="AK25" i="1"/>
  <c r="U23" i="1"/>
  <c r="AK23" i="1"/>
  <c r="U21" i="1"/>
  <c r="AJ21" i="1" s="1"/>
  <c r="AK21" i="1"/>
  <c r="U17" i="1"/>
  <c r="AJ17" i="1" s="1"/>
  <c r="AK17" i="1"/>
  <c r="U15" i="1"/>
  <c r="AJ15" i="1" s="1"/>
  <c r="AK15" i="1"/>
  <c r="U13" i="1"/>
  <c r="AJ13" i="1" s="1"/>
  <c r="AK13" i="1"/>
  <c r="U11" i="1"/>
  <c r="AJ11" i="1" s="1"/>
  <c r="AK11" i="1"/>
  <c r="U9" i="1"/>
  <c r="AJ9" i="1" s="1"/>
  <c r="AK9" i="1"/>
  <c r="U7" i="1"/>
  <c r="AJ7" i="1" s="1"/>
  <c r="AK7" i="1"/>
  <c r="AK6" i="1"/>
  <c r="AK116" i="1"/>
  <c r="AK82" i="1"/>
  <c r="AK80" i="1"/>
  <c r="AK48" i="1"/>
  <c r="AK16" i="1"/>
  <c r="AJ31" i="1" l="1"/>
  <c r="AJ105" i="1"/>
  <c r="AJ107" i="1"/>
  <c r="AJ109" i="1"/>
  <c r="AJ18" i="1"/>
  <c r="AJ46" i="1"/>
  <c r="AJ52" i="1"/>
  <c r="AJ56" i="1"/>
  <c r="AJ58" i="1"/>
  <c r="AJ74" i="1"/>
  <c r="AJ90" i="1"/>
  <c r="AJ65" i="1"/>
  <c r="AJ69" i="1"/>
  <c r="AJ23" i="1"/>
  <c r="AJ103" i="1"/>
  <c r="N11" i="1" l="1"/>
  <c r="R11" i="1" s="1"/>
  <c r="N12" i="1"/>
  <c r="R12" i="1" s="1"/>
  <c r="N18" i="1"/>
  <c r="R18" i="1" s="1"/>
  <c r="W18" i="1" s="1"/>
  <c r="N21" i="1"/>
  <c r="R21" i="1" s="1"/>
  <c r="N23" i="1"/>
  <c r="R23" i="1" s="1"/>
  <c r="W23" i="1" s="1"/>
  <c r="N24" i="1"/>
  <c r="R24" i="1" s="1"/>
  <c r="N26" i="1"/>
  <c r="R26" i="1" s="1"/>
  <c r="N27" i="1"/>
  <c r="R27" i="1" s="1"/>
  <c r="W27" i="1" s="1"/>
  <c r="N28" i="1"/>
  <c r="R28" i="1" s="1"/>
  <c r="N29" i="1"/>
  <c r="R29" i="1" s="1"/>
  <c r="W29" i="1" s="1"/>
  <c r="N31" i="1"/>
  <c r="R31" i="1" s="1"/>
  <c r="W31" i="1" s="1"/>
  <c r="N33" i="1"/>
  <c r="R33" i="1" s="1"/>
  <c r="W33" i="1" s="1"/>
  <c r="N35" i="1"/>
  <c r="R35" i="1" s="1"/>
  <c r="W35" i="1" s="1"/>
  <c r="N36" i="1"/>
  <c r="R36" i="1" s="1"/>
  <c r="N41" i="1"/>
  <c r="R41" i="1" s="1"/>
  <c r="N43" i="1"/>
  <c r="R43" i="1" s="1"/>
  <c r="N45" i="1"/>
  <c r="R45" i="1" s="1"/>
  <c r="N50" i="1"/>
  <c r="R50" i="1" s="1"/>
  <c r="W50" i="1" s="1"/>
  <c r="N51" i="1"/>
  <c r="R51" i="1" s="1"/>
  <c r="W51" i="1" s="1"/>
  <c r="N52" i="1"/>
  <c r="R52" i="1" s="1"/>
  <c r="W52" i="1" s="1"/>
  <c r="N54" i="1"/>
  <c r="R54" i="1" s="1"/>
  <c r="W54" i="1" s="1"/>
  <c r="N55" i="1"/>
  <c r="R55" i="1" s="1"/>
  <c r="N57" i="1"/>
  <c r="R57" i="1" s="1"/>
  <c r="W57" i="1" s="1"/>
  <c r="N58" i="1"/>
  <c r="R58" i="1" s="1"/>
  <c r="W58" i="1" s="1"/>
  <c r="N59" i="1"/>
  <c r="R59" i="1" s="1"/>
  <c r="W59" i="1" s="1"/>
  <c r="N60" i="1"/>
  <c r="R60" i="1" s="1"/>
  <c r="N61" i="1"/>
  <c r="R61" i="1" s="1"/>
  <c r="N62" i="1"/>
  <c r="R62" i="1" s="1"/>
  <c r="N63" i="1"/>
  <c r="R63" i="1" s="1"/>
  <c r="N64" i="1"/>
  <c r="R64" i="1" s="1"/>
  <c r="W64" i="1" s="1"/>
  <c r="N65" i="1"/>
  <c r="R65" i="1" s="1"/>
  <c r="N69" i="1"/>
  <c r="R69" i="1" s="1"/>
  <c r="W69" i="1" s="1"/>
  <c r="N71" i="1"/>
  <c r="R71" i="1" s="1"/>
  <c r="N74" i="1"/>
  <c r="R74" i="1" s="1"/>
  <c r="W74" i="1" s="1"/>
  <c r="N75" i="1"/>
  <c r="R75" i="1" s="1"/>
  <c r="N77" i="1"/>
  <c r="R77" i="1" s="1"/>
  <c r="N83" i="1"/>
  <c r="R83" i="1" s="1"/>
  <c r="S83" i="1" s="1"/>
  <c r="N86" i="1"/>
  <c r="R86" i="1" s="1"/>
  <c r="W86" i="1" s="1"/>
  <c r="N89" i="1"/>
  <c r="R89" i="1" s="1"/>
  <c r="N90" i="1"/>
  <c r="R90" i="1" s="1"/>
  <c r="W90" i="1" s="1"/>
  <c r="N91" i="1"/>
  <c r="R91" i="1" s="1"/>
  <c r="N92" i="1"/>
  <c r="R92" i="1" s="1"/>
  <c r="N93" i="1"/>
  <c r="R93" i="1" s="1"/>
  <c r="X93" i="1" s="1"/>
  <c r="N94" i="1"/>
  <c r="R94" i="1" s="1"/>
  <c r="S94" i="1" s="1"/>
  <c r="N96" i="1"/>
  <c r="R96" i="1" s="1"/>
  <c r="S96" i="1" s="1"/>
  <c r="N97" i="1"/>
  <c r="R97" i="1" s="1"/>
  <c r="S97" i="1" s="1"/>
  <c r="N98" i="1"/>
  <c r="R98" i="1" s="1"/>
  <c r="N99" i="1"/>
  <c r="R99" i="1" s="1"/>
  <c r="S99" i="1" s="1"/>
  <c r="N100" i="1"/>
  <c r="R100" i="1" s="1"/>
  <c r="S100" i="1" s="1"/>
  <c r="N101" i="1"/>
  <c r="R101" i="1" s="1"/>
  <c r="S101" i="1" s="1"/>
  <c r="N102" i="1"/>
  <c r="R102" i="1" s="1"/>
  <c r="X102" i="1" s="1"/>
  <c r="N103" i="1"/>
  <c r="R103" i="1" s="1"/>
  <c r="W103" i="1" s="1"/>
  <c r="N105" i="1"/>
  <c r="R105" i="1" s="1"/>
  <c r="N106" i="1"/>
  <c r="R106" i="1" s="1"/>
  <c r="N107" i="1"/>
  <c r="R107" i="1" s="1"/>
  <c r="N108" i="1"/>
  <c r="R108" i="1" s="1"/>
  <c r="N110" i="1"/>
  <c r="R110" i="1" s="1"/>
  <c r="W110" i="1" s="1"/>
  <c r="N111" i="1"/>
  <c r="R111" i="1" s="1"/>
  <c r="N112" i="1"/>
  <c r="R112" i="1" s="1"/>
  <c r="S112" i="1" s="1"/>
  <c r="N113" i="1"/>
  <c r="R113" i="1" s="1"/>
  <c r="N114" i="1"/>
  <c r="R114" i="1" s="1"/>
  <c r="W114" i="1" s="1"/>
  <c r="N116" i="1"/>
  <c r="R116" i="1" s="1"/>
  <c r="N117" i="1"/>
  <c r="R117" i="1" s="1"/>
  <c r="N118" i="1"/>
  <c r="R118" i="1" s="1"/>
  <c r="N119" i="1"/>
  <c r="R119" i="1" s="1"/>
  <c r="N6" i="1"/>
  <c r="R6" i="1" s="1"/>
  <c r="W6" i="1" s="1"/>
  <c r="O7" i="1"/>
  <c r="N7" i="1" s="1"/>
  <c r="R7" i="1" s="1"/>
  <c r="O8" i="1"/>
  <c r="O9" i="1"/>
  <c r="N9" i="1" s="1"/>
  <c r="R9" i="1" s="1"/>
  <c r="O10" i="1"/>
  <c r="N10" i="1" s="1"/>
  <c r="R10" i="1" s="1"/>
  <c r="O13" i="1"/>
  <c r="N13" i="1" s="1"/>
  <c r="R13" i="1" s="1"/>
  <c r="O14" i="1"/>
  <c r="N14" i="1" s="1"/>
  <c r="R14" i="1" s="1"/>
  <c r="O15" i="1"/>
  <c r="N15" i="1" s="1"/>
  <c r="R15" i="1" s="1"/>
  <c r="O16" i="1"/>
  <c r="N16" i="1" s="1"/>
  <c r="R16" i="1" s="1"/>
  <c r="O17" i="1"/>
  <c r="N17" i="1" s="1"/>
  <c r="R17" i="1" s="1"/>
  <c r="O19" i="1"/>
  <c r="N19" i="1" s="1"/>
  <c r="R19" i="1" s="1"/>
  <c r="O20" i="1"/>
  <c r="N20" i="1" s="1"/>
  <c r="R20" i="1" s="1"/>
  <c r="S20" i="1" s="1"/>
  <c r="O22" i="1"/>
  <c r="N22" i="1" s="1"/>
  <c r="R22" i="1" s="1"/>
  <c r="O25" i="1"/>
  <c r="N25" i="1" s="1"/>
  <c r="R25" i="1" s="1"/>
  <c r="O30" i="1"/>
  <c r="N30" i="1" s="1"/>
  <c r="R30" i="1" s="1"/>
  <c r="O32" i="1"/>
  <c r="N32" i="1" s="1"/>
  <c r="R32" i="1" s="1"/>
  <c r="O34" i="1"/>
  <c r="N34" i="1" s="1"/>
  <c r="R34" i="1" s="1"/>
  <c r="O37" i="1"/>
  <c r="N37" i="1" s="1"/>
  <c r="R37" i="1" s="1"/>
  <c r="W37" i="1" s="1"/>
  <c r="O38" i="1"/>
  <c r="N38" i="1" s="1"/>
  <c r="R38" i="1" s="1"/>
  <c r="W38" i="1" s="1"/>
  <c r="O39" i="1"/>
  <c r="N39" i="1" s="1"/>
  <c r="R39" i="1" s="1"/>
  <c r="O40" i="1"/>
  <c r="N40" i="1" s="1"/>
  <c r="R40" i="1" s="1"/>
  <c r="O42" i="1"/>
  <c r="N42" i="1" s="1"/>
  <c r="R42" i="1" s="1"/>
  <c r="O44" i="1"/>
  <c r="N44" i="1" s="1"/>
  <c r="R44" i="1" s="1"/>
  <c r="O46" i="1"/>
  <c r="N46" i="1" s="1"/>
  <c r="R46" i="1" s="1"/>
  <c r="W46" i="1" s="1"/>
  <c r="O47" i="1"/>
  <c r="N47" i="1" s="1"/>
  <c r="R47" i="1" s="1"/>
  <c r="O48" i="1"/>
  <c r="N48" i="1" s="1"/>
  <c r="R48" i="1" s="1"/>
  <c r="W48" i="1" s="1"/>
  <c r="O49" i="1"/>
  <c r="N49" i="1" s="1"/>
  <c r="R49" i="1" s="1"/>
  <c r="O53" i="1"/>
  <c r="N53" i="1" s="1"/>
  <c r="R53" i="1" s="1"/>
  <c r="O56" i="1"/>
  <c r="N56" i="1" s="1"/>
  <c r="R56" i="1" s="1"/>
  <c r="W56" i="1" s="1"/>
  <c r="O66" i="1"/>
  <c r="N66" i="1" s="1"/>
  <c r="R66" i="1" s="1"/>
  <c r="O67" i="1"/>
  <c r="N67" i="1" s="1"/>
  <c r="R67" i="1" s="1"/>
  <c r="O68" i="1"/>
  <c r="N68" i="1" s="1"/>
  <c r="R68" i="1" s="1"/>
  <c r="O70" i="1"/>
  <c r="N70" i="1" s="1"/>
  <c r="R70" i="1" s="1"/>
  <c r="O72" i="1"/>
  <c r="N72" i="1" s="1"/>
  <c r="R72" i="1" s="1"/>
  <c r="O73" i="1"/>
  <c r="N73" i="1" s="1"/>
  <c r="R73" i="1" s="1"/>
  <c r="O76" i="1"/>
  <c r="N76" i="1" s="1"/>
  <c r="R76" i="1" s="1"/>
  <c r="O78" i="1"/>
  <c r="N78" i="1" s="1"/>
  <c r="R78" i="1" s="1"/>
  <c r="O79" i="1"/>
  <c r="N79" i="1" s="1"/>
  <c r="R79" i="1" s="1"/>
  <c r="S79" i="1" s="1"/>
  <c r="O80" i="1"/>
  <c r="N80" i="1" s="1"/>
  <c r="R80" i="1" s="1"/>
  <c r="O81" i="1"/>
  <c r="N81" i="1" s="1"/>
  <c r="R81" i="1" s="1"/>
  <c r="O82" i="1"/>
  <c r="N82" i="1" s="1"/>
  <c r="R82" i="1" s="1"/>
  <c r="W82" i="1" s="1"/>
  <c r="O84" i="1"/>
  <c r="N84" i="1" s="1"/>
  <c r="R84" i="1" s="1"/>
  <c r="O85" i="1"/>
  <c r="N85" i="1" s="1"/>
  <c r="R85" i="1" s="1"/>
  <c r="O87" i="1"/>
  <c r="N87" i="1" s="1"/>
  <c r="R87" i="1" s="1"/>
  <c r="O88" i="1"/>
  <c r="N88" i="1" s="1"/>
  <c r="R88" i="1" s="1"/>
  <c r="O95" i="1"/>
  <c r="N95" i="1" s="1"/>
  <c r="R95" i="1" s="1"/>
  <c r="O104" i="1"/>
  <c r="N104" i="1" s="1"/>
  <c r="R104" i="1" s="1"/>
  <c r="O109" i="1"/>
  <c r="N109" i="1" s="1"/>
  <c r="R109" i="1" s="1"/>
  <c r="O115" i="1"/>
  <c r="N115" i="1" s="1"/>
  <c r="R115" i="1" s="1"/>
  <c r="G7" i="1"/>
  <c r="W7" i="1" s="1"/>
  <c r="G8" i="1"/>
  <c r="G9" i="1"/>
  <c r="W9" i="1" s="1"/>
  <c r="G10" i="1"/>
  <c r="W10" i="1" s="1"/>
  <c r="G11" i="1"/>
  <c r="W11" i="1" s="1"/>
  <c r="G12" i="1"/>
  <c r="G13" i="1"/>
  <c r="W13" i="1" s="1"/>
  <c r="G14" i="1"/>
  <c r="W14" i="1" s="1"/>
  <c r="G15" i="1"/>
  <c r="W15" i="1" s="1"/>
  <c r="G16" i="1"/>
  <c r="W16" i="1" s="1"/>
  <c r="G17" i="1"/>
  <c r="W17" i="1" s="1"/>
  <c r="G19" i="1"/>
  <c r="G21" i="1"/>
  <c r="G22" i="1"/>
  <c r="W22" i="1" s="1"/>
  <c r="G25" i="1"/>
  <c r="W25" i="1" s="1"/>
  <c r="G26" i="1"/>
  <c r="G30" i="1"/>
  <c r="G32" i="1"/>
  <c r="G34" i="1"/>
  <c r="G39" i="1"/>
  <c r="G40" i="1"/>
  <c r="G41" i="1"/>
  <c r="G42" i="1"/>
  <c r="W42" i="1" s="1"/>
  <c r="G43" i="1"/>
  <c r="W43" i="1" s="1"/>
  <c r="G47" i="1"/>
  <c r="G49" i="1"/>
  <c r="G53" i="1"/>
  <c r="W53" i="1" s="1"/>
  <c r="G55" i="1"/>
  <c r="W55" i="1" s="1"/>
  <c r="G61" i="1"/>
  <c r="W61" i="1" s="1"/>
  <c r="G62" i="1"/>
  <c r="W62" i="1" s="1"/>
  <c r="G63" i="1"/>
  <c r="G66" i="1"/>
  <c r="G67" i="1"/>
  <c r="G70" i="1"/>
  <c r="G71" i="1"/>
  <c r="G72" i="1"/>
  <c r="G73" i="1"/>
  <c r="G76" i="1"/>
  <c r="G78" i="1"/>
  <c r="G80" i="1"/>
  <c r="W80" i="1" s="1"/>
  <c r="G84" i="1"/>
  <c r="W84" i="1" s="1"/>
  <c r="G85" i="1"/>
  <c r="G87" i="1"/>
  <c r="G88" i="1"/>
  <c r="G95" i="1"/>
  <c r="W95" i="1" s="1"/>
  <c r="G98" i="1"/>
  <c r="G104" i="1"/>
  <c r="G106" i="1"/>
  <c r="G115" i="1"/>
  <c r="G116" i="1"/>
  <c r="W116" i="1" s="1"/>
  <c r="G117" i="1"/>
  <c r="W117" i="1" s="1"/>
  <c r="G118" i="1"/>
  <c r="M119" i="1"/>
  <c r="M118" i="1"/>
  <c r="M117" i="1"/>
  <c r="M116" i="1"/>
  <c r="M115" i="1"/>
  <c r="M114" i="1"/>
  <c r="M113" i="1"/>
  <c r="F113" i="1"/>
  <c r="W113" i="1" s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F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H5" i="1"/>
  <c r="AG5" i="1"/>
  <c r="AF5" i="1"/>
  <c r="AE5" i="1"/>
  <c r="AD5" i="1"/>
  <c r="AC5" i="1"/>
  <c r="AB5" i="1"/>
  <c r="AA5" i="1"/>
  <c r="Z5" i="1"/>
  <c r="Y5" i="1"/>
  <c r="Q5" i="1"/>
  <c r="P5" i="1"/>
  <c r="L5" i="1"/>
  <c r="E5" i="1"/>
  <c r="W67" i="1" l="1"/>
  <c r="W40" i="1"/>
  <c r="W21" i="1"/>
  <c r="W76" i="1"/>
  <c r="W66" i="1"/>
  <c r="W39" i="1"/>
  <c r="X44" i="1"/>
  <c r="W44" i="1"/>
  <c r="X111" i="1"/>
  <c r="W111" i="1"/>
  <c r="X108" i="1"/>
  <c r="W108" i="1"/>
  <c r="X92" i="1"/>
  <c r="W92" i="1"/>
  <c r="X77" i="1"/>
  <c r="W77" i="1"/>
  <c r="X36" i="1"/>
  <c r="W36" i="1"/>
  <c r="X24" i="1"/>
  <c r="W24" i="1"/>
  <c r="X109" i="1"/>
  <c r="W109" i="1"/>
  <c r="X81" i="1"/>
  <c r="W81" i="1"/>
  <c r="X119" i="1"/>
  <c r="W119" i="1"/>
  <c r="X107" i="1"/>
  <c r="W107" i="1"/>
  <c r="X105" i="1"/>
  <c r="W105" i="1"/>
  <c r="X91" i="1"/>
  <c r="W91" i="1"/>
  <c r="X89" i="1"/>
  <c r="W89" i="1"/>
  <c r="X75" i="1"/>
  <c r="W75" i="1"/>
  <c r="X65" i="1"/>
  <c r="W65" i="1"/>
  <c r="V79" i="1"/>
  <c r="V20" i="1"/>
  <c r="V112" i="1"/>
  <c r="V100" i="1"/>
  <c r="V96" i="1"/>
  <c r="V83" i="1"/>
  <c r="V101" i="1"/>
  <c r="V99" i="1"/>
  <c r="V97" i="1"/>
  <c r="V94" i="1"/>
  <c r="S118" i="1"/>
  <c r="S102" i="1"/>
  <c r="X79" i="1"/>
  <c r="S72" i="1"/>
  <c r="S32" i="1"/>
  <c r="S117" i="1"/>
  <c r="S26" i="1"/>
  <c r="S87" i="1"/>
  <c r="S71" i="1"/>
  <c r="S115" i="1"/>
  <c r="S104" i="1"/>
  <c r="S88" i="1"/>
  <c r="S85" i="1"/>
  <c r="S78" i="1"/>
  <c r="S73" i="1"/>
  <c r="S70" i="1"/>
  <c r="S49" i="1"/>
  <c r="S47" i="1"/>
  <c r="S34" i="1"/>
  <c r="S30" i="1"/>
  <c r="S19" i="1"/>
  <c r="S106" i="1"/>
  <c r="S63" i="1"/>
  <c r="S93" i="1"/>
  <c r="X56" i="1"/>
  <c r="X103" i="1"/>
  <c r="X94" i="1"/>
  <c r="X69" i="1"/>
  <c r="X52" i="1"/>
  <c r="S45" i="1"/>
  <c r="X45" i="1"/>
  <c r="X20" i="1"/>
  <c r="X68" i="1"/>
  <c r="S68" i="1"/>
  <c r="X28" i="1"/>
  <c r="S28" i="1"/>
  <c r="X46" i="1"/>
  <c r="S39" i="1"/>
  <c r="X100" i="1"/>
  <c r="S98" i="1"/>
  <c r="X64" i="1"/>
  <c r="X60" i="1"/>
  <c r="S60" i="1"/>
  <c r="X54" i="1"/>
  <c r="X51" i="1"/>
  <c r="S51" i="1"/>
  <c r="X48" i="1"/>
  <c r="S41" i="1"/>
  <c r="S12" i="1"/>
  <c r="X96" i="1"/>
  <c r="X113" i="1"/>
  <c r="O5" i="1"/>
  <c r="N8" i="1"/>
  <c r="X66" i="1"/>
  <c r="X22" i="1"/>
  <c r="X14" i="1"/>
  <c r="X70" i="1"/>
  <c r="X26" i="1"/>
  <c r="X10" i="1"/>
  <c r="X50" i="1"/>
  <c r="X76" i="1"/>
  <c r="X98" i="1"/>
  <c r="X106" i="1"/>
  <c r="X118" i="1"/>
  <c r="X104" i="1"/>
  <c r="X73" i="1"/>
  <c r="X71" i="1"/>
  <c r="X67" i="1"/>
  <c r="X63" i="1"/>
  <c r="X40" i="1"/>
  <c r="X74" i="1"/>
  <c r="X58" i="1"/>
  <c r="X38" i="1"/>
  <c r="X84" i="1"/>
  <c r="X116" i="1"/>
  <c r="X88" i="1"/>
  <c r="X80" i="1"/>
  <c r="X72" i="1"/>
  <c r="X32" i="1"/>
  <c r="X16" i="1"/>
  <c r="X12" i="1"/>
  <c r="X110" i="1"/>
  <c r="X62" i="1"/>
  <c r="X18" i="1"/>
  <c r="X83" i="1"/>
  <c r="X97" i="1"/>
  <c r="X99" i="1"/>
  <c r="X101" i="1"/>
  <c r="X117" i="1"/>
  <c r="X115" i="1"/>
  <c r="X95" i="1"/>
  <c r="X87" i="1"/>
  <c r="X61" i="1"/>
  <c r="X53" i="1"/>
  <c r="X47" i="1"/>
  <c r="X25" i="1"/>
  <c r="X21" i="1"/>
  <c r="X17" i="1"/>
  <c r="X15" i="1"/>
  <c r="X13" i="1"/>
  <c r="X11" i="1"/>
  <c r="X9" i="1"/>
  <c r="X7" i="1"/>
  <c r="X114" i="1"/>
  <c r="X90" i="1"/>
  <c r="X86" i="1"/>
  <c r="X82" i="1"/>
  <c r="X78" i="1"/>
  <c r="X42" i="1"/>
  <c r="X34" i="1"/>
  <c r="X30" i="1"/>
  <c r="X23" i="1"/>
  <c r="X27" i="1"/>
  <c r="X29" i="1"/>
  <c r="X31" i="1"/>
  <c r="X33" i="1"/>
  <c r="X35" i="1"/>
  <c r="X37" i="1"/>
  <c r="X57" i="1"/>
  <c r="X59" i="1"/>
  <c r="X85" i="1"/>
  <c r="X55" i="1"/>
  <c r="X49" i="1"/>
  <c r="X43" i="1"/>
  <c r="X41" i="1"/>
  <c r="X39" i="1"/>
  <c r="X19" i="1"/>
  <c r="X6" i="1"/>
  <c r="X112" i="1"/>
  <c r="G5" i="1"/>
  <c r="M5" i="1"/>
  <c r="F5" i="1"/>
  <c r="U94" i="1" l="1"/>
  <c r="AK94" i="1"/>
  <c r="U99" i="1"/>
  <c r="AK99" i="1"/>
  <c r="U83" i="1"/>
  <c r="AK83" i="1"/>
  <c r="U100" i="1"/>
  <c r="AK100" i="1"/>
  <c r="U20" i="1"/>
  <c r="AK20" i="1"/>
  <c r="U97" i="1"/>
  <c r="AK97" i="1"/>
  <c r="U101" i="1"/>
  <c r="AK101" i="1"/>
  <c r="U96" i="1"/>
  <c r="AK96" i="1"/>
  <c r="U112" i="1"/>
  <c r="AK112" i="1"/>
  <c r="U79" i="1"/>
  <c r="AK79" i="1"/>
  <c r="V41" i="1"/>
  <c r="AK41" i="1" s="1"/>
  <c r="V63" i="1"/>
  <c r="V19" i="1"/>
  <c r="V34" i="1"/>
  <c r="V49" i="1"/>
  <c r="V73" i="1"/>
  <c r="V85" i="1"/>
  <c r="V104" i="1"/>
  <c r="V71" i="1"/>
  <c r="V26" i="1"/>
  <c r="V32" i="1"/>
  <c r="V118" i="1"/>
  <c r="V12" i="1"/>
  <c r="V60" i="1"/>
  <c r="V98" i="1"/>
  <c r="V28" i="1"/>
  <c r="V68" i="1"/>
  <c r="V45" i="1"/>
  <c r="V93" i="1"/>
  <c r="V106" i="1"/>
  <c r="AK106" i="1" s="1"/>
  <c r="V30" i="1"/>
  <c r="V47" i="1"/>
  <c r="V70" i="1"/>
  <c r="V78" i="1"/>
  <c r="V88" i="1"/>
  <c r="V115" i="1"/>
  <c r="V87" i="1"/>
  <c r="V72" i="1"/>
  <c r="V102" i="1"/>
  <c r="R8" i="1"/>
  <c r="S8" i="1" s="1"/>
  <c r="N5" i="1"/>
  <c r="U102" i="1" l="1"/>
  <c r="AK102" i="1"/>
  <c r="U87" i="1"/>
  <c r="AK87" i="1"/>
  <c r="U88" i="1"/>
  <c r="AK88" i="1"/>
  <c r="U70" i="1"/>
  <c r="AK70" i="1"/>
  <c r="U30" i="1"/>
  <c r="AK30" i="1"/>
  <c r="U45" i="1"/>
  <c r="AK45" i="1"/>
  <c r="U28" i="1"/>
  <c r="AK28" i="1"/>
  <c r="U60" i="1"/>
  <c r="AK60" i="1"/>
  <c r="U118" i="1"/>
  <c r="AK118" i="1"/>
  <c r="U26" i="1"/>
  <c r="AK26" i="1"/>
  <c r="U104" i="1"/>
  <c r="AK104" i="1"/>
  <c r="U73" i="1"/>
  <c r="AK73" i="1"/>
  <c r="U34" i="1"/>
  <c r="AK34" i="1"/>
  <c r="U63" i="1"/>
  <c r="AK63" i="1"/>
  <c r="AJ79" i="1"/>
  <c r="W79" i="1"/>
  <c r="AJ112" i="1"/>
  <c r="W112" i="1"/>
  <c r="AJ96" i="1"/>
  <c r="W96" i="1"/>
  <c r="AJ101" i="1"/>
  <c r="W101" i="1"/>
  <c r="AJ97" i="1"/>
  <c r="W97" i="1"/>
  <c r="AJ20" i="1"/>
  <c r="W20" i="1"/>
  <c r="AJ100" i="1"/>
  <c r="W100" i="1"/>
  <c r="AJ83" i="1"/>
  <c r="W83" i="1"/>
  <c r="AJ99" i="1"/>
  <c r="W99" i="1"/>
  <c r="AJ94" i="1"/>
  <c r="W94" i="1"/>
  <c r="U72" i="1"/>
  <c r="AK72" i="1"/>
  <c r="U115" i="1"/>
  <c r="AK115" i="1"/>
  <c r="U78" i="1"/>
  <c r="AK78" i="1"/>
  <c r="U47" i="1"/>
  <c r="AK47" i="1"/>
  <c r="U106" i="1"/>
  <c r="U93" i="1"/>
  <c r="AK93" i="1"/>
  <c r="U68" i="1"/>
  <c r="AK68" i="1"/>
  <c r="U98" i="1"/>
  <c r="AK98" i="1"/>
  <c r="U12" i="1"/>
  <c r="AK12" i="1"/>
  <c r="U32" i="1"/>
  <c r="AK32" i="1"/>
  <c r="U71" i="1"/>
  <c r="AK71" i="1"/>
  <c r="U85" i="1"/>
  <c r="AK85" i="1"/>
  <c r="U49" i="1"/>
  <c r="AK49" i="1"/>
  <c r="U19" i="1"/>
  <c r="AK19" i="1"/>
  <c r="U41" i="1"/>
  <c r="S5" i="1"/>
  <c r="V8" i="1"/>
  <c r="R5" i="1"/>
  <c r="X8" i="1"/>
  <c r="AJ47" i="1" l="1"/>
  <c r="W47" i="1"/>
  <c r="AJ78" i="1"/>
  <c r="W78" i="1"/>
  <c r="AJ72" i="1"/>
  <c r="W72" i="1"/>
  <c r="V5" i="1"/>
  <c r="AK8" i="1"/>
  <c r="AK5" i="1" s="1"/>
  <c r="AJ41" i="1"/>
  <c r="W41" i="1"/>
  <c r="AJ19" i="1"/>
  <c r="W19" i="1"/>
  <c r="AJ49" i="1"/>
  <c r="W49" i="1"/>
  <c r="AJ85" i="1"/>
  <c r="W85" i="1"/>
  <c r="AJ71" i="1"/>
  <c r="W71" i="1"/>
  <c r="AJ32" i="1"/>
  <c r="W32" i="1"/>
  <c r="AJ12" i="1"/>
  <c r="W12" i="1"/>
  <c r="AJ98" i="1"/>
  <c r="W98" i="1"/>
  <c r="AJ68" i="1"/>
  <c r="W68" i="1"/>
  <c r="AJ93" i="1"/>
  <c r="W93" i="1"/>
  <c r="AJ106" i="1"/>
  <c r="W106" i="1"/>
  <c r="AJ115" i="1"/>
  <c r="W115" i="1"/>
  <c r="AJ63" i="1"/>
  <c r="W63" i="1"/>
  <c r="AJ34" i="1"/>
  <c r="W34" i="1"/>
  <c r="AJ73" i="1"/>
  <c r="W73" i="1"/>
  <c r="AJ104" i="1"/>
  <c r="W104" i="1"/>
  <c r="AJ26" i="1"/>
  <c r="W26" i="1"/>
  <c r="AJ118" i="1"/>
  <c r="W118" i="1"/>
  <c r="AJ60" i="1"/>
  <c r="W60" i="1"/>
  <c r="AJ28" i="1"/>
  <c r="W28" i="1"/>
  <c r="AJ45" i="1"/>
  <c r="W45" i="1"/>
  <c r="AJ30" i="1"/>
  <c r="W30" i="1"/>
  <c r="AJ70" i="1"/>
  <c r="W70" i="1"/>
  <c r="AJ88" i="1"/>
  <c r="W88" i="1"/>
  <c r="AJ87" i="1"/>
  <c r="W87" i="1"/>
  <c r="AJ102" i="1"/>
  <c r="W102" i="1"/>
  <c r="U8" i="1"/>
  <c r="U5" i="1" l="1"/>
  <c r="AJ8" i="1"/>
  <c r="AJ5" i="1" s="1"/>
  <c r="W8" i="1"/>
</calcChain>
</file>

<file path=xl/sharedStrings.xml><?xml version="1.0" encoding="utf-8"?>
<sst xmlns="http://schemas.openxmlformats.org/spreadsheetml/2006/main" count="463" uniqueCount="184">
  <si>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</si>
  <si>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</si>
  <si>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</si>
  <si>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</si>
  <si>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</si>
  <si>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</si>
  <si>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</si>
  <si>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</si>
  <si>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</si>
  <si>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</si>
  <si>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</si>
  <si>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</si>
  <si>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</si>
  <si>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</si>
  <si>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</si>
  <si>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</si>
  <si>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</si>
  <si>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</si>
  <si>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</si>
  <si>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</si>
  <si>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</si>
  <si>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</si>
  <si>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15,09,</t>
  </si>
  <si>
    <t>22,09,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</si>
  <si>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</si>
  <si>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</si>
  <si>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</si>
  <si>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</si>
  <si>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</si>
  <si>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</si>
  <si>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</si>
  <si>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</si>
  <si>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</si>
  <si>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</si>
  <si>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</si>
  <si>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</si>
  <si>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</si>
  <si>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</si>
  <si>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</si>
  <si>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</si>
  <si>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</si>
  <si>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</si>
  <si>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</si>
  <si>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</si>
  <si>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</si>
  <si>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</si>
  <si>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</si>
  <si>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</si>
  <si>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</si>
  <si>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</si>
  <si>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</si>
  <si>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</si>
  <si>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</si>
  <si>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</si>
  <si>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</si>
  <si>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</si>
  <si>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</si>
  <si>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</si>
  <si>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</si>
  <si>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</si>
  <si>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</si>
  <si>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</si>
  <si>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</si>
  <si>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</si>
  <si>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</si>
  <si>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</si>
  <si>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</si>
  <si>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нужно увеличить продажи!!! / Грация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</si>
  <si>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</si>
  <si>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</si>
  <si>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</si>
  <si>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</si>
  <si>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</si>
  <si>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</si>
  <si>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</si>
  <si>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</si>
  <si>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</si>
  <si>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</si>
  <si>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</si>
  <si>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</si>
  <si>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</si>
  <si>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</si>
  <si>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</si>
  <si>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</si>
  <si>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</si>
  <si>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</si>
  <si>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</si>
  <si>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</si>
  <si>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</si>
  <si>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</si>
  <si>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</si>
  <si>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</si>
  <si>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</si>
  <si>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</si>
  <si>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</si>
  <si>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</si>
  <si>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</si>
  <si>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</si>
  <si>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</si>
  <si>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</si>
  <si>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</si>
  <si>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</si>
  <si>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</si>
  <si>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</si>
  <si>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</si>
  <si>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</si>
  <si>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</si>
  <si>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</si>
  <si>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</si>
  <si>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</si>
  <si>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</si>
  <si>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</si>
  <si>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</si>
  <si>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</si>
  <si>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</si>
  <si>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</si>
  <si>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</si>
  <si>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</si>
  <si>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</si>
  <si>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</si>
  <si>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</si>
  <si>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</si>
  <si>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</si>
  <si>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</si>
  <si>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</si>
  <si>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</si>
  <si>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</si>
  <si>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</si>
  <si>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</si>
  <si>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</si>
  <si>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</si>
  <si>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</si>
  <si>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</si>
  <si>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</si>
  <si>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</si>
  <si>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</si>
  <si>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</si>
  <si>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</si>
  <si>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</si>
  <si>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</si>
  <si>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</si>
  <si>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</si>
  <si>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</si>
  <si>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</si>
  <si>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</si>
  <si>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</si>
  <si>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</si>
  <si>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</si>
  <si>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</si>
  <si>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</si>
  <si>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</si>
  <si>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</si>
  <si>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</si>
  <si>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</si>
  <si>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</si>
  <si>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</si>
  <si>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</si>
  <si>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</si>
  <si>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</si>
  <si>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</si>
  <si>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</si>
  <si>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</si>
  <si>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374шт списание (11,08,26)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</si>
  <si>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</si>
  <si>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</si>
  <si>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</si>
  <si>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</si>
  <si>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</si>
  <si>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</si>
  <si>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</si>
  <si>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</si>
  <si>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</si>
  <si>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</si>
  <si>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</si>
  <si>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</si>
  <si>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</si>
  <si>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Бердянск</t>
  </si>
  <si>
    <t>Мариуполь</t>
  </si>
  <si>
    <t>нужно увеличить продажи / плюсом 5 дней</t>
  </si>
  <si>
    <t>81шт списано (19,09,26)</t>
  </si>
  <si>
    <t>102шт списано (19,09,26)</t>
  </si>
  <si>
    <t>192шт списано (11,08,26)</t>
  </si>
  <si>
    <t>%</t>
  </si>
  <si>
    <t>Общий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</si>
</sst>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4" fillId="4" borderId="1" xfId="1" applyNumberFormat="1" applyFont="1" applyFill="1"/>
    <xf numFmtId="164" fontId="6" fillId="6" borderId="1" xfId="1" applyNumberFormat="1" applyFont="1" applyFill="1"/>
    <xf numFmtId="164" fontId="1" fillId="5" borderId="1" xfId="1" applyNumberFormat="1" applyFill="1"/>
    <xf numFmtId="10" fontId="1" fillId="0" borderId="1" xfId="1" applyNumberFormat="1"/>
    <xf numFmtId="10" fontId="3" fillId="2" borderId="1" xfId="1" applyNumberFormat="1" applyFont="1" applyFill="1"/>
    <xf numFmtId="10" fontId="1" fillId="3" borderId="1" xfId="1" applyNumberFormat="1" applyFill="1"/>
    <xf numFmtId="10" fontId="1" fillId="0" borderId="2" xfId="1" applyNumberFormat="1" applyBorder="1"/>
    <xf numFmtId="10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_&#1052;&#1072;&#1088;&#1080;&#1091;&#1087;&#1086;&#1083;&#1100;/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_&#1052;&#1072;&#1088;&#1080;&#1091;&#1087;&#1086;&#1083;&#1100;/&#1076;&#1074;%2021,09,26%20&#1084;&#1088;&#1088;&#1089;&#1095;%20&#1086;&#1089;&#1090;%20&#1082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_&#1052;&#1072;&#1088;&#1080;&#1091;&#1087;&#1086;&#1083;&#1100;/&#1087;&#1088;&#1086;&#1076;&#1072;&#1078;&#1080;%20&#1054;&#1055;&#1058;%2015,09,26-21,09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8">
          <cell r="D8" t="str">
            <v>Номенклатура</v>
          </cell>
          <cell r="G8" t="str">
            <v>Ед. изм.</v>
          </cell>
          <cell r="H8" t="str">
            <v>Количество</v>
          </cell>
          <cell r="I8" t="str">
            <v>Вес (нетто), кг</v>
          </cell>
        </row>
        <row r="9">
          <cell r="D9" t="str">
            <v>Номенклатура</v>
          </cell>
          <cell r="G9" t="str">
            <v>Ед. изм.</v>
          </cell>
          <cell r="H9" t="str">
            <v>Конечный остаток</v>
          </cell>
          <cell r="I9" t="str">
            <v>Конечный остаток</v>
          </cell>
        </row>
        <row r="10">
          <cell r="D10" t="str">
            <v>Останкино ООО</v>
          </cell>
        </row>
        <row r="11">
          <cell r="D11" t="str">
            <v>ООО Останкино-Краснодар</v>
          </cell>
        </row>
        <row r="12">
          <cell r="D12" t="str">
            <v>0614 ПРАЗДНИЧНАЯ с/к в/с дек.спец.мгс  Останкино</v>
          </cell>
          <cell r="G12" t="str">
            <v>кг</v>
          </cell>
          <cell r="H12">
            <v>3.1909999999999998</v>
          </cell>
          <cell r="I12">
            <v>3.1909999999999998</v>
          </cell>
          <cell r="J12">
            <v>0.49718042798394446</v>
          </cell>
        </row>
        <row r="13">
          <cell r="D13" t="str">
            <v>3287 САЛЯМИ ИТАЛЬЯНСКАЯ с/к в/у ОСТАНКИНО</v>
          </cell>
          <cell r="G13" t="str">
            <v>кг</v>
          </cell>
          <cell r="H13">
            <v>251.72499999999999</v>
          </cell>
          <cell r="I13">
            <v>251.72499999999999</v>
          </cell>
          <cell r="J13">
            <v>0.51642644750970512</v>
          </cell>
        </row>
        <row r="14">
          <cell r="D14" t="str">
            <v>4063 МЯСНАЯ Папа может вар п/о_Л   ОСТАНКИНО</v>
          </cell>
          <cell r="G14" t="str">
            <v>кг</v>
          </cell>
          <cell r="H14">
            <v>1300.961</v>
          </cell>
          <cell r="I14">
            <v>1300.961</v>
          </cell>
          <cell r="J14">
            <v>0.63715226215226217</v>
          </cell>
        </row>
        <row r="15">
          <cell r="D15" t="str">
            <v>4117 ЭКСТРА Папа может с/к в/у_Л   ОСТАНКИНО</v>
          </cell>
          <cell r="G15" t="str">
            <v>кг</v>
          </cell>
          <cell r="H15">
            <v>147.78200000000001</v>
          </cell>
          <cell r="I15">
            <v>147.78200000000001</v>
          </cell>
          <cell r="J15">
            <v>0.67659440419256001</v>
          </cell>
        </row>
        <row r="16">
          <cell r="D16" t="str">
            <v>4574 Мясная со шпиком Папа может вар п/о ОСТАНКИНО</v>
          </cell>
          <cell r="G16" t="str">
            <v>кг</v>
          </cell>
          <cell r="H16">
            <v>85.32</v>
          </cell>
          <cell r="I16">
            <v>85.32</v>
          </cell>
          <cell r="J16">
            <v>0.64048501759638832</v>
          </cell>
        </row>
        <row r="17">
          <cell r="D17" t="str">
            <v>4813 ФИЛЕЙНАЯ Папа может вар п/о_Л   ОСТАНКИНО</v>
          </cell>
          <cell r="G17" t="str">
            <v>кг</v>
          </cell>
          <cell r="H17">
            <v>1260.7439999999999</v>
          </cell>
          <cell r="I17">
            <v>1260.7439999999999</v>
          </cell>
          <cell r="J17">
            <v>0.72316201488996323</v>
          </cell>
        </row>
        <row r="18">
          <cell r="D18" t="str">
            <v>5452 ВЕТЧ.МЯСНАЯ Папа может п/о    ОСТАНКИНО</v>
          </cell>
          <cell r="G18" t="str">
            <v>кг</v>
          </cell>
          <cell r="H18">
            <v>464.29399999999998</v>
          </cell>
          <cell r="I18">
            <v>464.29399999999998</v>
          </cell>
          <cell r="J18">
            <v>0.75044648655669566</v>
          </cell>
        </row>
        <row r="19">
          <cell r="D19" t="str">
            <v>5544 Сервелат Финский в/к в/у_45с НОВАЯ ОСТАНКИНО</v>
          </cell>
          <cell r="G19" t="str">
            <v>кг</v>
          </cell>
          <cell r="H19">
            <v>225.53700000000001</v>
          </cell>
          <cell r="I19">
            <v>225.53700000000001</v>
          </cell>
          <cell r="J19">
            <v>0.46306756150407541</v>
          </cell>
        </row>
        <row r="20">
          <cell r="D20" t="str">
            <v>5708 ПОСОЛЬСКАЯ Папа может с/к в/у ОСТАНКИНО</v>
          </cell>
          <cell r="G20" t="str">
            <v>кг</v>
          </cell>
          <cell r="H20">
            <v>101.015</v>
          </cell>
          <cell r="I20">
            <v>101.015</v>
          </cell>
          <cell r="J20">
            <v>0.67197701996579451</v>
          </cell>
        </row>
        <row r="21">
          <cell r="D21" t="str">
            <v>5851 ЭКСТРА Папа может вар п/о   ОСТАНКИНО</v>
          </cell>
          <cell r="G21" t="str">
            <v>кг</v>
          </cell>
          <cell r="H21">
            <v>246.61600000000001</v>
          </cell>
          <cell r="I21">
            <v>246.61600000000001</v>
          </cell>
          <cell r="J21">
            <v>0.55205808835300629</v>
          </cell>
        </row>
        <row r="22">
          <cell r="D22" t="str">
            <v>6008 САЛО СОЛЕНОЕ С ЧЕРНЫМ ПЕРЦЕМ мл/к в/у ОСТАНКИНО</v>
          </cell>
          <cell r="G22" t="str">
            <v>кг</v>
          </cell>
          <cell r="H22">
            <v>1.3819999999999999</v>
          </cell>
          <cell r="I22">
            <v>1.3819999999999999</v>
          </cell>
          <cell r="J22">
            <v>7.5181076372971486E-2</v>
          </cell>
        </row>
        <row r="23">
          <cell r="D23" t="str">
            <v>6025 ВЕТЧ.ФИРМЕННАЯ С ИНДЕЙКОЙ п/о   ОСТАНКИНО</v>
          </cell>
          <cell r="G23" t="str">
            <v>кг</v>
          </cell>
          <cell r="H23">
            <v>39.21</v>
          </cell>
          <cell r="I23">
            <v>39.21</v>
          </cell>
          <cell r="J23">
            <v>0</v>
          </cell>
        </row>
        <row r="24">
          <cell r="D24" t="str">
            <v>6220 ГОВЯЖЬЯ папа может вар п/о  Останкино</v>
          </cell>
          <cell r="G24" t="str">
            <v>кг</v>
          </cell>
          <cell r="H24">
            <v>183.30600000000001</v>
          </cell>
          <cell r="I24">
            <v>183.30600000000001</v>
          </cell>
          <cell r="J24">
            <v>0.61142635621350516</v>
          </cell>
        </row>
        <row r="25">
          <cell r="D25" t="str">
            <v>6303 Мясные Папа может сос п/о мгс 1,5*3  Останкино</v>
          </cell>
          <cell r="G25" t="str">
            <v>кг</v>
          </cell>
          <cell r="H25">
            <v>1480.7539999999999</v>
          </cell>
          <cell r="I25">
            <v>1480.7539999999999</v>
          </cell>
          <cell r="J25">
            <v>0.19659807091924739</v>
          </cell>
        </row>
        <row r="26">
          <cell r="D26" t="str">
            <v>6470 ВЕТЧ.МРАМОРНАЯ в/у_45с  ОСТАНКИНО</v>
          </cell>
          <cell r="G26" t="str">
            <v>кг</v>
          </cell>
          <cell r="H26">
            <v>191.99</v>
          </cell>
          <cell r="I26">
            <v>191.99</v>
          </cell>
          <cell r="J26">
            <v>1</v>
          </cell>
        </row>
        <row r="27">
          <cell r="D27" t="str">
            <v>6498 МОЛОЧНАЯ Папа может вар п/о  ОСТАНКИНО</v>
          </cell>
          <cell r="G27" t="str">
            <v>кг</v>
          </cell>
          <cell r="H27">
            <v>1415.788</v>
          </cell>
          <cell r="I27">
            <v>1415.788</v>
          </cell>
          <cell r="J27">
            <v>0.76191685830446043</v>
          </cell>
        </row>
        <row r="28">
          <cell r="D28" t="str">
            <v>6527 ШПИКАЧКИ СОЧНЫЕ ПМ сар б/о мгс 1*3 45с ОСТАНКИНО</v>
          </cell>
          <cell r="G28" t="str">
            <v>кг</v>
          </cell>
          <cell r="H28">
            <v>98.549000000000007</v>
          </cell>
          <cell r="I28">
            <v>98.549000000000007</v>
          </cell>
          <cell r="J28">
            <v>0.11367880237399236</v>
          </cell>
        </row>
        <row r="29">
          <cell r="D29" t="str">
            <v>6550 МЯСНЫЕ Папа может сар б/о мгс 1*3 О 45с  Останкино</v>
          </cell>
          <cell r="G29" t="str">
            <v>кг</v>
          </cell>
          <cell r="H29">
            <v>313.00400000000002</v>
          </cell>
          <cell r="I29">
            <v>313.00400000000002</v>
          </cell>
          <cell r="J29">
            <v>0.39876802257807226</v>
          </cell>
        </row>
        <row r="30">
          <cell r="D30" t="str">
            <v>6608 С ГОВЯДИНОЙ ОРИГИН. сар б/о мгс 1*3_45с  ОСТАНКИНО</v>
          </cell>
          <cell r="G30" t="str">
            <v>кг</v>
          </cell>
          <cell r="H30">
            <v>153.31299999999999</v>
          </cell>
          <cell r="I30">
            <v>153.31299999999999</v>
          </cell>
          <cell r="J30">
            <v>0.14720124335219406</v>
          </cell>
        </row>
        <row r="31">
          <cell r="D31" t="str">
            <v>6620 РЕБРЫШКИ к/в в/у_30с  Останкино</v>
          </cell>
          <cell r="G31" t="str">
            <v>кг</v>
          </cell>
          <cell r="H31">
            <v>57.542000000000002</v>
          </cell>
          <cell r="I31">
            <v>57.542000000000002</v>
          </cell>
          <cell r="J31">
            <v>0</v>
          </cell>
        </row>
        <row r="32">
          <cell r="D32" t="str">
            <v>6661 СОЧНЫЙ ГРИЛЬ ПМ сос п/о мгс 1,5*4_Маяк Останкино</v>
          </cell>
          <cell r="G32" t="str">
            <v>кг</v>
          </cell>
          <cell r="H32">
            <v>309.73500000000001</v>
          </cell>
          <cell r="I32">
            <v>309.73500000000001</v>
          </cell>
          <cell r="J32">
            <v>0.40149635777271597</v>
          </cell>
        </row>
        <row r="33">
          <cell r="D33" t="str">
            <v>6761 МОЛОЧНЫЕ ГОСТ сос ц/о мгс 1*4  Останкино</v>
          </cell>
          <cell r="G33" t="str">
            <v>кг</v>
          </cell>
          <cell r="H33">
            <v>16.449000000000002</v>
          </cell>
          <cell r="I33">
            <v>16.449000000000002</v>
          </cell>
          <cell r="J33">
            <v>0</v>
          </cell>
        </row>
        <row r="34">
          <cell r="D34" t="str">
            <v>6829  МОЛОЧНЫЕ КЛАССИЧЕСКИЕ сос п/о мгс 2*4 С  Останккино</v>
          </cell>
          <cell r="G34" t="str">
            <v>кг</v>
          </cell>
          <cell r="H34">
            <v>206.52500000000001</v>
          </cell>
          <cell r="I34">
            <v>206.52500000000001</v>
          </cell>
          <cell r="J34">
            <v>0.12663247957849127</v>
          </cell>
        </row>
        <row r="35">
          <cell r="D35" t="str">
            <v>6929 КАРБОНАД ДОМАШНИЙ ПМ к/в кр/к в/у  ОСТАНКИНО</v>
          </cell>
          <cell r="G35" t="str">
            <v>кг</v>
          </cell>
          <cell r="H35">
            <v>84.635999999999996</v>
          </cell>
          <cell r="I35">
            <v>84.635999999999996</v>
          </cell>
          <cell r="J35">
            <v>0</v>
          </cell>
        </row>
        <row r="36">
          <cell r="D36" t="str">
            <v>7001 КЛАССИЧЕСКИЕ Папа может сар б/о мгс 1*3  Останкино</v>
          </cell>
          <cell r="G36" t="str">
            <v>кг</v>
          </cell>
          <cell r="H36">
            <v>62.631</v>
          </cell>
          <cell r="I36">
            <v>62.631</v>
          </cell>
          <cell r="J36">
            <v>0.15956918726214295</v>
          </cell>
        </row>
        <row r="37">
          <cell r="D37" t="str">
            <v>7070 СОЧНЫЕ ПМ сос п/о 1,5*4_А_50с  Останкино</v>
          </cell>
          <cell r="G37" t="str">
            <v>кг</v>
          </cell>
          <cell r="H37">
            <v>630.59900000000005</v>
          </cell>
          <cell r="I37">
            <v>630.59900000000005</v>
          </cell>
          <cell r="J37">
            <v>0.50829720715410276</v>
          </cell>
        </row>
        <row r="38">
          <cell r="D38" t="str">
            <v>7075 МОЛОЧ.ПРЕМИУМ ПМ сос п/о мгс 1,5*4_О_50с  Останкино</v>
          </cell>
          <cell r="G38" t="str">
            <v>кг</v>
          </cell>
          <cell r="H38">
            <v>-9.0760000000000005</v>
          </cell>
          <cell r="I38">
            <v>-9.0760000000000005</v>
          </cell>
          <cell r="J38">
            <v>0</v>
          </cell>
        </row>
        <row r="39">
          <cell r="D39" t="str">
            <v>7083 СЛИВОЧНЫЕ ПМ сос п/о мгс 1.5*4_А_50с  ОСТАНКИНО</v>
          </cell>
          <cell r="G39" t="str">
            <v>кг</v>
          </cell>
          <cell r="H39">
            <v>178.303</v>
          </cell>
          <cell r="I39">
            <v>178.303</v>
          </cell>
          <cell r="J39">
            <v>5.13818006740491E-2</v>
          </cell>
        </row>
        <row r="40">
          <cell r="D40" t="str">
            <v>7157 СЕРВЕЛАТ ЗЕРНИСТЫЙ ПМ в/к в/у_50с  Останкино</v>
          </cell>
          <cell r="G40" t="str">
            <v>кг</v>
          </cell>
          <cell r="H40">
            <v>462.47300000000001</v>
          </cell>
          <cell r="I40">
            <v>462.47300000000001</v>
          </cell>
          <cell r="J40">
            <v>0.49845613343158723</v>
          </cell>
        </row>
        <row r="41">
          <cell r="D41" t="str">
            <v>7166 СЕРВЕЛАТ ОХОТНИЧИЙ ПМ в/к в/у_50с  Останкино</v>
          </cell>
          <cell r="G41" t="str">
            <v>кг</v>
          </cell>
          <cell r="H41">
            <v>617.61</v>
          </cell>
          <cell r="I41">
            <v>617.61</v>
          </cell>
          <cell r="J41">
            <v>0.48903541207700518</v>
          </cell>
        </row>
        <row r="42">
          <cell r="D42" t="str">
            <v>7299 НАБОР ДЛЯ ПИЦЦЫ Папа Может с/к в/у  ОСТАНКИНО</v>
          </cell>
          <cell r="G42" t="str">
            <v>кг</v>
          </cell>
          <cell r="H42">
            <v>45.453000000000003</v>
          </cell>
          <cell r="I42">
            <v>45.453000000000003</v>
          </cell>
          <cell r="J42">
            <v>0.41066279365617847</v>
          </cell>
        </row>
        <row r="43">
          <cell r="D43" t="str">
            <v>7514 ЛЮБИТЕЛЬСКАЯ ОСТАНКИНСКАЯ вар п/о в/у  ОСТАНКИНО</v>
          </cell>
          <cell r="G43" t="str">
            <v>кг</v>
          </cell>
          <cell r="H43">
            <v>85.8</v>
          </cell>
          <cell r="I43">
            <v>85.8</v>
          </cell>
          <cell r="J43">
            <v>0</v>
          </cell>
        </row>
        <row r="44">
          <cell r="D44" t="str">
            <v>7518 ТЕЛЯЧЬЯ ГОСТ Останкино вар п/о в/у  ОСТАНКИНО</v>
          </cell>
          <cell r="G44" t="str">
            <v>кг</v>
          </cell>
          <cell r="H44">
            <v>95.32</v>
          </cell>
          <cell r="I44">
            <v>95.32</v>
          </cell>
          <cell r="J44">
            <v>0</v>
          </cell>
        </row>
        <row r="45">
          <cell r="D45" t="str">
            <v>7562 КРАКОВСКАЯ ГОСТ Останкино п/к н/о мгс  ОСТАНКИНО</v>
          </cell>
          <cell r="G45" t="str">
            <v>кг</v>
          </cell>
          <cell r="H45">
            <v>135.017</v>
          </cell>
          <cell r="I45">
            <v>135.017</v>
          </cell>
          <cell r="J45">
            <v>0.4465351162598869</v>
          </cell>
        </row>
        <row r="46">
          <cell r="D46" t="str">
            <v>7564 Балыковая в/к в/у Останкино Вес  ОСТАНКИНО</v>
          </cell>
          <cell r="G46" t="str">
            <v>кг</v>
          </cell>
          <cell r="H46">
            <v>3.2189999999999999</v>
          </cell>
          <cell r="I46">
            <v>3.2189999999999999</v>
          </cell>
          <cell r="J46">
            <v>0.40681027729125813</v>
          </cell>
        </row>
        <row r="47">
          <cell r="D47" t="str">
            <v>ООО Останкино-Краснодар (ШТ)</v>
          </cell>
        </row>
        <row r="48">
          <cell r="D48" t="str">
            <v>3215 ВЕТЧ.МЯСНАЯ Папа может п/о 0.4кг 8шт.    ОСТАНКИНО</v>
          </cell>
          <cell r="G48" t="str">
            <v>шт</v>
          </cell>
          <cell r="H48">
            <v>490</v>
          </cell>
          <cell r="I48">
            <v>196</v>
          </cell>
          <cell r="J48">
            <v>0.58595041322314056</v>
          </cell>
        </row>
        <row r="49">
          <cell r="D49" t="str">
            <v>3986 Ароматная с/к в/у 1/250 ОСТАНКИНО</v>
          </cell>
          <cell r="G49" t="str">
            <v>шт</v>
          </cell>
          <cell r="H49">
            <v>419</v>
          </cell>
          <cell r="I49">
            <v>104.75</v>
          </cell>
          <cell r="J49">
            <v>0.4478442280945758</v>
          </cell>
        </row>
        <row r="50">
          <cell r="D50" t="str">
            <v>4993 САЛЯМИ ИТАЛЬЯНСКАЯ с/к в/у 1/250*8_120c ОСТАНКИНО</v>
          </cell>
          <cell r="G50" t="str">
            <v>шт</v>
          </cell>
          <cell r="H50">
            <v>589</v>
          </cell>
          <cell r="I50">
            <v>147.25</v>
          </cell>
          <cell r="J50">
            <v>0.67886178861788615</v>
          </cell>
        </row>
        <row r="51">
          <cell r="D51" t="str">
            <v>5483 ЭКСТРА Папа может с/к в/у 1/250 8шт.   ОСТАНКИНО</v>
          </cell>
          <cell r="G51" t="str">
            <v>шт</v>
          </cell>
          <cell r="H51">
            <v>554</v>
          </cell>
          <cell r="I51">
            <v>138.5</v>
          </cell>
          <cell r="J51">
            <v>0.49424552429667518</v>
          </cell>
        </row>
        <row r="52">
          <cell r="D52" t="str">
            <v>5495 ВЕТЧ.С ИНДЕЙКОЙ Папа может п/о 400*6  Останкино</v>
          </cell>
          <cell r="G52" t="str">
            <v>шт</v>
          </cell>
          <cell r="H52">
            <v>435</v>
          </cell>
          <cell r="I52">
            <v>174</v>
          </cell>
          <cell r="J52">
            <v>0.47460087082728591</v>
          </cell>
        </row>
        <row r="53">
          <cell r="D53" t="str">
            <v>5819 Сосиски Папа может 400г Мясные  ОСТАНКИНО</v>
          </cell>
          <cell r="G53" t="str">
            <v>шт</v>
          </cell>
          <cell r="H53">
            <v>356</v>
          </cell>
          <cell r="I53">
            <v>142.4</v>
          </cell>
          <cell r="J53">
            <v>1</v>
          </cell>
        </row>
        <row r="54">
          <cell r="D54" t="str">
            <v>5931 ОХОТНИЧЬЯ Папа может с/к в/у 1/220 8шт.   ОСТАНКИНО</v>
          </cell>
          <cell r="G54" t="str">
            <v>шт</v>
          </cell>
          <cell r="H54">
            <v>657</v>
          </cell>
          <cell r="I54">
            <v>144.54</v>
          </cell>
          <cell r="J54">
            <v>0.52799552071668532</v>
          </cell>
        </row>
        <row r="55">
          <cell r="D55" t="str">
            <v>6221 НЕОПОЛИТАНСКИЙ ДУЭТ с/к с/н мгс 1/90  Останкино</v>
          </cell>
          <cell r="G55" t="str">
            <v>шт</v>
          </cell>
          <cell r="H55">
            <v>342</v>
          </cell>
          <cell r="I55">
            <v>30.78</v>
          </cell>
          <cell r="J55">
            <v>0.43263288009888751</v>
          </cell>
        </row>
        <row r="56">
          <cell r="D56" t="str">
            <v>6222 ИТАЛЬЯНСКОЕ АССОРТИ с/в с/н мгс 1/90 ОСТАНКИНО</v>
          </cell>
          <cell r="G56" t="str">
            <v>шт</v>
          </cell>
          <cell r="H56">
            <v>68</v>
          </cell>
          <cell r="I56">
            <v>6.12</v>
          </cell>
          <cell r="J56">
            <v>1</v>
          </cell>
        </row>
        <row r="57">
          <cell r="D57" t="str">
            <v>6228 МЯСНОЕ АССОРТИ к/з с/н мгс 1/90 10шт  Останкино</v>
          </cell>
          <cell r="G57" t="str">
            <v>шт</v>
          </cell>
          <cell r="H57">
            <v>199</v>
          </cell>
          <cell r="I57">
            <v>17.91</v>
          </cell>
          <cell r="J57">
            <v>0.55172413793103448</v>
          </cell>
        </row>
        <row r="58">
          <cell r="D58" t="str">
            <v>6279 КОРЕЙКА ПО-ОСТ.к/в в/с с/н в/у 1/150_45с  Останкино</v>
          </cell>
          <cell r="G58" t="str">
            <v>шт</v>
          </cell>
          <cell r="H58">
            <v>225</v>
          </cell>
          <cell r="I58">
            <v>33.75</v>
          </cell>
          <cell r="J58">
            <v>0.93548387096774177</v>
          </cell>
        </row>
        <row r="59">
          <cell r="D59" t="str">
            <v>6325 ДОКТОРСКАЯ ПРЕМИУМ вар п/о 0.4кг 8шт.  ОСТАНКИНО</v>
          </cell>
          <cell r="G59" t="str">
            <v>шт</v>
          </cell>
          <cell r="H59">
            <v>129</v>
          </cell>
          <cell r="I59">
            <v>51.6</v>
          </cell>
          <cell r="J59">
            <v>0.56488549618320616</v>
          </cell>
        </row>
        <row r="60">
          <cell r="D60" t="str">
            <v>6333 МЯСНАЯ Папа может вар п/о 0.4кг 8шт.  ОСТАНКИНО</v>
          </cell>
          <cell r="G60" t="str">
            <v>шт</v>
          </cell>
          <cell r="H60">
            <v>836</v>
          </cell>
          <cell r="I60">
            <v>334.4</v>
          </cell>
          <cell r="J60">
            <v>0.56711409395973145</v>
          </cell>
        </row>
        <row r="61">
          <cell r="D61" t="str">
            <v>6364 СЕРВЕЛАТ ЗЕРНИСТЫЙ ПМ в/к в/у 0.35кг  ОСТАНКИНО</v>
          </cell>
          <cell r="G61" t="str">
            <v>шт</v>
          </cell>
          <cell r="H61">
            <v>-1</v>
          </cell>
          <cell r="I61">
            <v>-0.35</v>
          </cell>
          <cell r="J61">
            <v>0</v>
          </cell>
        </row>
        <row r="62">
          <cell r="D62" t="str">
            <v>6392 ФИЛЕЙНАЯ Папа может вар п/о 0,4кг  ОСТАНКИНО</v>
          </cell>
          <cell r="G62" t="str">
            <v>шт</v>
          </cell>
          <cell r="H62">
            <v>779</v>
          </cell>
          <cell r="I62">
            <v>311.60000000000002</v>
          </cell>
          <cell r="J62">
            <v>0.61348077935755663</v>
          </cell>
        </row>
        <row r="63">
          <cell r="D63" t="str">
            <v>6411 ВЕТЧ.РУБЛЕНАЯ ПМ в/у срез 0.3кг 6шт.  ОСТАНКИНО</v>
          </cell>
          <cell r="G63" t="str">
            <v>шт</v>
          </cell>
          <cell r="H63">
            <v>82</v>
          </cell>
          <cell r="I63">
            <v>24.6</v>
          </cell>
          <cell r="J63">
            <v>0.23214285714285712</v>
          </cell>
        </row>
        <row r="64">
          <cell r="D64" t="str">
            <v>6453 ЭКСТРА Папа может с/к с/н в/у 1/100 14шт.   ОСТАНКИНО</v>
          </cell>
          <cell r="G64" t="str">
            <v>шт</v>
          </cell>
          <cell r="H64">
            <v>2</v>
          </cell>
          <cell r="I64">
            <v>0.2</v>
          </cell>
          <cell r="J64">
            <v>0</v>
          </cell>
        </row>
        <row r="65">
          <cell r="D65" t="str">
            <v>6475 Сосиски Папа может 400г С сыром  ОСТАНКИНО</v>
          </cell>
          <cell r="G65" t="str">
            <v>шт</v>
          </cell>
          <cell r="H65">
            <v>270</v>
          </cell>
          <cell r="I65">
            <v>108</v>
          </cell>
          <cell r="J65">
            <v>1</v>
          </cell>
        </row>
        <row r="66">
          <cell r="D66" t="str">
            <v>6495 ВЕТЧ.МРАМОРНАЯ в/у срез 0,3кг 6шт_45с  Останкино</v>
          </cell>
          <cell r="G66" t="str">
            <v>шт</v>
          </cell>
          <cell r="H66">
            <v>332</v>
          </cell>
          <cell r="I66">
            <v>99.6</v>
          </cell>
          <cell r="J66">
            <v>0.49881796690307323</v>
          </cell>
        </row>
        <row r="67">
          <cell r="D67" t="str">
            <v>6616 МОЛОЧНЫЕ КЛАССИЧЕСКИЕ сос п/о в/у 0,3 кг  Останкино</v>
          </cell>
          <cell r="G67" t="str">
            <v>шт</v>
          </cell>
          <cell r="H67">
            <v>501</v>
          </cell>
          <cell r="I67">
            <v>150.30000000000001</v>
          </cell>
          <cell r="J67">
            <v>0.29040404040404044</v>
          </cell>
        </row>
        <row r="68">
          <cell r="D68" t="str">
            <v>6697 СЕРВЕЛАТ ФИНСКИЙ ПМ в/к в/у 0,35кг 8шт  ОСТАНКИНО</v>
          </cell>
          <cell r="G68" t="str">
            <v>шт</v>
          </cell>
          <cell r="H68">
            <v>938</v>
          </cell>
          <cell r="I68">
            <v>328.3</v>
          </cell>
          <cell r="J68">
            <v>0.59639759839893258</v>
          </cell>
        </row>
        <row r="69">
          <cell r="D69" t="str">
            <v>6713 СОЧНЫЙ ГРИЛЬ ПМ сос п/о мгс 0,41кг 8 шт.  ОСТАНКИНО</v>
          </cell>
          <cell r="G69" t="str">
            <v>шт</v>
          </cell>
          <cell r="H69">
            <v>1353</v>
          </cell>
          <cell r="I69">
            <v>554.73</v>
          </cell>
          <cell r="J69">
            <v>0.60706401766004414</v>
          </cell>
        </row>
        <row r="70">
          <cell r="D70" t="str">
            <v>6724 МОЛОЧНЫЕ ПМ сос п/о мгс 0,41кг 10шт  Останкино</v>
          </cell>
          <cell r="G70" t="str">
            <v>шт</v>
          </cell>
          <cell r="H70">
            <v>824</v>
          </cell>
          <cell r="I70">
            <v>337.84</v>
          </cell>
          <cell r="J70">
            <v>0.41992551210428308</v>
          </cell>
        </row>
        <row r="71">
          <cell r="D71" t="str">
            <v>6765 РУБЛЕНЫЕ сос ц/о мгс 0,36кг 6шт  Останкино</v>
          </cell>
          <cell r="G71" t="str">
            <v>шт</v>
          </cell>
          <cell r="H71">
            <v>7</v>
          </cell>
          <cell r="I71">
            <v>2.52</v>
          </cell>
          <cell r="J71">
            <v>8.1967213114754092E-2</v>
          </cell>
        </row>
        <row r="72">
          <cell r="D72" t="str">
            <v>6787 СЕРВЕЛАТ КРЕМЛЕВСКИЙ в/к в/у 0,33кг 8шт  Останкино</v>
          </cell>
          <cell r="G72" t="str">
            <v>шт</v>
          </cell>
          <cell r="H72">
            <v>29</v>
          </cell>
          <cell r="I72">
            <v>9.57</v>
          </cell>
          <cell r="J72">
            <v>0.38644067796610171</v>
          </cell>
        </row>
        <row r="73">
          <cell r="D73" t="str">
            <v>6797 С ИНДЕЙКОЙ Папа может вар п/о 0,4кг 8шт. ОСТАНКИНО</v>
          </cell>
          <cell r="G73" t="str">
            <v>шт</v>
          </cell>
          <cell r="H73">
            <v>59</v>
          </cell>
          <cell r="I73">
            <v>23.6</v>
          </cell>
          <cell r="J73">
            <v>0.50269541778975735</v>
          </cell>
        </row>
        <row r="74">
          <cell r="D74" t="str">
            <v>6807 СЕРВЕЛАТ ЕВРОПЕЙСКИЙ в/к в/у 0,33кг 8шт  Останкино</v>
          </cell>
          <cell r="G74" t="str">
            <v>шт</v>
          </cell>
          <cell r="H74">
            <v>42</v>
          </cell>
          <cell r="I74">
            <v>13.86</v>
          </cell>
          <cell r="J74">
            <v>3.7037037037037035E-2</v>
          </cell>
        </row>
        <row r="75">
          <cell r="D75" t="str">
            <v>6837 ФИЛЕЙНЫЕ Папа Может сос ц/о мгс 0,4кг  Останкино</v>
          </cell>
          <cell r="G75" t="str">
            <v>шт</v>
          </cell>
          <cell r="H75">
            <v>312</v>
          </cell>
          <cell r="I75">
            <v>124.8</v>
          </cell>
          <cell r="J75">
            <v>1</v>
          </cell>
        </row>
        <row r="76">
          <cell r="D76" t="str">
            <v>6925 ВЕТЧ.КЛАССИЧЕСКАЯ в/у 0,6кг 8шт. ОСТАНКИНО</v>
          </cell>
          <cell r="G76" t="str">
            <v>шт</v>
          </cell>
          <cell r="H76">
            <v>44</v>
          </cell>
          <cell r="I76">
            <v>26.4</v>
          </cell>
          <cell r="J76">
            <v>0.39999999999999997</v>
          </cell>
        </row>
        <row r="77">
          <cell r="D77" t="str">
            <v>6937 САЛЯМИ Папа может с/к в/у 1/250 8шт  Останкино</v>
          </cell>
          <cell r="G77" t="str">
            <v>шт</v>
          </cell>
          <cell r="H77">
            <v>119</v>
          </cell>
          <cell r="I77">
            <v>29.75</v>
          </cell>
          <cell r="J77">
            <v>1</v>
          </cell>
        </row>
        <row r="78">
          <cell r="D78" t="str">
            <v>6967 БУРГУНДИЯ Папа может с/к в/у 1/250 8шт  Останкино</v>
          </cell>
          <cell r="G78" t="str">
            <v>шт</v>
          </cell>
          <cell r="H78">
            <v>370</v>
          </cell>
          <cell r="I78">
            <v>92.5</v>
          </cell>
          <cell r="J78">
            <v>0.56802721088435371</v>
          </cell>
        </row>
        <row r="79">
          <cell r="D79" t="str">
            <v>7040 С ИНДЕЙКОЙ ПМ сос ц/о в/у 1/270 8шт.  ОСТАНКИНО</v>
          </cell>
          <cell r="G79" t="str">
            <v>шт</v>
          </cell>
          <cell r="J79">
            <v>5.7142857142857143E-3</v>
          </cell>
        </row>
        <row r="80">
          <cell r="D80" t="str">
            <v>7059 ШПИКАЧКИ СОЧНЫЕ С БЕК. п/о мгс 0,3кг 60с ОСТАНКИНО</v>
          </cell>
          <cell r="G80" t="str">
            <v>шт</v>
          </cell>
          <cell r="H80">
            <v>12</v>
          </cell>
          <cell r="I80">
            <v>3.6</v>
          </cell>
          <cell r="J80">
            <v>0.19747899159663865</v>
          </cell>
        </row>
        <row r="81">
          <cell r="D81" t="str">
            <v>7066 СОЧНЫЕ ПМ сос п/о мгс 0,41кг 10шт 50с  Останкино</v>
          </cell>
          <cell r="G81" t="str">
            <v>шт</v>
          </cell>
          <cell r="H81">
            <v>2661</v>
          </cell>
          <cell r="I81">
            <v>1091.01</v>
          </cell>
          <cell r="J81">
            <v>0.44748274980833119</v>
          </cell>
        </row>
        <row r="82">
          <cell r="D82" t="str">
            <v>7067 СОЧНЫЕ ПМ сос. п/о мгс 0,41кг СНГ 50с ОСТАНКИНО</v>
          </cell>
          <cell r="G82" t="str">
            <v>шт</v>
          </cell>
          <cell r="H82">
            <v>-1</v>
          </cell>
          <cell r="I82">
            <v>-0.41</v>
          </cell>
          <cell r="J82">
            <v>0</v>
          </cell>
        </row>
        <row r="83">
          <cell r="D83" t="str">
            <v>7073 МОЛОЧ.ПРЕМИУМ ПМ сос п/о в/у 1/350_50с  Останкино</v>
          </cell>
          <cell r="G83" t="str">
            <v>шт</v>
          </cell>
          <cell r="H83">
            <v>452</v>
          </cell>
          <cell r="I83">
            <v>158.19999999999999</v>
          </cell>
          <cell r="J83">
            <v>0.62863795110593723</v>
          </cell>
        </row>
        <row r="84">
          <cell r="D84" t="str">
            <v>7080 СЛИВОЧНЫЕ ПМ сос п/о мгс 0,41кг 10шт 50с  Останкино</v>
          </cell>
          <cell r="G84" t="str">
            <v>шт</v>
          </cell>
          <cell r="H84">
            <v>1485</v>
          </cell>
          <cell r="I84">
            <v>608.85</v>
          </cell>
          <cell r="J84">
            <v>0.49294045426642114</v>
          </cell>
        </row>
        <row r="85">
          <cell r="D85" t="str">
            <v>7090 СВИНИНА ПО-ДОМ.к/в мл/к в/у 0,3кг_50с  Останкино</v>
          </cell>
          <cell r="G85" t="str">
            <v>шт</v>
          </cell>
          <cell r="H85">
            <v>481</v>
          </cell>
          <cell r="I85">
            <v>144.30000000000001</v>
          </cell>
          <cell r="J85">
            <v>0.60492379835873389</v>
          </cell>
        </row>
        <row r="86">
          <cell r="D86" t="str">
            <v>7103 БЕКОН Останкино с/к с/н в/у 1/180_50с  Останкино</v>
          </cell>
          <cell r="G86" t="str">
            <v>шт</v>
          </cell>
          <cell r="H86">
            <v>231</v>
          </cell>
          <cell r="I86">
            <v>41.58</v>
          </cell>
          <cell r="J86">
            <v>0.69161290322580649</v>
          </cell>
        </row>
        <row r="87">
          <cell r="D87" t="str">
            <v>7143 БРАУНШВЕЙГСКАЯ ГОСТ с/к в/у 1/220 8шт.  ОСТАНКИНО</v>
          </cell>
          <cell r="G87" t="str">
            <v>шт</v>
          </cell>
          <cell r="H87">
            <v>262</v>
          </cell>
          <cell r="I87">
            <v>57.64</v>
          </cell>
          <cell r="J87">
            <v>0</v>
          </cell>
        </row>
        <row r="88">
          <cell r="D88" t="str">
            <v>7147 САЛЬЧИЧОН Останкино с/к в/у 1/220 8 шт  Останкино</v>
          </cell>
          <cell r="G88" t="str">
            <v>шт</v>
          </cell>
          <cell r="H88">
            <v>144</v>
          </cell>
          <cell r="I88">
            <v>31.68</v>
          </cell>
          <cell r="J88">
            <v>1</v>
          </cell>
        </row>
        <row r="89">
          <cell r="D89" t="str">
            <v>7154 СЕРВЕЛАТ ЗЕРНИСТЫЙ ПМ в/к в/у 0,35кг_50с  Останкино</v>
          </cell>
          <cell r="G89" t="str">
            <v>шт</v>
          </cell>
          <cell r="H89">
            <v>1284</v>
          </cell>
          <cell r="I89">
            <v>449.4</v>
          </cell>
          <cell r="J89">
            <v>0.61917293233082715</v>
          </cell>
        </row>
        <row r="90">
          <cell r="D90" t="str">
            <v>7169 СЕРВЕЛАТ ОХОТНИЧИЙ ПМ в/к в/у 0,35кг_50с  Останкино</v>
          </cell>
          <cell r="G90" t="str">
            <v>шт</v>
          </cell>
          <cell r="H90">
            <v>927</v>
          </cell>
          <cell r="I90">
            <v>324.45</v>
          </cell>
          <cell r="J90">
            <v>0.54810049019607832</v>
          </cell>
        </row>
        <row r="91">
          <cell r="D91" t="str">
            <v>7177 ЧЕСНОЧНАЯ ПМ п/к в/у 0,35кг 8шт_50с  Останкино</v>
          </cell>
          <cell r="G91" t="str">
            <v>шт</v>
          </cell>
          <cell r="H91">
            <v>39</v>
          </cell>
          <cell r="I91">
            <v>13.65</v>
          </cell>
          <cell r="J91">
            <v>0.5960264900662251</v>
          </cell>
        </row>
        <row r="92">
          <cell r="D92" t="str">
            <v>7187 ГРУДИНКА ПРЕМИУМ к/в мл/к в/у 0,3кг_50с  Останкино</v>
          </cell>
          <cell r="G92" t="str">
            <v>шт</v>
          </cell>
          <cell r="H92">
            <v>348</v>
          </cell>
          <cell r="I92">
            <v>104.4</v>
          </cell>
          <cell r="J92">
            <v>0.4534075104311544</v>
          </cell>
        </row>
        <row r="93">
          <cell r="D93" t="str">
            <v>7231 КЛАССИЧЕСКАЯ ПМ вар п/о 0,3кг 8 шт_209к  Останкино</v>
          </cell>
          <cell r="G93" t="str">
            <v>шт</v>
          </cell>
          <cell r="H93">
            <v>6</v>
          </cell>
          <cell r="I93">
            <v>1.8</v>
          </cell>
          <cell r="J93">
            <v>0.20731707317073167</v>
          </cell>
        </row>
        <row r="94">
          <cell r="D94" t="str">
            <v>7232 БОЯNСКАЯ ПМ п/к в/у 0,28кг 8шт_209к  Останкино</v>
          </cell>
          <cell r="G94" t="str">
            <v>шт</v>
          </cell>
          <cell r="H94">
            <v>728</v>
          </cell>
          <cell r="I94">
            <v>203.84</v>
          </cell>
          <cell r="J94">
            <v>0.55424836601307192</v>
          </cell>
        </row>
        <row r="95">
          <cell r="D95" t="str">
            <v>7236 СЕРВЕЛАТ КАРЕЛЬСКИЙ в/к в/у 0,28кг_209к  Останкино</v>
          </cell>
          <cell r="G95" t="str">
            <v>шт</v>
          </cell>
          <cell r="H95">
            <v>852</v>
          </cell>
          <cell r="I95">
            <v>238.56</v>
          </cell>
          <cell r="J95">
            <v>0.65466101694915257</v>
          </cell>
        </row>
        <row r="96">
          <cell r="D96" t="str">
            <v>7238 СЕРВЕЛАТ ОРЕХОВЫЙ в/к в/у 0,31кг_209к  Останкино</v>
          </cell>
          <cell r="G96" t="str">
            <v>шт</v>
          </cell>
          <cell r="H96">
            <v>284</v>
          </cell>
          <cell r="I96">
            <v>88.04</v>
          </cell>
          <cell r="J96">
            <v>1</v>
          </cell>
        </row>
        <row r="97">
          <cell r="D97" t="str">
            <v>7241 САЛЯМИ Папа может п/к в/у 0,28кг ОСТАНКИНО</v>
          </cell>
          <cell r="G97" t="str">
            <v>шт</v>
          </cell>
          <cell r="H97">
            <v>358</v>
          </cell>
          <cell r="I97">
            <v>100.24</v>
          </cell>
          <cell r="J97">
            <v>0.65590062111801239</v>
          </cell>
        </row>
        <row r="98">
          <cell r="D98" t="str">
            <v>7255 МЯСНЫЕ С ГОВЯД.ПМ сос п/о мгс 0.4кг 6шт.  ОСТАНКИНО</v>
          </cell>
          <cell r="G98" t="str">
            <v>шт</v>
          </cell>
          <cell r="H98">
            <v>1883</v>
          </cell>
          <cell r="I98">
            <v>753.2</v>
          </cell>
          <cell r="J98">
            <v>0.53124018838304554</v>
          </cell>
        </row>
        <row r="99">
          <cell r="D99" t="str">
            <v>7284 ДЛЯ ДЕТЕЙ сос п/о мгс 0,33кг 6шт  Останкино</v>
          </cell>
          <cell r="G99" t="str">
            <v>шт</v>
          </cell>
          <cell r="H99">
            <v>-6</v>
          </cell>
          <cell r="I99">
            <v>-1.98</v>
          </cell>
          <cell r="J99">
            <v>0</v>
          </cell>
        </row>
        <row r="100">
          <cell r="D100" t="str">
            <v>7332 БОЯРСКАЯ ПМ п/к в/у 0,28кг ОСТАНКИНО</v>
          </cell>
          <cell r="G100" t="str">
            <v>шт</v>
          </cell>
          <cell r="H100">
            <v>3</v>
          </cell>
          <cell r="I100">
            <v>0.84</v>
          </cell>
          <cell r="J100">
            <v>9.45945945945946E-2</v>
          </cell>
        </row>
        <row r="101">
          <cell r="D101" t="str">
            <v>7334 МЯСНАЯ СО ШПИКОМ ПМ вар п/о 0.4кг 8шт.</v>
          </cell>
          <cell r="G101" t="str">
            <v>шт</v>
          </cell>
          <cell r="H101">
            <v>280</v>
          </cell>
          <cell r="I101">
            <v>112</v>
          </cell>
          <cell r="J101">
            <v>0</v>
          </cell>
        </row>
        <row r="102">
          <cell r="D102" t="str">
            <v>7344 КОНСЕРВЫ МЯС.ГОВЯДИНА ТУШ. В/С 338г_ЧЗ  ОСТАНКИНО</v>
          </cell>
          <cell r="G102" t="str">
            <v>шт</v>
          </cell>
          <cell r="H102">
            <v>248</v>
          </cell>
          <cell r="I102">
            <v>83.823999999999998</v>
          </cell>
          <cell r="J102">
            <v>0</v>
          </cell>
        </row>
        <row r="103">
          <cell r="D103" t="str">
            <v>7345 КОНСЕРВЫ МЯС.СВИНИНА ТУШ. В/С 325г_ЧЗ  ОСТАНКИНО</v>
          </cell>
          <cell r="G103" t="str">
            <v>шт</v>
          </cell>
          <cell r="H103">
            <v>259</v>
          </cell>
          <cell r="I103">
            <v>84.174999999999997</v>
          </cell>
          <cell r="J103">
            <v>0</v>
          </cell>
        </row>
        <row r="104">
          <cell r="D104" t="str">
            <v>7382  САЛЯМИ МЕЛКОЗЕРНЕНАЯ с/к в/у1/120 8шт.  ОСТАНКИНО</v>
          </cell>
          <cell r="G104" t="str">
            <v>шт</v>
          </cell>
          <cell r="H104">
            <v>355</v>
          </cell>
          <cell r="I104">
            <v>42.6</v>
          </cell>
          <cell r="J104">
            <v>0.54972375690607733</v>
          </cell>
        </row>
        <row r="105">
          <cell r="D105" t="str">
            <v>7386 БАРСЕЛОНА ПМ с/к в/у 1/150  ОСТАНКИНО</v>
          </cell>
          <cell r="G105" t="str">
            <v>шт</v>
          </cell>
          <cell r="H105">
            <v>189</v>
          </cell>
          <cell r="I105">
            <v>28.35</v>
          </cell>
          <cell r="J105">
            <v>0.65546218487394947</v>
          </cell>
        </row>
        <row r="106">
          <cell r="D106" t="str">
            <v>7456 САЛЯМИ ФИНСКАЯ Папа может с/к в/у 1/150  ОСТАНКИНО</v>
          </cell>
          <cell r="G106" t="str">
            <v>шт</v>
          </cell>
          <cell r="H106">
            <v>22</v>
          </cell>
          <cell r="I106">
            <v>3.3</v>
          </cell>
          <cell r="J106">
            <v>0.15384615384615385</v>
          </cell>
        </row>
        <row r="107">
          <cell r="D107" t="str">
            <v>7461 ДЛЯ ДЕТЕЙ Папа Может сос п/о мгс 0,33кг ОСТАНКИНО</v>
          </cell>
          <cell r="G107" t="str">
            <v>шт</v>
          </cell>
          <cell r="H107">
            <v>122</v>
          </cell>
          <cell r="I107">
            <v>40.26</v>
          </cell>
          <cell r="J107">
            <v>0.40757575757575754</v>
          </cell>
        </row>
        <row r="108">
          <cell r="D108" t="str">
            <v>7485 РИЕТ МЯСНОЙ С ГРИБАМИ ПМ п/о 1/150  ОСТАНКИНО</v>
          </cell>
          <cell r="G108" t="str">
            <v>шт</v>
          </cell>
          <cell r="H108">
            <v>9</v>
          </cell>
          <cell r="I108">
            <v>1.35</v>
          </cell>
          <cell r="J108">
            <v>0.3141891891891892</v>
          </cell>
        </row>
        <row r="109">
          <cell r="D109" t="str">
            <v>7489 СЫРРРВЕЛАТ Папа Может в/к в/у 0,28кг 8шт. ОСТАНКИНО</v>
          </cell>
          <cell r="G109" t="str">
            <v>шт</v>
          </cell>
          <cell r="H109">
            <v>128</v>
          </cell>
          <cell r="I109">
            <v>35.840000000000003</v>
          </cell>
          <cell r="J109">
            <v>0</v>
          </cell>
        </row>
        <row r="110">
          <cell r="D110" t="str">
            <v>7513 ВОСКРЕСЕНСКАЯ ВЯЛЕНАЯ в/к в/у срез 1/260  ОСТАНКИНО</v>
          </cell>
          <cell r="G110" t="str">
            <v>шт</v>
          </cell>
          <cell r="H110">
            <v>100</v>
          </cell>
          <cell r="I110">
            <v>26</v>
          </cell>
          <cell r="J110">
            <v>0.51412429378531066</v>
          </cell>
        </row>
        <row r="111">
          <cell r="D111" t="str">
            <v>7516 НОВОМОСКОВСКАЯ в/к в/у срез 0.31кг  ОСТАНКИНО</v>
          </cell>
          <cell r="G111" t="str">
            <v>шт</v>
          </cell>
          <cell r="H111">
            <v>91</v>
          </cell>
          <cell r="I111">
            <v>28.21</v>
          </cell>
          <cell r="J111">
            <v>0.4705882352941177</v>
          </cell>
        </row>
        <row r="112">
          <cell r="D112" t="str">
            <v>7523 ГОВЯЖЬЯ Папа Может вар п/о 0,4кг 6шт. ОСТАНКИНО</v>
          </cell>
          <cell r="G112" t="str">
            <v>шт</v>
          </cell>
          <cell r="H112">
            <v>596</v>
          </cell>
          <cell r="I112">
            <v>238.4</v>
          </cell>
          <cell r="J112">
            <v>0.68349514563106806</v>
          </cell>
        </row>
        <row r="113">
          <cell r="D113" t="str">
            <v>7539 ДОКТОРСКАЯ ГОСТ вар п/о 0,35кг ОСТАНКИНО</v>
          </cell>
          <cell r="G113" t="str">
            <v>шт</v>
          </cell>
          <cell r="H113">
            <v>128</v>
          </cell>
          <cell r="I113">
            <v>44.8</v>
          </cell>
          <cell r="J113">
            <v>0.5</v>
          </cell>
        </row>
        <row r="114">
          <cell r="D114" t="str">
            <v>7601 ДЛЯ ДЕТЕЙ Папа может сос п/о мгс 0.264кг  ОСТАНКИНО</v>
          </cell>
          <cell r="G114" t="str">
            <v>шт</v>
          </cell>
          <cell r="H114">
            <v>158</v>
          </cell>
          <cell r="I114">
            <v>41.712000000000003</v>
          </cell>
          <cell r="J114">
            <v>0.42307692307692307</v>
          </cell>
        </row>
        <row r="115">
          <cell r="D115" t="str">
            <v>7603 БАЛЫКОВАЯ в/к в/у 0.33кг 8шт. ОСТАНКИНО</v>
          </cell>
          <cell r="G115" t="str">
            <v>шт</v>
          </cell>
          <cell r="H115">
            <v>316</v>
          </cell>
          <cell r="I115">
            <v>104.28</v>
          </cell>
          <cell r="J115">
            <v>0.7021276595744681</v>
          </cell>
        </row>
        <row r="116">
          <cell r="D116" t="str">
            <v>7608 СЕРВЕЛАТ ШВЕЙЦАРСК.в/к с/н в/у 1/100_Л11  ОСТАНКИНО</v>
          </cell>
          <cell r="G116" t="str">
            <v>шт</v>
          </cell>
          <cell r="H116">
            <v>46</v>
          </cell>
          <cell r="I116">
            <v>4.5999999999999996</v>
          </cell>
          <cell r="J116">
            <v>0.90909090909090906</v>
          </cell>
        </row>
        <row r="117">
          <cell r="D117" t="str">
            <v>7612 БАЛЫК с/к с/н в/у 1/100 10шт_  ОСТАНКИНО</v>
          </cell>
          <cell r="G117" t="str">
            <v>шт</v>
          </cell>
          <cell r="H117">
            <v>154</v>
          </cell>
          <cell r="I117">
            <v>15.4</v>
          </cell>
          <cell r="J117">
            <v>0.51694915254237284</v>
          </cell>
        </row>
        <row r="118">
          <cell r="D118" t="str">
            <v>7613 АРОМАТНАЯ с/к с/н в/у 1/100 10шт_Л10  ОСТАНКИНО</v>
          </cell>
          <cell r="G118" t="str">
            <v>шт</v>
          </cell>
          <cell r="H118">
            <v>278</v>
          </cell>
          <cell r="I118">
            <v>27.8</v>
          </cell>
          <cell r="J118">
            <v>0.24617737003058104</v>
          </cell>
        </row>
        <row r="119">
          <cell r="D119" t="str">
            <v>7616 ЭКСТРА Папа может с/к с/н в/у 1/100_  ОСТАНКИНО</v>
          </cell>
          <cell r="G119" t="str">
            <v>шт</v>
          </cell>
          <cell r="H119">
            <v>211</v>
          </cell>
          <cell r="I119">
            <v>21.1</v>
          </cell>
          <cell r="J119">
            <v>0.50526315789473686</v>
          </cell>
        </row>
        <row r="120">
          <cell r="D120" t="str">
            <v>7626 БРАУНШВЕЙГСКАЯ с/к с/н мгс 1/100_Л10  ОСТАНКИНО</v>
          </cell>
          <cell r="G120" t="str">
            <v>шт</v>
          </cell>
          <cell r="H120">
            <v>-3</v>
          </cell>
          <cell r="I120">
            <v>-0.3</v>
          </cell>
          <cell r="J120">
            <v>0</v>
          </cell>
        </row>
        <row r="121">
          <cell r="D121" t="str">
            <v>7632 ЭКСТРА Папа может вар п/о 0.4кг 8шт_195к  ОСТАНКИНО</v>
          </cell>
          <cell r="G121" t="str">
            <v>шт</v>
          </cell>
          <cell r="H121">
            <v>795</v>
          </cell>
          <cell r="I121">
            <v>318</v>
          </cell>
          <cell r="J121">
            <v>0.34303977272727271</v>
          </cell>
        </row>
        <row r="122">
          <cell r="D122" t="str">
            <v>7647 ХОЧУ ВЕТЧ.ИЗ СВ.ОТРУБА с/н мгс 1/100_Л11  ОСТАНКИНО</v>
          </cell>
          <cell r="G122" t="str">
            <v>шт</v>
          </cell>
          <cell r="H122">
            <v>167</v>
          </cell>
          <cell r="I122">
            <v>16.7</v>
          </cell>
          <cell r="J122">
            <v>0.30463576158940397</v>
          </cell>
        </row>
        <row r="123">
          <cell r="D123" t="str">
            <v>7651 ХОЧУ ВЕТЧ.МРАМОР. ПМ с/н мгс 1/100_Л11  ОСТАНКИНО</v>
          </cell>
          <cell r="G123" t="str">
            <v>шт</v>
          </cell>
          <cell r="H123">
            <v>165</v>
          </cell>
          <cell r="I123">
            <v>16.5</v>
          </cell>
          <cell r="J123">
            <v>0.30722891566265054</v>
          </cell>
        </row>
        <row r="124">
          <cell r="D124" t="str">
            <v>7710 КРАКОВСКАЯ ГОСТ п/к н/о мгс 0.3кг  ОСТАНКИНО</v>
          </cell>
          <cell r="G124" t="str">
            <v>шт</v>
          </cell>
          <cell r="H124">
            <v>105</v>
          </cell>
          <cell r="I124">
            <v>31.5</v>
          </cell>
          <cell r="J124">
            <v>1</v>
          </cell>
        </row>
        <row r="125">
          <cell r="D125" t="str">
            <v>Останкино (соусы, майонезы)</v>
          </cell>
        </row>
        <row r="126">
          <cell r="D126" t="str">
            <v>6948249 Майонезный соус провансаль 824,5гр деликатес.с массовой долей жирн.25% Коровино Останкино</v>
          </cell>
          <cell r="G126" t="str">
            <v>шт</v>
          </cell>
          <cell r="H126">
            <v>128</v>
          </cell>
          <cell r="I126">
            <v>105.47199999999999</v>
          </cell>
          <cell r="J126">
            <v>1</v>
          </cell>
        </row>
        <row r="127">
          <cell r="D127" t="str">
            <v>6948256 Майонез провансаль классич.оливковый Папа может 372гр с массовой долей жирн. 67% Останкино</v>
          </cell>
          <cell r="G127" t="str">
            <v>шт</v>
          </cell>
          <cell r="H127">
            <v>124</v>
          </cell>
          <cell r="I127">
            <v>46.128</v>
          </cell>
          <cell r="J127">
            <v>0.41855203619909498</v>
          </cell>
        </row>
        <row r="128">
          <cell r="D128" t="str">
            <v>6948263 Майонез провансаль классич.оливковый Папа может 744гр с массовой долей жирн. 67% Останкино</v>
          </cell>
          <cell r="G128" t="str">
            <v>шт</v>
          </cell>
          <cell r="H128">
            <v>173</v>
          </cell>
          <cell r="I128">
            <v>128.71199999999999</v>
          </cell>
          <cell r="J128">
            <v>0.31338028169014082</v>
          </cell>
        </row>
        <row r="129">
          <cell r="D129" t="str">
            <v>6948270 Майонез провансаль классич.Папа может 372гр с массовой долей жирн. 67% Останкино</v>
          </cell>
          <cell r="G129" t="str">
            <v>шт</v>
          </cell>
          <cell r="H129">
            <v>299</v>
          </cell>
          <cell r="I129">
            <v>111.22799999999999</v>
          </cell>
          <cell r="J129">
            <v>0.33272394881170014</v>
          </cell>
        </row>
        <row r="130">
          <cell r="D130" t="str">
            <v>6948287 Майонез провансаль классич.Папа может 744гр с массовой долей жирн. 67% Останкино</v>
          </cell>
          <cell r="G130" t="str">
            <v>шт</v>
          </cell>
          <cell r="H130">
            <v>157</v>
          </cell>
          <cell r="I130">
            <v>116.80800000000001</v>
          </cell>
          <cell r="J130">
            <v>0.21840659340659344</v>
          </cell>
        </row>
        <row r="131">
          <cell r="D131" t="str">
            <v>Останкино Заморозка</v>
          </cell>
        </row>
        <row r="132">
          <cell r="D132" t="str">
            <v>5579 БЛИНЧ.КРУГЛЫЕ С САД.ЯБЛОК.пл.1/420 зам. ОСТАНКИНО</v>
          </cell>
          <cell r="G132" t="str">
            <v>шт</v>
          </cell>
          <cell r="H132">
            <v>240</v>
          </cell>
          <cell r="I132">
            <v>100.8</v>
          </cell>
          <cell r="J132">
            <v>1</v>
          </cell>
        </row>
        <row r="133">
          <cell r="D133" t="str">
            <v>5754 БЛИНЧ.КРУГЛЫЕ С МЯСОМ 4,5кг зам. ПМ ОСТАНКИНО</v>
          </cell>
          <cell r="G133" t="str">
            <v>кг</v>
          </cell>
          <cell r="H133">
            <v>78.346000000000004</v>
          </cell>
          <cell r="I133">
            <v>78.346000000000004</v>
          </cell>
          <cell r="J133">
            <v>0.2006630605478974</v>
          </cell>
        </row>
        <row r="134">
          <cell r="D134" t="str">
            <v>5755 БЛИНЧ.КРУГЛЫЕ С ТВОРОГОМ 4,5кг зам. ПМ ОСТАНКИНО</v>
          </cell>
          <cell r="G134" t="str">
            <v>кг</v>
          </cell>
          <cell r="H134">
            <v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          <v>5897 БЛИНЧ.КРУГЛЫЕ С ГРУШЕЙ пл.1/420 зам.   ОСТАНКИНО</v>
          </cell>
          <cell r="G135" t="str">
            <v>шт</v>
          </cell>
          <cell r="H135">
            <v>97</v>
          </cell>
          <cell r="I135">
            <v>40.74</v>
          </cell>
          <cell r="J135">
            <v>0.75</v>
          </cell>
        </row>
        <row r="136">
          <cell r="D136" t="str">
            <v>6148 БЛИНЧ.КРУГЛЫЕ С ВЕТЧ.И СЫР. ПМ 1/300 зам. ОСТАНКИНО</v>
          </cell>
          <cell r="G136" t="str">
            <v>шт</v>
          </cell>
          <cell r="H136">
            <v>45</v>
          </cell>
          <cell r="I136">
            <v>13.5</v>
          </cell>
          <cell r="J136">
            <v>0.16216216216216214</v>
          </cell>
        </row>
        <row r="137">
          <cell r="D137" t="str">
            <v>6149 БЛИНЧ.КРУГЛЫЕ С ПЕЧЕНЬЮ ПМ 1/300 зам. ОСТАНКИНО</v>
          </cell>
          <cell r="G137" t="str">
            <v>шт</v>
          </cell>
          <cell r="H137">
            <v>27</v>
          </cell>
          <cell r="I137">
            <v>8.1</v>
          </cell>
          <cell r="J137">
            <v>0.291866028708134</v>
          </cell>
        </row>
        <row r="138">
          <cell r="D138" t="str">
            <v>6168 Блинчики с мясом пл. 1/350 зам. ОСТАНКИНО</v>
          </cell>
          <cell r="G138" t="str">
            <v>шт</v>
          </cell>
          <cell r="H138">
            <v>10</v>
          </cell>
          <cell r="I138">
            <v>3.5</v>
          </cell>
          <cell r="J138">
            <v>0.19414893617021278</v>
          </cell>
        </row>
        <row r="139">
          <cell r="D139" t="str">
            <v>6202 БЛИНЧ.КРУГЛЫЕ С ТВОРОГОМ ПМ 1/300 зам. ОСТАНКИНО</v>
          </cell>
          <cell r="G139" t="str">
            <v>шт</v>
          </cell>
          <cell r="H139">
            <v>6</v>
          </cell>
          <cell r="I139">
            <v>1.8</v>
          </cell>
          <cell r="J139">
            <v>0.23602484472049692</v>
          </cell>
        </row>
        <row r="140">
          <cell r="D140" t="str">
            <v>6209 Блинчики с куриным мясом пл. 1/350 зам. ОСТАНКИНО</v>
          </cell>
          <cell r="G140" t="str">
            <v>шт</v>
          </cell>
          <cell r="H140">
            <v>28</v>
          </cell>
          <cell r="I140">
            <v>9.8000000000000007</v>
          </cell>
          <cell r="J140">
            <v>0.25641025641025639</v>
          </cell>
        </row>
        <row r="141">
          <cell r="D141" t="str">
            <v>6819 БЛИНЧ.КРУГЛЫЕ С САД.ЯБЛОК. пл. 1/300 зам. ОСТАНКИНО</v>
          </cell>
          <cell r="G141" t="str">
            <v>шт</v>
          </cell>
          <cell r="H141">
            <v>100</v>
          </cell>
          <cell r="I141">
            <v>30</v>
          </cell>
          <cell r="J141">
            <v>0</v>
          </cell>
        </row>
        <row r="142">
          <cell r="D142" t="str">
            <v>7216 СОЧНЫЕ СО СЛ.МАСЛ.ПМ пельм пл.0.7кг зам. ОСТАНКИНО</v>
          </cell>
          <cell r="G142" t="str">
            <v>шт</v>
          </cell>
          <cell r="H142">
            <v>83</v>
          </cell>
          <cell r="I142">
            <v>58.1</v>
          </cell>
          <cell r="J142">
            <v>0.15596330275229359</v>
          </cell>
        </row>
        <row r="143">
          <cell r="D143" t="str">
            <v>Останкино КОРОВИНО (ВЕС)</v>
          </cell>
        </row>
        <row r="144">
          <cell r="D144" t="str">
            <v>6866 ВЕТЧ.НЕЖНАЯ Коровино п/о_Маяк  Останкино</v>
          </cell>
          <cell r="G144" t="str">
            <v>кг</v>
          </cell>
          <cell r="H144">
            <v>268.755</v>
          </cell>
          <cell r="I144">
            <v>268.755</v>
          </cell>
          <cell r="J144">
            <v>0.36221305452517327</v>
          </cell>
        </row>
        <row r="145">
          <cell r="D145" t="str">
            <v>Останкино СЫР</v>
          </cell>
        </row>
        <row r="146">
          <cell r="D146" t="str">
            <v>1103201 Сыр копченый "Косичка" мини ПАПА МОЖЕТ 55г лоток  ОСТАНКИНО</v>
          </cell>
          <cell r="G146" t="str">
            <v>шт</v>
          </cell>
          <cell r="H146">
            <v>23</v>
          </cell>
          <cell r="I146">
            <v>1.2649999999999999</v>
          </cell>
          <cell r="J146">
            <v>0</v>
          </cell>
        </row>
        <row r="147">
          <cell r="D147" t="str">
            <v>2103201 БЖП, произведенный по технологии сыра копченый "Косичка" мини Ассорти  ОСТАНКИНО</v>
          </cell>
          <cell r="G147" t="str">
            <v>шт</v>
          </cell>
          <cell r="H147">
            <v>21</v>
          </cell>
          <cell r="I147">
            <v>2.1</v>
          </cell>
          <cell r="J147">
            <v>0</v>
          </cell>
        </row>
        <row r="148">
          <cell r="D148" t="str">
            <v>2105201 БЖП, произведенный по технологии сыра копченый "Балык" резаный 4 вкуса  ОСТАНКИНО</v>
          </cell>
          <cell r="G148" t="str">
            <v>шт</v>
          </cell>
          <cell r="H148">
            <v>27</v>
          </cell>
          <cell r="I148">
            <v>2.7</v>
          </cell>
          <cell r="J148">
            <v>0</v>
          </cell>
        </row>
        <row r="149">
          <cell r="D149" t="str">
            <v>3323 Сыр Российский цилиндр 1/4 пленка ЮКМП м.д.ж. 50%  ОСТАНКИНО</v>
          </cell>
          <cell r="G149" t="str">
            <v>кг</v>
          </cell>
          <cell r="H149">
            <v>60.197000000000003</v>
          </cell>
          <cell r="I149">
            <v>60.197000000000003</v>
          </cell>
          <cell r="J149">
            <v>7.066910019782513E-2</v>
          </cell>
        </row>
        <row r="150">
          <cell r="D150" t="str">
            <v>4421577 Спред растительно-сливочный "Сливочный вкус" 82,5% 180гр  Останкино</v>
          </cell>
          <cell r="G150" t="str">
            <v>шт</v>
          </cell>
          <cell r="H150">
            <v>32</v>
          </cell>
          <cell r="I150">
            <v>5.76</v>
          </cell>
          <cell r="J150">
            <v>0.51138716356107661</v>
          </cell>
        </row>
        <row r="151">
          <cell r="D151" t="str">
            <v>4421584 Спред растительно-сливочный "Сливочный вкус" 72,5% 180гр  Останкино</v>
          </cell>
          <cell r="G151" t="str">
            <v>шт</v>
          </cell>
          <cell r="H151">
            <v>123</v>
          </cell>
          <cell r="I151">
            <v>22.14</v>
          </cell>
          <cell r="J151">
            <v>0.10526315789473684</v>
          </cell>
        </row>
        <row r="152">
          <cell r="D152" t="str">
            <v>4931  Сыр полутвердый "Купеческий" с ароматом топленого молока, с м.д.ж. 50% ОСТАНКИНО</v>
          </cell>
          <cell r="G152" t="str">
            <v>кг</v>
          </cell>
          <cell r="H152">
            <v>9.8439999999999994</v>
          </cell>
          <cell r="I152">
            <v>9.8439999999999994</v>
          </cell>
          <cell r="J152">
            <v>9.3498736503560761E-2</v>
          </cell>
        </row>
        <row r="153">
          <cell r="D153" t="str">
            <v>9988421 Творожный Сыр 60 % С маринованными огурчиками и укропом  Останкино</v>
          </cell>
          <cell r="G153" t="str">
            <v>шт</v>
          </cell>
          <cell r="H153">
            <v>30</v>
          </cell>
          <cell r="I153">
            <v>4.2</v>
          </cell>
          <cell r="J153">
            <v>5.1724137931034489E-2</v>
          </cell>
        </row>
        <row r="154">
          <cell r="D154" t="str">
            <v>9988438 Плавленый Сыр 45% "С ветчиной" СТМ"ПапаМожет" 180гр  Останкино</v>
          </cell>
          <cell r="G154" t="str">
            <v>шт</v>
          </cell>
          <cell r="H154">
            <v>53</v>
          </cell>
          <cell r="I154">
            <v>9.5399999999999991</v>
          </cell>
          <cell r="J154">
            <v>0.15189873417721519</v>
          </cell>
        </row>
        <row r="155">
          <cell r="D155" t="str">
            <v>9988445 Плавленый Сыр 45%"С грибами" СТМ"ПапаМожет" 180 гр  Останкино</v>
          </cell>
          <cell r="G155" t="str">
            <v>шт</v>
          </cell>
          <cell r="H155">
            <v>77</v>
          </cell>
          <cell r="I155">
            <v>13.86</v>
          </cell>
          <cell r="J155">
            <v>0.14150943396226418</v>
          </cell>
        </row>
        <row r="156">
          <cell r="D156" t="str">
            <v>Cыр Перлини со вкусом Васаби 40% 100гр (8шт)  Останкино</v>
          </cell>
          <cell r="G156" t="str">
            <v>шт</v>
          </cell>
          <cell r="H156">
            <v>55</v>
          </cell>
          <cell r="I156">
            <v>5.5</v>
          </cell>
          <cell r="J156">
            <v>0</v>
          </cell>
        </row>
        <row r="157">
          <cell r="D157" t="str">
            <v>Масло "Папа может" 82,5% 180гр  Останкино</v>
          </cell>
          <cell r="G157" t="str">
            <v>шт</v>
          </cell>
          <cell r="H157">
            <v>392</v>
          </cell>
          <cell r="I157">
            <v>70.56</v>
          </cell>
          <cell r="J157">
            <v>0.14578910120311395</v>
          </cell>
        </row>
        <row r="158">
          <cell r="D158" t="str">
            <v>Масло сливочное 72,5 % 180 гр.(10 шт) СЛАВЯНА  Останкино</v>
          </cell>
          <cell r="G158" t="str">
            <v>шт</v>
          </cell>
          <cell r="H158">
            <v>475</v>
          </cell>
          <cell r="I158">
            <v>85.5</v>
          </cell>
          <cell r="J158">
            <v>0.11357702349869452</v>
          </cell>
        </row>
        <row r="159">
          <cell r="D159" t="str">
            <v>Плавленый продукт с Сыром колбасный копченый 40% СТМ "Коровино" 400гр  Останкино</v>
          </cell>
          <cell r="G159" t="str">
            <v>шт</v>
          </cell>
          <cell r="H159">
            <v>85</v>
          </cell>
          <cell r="I159">
            <v>34</v>
          </cell>
          <cell r="J159">
            <v>0</v>
          </cell>
        </row>
        <row r="160">
          <cell r="D160" t="str">
            <v>Плавленый сыр "Шоколадный" 30% 180гр Папа Может Останкино</v>
          </cell>
          <cell r="G160" t="str">
            <v>шт</v>
          </cell>
          <cell r="H160">
            <v>174</v>
          </cell>
          <cell r="I160">
            <v>31.32</v>
          </cell>
          <cell r="J160">
            <v>0.12195121951219513</v>
          </cell>
        </row>
        <row r="161">
          <cell r="D161" t="str">
            <v>Плавленый Сыр колбасный копченый 40% СТМ"ПапаМожет"400гр  Останкино</v>
          </cell>
          <cell r="G161" t="str">
            <v>шт</v>
          </cell>
          <cell r="H161">
            <v>42</v>
          </cell>
          <cell r="I161">
            <v>16.8</v>
          </cell>
          <cell r="J161">
            <v>0.22222222222222224</v>
          </cell>
        </row>
        <row r="162">
          <cell r="D162" t="str">
            <v>Продукт белково-жировой Сметанковый 50% ВЕС Коровино Останкино</v>
          </cell>
          <cell r="G162" t="str">
            <v>кг</v>
          </cell>
          <cell r="H162">
            <v>59.395000000000003</v>
          </cell>
          <cell r="I162">
            <v>59.395000000000003</v>
          </cell>
          <cell r="J162">
            <v>0</v>
          </cell>
        </row>
        <row r="163">
          <cell r="D163" t="str">
            <v>Продукт По-Росийски Классический с ЗМЖ 50% 200г Коровино Останкино</v>
          </cell>
          <cell r="G163" t="str">
            <v>шт</v>
          </cell>
          <cell r="H163">
            <v>24</v>
          </cell>
          <cell r="I163">
            <v>4.8</v>
          </cell>
          <cell r="J163">
            <v>0</v>
          </cell>
        </row>
        <row r="164">
          <cell r="D164" t="str">
            <v>Продукт По-Росийски Классический с ЗМЖ 50% ВЕС Коровино Останкино</v>
          </cell>
          <cell r="G164" t="str">
            <v>кг</v>
          </cell>
          <cell r="H164">
            <v>14.645</v>
          </cell>
          <cell r="I164">
            <v>14.645</v>
          </cell>
          <cell r="J164">
            <v>0</v>
          </cell>
        </row>
        <row r="165">
          <cell r="D165" t="str">
            <v>Сыр "Пармезан" 40% кусок 180 гр  ОСТАНКИНО</v>
          </cell>
          <cell r="G165" t="str">
            <v>шт</v>
          </cell>
          <cell r="H165">
            <v>111</v>
          </cell>
          <cell r="I165">
            <v>19.98</v>
          </cell>
          <cell r="J165">
            <v>1</v>
          </cell>
        </row>
        <row r="166">
          <cell r="D166" t="str">
            <v>Сыр Боккончини копченый 40% 100 гр.  ОСТАНКИНО</v>
          </cell>
          <cell r="G166" t="str">
            <v>шт</v>
          </cell>
          <cell r="H166">
            <v>86</v>
          </cell>
          <cell r="I166">
            <v>8.6</v>
          </cell>
          <cell r="J166">
            <v>0.4763779527559055</v>
          </cell>
        </row>
        <row r="167">
          <cell r="D167" t="str">
            <v>Сыр Косичка сырная 45% 100г/8шт Папа Может Останкино</v>
          </cell>
          <cell r="G167" t="str">
            <v>шт</v>
          </cell>
          <cell r="H167">
            <v>294</v>
          </cell>
          <cell r="I167">
            <v>29.4</v>
          </cell>
          <cell r="J167">
            <v>0.36930860033726814</v>
          </cell>
        </row>
        <row r="168">
          <cell r="D168" t="str">
            <v>Сыр Косичка сырная копченая 43% 100г/8шт Папа Может Останкино</v>
          </cell>
          <cell r="G168" t="str">
            <v>шт</v>
          </cell>
          <cell r="H168">
            <v>64</v>
          </cell>
          <cell r="I168">
            <v>6.4</v>
          </cell>
          <cell r="J168">
            <v>0.38228438228438227</v>
          </cell>
        </row>
        <row r="169">
          <cell r="D169" t="str">
            <v>Сыр ПАПА МОЖЕТ "Гауда Голд" 45 % 180 гр (10шт) Останкино</v>
          </cell>
          <cell r="G169" t="str">
            <v>шт</v>
          </cell>
          <cell r="H169">
            <v>95</v>
          </cell>
          <cell r="I169">
            <v>17.100000000000001</v>
          </cell>
          <cell r="J169">
            <v>9.0909090909090912E-2</v>
          </cell>
        </row>
        <row r="170">
          <cell r="D170" t="str">
            <v>Сыр ПАПА МОЖЕТ "Голландский традиционный" 45% 180 гр (10шт)  Останкино</v>
          </cell>
          <cell r="G170" t="str">
            <v>шт</v>
          </cell>
          <cell r="H170">
            <v>126</v>
          </cell>
          <cell r="I170">
            <v>22.68</v>
          </cell>
          <cell r="J170">
            <v>0.22115384615384617</v>
          </cell>
        </row>
        <row r="171">
          <cell r="D171" t="str">
            <v>Сыр ПАПА МОЖЕТ "Министерский" 180 г фасованный массовая  Останкино</v>
          </cell>
          <cell r="G171" t="str">
            <v>шт</v>
          </cell>
          <cell r="H171">
            <v>3</v>
          </cell>
          <cell r="I171">
            <v>0.54</v>
          </cell>
          <cell r="J171">
            <v>0</v>
          </cell>
        </row>
        <row r="172">
          <cell r="D172" t="str">
            <v>Сыр ПАПА МОЖЕТ "Папин завтрак"  45% 180 г  Останкино</v>
          </cell>
          <cell r="G172" t="str">
            <v>шт</v>
          </cell>
          <cell r="H172">
            <v>106</v>
          </cell>
          <cell r="I172">
            <v>19.079999999999998</v>
          </cell>
          <cell r="J172">
            <v>9.3750000000000014E-2</v>
          </cell>
        </row>
        <row r="173">
          <cell r="D173" t="str">
            <v>Сыр ПАПА МОЖЕТ "Российский традиционный"45 % 180 г Останкино</v>
          </cell>
          <cell r="G173" t="str">
            <v>шт</v>
          </cell>
          <cell r="H173">
            <v>542</v>
          </cell>
          <cell r="I173">
            <v>97.56</v>
          </cell>
          <cell r="J173">
            <v>0.12488928255093003</v>
          </cell>
        </row>
        <row r="174">
          <cell r="D174" t="str">
            <v>Сыр ПАПА МОЖЕТ "Тильзитер" фасованный массовая доля жира в сухом веществе 45%, 180г  Останкино</v>
          </cell>
          <cell r="G174" t="str">
            <v>шт</v>
          </cell>
          <cell r="H174">
            <v>204</v>
          </cell>
          <cell r="I174">
            <v>36.72</v>
          </cell>
          <cell r="J174">
            <v>0.18965517241379309</v>
          </cell>
        </row>
        <row r="175">
          <cell r="D175" t="str">
            <v>Сыр плавленный Сливочный ж.45% 180г ТМ Папа может (16шт)  Останкино</v>
          </cell>
          <cell r="G175" t="str">
            <v>шт</v>
          </cell>
          <cell r="H175">
            <v>142</v>
          </cell>
          <cell r="I175">
            <v>25.56</v>
          </cell>
          <cell r="J175">
            <v>0.11989100817438691</v>
          </cell>
        </row>
        <row r="176">
          <cell r="D176" t="str">
            <v>Сыр полутвердый "Гауда" с массовой долей жира в пересчете на сухое вещество 45%,   Останкино</v>
          </cell>
          <cell r="G176" t="str">
            <v>кг</v>
          </cell>
          <cell r="H176">
            <v>162.59399999999999</v>
          </cell>
          <cell r="I176">
            <v>162.59399999999999</v>
          </cell>
          <cell r="J176">
            <v>0.3927738927738928</v>
          </cell>
        </row>
        <row r="177">
          <cell r="D177" t="str">
            <v>Сыр полутвердый "Голландский" с массовой долей жира в пересчете на сухое  Останкино</v>
          </cell>
          <cell r="G177" t="str">
            <v>кг</v>
          </cell>
          <cell r="H177">
            <v>43.125999999999998</v>
          </cell>
          <cell r="I177">
            <v>43.125999999999998</v>
          </cell>
          <cell r="J177">
            <v>0.47729935258452366</v>
          </cell>
        </row>
        <row r="178">
          <cell r="D178" t="str">
            <v>Сыр полутвердый "Российский" с массовой долей жира 50%  Останкино</v>
          </cell>
          <cell r="G178" t="str">
            <v>кг</v>
          </cell>
          <cell r="H178">
            <v>-13.666</v>
          </cell>
          <cell r="I178">
            <v>-13.666</v>
          </cell>
          <cell r="J178">
            <v>1</v>
          </cell>
        </row>
        <row r="179">
          <cell r="D179" t="str">
            <v>Сыр полутвердый "Сметанковый", с масс долей жира в пересчете на сухое вещес50%, брус  Останкино</v>
          </cell>
          <cell r="G179" t="str">
            <v>кг</v>
          </cell>
          <cell r="H179">
            <v>66.222999999999999</v>
          </cell>
          <cell r="I179">
            <v>66.222999999999999</v>
          </cell>
          <cell r="J179">
            <v>0.36792548174100526</v>
          </cell>
        </row>
        <row r="180">
          <cell r="D180" t="str">
            <v>Сыр полутвердый "Тильзитер" с массовой долей жира в пересчете на сухое вещество 45%. 1/5  Останкино</v>
          </cell>
          <cell r="G180" t="str">
            <v>кг</v>
          </cell>
          <cell r="H180">
            <v>55.496000000000002</v>
          </cell>
          <cell r="I180">
            <v>55.496000000000002</v>
          </cell>
          <cell r="J180">
            <v>0.2718761253150882</v>
          </cell>
        </row>
        <row r="181">
          <cell r="D181" t="str">
            <v>Сыр рассольный жирный Чечил 45% 100 гр  ОСТАНКИНО</v>
          </cell>
          <cell r="G181" t="str">
            <v>шт</v>
          </cell>
          <cell r="H181">
            <v>250</v>
          </cell>
          <cell r="I181">
            <v>25</v>
          </cell>
          <cell r="J181">
            <v>0.35618479880774961</v>
          </cell>
        </row>
        <row r="182">
          <cell r="D182" t="str">
            <v>Сыр рассольный жирный Чечил копченый 43% 100 гр  Останкино</v>
          </cell>
          <cell r="G182" t="str">
            <v>шт</v>
          </cell>
          <cell r="H182">
            <v>235</v>
          </cell>
          <cell r="I182">
            <v>23.5</v>
          </cell>
          <cell r="J182">
            <v>0.38918918918918921</v>
          </cell>
        </row>
        <row r="183">
          <cell r="D183" t="str">
            <v>Сыр Скаморца свежий 100 гр.  ОСТАНКИНО</v>
          </cell>
          <cell r="G183" t="str">
            <v>шт</v>
          </cell>
          <cell r="H183">
            <v>20</v>
          </cell>
          <cell r="I183">
            <v>2</v>
          </cell>
          <cell r="J183">
            <v>0.27777777777777779</v>
          </cell>
        </row>
        <row r="184">
          <cell r="D184" t="str">
            <v>Сыр Творожный с зеленью 60% Папа может 140 гр.  Останкино</v>
          </cell>
          <cell r="G184" t="str">
            <v>шт</v>
          </cell>
          <cell r="H184">
            <v>46</v>
          </cell>
          <cell r="I184">
            <v>6.44</v>
          </cell>
          <cell r="J184">
            <v>0.15116279069767444</v>
          </cell>
        </row>
        <row r="185">
          <cell r="D185" t="str">
            <v>Сыр творожный Сливочный 140 гр.  Останкино</v>
          </cell>
          <cell r="G185" t="str">
            <v>шт</v>
          </cell>
          <cell r="H185">
            <v>29</v>
          </cell>
          <cell r="I185">
            <v>4.0599999999999996</v>
          </cell>
          <cell r="J185">
            <v>0.11486486486486487</v>
          </cell>
        </row>
        <row r="186">
          <cell r="D186" t="str">
            <v>Сыч/Прод Коровино Российский 50% 200г НОВАЯ СЗМЖ  ОСТАНКИНО</v>
          </cell>
          <cell r="G186" t="str">
            <v>шт</v>
          </cell>
          <cell r="H186">
            <v>29</v>
          </cell>
          <cell r="I186">
            <v>5.8</v>
          </cell>
          <cell r="J186">
            <v>4.0816326530612242E-2</v>
          </cell>
        </row>
        <row r="187">
          <cell r="D187" t="str">
            <v>Сыч/Прод Коровино Российский Оригин 50% ВЕС НОВАЯ (3,5 кг)  ОСТАНКИНО</v>
          </cell>
          <cell r="G187" t="str">
            <v>кг</v>
          </cell>
          <cell r="H187">
            <v>58.478000000000002</v>
          </cell>
          <cell r="I187">
            <v>58.478000000000002</v>
          </cell>
          <cell r="J187">
            <v>0.42950654582074521</v>
          </cell>
        </row>
        <row r="188">
          <cell r="D188" t="str">
            <v>Сыч/Прод Коровино Тильзитер 50% 200г НОВАЯ СЗМЖ  ОСТАНКИНО</v>
          </cell>
          <cell r="G188" t="str">
            <v>шт</v>
          </cell>
          <cell r="H188">
            <v>49</v>
          </cell>
          <cell r="I188">
            <v>9.8000000000000007</v>
          </cell>
          <cell r="J188">
            <v>7.6923076923076927E-2</v>
          </cell>
        </row>
        <row r="189">
          <cell r="D189" t="str">
            <v>Сыч/Прод Коровино Тильзитер 50% 200г СЗМЖ  ОСТАНКИНО</v>
          </cell>
          <cell r="G189" t="str">
            <v>шт</v>
          </cell>
          <cell r="H189">
            <v>-19</v>
          </cell>
          <cell r="I189">
            <v>-3.8</v>
          </cell>
          <cell r="J189">
            <v>0</v>
          </cell>
        </row>
        <row r="190">
          <cell r="D190" t="str">
            <v>Сыч/Прод Коровино Тильзитер Оригин 50% ВЕС (5 кг брус) СЗМЖ  ОСТАНКИНО</v>
          </cell>
          <cell r="G190" t="str">
            <v>кг</v>
          </cell>
          <cell r="H190">
            <v>-3.6240000000000001</v>
          </cell>
          <cell r="I190">
            <v>-3.6240000000000001</v>
          </cell>
          <cell r="J190">
            <v>0</v>
          </cell>
        </row>
        <row r="191">
          <cell r="D191" t="str">
            <v>Сыч/Прод Коровино Тильзитер Оригин 50% ВЕС НОВАЯ (5 кг брус) СЗМЖ  ОСТАНКИНО</v>
          </cell>
          <cell r="G191" t="str">
            <v>кг</v>
          </cell>
          <cell r="H191">
            <v>1.5940000000000001</v>
          </cell>
          <cell r="I191">
            <v>1.5940000000000001</v>
          </cell>
          <cell r="J191">
            <v>0.1320820864687543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14.09.2026 - 21.09.2026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Останкино" И
Номенклатура В группе из списка "ООО Останкино-Краснодар (...; Останкино КОРОВИНО (ВЕС); Останкино КОРОВИНО (ШТ); Останкино КУМАЧ (ШТ); ООО Останкино-Краснодар"</v>
          </cell>
        </row>
        <row r="8">
          <cell r="A8" t="str">
            <v>Номенклатура</v>
          </cell>
          <cell r="D8" t="str">
            <v>Количество</v>
          </cell>
          <cell r="J8" t="str">
            <v>Вес (нетто), кг</v>
          </cell>
        </row>
        <row r="9">
          <cell r="D9" t="str">
            <v>Начальный остаток</v>
          </cell>
          <cell r="F9" t="str">
            <v>Приход</v>
          </cell>
          <cell r="H9" t="str">
            <v>Расход</v>
          </cell>
          <cell r="I9" t="str">
            <v>Конечный остаток</v>
          </cell>
          <cell r="J9" t="str">
            <v>Начальный остаток</v>
          </cell>
          <cell r="K9" t="str">
            <v>Приход</v>
          </cell>
          <cell r="L9" t="str">
            <v>Расход</v>
          </cell>
          <cell r="M9" t="str">
            <v>Конечный остаток</v>
          </cell>
        </row>
        <row r="10">
          <cell r="A10" t="str">
            <v>3215 ВЕТЧ.МЯСНАЯ Папа может п/о 0.4кг 8шт.    ОСТАНКИНО</v>
          </cell>
          <cell r="F10">
            <v>72</v>
          </cell>
          <cell r="I10">
            <v>72</v>
          </cell>
          <cell r="K10">
            <v>28.8</v>
          </cell>
          <cell r="M10">
            <v>28.8</v>
          </cell>
        </row>
        <row r="11">
          <cell r="A11" t="str">
            <v>3287 САЛЯМИ ИТАЛЬЯНСКАЯ с/к в/у ОСТАНКИНО</v>
          </cell>
          <cell r="F11">
            <v>8.0419999999999998</v>
          </cell>
          <cell r="I11">
            <v>8.0419999999999998</v>
          </cell>
          <cell r="K11">
            <v>8.0419999999999998</v>
          </cell>
          <cell r="M11">
            <v>8.0419999999999998</v>
          </cell>
        </row>
        <row r="12">
          <cell r="A12" t="str">
            <v>3986 Ароматная с/к в/у 1/250 ОСТАНКИНО</v>
          </cell>
          <cell r="F12">
            <v>72</v>
          </cell>
          <cell r="I12">
            <v>72</v>
          </cell>
          <cell r="K12">
            <v>18</v>
          </cell>
          <cell r="M12">
            <v>18</v>
          </cell>
        </row>
        <row r="13">
          <cell r="A13" t="str">
            <v>4063 МЯСНАЯ Папа может вар п/о_Л   ОСТАНКИНО</v>
          </cell>
          <cell r="F13">
            <v>169.85499999999999</v>
          </cell>
          <cell r="I13">
            <v>169.85499999999999</v>
          </cell>
          <cell r="K13">
            <v>169.85499999999999</v>
          </cell>
          <cell r="M13">
            <v>169.85499999999999</v>
          </cell>
        </row>
        <row r="14">
          <cell r="A14" t="str">
            <v>4117 ЭКСТРА Папа может с/к в/у_Л   ОСТАНКИНО</v>
          </cell>
          <cell r="F14">
            <v>28.311</v>
          </cell>
          <cell r="I14">
            <v>28.311</v>
          </cell>
          <cell r="K14">
            <v>28.311</v>
          </cell>
          <cell r="M14">
            <v>28.311</v>
          </cell>
        </row>
        <row r="15">
          <cell r="A15" t="str">
            <v>4574 Мясная со шпиком Папа может вар п/о ОСТАНКИНО</v>
          </cell>
          <cell r="F15">
            <v>40.392000000000003</v>
          </cell>
          <cell r="I15">
            <v>40.392000000000003</v>
          </cell>
          <cell r="K15">
            <v>40.392000000000003</v>
          </cell>
          <cell r="M15">
            <v>40.392000000000003</v>
          </cell>
        </row>
        <row r="16">
          <cell r="A16" t="str">
            <v>4813 ФИЛЕЙНАЯ Папа может вар п/о_Л   ОСТАНКИНО</v>
          </cell>
          <cell r="F16">
            <v>293.66199999999998</v>
          </cell>
          <cell r="I16">
            <v>293.66199999999998</v>
          </cell>
          <cell r="K16">
            <v>293.66199999999998</v>
          </cell>
          <cell r="M16">
            <v>293.66199999999998</v>
          </cell>
        </row>
        <row r="17">
          <cell r="A17" t="str">
            <v>4993 САЛЯМИ ИТАЛЬЯНСКАЯ с/к в/у 1/250*8_120c ОСТАНКИНО</v>
          </cell>
          <cell r="F17">
            <v>128</v>
          </cell>
          <cell r="H17">
            <v>2</v>
          </cell>
          <cell r="I17">
            <v>126</v>
          </cell>
          <cell r="K17">
            <v>32</v>
          </cell>
          <cell r="L17">
            <v>0.5</v>
          </cell>
          <cell r="M17">
            <v>31.5</v>
          </cell>
        </row>
        <row r="18">
          <cell r="A18" t="str">
            <v>5452 ВЕТЧ.МЯСНАЯ Папа может п/о    ОСТАНКИНО</v>
          </cell>
          <cell r="F18">
            <v>61.256999999999998</v>
          </cell>
          <cell r="I18">
            <v>61.256999999999998</v>
          </cell>
          <cell r="K18">
            <v>61.256999999999998</v>
          </cell>
          <cell r="M18">
            <v>61.256999999999998</v>
          </cell>
        </row>
        <row r="19">
          <cell r="A19" t="str">
            <v>5483 ЭКСТРА Папа может с/к в/у 1/250 8шт.   ОСТАНКИНО</v>
          </cell>
          <cell r="F19">
            <v>128</v>
          </cell>
          <cell r="H19">
            <v>1</v>
          </cell>
          <cell r="I19">
            <v>127</v>
          </cell>
          <cell r="K19">
            <v>32</v>
          </cell>
          <cell r="L19">
            <v>0.25</v>
          </cell>
          <cell r="M19">
            <v>31.75</v>
          </cell>
        </row>
        <row r="20">
          <cell r="A20" t="str">
            <v>5495 ВЕТЧ.С ИНДЕЙКОЙ Папа может п/о 400*6  Останкино</v>
          </cell>
          <cell r="F20">
            <v>150</v>
          </cell>
          <cell r="I20">
            <v>150</v>
          </cell>
          <cell r="K20">
            <v>60</v>
          </cell>
          <cell r="M20">
            <v>60</v>
          </cell>
        </row>
        <row r="21">
          <cell r="A21" t="str">
            <v>5708 ПОСОЛЬСКАЯ Папа может с/к в/у ОСТАНКИНО</v>
          </cell>
          <cell r="F21">
            <v>16.548999999999999</v>
          </cell>
          <cell r="I21">
            <v>16.548999999999999</v>
          </cell>
          <cell r="K21">
            <v>16.548999999999999</v>
          </cell>
          <cell r="M21">
            <v>16.548999999999999</v>
          </cell>
        </row>
        <row r="22">
          <cell r="A22" t="str">
            <v>5851 ЭКСТРА Папа может вар п/о   ОСТАНКИНО</v>
          </cell>
          <cell r="F22">
            <v>40.296999999999997</v>
          </cell>
          <cell r="I22">
            <v>40.296999999999997</v>
          </cell>
          <cell r="K22">
            <v>40.296999999999997</v>
          </cell>
          <cell r="M22">
            <v>40.296999999999997</v>
          </cell>
        </row>
        <row r="23">
          <cell r="A23" t="str">
            <v>5931 ОХОТНИЧЬЯ Папа может с/к в/у 1/220 8шт.   ОСТАНКИНО</v>
          </cell>
          <cell r="F23">
            <v>224</v>
          </cell>
          <cell r="H23">
            <v>1</v>
          </cell>
          <cell r="I23">
            <v>223</v>
          </cell>
          <cell r="K23">
            <v>49.28</v>
          </cell>
          <cell r="L23">
            <v>0.22</v>
          </cell>
          <cell r="M23">
            <v>49.06</v>
          </cell>
        </row>
        <row r="24">
          <cell r="A24" t="str">
            <v>6220 ГОВЯЖЬЯ папа может вар п/о  Останкино</v>
          </cell>
          <cell r="F24">
            <v>12.153</v>
          </cell>
          <cell r="H24">
            <v>1.349</v>
          </cell>
          <cell r="I24">
            <v>10.804</v>
          </cell>
          <cell r="K24">
            <v>12.153</v>
          </cell>
          <cell r="L24">
            <v>1.349</v>
          </cell>
          <cell r="M24">
            <v>10.804</v>
          </cell>
        </row>
        <row r="25">
          <cell r="A25" t="str">
            <v>6221 НЕОПОЛИТАНСКИЙ ДУЭТ с/к с/н мгс 1/90  Останкино</v>
          </cell>
          <cell r="F25">
            <v>20</v>
          </cell>
          <cell r="I25">
            <v>20</v>
          </cell>
          <cell r="K25">
            <v>1.8</v>
          </cell>
          <cell r="M25">
            <v>1.8</v>
          </cell>
        </row>
        <row r="26">
          <cell r="A26" t="str">
            <v>6303 Мясные Папа может сос п/о мгс 1,5*3  Останкино</v>
          </cell>
          <cell r="F26">
            <v>115.601</v>
          </cell>
          <cell r="I26">
            <v>115.601</v>
          </cell>
          <cell r="K26">
            <v>115.601</v>
          </cell>
          <cell r="M26">
            <v>115.601</v>
          </cell>
        </row>
        <row r="27">
          <cell r="A27" t="str">
            <v>6333 МЯСНАЯ Папа может вар п/о 0.4кг 8шт.  ОСТАНКИНО</v>
          </cell>
          <cell r="F27">
            <v>168</v>
          </cell>
          <cell r="H27">
            <v>3</v>
          </cell>
          <cell r="I27">
            <v>165</v>
          </cell>
          <cell r="K27">
            <v>67.2</v>
          </cell>
          <cell r="L27">
            <v>1.2</v>
          </cell>
          <cell r="M27">
            <v>66</v>
          </cell>
        </row>
        <row r="28">
          <cell r="A28" t="str">
            <v>6392 ФИЛЕЙНАЯ Папа может вар п/о 0,4кг  ОСТАНКИНО</v>
          </cell>
          <cell r="F28">
            <v>168</v>
          </cell>
          <cell r="H28">
            <v>4</v>
          </cell>
          <cell r="I28">
            <v>164</v>
          </cell>
          <cell r="K28">
            <v>67.2</v>
          </cell>
          <cell r="L28">
            <v>1.6</v>
          </cell>
          <cell r="M28">
            <v>65.599999999999994</v>
          </cell>
        </row>
        <row r="29">
          <cell r="A29" t="str">
            <v>6495 ВЕТЧ.МРАМОРНАЯ в/у срез 0,3кг 6шт_45с  Останкино</v>
          </cell>
          <cell r="F29">
            <v>30</v>
          </cell>
          <cell r="H29">
            <v>1</v>
          </cell>
          <cell r="I29">
            <v>29</v>
          </cell>
          <cell r="K29">
            <v>9</v>
          </cell>
          <cell r="L29">
            <v>0.3</v>
          </cell>
          <cell r="M29">
            <v>8.6999999999999993</v>
          </cell>
        </row>
        <row r="30">
          <cell r="A30" t="str">
            <v>6498 МОЛОЧНАЯ Папа может вар п/о  ОСТАНКИНО</v>
          </cell>
          <cell r="F30">
            <v>370.803</v>
          </cell>
          <cell r="I30">
            <v>370.803</v>
          </cell>
          <cell r="K30">
            <v>370.803</v>
          </cell>
          <cell r="M30">
            <v>370.803</v>
          </cell>
        </row>
        <row r="31">
          <cell r="A31" t="str">
            <v>6527 ШПИКАЧКИ СОЧНЫЕ ПМ сар б/о мгс 1*3 45с ОСТАНКИНО</v>
          </cell>
          <cell r="F31">
            <v>6.34</v>
          </cell>
          <cell r="I31">
            <v>6.34</v>
          </cell>
          <cell r="K31">
            <v>6.34</v>
          </cell>
          <cell r="M31">
            <v>6.34</v>
          </cell>
        </row>
        <row r="32">
          <cell r="A32" t="str">
            <v>6550 МЯСНЫЕ Папа может сар б/о мгс 1*3 О 45с  Останкино</v>
          </cell>
          <cell r="F32">
            <v>31.033999999999999</v>
          </cell>
          <cell r="H32">
            <v>1.0549999999999999</v>
          </cell>
          <cell r="I32">
            <v>29.978999999999999</v>
          </cell>
          <cell r="K32">
            <v>31.033999999999999</v>
          </cell>
          <cell r="L32">
            <v>1.0549999999999999</v>
          </cell>
          <cell r="M32">
            <v>29.978999999999999</v>
          </cell>
        </row>
        <row r="33">
          <cell r="A33" t="str">
            <v>6608 С ГОВЯДИНОЙ ОРИГИН. сар б/о мгс 1*3_45с  ОСТАНКИНО</v>
          </cell>
          <cell r="F33">
            <v>3.1379999999999999</v>
          </cell>
          <cell r="I33">
            <v>3.1379999999999999</v>
          </cell>
          <cell r="K33">
            <v>3.1379999999999999</v>
          </cell>
          <cell r="M33">
            <v>3.1379999999999999</v>
          </cell>
        </row>
        <row r="34">
          <cell r="A34" t="str">
            <v>6697 СЕРВЕЛАТ ФИНСКИЙ ПМ в/к в/у 0,35кг 8шт  ОСТАНКИНО</v>
          </cell>
          <cell r="F34">
            <v>96</v>
          </cell>
          <cell r="H34">
            <v>4</v>
          </cell>
          <cell r="I34">
            <v>92</v>
          </cell>
          <cell r="K34">
            <v>33.6</v>
          </cell>
          <cell r="L34">
            <v>1.4</v>
          </cell>
          <cell r="M34">
            <v>32.200000000000003</v>
          </cell>
        </row>
        <row r="35">
          <cell r="A35" t="str">
            <v>6724 МОЛОЧНЫЕ ПМ сос п/о мгс 0,41кг 10шт  Останкино</v>
          </cell>
          <cell r="F35">
            <v>160</v>
          </cell>
          <cell r="H35">
            <v>2</v>
          </cell>
          <cell r="I35">
            <v>158</v>
          </cell>
          <cell r="K35">
            <v>65.599999999999994</v>
          </cell>
          <cell r="L35">
            <v>0.82</v>
          </cell>
          <cell r="M35">
            <v>64.78</v>
          </cell>
        </row>
        <row r="36">
          <cell r="A36" t="str">
            <v>6797 С ИНДЕЙКОЙ Папа может вар п/о 0,4кг 8шт. ОСТАНКИНО</v>
          </cell>
          <cell r="H36">
            <v>2</v>
          </cell>
          <cell r="I36">
            <v>-2</v>
          </cell>
          <cell r="L36">
            <v>0.8</v>
          </cell>
          <cell r="M36">
            <v>-0.8</v>
          </cell>
        </row>
        <row r="37">
          <cell r="A37" t="str">
            <v>6829  МОЛОЧНЫЕ КЛАССИЧЕСКИЕ сос п/о мгс 2*4 С  Останккино</v>
          </cell>
          <cell r="F37">
            <v>8.4250000000000007</v>
          </cell>
          <cell r="H37">
            <v>2.0680000000000001</v>
          </cell>
          <cell r="I37">
            <v>6.3570000000000002</v>
          </cell>
          <cell r="K37">
            <v>8.4250000000000007</v>
          </cell>
          <cell r="L37">
            <v>2.0680000000000001</v>
          </cell>
          <cell r="M37">
            <v>6.3570000000000002</v>
          </cell>
        </row>
        <row r="38">
          <cell r="A38" t="str">
            <v>6937 САЛЯМИ Папа может с/к в/у 1/250 8шт  Останкино</v>
          </cell>
          <cell r="F38">
            <v>120</v>
          </cell>
          <cell r="I38">
            <v>120</v>
          </cell>
          <cell r="K38">
            <v>30</v>
          </cell>
          <cell r="M38">
            <v>30</v>
          </cell>
        </row>
        <row r="39">
          <cell r="A39" t="str">
            <v>6967 БУРГУНДИЯ Папа может с/к в/у 1/250 8шт  Останкино</v>
          </cell>
          <cell r="F39">
            <v>64</v>
          </cell>
          <cell r="I39">
            <v>64</v>
          </cell>
          <cell r="K39">
            <v>16</v>
          </cell>
          <cell r="M39">
            <v>16</v>
          </cell>
        </row>
        <row r="40">
          <cell r="A40" t="str">
            <v>7001 КЛАССИЧЕСКИЕ Папа может сар б/о мгс 1*3  Останкино</v>
          </cell>
          <cell r="F40">
            <v>6.234</v>
          </cell>
          <cell r="I40">
            <v>6.234</v>
          </cell>
          <cell r="K40">
            <v>6.234</v>
          </cell>
          <cell r="M40">
            <v>6.234</v>
          </cell>
        </row>
        <row r="41">
          <cell r="A41" t="str">
            <v>7066 СОЧНЫЕ ПМ сос п/о мгс 0,41кг 10шт 50с  Останкино</v>
          </cell>
          <cell r="F41">
            <v>440</v>
          </cell>
          <cell r="H41">
            <v>6</v>
          </cell>
          <cell r="I41">
            <v>434</v>
          </cell>
          <cell r="K41">
            <v>180.4</v>
          </cell>
          <cell r="L41">
            <v>2.46</v>
          </cell>
          <cell r="M41">
            <v>177.94</v>
          </cell>
        </row>
        <row r="42">
          <cell r="A42" t="str">
            <v>7070 СОЧНЫЕ ПМ сос п/о 1,5*4_А_50с  Останкино</v>
          </cell>
          <cell r="F42">
            <v>191.774</v>
          </cell>
          <cell r="H42">
            <v>1.554</v>
          </cell>
          <cell r="I42">
            <v>190.22</v>
          </cell>
          <cell r="K42">
            <v>191.774</v>
          </cell>
          <cell r="L42">
            <v>1.554</v>
          </cell>
          <cell r="M42">
            <v>190.22</v>
          </cell>
        </row>
        <row r="43">
          <cell r="A43" t="str">
            <v>7080 СЛИВОЧНЫЕ ПМ сос п/о мгс 0,41кг 10шт 50с  Останкино</v>
          </cell>
          <cell r="F43">
            <v>240</v>
          </cell>
          <cell r="H43">
            <v>3</v>
          </cell>
          <cell r="I43">
            <v>237</v>
          </cell>
          <cell r="K43">
            <v>98.4</v>
          </cell>
          <cell r="L43">
            <v>1.23</v>
          </cell>
          <cell r="M43">
            <v>97.17</v>
          </cell>
        </row>
        <row r="44">
          <cell r="A44" t="str">
            <v>7083 СЛИВОЧНЫЕ ПМ сос п/о мгс 1.5*4_А_50с  ОСТАНКИНО</v>
          </cell>
          <cell r="F44">
            <v>6.2969999999999997</v>
          </cell>
          <cell r="I44">
            <v>6.2969999999999997</v>
          </cell>
          <cell r="K44">
            <v>6.2969999999999997</v>
          </cell>
          <cell r="M44">
            <v>6.2969999999999997</v>
          </cell>
        </row>
        <row r="45">
          <cell r="A45" t="str">
            <v>7090 СВИНИНА ПО-ДОМ.к/в мл/к в/у 0,3кг_50с  Останкино</v>
          </cell>
          <cell r="F45">
            <v>66</v>
          </cell>
          <cell r="I45">
            <v>66</v>
          </cell>
          <cell r="K45">
            <v>19.8</v>
          </cell>
          <cell r="M45">
            <v>19.8</v>
          </cell>
        </row>
        <row r="46">
          <cell r="A46" t="str">
            <v>7103 БЕКОН Останкино с/к с/н в/у 1/180_50с  Останкино</v>
          </cell>
          <cell r="F46">
            <v>100</v>
          </cell>
          <cell r="I46">
            <v>100</v>
          </cell>
          <cell r="K46">
            <v>18</v>
          </cell>
          <cell r="M46">
            <v>18</v>
          </cell>
        </row>
        <row r="47">
          <cell r="A47" t="str">
            <v>7154 СЕРВЕЛАТ ЗЕРНИСТЫЙ ПМ в/к в/у 0,35кг_50с  Останкино</v>
          </cell>
          <cell r="F47">
            <v>392</v>
          </cell>
          <cell r="H47">
            <v>3</v>
          </cell>
          <cell r="I47">
            <v>389</v>
          </cell>
          <cell r="K47">
            <v>137.19999999999999</v>
          </cell>
          <cell r="L47">
            <v>1.05</v>
          </cell>
          <cell r="M47">
            <v>136.15</v>
          </cell>
        </row>
        <row r="48">
          <cell r="A48" t="str">
            <v>7157 СЕРВЕЛАТ ЗЕРНИСТЫЙ ПМ в/к в/у_50с  Останкино</v>
          </cell>
          <cell r="F48">
            <v>5.4180000000000001</v>
          </cell>
          <cell r="I48">
            <v>5.4180000000000001</v>
          </cell>
          <cell r="K48">
            <v>5.4180000000000001</v>
          </cell>
          <cell r="M48">
            <v>5.4180000000000001</v>
          </cell>
        </row>
        <row r="49">
          <cell r="A49" t="str">
            <v>7169 СЕРВЕЛАТ ОХОТНИЧИЙ ПМ в/к в/у 0,35кг_50с  Останкино</v>
          </cell>
          <cell r="F49">
            <v>104</v>
          </cell>
          <cell r="H49">
            <v>3</v>
          </cell>
          <cell r="I49">
            <v>101</v>
          </cell>
          <cell r="K49">
            <v>36.4</v>
          </cell>
          <cell r="L49">
            <v>1.05</v>
          </cell>
          <cell r="M49">
            <v>35.35</v>
          </cell>
        </row>
        <row r="50">
          <cell r="A50" t="str">
            <v>7232 БОЯNСКАЯ ПМ п/к в/у 0,28кг 8шт_209к  Останкино</v>
          </cell>
          <cell r="F50">
            <v>200</v>
          </cell>
          <cell r="I50">
            <v>200</v>
          </cell>
          <cell r="K50">
            <v>56</v>
          </cell>
          <cell r="M50">
            <v>56</v>
          </cell>
        </row>
        <row r="51">
          <cell r="A51" t="str">
            <v>7236 СЕРВЕЛАТ КАРЕЛЬСКИЙ в/к в/у 0,28кг_209к  Останкино</v>
          </cell>
          <cell r="F51">
            <v>200</v>
          </cell>
          <cell r="H51">
            <v>3</v>
          </cell>
          <cell r="I51">
            <v>197</v>
          </cell>
          <cell r="K51">
            <v>56</v>
          </cell>
          <cell r="L51">
            <v>0.84</v>
          </cell>
          <cell r="M51">
            <v>55.16</v>
          </cell>
        </row>
        <row r="52">
          <cell r="A52" t="str">
            <v>7241 САЛЯМИ Папа может п/к в/у 0,28кг ОСТАНКИНО</v>
          </cell>
          <cell r="F52">
            <v>72</v>
          </cell>
          <cell r="H52">
            <v>2</v>
          </cell>
          <cell r="I52">
            <v>70</v>
          </cell>
          <cell r="K52">
            <v>20.16</v>
          </cell>
          <cell r="L52">
            <v>0.56000000000000005</v>
          </cell>
          <cell r="M52">
            <v>19.600000000000001</v>
          </cell>
        </row>
        <row r="53">
          <cell r="A53" t="str">
            <v>7255 МЯСНЫЕ С ГОВЯД.ПМ сос п/о мгс 0.4кг 6шт.  ОСТАНКИНО</v>
          </cell>
          <cell r="F53">
            <v>528</v>
          </cell>
          <cell r="H53">
            <v>5</v>
          </cell>
          <cell r="I53">
            <v>523</v>
          </cell>
          <cell r="K53">
            <v>211.2</v>
          </cell>
          <cell r="L53">
            <v>2</v>
          </cell>
          <cell r="M53">
            <v>209.2</v>
          </cell>
        </row>
        <row r="54">
          <cell r="A54" t="str">
            <v>7382  САЛЯМИ МЕЛКОЗЕРНЕНАЯ с/к в/у1/120 8шт.  ОСТАНКИНО</v>
          </cell>
          <cell r="F54">
            <v>32</v>
          </cell>
          <cell r="I54">
            <v>32</v>
          </cell>
          <cell r="K54">
            <v>3.84</v>
          </cell>
          <cell r="M54">
            <v>3.84</v>
          </cell>
        </row>
        <row r="55">
          <cell r="A55" t="str">
            <v>7461 ДЛЯ ДЕТЕЙ Папа Может сос п/о мгс 0,33кг ОСТАНКИНО</v>
          </cell>
          <cell r="F55">
            <v>72</v>
          </cell>
          <cell r="H55">
            <v>2</v>
          </cell>
          <cell r="I55">
            <v>70</v>
          </cell>
          <cell r="K55">
            <v>23.76</v>
          </cell>
          <cell r="L55">
            <v>0.66</v>
          </cell>
          <cell r="M55">
            <v>23.1</v>
          </cell>
        </row>
        <row r="56">
          <cell r="A56" t="str">
            <v>7523 ГОВЯЖЬЯ Папа Может вар п/о 0,4кг 6шт. ОСТАНКИНО</v>
          </cell>
          <cell r="F56">
            <v>132</v>
          </cell>
          <cell r="H56">
            <v>4</v>
          </cell>
          <cell r="I56">
            <v>128</v>
          </cell>
          <cell r="K56">
            <v>52.8</v>
          </cell>
          <cell r="L56">
            <v>1.6</v>
          </cell>
          <cell r="M56">
            <v>51.2</v>
          </cell>
        </row>
        <row r="57">
          <cell r="A57" t="str">
            <v>7562 КРАКОВСКАЯ ГОСТ Останкино п/к н/о мгс  ОСТАНКИНО</v>
          </cell>
          <cell r="F57">
            <v>52.542000000000002</v>
          </cell>
          <cell r="I57">
            <v>52.542000000000002</v>
          </cell>
          <cell r="K57">
            <v>52.542000000000002</v>
          </cell>
          <cell r="M57">
            <v>52.542000000000002</v>
          </cell>
        </row>
        <row r="58">
          <cell r="A58" t="str">
            <v>7632 ЭКСТРА Папа может вар п/о 0.4кг 8шт_195к  ОСТАНКИНО</v>
          </cell>
          <cell r="F58">
            <v>168</v>
          </cell>
          <cell r="I58">
            <v>168</v>
          </cell>
          <cell r="K58">
            <v>67.2</v>
          </cell>
          <cell r="M58">
            <v>67.2</v>
          </cell>
        </row>
        <row r="59">
          <cell r="A59" t="str">
            <v>7647 ХОЧУ ВЕТЧ.ИЗ СВ.ОТРУБА с/н мгс 1/100_Л11  ОСТАНКИНО</v>
          </cell>
          <cell r="F59">
            <v>56</v>
          </cell>
          <cell r="H59">
            <v>1</v>
          </cell>
          <cell r="I59">
            <v>55</v>
          </cell>
          <cell r="K59">
            <v>5.6</v>
          </cell>
          <cell r="L59">
            <v>0.1</v>
          </cell>
          <cell r="M59">
            <v>5.5</v>
          </cell>
        </row>
        <row r="60">
          <cell r="A60" t="str">
            <v>7651 ХОЧУ ВЕТЧ.МРАМОР. ПМ с/н мгс 1/100_Л11  ОСТАНКИНО</v>
          </cell>
          <cell r="F60">
            <v>56</v>
          </cell>
          <cell r="H60">
            <v>1</v>
          </cell>
          <cell r="I60">
            <v>55</v>
          </cell>
          <cell r="K60">
            <v>5.6</v>
          </cell>
          <cell r="L60">
            <v>0.1</v>
          </cell>
          <cell r="M60">
            <v>5.5</v>
          </cell>
        </row>
        <row r="61">
          <cell r="A61" t="str">
            <v>7710 КРАКОВСКАЯ ГОСТ п/к н/о мгс 0.3кг  ОСТАНКИНО</v>
          </cell>
          <cell r="F61">
            <v>56</v>
          </cell>
          <cell r="I61">
            <v>56</v>
          </cell>
          <cell r="K61">
            <v>16.8</v>
          </cell>
          <cell r="M61">
            <v>16.8</v>
          </cell>
        </row>
        <row r="62">
          <cell r="A62" t="str">
            <v>Итого</v>
          </cell>
          <cell r="K62">
            <v>2987.7640000000001</v>
          </cell>
          <cell r="L62">
            <v>24.765999999999998</v>
          </cell>
          <cell r="M62">
            <v>2962.998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15.09.2026 - 21.09.2026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В группе из списка "ФУД МАРКЕТ ГРУП ООО (г.Мариуполь, б-р Шевченко, д.321,...;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 ФУД МАРКЕТ ГРУП ООО (пгт.Сартана, ул.Челюскинцев, д.39...;..." И
Склад / комиссионер  / подразделение В списке "АСП Бердянск Останкино"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 t="str">
            <v>00-00005413</v>
          </cell>
          <cell r="F7">
            <v>38.4</v>
          </cell>
          <cell r="G7">
            <v>96</v>
          </cell>
        </row>
        <row r="8">
          <cell r="A8" t="str">
            <v>3287 САЛЯМИ ИТАЛЬЯНСКАЯ с/к в/у ОСТАНКИНО</v>
          </cell>
          <cell r="D8" t="str">
            <v>00-00000651</v>
          </cell>
          <cell r="F8">
            <v>4.0010000000000003</v>
          </cell>
          <cell r="G8">
            <v>4.0010000000000003</v>
          </cell>
        </row>
        <row r="9">
          <cell r="A9" t="str">
            <v>3986 Ароматная с/к в/у 1/250 ОСТАНКИНО</v>
          </cell>
          <cell r="D9" t="str">
            <v>00-00000744</v>
          </cell>
          <cell r="F9">
            <v>18</v>
          </cell>
          <cell r="G9">
            <v>72</v>
          </cell>
        </row>
        <row r="10">
          <cell r="A10" t="str">
            <v>4063 МЯСНАЯ Папа может вар п/о_Л   ОСТАНКИНО</v>
          </cell>
          <cell r="D10" t="str">
            <v>00-00006364</v>
          </cell>
          <cell r="F10">
            <v>64.772000000000006</v>
          </cell>
          <cell r="G10">
            <v>64.772000000000006</v>
          </cell>
        </row>
        <row r="11">
          <cell r="A11" t="str">
            <v>4813 ФИЛЕЙНАЯ Папа может вар п/о_Л   ОСТАНКИНО</v>
          </cell>
          <cell r="D11" t="str">
            <v>00-00006365</v>
          </cell>
          <cell r="F11">
            <v>52.941000000000003</v>
          </cell>
          <cell r="G11">
            <v>52.941000000000003</v>
          </cell>
        </row>
        <row r="12">
          <cell r="A12" t="str">
            <v>4993 САЛЯМИ ИТАЛЬЯНСКАЯ с/к в/у 1/250*8_120c ОСТАНКИНО</v>
          </cell>
          <cell r="D12" t="str">
            <v>00-00000753</v>
          </cell>
          <cell r="F12">
            <v>16</v>
          </cell>
          <cell r="G12">
            <v>64</v>
          </cell>
        </row>
        <row r="13">
          <cell r="A13" t="str">
            <v>5452 ВЕТЧ.МЯСНАЯ Папа может п/о    ОСТАНКИНО</v>
          </cell>
          <cell r="D13" t="str">
            <v>00-00005378</v>
          </cell>
          <cell r="F13">
            <v>24.725999999999999</v>
          </cell>
          <cell r="G13">
            <v>24.725999999999999</v>
          </cell>
        </row>
        <row r="14">
          <cell r="A14" t="str">
            <v>5483 ЭКСТРА Папа может с/к в/у 1/250 8шт.   ОСТАНКИНО</v>
          </cell>
          <cell r="D14" t="str">
            <v>00-00005436</v>
          </cell>
          <cell r="F14">
            <v>28</v>
          </cell>
          <cell r="G14">
            <v>112</v>
          </cell>
        </row>
        <row r="15">
          <cell r="A15" t="str">
            <v>5495 ВЕТЧ.С ИНДЕЙКОЙ Папа может п/о 400*6  Останкино</v>
          </cell>
          <cell r="D15" t="str">
            <v>00-ko009672</v>
          </cell>
          <cell r="F15">
            <v>28.8</v>
          </cell>
          <cell r="G15">
            <v>72</v>
          </cell>
        </row>
        <row r="16">
          <cell r="A16" t="str">
            <v>5708 ПОСОЛЬСКАЯ Папа может с/к в/у ОСТАНКИНО</v>
          </cell>
          <cell r="D16" t="str">
            <v>00-00005867</v>
          </cell>
          <cell r="F16">
            <v>7.9580000000000002</v>
          </cell>
          <cell r="G16">
            <v>7.9580000000000002</v>
          </cell>
        </row>
        <row r="17">
          <cell r="A17" t="str">
            <v>5819 Сосиски Папа может 400г Мясные  ОСТАНКИНО</v>
          </cell>
          <cell r="D17" t="str">
            <v>00-00009307</v>
          </cell>
          <cell r="F17">
            <v>8</v>
          </cell>
          <cell r="G17">
            <v>20</v>
          </cell>
        </row>
        <row r="18">
          <cell r="A18" t="str">
            <v>5931 ОХОТНИЧЬЯ Папа может с/к в/у 1/220 8шт.   ОСТАНКИНО</v>
          </cell>
          <cell r="D18" t="str">
            <v>00-00006294</v>
          </cell>
          <cell r="F18">
            <v>24.86</v>
          </cell>
          <cell r="G18">
            <v>113</v>
          </cell>
        </row>
        <row r="19">
          <cell r="A19" t="str">
            <v>6220 ГОВЯЖЬЯ папа может вар п/о  Останкино</v>
          </cell>
          <cell r="D19" t="str">
            <v>00-ko009211</v>
          </cell>
          <cell r="F19">
            <v>12.211</v>
          </cell>
          <cell r="G19">
            <v>12.211</v>
          </cell>
        </row>
        <row r="20">
          <cell r="A20" t="str">
            <v>6303 Мясные Папа может сос п/о мгс 1,5*3  Останкино</v>
          </cell>
          <cell r="D20" t="str">
            <v>00-00009145</v>
          </cell>
          <cell r="F20">
            <v>33.195999999999998</v>
          </cell>
          <cell r="G20">
            <v>33.195999999999998</v>
          </cell>
        </row>
        <row r="21">
          <cell r="A21" t="str">
            <v>6333 МЯСНАЯ Папа может вар п/о 0.4кг 8шт.  ОСТАНКИНО</v>
          </cell>
          <cell r="D21" t="str">
            <v>00-00007020</v>
          </cell>
          <cell r="F21">
            <v>54.4</v>
          </cell>
          <cell r="G21">
            <v>136</v>
          </cell>
        </row>
        <row r="22">
          <cell r="A22" t="str">
            <v>6392 ФИЛЕЙНАЯ Папа может вар п/о 0,4кг  ОСТАНКИНО</v>
          </cell>
          <cell r="D22" t="str">
            <v>00-00008829</v>
          </cell>
          <cell r="F22">
            <v>44.8</v>
          </cell>
          <cell r="G22">
            <v>112</v>
          </cell>
        </row>
        <row r="23">
          <cell r="A23" t="str">
            <v>6470 ВЕТЧ.МРАМОРНАЯ в/у_45с  ОСТАНКИНО</v>
          </cell>
          <cell r="D23" t="str">
            <v>00-ko010639</v>
          </cell>
          <cell r="F23">
            <v>39.238</v>
          </cell>
          <cell r="G23">
            <v>39.238</v>
          </cell>
        </row>
        <row r="24">
          <cell r="A24" t="str">
            <v>6475 Сосиски Папа может 400г С сыром  ОСТАНКИНО</v>
          </cell>
          <cell r="D24" t="str">
            <v>00-00009308</v>
          </cell>
          <cell r="F24">
            <v>12</v>
          </cell>
          <cell r="G24">
            <v>30</v>
          </cell>
        </row>
        <row r="25">
          <cell r="A25" t="str">
            <v>6495 ВЕТЧ.МРАМОРНАЯ в/у срез 0,3кг 6шт_45с  Останкино</v>
          </cell>
          <cell r="D25" t="str">
            <v>00-ko009959</v>
          </cell>
          <cell r="F25">
            <v>5.4</v>
          </cell>
          <cell r="G25">
            <v>18</v>
          </cell>
        </row>
        <row r="26">
          <cell r="A26" t="str">
            <v>6498 МОЛОЧНАЯ Папа может вар п/о  ОСТАНКИНО</v>
          </cell>
          <cell r="D26" t="str">
            <v>00-00008386</v>
          </cell>
          <cell r="F26">
            <v>89.195999999999998</v>
          </cell>
          <cell r="G26">
            <v>89.195999999999998</v>
          </cell>
        </row>
        <row r="27">
          <cell r="A27" t="str">
            <v>6550 МЯСНЫЕ Папа может сар б/о мгс 1*3 О 45с  Останкино</v>
          </cell>
          <cell r="D27" t="str">
            <v>00-ko009350</v>
          </cell>
          <cell r="F27">
            <v>15.686999999999999</v>
          </cell>
          <cell r="G27">
            <v>15.686999999999999</v>
          </cell>
        </row>
        <row r="28">
          <cell r="A28" t="str">
            <v>6616 МОЛОЧНЫЕ КЛАССИЧЕСКИЕ сос п/о в/у 0,3 кг  Останкино</v>
          </cell>
          <cell r="D28" t="str">
            <v>00-ko010530</v>
          </cell>
          <cell r="F28">
            <v>4.8</v>
          </cell>
          <cell r="G28">
            <v>16</v>
          </cell>
        </row>
        <row r="29">
          <cell r="A29" t="str">
            <v>6661 СОЧНЫЙ ГРИЛЬ ПМ сос п/о мгс 1,5*4_Маяк Останкино</v>
          </cell>
          <cell r="D29" t="str">
            <v>00-00009144</v>
          </cell>
          <cell r="F29">
            <v>31.347000000000001</v>
          </cell>
          <cell r="G29">
            <v>31.347000000000001</v>
          </cell>
        </row>
        <row r="30">
          <cell r="A30" t="str">
            <v>6697 СЕРВЕЛАТ ФИНСКИЙ ПМ в/к в/у 0,35кг 8шт  ОСТАНКИНО</v>
          </cell>
          <cell r="D30" t="str">
            <v>00-00008789</v>
          </cell>
          <cell r="F30">
            <v>53.55</v>
          </cell>
          <cell r="G30">
            <v>153</v>
          </cell>
        </row>
        <row r="31">
          <cell r="A31" t="str">
            <v>6713 СОЧНЫЙ ГРИЛЬ ПМ сос п/о мгс 0,41кг 8 шт.  ОСТАНКИНО</v>
          </cell>
          <cell r="D31" t="str">
            <v>00-00009132</v>
          </cell>
          <cell r="F31">
            <v>9.84</v>
          </cell>
          <cell r="G31">
            <v>24</v>
          </cell>
        </row>
        <row r="32">
          <cell r="A32" t="str">
            <v>6724 МОЛОЧНЫЕ ПМ сос п/о мгс 0,41кг 10шт  Останкино</v>
          </cell>
          <cell r="D32" t="str">
            <v>00-ko010964</v>
          </cell>
          <cell r="F32">
            <v>45.1</v>
          </cell>
          <cell r="G32">
            <v>110</v>
          </cell>
        </row>
        <row r="33">
          <cell r="A33" t="str">
            <v>6797 С ИНДЕЙКОЙ Папа может вар п/о 0,4кг 8шт. ОСТАНКИНО</v>
          </cell>
          <cell r="D33" t="str">
            <v>00-ko011300</v>
          </cell>
          <cell r="F33">
            <v>9.6</v>
          </cell>
          <cell r="G33">
            <v>24</v>
          </cell>
        </row>
        <row r="34">
          <cell r="A34" t="str">
            <v>6837 ФИЛЕЙНЫЕ Папа Может сос ц/о мгс 0,4кг  Останкино</v>
          </cell>
          <cell r="D34" t="str">
            <v>00-ko010963</v>
          </cell>
          <cell r="F34">
            <v>28.8</v>
          </cell>
          <cell r="G34">
            <v>72</v>
          </cell>
        </row>
        <row r="35">
          <cell r="A35" t="str">
            <v>7066 СОЧНЫЕ ПМ сос п/о мгс 0,41кг 10шт 50с  Останкино</v>
          </cell>
          <cell r="D35" t="str">
            <v>00-ko010284</v>
          </cell>
          <cell r="F35">
            <v>53.3</v>
          </cell>
          <cell r="G35">
            <v>130</v>
          </cell>
        </row>
        <row r="36">
          <cell r="A36" t="str">
            <v>7070 СОЧНЫЕ ПМ сос п/о 1,5*4_А_50с  Останкино</v>
          </cell>
          <cell r="D36" t="str">
            <v>00-ko010282</v>
          </cell>
          <cell r="F36">
            <v>74.405000000000001</v>
          </cell>
          <cell r="G36">
            <v>74.405000000000001</v>
          </cell>
        </row>
        <row r="37">
          <cell r="A37" t="str">
            <v>7073 МОЛОЧ.ПРЕМИУМ ПМ сос п/о в/у 1/350_50с  Останкино</v>
          </cell>
          <cell r="D37" t="str">
            <v>00-ko010301</v>
          </cell>
          <cell r="F37">
            <v>5.6</v>
          </cell>
          <cell r="G37">
            <v>16</v>
          </cell>
        </row>
        <row r="38">
          <cell r="A38" t="str">
            <v>7080 СЛИВОЧНЫЕ ПМ сос п/о мгс 0,41кг 10шт 50с  Останкино</v>
          </cell>
          <cell r="D38" t="str">
            <v>00-ko010283</v>
          </cell>
          <cell r="F38">
            <v>57.4</v>
          </cell>
          <cell r="G38">
            <v>140</v>
          </cell>
        </row>
        <row r="39">
          <cell r="A39" t="str">
            <v>7090 СВИНИНА ПО-ДОМ.к/в мл/к в/у 0,3кг_50с  Останкино</v>
          </cell>
          <cell r="D39" t="str">
            <v>00-ko010286</v>
          </cell>
          <cell r="F39">
            <v>23.4</v>
          </cell>
          <cell r="G39">
            <v>78</v>
          </cell>
        </row>
        <row r="40">
          <cell r="A40" t="str">
            <v>7103 БЕКОН Останкино с/к с/н в/у 1/180_50с  Останкино</v>
          </cell>
          <cell r="D40" t="str">
            <v>00-ko010254</v>
          </cell>
          <cell r="F40">
            <v>3.6</v>
          </cell>
          <cell r="G40">
            <v>20</v>
          </cell>
        </row>
        <row r="41">
          <cell r="A41" t="str">
            <v>7154 СЕРВЕЛАТ ЗЕРНИСТЫЙ ПМ в/к в/у 0,35кг_50с  Останкино</v>
          </cell>
          <cell r="D41" t="str">
            <v>00-ko010401</v>
          </cell>
          <cell r="F41">
            <v>54.95</v>
          </cell>
          <cell r="G41">
            <v>157</v>
          </cell>
        </row>
        <row r="42">
          <cell r="A42" t="str">
            <v>7157 СЕРВЕЛАТ ЗЕРНИСТЫЙ ПМ в/к в/у_50с  Останкино</v>
          </cell>
          <cell r="D42" t="str">
            <v>00-ko010432</v>
          </cell>
          <cell r="F42">
            <v>50.262</v>
          </cell>
          <cell r="G42">
            <v>50.262</v>
          </cell>
        </row>
        <row r="43">
          <cell r="A43" t="str">
            <v>7166 СЕРВЕЛАТ ОХОТНИЧИЙ ПМ в/к в/у_50с  Останкино</v>
          </cell>
          <cell r="D43" t="str">
            <v>00-ko010400</v>
          </cell>
          <cell r="F43">
            <v>33.838000000000001</v>
          </cell>
          <cell r="G43">
            <v>33.838000000000001</v>
          </cell>
        </row>
        <row r="44">
          <cell r="A44" t="str">
            <v>7169 СЕРВЕЛАТ ОХОТНИЧИЙ ПМ в/к в/у 0,35кг_50с  Останкино</v>
          </cell>
          <cell r="D44" t="str">
            <v>00-ko010399</v>
          </cell>
          <cell r="F44">
            <v>62.3</v>
          </cell>
          <cell r="G44">
            <v>178</v>
          </cell>
        </row>
        <row r="45">
          <cell r="A45" t="str">
            <v>7177 ЧЕСНОЧНАЯ ПМ п/к в/у 0,35кг 8шт_50с  Останкино</v>
          </cell>
          <cell r="D45" t="str">
            <v>00-ko010429</v>
          </cell>
          <cell r="F45">
            <v>11.2</v>
          </cell>
          <cell r="G45">
            <v>32</v>
          </cell>
        </row>
        <row r="46">
          <cell r="A46" t="str">
            <v>7187 ГРУДИНКА ПРЕМИУМ к/в мл/к в/у 0,3кг_50с  Останкино</v>
          </cell>
          <cell r="D46" t="str">
            <v>00-ko010604</v>
          </cell>
          <cell r="F46">
            <v>16.2</v>
          </cell>
          <cell r="G46">
            <v>54</v>
          </cell>
        </row>
        <row r="47">
          <cell r="A47" t="str">
            <v>7232 БОЯNСКАЯ ПМ п/к в/у 0,28кг 8шт_209к  Останкино</v>
          </cell>
          <cell r="D47" t="str">
            <v>00-ko010557</v>
          </cell>
          <cell r="F47">
            <v>33.6</v>
          </cell>
          <cell r="G47">
            <v>120</v>
          </cell>
        </row>
        <row r="48">
          <cell r="A48" t="str">
            <v>7236 СЕРВЕЛАТ КАРЕЛЬСКИЙ в/к в/у 0,28кг_209к  Останкино</v>
          </cell>
          <cell r="D48" t="str">
            <v>00-ko010598</v>
          </cell>
          <cell r="F48">
            <v>42.56</v>
          </cell>
          <cell r="G48">
            <v>152</v>
          </cell>
        </row>
        <row r="49">
          <cell r="A49" t="str">
            <v>7241 САЛЯМИ Папа может п/к в/у 0,28кг ОСТАНКИНО</v>
          </cell>
          <cell r="D49" t="str">
            <v>00-ko010555</v>
          </cell>
          <cell r="F49">
            <v>36.4</v>
          </cell>
          <cell r="G49">
            <v>130</v>
          </cell>
        </row>
        <row r="50">
          <cell r="A50" t="str">
            <v>7255 МЯСНЫЕ С ГОВЯД.ПМ сос п/о мгс 0.4кг 6шт.  ОСТАНКИНО</v>
          </cell>
          <cell r="D50" t="str">
            <v>00-ko011229</v>
          </cell>
          <cell r="F50">
            <v>21.6</v>
          </cell>
          <cell r="G50">
            <v>54</v>
          </cell>
        </row>
        <row r="51">
          <cell r="A51" t="str">
            <v>7382  САЛЯМИ МЕЛКОЗЕРНЕНАЯ с/к в/у1/120 8шт.  ОСТАНКИНО</v>
          </cell>
          <cell r="D51" t="str">
            <v>00-ko011257</v>
          </cell>
          <cell r="F51">
            <v>5.76</v>
          </cell>
          <cell r="G51">
            <v>48</v>
          </cell>
        </row>
        <row r="52">
          <cell r="A52" t="str">
            <v>7489 СЫРРРВЕЛАТ Папа Может в/к в/у 0,28кг 8шт. ОСТАНКИНО</v>
          </cell>
          <cell r="D52" t="str">
            <v>00-ko011701</v>
          </cell>
          <cell r="F52">
            <v>4.4800000000000004</v>
          </cell>
          <cell r="G52">
            <v>16</v>
          </cell>
        </row>
        <row r="53">
          <cell r="A53" t="str">
            <v>7523 ГОВЯЖЬЯ Папа Может вар п/о 0,4кг 6шт. ОСТАНКИНО</v>
          </cell>
          <cell r="D53" t="str">
            <v>00-ko011656</v>
          </cell>
          <cell r="F53">
            <v>38.4</v>
          </cell>
          <cell r="G53">
            <v>96</v>
          </cell>
        </row>
        <row r="54">
          <cell r="A54" t="str">
            <v>7603 БАЛЫКОВАЯ в/к в/у 0.33кг 8шт. ОСТАНКИНО</v>
          </cell>
          <cell r="D54" t="str">
            <v>00-ko011685</v>
          </cell>
          <cell r="F54">
            <v>18.48</v>
          </cell>
          <cell r="G54">
            <v>56</v>
          </cell>
        </row>
        <row r="55">
          <cell r="A55" t="str">
            <v>7632 ЭКСТРА Папа может вар п/о 0.4кг 8шт_195к  ОСТАНКИНО</v>
          </cell>
          <cell r="D55" t="str">
            <v>00-ko011715</v>
          </cell>
          <cell r="F55">
            <v>6.4</v>
          </cell>
          <cell r="G55">
            <v>16</v>
          </cell>
        </row>
        <row r="56">
          <cell r="A56" t="str">
            <v>Итого</v>
          </cell>
          <cell r="F56">
            <v>1459.758</v>
          </cell>
          <cell r="G56">
            <v>3270.7779999999998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" sqref="AG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7" customWidth="1"/>
    <col min="6" max="7" width="9.28515625" customWidth="1"/>
    <col min="8" max="8" width="5" style="6" customWidth="1"/>
    <col min="9" max="9" width="5" customWidth="1"/>
    <col min="10" max="10" width="12" customWidth="1"/>
    <col min="11" max="11" width="1" customWidth="1"/>
    <col min="12" max="19" width="7" customWidth="1"/>
    <col min="20" max="20" width="9.140625" style="20" customWidth="1"/>
    <col min="21" max="22" width="7" customWidth="1"/>
    <col min="23" max="24" width="5" customWidth="1"/>
    <col min="25" max="34" width="6" customWidth="1"/>
    <col min="35" max="35" width="24.28515625" customWidth="1"/>
    <col min="36" max="37" width="7" customWidth="1"/>
  </cols>
  <sheetData>
    <row r="1" spans="1:37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6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 t="s">
        <v>176</v>
      </c>
      <c r="G2" s="1" t="s">
        <v>177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6"/>
      <c r="U2" s="1" t="s">
        <v>176</v>
      </c>
      <c r="V2" s="1" t="s">
        <v>177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15</v>
      </c>
      <c r="S3" s="3" t="s">
        <v>16</v>
      </c>
      <c r="T3" s="17" t="s">
        <v>182</v>
      </c>
      <c r="U3" s="3" t="s">
        <v>16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2" t="s">
        <v>21</v>
      </c>
    </row>
    <row r="4" spans="1:37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 t="s">
        <v>24</v>
      </c>
      <c r="S4" s="1"/>
      <c r="T4" s="16"/>
      <c r="U4" s="1"/>
      <c r="V4" s="1"/>
      <c r="W4" s="1"/>
      <c r="X4" s="1"/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 t="s">
        <v>176</v>
      </c>
      <c r="AK4" s="1" t="s">
        <v>177</v>
      </c>
    </row>
    <row r="5" spans="1:37" x14ac:dyDescent="0.25">
      <c r="A5" s="1"/>
      <c r="B5" s="1"/>
      <c r="C5" s="1"/>
      <c r="D5" s="1"/>
      <c r="E5" s="4">
        <f>SUM(E6:E496)</f>
        <v>15921.592000000001</v>
      </c>
      <c r="F5" s="4">
        <f>SUM(F6:F496)</f>
        <v>6318.4279999999999</v>
      </c>
      <c r="G5" s="4">
        <f>SUM(G6:G496)</f>
        <v>5923.097999999999</v>
      </c>
      <c r="H5" s="7"/>
      <c r="I5" s="1"/>
      <c r="J5" s="1"/>
      <c r="K5" s="1"/>
      <c r="L5" s="4">
        <f t="shared" ref="L5:S5" si="0">SUM(L6:L496)</f>
        <v>20579.584999999995</v>
      </c>
      <c r="M5" s="4">
        <f t="shared" si="0"/>
        <v>-4657.9929999999995</v>
      </c>
      <c r="N5" s="4">
        <f t="shared" si="0"/>
        <v>12666.813999999998</v>
      </c>
      <c r="O5" s="4">
        <f t="shared" si="0"/>
        <v>3254.7780000000002</v>
      </c>
      <c r="P5" s="4">
        <f t="shared" si="0"/>
        <v>16977</v>
      </c>
      <c r="Q5" s="4">
        <f t="shared" si="0"/>
        <v>8865</v>
      </c>
      <c r="R5" s="4">
        <f t="shared" si="0"/>
        <v>2533.3627999999994</v>
      </c>
      <c r="S5" s="4">
        <f t="shared" si="0"/>
        <v>5215.9290000000001</v>
      </c>
      <c r="T5" s="18"/>
      <c r="U5" s="4">
        <f t="shared" ref="U5" si="1">SUM(U6:U496)</f>
        <v>2959.5354896290719</v>
      </c>
      <c r="V5" s="4">
        <f t="shared" ref="V5" si="2">SUM(V6:V496)</f>
        <v>2305.7806071451209</v>
      </c>
      <c r="W5" s="1"/>
      <c r="X5" s="1"/>
      <c r="Y5" s="4">
        <f t="shared" ref="Y5:AH5" si="3">SUM(Y6:Y496)</f>
        <v>2821.0762000000004</v>
      </c>
      <c r="Z5" s="4">
        <f t="shared" si="3"/>
        <v>3399.7716000000014</v>
      </c>
      <c r="AA5" s="4">
        <f t="shared" si="3"/>
        <v>2006.4104000000002</v>
      </c>
      <c r="AB5" s="4">
        <f t="shared" si="3"/>
        <v>3945.1628000000014</v>
      </c>
      <c r="AC5" s="4">
        <f t="shared" si="3"/>
        <v>3700.6237999999994</v>
      </c>
      <c r="AD5" s="4">
        <f t="shared" si="3"/>
        <v>2207.3885999999998</v>
      </c>
      <c r="AE5" s="4">
        <f t="shared" si="3"/>
        <v>2571.2086000000004</v>
      </c>
      <c r="AF5" s="4">
        <f t="shared" si="3"/>
        <v>3192.5596000000005</v>
      </c>
      <c r="AG5" s="4">
        <f t="shared" si="3"/>
        <v>2915.7354</v>
      </c>
      <c r="AH5" s="4">
        <f t="shared" si="3"/>
        <v>2107.6981999999998</v>
      </c>
      <c r="AI5" s="1"/>
      <c r="AJ5" s="4">
        <f>SUM(AJ6:AJ496)</f>
        <v>1379.9293251788838</v>
      </c>
      <c r="AK5" s="4">
        <f>SUM(AK6:AK496)</f>
        <v>908.89673933724475</v>
      </c>
    </row>
    <row r="6" spans="1:37" x14ac:dyDescent="0.25">
      <c r="A6" s="1" t="s">
        <v>35</v>
      </c>
      <c r="B6" s="1" t="s">
        <v>36</v>
      </c>
      <c r="C6" s="1">
        <v>10.625999999999999</v>
      </c>
      <c r="D6" s="1"/>
      <c r="E6" s="1">
        <v>6.8579999999999997</v>
      </c>
      <c r="F6" s="1"/>
      <c r="G6" s="1"/>
      <c r="H6" s="7">
        <v>1</v>
      </c>
      <c r="I6" s="1">
        <v>120</v>
      </c>
      <c r="J6" s="1" t="s">
        <v>37</v>
      </c>
      <c r="K6" s="1"/>
      <c r="L6" s="1">
        <v>13.8</v>
      </c>
      <c r="M6" s="1">
        <f t="shared" ref="M6:M37" si="4">E6-L6</f>
        <v>-6.9420000000000011</v>
      </c>
      <c r="N6" s="1">
        <f>E6-O6</f>
        <v>6.8579999999999997</v>
      </c>
      <c r="O6" s="1"/>
      <c r="P6" s="1">
        <v>0</v>
      </c>
      <c r="Q6" s="1">
        <v>18</v>
      </c>
      <c r="R6" s="1">
        <f>N6/5</f>
        <v>1.3715999999999999</v>
      </c>
      <c r="S6" s="5">
        <v>8</v>
      </c>
      <c r="T6" s="19">
        <f>VLOOKUP(A6,[1]TDSheet!$D:$J,7,0)</f>
        <v>0.49718042798394446</v>
      </c>
      <c r="U6" s="5">
        <f>S6-V6</f>
        <v>4.0225565761284443</v>
      </c>
      <c r="V6" s="5">
        <f>S6*T6</f>
        <v>3.9774434238715557</v>
      </c>
      <c r="W6" s="1">
        <f>(F6+G6+P6+Q6+U6+V6)/R6</f>
        <v>18.955963837853602</v>
      </c>
      <c r="X6" s="1">
        <f t="shared" ref="X6:X37" si="5">(F6+G6+P6+Q6)/R6</f>
        <v>13.123359580052494</v>
      </c>
      <c r="Y6" s="1">
        <v>2.3786</v>
      </c>
      <c r="Z6" s="1">
        <v>0.79720000000000002</v>
      </c>
      <c r="AA6" s="1">
        <v>0.3392</v>
      </c>
      <c r="AB6" s="1">
        <v>3.1198000000000001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 t="s">
        <v>38</v>
      </c>
      <c r="AJ6" s="1">
        <f>H6*U6</f>
        <v>4.0225565761284443</v>
      </c>
      <c r="AK6" s="1">
        <f>H6*V6</f>
        <v>3.9774434238715557</v>
      </c>
    </row>
    <row r="7" spans="1:37" x14ac:dyDescent="0.25">
      <c r="A7" s="1" t="s">
        <v>39</v>
      </c>
      <c r="B7" s="1" t="s">
        <v>40</v>
      </c>
      <c r="C7" s="1">
        <v>319</v>
      </c>
      <c r="D7" s="1">
        <v>704</v>
      </c>
      <c r="E7" s="1">
        <v>245</v>
      </c>
      <c r="F7" s="1">
        <v>70</v>
      </c>
      <c r="G7" s="1">
        <f>VLOOKUP(A7,[2]TDSheet!$A:$M,9,0)</f>
        <v>72</v>
      </c>
      <c r="H7" s="7">
        <v>0.4</v>
      </c>
      <c r="I7" s="1">
        <v>60</v>
      </c>
      <c r="J7" s="1" t="s">
        <v>37</v>
      </c>
      <c r="K7" s="1"/>
      <c r="L7" s="1">
        <v>257</v>
      </c>
      <c r="M7" s="1">
        <f t="shared" si="4"/>
        <v>-12</v>
      </c>
      <c r="N7" s="1">
        <f t="shared" ref="N7:N70" si="6">E7-O7</f>
        <v>149</v>
      </c>
      <c r="O7" s="1">
        <f>VLOOKUP(A7,[3]TDSheet!$A:$AX,7,0)</f>
        <v>96</v>
      </c>
      <c r="P7" s="1">
        <v>600</v>
      </c>
      <c r="Q7" s="1">
        <v>100</v>
      </c>
      <c r="R7" s="1">
        <f t="shared" ref="R7:R70" si="7">N7/5</f>
        <v>29.8</v>
      </c>
      <c r="S7" s="5"/>
      <c r="T7" s="19">
        <f>VLOOKUP(A7,[1]TDSheet!$D:$J,7,0)</f>
        <v>0.58595041322314056</v>
      </c>
      <c r="U7" s="5">
        <f t="shared" ref="U7:U23" si="8">S7-V7</f>
        <v>0</v>
      </c>
      <c r="V7" s="5">
        <f t="shared" ref="V7:V23" si="9">S7*T7</f>
        <v>0</v>
      </c>
      <c r="W7" s="1">
        <f t="shared" ref="W7:W70" si="10">(F7+G7+P7+Q7+U7+V7)/R7</f>
        <v>28.255033557046978</v>
      </c>
      <c r="X7" s="1">
        <f t="shared" si="5"/>
        <v>28.255033557046978</v>
      </c>
      <c r="Y7" s="1">
        <v>43.6</v>
      </c>
      <c r="Z7" s="1">
        <v>69.400000000000006</v>
      </c>
      <c r="AA7" s="1">
        <v>26.6</v>
      </c>
      <c r="AB7" s="1">
        <v>68.8</v>
      </c>
      <c r="AC7" s="1">
        <v>75.599999999999994</v>
      </c>
      <c r="AD7" s="1">
        <v>35.4</v>
      </c>
      <c r="AE7" s="1">
        <v>54.2</v>
      </c>
      <c r="AF7" s="1">
        <v>62.6</v>
      </c>
      <c r="AG7" s="1">
        <v>55.6</v>
      </c>
      <c r="AH7" s="1">
        <v>41.2</v>
      </c>
      <c r="AI7" s="12" t="s">
        <v>49</v>
      </c>
      <c r="AJ7" s="1">
        <f t="shared" ref="AJ7:AJ70" si="11">H7*U7</f>
        <v>0</v>
      </c>
      <c r="AK7" s="1">
        <f t="shared" ref="AK7:AK70" si="12">H7*V7</f>
        <v>0</v>
      </c>
    </row>
    <row r="8" spans="1:37" x14ac:dyDescent="0.25">
      <c r="A8" s="1" t="s">
        <v>42</v>
      </c>
      <c r="B8" s="1" t="s">
        <v>36</v>
      </c>
      <c r="C8" s="1">
        <v>220.505</v>
      </c>
      <c r="D8" s="1">
        <v>66.265000000000001</v>
      </c>
      <c r="E8" s="1">
        <v>21.099</v>
      </c>
      <c r="F8" s="1">
        <v>12.848000000000001</v>
      </c>
      <c r="G8" s="1">
        <f>VLOOKUP(A8,[2]TDSheet!$A:$M,9,0)</f>
        <v>8.0419999999999998</v>
      </c>
      <c r="H8" s="7">
        <v>1</v>
      </c>
      <c r="I8" s="1">
        <v>120</v>
      </c>
      <c r="J8" s="1" t="s">
        <v>37</v>
      </c>
      <c r="K8" s="1"/>
      <c r="L8" s="1">
        <v>24.3</v>
      </c>
      <c r="M8" s="1">
        <f t="shared" si="4"/>
        <v>-3.2010000000000005</v>
      </c>
      <c r="N8" s="1">
        <f t="shared" si="6"/>
        <v>17.097999999999999</v>
      </c>
      <c r="O8" s="1">
        <f>VLOOKUP(A8,[3]TDSheet!$A:$AX,7,0)</f>
        <v>4.0010000000000003</v>
      </c>
      <c r="P8" s="1">
        <v>22</v>
      </c>
      <c r="Q8" s="1">
        <v>0</v>
      </c>
      <c r="R8" s="1">
        <f t="shared" si="7"/>
        <v>3.4196</v>
      </c>
      <c r="S8" s="5">
        <f t="shared" ref="S8:S19" si="13">15*R8-Q8-P8-G8-F8</f>
        <v>8.4039999999999946</v>
      </c>
      <c r="T8" s="19">
        <f>VLOOKUP(A8,[1]TDSheet!$D:$J,7,0)</f>
        <v>0.51642644750970512</v>
      </c>
      <c r="U8" s="5">
        <f t="shared" si="8"/>
        <v>4.0639521351284351</v>
      </c>
      <c r="V8" s="5">
        <f t="shared" si="9"/>
        <v>4.3400478648715595</v>
      </c>
      <c r="W8" s="1">
        <f t="shared" si="10"/>
        <v>14.999999999999996</v>
      </c>
      <c r="X8" s="1">
        <f t="shared" si="5"/>
        <v>12.542402620189495</v>
      </c>
      <c r="Y8" s="1">
        <v>3.7907999999999999</v>
      </c>
      <c r="Z8" s="1">
        <v>3.9006000000000012</v>
      </c>
      <c r="AA8" s="1">
        <v>3.4222000000000001</v>
      </c>
      <c r="AB8" s="1">
        <v>5.2168000000000001</v>
      </c>
      <c r="AC8" s="1">
        <v>4.2012</v>
      </c>
      <c r="AD8" s="1">
        <v>3.2757999999999998</v>
      </c>
      <c r="AE8" s="1">
        <v>0.29959999999999998</v>
      </c>
      <c r="AF8" s="1">
        <v>0.99220000000000008</v>
      </c>
      <c r="AG8" s="1">
        <v>4.3465999999999996</v>
      </c>
      <c r="AH8" s="1">
        <v>1.4268000000000001</v>
      </c>
      <c r="AI8" s="1" t="s">
        <v>44</v>
      </c>
      <c r="AJ8" s="1">
        <f t="shared" si="11"/>
        <v>4.0639521351284351</v>
      </c>
      <c r="AK8" s="1">
        <f t="shared" si="12"/>
        <v>4.3400478648715595</v>
      </c>
    </row>
    <row r="9" spans="1:37" x14ac:dyDescent="0.25">
      <c r="A9" s="1" t="s">
        <v>43</v>
      </c>
      <c r="B9" s="1" t="s">
        <v>40</v>
      </c>
      <c r="C9" s="1">
        <v>306</v>
      </c>
      <c r="D9" s="1">
        <v>320</v>
      </c>
      <c r="E9" s="1">
        <v>247</v>
      </c>
      <c r="F9" s="1">
        <v>71</v>
      </c>
      <c r="G9" s="1">
        <f>VLOOKUP(A9,[2]TDSheet!$A:$M,9,0)</f>
        <v>72</v>
      </c>
      <c r="H9" s="7">
        <v>0.25</v>
      </c>
      <c r="I9" s="1">
        <v>120</v>
      </c>
      <c r="J9" s="1" t="s">
        <v>37</v>
      </c>
      <c r="K9" s="1"/>
      <c r="L9" s="1">
        <v>274</v>
      </c>
      <c r="M9" s="1">
        <f t="shared" si="4"/>
        <v>-27</v>
      </c>
      <c r="N9" s="1">
        <f t="shared" si="6"/>
        <v>175</v>
      </c>
      <c r="O9" s="1">
        <f>VLOOKUP(A9,[3]TDSheet!$A:$AX,7,0)</f>
        <v>72</v>
      </c>
      <c r="P9" s="1">
        <v>744</v>
      </c>
      <c r="Q9" s="1">
        <v>0</v>
      </c>
      <c r="R9" s="1">
        <f t="shared" si="7"/>
        <v>35</v>
      </c>
      <c r="S9" s="5"/>
      <c r="T9" s="19">
        <f>VLOOKUP(A9,[1]TDSheet!$D:$J,7,0)</f>
        <v>0.4478442280945758</v>
      </c>
      <c r="U9" s="5">
        <f t="shared" si="8"/>
        <v>0</v>
      </c>
      <c r="V9" s="5">
        <f t="shared" si="9"/>
        <v>0</v>
      </c>
      <c r="W9" s="1">
        <f t="shared" si="10"/>
        <v>25.342857142857142</v>
      </c>
      <c r="X9" s="1">
        <f t="shared" si="5"/>
        <v>25.342857142857142</v>
      </c>
      <c r="Y9" s="1">
        <v>54</v>
      </c>
      <c r="Z9" s="1">
        <v>88</v>
      </c>
      <c r="AA9" s="1">
        <v>23.2</v>
      </c>
      <c r="AB9" s="1">
        <v>97.8</v>
      </c>
      <c r="AC9" s="1">
        <v>70</v>
      </c>
      <c r="AD9" s="1">
        <v>29.8</v>
      </c>
      <c r="AE9" s="1">
        <v>37.4</v>
      </c>
      <c r="AF9" s="1">
        <v>61.4</v>
      </c>
      <c r="AG9" s="1">
        <v>31.4</v>
      </c>
      <c r="AH9" s="1">
        <v>25</v>
      </c>
      <c r="AI9" s="15" t="s">
        <v>178</v>
      </c>
      <c r="AJ9" s="1">
        <f t="shared" si="11"/>
        <v>0</v>
      </c>
      <c r="AK9" s="1">
        <f t="shared" si="12"/>
        <v>0</v>
      </c>
    </row>
    <row r="10" spans="1:37" x14ac:dyDescent="0.25">
      <c r="A10" s="1" t="s">
        <v>45</v>
      </c>
      <c r="B10" s="1" t="s">
        <v>36</v>
      </c>
      <c r="C10" s="1">
        <v>1012.8579999999999</v>
      </c>
      <c r="D10" s="1">
        <v>1340.066</v>
      </c>
      <c r="E10" s="1">
        <v>234.31299999999999</v>
      </c>
      <c r="F10" s="1">
        <v>378.79399999999998</v>
      </c>
      <c r="G10" s="1">
        <f>VLOOKUP(A10,[2]TDSheet!$A:$M,9,0)</f>
        <v>169.85499999999999</v>
      </c>
      <c r="H10" s="7">
        <v>1</v>
      </c>
      <c r="I10" s="1">
        <v>60</v>
      </c>
      <c r="J10" s="1" t="s">
        <v>37</v>
      </c>
      <c r="K10" s="1"/>
      <c r="L10" s="1">
        <v>237.4</v>
      </c>
      <c r="M10" s="1">
        <f t="shared" si="4"/>
        <v>-3.0870000000000175</v>
      </c>
      <c r="N10" s="1">
        <f t="shared" si="6"/>
        <v>169.541</v>
      </c>
      <c r="O10" s="1">
        <f>VLOOKUP(A10,[3]TDSheet!$A:$AX,7,0)</f>
        <v>64.772000000000006</v>
      </c>
      <c r="P10" s="1">
        <v>100</v>
      </c>
      <c r="Q10" s="1">
        <v>0</v>
      </c>
      <c r="R10" s="1">
        <f t="shared" si="7"/>
        <v>33.908200000000001</v>
      </c>
      <c r="S10" s="5"/>
      <c r="T10" s="19">
        <f>VLOOKUP(A10,[1]TDSheet!$D:$J,7,0)</f>
        <v>0.63715226215226217</v>
      </c>
      <c r="U10" s="5">
        <f t="shared" si="8"/>
        <v>0</v>
      </c>
      <c r="V10" s="5">
        <f t="shared" si="9"/>
        <v>0</v>
      </c>
      <c r="W10" s="1">
        <f t="shared" si="10"/>
        <v>19.129561580974514</v>
      </c>
      <c r="X10" s="1">
        <f t="shared" si="5"/>
        <v>19.129561580974514</v>
      </c>
      <c r="Y10" s="1">
        <v>44.263199999999998</v>
      </c>
      <c r="Z10" s="1">
        <v>46.027599999999993</v>
      </c>
      <c r="AA10" s="1">
        <v>57.752200000000002</v>
      </c>
      <c r="AB10" s="1">
        <v>47.667999999999999</v>
      </c>
      <c r="AC10" s="1">
        <v>71.5244</v>
      </c>
      <c r="AD10" s="1">
        <v>59.996400000000008</v>
      </c>
      <c r="AE10" s="1">
        <v>49.260599999999997</v>
      </c>
      <c r="AF10" s="1">
        <v>56.257199999999997</v>
      </c>
      <c r="AG10" s="1">
        <v>69.917000000000002</v>
      </c>
      <c r="AH10" s="1">
        <v>42.271000000000001</v>
      </c>
      <c r="AI10" s="15" t="s">
        <v>41</v>
      </c>
      <c r="AJ10" s="1">
        <f t="shared" si="11"/>
        <v>0</v>
      </c>
      <c r="AK10" s="1">
        <f t="shared" si="12"/>
        <v>0</v>
      </c>
    </row>
    <row r="11" spans="1:37" x14ac:dyDescent="0.25">
      <c r="A11" s="1" t="s">
        <v>46</v>
      </c>
      <c r="B11" s="1" t="s">
        <v>36</v>
      </c>
      <c r="C11" s="1">
        <v>108.30800000000001</v>
      </c>
      <c r="D11" s="1">
        <v>90.453000000000003</v>
      </c>
      <c r="E11" s="1">
        <v>16.155999999999999</v>
      </c>
      <c r="F11" s="1">
        <v>32.4</v>
      </c>
      <c r="G11" s="1">
        <f>VLOOKUP(A11,[2]TDSheet!$A:$M,9,0)</f>
        <v>28.311</v>
      </c>
      <c r="H11" s="7">
        <v>1</v>
      </c>
      <c r="I11" s="1">
        <v>120</v>
      </c>
      <c r="J11" s="1" t="s">
        <v>37</v>
      </c>
      <c r="K11" s="1"/>
      <c r="L11" s="1">
        <v>22.2</v>
      </c>
      <c r="M11" s="1">
        <f t="shared" si="4"/>
        <v>-6.0440000000000005</v>
      </c>
      <c r="N11" s="1">
        <f t="shared" si="6"/>
        <v>16.155999999999999</v>
      </c>
      <c r="O11" s="1"/>
      <c r="P11" s="1">
        <v>0</v>
      </c>
      <c r="Q11" s="1">
        <v>0</v>
      </c>
      <c r="R11" s="1">
        <f t="shared" si="7"/>
        <v>3.2311999999999999</v>
      </c>
      <c r="S11" s="5"/>
      <c r="T11" s="19">
        <f>VLOOKUP(A11,[1]TDSheet!$D:$J,7,0)</f>
        <v>0.67659440419256001</v>
      </c>
      <c r="U11" s="5">
        <f t="shared" si="8"/>
        <v>0</v>
      </c>
      <c r="V11" s="5">
        <f t="shared" si="9"/>
        <v>0</v>
      </c>
      <c r="W11" s="1">
        <f t="shared" si="10"/>
        <v>18.788994800693242</v>
      </c>
      <c r="X11" s="1">
        <f t="shared" si="5"/>
        <v>18.788994800693242</v>
      </c>
      <c r="Y11" s="1">
        <v>2.4188000000000001</v>
      </c>
      <c r="Z11" s="1">
        <v>4.3449999999999998</v>
      </c>
      <c r="AA11" s="1">
        <v>4.2176</v>
      </c>
      <c r="AB11" s="1">
        <v>10.532</v>
      </c>
      <c r="AC11" s="1">
        <v>6.9102000000000006</v>
      </c>
      <c r="AD11" s="1">
        <v>4.5746000000000002</v>
      </c>
      <c r="AE11" s="1">
        <v>8.6004000000000005</v>
      </c>
      <c r="AF11" s="1">
        <v>5.0928000000000004</v>
      </c>
      <c r="AG11" s="1">
        <v>2.7075999999999998</v>
      </c>
      <c r="AH11" s="1">
        <v>4.4042000000000003</v>
      </c>
      <c r="AI11" s="15" t="s">
        <v>178</v>
      </c>
      <c r="AJ11" s="1">
        <f t="shared" si="11"/>
        <v>0</v>
      </c>
      <c r="AK11" s="1">
        <f t="shared" si="12"/>
        <v>0</v>
      </c>
    </row>
    <row r="12" spans="1:37" x14ac:dyDescent="0.25">
      <c r="A12" s="1" t="s">
        <v>47</v>
      </c>
      <c r="B12" s="1" t="s">
        <v>36</v>
      </c>
      <c r="C12" s="1">
        <v>109.43300000000001</v>
      </c>
      <c r="D12" s="1">
        <v>26.465</v>
      </c>
      <c r="E12" s="1">
        <v>38.902999999999999</v>
      </c>
      <c r="F12" s="1">
        <v>28.4</v>
      </c>
      <c r="G12" s="1">
        <f>VLOOKUP(A12,[2]TDSheet!$A:$M,9,0)</f>
        <v>40.392000000000003</v>
      </c>
      <c r="H12" s="7">
        <v>1</v>
      </c>
      <c r="I12" s="1">
        <v>60</v>
      </c>
      <c r="J12" s="1" t="s">
        <v>37</v>
      </c>
      <c r="K12" s="1"/>
      <c r="L12" s="1">
        <v>51.1</v>
      </c>
      <c r="M12" s="1">
        <f t="shared" si="4"/>
        <v>-12.197000000000003</v>
      </c>
      <c r="N12" s="1">
        <f t="shared" si="6"/>
        <v>38.902999999999999</v>
      </c>
      <c r="O12" s="1"/>
      <c r="P12" s="1">
        <v>0</v>
      </c>
      <c r="Q12" s="1">
        <v>0</v>
      </c>
      <c r="R12" s="1">
        <f t="shared" si="7"/>
        <v>7.7805999999999997</v>
      </c>
      <c r="S12" s="5">
        <f t="shared" si="13"/>
        <v>47.917000000000009</v>
      </c>
      <c r="T12" s="19">
        <f>VLOOKUP(A12,[1]TDSheet!$D:$J,7,0)</f>
        <v>0.64048501759638832</v>
      </c>
      <c r="U12" s="5">
        <f t="shared" si="8"/>
        <v>17.226879411833863</v>
      </c>
      <c r="V12" s="5">
        <f t="shared" si="9"/>
        <v>30.690120588166145</v>
      </c>
      <c r="W12" s="1">
        <f t="shared" si="10"/>
        <v>15.000000000000002</v>
      </c>
      <c r="X12" s="1">
        <f t="shared" si="5"/>
        <v>8.8414775210138039</v>
      </c>
      <c r="Y12" s="1">
        <v>1.5187999999999999</v>
      </c>
      <c r="Z12" s="1">
        <v>6.2080000000000002</v>
      </c>
      <c r="AA12" s="1">
        <v>8.642199999999999</v>
      </c>
      <c r="AB12" s="1">
        <v>5.4014000000000006</v>
      </c>
      <c r="AC12" s="1">
        <v>2.4533999999999998</v>
      </c>
      <c r="AD12" s="1">
        <v>4.0156000000000001</v>
      </c>
      <c r="AE12" s="1">
        <v>8.7403999999999993</v>
      </c>
      <c r="AF12" s="1">
        <v>3.5335999999999999</v>
      </c>
      <c r="AG12" s="1">
        <v>3.8138000000000001</v>
      </c>
      <c r="AH12" s="1">
        <v>0.81980000000000008</v>
      </c>
      <c r="AI12" s="1"/>
      <c r="AJ12" s="1">
        <f t="shared" si="11"/>
        <v>17.226879411833863</v>
      </c>
      <c r="AK12" s="1">
        <f t="shared" si="12"/>
        <v>30.690120588166145</v>
      </c>
    </row>
    <row r="13" spans="1:37" x14ac:dyDescent="0.25">
      <c r="A13" s="1" t="s">
        <v>48</v>
      </c>
      <c r="B13" s="1" t="s">
        <v>36</v>
      </c>
      <c r="C13" s="1">
        <v>959.14499999999998</v>
      </c>
      <c r="D13" s="1">
        <v>841.68799999999999</v>
      </c>
      <c r="E13" s="1">
        <v>229.1</v>
      </c>
      <c r="F13" s="1">
        <v>228.285</v>
      </c>
      <c r="G13" s="1">
        <f>VLOOKUP(A13,[2]TDSheet!$A:$M,9,0)</f>
        <v>293.66199999999998</v>
      </c>
      <c r="H13" s="7">
        <v>1</v>
      </c>
      <c r="I13" s="1">
        <v>60</v>
      </c>
      <c r="J13" s="1" t="s">
        <v>37</v>
      </c>
      <c r="K13" s="1"/>
      <c r="L13" s="1">
        <v>222</v>
      </c>
      <c r="M13" s="1">
        <f t="shared" si="4"/>
        <v>7.0999999999999943</v>
      </c>
      <c r="N13" s="1">
        <f t="shared" si="6"/>
        <v>176.15899999999999</v>
      </c>
      <c r="O13" s="1">
        <f>VLOOKUP(A13,[3]TDSheet!$A:$AX,7,0)</f>
        <v>52.941000000000003</v>
      </c>
      <c r="P13" s="1">
        <v>100</v>
      </c>
      <c r="Q13" s="1">
        <v>0</v>
      </c>
      <c r="R13" s="1">
        <f t="shared" si="7"/>
        <v>35.2318</v>
      </c>
      <c r="S13" s="5"/>
      <c r="T13" s="19">
        <f>VLOOKUP(A13,[1]TDSheet!$D:$J,7,0)</f>
        <v>0.72316201488996323</v>
      </c>
      <c r="U13" s="5">
        <f t="shared" si="8"/>
        <v>0</v>
      </c>
      <c r="V13" s="5">
        <f t="shared" si="9"/>
        <v>0</v>
      </c>
      <c r="W13" s="1">
        <f t="shared" si="10"/>
        <v>17.653000982067336</v>
      </c>
      <c r="X13" s="1">
        <f t="shared" si="5"/>
        <v>17.653000982067336</v>
      </c>
      <c r="Y13" s="1">
        <v>38.9786</v>
      </c>
      <c r="Z13" s="1">
        <v>46.416999999999987</v>
      </c>
      <c r="AA13" s="1">
        <v>60.004800000000003</v>
      </c>
      <c r="AB13" s="1">
        <v>59.633799999999987</v>
      </c>
      <c r="AC13" s="1">
        <v>64.598800000000011</v>
      </c>
      <c r="AD13" s="1">
        <v>47.507800000000003</v>
      </c>
      <c r="AE13" s="1">
        <v>63.072600000000001</v>
      </c>
      <c r="AF13" s="1">
        <v>49.145600000000002</v>
      </c>
      <c r="AG13" s="1">
        <v>63.110400000000013</v>
      </c>
      <c r="AH13" s="1">
        <v>35.663600000000002</v>
      </c>
      <c r="AI13" s="12" t="s">
        <v>49</v>
      </c>
      <c r="AJ13" s="1">
        <f t="shared" si="11"/>
        <v>0</v>
      </c>
      <c r="AK13" s="1">
        <f t="shared" si="12"/>
        <v>0</v>
      </c>
    </row>
    <row r="14" spans="1:37" x14ac:dyDescent="0.25">
      <c r="A14" s="1" t="s">
        <v>50</v>
      </c>
      <c r="B14" s="1" t="s">
        <v>40</v>
      </c>
      <c r="C14" s="1">
        <v>391</v>
      </c>
      <c r="D14" s="1">
        <v>564</v>
      </c>
      <c r="E14" s="1">
        <v>176</v>
      </c>
      <c r="F14" s="1">
        <v>132</v>
      </c>
      <c r="G14" s="1">
        <f>VLOOKUP(A14,[2]TDSheet!$A:$M,9,0)</f>
        <v>126</v>
      </c>
      <c r="H14" s="7">
        <v>0.25</v>
      </c>
      <c r="I14" s="1">
        <v>120</v>
      </c>
      <c r="J14" s="1" t="s">
        <v>37</v>
      </c>
      <c r="K14" s="1"/>
      <c r="L14" s="1">
        <v>203</v>
      </c>
      <c r="M14" s="1">
        <f t="shared" si="4"/>
        <v>-27</v>
      </c>
      <c r="N14" s="1">
        <f t="shared" si="6"/>
        <v>112</v>
      </c>
      <c r="O14" s="1">
        <f>VLOOKUP(A14,[3]TDSheet!$A:$AX,7,0)</f>
        <v>64</v>
      </c>
      <c r="P14" s="1">
        <v>142</v>
      </c>
      <c r="Q14" s="1">
        <v>0</v>
      </c>
      <c r="R14" s="1">
        <f t="shared" si="7"/>
        <v>22.4</v>
      </c>
      <c r="S14" s="5"/>
      <c r="T14" s="19">
        <f>VLOOKUP(A14,[1]TDSheet!$D:$J,7,0)</f>
        <v>0.67886178861788615</v>
      </c>
      <c r="U14" s="5">
        <f t="shared" si="8"/>
        <v>0</v>
      </c>
      <c r="V14" s="5">
        <f t="shared" si="9"/>
        <v>0</v>
      </c>
      <c r="W14" s="1">
        <f t="shared" si="10"/>
        <v>17.857142857142858</v>
      </c>
      <c r="X14" s="1">
        <f t="shared" si="5"/>
        <v>17.857142857142858</v>
      </c>
      <c r="Y14" s="1">
        <v>29.2</v>
      </c>
      <c r="Z14" s="1">
        <v>44.6</v>
      </c>
      <c r="AA14" s="1">
        <v>30.6</v>
      </c>
      <c r="AB14" s="1">
        <v>70.400000000000006</v>
      </c>
      <c r="AC14" s="1">
        <v>62</v>
      </c>
      <c r="AD14" s="1">
        <v>37</v>
      </c>
      <c r="AE14" s="1">
        <v>33</v>
      </c>
      <c r="AF14" s="1">
        <v>47.4</v>
      </c>
      <c r="AG14" s="1">
        <v>53.6</v>
      </c>
      <c r="AH14" s="1">
        <v>24.2</v>
      </c>
      <c r="AI14" s="1" t="s">
        <v>44</v>
      </c>
      <c r="AJ14" s="1">
        <f t="shared" si="11"/>
        <v>0</v>
      </c>
      <c r="AK14" s="1">
        <f t="shared" si="12"/>
        <v>0</v>
      </c>
    </row>
    <row r="15" spans="1:37" x14ac:dyDescent="0.25">
      <c r="A15" s="1" t="s">
        <v>51</v>
      </c>
      <c r="B15" s="1" t="s">
        <v>36</v>
      </c>
      <c r="C15" s="1">
        <v>313.59500000000003</v>
      </c>
      <c r="D15" s="1">
        <v>446.91899999999998</v>
      </c>
      <c r="E15" s="1">
        <v>76.566999999999993</v>
      </c>
      <c r="F15" s="1">
        <v>10.881</v>
      </c>
      <c r="G15" s="1">
        <f>VLOOKUP(A15,[2]TDSheet!$A:$M,9,0)</f>
        <v>61.256999999999998</v>
      </c>
      <c r="H15" s="7">
        <v>1</v>
      </c>
      <c r="I15" s="1">
        <v>60</v>
      </c>
      <c r="J15" s="1" t="s">
        <v>37</v>
      </c>
      <c r="K15" s="1"/>
      <c r="L15" s="1">
        <v>70.3</v>
      </c>
      <c r="M15" s="1">
        <f t="shared" si="4"/>
        <v>6.2669999999999959</v>
      </c>
      <c r="N15" s="1">
        <f t="shared" si="6"/>
        <v>51.840999999999994</v>
      </c>
      <c r="O15" s="1">
        <f>VLOOKUP(A15,[3]TDSheet!$A:$AX,7,0)</f>
        <v>24.725999999999999</v>
      </c>
      <c r="P15" s="1">
        <v>0</v>
      </c>
      <c r="Q15" s="1">
        <v>120</v>
      </c>
      <c r="R15" s="1">
        <f t="shared" si="7"/>
        <v>10.368199999999998</v>
      </c>
      <c r="S15" s="5"/>
      <c r="T15" s="19">
        <f>VLOOKUP(A15,[1]TDSheet!$D:$J,7,0)</f>
        <v>0.75044648655669566</v>
      </c>
      <c r="U15" s="5">
        <f t="shared" si="8"/>
        <v>0</v>
      </c>
      <c r="V15" s="5">
        <f t="shared" si="9"/>
        <v>0</v>
      </c>
      <c r="W15" s="1">
        <f t="shared" si="10"/>
        <v>18.531471229335857</v>
      </c>
      <c r="X15" s="1">
        <f t="shared" si="5"/>
        <v>18.531471229335857</v>
      </c>
      <c r="Y15" s="1">
        <v>12.847799999999999</v>
      </c>
      <c r="Z15" s="1">
        <v>13.256399999999999</v>
      </c>
      <c r="AA15" s="1">
        <v>14.061199999999999</v>
      </c>
      <c r="AB15" s="1">
        <v>19.492999999999999</v>
      </c>
      <c r="AC15" s="1">
        <v>0.47199999999999998</v>
      </c>
      <c r="AD15" s="1">
        <v>8.4016000000000002</v>
      </c>
      <c r="AE15" s="1">
        <v>26.634799999999998</v>
      </c>
      <c r="AF15" s="1">
        <v>14.544</v>
      </c>
      <c r="AG15" s="1">
        <v>9.7308000000000003</v>
      </c>
      <c r="AH15" s="1">
        <v>0.81180000000000008</v>
      </c>
      <c r="AI15" s="1"/>
      <c r="AJ15" s="1">
        <f t="shared" si="11"/>
        <v>0</v>
      </c>
      <c r="AK15" s="1">
        <f t="shared" si="12"/>
        <v>0</v>
      </c>
    </row>
    <row r="16" spans="1:37" x14ac:dyDescent="0.25">
      <c r="A16" s="1" t="s">
        <v>52</v>
      </c>
      <c r="B16" s="1" t="s">
        <v>40</v>
      </c>
      <c r="C16" s="1">
        <v>407</v>
      </c>
      <c r="D16" s="1">
        <v>508</v>
      </c>
      <c r="E16" s="1">
        <v>277</v>
      </c>
      <c r="F16" s="1">
        <v>50</v>
      </c>
      <c r="G16" s="1">
        <f>VLOOKUP(A16,[2]TDSheet!$A:$M,9,0)</f>
        <v>127</v>
      </c>
      <c r="H16" s="7">
        <v>0.25</v>
      </c>
      <c r="I16" s="1">
        <v>120</v>
      </c>
      <c r="J16" s="1" t="s">
        <v>37</v>
      </c>
      <c r="K16" s="1"/>
      <c r="L16" s="1">
        <v>304</v>
      </c>
      <c r="M16" s="1">
        <f t="shared" si="4"/>
        <v>-27</v>
      </c>
      <c r="N16" s="1">
        <f t="shared" si="6"/>
        <v>165</v>
      </c>
      <c r="O16" s="1">
        <f>VLOOKUP(A16,[3]TDSheet!$A:$AX,7,0)</f>
        <v>112</v>
      </c>
      <c r="P16" s="1">
        <v>542</v>
      </c>
      <c r="Q16" s="1">
        <v>150</v>
      </c>
      <c r="R16" s="1">
        <f t="shared" si="7"/>
        <v>33</v>
      </c>
      <c r="S16" s="5"/>
      <c r="T16" s="19">
        <f>VLOOKUP(A16,[1]TDSheet!$D:$J,7,0)</f>
        <v>0.49424552429667518</v>
      </c>
      <c r="U16" s="5">
        <f t="shared" si="8"/>
        <v>0</v>
      </c>
      <c r="V16" s="5">
        <f t="shared" si="9"/>
        <v>0</v>
      </c>
      <c r="W16" s="1">
        <f t="shared" si="10"/>
        <v>26.333333333333332</v>
      </c>
      <c r="X16" s="1">
        <f t="shared" si="5"/>
        <v>26.333333333333332</v>
      </c>
      <c r="Y16" s="1">
        <v>59.2</v>
      </c>
      <c r="Z16" s="1">
        <v>82.6</v>
      </c>
      <c r="AA16" s="1">
        <v>19.600000000000001</v>
      </c>
      <c r="AB16" s="1">
        <v>119.2</v>
      </c>
      <c r="AC16" s="1">
        <v>76</v>
      </c>
      <c r="AD16" s="1">
        <v>40.200000000000003</v>
      </c>
      <c r="AE16" s="1">
        <v>40.4</v>
      </c>
      <c r="AF16" s="1">
        <v>55.8</v>
      </c>
      <c r="AG16" s="1">
        <v>48.2</v>
      </c>
      <c r="AH16" s="1">
        <v>24.2</v>
      </c>
      <c r="AI16" s="15" t="s">
        <v>178</v>
      </c>
      <c r="AJ16" s="1">
        <f t="shared" si="11"/>
        <v>0</v>
      </c>
      <c r="AK16" s="1">
        <f t="shared" si="12"/>
        <v>0</v>
      </c>
    </row>
    <row r="17" spans="1:37" x14ac:dyDescent="0.25">
      <c r="A17" s="1" t="s">
        <v>53</v>
      </c>
      <c r="B17" s="1" t="s">
        <v>40</v>
      </c>
      <c r="C17" s="1">
        <v>417</v>
      </c>
      <c r="D17" s="1">
        <v>323</v>
      </c>
      <c r="E17" s="1">
        <v>196</v>
      </c>
      <c r="F17" s="1">
        <v>145</v>
      </c>
      <c r="G17" s="1">
        <f>VLOOKUP(A17,[2]TDSheet!$A:$M,9,0)</f>
        <v>150</v>
      </c>
      <c r="H17" s="7">
        <v>0.4</v>
      </c>
      <c r="I17" s="1">
        <v>60</v>
      </c>
      <c r="J17" s="1" t="s">
        <v>37</v>
      </c>
      <c r="K17" s="1"/>
      <c r="L17" s="1">
        <v>196</v>
      </c>
      <c r="M17" s="1">
        <f t="shared" si="4"/>
        <v>0</v>
      </c>
      <c r="N17" s="1">
        <f t="shared" si="6"/>
        <v>124</v>
      </c>
      <c r="O17" s="1">
        <f>VLOOKUP(A17,[3]TDSheet!$A:$AX,7,0)</f>
        <v>72</v>
      </c>
      <c r="P17" s="1">
        <v>0</v>
      </c>
      <c r="Q17" s="1">
        <v>170</v>
      </c>
      <c r="R17" s="1">
        <f t="shared" si="7"/>
        <v>24.8</v>
      </c>
      <c r="S17" s="5"/>
      <c r="T17" s="19">
        <f>VLOOKUP(A17,[1]TDSheet!$D:$J,7,0)</f>
        <v>0.47460087082728591</v>
      </c>
      <c r="U17" s="5">
        <f t="shared" si="8"/>
        <v>0</v>
      </c>
      <c r="V17" s="5">
        <f t="shared" si="9"/>
        <v>0</v>
      </c>
      <c r="W17" s="1">
        <f t="shared" si="10"/>
        <v>18.75</v>
      </c>
      <c r="X17" s="1">
        <f t="shared" si="5"/>
        <v>18.75</v>
      </c>
      <c r="Y17" s="1">
        <v>33.200000000000003</v>
      </c>
      <c r="Z17" s="1">
        <v>37.6</v>
      </c>
      <c r="AA17" s="1">
        <v>7.4</v>
      </c>
      <c r="AB17" s="1">
        <v>43.8</v>
      </c>
      <c r="AC17" s="1">
        <v>40</v>
      </c>
      <c r="AD17" s="1">
        <v>24.6</v>
      </c>
      <c r="AE17" s="1">
        <v>22.8</v>
      </c>
      <c r="AF17" s="1">
        <v>36.799999999999997</v>
      </c>
      <c r="AG17" s="1">
        <v>37</v>
      </c>
      <c r="AH17" s="1">
        <v>34.799999999999997</v>
      </c>
      <c r="AI17" s="1"/>
      <c r="AJ17" s="1">
        <f t="shared" si="11"/>
        <v>0</v>
      </c>
      <c r="AK17" s="1">
        <f t="shared" si="12"/>
        <v>0</v>
      </c>
    </row>
    <row r="18" spans="1:37" x14ac:dyDescent="0.25">
      <c r="A18" s="1" t="s">
        <v>54</v>
      </c>
      <c r="B18" s="1" t="s">
        <v>36</v>
      </c>
      <c r="C18" s="1">
        <v>136.60400000000001</v>
      </c>
      <c r="D18" s="1">
        <v>350.005</v>
      </c>
      <c r="E18" s="1">
        <v>149.24799999999999</v>
      </c>
      <c r="F18" s="1">
        <v>1.724</v>
      </c>
      <c r="G18" s="1"/>
      <c r="H18" s="7">
        <v>1</v>
      </c>
      <c r="I18" s="1">
        <v>45</v>
      </c>
      <c r="J18" s="1" t="s">
        <v>37</v>
      </c>
      <c r="K18" s="1"/>
      <c r="L18" s="1">
        <v>267.04700000000003</v>
      </c>
      <c r="M18" s="1">
        <f t="shared" si="4"/>
        <v>-117.79900000000004</v>
      </c>
      <c r="N18" s="1">
        <f t="shared" si="6"/>
        <v>149.24799999999999</v>
      </c>
      <c r="O18" s="1"/>
      <c r="P18" s="1">
        <v>500</v>
      </c>
      <c r="Q18" s="1">
        <v>19</v>
      </c>
      <c r="R18" s="1">
        <f t="shared" si="7"/>
        <v>29.849599999999999</v>
      </c>
      <c r="S18" s="5"/>
      <c r="T18" s="19">
        <f>VLOOKUP(A18,[1]TDSheet!$D:$J,7,0)</f>
        <v>0.46306756150407541</v>
      </c>
      <c r="U18" s="5">
        <f t="shared" si="8"/>
        <v>0</v>
      </c>
      <c r="V18" s="5">
        <f t="shared" si="9"/>
        <v>0</v>
      </c>
      <c r="W18" s="1">
        <f t="shared" si="10"/>
        <v>17.444923885077184</v>
      </c>
      <c r="X18" s="1">
        <f t="shared" si="5"/>
        <v>17.444923885077184</v>
      </c>
      <c r="Y18" s="1">
        <v>43.903599999999997</v>
      </c>
      <c r="Z18" s="1">
        <v>54.553999999999988</v>
      </c>
      <c r="AA18" s="1">
        <v>12.0352</v>
      </c>
      <c r="AB18" s="1">
        <v>43.809600000000003</v>
      </c>
      <c r="AC18" s="1">
        <v>38.122</v>
      </c>
      <c r="AD18" s="1">
        <v>31.1738</v>
      </c>
      <c r="AE18" s="1">
        <v>36.706800000000001</v>
      </c>
      <c r="AF18" s="1">
        <v>45.036999999999999</v>
      </c>
      <c r="AG18" s="1">
        <v>38.583599999999997</v>
      </c>
      <c r="AH18" s="1">
        <v>38.170400000000001</v>
      </c>
      <c r="AI18" s="1"/>
      <c r="AJ18" s="1">
        <f t="shared" si="11"/>
        <v>0</v>
      </c>
      <c r="AK18" s="1">
        <f t="shared" si="12"/>
        <v>0</v>
      </c>
    </row>
    <row r="19" spans="1:37" x14ac:dyDescent="0.25">
      <c r="A19" s="1" t="s">
        <v>55</v>
      </c>
      <c r="B19" s="1" t="s">
        <v>36</v>
      </c>
      <c r="C19" s="1">
        <v>60.061</v>
      </c>
      <c r="D19" s="1">
        <v>88.58</v>
      </c>
      <c r="E19" s="1">
        <v>23.347999999999999</v>
      </c>
      <c r="F19" s="1">
        <v>18.379000000000001</v>
      </c>
      <c r="G19" s="1">
        <f>VLOOKUP(A19,[2]TDSheet!$A:$M,9,0)</f>
        <v>16.548999999999999</v>
      </c>
      <c r="H19" s="7">
        <v>1</v>
      </c>
      <c r="I19" s="1">
        <v>120</v>
      </c>
      <c r="J19" s="1" t="s">
        <v>37</v>
      </c>
      <c r="K19" s="1"/>
      <c r="L19" s="1">
        <v>26.2</v>
      </c>
      <c r="M19" s="1">
        <f t="shared" si="4"/>
        <v>-2.8520000000000003</v>
      </c>
      <c r="N19" s="1">
        <f t="shared" si="6"/>
        <v>15.389999999999999</v>
      </c>
      <c r="O19" s="1">
        <f>VLOOKUP(A19,[3]TDSheet!$A:$AX,7,0)</f>
        <v>7.9580000000000002</v>
      </c>
      <c r="P19" s="1">
        <v>0</v>
      </c>
      <c r="Q19" s="1">
        <v>0</v>
      </c>
      <c r="R19" s="1">
        <f t="shared" si="7"/>
        <v>3.0779999999999998</v>
      </c>
      <c r="S19" s="5">
        <f t="shared" si="13"/>
        <v>11.241999999999994</v>
      </c>
      <c r="T19" s="19">
        <f>VLOOKUP(A19,[1]TDSheet!$D:$J,7,0)</f>
        <v>0.67197701996579451</v>
      </c>
      <c r="U19" s="5">
        <f t="shared" si="8"/>
        <v>3.6876343415445358</v>
      </c>
      <c r="V19" s="5">
        <f t="shared" si="9"/>
        <v>7.5543656584554579</v>
      </c>
      <c r="W19" s="1">
        <f t="shared" si="10"/>
        <v>14.999999999999998</v>
      </c>
      <c r="X19" s="1">
        <f t="shared" si="5"/>
        <v>11.34762833008447</v>
      </c>
      <c r="Y19" s="1">
        <v>1.7467999999999999</v>
      </c>
      <c r="Z19" s="1">
        <v>3.6257999999999999</v>
      </c>
      <c r="AA19" s="1">
        <v>4.1105999999999998</v>
      </c>
      <c r="AB19" s="1">
        <v>11.1694</v>
      </c>
      <c r="AC19" s="1">
        <v>5.2294</v>
      </c>
      <c r="AD19" s="1">
        <v>2.7151999999999998</v>
      </c>
      <c r="AE19" s="1">
        <v>5.2648000000000001</v>
      </c>
      <c r="AF19" s="1">
        <v>4.2115999999999998</v>
      </c>
      <c r="AG19" s="1">
        <v>3.5571999999999999</v>
      </c>
      <c r="AH19" s="1">
        <v>3.2544</v>
      </c>
      <c r="AI19" s="1" t="s">
        <v>44</v>
      </c>
      <c r="AJ19" s="1">
        <f t="shared" si="11"/>
        <v>3.6876343415445358</v>
      </c>
      <c r="AK19" s="1">
        <f t="shared" si="12"/>
        <v>7.5543656584554579</v>
      </c>
    </row>
    <row r="20" spans="1:37" x14ac:dyDescent="0.25">
      <c r="A20" s="1" t="s">
        <v>56</v>
      </c>
      <c r="B20" s="1" t="s">
        <v>40</v>
      </c>
      <c r="C20" s="1">
        <v>271</v>
      </c>
      <c r="D20" s="1">
        <v>620</v>
      </c>
      <c r="E20" s="1">
        <v>118</v>
      </c>
      <c r="F20" s="1"/>
      <c r="G20" s="1"/>
      <c r="H20" s="7">
        <v>0.4</v>
      </c>
      <c r="I20" s="1">
        <v>45</v>
      </c>
      <c r="J20" s="1" t="s">
        <v>37</v>
      </c>
      <c r="K20" s="1"/>
      <c r="L20" s="1">
        <v>185</v>
      </c>
      <c r="M20" s="1">
        <f t="shared" si="4"/>
        <v>-67</v>
      </c>
      <c r="N20" s="1">
        <f t="shared" si="6"/>
        <v>98</v>
      </c>
      <c r="O20" s="1">
        <f>VLOOKUP(A20,[3]TDSheet!$A:$AX,7,0)</f>
        <v>20</v>
      </c>
      <c r="P20" s="1">
        <v>0</v>
      </c>
      <c r="Q20" s="1">
        <v>40</v>
      </c>
      <c r="R20" s="1">
        <f t="shared" si="7"/>
        <v>19.600000000000001</v>
      </c>
      <c r="S20" s="5">
        <f>10*R20-Q20-P20-G20-F20</f>
        <v>156</v>
      </c>
      <c r="T20" s="19">
        <f>VLOOKUP(A20,[1]TDSheet!$D:$J,7,0)</f>
        <v>1</v>
      </c>
      <c r="U20" s="5">
        <f t="shared" si="8"/>
        <v>0</v>
      </c>
      <c r="V20" s="5">
        <f t="shared" si="9"/>
        <v>156</v>
      </c>
      <c r="W20" s="1">
        <f t="shared" si="10"/>
        <v>10</v>
      </c>
      <c r="X20" s="1">
        <f t="shared" si="5"/>
        <v>2.0408163265306123</v>
      </c>
      <c r="Y20" s="1">
        <v>0.2</v>
      </c>
      <c r="Z20" s="1">
        <v>0</v>
      </c>
      <c r="AA20" s="1">
        <v>0</v>
      </c>
      <c r="AB20" s="1">
        <v>0</v>
      </c>
      <c r="AC20" s="1">
        <v>-1.2</v>
      </c>
      <c r="AD20" s="1">
        <v>-0.2</v>
      </c>
      <c r="AE20" s="1">
        <v>-3.8</v>
      </c>
      <c r="AF20" s="1">
        <v>-0.2</v>
      </c>
      <c r="AG20" s="1">
        <v>5</v>
      </c>
      <c r="AH20" s="1">
        <v>9.6</v>
      </c>
      <c r="AI20" s="1" t="s">
        <v>181</v>
      </c>
      <c r="AJ20" s="1">
        <f t="shared" si="11"/>
        <v>0</v>
      </c>
      <c r="AK20" s="1">
        <f t="shared" si="12"/>
        <v>62.400000000000006</v>
      </c>
    </row>
    <row r="21" spans="1:37" x14ac:dyDescent="0.25">
      <c r="A21" s="1" t="s">
        <v>57</v>
      </c>
      <c r="B21" s="1" t="s">
        <v>36</v>
      </c>
      <c r="C21" s="1">
        <v>193.572</v>
      </c>
      <c r="D21" s="1">
        <v>221.18700000000001</v>
      </c>
      <c r="E21" s="1">
        <v>135.261</v>
      </c>
      <c r="F21" s="1">
        <v>36.090000000000003</v>
      </c>
      <c r="G21" s="1">
        <f>VLOOKUP(A21,[2]TDSheet!$A:$M,9,0)</f>
        <v>40.296999999999997</v>
      </c>
      <c r="H21" s="7">
        <v>1</v>
      </c>
      <c r="I21" s="1">
        <v>60</v>
      </c>
      <c r="J21" s="1" t="s">
        <v>37</v>
      </c>
      <c r="K21" s="1"/>
      <c r="L21" s="1">
        <v>159</v>
      </c>
      <c r="M21" s="1">
        <f t="shared" si="4"/>
        <v>-23.739000000000004</v>
      </c>
      <c r="N21" s="1">
        <f t="shared" si="6"/>
        <v>135.261</v>
      </c>
      <c r="O21" s="1"/>
      <c r="P21" s="1">
        <v>300</v>
      </c>
      <c r="Q21" s="1">
        <v>40</v>
      </c>
      <c r="R21" s="1">
        <f t="shared" si="7"/>
        <v>27.052199999999999</v>
      </c>
      <c r="S21" s="5"/>
      <c r="T21" s="19">
        <f>VLOOKUP(A21,[1]TDSheet!$D:$J,7,0)</f>
        <v>0.55205808835300629</v>
      </c>
      <c r="U21" s="5">
        <f t="shared" si="8"/>
        <v>0</v>
      </c>
      <c r="V21" s="5">
        <f t="shared" si="9"/>
        <v>0</v>
      </c>
      <c r="W21" s="1">
        <f t="shared" si="10"/>
        <v>15.391982907120308</v>
      </c>
      <c r="X21" s="1">
        <f t="shared" si="5"/>
        <v>15.391982907120308</v>
      </c>
      <c r="Y21" s="1">
        <v>25.654599999999999</v>
      </c>
      <c r="Z21" s="1">
        <v>35.742199999999997</v>
      </c>
      <c r="AA21" s="1">
        <v>24.3264</v>
      </c>
      <c r="AB21" s="1">
        <v>38.0486</v>
      </c>
      <c r="AC21" s="1">
        <v>34.205199999999998</v>
      </c>
      <c r="AD21" s="1">
        <v>22.615200000000002</v>
      </c>
      <c r="AE21" s="1">
        <v>32.779600000000002</v>
      </c>
      <c r="AF21" s="1">
        <v>30.880400000000002</v>
      </c>
      <c r="AG21" s="1">
        <v>43.971800000000002</v>
      </c>
      <c r="AH21" s="1">
        <v>24.540600000000001</v>
      </c>
      <c r="AI21" s="15" t="s">
        <v>41</v>
      </c>
      <c r="AJ21" s="1">
        <f t="shared" si="11"/>
        <v>0</v>
      </c>
      <c r="AK21" s="1">
        <f t="shared" si="12"/>
        <v>0</v>
      </c>
    </row>
    <row r="22" spans="1:37" x14ac:dyDescent="0.25">
      <c r="A22" s="1" t="s">
        <v>58</v>
      </c>
      <c r="B22" s="1" t="s">
        <v>40</v>
      </c>
      <c r="C22" s="1">
        <v>607</v>
      </c>
      <c r="D22" s="1">
        <v>1105</v>
      </c>
      <c r="E22" s="1">
        <v>315</v>
      </c>
      <c r="F22" s="1">
        <v>174</v>
      </c>
      <c r="G22" s="1">
        <f>VLOOKUP(A22,[2]TDSheet!$A:$M,9,0)</f>
        <v>223</v>
      </c>
      <c r="H22" s="7">
        <v>0.22</v>
      </c>
      <c r="I22" s="1">
        <v>120</v>
      </c>
      <c r="J22" s="1" t="s">
        <v>37</v>
      </c>
      <c r="K22" s="1"/>
      <c r="L22" s="1">
        <v>419</v>
      </c>
      <c r="M22" s="1">
        <f t="shared" si="4"/>
        <v>-104</v>
      </c>
      <c r="N22" s="1">
        <f t="shared" si="6"/>
        <v>202</v>
      </c>
      <c r="O22" s="1">
        <f>VLOOKUP(A22,[3]TDSheet!$A:$AX,7,0)</f>
        <v>113</v>
      </c>
      <c r="P22" s="1">
        <v>0</v>
      </c>
      <c r="Q22" s="1">
        <v>270</v>
      </c>
      <c r="R22" s="1">
        <f t="shared" si="7"/>
        <v>40.4</v>
      </c>
      <c r="S22" s="5"/>
      <c r="T22" s="19">
        <f>VLOOKUP(A22,[1]TDSheet!$D:$J,7,0)</f>
        <v>0.52799552071668532</v>
      </c>
      <c r="U22" s="5">
        <f t="shared" si="8"/>
        <v>0</v>
      </c>
      <c r="V22" s="5">
        <f t="shared" si="9"/>
        <v>0</v>
      </c>
      <c r="W22" s="1">
        <f t="shared" si="10"/>
        <v>16.509900990099009</v>
      </c>
      <c r="X22" s="1">
        <f t="shared" si="5"/>
        <v>16.509900990099009</v>
      </c>
      <c r="Y22" s="1">
        <v>50.2</v>
      </c>
      <c r="Z22" s="1">
        <v>44</v>
      </c>
      <c r="AA22" s="1">
        <v>71.599999999999994</v>
      </c>
      <c r="AB22" s="1">
        <v>133.6</v>
      </c>
      <c r="AC22" s="1">
        <v>105.8</v>
      </c>
      <c r="AD22" s="1">
        <v>63.4</v>
      </c>
      <c r="AE22" s="1">
        <v>72.2</v>
      </c>
      <c r="AF22" s="1">
        <v>83.4</v>
      </c>
      <c r="AG22" s="1">
        <v>44.2</v>
      </c>
      <c r="AH22" s="1">
        <v>39.6</v>
      </c>
      <c r="AI22" s="1" t="s">
        <v>44</v>
      </c>
      <c r="AJ22" s="1">
        <f t="shared" si="11"/>
        <v>0</v>
      </c>
      <c r="AK22" s="1">
        <f t="shared" si="12"/>
        <v>0</v>
      </c>
    </row>
    <row r="23" spans="1:37" x14ac:dyDescent="0.25">
      <c r="A23" s="1" t="s">
        <v>59</v>
      </c>
      <c r="B23" s="1" t="s">
        <v>36</v>
      </c>
      <c r="C23" s="1">
        <v>11.868</v>
      </c>
      <c r="D23" s="1">
        <v>8.1999999999999993</v>
      </c>
      <c r="E23" s="1">
        <v>17.306000000000001</v>
      </c>
      <c r="F23" s="1"/>
      <c r="G23" s="1"/>
      <c r="H23" s="7">
        <v>1</v>
      </c>
      <c r="I23" s="1">
        <v>40</v>
      </c>
      <c r="J23" s="1" t="s">
        <v>37</v>
      </c>
      <c r="K23" s="1"/>
      <c r="L23" s="1">
        <v>31.85</v>
      </c>
      <c r="M23" s="1">
        <f t="shared" si="4"/>
        <v>-14.544</v>
      </c>
      <c r="N23" s="1">
        <f t="shared" si="6"/>
        <v>17.306000000000001</v>
      </c>
      <c r="O23" s="1"/>
      <c r="P23" s="1">
        <v>34</v>
      </c>
      <c r="Q23" s="1">
        <v>40</v>
      </c>
      <c r="R23" s="1">
        <f t="shared" si="7"/>
        <v>3.4612000000000003</v>
      </c>
      <c r="S23" s="5"/>
      <c r="T23" s="19">
        <f>VLOOKUP(A23,[1]TDSheet!$D:$J,7,0)</f>
        <v>7.5181076372971486E-2</v>
      </c>
      <c r="U23" s="5">
        <f t="shared" si="8"/>
        <v>0</v>
      </c>
      <c r="V23" s="5">
        <f t="shared" si="9"/>
        <v>0</v>
      </c>
      <c r="W23" s="1">
        <f t="shared" si="10"/>
        <v>21.379868253784814</v>
      </c>
      <c r="X23" s="1">
        <f t="shared" si="5"/>
        <v>21.379868253784814</v>
      </c>
      <c r="Y23" s="1">
        <v>1.8988</v>
      </c>
      <c r="Z23" s="1">
        <v>4.2084000000000001</v>
      </c>
      <c r="AA23" s="1">
        <v>0</v>
      </c>
      <c r="AB23" s="1">
        <v>-0.17599999999999999</v>
      </c>
      <c r="AC23" s="1">
        <v>-0.27</v>
      </c>
      <c r="AD23" s="1">
        <v>1.016</v>
      </c>
      <c r="AE23" s="1">
        <v>0.62519999999999998</v>
      </c>
      <c r="AF23" s="1">
        <v>3.5935999999999999</v>
      </c>
      <c r="AG23" s="1">
        <v>9.9719999999999995</v>
      </c>
      <c r="AH23" s="1">
        <v>8.8043999999999993</v>
      </c>
      <c r="AI23" s="1" t="s">
        <v>60</v>
      </c>
      <c r="AJ23" s="1">
        <f t="shared" si="11"/>
        <v>0</v>
      </c>
      <c r="AK23" s="1">
        <f t="shared" si="12"/>
        <v>0</v>
      </c>
    </row>
    <row r="24" spans="1:37" x14ac:dyDescent="0.25">
      <c r="A24" s="9" t="s">
        <v>61</v>
      </c>
      <c r="B24" s="9" t="s">
        <v>36</v>
      </c>
      <c r="C24" s="9">
        <v>39.21</v>
      </c>
      <c r="D24" s="9"/>
      <c r="E24" s="9"/>
      <c r="F24" s="9"/>
      <c r="G24" s="9"/>
      <c r="H24" s="10">
        <v>0</v>
      </c>
      <c r="I24" s="9"/>
      <c r="J24" s="9" t="s">
        <v>62</v>
      </c>
      <c r="K24" s="9"/>
      <c r="L24" s="9"/>
      <c r="M24" s="9">
        <f t="shared" si="4"/>
        <v>0</v>
      </c>
      <c r="N24" s="9">
        <f t="shared" si="6"/>
        <v>0</v>
      </c>
      <c r="O24" s="9"/>
      <c r="P24" s="9">
        <v>0</v>
      </c>
      <c r="Q24" s="9">
        <v>0</v>
      </c>
      <c r="R24" s="9">
        <f t="shared" si="7"/>
        <v>0</v>
      </c>
      <c r="S24" s="11"/>
      <c r="T24" s="19">
        <f>VLOOKUP(A24,[1]TDSheet!$D:$J,7,0)</f>
        <v>0</v>
      </c>
      <c r="U24" s="11"/>
      <c r="V24" s="11"/>
      <c r="W24" s="9" t="e">
        <f t="shared" si="10"/>
        <v>#DIV/0!</v>
      </c>
      <c r="X24" s="9" t="e">
        <f t="shared" si="5"/>
        <v>#DIV/0!</v>
      </c>
      <c r="Y24" s="9">
        <v>0</v>
      </c>
      <c r="Z24" s="9">
        <v>0</v>
      </c>
      <c r="AA24" s="9">
        <v>0</v>
      </c>
      <c r="AB24" s="9">
        <v>2.4140000000000001</v>
      </c>
      <c r="AC24" s="9">
        <v>3.625</v>
      </c>
      <c r="AD24" s="9">
        <v>0</v>
      </c>
      <c r="AE24" s="9">
        <v>5.444</v>
      </c>
      <c r="AF24" s="9">
        <v>0</v>
      </c>
      <c r="AG24" s="9">
        <v>0</v>
      </c>
      <c r="AH24" s="9">
        <v>0</v>
      </c>
      <c r="AI24" s="9" t="s">
        <v>63</v>
      </c>
      <c r="AJ24" s="1">
        <f t="shared" si="11"/>
        <v>0</v>
      </c>
      <c r="AK24" s="1">
        <f t="shared" si="12"/>
        <v>0</v>
      </c>
    </row>
    <row r="25" spans="1:37" x14ac:dyDescent="0.25">
      <c r="A25" s="1" t="s">
        <v>64</v>
      </c>
      <c r="B25" s="1" t="s">
        <v>36</v>
      </c>
      <c r="C25" s="1">
        <v>63.238999999999997</v>
      </c>
      <c r="D25" s="1">
        <v>203.38</v>
      </c>
      <c r="E25" s="1">
        <v>57.768000000000001</v>
      </c>
      <c r="F25" s="1">
        <v>5.5</v>
      </c>
      <c r="G25" s="1">
        <f>VLOOKUP(A25,[2]TDSheet!$A:$M,9,0)</f>
        <v>10.804</v>
      </c>
      <c r="H25" s="7">
        <v>1</v>
      </c>
      <c r="I25" s="1">
        <v>60</v>
      </c>
      <c r="J25" s="1" t="s">
        <v>37</v>
      </c>
      <c r="K25" s="1"/>
      <c r="L25" s="1">
        <v>73.599999999999994</v>
      </c>
      <c r="M25" s="1">
        <f t="shared" si="4"/>
        <v>-15.831999999999994</v>
      </c>
      <c r="N25" s="1">
        <f t="shared" si="6"/>
        <v>45.557000000000002</v>
      </c>
      <c r="O25" s="1">
        <f>VLOOKUP(A25,[3]TDSheet!$A:$AX,7,0)</f>
        <v>12.211</v>
      </c>
      <c r="P25" s="1">
        <v>170</v>
      </c>
      <c r="Q25" s="1">
        <v>0</v>
      </c>
      <c r="R25" s="1">
        <f t="shared" si="7"/>
        <v>9.1113999999999997</v>
      </c>
      <c r="S25" s="5"/>
      <c r="T25" s="19">
        <f>VLOOKUP(A25,[1]TDSheet!$D:$J,7,0)</f>
        <v>0.61142635621350516</v>
      </c>
      <c r="U25" s="5">
        <f t="shared" ref="U25:U26" si="14">S25-V25</f>
        <v>0</v>
      </c>
      <c r="V25" s="5">
        <f t="shared" ref="V25:V26" si="15">S25*T25</f>
        <v>0</v>
      </c>
      <c r="W25" s="1">
        <f t="shared" si="10"/>
        <v>20.447351669337316</v>
      </c>
      <c r="X25" s="1">
        <f t="shared" si="5"/>
        <v>20.447351669337316</v>
      </c>
      <c r="Y25" s="1">
        <v>9.9635999999999996</v>
      </c>
      <c r="Z25" s="1">
        <v>18.268599999999999</v>
      </c>
      <c r="AA25" s="1">
        <v>0.24260000000000001</v>
      </c>
      <c r="AB25" s="1">
        <v>10.1114</v>
      </c>
      <c r="AC25" s="1">
        <v>16.404199999999999</v>
      </c>
      <c r="AD25" s="1">
        <v>2.4239999999999999</v>
      </c>
      <c r="AE25" s="1">
        <v>13.7454</v>
      </c>
      <c r="AF25" s="1">
        <v>15.651999999999999</v>
      </c>
      <c r="AG25" s="1">
        <v>11.1342</v>
      </c>
      <c r="AH25" s="1">
        <v>14.042400000000001</v>
      </c>
      <c r="AI25" s="1"/>
      <c r="AJ25" s="1">
        <f t="shared" si="11"/>
        <v>0</v>
      </c>
      <c r="AK25" s="1">
        <f t="shared" si="12"/>
        <v>0</v>
      </c>
    </row>
    <row r="26" spans="1:37" x14ac:dyDescent="0.25">
      <c r="A26" s="1" t="s">
        <v>65</v>
      </c>
      <c r="B26" s="1" t="s">
        <v>40</v>
      </c>
      <c r="C26" s="1">
        <v>249</v>
      </c>
      <c r="D26" s="1">
        <v>842</v>
      </c>
      <c r="E26" s="1">
        <v>195</v>
      </c>
      <c r="F26" s="1">
        <v>15</v>
      </c>
      <c r="G26" s="1">
        <f>VLOOKUP(A26,[2]TDSheet!$A:$M,9,0)</f>
        <v>20</v>
      </c>
      <c r="H26" s="7">
        <v>0.09</v>
      </c>
      <c r="I26" s="1">
        <v>60</v>
      </c>
      <c r="J26" s="1" t="s">
        <v>37</v>
      </c>
      <c r="K26" s="1"/>
      <c r="L26" s="1">
        <v>218</v>
      </c>
      <c r="M26" s="1">
        <f t="shared" si="4"/>
        <v>-23</v>
      </c>
      <c r="N26" s="1">
        <f t="shared" si="6"/>
        <v>195</v>
      </c>
      <c r="O26" s="1"/>
      <c r="P26" s="1">
        <v>0</v>
      </c>
      <c r="Q26" s="1">
        <v>357</v>
      </c>
      <c r="R26" s="1">
        <f t="shared" si="7"/>
        <v>39</v>
      </c>
      <c r="S26" s="5">
        <f t="shared" ref="S26" si="16">15*R26-Q26-P26-G26-F26</f>
        <v>193</v>
      </c>
      <c r="T26" s="19">
        <f>VLOOKUP(A26,[1]TDSheet!$D:$J,7,0)</f>
        <v>0.43263288009888751</v>
      </c>
      <c r="U26" s="5">
        <f t="shared" si="14"/>
        <v>109.50185414091472</v>
      </c>
      <c r="V26" s="5">
        <f t="shared" si="15"/>
        <v>83.498145859085284</v>
      </c>
      <c r="W26" s="1">
        <f t="shared" si="10"/>
        <v>15</v>
      </c>
      <c r="X26" s="1">
        <f t="shared" si="5"/>
        <v>10.051282051282051</v>
      </c>
      <c r="Y26" s="1">
        <v>46.6</v>
      </c>
      <c r="Z26" s="1">
        <v>25.6</v>
      </c>
      <c r="AA26" s="1">
        <v>35.4</v>
      </c>
      <c r="AB26" s="1">
        <v>48.8</v>
      </c>
      <c r="AC26" s="1">
        <v>39.6</v>
      </c>
      <c r="AD26" s="1">
        <v>38.799999999999997</v>
      </c>
      <c r="AE26" s="1">
        <v>13.2</v>
      </c>
      <c r="AF26" s="1">
        <v>47.8</v>
      </c>
      <c r="AG26" s="1">
        <v>38.799999999999997</v>
      </c>
      <c r="AH26" s="1">
        <v>20</v>
      </c>
      <c r="AI26" s="1"/>
      <c r="AJ26" s="1">
        <f t="shared" si="11"/>
        <v>9.8551668726823234</v>
      </c>
      <c r="AK26" s="1">
        <f t="shared" si="12"/>
        <v>7.5148331273176749</v>
      </c>
    </row>
    <row r="27" spans="1:37" x14ac:dyDescent="0.25">
      <c r="A27" s="9" t="s">
        <v>66</v>
      </c>
      <c r="B27" s="9" t="s">
        <v>40</v>
      </c>
      <c r="C27" s="9">
        <v>68</v>
      </c>
      <c r="D27" s="9">
        <v>10</v>
      </c>
      <c r="E27" s="9"/>
      <c r="F27" s="9">
        <v>68</v>
      </c>
      <c r="G27" s="9"/>
      <c r="H27" s="10">
        <v>0</v>
      </c>
      <c r="I27" s="9"/>
      <c r="J27" s="9" t="s">
        <v>62</v>
      </c>
      <c r="K27" s="9"/>
      <c r="L27" s="9"/>
      <c r="M27" s="9">
        <f t="shared" si="4"/>
        <v>0</v>
      </c>
      <c r="N27" s="9">
        <f t="shared" si="6"/>
        <v>0</v>
      </c>
      <c r="O27" s="9"/>
      <c r="P27" s="9">
        <v>0</v>
      </c>
      <c r="Q27" s="9">
        <v>0</v>
      </c>
      <c r="R27" s="9">
        <f t="shared" si="7"/>
        <v>0</v>
      </c>
      <c r="S27" s="11"/>
      <c r="T27" s="19">
        <f>VLOOKUP(A27,[1]TDSheet!$D:$J,7,0)</f>
        <v>1</v>
      </c>
      <c r="U27" s="11"/>
      <c r="V27" s="11"/>
      <c r="W27" s="9" t="e">
        <f t="shared" si="10"/>
        <v>#DIV/0!</v>
      </c>
      <c r="X27" s="9" t="e">
        <f t="shared" si="5"/>
        <v>#DIV/0!</v>
      </c>
      <c r="Y27" s="9">
        <v>0.4</v>
      </c>
      <c r="Z27" s="9">
        <v>0</v>
      </c>
      <c r="AA27" s="9">
        <v>0</v>
      </c>
      <c r="AB27" s="9">
        <v>0</v>
      </c>
      <c r="AC27" s="9">
        <v>6</v>
      </c>
      <c r="AD27" s="9">
        <v>0</v>
      </c>
      <c r="AE27" s="9">
        <v>4.2</v>
      </c>
      <c r="AF27" s="9">
        <v>0</v>
      </c>
      <c r="AG27" s="9">
        <v>0</v>
      </c>
      <c r="AH27" s="9">
        <v>0</v>
      </c>
      <c r="AI27" s="12" t="s">
        <v>67</v>
      </c>
      <c r="AJ27" s="1">
        <f t="shared" si="11"/>
        <v>0</v>
      </c>
      <c r="AK27" s="1">
        <f t="shared" si="12"/>
        <v>0</v>
      </c>
    </row>
    <row r="28" spans="1:37" x14ac:dyDescent="0.25">
      <c r="A28" s="1" t="s">
        <v>68</v>
      </c>
      <c r="B28" s="1" t="s">
        <v>40</v>
      </c>
      <c r="C28" s="1">
        <v>66</v>
      </c>
      <c r="D28" s="1">
        <v>216</v>
      </c>
      <c r="E28" s="1">
        <v>45</v>
      </c>
      <c r="F28" s="1"/>
      <c r="G28" s="1"/>
      <c r="H28" s="7">
        <v>0.09</v>
      </c>
      <c r="I28" s="1">
        <v>45</v>
      </c>
      <c r="J28" s="1" t="s">
        <v>37</v>
      </c>
      <c r="K28" s="1"/>
      <c r="L28" s="1">
        <v>48</v>
      </c>
      <c r="M28" s="1">
        <f t="shared" si="4"/>
        <v>-3</v>
      </c>
      <c r="N28" s="1">
        <f t="shared" si="6"/>
        <v>45</v>
      </c>
      <c r="O28" s="1"/>
      <c r="P28" s="1">
        <v>56</v>
      </c>
      <c r="Q28" s="1">
        <v>67</v>
      </c>
      <c r="R28" s="1">
        <f t="shared" si="7"/>
        <v>9</v>
      </c>
      <c r="S28" s="5">
        <f t="shared" ref="S28:S32" si="17">15*R28-Q28-P28-G28-F28</f>
        <v>12</v>
      </c>
      <c r="T28" s="19">
        <f>VLOOKUP(A28,[1]TDSheet!$D:$J,7,0)</f>
        <v>0.55172413793103448</v>
      </c>
      <c r="U28" s="5">
        <f t="shared" ref="U28:U32" si="18">S28-V28</f>
        <v>5.3793103448275863</v>
      </c>
      <c r="V28" s="5">
        <f t="shared" ref="V28:V32" si="19">S28*T28</f>
        <v>6.6206896551724137</v>
      </c>
      <c r="W28" s="1">
        <f t="shared" si="10"/>
        <v>15</v>
      </c>
      <c r="X28" s="1">
        <f t="shared" si="5"/>
        <v>13.666666666666666</v>
      </c>
      <c r="Y28" s="1">
        <v>12.6</v>
      </c>
      <c r="Z28" s="1">
        <v>12.2</v>
      </c>
      <c r="AA28" s="1">
        <v>0.8</v>
      </c>
      <c r="AB28" s="1">
        <v>1.8</v>
      </c>
      <c r="AC28" s="1">
        <v>14.2</v>
      </c>
      <c r="AD28" s="1">
        <v>7.2</v>
      </c>
      <c r="AE28" s="1">
        <v>6.2</v>
      </c>
      <c r="AF28" s="1">
        <v>11</v>
      </c>
      <c r="AG28" s="1">
        <v>14.8</v>
      </c>
      <c r="AH28" s="1">
        <v>8.1999999999999993</v>
      </c>
      <c r="AI28" s="1"/>
      <c r="AJ28" s="1">
        <f t="shared" si="11"/>
        <v>0.48413793103448277</v>
      </c>
      <c r="AK28" s="1">
        <f t="shared" si="12"/>
        <v>0.59586206896551719</v>
      </c>
    </row>
    <row r="29" spans="1:37" x14ac:dyDescent="0.25">
      <c r="A29" s="1" t="s">
        <v>69</v>
      </c>
      <c r="B29" s="1" t="s">
        <v>40</v>
      </c>
      <c r="C29" s="1">
        <v>81</v>
      </c>
      <c r="D29" s="1">
        <v>184</v>
      </c>
      <c r="E29" s="1">
        <v>-2</v>
      </c>
      <c r="F29" s="1"/>
      <c r="G29" s="1"/>
      <c r="H29" s="7">
        <v>0.15</v>
      </c>
      <c r="I29" s="1">
        <v>45</v>
      </c>
      <c r="J29" s="1" t="s">
        <v>37</v>
      </c>
      <c r="K29" s="1"/>
      <c r="L29" s="1">
        <v>13</v>
      </c>
      <c r="M29" s="1">
        <f t="shared" si="4"/>
        <v>-15</v>
      </c>
      <c r="N29" s="1">
        <f t="shared" si="6"/>
        <v>-2</v>
      </c>
      <c r="O29" s="1"/>
      <c r="P29" s="1">
        <v>0</v>
      </c>
      <c r="Q29" s="1">
        <v>0</v>
      </c>
      <c r="R29" s="1">
        <f t="shared" si="7"/>
        <v>-0.4</v>
      </c>
      <c r="S29" s="5">
        <v>25</v>
      </c>
      <c r="T29" s="19">
        <f>VLOOKUP(A29,[1]TDSheet!$D:$J,7,0)</f>
        <v>0.93548387096774177</v>
      </c>
      <c r="U29" s="5">
        <v>8</v>
      </c>
      <c r="V29" s="5">
        <f t="shared" si="19"/>
        <v>23.387096774193544</v>
      </c>
      <c r="W29" s="1">
        <f t="shared" si="10"/>
        <v>-78.467741935483858</v>
      </c>
      <c r="X29" s="1">
        <f t="shared" si="5"/>
        <v>0</v>
      </c>
      <c r="Y29" s="1">
        <v>0</v>
      </c>
      <c r="Z29" s="1">
        <v>6.2</v>
      </c>
      <c r="AA29" s="1">
        <v>0</v>
      </c>
      <c r="AB29" s="1">
        <v>0</v>
      </c>
      <c r="AC29" s="1">
        <v>8</v>
      </c>
      <c r="AD29" s="1">
        <v>2</v>
      </c>
      <c r="AE29" s="1">
        <v>1.8</v>
      </c>
      <c r="AF29" s="1">
        <v>2.2000000000000002</v>
      </c>
      <c r="AG29" s="1">
        <v>6</v>
      </c>
      <c r="AH29" s="1">
        <v>8.8000000000000007</v>
      </c>
      <c r="AI29" s="1" t="s">
        <v>179</v>
      </c>
      <c r="AJ29" s="1">
        <f t="shared" si="11"/>
        <v>1.2</v>
      </c>
      <c r="AK29" s="1">
        <f t="shared" si="12"/>
        <v>3.5080645161290316</v>
      </c>
    </row>
    <row r="30" spans="1:37" x14ac:dyDescent="0.25">
      <c r="A30" s="1" t="s">
        <v>70</v>
      </c>
      <c r="B30" s="1" t="s">
        <v>36</v>
      </c>
      <c r="C30" s="1">
        <v>1211.2349999999999</v>
      </c>
      <c r="D30" s="1">
        <v>1943.808</v>
      </c>
      <c r="E30" s="1">
        <v>442.649</v>
      </c>
      <c r="F30" s="1">
        <v>415.16</v>
      </c>
      <c r="G30" s="1">
        <f>VLOOKUP(A30,[2]TDSheet!$A:$M,9,0)</f>
        <v>115.601</v>
      </c>
      <c r="H30" s="7">
        <v>1</v>
      </c>
      <c r="I30" s="1">
        <v>45</v>
      </c>
      <c r="J30" s="1" t="s">
        <v>37</v>
      </c>
      <c r="K30" s="1"/>
      <c r="L30" s="1">
        <v>427.7</v>
      </c>
      <c r="M30" s="1">
        <f t="shared" si="4"/>
        <v>14.949000000000012</v>
      </c>
      <c r="N30" s="1">
        <f t="shared" si="6"/>
        <v>409.45299999999997</v>
      </c>
      <c r="O30" s="1">
        <f>VLOOKUP(A30,[3]TDSheet!$A:$AX,7,0)</f>
        <v>33.195999999999998</v>
      </c>
      <c r="P30" s="1">
        <v>0</v>
      </c>
      <c r="Q30" s="1">
        <v>394</v>
      </c>
      <c r="R30" s="1">
        <f t="shared" si="7"/>
        <v>81.890599999999992</v>
      </c>
      <c r="S30" s="5">
        <f t="shared" si="17"/>
        <v>303.5979999999999</v>
      </c>
      <c r="T30" s="19">
        <f>VLOOKUP(A30,[1]TDSheet!$D:$J,7,0)</f>
        <v>0.19659807091924739</v>
      </c>
      <c r="U30" s="5">
        <f t="shared" si="18"/>
        <v>243.91121886505826</v>
      </c>
      <c r="V30" s="5">
        <f t="shared" si="19"/>
        <v>59.686781134941647</v>
      </c>
      <c r="W30" s="1">
        <f t="shared" si="10"/>
        <v>15</v>
      </c>
      <c r="X30" s="1">
        <f t="shared" si="5"/>
        <v>11.292639204011206</v>
      </c>
      <c r="Y30" s="1">
        <v>85.432600000000008</v>
      </c>
      <c r="Z30" s="1">
        <v>49.553600000000003</v>
      </c>
      <c r="AA30" s="1">
        <v>55.760399999999997</v>
      </c>
      <c r="AB30" s="1">
        <v>95.490800000000007</v>
      </c>
      <c r="AC30" s="1">
        <v>113.20059999999999</v>
      </c>
      <c r="AD30" s="1">
        <v>18.4908</v>
      </c>
      <c r="AE30" s="1">
        <v>75.172600000000003</v>
      </c>
      <c r="AF30" s="1">
        <v>78.514399999999995</v>
      </c>
      <c r="AG30" s="1">
        <v>67.384799999999998</v>
      </c>
      <c r="AH30" s="1">
        <v>59.207000000000008</v>
      </c>
      <c r="AI30" s="1"/>
      <c r="AJ30" s="1">
        <f t="shared" si="11"/>
        <v>243.91121886505826</v>
      </c>
      <c r="AK30" s="1">
        <f t="shared" si="12"/>
        <v>59.686781134941647</v>
      </c>
    </row>
    <row r="31" spans="1:37" x14ac:dyDescent="0.25">
      <c r="A31" s="1" t="s">
        <v>71</v>
      </c>
      <c r="B31" s="1" t="s">
        <v>40</v>
      </c>
      <c r="C31" s="1">
        <v>26</v>
      </c>
      <c r="D31" s="1">
        <v>160</v>
      </c>
      <c r="E31" s="1">
        <v>24</v>
      </c>
      <c r="F31" s="1"/>
      <c r="G31" s="1"/>
      <c r="H31" s="7">
        <v>0.4</v>
      </c>
      <c r="I31" s="1">
        <v>60</v>
      </c>
      <c r="J31" s="1" t="s">
        <v>37</v>
      </c>
      <c r="K31" s="1"/>
      <c r="L31" s="1">
        <v>149</v>
      </c>
      <c r="M31" s="1">
        <f t="shared" si="4"/>
        <v>-125</v>
      </c>
      <c r="N31" s="1">
        <f t="shared" si="6"/>
        <v>24</v>
      </c>
      <c r="O31" s="1"/>
      <c r="P31" s="1">
        <v>274</v>
      </c>
      <c r="Q31" s="1">
        <v>87</v>
      </c>
      <c r="R31" s="1">
        <f t="shared" si="7"/>
        <v>4.8</v>
      </c>
      <c r="S31" s="5"/>
      <c r="T31" s="19">
        <f>VLOOKUP(A31,[1]TDSheet!$D:$J,7,0)</f>
        <v>0.56488549618320616</v>
      </c>
      <c r="U31" s="5">
        <f t="shared" si="18"/>
        <v>0</v>
      </c>
      <c r="V31" s="5">
        <f t="shared" si="19"/>
        <v>0</v>
      </c>
      <c r="W31" s="1">
        <f t="shared" si="10"/>
        <v>75.208333333333343</v>
      </c>
      <c r="X31" s="1">
        <f t="shared" si="5"/>
        <v>75.208333333333343</v>
      </c>
      <c r="Y31" s="1">
        <v>25.8</v>
      </c>
      <c r="Z31" s="1">
        <v>35</v>
      </c>
      <c r="AA31" s="1">
        <v>3.4</v>
      </c>
      <c r="AB31" s="1">
        <v>24</v>
      </c>
      <c r="AC31" s="1">
        <v>24</v>
      </c>
      <c r="AD31" s="1">
        <v>7.4</v>
      </c>
      <c r="AE31" s="1">
        <v>16</v>
      </c>
      <c r="AF31" s="1">
        <v>24.8</v>
      </c>
      <c r="AG31" s="1">
        <v>16.600000000000001</v>
      </c>
      <c r="AH31" s="1">
        <v>16.600000000000001</v>
      </c>
      <c r="AI31" s="1"/>
      <c r="AJ31" s="1">
        <f t="shared" si="11"/>
        <v>0</v>
      </c>
      <c r="AK31" s="1">
        <f t="shared" si="12"/>
        <v>0</v>
      </c>
    </row>
    <row r="32" spans="1:37" x14ac:dyDescent="0.25">
      <c r="A32" s="1" t="s">
        <v>72</v>
      </c>
      <c r="B32" s="1" t="s">
        <v>40</v>
      </c>
      <c r="C32" s="1">
        <v>691</v>
      </c>
      <c r="D32" s="1">
        <v>713</v>
      </c>
      <c r="E32" s="1">
        <v>526</v>
      </c>
      <c r="F32" s="1">
        <v>144</v>
      </c>
      <c r="G32" s="1">
        <f>VLOOKUP(A32,[2]TDSheet!$A:$M,9,0)</f>
        <v>165</v>
      </c>
      <c r="H32" s="7">
        <v>0.4</v>
      </c>
      <c r="I32" s="1">
        <v>60</v>
      </c>
      <c r="J32" s="1" t="s">
        <v>37</v>
      </c>
      <c r="K32" s="1"/>
      <c r="L32" s="1">
        <v>566</v>
      </c>
      <c r="M32" s="1">
        <f t="shared" si="4"/>
        <v>-40</v>
      </c>
      <c r="N32" s="1">
        <f t="shared" si="6"/>
        <v>390</v>
      </c>
      <c r="O32" s="1">
        <f>VLOOKUP(A32,[3]TDSheet!$A:$AX,7,0)</f>
        <v>136</v>
      </c>
      <c r="P32" s="1">
        <v>606</v>
      </c>
      <c r="Q32" s="1">
        <v>200</v>
      </c>
      <c r="R32" s="1">
        <f t="shared" si="7"/>
        <v>78</v>
      </c>
      <c r="S32" s="5">
        <f t="shared" si="17"/>
        <v>55</v>
      </c>
      <c r="T32" s="19">
        <f>VLOOKUP(A32,[1]TDSheet!$D:$J,7,0)</f>
        <v>0.56711409395973145</v>
      </c>
      <c r="U32" s="5">
        <f t="shared" si="18"/>
        <v>23.808724832214772</v>
      </c>
      <c r="V32" s="5">
        <f t="shared" si="19"/>
        <v>31.191275167785228</v>
      </c>
      <c r="W32" s="1">
        <f t="shared" si="10"/>
        <v>15</v>
      </c>
      <c r="X32" s="1">
        <f t="shared" si="5"/>
        <v>14.294871794871796</v>
      </c>
      <c r="Y32" s="1">
        <v>93.8</v>
      </c>
      <c r="Z32" s="1">
        <v>116.6</v>
      </c>
      <c r="AA32" s="1">
        <v>78.599999999999994</v>
      </c>
      <c r="AB32" s="1">
        <v>127.2</v>
      </c>
      <c r="AC32" s="1">
        <v>120</v>
      </c>
      <c r="AD32" s="1">
        <v>82.4</v>
      </c>
      <c r="AE32" s="1">
        <v>83.8</v>
      </c>
      <c r="AF32" s="1">
        <v>120.6</v>
      </c>
      <c r="AG32" s="1">
        <v>106.6</v>
      </c>
      <c r="AH32" s="1">
        <v>74.8</v>
      </c>
      <c r="AI32" s="1"/>
      <c r="AJ32" s="1">
        <f t="shared" si="11"/>
        <v>9.5234899328859086</v>
      </c>
      <c r="AK32" s="1">
        <f t="shared" si="12"/>
        <v>12.476510067114091</v>
      </c>
    </row>
    <row r="33" spans="1:37" x14ac:dyDescent="0.25">
      <c r="A33" s="9" t="s">
        <v>73</v>
      </c>
      <c r="B33" s="9" t="s">
        <v>40</v>
      </c>
      <c r="C33" s="9">
        <v>-1</v>
      </c>
      <c r="D33" s="9"/>
      <c r="E33" s="9"/>
      <c r="F33" s="14">
        <v>-1</v>
      </c>
      <c r="G33" s="9"/>
      <c r="H33" s="10">
        <v>0</v>
      </c>
      <c r="I33" s="9"/>
      <c r="J33" s="9" t="s">
        <v>62</v>
      </c>
      <c r="K33" s="9" t="s">
        <v>74</v>
      </c>
      <c r="L33" s="9"/>
      <c r="M33" s="9">
        <f t="shared" si="4"/>
        <v>0</v>
      </c>
      <c r="N33" s="9">
        <f t="shared" si="6"/>
        <v>0</v>
      </c>
      <c r="O33" s="9"/>
      <c r="P33" s="9">
        <v>0</v>
      </c>
      <c r="Q33" s="9">
        <v>0</v>
      </c>
      <c r="R33" s="9">
        <f t="shared" si="7"/>
        <v>0</v>
      </c>
      <c r="S33" s="11"/>
      <c r="T33" s="19">
        <f>VLOOKUP(A33,[1]TDSheet!$D:$J,7,0)</f>
        <v>0</v>
      </c>
      <c r="U33" s="11"/>
      <c r="V33" s="11"/>
      <c r="W33" s="9" t="e">
        <f t="shared" si="10"/>
        <v>#DIV/0!</v>
      </c>
      <c r="X33" s="9" t="e">
        <f t="shared" si="5"/>
        <v>#DIV/0!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/>
      <c r="AJ33" s="1">
        <f t="shared" si="11"/>
        <v>0</v>
      </c>
      <c r="AK33" s="1">
        <f t="shared" si="12"/>
        <v>0</v>
      </c>
    </row>
    <row r="34" spans="1:37" x14ac:dyDescent="0.25">
      <c r="A34" s="1" t="s">
        <v>75</v>
      </c>
      <c r="B34" s="1" t="s">
        <v>40</v>
      </c>
      <c r="C34" s="1">
        <v>607</v>
      </c>
      <c r="D34" s="1">
        <v>968</v>
      </c>
      <c r="E34" s="1">
        <v>417</v>
      </c>
      <c r="F34" s="1">
        <v>145</v>
      </c>
      <c r="G34" s="1">
        <f>VLOOKUP(A34,[2]TDSheet!$A:$M,9,0)</f>
        <v>164</v>
      </c>
      <c r="H34" s="7">
        <v>0.4</v>
      </c>
      <c r="I34" s="1">
        <v>60</v>
      </c>
      <c r="J34" s="1" t="s">
        <v>37</v>
      </c>
      <c r="K34" s="1"/>
      <c r="L34" s="1">
        <v>453</v>
      </c>
      <c r="M34" s="1">
        <f t="shared" si="4"/>
        <v>-36</v>
      </c>
      <c r="N34" s="1">
        <f t="shared" si="6"/>
        <v>305</v>
      </c>
      <c r="O34" s="1">
        <f>VLOOKUP(A34,[3]TDSheet!$A:$AX,7,0)</f>
        <v>112</v>
      </c>
      <c r="P34" s="1">
        <v>453</v>
      </c>
      <c r="Q34" s="1">
        <v>0</v>
      </c>
      <c r="R34" s="1">
        <f t="shared" si="7"/>
        <v>61</v>
      </c>
      <c r="S34" s="5">
        <f>15*R34-Q34-P34-G34-F34</f>
        <v>153</v>
      </c>
      <c r="T34" s="19">
        <f>VLOOKUP(A34,[1]TDSheet!$D:$J,7,0)</f>
        <v>0.61348077935755663</v>
      </c>
      <c r="U34" s="5">
        <f>S34-V34</f>
        <v>59.137440758293835</v>
      </c>
      <c r="V34" s="5">
        <f>S34*T34</f>
        <v>93.862559241706165</v>
      </c>
      <c r="W34" s="1">
        <f t="shared" si="10"/>
        <v>15</v>
      </c>
      <c r="X34" s="1">
        <f t="shared" si="5"/>
        <v>12.491803278688524</v>
      </c>
      <c r="Y34" s="1">
        <v>68</v>
      </c>
      <c r="Z34" s="1">
        <v>92.8</v>
      </c>
      <c r="AA34" s="1">
        <v>62</v>
      </c>
      <c r="AB34" s="1">
        <v>104.8</v>
      </c>
      <c r="AC34" s="1">
        <v>105.6</v>
      </c>
      <c r="AD34" s="1">
        <v>60</v>
      </c>
      <c r="AE34" s="1">
        <v>94.2</v>
      </c>
      <c r="AF34" s="1">
        <v>83.8</v>
      </c>
      <c r="AG34" s="1">
        <v>105</v>
      </c>
      <c r="AH34" s="1">
        <v>61.8</v>
      </c>
      <c r="AI34" s="1"/>
      <c r="AJ34" s="1">
        <f t="shared" si="11"/>
        <v>23.654976303317536</v>
      </c>
      <c r="AK34" s="1">
        <f t="shared" si="12"/>
        <v>37.54502369668247</v>
      </c>
    </row>
    <row r="35" spans="1:37" x14ac:dyDescent="0.25">
      <c r="A35" s="9" t="s">
        <v>76</v>
      </c>
      <c r="B35" s="9" t="s">
        <v>40</v>
      </c>
      <c r="C35" s="9">
        <v>82</v>
      </c>
      <c r="D35" s="9"/>
      <c r="E35" s="9">
        <v>-2</v>
      </c>
      <c r="F35" s="9"/>
      <c r="G35" s="9"/>
      <c r="H35" s="10">
        <v>0</v>
      </c>
      <c r="I35" s="9">
        <v>45</v>
      </c>
      <c r="J35" s="9" t="s">
        <v>77</v>
      </c>
      <c r="K35" s="9"/>
      <c r="L35" s="9">
        <v>32</v>
      </c>
      <c r="M35" s="9">
        <f t="shared" si="4"/>
        <v>-34</v>
      </c>
      <c r="N35" s="9">
        <f t="shared" si="6"/>
        <v>-2</v>
      </c>
      <c r="O35" s="9"/>
      <c r="P35" s="9">
        <v>0</v>
      </c>
      <c r="Q35" s="9">
        <v>0</v>
      </c>
      <c r="R35" s="9">
        <f t="shared" si="7"/>
        <v>-0.4</v>
      </c>
      <c r="S35" s="11"/>
      <c r="T35" s="19">
        <f>VLOOKUP(A35,[1]TDSheet!$D:$J,7,0)</f>
        <v>0.23214285714285712</v>
      </c>
      <c r="U35" s="11"/>
      <c r="V35" s="11"/>
      <c r="W35" s="9">
        <f t="shared" si="10"/>
        <v>0</v>
      </c>
      <c r="X35" s="9">
        <f t="shared" si="5"/>
        <v>0</v>
      </c>
      <c r="Y35" s="9">
        <v>7.2</v>
      </c>
      <c r="Z35" s="9">
        <v>6</v>
      </c>
      <c r="AA35" s="9">
        <v>5.8</v>
      </c>
      <c r="AB35" s="9">
        <v>3.8</v>
      </c>
      <c r="AC35" s="9">
        <v>0</v>
      </c>
      <c r="AD35" s="9">
        <v>0.4</v>
      </c>
      <c r="AE35" s="9">
        <v>0</v>
      </c>
      <c r="AF35" s="9">
        <v>0</v>
      </c>
      <c r="AG35" s="9">
        <v>0</v>
      </c>
      <c r="AH35" s="9">
        <v>0</v>
      </c>
      <c r="AI35" s="9"/>
      <c r="AJ35" s="1">
        <f t="shared" si="11"/>
        <v>0</v>
      </c>
      <c r="AK35" s="1">
        <f t="shared" si="12"/>
        <v>0</v>
      </c>
    </row>
    <row r="36" spans="1:37" x14ac:dyDescent="0.25">
      <c r="A36" s="9" t="s">
        <v>78</v>
      </c>
      <c r="B36" s="9" t="s">
        <v>40</v>
      </c>
      <c r="C36" s="9">
        <v>2</v>
      </c>
      <c r="D36" s="9"/>
      <c r="E36" s="9"/>
      <c r="F36" s="14">
        <v>2</v>
      </c>
      <c r="G36" s="9"/>
      <c r="H36" s="10">
        <v>0</v>
      </c>
      <c r="I36" s="9">
        <v>60</v>
      </c>
      <c r="J36" s="9" t="s">
        <v>62</v>
      </c>
      <c r="K36" s="9" t="s">
        <v>79</v>
      </c>
      <c r="L36" s="9"/>
      <c r="M36" s="9">
        <f t="shared" si="4"/>
        <v>0</v>
      </c>
      <c r="N36" s="9">
        <f t="shared" si="6"/>
        <v>0</v>
      </c>
      <c r="O36" s="9"/>
      <c r="P36" s="9">
        <v>0</v>
      </c>
      <c r="Q36" s="9">
        <v>0</v>
      </c>
      <c r="R36" s="9">
        <f t="shared" si="7"/>
        <v>0</v>
      </c>
      <c r="S36" s="11"/>
      <c r="T36" s="19">
        <f>VLOOKUP(A36,[1]TDSheet!$D:$J,7,0)</f>
        <v>0</v>
      </c>
      <c r="U36" s="11"/>
      <c r="V36" s="11"/>
      <c r="W36" s="9" t="e">
        <f t="shared" si="10"/>
        <v>#DIV/0!</v>
      </c>
      <c r="X36" s="9" t="e">
        <f t="shared" si="5"/>
        <v>#DIV/0!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0.2</v>
      </c>
      <c r="AG36" s="9">
        <v>-0.4</v>
      </c>
      <c r="AH36" s="9">
        <v>20.6</v>
      </c>
      <c r="AI36" s="9" t="s">
        <v>80</v>
      </c>
      <c r="AJ36" s="1">
        <f t="shared" si="11"/>
        <v>0</v>
      </c>
      <c r="AK36" s="1">
        <f t="shared" si="12"/>
        <v>0</v>
      </c>
    </row>
    <row r="37" spans="1:37" x14ac:dyDescent="0.25">
      <c r="A37" s="9" t="s">
        <v>81</v>
      </c>
      <c r="B37" s="9" t="s">
        <v>36</v>
      </c>
      <c r="C37" s="9">
        <v>14.555</v>
      </c>
      <c r="D37" s="9">
        <v>318.95100000000002</v>
      </c>
      <c r="E37" s="9">
        <v>39.238</v>
      </c>
      <c r="F37" s="9"/>
      <c r="G37" s="9"/>
      <c r="H37" s="10">
        <v>0</v>
      </c>
      <c r="I37" s="9">
        <v>45</v>
      </c>
      <c r="J37" s="9" t="s">
        <v>62</v>
      </c>
      <c r="K37" s="9"/>
      <c r="L37" s="9">
        <v>47.2</v>
      </c>
      <c r="M37" s="9">
        <f t="shared" si="4"/>
        <v>-7.9620000000000033</v>
      </c>
      <c r="N37" s="9">
        <f t="shared" si="6"/>
        <v>0</v>
      </c>
      <c r="O37" s="9">
        <f>VLOOKUP(A37,[3]TDSheet!$A:$AX,7,0)</f>
        <v>39.238</v>
      </c>
      <c r="P37" s="9">
        <v>0</v>
      </c>
      <c r="Q37" s="9">
        <v>0</v>
      </c>
      <c r="R37" s="9">
        <f t="shared" si="7"/>
        <v>0</v>
      </c>
      <c r="S37" s="11"/>
      <c r="T37" s="19">
        <f>VLOOKUP(A37,[1]TDSheet!$D:$J,7,0)</f>
        <v>1</v>
      </c>
      <c r="U37" s="11"/>
      <c r="V37" s="11"/>
      <c r="W37" s="9" t="e">
        <f t="shared" si="10"/>
        <v>#DIV/0!</v>
      </c>
      <c r="X37" s="9" t="e">
        <f t="shared" si="5"/>
        <v>#DIV/0!</v>
      </c>
      <c r="Y37" s="9">
        <v>0</v>
      </c>
      <c r="Z37" s="9">
        <v>1.9390000000000009</v>
      </c>
      <c r="AA37" s="9">
        <v>2.6938</v>
      </c>
      <c r="AB37" s="9">
        <v>9.0944000000000003</v>
      </c>
      <c r="AC37" s="9">
        <v>3.9171999999999998</v>
      </c>
      <c r="AD37" s="9">
        <v>0</v>
      </c>
      <c r="AE37" s="9">
        <v>11.114000000000001</v>
      </c>
      <c r="AF37" s="9">
        <v>13.551</v>
      </c>
      <c r="AG37" s="9">
        <v>8.1720000000000006</v>
      </c>
      <c r="AH37" s="9">
        <v>2.6469999999999998</v>
      </c>
      <c r="AI37" s="9"/>
      <c r="AJ37" s="1">
        <f t="shared" si="11"/>
        <v>0</v>
      </c>
      <c r="AK37" s="1">
        <f t="shared" si="12"/>
        <v>0</v>
      </c>
    </row>
    <row r="38" spans="1:37" x14ac:dyDescent="0.25">
      <c r="A38" s="9" t="s">
        <v>82</v>
      </c>
      <c r="B38" s="9" t="s">
        <v>40</v>
      </c>
      <c r="C38" s="9">
        <v>78</v>
      </c>
      <c r="D38" s="9">
        <v>216</v>
      </c>
      <c r="E38" s="9">
        <v>30</v>
      </c>
      <c r="F38" s="9">
        <v>12</v>
      </c>
      <c r="G38" s="9"/>
      <c r="H38" s="10">
        <v>0</v>
      </c>
      <c r="I38" s="9"/>
      <c r="J38" s="9" t="s">
        <v>62</v>
      </c>
      <c r="K38" s="9"/>
      <c r="L38" s="9">
        <v>145</v>
      </c>
      <c r="M38" s="9">
        <f t="shared" ref="M38:M69" si="20">E38-L38</f>
        <v>-115</v>
      </c>
      <c r="N38" s="9">
        <f t="shared" si="6"/>
        <v>0</v>
      </c>
      <c r="O38" s="9">
        <f>VLOOKUP(A38,[3]TDSheet!$A:$AX,7,0)</f>
        <v>30</v>
      </c>
      <c r="P38" s="9">
        <v>0</v>
      </c>
      <c r="Q38" s="9">
        <v>0</v>
      </c>
      <c r="R38" s="9">
        <f t="shared" si="7"/>
        <v>0</v>
      </c>
      <c r="S38" s="11"/>
      <c r="T38" s="19">
        <f>VLOOKUP(A38,[1]TDSheet!$D:$J,7,0)</f>
        <v>1</v>
      </c>
      <c r="U38" s="11"/>
      <c r="V38" s="11"/>
      <c r="W38" s="9" t="e">
        <f t="shared" si="10"/>
        <v>#DIV/0!</v>
      </c>
      <c r="X38" s="9" t="e">
        <f t="shared" ref="X38:X69" si="21">(F38+G38+P38+Q38)/R38</f>
        <v>#DIV/0!</v>
      </c>
      <c r="Y38" s="9">
        <v>0</v>
      </c>
      <c r="Z38" s="9">
        <v>2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/>
      <c r="AJ38" s="1">
        <f t="shared" si="11"/>
        <v>0</v>
      </c>
      <c r="AK38" s="1">
        <f t="shared" si="12"/>
        <v>0</v>
      </c>
    </row>
    <row r="39" spans="1:37" x14ac:dyDescent="0.25">
      <c r="A39" s="1" t="s">
        <v>83</v>
      </c>
      <c r="B39" s="1" t="s">
        <v>40</v>
      </c>
      <c r="C39" s="1">
        <v>126</v>
      </c>
      <c r="D39" s="1">
        <v>329</v>
      </c>
      <c r="E39" s="1">
        <v>75</v>
      </c>
      <c r="F39" s="1">
        <v>18</v>
      </c>
      <c r="G39" s="1">
        <f>VLOOKUP(A39,[2]TDSheet!$A:$M,9,0)</f>
        <v>29</v>
      </c>
      <c r="H39" s="7">
        <v>0.3</v>
      </c>
      <c r="I39" s="1">
        <v>45</v>
      </c>
      <c r="J39" s="1" t="s">
        <v>37</v>
      </c>
      <c r="K39" s="1"/>
      <c r="L39" s="1">
        <v>86</v>
      </c>
      <c r="M39" s="1">
        <f t="shared" si="20"/>
        <v>-11</v>
      </c>
      <c r="N39" s="1">
        <f t="shared" si="6"/>
        <v>57</v>
      </c>
      <c r="O39" s="1">
        <f>VLOOKUP(A39,[3]TDSheet!$A:$AX,7,0)</f>
        <v>18</v>
      </c>
      <c r="P39" s="1">
        <v>0</v>
      </c>
      <c r="Q39" s="1">
        <v>117</v>
      </c>
      <c r="R39" s="1">
        <f t="shared" si="7"/>
        <v>11.4</v>
      </c>
      <c r="S39" s="5">
        <f t="shared" ref="S39:S49" si="22">15*R39-Q39-P39-G39-F39</f>
        <v>7</v>
      </c>
      <c r="T39" s="19">
        <f>VLOOKUP(A39,[1]TDSheet!$D:$J,7,0)</f>
        <v>0.49881796690307323</v>
      </c>
      <c r="U39" s="5">
        <v>4</v>
      </c>
      <c r="V39" s="5">
        <v>4</v>
      </c>
      <c r="W39" s="1">
        <f t="shared" si="10"/>
        <v>15.087719298245613</v>
      </c>
      <c r="X39" s="1">
        <f t="shared" si="21"/>
        <v>14.385964912280702</v>
      </c>
      <c r="Y39" s="1">
        <v>16.2</v>
      </c>
      <c r="Z39" s="1">
        <v>15.4</v>
      </c>
      <c r="AA39" s="1">
        <v>16.399999999999999</v>
      </c>
      <c r="AB39" s="1">
        <v>26</v>
      </c>
      <c r="AC39" s="1">
        <v>22.4</v>
      </c>
      <c r="AD39" s="1">
        <v>25.8</v>
      </c>
      <c r="AE39" s="1">
        <v>11.4</v>
      </c>
      <c r="AF39" s="1">
        <v>21.2</v>
      </c>
      <c r="AG39" s="1">
        <v>45.2</v>
      </c>
      <c r="AH39" s="1">
        <v>22.6</v>
      </c>
      <c r="AI39" s="1"/>
      <c r="AJ39" s="1">
        <f t="shared" si="11"/>
        <v>1.2</v>
      </c>
      <c r="AK39" s="1">
        <f t="shared" si="12"/>
        <v>1.2</v>
      </c>
    </row>
    <row r="40" spans="1:37" x14ac:dyDescent="0.25">
      <c r="A40" s="1" t="s">
        <v>84</v>
      </c>
      <c r="B40" s="1" t="s">
        <v>36</v>
      </c>
      <c r="C40" s="1">
        <v>1123.6590000000001</v>
      </c>
      <c r="D40" s="1">
        <v>1623.806</v>
      </c>
      <c r="E40" s="1">
        <v>228.76</v>
      </c>
      <c r="F40" s="1">
        <v>208.24700000000001</v>
      </c>
      <c r="G40" s="1">
        <f>VLOOKUP(A40,[2]TDSheet!$A:$M,9,0)</f>
        <v>370.803</v>
      </c>
      <c r="H40" s="7">
        <v>1</v>
      </c>
      <c r="I40" s="1">
        <v>60</v>
      </c>
      <c r="J40" s="1" t="s">
        <v>37</v>
      </c>
      <c r="K40" s="1"/>
      <c r="L40" s="1">
        <v>227.4</v>
      </c>
      <c r="M40" s="1">
        <f t="shared" si="20"/>
        <v>1.3599999999999852</v>
      </c>
      <c r="N40" s="1">
        <f t="shared" si="6"/>
        <v>139.56399999999999</v>
      </c>
      <c r="O40" s="1">
        <f>VLOOKUP(A40,[3]TDSheet!$A:$AX,7,0)</f>
        <v>89.195999999999998</v>
      </c>
      <c r="P40" s="1">
        <v>0</v>
      </c>
      <c r="Q40" s="1">
        <v>0</v>
      </c>
      <c r="R40" s="1">
        <f t="shared" si="7"/>
        <v>27.912799999999997</v>
      </c>
      <c r="S40" s="5"/>
      <c r="T40" s="19">
        <f>VLOOKUP(A40,[1]TDSheet!$D:$J,7,0)</f>
        <v>0.76191685830446043</v>
      </c>
      <c r="U40" s="5">
        <f t="shared" ref="U40:U49" si="23">S40-V40</f>
        <v>0</v>
      </c>
      <c r="V40" s="5">
        <f t="shared" ref="V40:V49" si="24">S40*T40</f>
        <v>0</v>
      </c>
      <c r="W40" s="1">
        <f t="shared" si="10"/>
        <v>20.744962884411454</v>
      </c>
      <c r="X40" s="1">
        <f t="shared" si="21"/>
        <v>20.744962884411454</v>
      </c>
      <c r="Y40" s="1">
        <v>17.353999999999999</v>
      </c>
      <c r="Z40" s="1">
        <v>14.4514</v>
      </c>
      <c r="AA40" s="1">
        <v>46.306199999999997</v>
      </c>
      <c r="AB40" s="1">
        <v>46.882800000000003</v>
      </c>
      <c r="AC40" s="1">
        <v>45.837400000000002</v>
      </c>
      <c r="AD40" s="1">
        <v>32.807000000000002</v>
      </c>
      <c r="AE40" s="1">
        <v>36.681600000000003</v>
      </c>
      <c r="AF40" s="1">
        <v>46.652000000000001</v>
      </c>
      <c r="AG40" s="1">
        <v>53.252200000000002</v>
      </c>
      <c r="AH40" s="1">
        <v>15.216799999999999</v>
      </c>
      <c r="AI40" s="12" t="s">
        <v>49</v>
      </c>
      <c r="AJ40" s="1">
        <f t="shared" si="11"/>
        <v>0</v>
      </c>
      <c r="AK40" s="1">
        <f t="shared" si="12"/>
        <v>0</v>
      </c>
    </row>
    <row r="41" spans="1:37" x14ac:dyDescent="0.25">
      <c r="A41" s="1" t="s">
        <v>85</v>
      </c>
      <c r="B41" s="1" t="s">
        <v>36</v>
      </c>
      <c r="C41" s="1">
        <v>127.858</v>
      </c>
      <c r="D41" s="1">
        <v>28.533000000000001</v>
      </c>
      <c r="E41" s="1">
        <v>88.04</v>
      </c>
      <c r="F41" s="1">
        <v>29.452000000000002</v>
      </c>
      <c r="G41" s="1">
        <f>VLOOKUP(A41,[2]TDSheet!$A:$M,9,0)</f>
        <v>6.34</v>
      </c>
      <c r="H41" s="7">
        <v>1</v>
      </c>
      <c r="I41" s="1">
        <v>45</v>
      </c>
      <c r="J41" s="1" t="s">
        <v>37</v>
      </c>
      <c r="K41" s="1"/>
      <c r="L41" s="1">
        <v>88.3</v>
      </c>
      <c r="M41" s="1">
        <f t="shared" si="20"/>
        <v>-0.25999999999999091</v>
      </c>
      <c r="N41" s="1">
        <f t="shared" si="6"/>
        <v>88.04</v>
      </c>
      <c r="O41" s="1"/>
      <c r="P41" s="1">
        <v>160</v>
      </c>
      <c r="Q41" s="1">
        <v>0</v>
      </c>
      <c r="R41" s="1">
        <f t="shared" si="7"/>
        <v>17.608000000000001</v>
      </c>
      <c r="S41" s="5">
        <f t="shared" si="22"/>
        <v>68.328000000000003</v>
      </c>
      <c r="T41" s="19">
        <f>VLOOKUP(A41,[1]TDSheet!$D:$J,7,0)</f>
        <v>0.11367880237399236</v>
      </c>
      <c r="U41" s="5">
        <f t="shared" si="23"/>
        <v>60.560554791389855</v>
      </c>
      <c r="V41" s="5">
        <f t="shared" si="24"/>
        <v>7.76744520861015</v>
      </c>
      <c r="W41" s="1">
        <f t="shared" si="10"/>
        <v>15</v>
      </c>
      <c r="X41" s="1">
        <f t="shared" si="21"/>
        <v>11.119491140390732</v>
      </c>
      <c r="Y41" s="1">
        <v>5.7988</v>
      </c>
      <c r="Z41" s="1">
        <v>18.465599999999998</v>
      </c>
      <c r="AA41" s="1">
        <v>17.502400000000002</v>
      </c>
      <c r="AB41" s="1">
        <v>10.848800000000001</v>
      </c>
      <c r="AC41" s="1">
        <v>17.9328</v>
      </c>
      <c r="AD41" s="1">
        <v>15.6494</v>
      </c>
      <c r="AE41" s="1">
        <v>12.670999999999999</v>
      </c>
      <c r="AF41" s="1">
        <v>16.613800000000001</v>
      </c>
      <c r="AG41" s="1">
        <v>17.702400000000001</v>
      </c>
      <c r="AH41" s="1">
        <v>10.339600000000001</v>
      </c>
      <c r="AI41" s="1"/>
      <c r="AJ41" s="1">
        <f t="shared" si="11"/>
        <v>60.560554791389855</v>
      </c>
      <c r="AK41" s="1">
        <f t="shared" si="12"/>
        <v>7.76744520861015</v>
      </c>
    </row>
    <row r="42" spans="1:37" x14ac:dyDescent="0.25">
      <c r="A42" s="1" t="s">
        <v>86</v>
      </c>
      <c r="B42" s="1" t="s">
        <v>36</v>
      </c>
      <c r="C42" s="1">
        <v>227.56100000000001</v>
      </c>
      <c r="D42" s="1">
        <v>340.13799999999998</v>
      </c>
      <c r="E42" s="1">
        <v>80.932000000000002</v>
      </c>
      <c r="F42" s="1">
        <v>45.564</v>
      </c>
      <c r="G42" s="1">
        <f>VLOOKUP(A42,[2]TDSheet!$A:$M,9,0)</f>
        <v>29.978999999999999</v>
      </c>
      <c r="H42" s="7">
        <v>1</v>
      </c>
      <c r="I42" s="1">
        <v>45</v>
      </c>
      <c r="J42" s="1" t="s">
        <v>37</v>
      </c>
      <c r="K42" s="1"/>
      <c r="L42" s="1">
        <v>82.2</v>
      </c>
      <c r="M42" s="1">
        <f t="shared" si="20"/>
        <v>-1.2680000000000007</v>
      </c>
      <c r="N42" s="1">
        <f t="shared" si="6"/>
        <v>65.245000000000005</v>
      </c>
      <c r="O42" s="1">
        <f>VLOOKUP(A42,[3]TDSheet!$A:$AX,7,0)</f>
        <v>15.686999999999999</v>
      </c>
      <c r="P42" s="1">
        <v>340</v>
      </c>
      <c r="Q42" s="1">
        <v>0</v>
      </c>
      <c r="R42" s="1">
        <f t="shared" si="7"/>
        <v>13.049000000000001</v>
      </c>
      <c r="S42" s="5"/>
      <c r="T42" s="19">
        <f>VLOOKUP(A42,[1]TDSheet!$D:$J,7,0)</f>
        <v>0.39876802257807226</v>
      </c>
      <c r="U42" s="5">
        <f t="shared" si="23"/>
        <v>0</v>
      </c>
      <c r="V42" s="5">
        <f t="shared" si="24"/>
        <v>0</v>
      </c>
      <c r="W42" s="1">
        <f t="shared" si="10"/>
        <v>31.844815694689245</v>
      </c>
      <c r="X42" s="1">
        <f t="shared" si="21"/>
        <v>31.844815694689245</v>
      </c>
      <c r="Y42" s="1">
        <v>17.644400000000001</v>
      </c>
      <c r="Z42" s="1">
        <v>21.256599999999999</v>
      </c>
      <c r="AA42" s="1">
        <v>2.8117999999999999</v>
      </c>
      <c r="AB42" s="1">
        <v>24.3322</v>
      </c>
      <c r="AC42" s="1">
        <v>18.131399999999999</v>
      </c>
      <c r="AD42" s="1">
        <v>12.0776</v>
      </c>
      <c r="AE42" s="1">
        <v>13.896599999999999</v>
      </c>
      <c r="AF42" s="1">
        <v>19.759399999999999</v>
      </c>
      <c r="AG42" s="1">
        <v>14.8596</v>
      </c>
      <c r="AH42" s="1">
        <v>11.2278</v>
      </c>
      <c r="AI42" s="15" t="s">
        <v>41</v>
      </c>
      <c r="AJ42" s="1">
        <f t="shared" si="11"/>
        <v>0</v>
      </c>
      <c r="AK42" s="1">
        <f t="shared" si="12"/>
        <v>0</v>
      </c>
    </row>
    <row r="43" spans="1:37" x14ac:dyDescent="0.25">
      <c r="A43" s="1" t="s">
        <v>87</v>
      </c>
      <c r="B43" s="1" t="s">
        <v>36</v>
      </c>
      <c r="C43" s="1">
        <v>68.498000000000005</v>
      </c>
      <c r="D43" s="1">
        <v>159.62899999999999</v>
      </c>
      <c r="E43" s="1">
        <v>38.027000000000001</v>
      </c>
      <c r="F43" s="1">
        <v>12.492000000000001</v>
      </c>
      <c r="G43" s="1">
        <f>VLOOKUP(A43,[2]TDSheet!$A:$M,9,0)</f>
        <v>3.1379999999999999</v>
      </c>
      <c r="H43" s="7">
        <v>1</v>
      </c>
      <c r="I43" s="1">
        <v>45</v>
      </c>
      <c r="J43" s="1" t="s">
        <v>37</v>
      </c>
      <c r="K43" s="1"/>
      <c r="L43" s="1">
        <v>48</v>
      </c>
      <c r="M43" s="1">
        <f t="shared" si="20"/>
        <v>-9.972999999999999</v>
      </c>
      <c r="N43" s="1">
        <f t="shared" si="6"/>
        <v>38.027000000000001</v>
      </c>
      <c r="O43" s="1"/>
      <c r="P43" s="1">
        <v>47</v>
      </c>
      <c r="Q43" s="1">
        <v>50</v>
      </c>
      <c r="R43" s="1">
        <f t="shared" si="7"/>
        <v>7.6054000000000004</v>
      </c>
      <c r="S43" s="5">
        <v>4</v>
      </c>
      <c r="T43" s="19">
        <f>VLOOKUP(A43,[1]TDSheet!$D:$J,7,0)</f>
        <v>0.14720124335219406</v>
      </c>
      <c r="U43" s="5">
        <v>4</v>
      </c>
      <c r="V43" s="5">
        <v>4</v>
      </c>
      <c r="W43" s="1">
        <f t="shared" si="10"/>
        <v>15.861098693033895</v>
      </c>
      <c r="X43" s="1">
        <f t="shared" si="21"/>
        <v>14.809214505482945</v>
      </c>
      <c r="Y43" s="1">
        <v>11.007199999999999</v>
      </c>
      <c r="Z43" s="1">
        <v>11.5886</v>
      </c>
      <c r="AA43" s="1">
        <v>6.1677999999999997</v>
      </c>
      <c r="AB43" s="1">
        <v>9.9160000000000004</v>
      </c>
      <c r="AC43" s="1">
        <v>15.056800000000001</v>
      </c>
      <c r="AD43" s="1">
        <v>10.8932</v>
      </c>
      <c r="AE43" s="1">
        <v>5.9122000000000003</v>
      </c>
      <c r="AF43" s="1">
        <v>11.0404</v>
      </c>
      <c r="AG43" s="1">
        <v>17.397600000000001</v>
      </c>
      <c r="AH43" s="1">
        <v>6.0191999999999997</v>
      </c>
      <c r="AI43" s="1"/>
      <c r="AJ43" s="1">
        <f t="shared" si="11"/>
        <v>4</v>
      </c>
      <c r="AK43" s="1">
        <f t="shared" si="12"/>
        <v>4</v>
      </c>
    </row>
    <row r="44" spans="1:37" x14ac:dyDescent="0.25">
      <c r="A44" s="1" t="s">
        <v>88</v>
      </c>
      <c r="B44" s="1" t="s">
        <v>40</v>
      </c>
      <c r="C44" s="1">
        <v>363</v>
      </c>
      <c r="D44" s="1">
        <v>723</v>
      </c>
      <c r="E44" s="1">
        <v>248</v>
      </c>
      <c r="F44" s="1">
        <v>2</v>
      </c>
      <c r="G44" s="1"/>
      <c r="H44" s="7">
        <v>0.3</v>
      </c>
      <c r="I44" s="1">
        <v>45</v>
      </c>
      <c r="J44" s="1" t="s">
        <v>37</v>
      </c>
      <c r="K44" s="1"/>
      <c r="L44" s="1">
        <v>325</v>
      </c>
      <c r="M44" s="1">
        <f t="shared" si="20"/>
        <v>-77</v>
      </c>
      <c r="N44" s="1">
        <f t="shared" si="6"/>
        <v>232</v>
      </c>
      <c r="O44" s="1">
        <f>VLOOKUP(A44,[3]TDSheet!$A:$AX,7,0)</f>
        <v>16</v>
      </c>
      <c r="P44" s="1">
        <v>964</v>
      </c>
      <c r="Q44" s="1">
        <v>0</v>
      </c>
      <c r="R44" s="1">
        <f t="shared" si="7"/>
        <v>46.4</v>
      </c>
      <c r="S44" s="5"/>
      <c r="T44" s="19">
        <f>VLOOKUP(A44,[1]TDSheet!$D:$J,7,0)</f>
        <v>0.29040404040404044</v>
      </c>
      <c r="U44" s="5">
        <f t="shared" si="23"/>
        <v>0</v>
      </c>
      <c r="V44" s="5">
        <f t="shared" si="24"/>
        <v>0</v>
      </c>
      <c r="W44" s="1">
        <f t="shared" si="10"/>
        <v>20.818965517241381</v>
      </c>
      <c r="X44" s="1">
        <f t="shared" si="21"/>
        <v>20.818965517241381</v>
      </c>
      <c r="Y44" s="1">
        <v>37.200000000000003</v>
      </c>
      <c r="Z44" s="1">
        <v>118.8</v>
      </c>
      <c r="AA44" s="1">
        <v>1.6</v>
      </c>
      <c r="AB44" s="1">
        <v>52.2</v>
      </c>
      <c r="AC44" s="1">
        <v>85.8</v>
      </c>
      <c r="AD44" s="1">
        <v>35.799999999999997</v>
      </c>
      <c r="AE44" s="1">
        <v>58.4</v>
      </c>
      <c r="AF44" s="1">
        <v>64.8</v>
      </c>
      <c r="AG44" s="1">
        <v>52.8</v>
      </c>
      <c r="AH44" s="1">
        <v>58.8</v>
      </c>
      <c r="AI44" s="1"/>
      <c r="AJ44" s="1">
        <f t="shared" si="11"/>
        <v>0</v>
      </c>
      <c r="AK44" s="1">
        <f t="shared" si="12"/>
        <v>0</v>
      </c>
    </row>
    <row r="45" spans="1:37" x14ac:dyDescent="0.25">
      <c r="A45" s="1" t="s">
        <v>89</v>
      </c>
      <c r="B45" s="1" t="s">
        <v>36</v>
      </c>
      <c r="C45" s="1">
        <v>94.372</v>
      </c>
      <c r="D45" s="1">
        <v>58.308</v>
      </c>
      <c r="E45" s="1">
        <v>45.103999999999999</v>
      </c>
      <c r="F45" s="1"/>
      <c r="G45" s="1"/>
      <c r="H45" s="7">
        <v>1</v>
      </c>
      <c r="I45" s="1"/>
      <c r="J45" s="1" t="s">
        <v>37</v>
      </c>
      <c r="K45" s="1"/>
      <c r="L45" s="1">
        <v>91.5</v>
      </c>
      <c r="M45" s="1">
        <f t="shared" si="20"/>
        <v>-46.396000000000001</v>
      </c>
      <c r="N45" s="1">
        <f t="shared" si="6"/>
        <v>45.103999999999999</v>
      </c>
      <c r="O45" s="1"/>
      <c r="P45" s="1">
        <v>120</v>
      </c>
      <c r="Q45" s="1">
        <v>0</v>
      </c>
      <c r="R45" s="1">
        <f t="shared" si="7"/>
        <v>9.0207999999999995</v>
      </c>
      <c r="S45" s="5">
        <f t="shared" si="22"/>
        <v>15.311999999999983</v>
      </c>
      <c r="T45" s="19">
        <f>VLOOKUP(A45,[1]TDSheet!$D:$J,7,0)</f>
        <v>0</v>
      </c>
      <c r="U45" s="5">
        <f t="shared" si="23"/>
        <v>15.311999999999983</v>
      </c>
      <c r="V45" s="5">
        <f t="shared" si="24"/>
        <v>0</v>
      </c>
      <c r="W45" s="1">
        <f t="shared" si="10"/>
        <v>14.999999999999998</v>
      </c>
      <c r="X45" s="1">
        <f t="shared" si="21"/>
        <v>13.302589570769777</v>
      </c>
      <c r="Y45" s="1">
        <v>2.5748000000000002</v>
      </c>
      <c r="Z45" s="1">
        <v>10.1496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 t="s">
        <v>90</v>
      </c>
      <c r="AJ45" s="1">
        <f t="shared" si="11"/>
        <v>15.311999999999983</v>
      </c>
      <c r="AK45" s="1">
        <f t="shared" si="12"/>
        <v>0</v>
      </c>
    </row>
    <row r="46" spans="1:37" x14ac:dyDescent="0.25">
      <c r="A46" s="1" t="s">
        <v>91</v>
      </c>
      <c r="B46" s="1" t="s">
        <v>36</v>
      </c>
      <c r="C46" s="1">
        <v>170.042</v>
      </c>
      <c r="D46" s="1">
        <v>383.024</v>
      </c>
      <c r="E46" s="1">
        <v>84.411000000000001</v>
      </c>
      <c r="F46" s="1">
        <v>37.223999999999997</v>
      </c>
      <c r="G46" s="1"/>
      <c r="H46" s="7">
        <v>1</v>
      </c>
      <c r="I46" s="1">
        <v>45</v>
      </c>
      <c r="J46" s="1" t="s">
        <v>37</v>
      </c>
      <c r="K46" s="1"/>
      <c r="L46" s="1">
        <v>96.5</v>
      </c>
      <c r="M46" s="1">
        <f t="shared" si="20"/>
        <v>-12.088999999999999</v>
      </c>
      <c r="N46" s="1">
        <f t="shared" si="6"/>
        <v>53.064</v>
      </c>
      <c r="O46" s="1">
        <f>VLOOKUP(A46,[3]TDSheet!$A:$AX,7,0)</f>
        <v>31.347000000000001</v>
      </c>
      <c r="P46" s="1">
        <v>0</v>
      </c>
      <c r="Q46" s="1">
        <v>126</v>
      </c>
      <c r="R46" s="1">
        <f t="shared" si="7"/>
        <v>10.6128</v>
      </c>
      <c r="S46" s="5"/>
      <c r="T46" s="19">
        <f>VLOOKUP(A46,[1]TDSheet!$D:$J,7,0)</f>
        <v>0.40149635777271597</v>
      </c>
      <c r="U46" s="5">
        <f t="shared" si="23"/>
        <v>0</v>
      </c>
      <c r="V46" s="5">
        <f t="shared" si="24"/>
        <v>0</v>
      </c>
      <c r="W46" s="1">
        <f t="shared" si="10"/>
        <v>15.379918588873812</v>
      </c>
      <c r="X46" s="1">
        <f t="shared" si="21"/>
        <v>15.379918588873812</v>
      </c>
      <c r="Y46" s="1">
        <v>16.558199999999999</v>
      </c>
      <c r="Z46" s="1">
        <v>4.0780000000000003</v>
      </c>
      <c r="AA46" s="1">
        <v>8.1170000000000009</v>
      </c>
      <c r="AB46" s="1">
        <v>16.876200000000001</v>
      </c>
      <c r="AC46" s="1">
        <v>10.6318</v>
      </c>
      <c r="AD46" s="1">
        <v>4.3406000000000002</v>
      </c>
      <c r="AE46" s="1">
        <v>15.939</v>
      </c>
      <c r="AF46" s="1">
        <v>6.1928000000000001</v>
      </c>
      <c r="AG46" s="1">
        <v>6.7195999999999998</v>
      </c>
      <c r="AH46" s="1">
        <v>2.1467999999999998</v>
      </c>
      <c r="AI46" s="1"/>
      <c r="AJ46" s="1">
        <f t="shared" si="11"/>
        <v>0</v>
      </c>
      <c r="AK46" s="1">
        <f t="shared" si="12"/>
        <v>0</v>
      </c>
    </row>
    <row r="47" spans="1:37" x14ac:dyDescent="0.25">
      <c r="A47" s="1" t="s">
        <v>92</v>
      </c>
      <c r="B47" s="1" t="s">
        <v>40</v>
      </c>
      <c r="C47" s="1">
        <v>659</v>
      </c>
      <c r="D47" s="1">
        <v>1645</v>
      </c>
      <c r="E47" s="1">
        <v>716</v>
      </c>
      <c r="F47" s="1">
        <v>46</v>
      </c>
      <c r="G47" s="1">
        <f>VLOOKUP(A47,[2]TDSheet!$A:$M,9,0)</f>
        <v>92</v>
      </c>
      <c r="H47" s="7">
        <v>0.35</v>
      </c>
      <c r="I47" s="1">
        <v>45</v>
      </c>
      <c r="J47" s="1" t="s">
        <v>37</v>
      </c>
      <c r="K47" s="1"/>
      <c r="L47" s="1">
        <v>778</v>
      </c>
      <c r="M47" s="1">
        <f t="shared" si="20"/>
        <v>-62</v>
      </c>
      <c r="N47" s="1">
        <f t="shared" si="6"/>
        <v>563</v>
      </c>
      <c r="O47" s="1">
        <f>VLOOKUP(A47,[3]TDSheet!$A:$AX,7,0)</f>
        <v>153</v>
      </c>
      <c r="P47" s="1">
        <v>1400</v>
      </c>
      <c r="Q47" s="1">
        <v>0</v>
      </c>
      <c r="R47" s="1">
        <f t="shared" si="7"/>
        <v>112.6</v>
      </c>
      <c r="S47" s="5">
        <f t="shared" si="22"/>
        <v>151</v>
      </c>
      <c r="T47" s="19">
        <f>VLOOKUP(A47,[1]TDSheet!$D:$J,7,0)</f>
        <v>0.59639759839893258</v>
      </c>
      <c r="U47" s="5">
        <f t="shared" si="23"/>
        <v>60.943962641761175</v>
      </c>
      <c r="V47" s="5">
        <f t="shared" si="24"/>
        <v>90.056037358238825</v>
      </c>
      <c r="W47" s="1">
        <f t="shared" si="10"/>
        <v>15</v>
      </c>
      <c r="X47" s="1">
        <f t="shared" si="21"/>
        <v>13.658969804618119</v>
      </c>
      <c r="Y47" s="1">
        <v>134</v>
      </c>
      <c r="Z47" s="1">
        <v>176</v>
      </c>
      <c r="AA47" s="1">
        <v>82.6</v>
      </c>
      <c r="AB47" s="1">
        <v>158.6</v>
      </c>
      <c r="AC47" s="1">
        <v>169.2</v>
      </c>
      <c r="AD47" s="1">
        <v>109.4</v>
      </c>
      <c r="AE47" s="1">
        <v>94.4</v>
      </c>
      <c r="AF47" s="1">
        <v>139</v>
      </c>
      <c r="AG47" s="1">
        <v>135.4</v>
      </c>
      <c r="AH47" s="1">
        <v>91.2</v>
      </c>
      <c r="AI47" s="1"/>
      <c r="AJ47" s="1">
        <f t="shared" si="11"/>
        <v>21.330386924616409</v>
      </c>
      <c r="AK47" s="1">
        <f t="shared" si="12"/>
        <v>31.519613075383585</v>
      </c>
    </row>
    <row r="48" spans="1:37" x14ac:dyDescent="0.25">
      <c r="A48" s="1" t="s">
        <v>93</v>
      </c>
      <c r="B48" s="1" t="s">
        <v>40</v>
      </c>
      <c r="C48" s="1">
        <v>889</v>
      </c>
      <c r="D48" s="1">
        <v>1488</v>
      </c>
      <c r="E48" s="1">
        <v>23</v>
      </c>
      <c r="F48" s="1"/>
      <c r="G48" s="1"/>
      <c r="H48" s="7">
        <v>0.41</v>
      </c>
      <c r="I48" s="1">
        <v>45</v>
      </c>
      <c r="J48" s="1" t="s">
        <v>37</v>
      </c>
      <c r="K48" s="1"/>
      <c r="L48" s="1">
        <v>374</v>
      </c>
      <c r="M48" s="1">
        <f t="shared" si="20"/>
        <v>-351</v>
      </c>
      <c r="N48" s="1">
        <f t="shared" si="6"/>
        <v>-1</v>
      </c>
      <c r="O48" s="1">
        <f>VLOOKUP(A48,[3]TDSheet!$A:$AX,7,0)</f>
        <v>24</v>
      </c>
      <c r="P48" s="1">
        <v>0</v>
      </c>
      <c r="Q48" s="1">
        <v>42</v>
      </c>
      <c r="R48" s="1">
        <f t="shared" si="7"/>
        <v>-0.2</v>
      </c>
      <c r="S48" s="5"/>
      <c r="T48" s="19">
        <f>VLOOKUP(A48,[1]TDSheet!$D:$J,7,0)</f>
        <v>0.60706401766004414</v>
      </c>
      <c r="U48" s="5">
        <f t="shared" si="23"/>
        <v>0</v>
      </c>
      <c r="V48" s="5">
        <f t="shared" si="24"/>
        <v>0</v>
      </c>
      <c r="W48" s="1">
        <f t="shared" si="10"/>
        <v>-210</v>
      </c>
      <c r="X48" s="1">
        <f t="shared" si="21"/>
        <v>-210</v>
      </c>
      <c r="Y48" s="1">
        <v>6</v>
      </c>
      <c r="Z48" s="1">
        <v>80</v>
      </c>
      <c r="AA48" s="1">
        <v>-2.6</v>
      </c>
      <c r="AB48" s="1">
        <v>-2.8</v>
      </c>
      <c r="AC48" s="1">
        <v>46.8</v>
      </c>
      <c r="AD48" s="1">
        <v>39</v>
      </c>
      <c r="AE48" s="1">
        <v>41</v>
      </c>
      <c r="AF48" s="1">
        <v>31</v>
      </c>
      <c r="AG48" s="1">
        <v>61.6</v>
      </c>
      <c r="AH48" s="1">
        <v>47</v>
      </c>
      <c r="AI48" s="1" t="s">
        <v>94</v>
      </c>
      <c r="AJ48" s="1">
        <f t="shared" si="11"/>
        <v>0</v>
      </c>
      <c r="AK48" s="1">
        <f t="shared" si="12"/>
        <v>0</v>
      </c>
    </row>
    <row r="49" spans="1:37" x14ac:dyDescent="0.25">
      <c r="A49" s="1" t="s">
        <v>95</v>
      </c>
      <c r="B49" s="1" t="s">
        <v>40</v>
      </c>
      <c r="C49" s="1">
        <v>619</v>
      </c>
      <c r="D49" s="1">
        <v>790</v>
      </c>
      <c r="E49" s="1">
        <v>342</v>
      </c>
      <c r="F49" s="1">
        <v>134</v>
      </c>
      <c r="G49" s="1">
        <f>VLOOKUP(A49,[2]TDSheet!$A:$M,9,0)</f>
        <v>158</v>
      </c>
      <c r="H49" s="7">
        <v>0.41</v>
      </c>
      <c r="I49" s="1">
        <v>45</v>
      </c>
      <c r="J49" s="1" t="s">
        <v>37</v>
      </c>
      <c r="K49" s="1"/>
      <c r="L49" s="1">
        <v>343</v>
      </c>
      <c r="M49" s="1">
        <f t="shared" si="20"/>
        <v>-1</v>
      </c>
      <c r="N49" s="1">
        <f t="shared" si="6"/>
        <v>232</v>
      </c>
      <c r="O49" s="1">
        <f>VLOOKUP(A49,[3]TDSheet!$A:$AX,7,0)</f>
        <v>110</v>
      </c>
      <c r="P49" s="1">
        <v>102</v>
      </c>
      <c r="Q49" s="1">
        <v>108</v>
      </c>
      <c r="R49" s="1">
        <f t="shared" si="7"/>
        <v>46.4</v>
      </c>
      <c r="S49" s="5">
        <f t="shared" si="22"/>
        <v>194</v>
      </c>
      <c r="T49" s="19">
        <f>VLOOKUP(A49,[1]TDSheet!$D:$J,7,0)</f>
        <v>0.41992551210428308</v>
      </c>
      <c r="U49" s="5">
        <f t="shared" si="23"/>
        <v>112.53445065176908</v>
      </c>
      <c r="V49" s="5">
        <f t="shared" si="24"/>
        <v>81.465549348230923</v>
      </c>
      <c r="W49" s="1">
        <f t="shared" si="10"/>
        <v>15</v>
      </c>
      <c r="X49" s="1">
        <f t="shared" si="21"/>
        <v>10.818965517241379</v>
      </c>
      <c r="Y49" s="1">
        <v>48.6</v>
      </c>
      <c r="Z49" s="1">
        <v>58.2</v>
      </c>
      <c r="AA49" s="1">
        <v>52.4</v>
      </c>
      <c r="AB49" s="1">
        <v>16.600000000000001</v>
      </c>
      <c r="AC49" s="1">
        <v>57.6</v>
      </c>
      <c r="AD49" s="1">
        <v>35.6</v>
      </c>
      <c r="AE49" s="1">
        <v>12.4</v>
      </c>
      <c r="AF49" s="1">
        <v>28</v>
      </c>
      <c r="AG49" s="1">
        <v>35</v>
      </c>
      <c r="AH49" s="1">
        <v>20.2</v>
      </c>
      <c r="AI49" s="1"/>
      <c r="AJ49" s="1">
        <f t="shared" si="11"/>
        <v>46.139124767225319</v>
      </c>
      <c r="AK49" s="1">
        <f t="shared" si="12"/>
        <v>33.400875232774673</v>
      </c>
    </row>
    <row r="50" spans="1:37" x14ac:dyDescent="0.25">
      <c r="A50" s="9" t="s">
        <v>96</v>
      </c>
      <c r="B50" s="9" t="s">
        <v>36</v>
      </c>
      <c r="C50" s="9">
        <v>16.449000000000002</v>
      </c>
      <c r="D50" s="9"/>
      <c r="E50" s="9"/>
      <c r="F50" s="9">
        <v>16.449000000000002</v>
      </c>
      <c r="G50" s="9"/>
      <c r="H50" s="10">
        <v>0</v>
      </c>
      <c r="I50" s="9">
        <v>30</v>
      </c>
      <c r="J50" s="9" t="s">
        <v>62</v>
      </c>
      <c r="K50" s="9"/>
      <c r="L50" s="9"/>
      <c r="M50" s="9">
        <f t="shared" si="20"/>
        <v>0</v>
      </c>
      <c r="N50" s="9">
        <f t="shared" si="6"/>
        <v>0</v>
      </c>
      <c r="O50" s="9"/>
      <c r="P50" s="9">
        <v>0</v>
      </c>
      <c r="Q50" s="9">
        <v>0</v>
      </c>
      <c r="R50" s="9">
        <f t="shared" si="7"/>
        <v>0</v>
      </c>
      <c r="S50" s="11"/>
      <c r="T50" s="19">
        <f>VLOOKUP(A50,[1]TDSheet!$D:$J,7,0)</f>
        <v>0</v>
      </c>
      <c r="U50" s="11"/>
      <c r="V50" s="11"/>
      <c r="W50" s="9" t="e">
        <f t="shared" si="10"/>
        <v>#DIV/0!</v>
      </c>
      <c r="X50" s="9" t="e">
        <f t="shared" si="21"/>
        <v>#DIV/0!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12" t="s">
        <v>49</v>
      </c>
      <c r="AJ50" s="1">
        <f t="shared" si="11"/>
        <v>0</v>
      </c>
      <c r="AK50" s="1">
        <f t="shared" si="12"/>
        <v>0</v>
      </c>
    </row>
    <row r="51" spans="1:37" x14ac:dyDescent="0.25">
      <c r="A51" s="1" t="s">
        <v>97</v>
      </c>
      <c r="B51" s="1" t="s">
        <v>40</v>
      </c>
      <c r="C51" s="1">
        <v>50</v>
      </c>
      <c r="D51" s="1">
        <v>14</v>
      </c>
      <c r="E51" s="1">
        <v>43</v>
      </c>
      <c r="F51" s="1"/>
      <c r="G51" s="1"/>
      <c r="H51" s="7">
        <v>0.36</v>
      </c>
      <c r="I51" s="1">
        <v>45</v>
      </c>
      <c r="J51" s="1" t="s">
        <v>37</v>
      </c>
      <c r="K51" s="1"/>
      <c r="L51" s="1">
        <v>65</v>
      </c>
      <c r="M51" s="1">
        <f t="shared" si="20"/>
        <v>-22</v>
      </c>
      <c r="N51" s="1">
        <f t="shared" si="6"/>
        <v>43</v>
      </c>
      <c r="O51" s="1"/>
      <c r="P51" s="1">
        <v>117</v>
      </c>
      <c r="Q51" s="1">
        <v>0</v>
      </c>
      <c r="R51" s="1">
        <f t="shared" si="7"/>
        <v>8.6</v>
      </c>
      <c r="S51" s="5">
        <f t="shared" ref="S51" si="25">15*R51-Q51-P51-G51-F51</f>
        <v>12</v>
      </c>
      <c r="T51" s="19">
        <f>VLOOKUP(A51,[1]TDSheet!$D:$J,7,0)</f>
        <v>8.1967213114754092E-2</v>
      </c>
      <c r="U51" s="5">
        <v>12</v>
      </c>
      <c r="V51" s="5">
        <v>6</v>
      </c>
      <c r="W51" s="1">
        <f t="shared" si="10"/>
        <v>15.697674418604652</v>
      </c>
      <c r="X51" s="1">
        <f t="shared" si="21"/>
        <v>13.604651162790699</v>
      </c>
      <c r="Y51" s="1">
        <v>2.2000000000000002</v>
      </c>
      <c r="Z51" s="1">
        <v>12</v>
      </c>
      <c r="AA51" s="1">
        <v>0.2</v>
      </c>
      <c r="AB51" s="1">
        <v>6.8</v>
      </c>
      <c r="AC51" s="1">
        <v>0</v>
      </c>
      <c r="AD51" s="1">
        <v>0</v>
      </c>
      <c r="AE51" s="1">
        <v>-0.4</v>
      </c>
      <c r="AF51" s="1">
        <v>0</v>
      </c>
      <c r="AG51" s="1">
        <v>-0.8</v>
      </c>
      <c r="AH51" s="1">
        <v>-1.4</v>
      </c>
      <c r="AI51" s="1" t="s">
        <v>98</v>
      </c>
      <c r="AJ51" s="1">
        <f t="shared" si="11"/>
        <v>4.32</v>
      </c>
      <c r="AK51" s="1">
        <f t="shared" si="12"/>
        <v>2.16</v>
      </c>
    </row>
    <row r="52" spans="1:37" x14ac:dyDescent="0.25">
      <c r="A52" s="1" t="s">
        <v>99</v>
      </c>
      <c r="B52" s="1" t="s">
        <v>40</v>
      </c>
      <c r="C52" s="1">
        <v>107</v>
      </c>
      <c r="D52" s="1">
        <v>297</v>
      </c>
      <c r="E52" s="1">
        <v>105</v>
      </c>
      <c r="F52" s="1">
        <v>147</v>
      </c>
      <c r="G52" s="1"/>
      <c r="H52" s="7">
        <v>0.33</v>
      </c>
      <c r="I52" s="1">
        <v>45</v>
      </c>
      <c r="J52" s="1" t="s">
        <v>37</v>
      </c>
      <c r="K52" s="1"/>
      <c r="L52" s="1">
        <v>137</v>
      </c>
      <c r="M52" s="1">
        <f t="shared" si="20"/>
        <v>-32</v>
      </c>
      <c r="N52" s="1">
        <f t="shared" si="6"/>
        <v>105</v>
      </c>
      <c r="O52" s="1"/>
      <c r="P52" s="1">
        <v>211</v>
      </c>
      <c r="Q52" s="1">
        <v>0</v>
      </c>
      <c r="R52" s="1">
        <f t="shared" si="7"/>
        <v>21</v>
      </c>
      <c r="S52" s="5"/>
      <c r="T52" s="19">
        <f>VLOOKUP(A52,[1]TDSheet!$D:$J,7,0)</f>
        <v>0.38644067796610171</v>
      </c>
      <c r="U52" s="5">
        <f t="shared" ref="U52:U55" si="26">S52-V52</f>
        <v>0</v>
      </c>
      <c r="V52" s="5">
        <f t="shared" ref="V52:V55" si="27">S52*T52</f>
        <v>0</v>
      </c>
      <c r="W52" s="1">
        <f t="shared" si="10"/>
        <v>17.047619047619047</v>
      </c>
      <c r="X52" s="1">
        <f t="shared" si="21"/>
        <v>17.047619047619047</v>
      </c>
      <c r="Y52" s="1">
        <v>6</v>
      </c>
      <c r="Z52" s="1">
        <v>27.2</v>
      </c>
      <c r="AA52" s="1">
        <v>17.600000000000001</v>
      </c>
      <c r="AB52" s="1">
        <v>5.2</v>
      </c>
      <c r="AC52" s="1">
        <v>20.2</v>
      </c>
      <c r="AD52" s="1">
        <v>12.8</v>
      </c>
      <c r="AE52" s="1">
        <v>2.2000000000000002</v>
      </c>
      <c r="AF52" s="1">
        <v>11.4</v>
      </c>
      <c r="AG52" s="1">
        <v>17</v>
      </c>
      <c r="AH52" s="1">
        <v>0</v>
      </c>
      <c r="AI52" s="1" t="s">
        <v>100</v>
      </c>
      <c r="AJ52" s="1">
        <f t="shared" si="11"/>
        <v>0</v>
      </c>
      <c r="AK52" s="1">
        <f t="shared" si="12"/>
        <v>0</v>
      </c>
    </row>
    <row r="53" spans="1:37" x14ac:dyDescent="0.25">
      <c r="A53" s="1" t="s">
        <v>101</v>
      </c>
      <c r="B53" s="1" t="s">
        <v>40</v>
      </c>
      <c r="C53" s="1">
        <v>154</v>
      </c>
      <c r="D53" s="1">
        <v>79</v>
      </c>
      <c r="E53" s="1">
        <v>147</v>
      </c>
      <c r="F53" s="1">
        <v>1</v>
      </c>
      <c r="G53" s="1">
        <f>VLOOKUP(A53,[2]TDSheet!$A:$M,9,0)</f>
        <v>-2</v>
      </c>
      <c r="H53" s="7">
        <v>0.4</v>
      </c>
      <c r="I53" s="1">
        <v>60</v>
      </c>
      <c r="J53" s="1" t="s">
        <v>37</v>
      </c>
      <c r="K53" s="1"/>
      <c r="L53" s="1">
        <v>203</v>
      </c>
      <c r="M53" s="1">
        <f t="shared" si="20"/>
        <v>-56</v>
      </c>
      <c r="N53" s="1">
        <f t="shared" si="6"/>
        <v>123</v>
      </c>
      <c r="O53" s="1">
        <f>VLOOKUP(A53,[3]TDSheet!$A:$AX,7,0)</f>
        <v>24</v>
      </c>
      <c r="P53" s="1">
        <v>306</v>
      </c>
      <c r="Q53" s="1">
        <v>110</v>
      </c>
      <c r="R53" s="1">
        <f t="shared" si="7"/>
        <v>24.6</v>
      </c>
      <c r="S53" s="5"/>
      <c r="T53" s="19">
        <f>VLOOKUP(A53,[1]TDSheet!$D:$J,7,0)</f>
        <v>0.50269541778975735</v>
      </c>
      <c r="U53" s="5">
        <f t="shared" si="26"/>
        <v>0</v>
      </c>
      <c r="V53" s="5">
        <f t="shared" si="27"/>
        <v>0</v>
      </c>
      <c r="W53" s="1">
        <f t="shared" si="10"/>
        <v>16.869918699186989</v>
      </c>
      <c r="X53" s="1">
        <f t="shared" si="21"/>
        <v>16.869918699186989</v>
      </c>
      <c r="Y53" s="1">
        <v>36.4</v>
      </c>
      <c r="Z53" s="1">
        <v>45</v>
      </c>
      <c r="AA53" s="1">
        <v>9</v>
      </c>
      <c r="AB53" s="1">
        <v>38</v>
      </c>
      <c r="AC53" s="1">
        <v>38.4</v>
      </c>
      <c r="AD53" s="1">
        <v>27</v>
      </c>
      <c r="AE53" s="1">
        <v>20.8</v>
      </c>
      <c r="AF53" s="1">
        <v>30.2</v>
      </c>
      <c r="AG53" s="1">
        <v>34.6</v>
      </c>
      <c r="AH53" s="1">
        <v>33.799999999999997</v>
      </c>
      <c r="AI53" s="1"/>
      <c r="AJ53" s="1">
        <f t="shared" si="11"/>
        <v>0</v>
      </c>
      <c r="AK53" s="1">
        <f t="shared" si="12"/>
        <v>0</v>
      </c>
    </row>
    <row r="54" spans="1:37" x14ac:dyDescent="0.25">
      <c r="A54" s="1" t="s">
        <v>102</v>
      </c>
      <c r="B54" s="1" t="s">
        <v>40</v>
      </c>
      <c r="C54" s="1">
        <v>9</v>
      </c>
      <c r="D54" s="1">
        <v>148</v>
      </c>
      <c r="E54" s="1">
        <v>8</v>
      </c>
      <c r="F54" s="1"/>
      <c r="G54" s="1"/>
      <c r="H54" s="7">
        <v>0.33</v>
      </c>
      <c r="I54" s="1">
        <v>45</v>
      </c>
      <c r="J54" s="1" t="s">
        <v>37</v>
      </c>
      <c r="K54" s="1"/>
      <c r="L54" s="1">
        <v>19</v>
      </c>
      <c r="M54" s="1">
        <f t="shared" si="20"/>
        <v>-11</v>
      </c>
      <c r="N54" s="1">
        <f t="shared" si="6"/>
        <v>8</v>
      </c>
      <c r="O54" s="1"/>
      <c r="P54" s="1">
        <v>19</v>
      </c>
      <c r="Q54" s="1">
        <v>5</v>
      </c>
      <c r="R54" s="1">
        <f t="shared" si="7"/>
        <v>1.6</v>
      </c>
      <c r="S54" s="5">
        <v>8</v>
      </c>
      <c r="T54" s="19">
        <f>VLOOKUP(A54,[1]TDSheet!$D:$J,7,0)</f>
        <v>3.7037037037037035E-2</v>
      </c>
      <c r="U54" s="5">
        <f t="shared" si="26"/>
        <v>7.7037037037037042</v>
      </c>
      <c r="V54" s="5">
        <f t="shared" si="27"/>
        <v>0.29629629629629628</v>
      </c>
      <c r="W54" s="1">
        <f t="shared" si="10"/>
        <v>20</v>
      </c>
      <c r="X54" s="1">
        <f t="shared" si="21"/>
        <v>15</v>
      </c>
      <c r="Y54" s="1">
        <v>2.2000000000000002</v>
      </c>
      <c r="Z54" s="1">
        <v>2.6</v>
      </c>
      <c r="AA54" s="1">
        <v>-0.4</v>
      </c>
      <c r="AB54" s="1">
        <v>0</v>
      </c>
      <c r="AC54" s="1">
        <v>-0.6</v>
      </c>
      <c r="AD54" s="1">
        <v>0</v>
      </c>
      <c r="AE54" s="1">
        <v>0.8</v>
      </c>
      <c r="AF54" s="1">
        <v>1.4</v>
      </c>
      <c r="AG54" s="1">
        <v>3.2</v>
      </c>
      <c r="AH54" s="1">
        <v>2.6</v>
      </c>
      <c r="AI54" s="1" t="s">
        <v>103</v>
      </c>
      <c r="AJ54" s="1">
        <f t="shared" si="11"/>
        <v>2.5422222222222226</v>
      </c>
      <c r="AK54" s="1">
        <f t="shared" si="12"/>
        <v>9.7777777777777783E-2</v>
      </c>
    </row>
    <row r="55" spans="1:37" x14ac:dyDescent="0.25">
      <c r="A55" s="1" t="s">
        <v>104</v>
      </c>
      <c r="B55" s="1" t="s">
        <v>36</v>
      </c>
      <c r="C55" s="1">
        <v>301.26400000000001</v>
      </c>
      <c r="D55" s="1">
        <v>128.60499999999999</v>
      </c>
      <c r="E55" s="1">
        <v>206.43299999999999</v>
      </c>
      <c r="F55" s="1">
        <v>79.326999999999998</v>
      </c>
      <c r="G55" s="1">
        <f>VLOOKUP(A55,[2]TDSheet!$A:$M,9,0)</f>
        <v>6.3570000000000002</v>
      </c>
      <c r="H55" s="7">
        <v>1</v>
      </c>
      <c r="I55" s="1">
        <v>45</v>
      </c>
      <c r="J55" s="1" t="s">
        <v>37</v>
      </c>
      <c r="K55" s="1"/>
      <c r="L55" s="1">
        <v>199.9</v>
      </c>
      <c r="M55" s="1">
        <f t="shared" si="20"/>
        <v>6.532999999999987</v>
      </c>
      <c r="N55" s="1">
        <f t="shared" si="6"/>
        <v>206.43299999999999</v>
      </c>
      <c r="O55" s="1"/>
      <c r="P55" s="1">
        <v>664</v>
      </c>
      <c r="Q55" s="1">
        <v>0</v>
      </c>
      <c r="R55" s="1">
        <f t="shared" si="7"/>
        <v>41.2866</v>
      </c>
      <c r="S55" s="5"/>
      <c r="T55" s="19">
        <f>VLOOKUP(A55,[1]TDSheet!$D:$J,7,0)</f>
        <v>0.12663247957849127</v>
      </c>
      <c r="U55" s="5">
        <f t="shared" si="26"/>
        <v>0</v>
      </c>
      <c r="V55" s="5">
        <f t="shared" si="27"/>
        <v>0</v>
      </c>
      <c r="W55" s="1">
        <f t="shared" si="10"/>
        <v>18.158046436374029</v>
      </c>
      <c r="X55" s="1">
        <f t="shared" si="21"/>
        <v>18.158046436374029</v>
      </c>
      <c r="Y55" s="1">
        <v>47.587200000000003</v>
      </c>
      <c r="Z55" s="1">
        <v>80.835799999999992</v>
      </c>
      <c r="AA55" s="1">
        <v>30.045400000000001</v>
      </c>
      <c r="AB55" s="1">
        <v>65.753799999999998</v>
      </c>
      <c r="AC55" s="1">
        <v>61.433399999999992</v>
      </c>
      <c r="AD55" s="1">
        <v>54.076999999999998</v>
      </c>
      <c r="AE55" s="1">
        <v>13.7126</v>
      </c>
      <c r="AF55" s="1">
        <v>63.340599999999988</v>
      </c>
      <c r="AG55" s="1">
        <v>57.431199999999997</v>
      </c>
      <c r="AH55" s="1">
        <v>38.247</v>
      </c>
      <c r="AI55" s="1"/>
      <c r="AJ55" s="1">
        <f t="shared" si="11"/>
        <v>0</v>
      </c>
      <c r="AK55" s="1">
        <f t="shared" si="12"/>
        <v>0</v>
      </c>
    </row>
    <row r="56" spans="1:37" x14ac:dyDescent="0.25">
      <c r="A56" s="1" t="s">
        <v>105</v>
      </c>
      <c r="B56" s="1" t="s">
        <v>40</v>
      </c>
      <c r="C56" s="1">
        <v>162</v>
      </c>
      <c r="D56" s="1">
        <v>270</v>
      </c>
      <c r="E56" s="1">
        <v>71</v>
      </c>
      <c r="F56" s="1"/>
      <c r="G56" s="1"/>
      <c r="H56" s="7">
        <v>0.4</v>
      </c>
      <c r="I56" s="1">
        <v>45</v>
      </c>
      <c r="J56" s="1" t="s">
        <v>37</v>
      </c>
      <c r="K56" s="1"/>
      <c r="L56" s="1">
        <v>128</v>
      </c>
      <c r="M56" s="1">
        <f t="shared" si="20"/>
        <v>-57</v>
      </c>
      <c r="N56" s="1">
        <f t="shared" si="6"/>
        <v>-1</v>
      </c>
      <c r="O56" s="1">
        <f>VLOOKUP(A56,[3]TDSheet!$A:$AX,7,0)</f>
        <v>72</v>
      </c>
      <c r="P56" s="1">
        <v>0</v>
      </c>
      <c r="Q56" s="1"/>
      <c r="R56" s="1">
        <f t="shared" si="7"/>
        <v>-0.2</v>
      </c>
      <c r="S56" s="5"/>
      <c r="T56" s="19">
        <f>VLOOKUP(A56,[1]TDSheet!$D:$J,7,0)</f>
        <v>1</v>
      </c>
      <c r="U56" s="5">
        <v>10</v>
      </c>
      <c r="V56" s="5">
        <v>20</v>
      </c>
      <c r="W56" s="1">
        <f t="shared" si="10"/>
        <v>-150</v>
      </c>
      <c r="X56" s="1">
        <f t="shared" si="21"/>
        <v>0</v>
      </c>
      <c r="Y56" s="1">
        <v>0</v>
      </c>
      <c r="Z56" s="1">
        <v>-0.6</v>
      </c>
      <c r="AA56" s="1">
        <v>-0.2</v>
      </c>
      <c r="AB56" s="1">
        <v>-2.6</v>
      </c>
      <c r="AC56" s="1">
        <v>0</v>
      </c>
      <c r="AD56" s="1">
        <v>-0.4</v>
      </c>
      <c r="AE56" s="1">
        <v>-0.2</v>
      </c>
      <c r="AF56" s="1">
        <v>-2.4</v>
      </c>
      <c r="AG56" s="1">
        <v>-3.4</v>
      </c>
      <c r="AH56" s="1">
        <v>1</v>
      </c>
      <c r="AI56" s="1" t="s">
        <v>180</v>
      </c>
      <c r="AJ56" s="1">
        <f t="shared" si="11"/>
        <v>4</v>
      </c>
      <c r="AK56" s="1">
        <f t="shared" si="12"/>
        <v>8</v>
      </c>
    </row>
    <row r="57" spans="1:37" x14ac:dyDescent="0.25">
      <c r="A57" s="9" t="s">
        <v>106</v>
      </c>
      <c r="B57" s="9" t="s">
        <v>36</v>
      </c>
      <c r="C57" s="9"/>
      <c r="D57" s="9"/>
      <c r="E57" s="9"/>
      <c r="F57" s="9"/>
      <c r="G57" s="9"/>
      <c r="H57" s="10">
        <v>0</v>
      </c>
      <c r="I57" s="9"/>
      <c r="J57" s="9" t="s">
        <v>37</v>
      </c>
      <c r="K57" s="9"/>
      <c r="L57" s="9">
        <v>1.3</v>
      </c>
      <c r="M57" s="9">
        <f t="shared" si="20"/>
        <v>-1.3</v>
      </c>
      <c r="N57" s="9">
        <f t="shared" si="6"/>
        <v>0</v>
      </c>
      <c r="O57" s="9"/>
      <c r="P57" s="9">
        <v>0</v>
      </c>
      <c r="Q57" s="9">
        <v>0</v>
      </c>
      <c r="R57" s="9">
        <f t="shared" si="7"/>
        <v>0</v>
      </c>
      <c r="S57" s="11"/>
      <c r="T57" s="19" t="e">
        <f>VLOOKUP(A57,[1]TDSheet!$D:$J,7,0)</f>
        <v>#N/A</v>
      </c>
      <c r="U57" s="11"/>
      <c r="V57" s="11"/>
      <c r="W57" s="9" t="e">
        <f t="shared" si="10"/>
        <v>#DIV/0!</v>
      </c>
      <c r="X57" s="9" t="e">
        <f t="shared" si="21"/>
        <v>#DIV/0!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 t="s">
        <v>107</v>
      </c>
      <c r="AJ57" s="1">
        <f t="shared" si="11"/>
        <v>0</v>
      </c>
      <c r="AK57" s="1">
        <f t="shared" si="12"/>
        <v>0</v>
      </c>
    </row>
    <row r="58" spans="1:37" x14ac:dyDescent="0.25">
      <c r="A58" s="1" t="s">
        <v>108</v>
      </c>
      <c r="B58" s="1" t="s">
        <v>36</v>
      </c>
      <c r="C58" s="1">
        <v>182.66</v>
      </c>
      <c r="D58" s="1">
        <v>302.99599999999998</v>
      </c>
      <c r="E58" s="1">
        <v>19.704999999999998</v>
      </c>
      <c r="F58" s="1">
        <v>37.700000000000003</v>
      </c>
      <c r="G58" s="1"/>
      <c r="H58" s="7">
        <v>1</v>
      </c>
      <c r="I58" s="1">
        <v>60</v>
      </c>
      <c r="J58" s="1" t="s">
        <v>37</v>
      </c>
      <c r="K58" s="1"/>
      <c r="L58" s="1">
        <v>19.5</v>
      </c>
      <c r="M58" s="1">
        <f t="shared" si="20"/>
        <v>0.20499999999999829</v>
      </c>
      <c r="N58" s="1">
        <f t="shared" si="6"/>
        <v>19.704999999999998</v>
      </c>
      <c r="O58" s="1"/>
      <c r="P58" s="1">
        <v>0</v>
      </c>
      <c r="Q58" s="1">
        <v>200</v>
      </c>
      <c r="R58" s="1">
        <f t="shared" si="7"/>
        <v>3.9409999999999998</v>
      </c>
      <c r="S58" s="5"/>
      <c r="T58" s="19">
        <f>VLOOKUP(A58,[1]TDSheet!$D:$J,7,0)</f>
        <v>0.36221305452517327</v>
      </c>
      <c r="U58" s="5">
        <f>S58-V58</f>
        <v>0</v>
      </c>
      <c r="V58" s="5">
        <f>S58*T58</f>
        <v>0</v>
      </c>
      <c r="W58" s="1">
        <f t="shared" si="10"/>
        <v>60.314640954072573</v>
      </c>
      <c r="X58" s="1">
        <f t="shared" si="21"/>
        <v>60.314640954072573</v>
      </c>
      <c r="Y58" s="1">
        <v>13.7</v>
      </c>
      <c r="Z58" s="1">
        <v>7.6189999999999998</v>
      </c>
      <c r="AA58" s="1">
        <v>7.8315999999999999</v>
      </c>
      <c r="AB58" s="1">
        <v>9.9421999999999997</v>
      </c>
      <c r="AC58" s="1">
        <v>12.0648</v>
      </c>
      <c r="AD58" s="1">
        <v>5.1560000000000006</v>
      </c>
      <c r="AE58" s="1">
        <v>7.8439999999999994</v>
      </c>
      <c r="AF58" s="1">
        <v>4.2359999999999998</v>
      </c>
      <c r="AG58" s="1">
        <v>5.14</v>
      </c>
      <c r="AH58" s="1">
        <v>2.649</v>
      </c>
      <c r="AI58" s="1"/>
      <c r="AJ58" s="1">
        <f t="shared" si="11"/>
        <v>0</v>
      </c>
      <c r="AK58" s="1">
        <f t="shared" si="12"/>
        <v>0</v>
      </c>
    </row>
    <row r="59" spans="1:37" x14ac:dyDescent="0.25">
      <c r="A59" s="9" t="s">
        <v>109</v>
      </c>
      <c r="B59" s="9" t="s">
        <v>40</v>
      </c>
      <c r="C59" s="9">
        <v>62</v>
      </c>
      <c r="D59" s="9">
        <v>72</v>
      </c>
      <c r="E59" s="9">
        <v>25</v>
      </c>
      <c r="F59" s="9"/>
      <c r="G59" s="9"/>
      <c r="H59" s="10">
        <v>0</v>
      </c>
      <c r="I59" s="9">
        <v>45</v>
      </c>
      <c r="J59" s="9" t="s">
        <v>77</v>
      </c>
      <c r="K59" s="9"/>
      <c r="L59" s="9">
        <v>29</v>
      </c>
      <c r="M59" s="9">
        <f t="shared" si="20"/>
        <v>-4</v>
      </c>
      <c r="N59" s="9">
        <f t="shared" si="6"/>
        <v>25</v>
      </c>
      <c r="O59" s="9"/>
      <c r="P59" s="9">
        <v>0</v>
      </c>
      <c r="Q59" s="9">
        <v>0</v>
      </c>
      <c r="R59" s="9">
        <f t="shared" si="7"/>
        <v>5</v>
      </c>
      <c r="S59" s="11"/>
      <c r="T59" s="19">
        <f>VLOOKUP(A59,[1]TDSheet!$D:$J,7,0)</f>
        <v>0.39999999999999997</v>
      </c>
      <c r="U59" s="11"/>
      <c r="V59" s="11"/>
      <c r="W59" s="9">
        <f t="shared" si="10"/>
        <v>0</v>
      </c>
      <c r="X59" s="9">
        <f t="shared" si="21"/>
        <v>0</v>
      </c>
      <c r="Y59" s="9">
        <v>5.2</v>
      </c>
      <c r="Z59" s="9">
        <v>4.8</v>
      </c>
      <c r="AA59" s="9">
        <v>5.8</v>
      </c>
      <c r="AB59" s="9">
        <v>9.6</v>
      </c>
      <c r="AC59" s="9">
        <v>6</v>
      </c>
      <c r="AD59" s="9">
        <v>7.6</v>
      </c>
      <c r="AE59" s="9">
        <v>8.1999999999999993</v>
      </c>
      <c r="AF59" s="9">
        <v>12.8</v>
      </c>
      <c r="AG59" s="9">
        <v>10.8</v>
      </c>
      <c r="AH59" s="9">
        <v>13.8</v>
      </c>
      <c r="AI59" s="9"/>
      <c r="AJ59" s="1">
        <f t="shared" si="11"/>
        <v>0</v>
      </c>
      <c r="AK59" s="1">
        <f t="shared" si="12"/>
        <v>0</v>
      </c>
    </row>
    <row r="60" spans="1:37" x14ac:dyDescent="0.25">
      <c r="A60" s="1" t="s">
        <v>110</v>
      </c>
      <c r="B60" s="1" t="s">
        <v>36</v>
      </c>
      <c r="C60" s="1">
        <v>97.18</v>
      </c>
      <c r="D60" s="1">
        <v>2.504</v>
      </c>
      <c r="E60" s="1">
        <v>58.686</v>
      </c>
      <c r="F60" s="1">
        <v>35.963999999999999</v>
      </c>
      <c r="G60" s="1"/>
      <c r="H60" s="7">
        <v>1</v>
      </c>
      <c r="I60" s="1">
        <v>45</v>
      </c>
      <c r="J60" s="1" t="s">
        <v>37</v>
      </c>
      <c r="K60" s="1"/>
      <c r="L60" s="1">
        <v>54.6</v>
      </c>
      <c r="M60" s="1">
        <f t="shared" si="20"/>
        <v>4.0859999999999985</v>
      </c>
      <c r="N60" s="1">
        <f t="shared" si="6"/>
        <v>58.686</v>
      </c>
      <c r="O60" s="1"/>
      <c r="P60" s="1">
        <v>0</v>
      </c>
      <c r="Q60" s="1">
        <v>50</v>
      </c>
      <c r="R60" s="1">
        <f t="shared" si="7"/>
        <v>11.7372</v>
      </c>
      <c r="S60" s="5">
        <f>15*R60-Q60-P60-G60-F60</f>
        <v>90.093999999999994</v>
      </c>
      <c r="T60" s="19">
        <f>VLOOKUP(A60,[1]TDSheet!$D:$J,7,0)</f>
        <v>0</v>
      </c>
      <c r="U60" s="5">
        <f>S60-V60</f>
        <v>90.093999999999994</v>
      </c>
      <c r="V60" s="5">
        <f>S60*T60</f>
        <v>0</v>
      </c>
      <c r="W60" s="1">
        <f t="shared" si="10"/>
        <v>15</v>
      </c>
      <c r="X60" s="1">
        <f t="shared" si="21"/>
        <v>7.3240636608390419</v>
      </c>
      <c r="Y60" s="1">
        <v>0.34320000000000001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 t="s">
        <v>38</v>
      </c>
      <c r="AJ60" s="1">
        <f t="shared" si="11"/>
        <v>90.093999999999994</v>
      </c>
      <c r="AK60" s="1">
        <f t="shared" si="12"/>
        <v>0</v>
      </c>
    </row>
    <row r="61" spans="1:37" x14ac:dyDescent="0.25">
      <c r="A61" s="9" t="s">
        <v>111</v>
      </c>
      <c r="B61" s="9" t="s">
        <v>40</v>
      </c>
      <c r="C61" s="9">
        <v>119</v>
      </c>
      <c r="D61" s="9">
        <v>1</v>
      </c>
      <c r="E61" s="9"/>
      <c r="F61" s="9"/>
      <c r="G61" s="9">
        <f>VLOOKUP(A61,[2]TDSheet!$A:$M,9,0)</f>
        <v>120</v>
      </c>
      <c r="H61" s="10">
        <v>0</v>
      </c>
      <c r="I61" s="9"/>
      <c r="J61" s="9" t="s">
        <v>62</v>
      </c>
      <c r="K61" s="9"/>
      <c r="L61" s="9"/>
      <c r="M61" s="9">
        <f t="shared" si="20"/>
        <v>0</v>
      </c>
      <c r="N61" s="9">
        <f t="shared" si="6"/>
        <v>0</v>
      </c>
      <c r="O61" s="9"/>
      <c r="P61" s="9">
        <v>0</v>
      </c>
      <c r="Q61" s="9">
        <v>0</v>
      </c>
      <c r="R61" s="9">
        <f t="shared" si="7"/>
        <v>0</v>
      </c>
      <c r="S61" s="11"/>
      <c r="T61" s="19">
        <f>VLOOKUP(A61,[1]TDSheet!$D:$J,7,0)</f>
        <v>1</v>
      </c>
      <c r="U61" s="11"/>
      <c r="V61" s="11"/>
      <c r="W61" s="9" t="e">
        <f t="shared" si="10"/>
        <v>#DIV/0!</v>
      </c>
      <c r="X61" s="9" t="e">
        <f t="shared" si="21"/>
        <v>#DIV/0!</v>
      </c>
      <c r="Y61" s="9">
        <v>0.2</v>
      </c>
      <c r="Z61" s="9">
        <v>0</v>
      </c>
      <c r="AA61" s="9">
        <v>0</v>
      </c>
      <c r="AB61" s="9">
        <v>3.2</v>
      </c>
      <c r="AC61" s="9">
        <v>4.8</v>
      </c>
      <c r="AD61" s="9">
        <v>0</v>
      </c>
      <c r="AE61" s="9">
        <v>8</v>
      </c>
      <c r="AF61" s="9">
        <v>0</v>
      </c>
      <c r="AG61" s="9">
        <v>0</v>
      </c>
      <c r="AH61" s="9">
        <v>0</v>
      </c>
      <c r="AI61" s="9" t="s">
        <v>63</v>
      </c>
      <c r="AJ61" s="1">
        <f t="shared" si="11"/>
        <v>0</v>
      </c>
      <c r="AK61" s="1">
        <f t="shared" si="12"/>
        <v>0</v>
      </c>
    </row>
    <row r="62" spans="1:37" x14ac:dyDescent="0.25">
      <c r="A62" s="1" t="s">
        <v>112</v>
      </c>
      <c r="B62" s="1" t="s">
        <v>40</v>
      </c>
      <c r="C62" s="1">
        <v>213</v>
      </c>
      <c r="D62" s="1">
        <v>288</v>
      </c>
      <c r="E62" s="1">
        <v>63</v>
      </c>
      <c r="F62" s="1">
        <v>66</v>
      </c>
      <c r="G62" s="1">
        <f>VLOOKUP(A62,[2]TDSheet!$A:$M,9,0)</f>
        <v>64</v>
      </c>
      <c r="H62" s="7">
        <v>0.25</v>
      </c>
      <c r="I62" s="1">
        <v>120</v>
      </c>
      <c r="J62" s="1" t="s">
        <v>37</v>
      </c>
      <c r="K62" s="1"/>
      <c r="L62" s="1">
        <v>73</v>
      </c>
      <c r="M62" s="1">
        <f t="shared" si="20"/>
        <v>-10</v>
      </c>
      <c r="N62" s="1">
        <f t="shared" si="6"/>
        <v>63</v>
      </c>
      <c r="O62" s="1"/>
      <c r="P62" s="1">
        <v>122</v>
      </c>
      <c r="Q62" s="1">
        <v>0</v>
      </c>
      <c r="R62" s="1">
        <f t="shared" si="7"/>
        <v>12.6</v>
      </c>
      <c r="S62" s="5"/>
      <c r="T62" s="19">
        <f>VLOOKUP(A62,[1]TDSheet!$D:$J,7,0)</f>
        <v>0.56802721088435371</v>
      </c>
      <c r="U62" s="5">
        <f t="shared" ref="U62:U74" si="28">S62-V62</f>
        <v>0</v>
      </c>
      <c r="V62" s="5">
        <f t="shared" ref="V62:V74" si="29">S62*T62</f>
        <v>0</v>
      </c>
      <c r="W62" s="1">
        <f t="shared" si="10"/>
        <v>20</v>
      </c>
      <c r="X62" s="1">
        <f t="shared" si="21"/>
        <v>20</v>
      </c>
      <c r="Y62" s="1">
        <v>21.2</v>
      </c>
      <c r="Z62" s="1">
        <v>29.6</v>
      </c>
      <c r="AA62" s="1">
        <v>23.8</v>
      </c>
      <c r="AB62" s="1">
        <v>41.2</v>
      </c>
      <c r="AC62" s="1">
        <v>35.799999999999997</v>
      </c>
      <c r="AD62" s="1">
        <v>24</v>
      </c>
      <c r="AE62" s="1">
        <v>14.4</v>
      </c>
      <c r="AF62" s="1">
        <v>17.2</v>
      </c>
      <c r="AG62" s="1">
        <v>29.8</v>
      </c>
      <c r="AH62" s="1">
        <v>8.4</v>
      </c>
      <c r="AI62" s="1" t="s">
        <v>44</v>
      </c>
      <c r="AJ62" s="1">
        <f t="shared" si="11"/>
        <v>0</v>
      </c>
      <c r="AK62" s="1">
        <f t="shared" si="12"/>
        <v>0</v>
      </c>
    </row>
    <row r="63" spans="1:37" x14ac:dyDescent="0.25">
      <c r="A63" s="1" t="s">
        <v>113</v>
      </c>
      <c r="B63" s="1" t="s">
        <v>36</v>
      </c>
      <c r="C63" s="1">
        <v>69.918000000000006</v>
      </c>
      <c r="D63" s="1">
        <v>7.1449999999999996</v>
      </c>
      <c r="E63" s="1">
        <v>22.555</v>
      </c>
      <c r="F63" s="1">
        <v>37.524000000000001</v>
      </c>
      <c r="G63" s="1">
        <f>VLOOKUP(A63,[2]TDSheet!$A:$M,9,0)</f>
        <v>6.234</v>
      </c>
      <c r="H63" s="7">
        <v>1</v>
      </c>
      <c r="I63" s="1">
        <v>45</v>
      </c>
      <c r="J63" s="1" t="s">
        <v>37</v>
      </c>
      <c r="K63" s="1"/>
      <c r="L63" s="1">
        <v>24</v>
      </c>
      <c r="M63" s="1">
        <f t="shared" si="20"/>
        <v>-1.4450000000000003</v>
      </c>
      <c r="N63" s="1">
        <f t="shared" si="6"/>
        <v>22.555</v>
      </c>
      <c r="O63" s="1"/>
      <c r="P63" s="1">
        <v>0</v>
      </c>
      <c r="Q63" s="1">
        <v>0</v>
      </c>
      <c r="R63" s="1">
        <f t="shared" si="7"/>
        <v>4.5110000000000001</v>
      </c>
      <c r="S63" s="5">
        <f t="shared" ref="S63:S73" si="30">15*R63-Q63-P63-G63-F63</f>
        <v>23.907000000000004</v>
      </c>
      <c r="T63" s="19">
        <f>VLOOKUP(A63,[1]TDSheet!$D:$J,7,0)</f>
        <v>0.15956918726214295</v>
      </c>
      <c r="U63" s="5">
        <f t="shared" si="28"/>
        <v>20.092179440123953</v>
      </c>
      <c r="V63" s="5">
        <f t="shared" si="29"/>
        <v>3.8148205598760518</v>
      </c>
      <c r="W63" s="1">
        <f t="shared" si="10"/>
        <v>15.000000000000002</v>
      </c>
      <c r="X63" s="1">
        <f t="shared" si="21"/>
        <v>9.7002881844380404</v>
      </c>
      <c r="Y63" s="1">
        <v>3.7778</v>
      </c>
      <c r="Z63" s="1">
        <v>5.52</v>
      </c>
      <c r="AA63" s="1">
        <v>-0.21079999999999999</v>
      </c>
      <c r="AB63" s="1">
        <v>3.5804</v>
      </c>
      <c r="AC63" s="1">
        <v>5.7594000000000003</v>
      </c>
      <c r="AD63" s="1">
        <v>-2E-3</v>
      </c>
      <c r="AE63" s="1">
        <v>3.0392000000000001</v>
      </c>
      <c r="AF63" s="1">
        <v>5.0497999999999994</v>
      </c>
      <c r="AG63" s="1">
        <v>3.3026</v>
      </c>
      <c r="AH63" s="1">
        <v>2.3260000000000001</v>
      </c>
      <c r="AI63" s="1"/>
      <c r="AJ63" s="1">
        <f t="shared" si="11"/>
        <v>20.092179440123953</v>
      </c>
      <c r="AK63" s="1">
        <f t="shared" si="12"/>
        <v>3.8148205598760518</v>
      </c>
    </row>
    <row r="64" spans="1:37" x14ac:dyDescent="0.25">
      <c r="A64" s="1" t="s">
        <v>114</v>
      </c>
      <c r="B64" s="1" t="s">
        <v>40</v>
      </c>
      <c r="C64" s="1">
        <v>28</v>
      </c>
      <c r="D64" s="1">
        <v>28</v>
      </c>
      <c r="E64" s="1">
        <v>28</v>
      </c>
      <c r="F64" s="1"/>
      <c r="G64" s="1"/>
      <c r="H64" s="7">
        <v>0.27</v>
      </c>
      <c r="I64" s="1"/>
      <c r="J64" s="1" t="s">
        <v>37</v>
      </c>
      <c r="K64" s="1"/>
      <c r="L64" s="1">
        <v>165</v>
      </c>
      <c r="M64" s="1">
        <f t="shared" si="20"/>
        <v>-137</v>
      </c>
      <c r="N64" s="1">
        <f t="shared" si="6"/>
        <v>28</v>
      </c>
      <c r="O64" s="1"/>
      <c r="P64" s="1">
        <v>246</v>
      </c>
      <c r="Q64" s="1">
        <v>101</v>
      </c>
      <c r="R64" s="1">
        <f t="shared" si="7"/>
        <v>5.6</v>
      </c>
      <c r="S64" s="5"/>
      <c r="T64" s="19">
        <f>VLOOKUP(A64,[1]TDSheet!$D:$J,7,0)</f>
        <v>5.7142857142857143E-3</v>
      </c>
      <c r="U64" s="5">
        <f t="shared" si="28"/>
        <v>0</v>
      </c>
      <c r="V64" s="5">
        <f t="shared" si="29"/>
        <v>0</v>
      </c>
      <c r="W64" s="1">
        <f t="shared" si="10"/>
        <v>61.964285714285715</v>
      </c>
      <c r="X64" s="1">
        <f t="shared" si="21"/>
        <v>61.964285714285715</v>
      </c>
      <c r="Y64" s="1">
        <v>25</v>
      </c>
      <c r="Z64" s="1">
        <v>23.2</v>
      </c>
      <c r="AA64" s="1">
        <v>0.2</v>
      </c>
      <c r="AB64" s="1">
        <v>14.8</v>
      </c>
      <c r="AC64" s="1">
        <v>24.8</v>
      </c>
      <c r="AD64" s="1">
        <v>10.4</v>
      </c>
      <c r="AE64" s="1">
        <v>0</v>
      </c>
      <c r="AF64" s="1">
        <v>0</v>
      </c>
      <c r="AG64" s="1">
        <v>0</v>
      </c>
      <c r="AH64" s="1">
        <v>0</v>
      </c>
      <c r="AI64" s="1" t="s">
        <v>38</v>
      </c>
      <c r="AJ64" s="1">
        <f t="shared" si="11"/>
        <v>0</v>
      </c>
      <c r="AK64" s="1">
        <f t="shared" si="12"/>
        <v>0</v>
      </c>
    </row>
    <row r="65" spans="1:37" x14ac:dyDescent="0.25">
      <c r="A65" s="1" t="s">
        <v>115</v>
      </c>
      <c r="B65" s="1" t="s">
        <v>40</v>
      </c>
      <c r="C65" s="1">
        <v>50</v>
      </c>
      <c r="D65" s="1">
        <v>39</v>
      </c>
      <c r="E65" s="1">
        <v>39</v>
      </c>
      <c r="F65" s="1"/>
      <c r="G65" s="1"/>
      <c r="H65" s="7">
        <v>0.3</v>
      </c>
      <c r="I65" s="1">
        <v>60</v>
      </c>
      <c r="J65" s="1" t="s">
        <v>37</v>
      </c>
      <c r="K65" s="1"/>
      <c r="L65" s="1">
        <v>150</v>
      </c>
      <c r="M65" s="1">
        <f t="shared" si="20"/>
        <v>-111</v>
      </c>
      <c r="N65" s="1">
        <f t="shared" si="6"/>
        <v>39</v>
      </c>
      <c r="O65" s="1"/>
      <c r="P65" s="1">
        <v>400</v>
      </c>
      <c r="Q65" s="1">
        <v>0</v>
      </c>
      <c r="R65" s="1">
        <f t="shared" si="7"/>
        <v>7.8</v>
      </c>
      <c r="S65" s="5"/>
      <c r="T65" s="19">
        <f>VLOOKUP(A65,[1]TDSheet!$D:$J,7,0)</f>
        <v>0.19747899159663865</v>
      </c>
      <c r="U65" s="5">
        <f t="shared" si="28"/>
        <v>0</v>
      </c>
      <c r="V65" s="5">
        <f t="shared" si="29"/>
        <v>0</v>
      </c>
      <c r="W65" s="1">
        <f t="shared" si="10"/>
        <v>51.282051282051285</v>
      </c>
      <c r="X65" s="1">
        <f t="shared" si="21"/>
        <v>51.282051282051285</v>
      </c>
      <c r="Y65" s="1">
        <v>19.399999999999999</v>
      </c>
      <c r="Z65" s="1">
        <v>41.4</v>
      </c>
      <c r="AA65" s="1">
        <v>19.2</v>
      </c>
      <c r="AB65" s="1">
        <v>9.4</v>
      </c>
      <c r="AC65" s="1">
        <v>37.799999999999997</v>
      </c>
      <c r="AD65" s="1">
        <v>29.6</v>
      </c>
      <c r="AE65" s="1">
        <v>15.4</v>
      </c>
      <c r="AF65" s="1">
        <v>26.8</v>
      </c>
      <c r="AG65" s="1">
        <v>44</v>
      </c>
      <c r="AH65" s="1">
        <v>30</v>
      </c>
      <c r="AI65" s="1"/>
      <c r="AJ65" s="1">
        <f t="shared" si="11"/>
        <v>0</v>
      </c>
      <c r="AK65" s="1">
        <f t="shared" si="12"/>
        <v>0</v>
      </c>
    </row>
    <row r="66" spans="1:37" x14ac:dyDescent="0.25">
      <c r="A66" s="1" t="s">
        <v>116</v>
      </c>
      <c r="B66" s="1" t="s">
        <v>40</v>
      </c>
      <c r="C66" s="1">
        <v>2280</v>
      </c>
      <c r="D66" s="1">
        <v>3044</v>
      </c>
      <c r="E66" s="1">
        <v>939</v>
      </c>
      <c r="F66" s="1">
        <v>417</v>
      </c>
      <c r="G66" s="1">
        <f>VLOOKUP(A66,[2]TDSheet!$A:$M,9,0)</f>
        <v>434</v>
      </c>
      <c r="H66" s="7">
        <v>0.41</v>
      </c>
      <c r="I66" s="1">
        <v>50</v>
      </c>
      <c r="J66" s="1" t="s">
        <v>37</v>
      </c>
      <c r="K66" s="1"/>
      <c r="L66" s="1">
        <v>1103</v>
      </c>
      <c r="M66" s="1">
        <f t="shared" si="20"/>
        <v>-164</v>
      </c>
      <c r="N66" s="1">
        <f t="shared" si="6"/>
        <v>809</v>
      </c>
      <c r="O66" s="1">
        <f>VLOOKUP(A66,[3]TDSheet!$A:$AX,7,0)</f>
        <v>130</v>
      </c>
      <c r="P66" s="1">
        <v>0</v>
      </c>
      <c r="Q66" s="1">
        <v>2000</v>
      </c>
      <c r="R66" s="1">
        <f t="shared" si="7"/>
        <v>161.80000000000001</v>
      </c>
      <c r="S66" s="5"/>
      <c r="T66" s="19">
        <f>VLOOKUP(A66,[1]TDSheet!$D:$J,7,0)</f>
        <v>0.44748274980833119</v>
      </c>
      <c r="U66" s="5">
        <f t="shared" si="28"/>
        <v>0</v>
      </c>
      <c r="V66" s="5">
        <f t="shared" si="29"/>
        <v>0</v>
      </c>
      <c r="W66" s="1">
        <f t="shared" si="10"/>
        <v>17.620519159456116</v>
      </c>
      <c r="X66" s="1">
        <f t="shared" si="21"/>
        <v>17.620519159456116</v>
      </c>
      <c r="Y66" s="1">
        <v>232.6</v>
      </c>
      <c r="Z66" s="1">
        <v>96.2</v>
      </c>
      <c r="AA66" s="1">
        <v>48.6</v>
      </c>
      <c r="AB66" s="1">
        <v>324.60000000000002</v>
      </c>
      <c r="AC66" s="1">
        <v>150</v>
      </c>
      <c r="AD66" s="1">
        <v>81.2</v>
      </c>
      <c r="AE66" s="1">
        <v>212.8</v>
      </c>
      <c r="AF66" s="1">
        <v>266.8</v>
      </c>
      <c r="AG66" s="1">
        <v>172.2</v>
      </c>
      <c r="AH66" s="1">
        <v>150</v>
      </c>
      <c r="AI66" s="1"/>
      <c r="AJ66" s="1">
        <f t="shared" si="11"/>
        <v>0</v>
      </c>
      <c r="AK66" s="1">
        <f t="shared" si="12"/>
        <v>0</v>
      </c>
    </row>
    <row r="67" spans="1:37" x14ac:dyDescent="0.25">
      <c r="A67" s="1" t="s">
        <v>117</v>
      </c>
      <c r="B67" s="1" t="s">
        <v>36</v>
      </c>
      <c r="C67" s="1">
        <v>729.48400000000004</v>
      </c>
      <c r="D67" s="1">
        <v>399.14499999999998</v>
      </c>
      <c r="E67" s="1">
        <v>192.06899999999999</v>
      </c>
      <c r="F67" s="1">
        <v>190.38499999999999</v>
      </c>
      <c r="G67" s="1">
        <f>VLOOKUP(A67,[2]TDSheet!$A:$M,9,0)</f>
        <v>190.22</v>
      </c>
      <c r="H67" s="7">
        <v>1</v>
      </c>
      <c r="I67" s="1">
        <v>50</v>
      </c>
      <c r="J67" s="1" t="s">
        <v>37</v>
      </c>
      <c r="K67" s="1"/>
      <c r="L67" s="1">
        <v>166.4</v>
      </c>
      <c r="M67" s="1">
        <f t="shared" si="20"/>
        <v>25.668999999999983</v>
      </c>
      <c r="N67" s="1">
        <f t="shared" si="6"/>
        <v>117.66399999999999</v>
      </c>
      <c r="O67" s="1">
        <f>VLOOKUP(A67,[3]TDSheet!$A:$AX,7,0)</f>
        <v>74.405000000000001</v>
      </c>
      <c r="P67" s="1">
        <v>0</v>
      </c>
      <c r="Q67" s="1">
        <v>107</v>
      </c>
      <c r="R67" s="1">
        <f t="shared" si="7"/>
        <v>23.532799999999998</v>
      </c>
      <c r="S67" s="5"/>
      <c r="T67" s="19">
        <f>VLOOKUP(A67,[1]TDSheet!$D:$J,7,0)</f>
        <v>0.50829720715410276</v>
      </c>
      <c r="U67" s="5">
        <f t="shared" si="28"/>
        <v>0</v>
      </c>
      <c r="V67" s="5">
        <f t="shared" si="29"/>
        <v>0</v>
      </c>
      <c r="W67" s="1">
        <f t="shared" si="10"/>
        <v>20.720228787054666</v>
      </c>
      <c r="X67" s="1">
        <f t="shared" si="21"/>
        <v>20.720228787054666</v>
      </c>
      <c r="Y67" s="1">
        <v>40.443800000000003</v>
      </c>
      <c r="Z67" s="1">
        <v>36.291999999999987</v>
      </c>
      <c r="AA67" s="1">
        <v>43.002200000000002</v>
      </c>
      <c r="AB67" s="1">
        <v>52.134</v>
      </c>
      <c r="AC67" s="1">
        <v>58.188000000000002</v>
      </c>
      <c r="AD67" s="1">
        <v>30.930399999999999</v>
      </c>
      <c r="AE67" s="1">
        <v>29.0246</v>
      </c>
      <c r="AF67" s="1">
        <v>23.655999999999999</v>
      </c>
      <c r="AG67" s="1">
        <v>36.418599999999998</v>
      </c>
      <c r="AH67" s="1">
        <v>13.896000000000001</v>
      </c>
      <c r="AI67" s="1"/>
      <c r="AJ67" s="1">
        <f t="shared" si="11"/>
        <v>0</v>
      </c>
      <c r="AK67" s="1">
        <f t="shared" si="12"/>
        <v>0</v>
      </c>
    </row>
    <row r="68" spans="1:37" x14ac:dyDescent="0.25">
      <c r="A68" s="1" t="s">
        <v>118</v>
      </c>
      <c r="B68" s="1" t="s">
        <v>40</v>
      </c>
      <c r="C68" s="1">
        <v>286</v>
      </c>
      <c r="D68" s="1">
        <v>507</v>
      </c>
      <c r="E68" s="1">
        <v>216</v>
      </c>
      <c r="F68" s="1">
        <v>2</v>
      </c>
      <c r="G68" s="1"/>
      <c r="H68" s="7">
        <v>0.35</v>
      </c>
      <c r="I68" s="1">
        <v>50</v>
      </c>
      <c r="J68" s="1" t="s">
        <v>37</v>
      </c>
      <c r="K68" s="1"/>
      <c r="L68" s="1">
        <v>280</v>
      </c>
      <c r="M68" s="1">
        <f t="shared" si="20"/>
        <v>-64</v>
      </c>
      <c r="N68" s="1">
        <f t="shared" si="6"/>
        <v>200</v>
      </c>
      <c r="O68" s="1">
        <f>VLOOKUP(A68,[3]TDSheet!$A:$AX,7,0)</f>
        <v>16</v>
      </c>
      <c r="P68" s="1">
        <v>361</v>
      </c>
      <c r="Q68" s="1">
        <v>93</v>
      </c>
      <c r="R68" s="1">
        <f t="shared" si="7"/>
        <v>40</v>
      </c>
      <c r="S68" s="5">
        <f t="shared" si="30"/>
        <v>144</v>
      </c>
      <c r="T68" s="19">
        <f>VLOOKUP(A68,[1]TDSheet!$D:$J,7,0)</f>
        <v>0.62863795110593723</v>
      </c>
      <c r="U68" s="5">
        <f t="shared" si="28"/>
        <v>53.476135040745035</v>
      </c>
      <c r="V68" s="5">
        <f t="shared" si="29"/>
        <v>90.523864959254965</v>
      </c>
      <c r="W68" s="1">
        <f t="shared" si="10"/>
        <v>15</v>
      </c>
      <c r="X68" s="1">
        <f t="shared" si="21"/>
        <v>11.4</v>
      </c>
      <c r="Y68" s="1">
        <v>48.8</v>
      </c>
      <c r="Z68" s="1">
        <v>56</v>
      </c>
      <c r="AA68" s="1">
        <v>17.600000000000001</v>
      </c>
      <c r="AB68" s="1">
        <v>29</v>
      </c>
      <c r="AC68" s="1">
        <v>62</v>
      </c>
      <c r="AD68" s="1">
        <v>32.4</v>
      </c>
      <c r="AE68" s="1">
        <v>31</v>
      </c>
      <c r="AF68" s="1">
        <v>41</v>
      </c>
      <c r="AG68" s="1">
        <v>31.2</v>
      </c>
      <c r="AH68" s="1">
        <v>33.799999999999997</v>
      </c>
      <c r="AI68" s="1"/>
      <c r="AJ68" s="1">
        <f t="shared" si="11"/>
        <v>18.716647264260761</v>
      </c>
      <c r="AK68" s="1">
        <f t="shared" si="12"/>
        <v>31.683352735739234</v>
      </c>
    </row>
    <row r="69" spans="1:37" x14ac:dyDescent="0.25">
      <c r="A69" s="1" t="s">
        <v>119</v>
      </c>
      <c r="B69" s="1" t="s">
        <v>36</v>
      </c>
      <c r="C69" s="1">
        <v>-3.0760000000000001</v>
      </c>
      <c r="D69" s="1">
        <v>21.46</v>
      </c>
      <c r="E69" s="1">
        <v>3.1659999999999999</v>
      </c>
      <c r="F69" s="1"/>
      <c r="G69" s="1"/>
      <c r="H69" s="7">
        <v>1</v>
      </c>
      <c r="I69" s="1">
        <v>50</v>
      </c>
      <c r="J69" s="1" t="s">
        <v>37</v>
      </c>
      <c r="K69" s="1"/>
      <c r="L69" s="1">
        <v>43</v>
      </c>
      <c r="M69" s="1">
        <f t="shared" si="20"/>
        <v>-39.834000000000003</v>
      </c>
      <c r="N69" s="1">
        <f t="shared" si="6"/>
        <v>3.1659999999999999</v>
      </c>
      <c r="O69" s="1"/>
      <c r="P69" s="1">
        <v>61</v>
      </c>
      <c r="Q69" s="1">
        <v>4</v>
      </c>
      <c r="R69" s="1">
        <f t="shared" si="7"/>
        <v>0.63319999999999999</v>
      </c>
      <c r="S69" s="5"/>
      <c r="T69" s="19">
        <f>VLOOKUP(A69,[1]TDSheet!$D:$J,7,0)</f>
        <v>0</v>
      </c>
      <c r="U69" s="5">
        <f t="shared" si="28"/>
        <v>0</v>
      </c>
      <c r="V69" s="5">
        <f t="shared" si="29"/>
        <v>0</v>
      </c>
      <c r="W69" s="1">
        <f t="shared" si="10"/>
        <v>102.65319014529375</v>
      </c>
      <c r="X69" s="1">
        <f t="shared" si="21"/>
        <v>102.65319014529375</v>
      </c>
      <c r="Y69" s="1">
        <v>4.0392000000000001</v>
      </c>
      <c r="Z69" s="1">
        <v>7.4278000000000004</v>
      </c>
      <c r="AA69" s="1">
        <v>0</v>
      </c>
      <c r="AB69" s="1">
        <v>1.2567999999999999</v>
      </c>
      <c r="AC69" s="1">
        <v>7.3841999999999999</v>
      </c>
      <c r="AD69" s="1">
        <v>0.93720000000000003</v>
      </c>
      <c r="AE69" s="1">
        <v>2.504</v>
      </c>
      <c r="AF69" s="1">
        <v>3.7235999999999998</v>
      </c>
      <c r="AG69" s="1">
        <v>1.5624</v>
      </c>
      <c r="AH69" s="1">
        <v>2.1745999999999999</v>
      </c>
      <c r="AI69" s="1"/>
      <c r="AJ69" s="1">
        <f t="shared" si="11"/>
        <v>0</v>
      </c>
      <c r="AK69" s="1">
        <f t="shared" si="12"/>
        <v>0</v>
      </c>
    </row>
    <row r="70" spans="1:37" x14ac:dyDescent="0.25">
      <c r="A70" s="1" t="s">
        <v>120</v>
      </c>
      <c r="B70" s="1" t="s">
        <v>40</v>
      </c>
      <c r="C70" s="1">
        <v>1257</v>
      </c>
      <c r="D70" s="1">
        <v>1713</v>
      </c>
      <c r="E70" s="1">
        <v>739</v>
      </c>
      <c r="F70" s="1">
        <v>219</v>
      </c>
      <c r="G70" s="1">
        <f>VLOOKUP(A70,[2]TDSheet!$A:$M,9,0)</f>
        <v>237</v>
      </c>
      <c r="H70" s="7">
        <v>0.41</v>
      </c>
      <c r="I70" s="1">
        <v>50</v>
      </c>
      <c r="J70" s="1" t="s">
        <v>37</v>
      </c>
      <c r="K70" s="1"/>
      <c r="L70" s="1">
        <v>765</v>
      </c>
      <c r="M70" s="1">
        <f t="shared" ref="M70:M101" si="31">E70-L70</f>
        <v>-26</v>
      </c>
      <c r="N70" s="1">
        <f t="shared" si="6"/>
        <v>599</v>
      </c>
      <c r="O70" s="1">
        <f>VLOOKUP(A70,[3]TDSheet!$A:$AX,7,0)</f>
        <v>140</v>
      </c>
      <c r="P70" s="1">
        <v>1181</v>
      </c>
      <c r="Q70" s="1">
        <v>0</v>
      </c>
      <c r="R70" s="1">
        <f t="shared" si="7"/>
        <v>119.8</v>
      </c>
      <c r="S70" s="5">
        <f t="shared" si="30"/>
        <v>160</v>
      </c>
      <c r="T70" s="19">
        <f>VLOOKUP(A70,[1]TDSheet!$D:$J,7,0)</f>
        <v>0.49294045426642114</v>
      </c>
      <c r="U70" s="5">
        <f t="shared" si="28"/>
        <v>81.12952731737262</v>
      </c>
      <c r="V70" s="5">
        <f t="shared" si="29"/>
        <v>78.87047268262738</v>
      </c>
      <c r="W70" s="1">
        <f t="shared" si="10"/>
        <v>15</v>
      </c>
      <c r="X70" s="1">
        <f t="shared" ref="X70:X101" si="32">(F70+G70+P70+Q70)/R70</f>
        <v>13.664440734557596</v>
      </c>
      <c r="Y70" s="1">
        <v>126.2</v>
      </c>
      <c r="Z70" s="1">
        <v>193.4</v>
      </c>
      <c r="AA70" s="1">
        <v>65</v>
      </c>
      <c r="AB70" s="1">
        <v>200.4</v>
      </c>
      <c r="AC70" s="1">
        <v>174.2</v>
      </c>
      <c r="AD70" s="1">
        <v>38.200000000000003</v>
      </c>
      <c r="AE70" s="1">
        <v>129.4</v>
      </c>
      <c r="AF70" s="1">
        <v>156.6</v>
      </c>
      <c r="AG70" s="1">
        <v>120.8</v>
      </c>
      <c r="AH70" s="1">
        <v>91.6</v>
      </c>
      <c r="AI70" s="1"/>
      <c r="AJ70" s="1">
        <f t="shared" si="11"/>
        <v>33.26310620012277</v>
      </c>
      <c r="AK70" s="1">
        <f t="shared" si="12"/>
        <v>32.336893799877224</v>
      </c>
    </row>
    <row r="71" spans="1:37" x14ac:dyDescent="0.25">
      <c r="A71" s="1" t="s">
        <v>121</v>
      </c>
      <c r="B71" s="1" t="s">
        <v>36</v>
      </c>
      <c r="C71" s="1">
        <v>198.357</v>
      </c>
      <c r="D71" s="1">
        <v>201.333</v>
      </c>
      <c r="E71" s="1">
        <v>70.457999999999998</v>
      </c>
      <c r="F71" s="1">
        <v>132.59399999999999</v>
      </c>
      <c r="G71" s="1">
        <f>VLOOKUP(A71,[2]TDSheet!$A:$M,9,0)</f>
        <v>6.2969999999999997</v>
      </c>
      <c r="H71" s="7">
        <v>1</v>
      </c>
      <c r="I71" s="1">
        <v>50</v>
      </c>
      <c r="J71" s="1" t="s">
        <v>37</v>
      </c>
      <c r="K71" s="1"/>
      <c r="L71" s="1">
        <v>61.3</v>
      </c>
      <c r="M71" s="1">
        <f t="shared" si="31"/>
        <v>9.1580000000000013</v>
      </c>
      <c r="N71" s="1">
        <f t="shared" ref="N71:N119" si="33">E71-O71</f>
        <v>70.457999999999998</v>
      </c>
      <c r="O71" s="1"/>
      <c r="P71" s="1">
        <v>0</v>
      </c>
      <c r="Q71" s="1">
        <v>0</v>
      </c>
      <c r="R71" s="1">
        <f t="shared" ref="R71:R119" si="34">N71/5</f>
        <v>14.0916</v>
      </c>
      <c r="S71" s="5">
        <f t="shared" si="30"/>
        <v>72.483000000000004</v>
      </c>
      <c r="T71" s="19">
        <f>VLOOKUP(A71,[1]TDSheet!$D:$J,7,0)</f>
        <v>5.13818006740491E-2</v>
      </c>
      <c r="U71" s="5">
        <f t="shared" si="28"/>
        <v>68.758692941742908</v>
      </c>
      <c r="V71" s="5">
        <f t="shared" si="29"/>
        <v>3.724307058257101</v>
      </c>
      <c r="W71" s="1">
        <f t="shared" ref="W71:W119" si="35">(F71+G71+P71+Q71+U71+V71)/R71</f>
        <v>15</v>
      </c>
      <c r="X71" s="1">
        <f t="shared" si="32"/>
        <v>9.8562973686451496</v>
      </c>
      <c r="Y71" s="1">
        <v>9.633799999999999</v>
      </c>
      <c r="Z71" s="1">
        <v>14.559799999999999</v>
      </c>
      <c r="AA71" s="1">
        <v>26.645800000000001</v>
      </c>
      <c r="AB71" s="1">
        <v>17.4558</v>
      </c>
      <c r="AC71" s="1">
        <v>13.043799999999999</v>
      </c>
      <c r="AD71" s="1">
        <v>19.4636</v>
      </c>
      <c r="AE71" s="1">
        <v>6.3722000000000003</v>
      </c>
      <c r="AF71" s="1">
        <v>12.7166</v>
      </c>
      <c r="AG71" s="1">
        <v>14.8438</v>
      </c>
      <c r="AH71" s="1">
        <v>8.7585999999999995</v>
      </c>
      <c r="AI71" s="1"/>
      <c r="AJ71" s="1">
        <f t="shared" ref="AJ71:AJ119" si="36">H71*U71</f>
        <v>68.758692941742908</v>
      </c>
      <c r="AK71" s="1">
        <f t="shared" ref="AK71:AK119" si="37">H71*V71</f>
        <v>3.724307058257101</v>
      </c>
    </row>
    <row r="72" spans="1:37" x14ac:dyDescent="0.25">
      <c r="A72" s="1" t="s">
        <v>122</v>
      </c>
      <c r="B72" s="1" t="s">
        <v>40</v>
      </c>
      <c r="C72" s="1">
        <v>286</v>
      </c>
      <c r="D72" s="1">
        <v>635</v>
      </c>
      <c r="E72" s="1">
        <v>235</v>
      </c>
      <c r="F72" s="1">
        <v>35</v>
      </c>
      <c r="G72" s="1">
        <f>VLOOKUP(A72,[2]TDSheet!$A:$M,9,0)</f>
        <v>66</v>
      </c>
      <c r="H72" s="7">
        <v>0.3</v>
      </c>
      <c r="I72" s="1">
        <v>50</v>
      </c>
      <c r="J72" s="1" t="s">
        <v>37</v>
      </c>
      <c r="K72" s="1"/>
      <c r="L72" s="1">
        <v>241</v>
      </c>
      <c r="M72" s="1">
        <f t="shared" si="31"/>
        <v>-6</v>
      </c>
      <c r="N72" s="1">
        <f t="shared" si="33"/>
        <v>157</v>
      </c>
      <c r="O72" s="1">
        <f>VLOOKUP(A72,[3]TDSheet!$A:$AX,7,0)</f>
        <v>78</v>
      </c>
      <c r="P72" s="1">
        <v>0</v>
      </c>
      <c r="Q72" s="1">
        <v>275</v>
      </c>
      <c r="R72" s="1">
        <f t="shared" si="34"/>
        <v>31.4</v>
      </c>
      <c r="S72" s="5">
        <f t="shared" si="30"/>
        <v>95</v>
      </c>
      <c r="T72" s="19">
        <f>VLOOKUP(A72,[1]TDSheet!$D:$J,7,0)</f>
        <v>0.60492379835873389</v>
      </c>
      <c r="U72" s="5">
        <f t="shared" si="28"/>
        <v>37.53223915592028</v>
      </c>
      <c r="V72" s="5">
        <f t="shared" si="29"/>
        <v>57.46776084407972</v>
      </c>
      <c r="W72" s="1">
        <f t="shared" si="35"/>
        <v>15</v>
      </c>
      <c r="X72" s="1">
        <f t="shared" si="32"/>
        <v>11.974522292993631</v>
      </c>
      <c r="Y72" s="1">
        <v>37.4</v>
      </c>
      <c r="Z72" s="1">
        <v>7</v>
      </c>
      <c r="AA72" s="1">
        <v>33.4</v>
      </c>
      <c r="AB72" s="1">
        <v>54.8</v>
      </c>
      <c r="AC72" s="1">
        <v>36.4</v>
      </c>
      <c r="AD72" s="1">
        <v>29.6</v>
      </c>
      <c r="AE72" s="1">
        <v>32.799999999999997</v>
      </c>
      <c r="AF72" s="1">
        <v>41</v>
      </c>
      <c r="AG72" s="1">
        <v>43.6</v>
      </c>
      <c r="AH72" s="1">
        <v>22.2</v>
      </c>
      <c r="AI72" s="1"/>
      <c r="AJ72" s="1">
        <f t="shared" si="36"/>
        <v>11.259671746776084</v>
      </c>
      <c r="AK72" s="1">
        <f t="shared" si="37"/>
        <v>17.240328253223915</v>
      </c>
    </row>
    <row r="73" spans="1:37" x14ac:dyDescent="0.25">
      <c r="A73" s="1" t="s">
        <v>123</v>
      </c>
      <c r="B73" s="1" t="s">
        <v>40</v>
      </c>
      <c r="C73" s="1">
        <v>277</v>
      </c>
      <c r="D73" s="1">
        <v>429</v>
      </c>
      <c r="E73" s="1">
        <v>111</v>
      </c>
      <c r="F73" s="1">
        <v>54</v>
      </c>
      <c r="G73" s="1">
        <f>VLOOKUP(A73,[2]TDSheet!$A:$M,9,0)</f>
        <v>100</v>
      </c>
      <c r="H73" s="7">
        <v>0.18</v>
      </c>
      <c r="I73" s="1">
        <v>50</v>
      </c>
      <c r="J73" s="1" t="s">
        <v>37</v>
      </c>
      <c r="K73" s="1"/>
      <c r="L73" s="1">
        <v>231</v>
      </c>
      <c r="M73" s="1">
        <f t="shared" si="31"/>
        <v>-120</v>
      </c>
      <c r="N73" s="1">
        <f t="shared" si="33"/>
        <v>91</v>
      </c>
      <c r="O73" s="1">
        <f>VLOOKUP(A73,[3]TDSheet!$A:$AX,7,0)</f>
        <v>20</v>
      </c>
      <c r="P73" s="1">
        <v>0</v>
      </c>
      <c r="Q73" s="1">
        <v>59</v>
      </c>
      <c r="R73" s="1">
        <f t="shared" si="34"/>
        <v>18.2</v>
      </c>
      <c r="S73" s="5">
        <f t="shared" si="30"/>
        <v>60</v>
      </c>
      <c r="T73" s="19">
        <f>VLOOKUP(A73,[1]TDSheet!$D:$J,7,0)</f>
        <v>0.69161290322580649</v>
      </c>
      <c r="U73" s="5">
        <f t="shared" si="28"/>
        <v>18.50322580645161</v>
      </c>
      <c r="V73" s="5">
        <f t="shared" si="29"/>
        <v>41.49677419354839</v>
      </c>
      <c r="W73" s="1">
        <f t="shared" si="35"/>
        <v>15</v>
      </c>
      <c r="X73" s="1">
        <f t="shared" si="32"/>
        <v>11.703296703296704</v>
      </c>
      <c r="Y73" s="1">
        <v>22.4</v>
      </c>
      <c r="Z73" s="1">
        <v>25.4</v>
      </c>
      <c r="AA73" s="1">
        <v>33.6</v>
      </c>
      <c r="AB73" s="1">
        <v>53</v>
      </c>
      <c r="AC73" s="1">
        <v>47.2</v>
      </c>
      <c r="AD73" s="1">
        <v>9.6</v>
      </c>
      <c r="AE73" s="1">
        <v>35.6</v>
      </c>
      <c r="AF73" s="1">
        <v>42</v>
      </c>
      <c r="AG73" s="1">
        <v>28.4</v>
      </c>
      <c r="AH73" s="1">
        <v>15.8</v>
      </c>
      <c r="AI73" s="1"/>
      <c r="AJ73" s="1">
        <f t="shared" si="36"/>
        <v>3.3305806451612896</v>
      </c>
      <c r="AK73" s="1">
        <f t="shared" si="37"/>
        <v>7.4694193548387098</v>
      </c>
    </row>
    <row r="74" spans="1:37" x14ac:dyDescent="0.25">
      <c r="A74" s="1" t="s">
        <v>124</v>
      </c>
      <c r="B74" s="1" t="s">
        <v>40</v>
      </c>
      <c r="C74" s="1">
        <v>120</v>
      </c>
      <c r="D74" s="1">
        <v>144</v>
      </c>
      <c r="E74" s="1">
        <v>6</v>
      </c>
      <c r="F74" s="1">
        <v>108</v>
      </c>
      <c r="G74" s="1"/>
      <c r="H74" s="7">
        <v>0.22</v>
      </c>
      <c r="I74" s="1">
        <v>120</v>
      </c>
      <c r="J74" s="1" t="s">
        <v>37</v>
      </c>
      <c r="K74" s="1"/>
      <c r="L74" s="1">
        <v>7</v>
      </c>
      <c r="M74" s="1">
        <f t="shared" si="31"/>
        <v>-1</v>
      </c>
      <c r="N74" s="1">
        <f t="shared" si="33"/>
        <v>6</v>
      </c>
      <c r="O74" s="1"/>
      <c r="P74" s="1">
        <v>0</v>
      </c>
      <c r="Q74" s="1">
        <v>0</v>
      </c>
      <c r="R74" s="1">
        <f t="shared" si="34"/>
        <v>1.2</v>
      </c>
      <c r="S74" s="5"/>
      <c r="T74" s="19">
        <f>VLOOKUP(A74,[1]TDSheet!$D:$J,7,0)</f>
        <v>0</v>
      </c>
      <c r="U74" s="5">
        <f t="shared" si="28"/>
        <v>0</v>
      </c>
      <c r="V74" s="5">
        <f t="shared" si="29"/>
        <v>0</v>
      </c>
      <c r="W74" s="1">
        <f t="shared" si="35"/>
        <v>90</v>
      </c>
      <c r="X74" s="1">
        <f t="shared" si="32"/>
        <v>90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 t="s">
        <v>38</v>
      </c>
      <c r="AJ74" s="1">
        <f t="shared" si="36"/>
        <v>0</v>
      </c>
      <c r="AK74" s="1">
        <f t="shared" si="37"/>
        <v>0</v>
      </c>
    </row>
    <row r="75" spans="1:37" x14ac:dyDescent="0.25">
      <c r="A75" s="9" t="s">
        <v>125</v>
      </c>
      <c r="B75" s="9" t="s">
        <v>36</v>
      </c>
      <c r="C75" s="9"/>
      <c r="D75" s="9"/>
      <c r="E75" s="9"/>
      <c r="F75" s="9"/>
      <c r="G75" s="9"/>
      <c r="H75" s="10">
        <v>0</v>
      </c>
      <c r="I75" s="9"/>
      <c r="J75" s="9" t="s">
        <v>37</v>
      </c>
      <c r="K75" s="9"/>
      <c r="L75" s="9">
        <v>54</v>
      </c>
      <c r="M75" s="9">
        <f t="shared" si="31"/>
        <v>-54</v>
      </c>
      <c r="N75" s="9">
        <f t="shared" si="33"/>
        <v>0</v>
      </c>
      <c r="O75" s="9"/>
      <c r="P75" s="9">
        <v>0</v>
      </c>
      <c r="Q75" s="9">
        <v>0</v>
      </c>
      <c r="R75" s="9">
        <f t="shared" si="34"/>
        <v>0</v>
      </c>
      <c r="S75" s="11"/>
      <c r="T75" s="19" t="e">
        <f>VLOOKUP(A75,[1]TDSheet!$D:$J,7,0)</f>
        <v>#N/A</v>
      </c>
      <c r="U75" s="11"/>
      <c r="V75" s="11"/>
      <c r="W75" s="9" t="e">
        <f t="shared" si="35"/>
        <v>#DIV/0!</v>
      </c>
      <c r="X75" s="9" t="e">
        <f t="shared" si="32"/>
        <v>#DIV/0!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 t="s">
        <v>107</v>
      </c>
      <c r="AJ75" s="1">
        <f t="shared" si="36"/>
        <v>0</v>
      </c>
      <c r="AK75" s="1">
        <f t="shared" si="37"/>
        <v>0</v>
      </c>
    </row>
    <row r="76" spans="1:37" x14ac:dyDescent="0.25">
      <c r="A76" s="1" t="s">
        <v>74</v>
      </c>
      <c r="B76" s="1" t="s">
        <v>40</v>
      </c>
      <c r="C76" s="1">
        <v>1315</v>
      </c>
      <c r="D76" s="1">
        <v>911</v>
      </c>
      <c r="E76" s="1">
        <v>511</v>
      </c>
      <c r="F76" s="14">
        <f>364+F33</f>
        <v>363</v>
      </c>
      <c r="G76" s="14">
        <f>VLOOKUP(A76,[2]TDSheet!$A:$M,9,0)</f>
        <v>389</v>
      </c>
      <c r="H76" s="7">
        <v>0.35</v>
      </c>
      <c r="I76" s="1">
        <v>50</v>
      </c>
      <c r="J76" s="1" t="s">
        <v>37</v>
      </c>
      <c r="K76" s="1"/>
      <c r="L76" s="1">
        <v>563</v>
      </c>
      <c r="M76" s="1">
        <f t="shared" si="31"/>
        <v>-52</v>
      </c>
      <c r="N76" s="1">
        <f t="shared" si="33"/>
        <v>354</v>
      </c>
      <c r="O76" s="1">
        <f>VLOOKUP(A76,[3]TDSheet!$A:$AX,7,0)</f>
        <v>157</v>
      </c>
      <c r="P76" s="1">
        <v>415</v>
      </c>
      <c r="Q76" s="1">
        <v>170</v>
      </c>
      <c r="R76" s="1">
        <f t="shared" si="34"/>
        <v>70.8</v>
      </c>
      <c r="S76" s="5"/>
      <c r="T76" s="19">
        <f>VLOOKUP(A76,[1]TDSheet!$D:$J,7,0)</f>
        <v>0.61917293233082715</v>
      </c>
      <c r="U76" s="5">
        <f>S76-V76</f>
        <v>0</v>
      </c>
      <c r="V76" s="5">
        <f>S76*T76</f>
        <v>0</v>
      </c>
      <c r="W76" s="1">
        <f t="shared" si="35"/>
        <v>18.884180790960453</v>
      </c>
      <c r="X76" s="1">
        <f t="shared" si="32"/>
        <v>18.884180790960453</v>
      </c>
      <c r="Y76" s="1">
        <v>109.2</v>
      </c>
      <c r="Z76" s="1">
        <v>139.80000000000001</v>
      </c>
      <c r="AA76" s="1">
        <v>31.4</v>
      </c>
      <c r="AB76" s="1">
        <v>171.8</v>
      </c>
      <c r="AC76" s="1">
        <v>167.8</v>
      </c>
      <c r="AD76" s="1">
        <v>88.4</v>
      </c>
      <c r="AE76" s="1">
        <v>88.6</v>
      </c>
      <c r="AF76" s="1">
        <v>163.19999999999999</v>
      </c>
      <c r="AG76" s="1">
        <v>117.6</v>
      </c>
      <c r="AH76" s="1">
        <v>85.6</v>
      </c>
      <c r="AI76" s="1"/>
      <c r="AJ76" s="1">
        <f t="shared" si="36"/>
        <v>0</v>
      </c>
      <c r="AK76" s="1">
        <f t="shared" si="37"/>
        <v>0</v>
      </c>
    </row>
    <row r="77" spans="1:37" x14ac:dyDescent="0.25">
      <c r="A77" s="9" t="s">
        <v>126</v>
      </c>
      <c r="B77" s="9" t="s">
        <v>40</v>
      </c>
      <c r="C77" s="9"/>
      <c r="D77" s="9"/>
      <c r="E77" s="9"/>
      <c r="F77" s="9"/>
      <c r="G77" s="9"/>
      <c r="H77" s="10">
        <v>0</v>
      </c>
      <c r="I77" s="9"/>
      <c r="J77" s="9" t="s">
        <v>37</v>
      </c>
      <c r="K77" s="9"/>
      <c r="L77" s="9"/>
      <c r="M77" s="9">
        <f t="shared" si="31"/>
        <v>0</v>
      </c>
      <c r="N77" s="9">
        <f t="shared" si="33"/>
        <v>0</v>
      </c>
      <c r="O77" s="9"/>
      <c r="P77" s="9">
        <v>0</v>
      </c>
      <c r="Q77" s="9">
        <v>0</v>
      </c>
      <c r="R77" s="9">
        <f t="shared" si="34"/>
        <v>0</v>
      </c>
      <c r="S77" s="11"/>
      <c r="T77" s="19" t="e">
        <f>VLOOKUP(A77,[1]TDSheet!$D:$J,7,0)</f>
        <v>#N/A</v>
      </c>
      <c r="U77" s="11"/>
      <c r="V77" s="11"/>
      <c r="W77" s="9" t="e">
        <f t="shared" si="35"/>
        <v>#DIV/0!</v>
      </c>
      <c r="X77" s="9" t="e">
        <f t="shared" si="32"/>
        <v>#DIV/0!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 t="s">
        <v>107</v>
      </c>
      <c r="AJ77" s="1">
        <f t="shared" si="36"/>
        <v>0</v>
      </c>
      <c r="AK77" s="1">
        <f t="shared" si="37"/>
        <v>0</v>
      </c>
    </row>
    <row r="78" spans="1:37" x14ac:dyDescent="0.25">
      <c r="A78" s="1" t="s">
        <v>127</v>
      </c>
      <c r="B78" s="1" t="s">
        <v>36</v>
      </c>
      <c r="C78" s="1">
        <v>343.61900000000003</v>
      </c>
      <c r="D78" s="1">
        <v>673.82</v>
      </c>
      <c r="E78" s="1">
        <v>223.71799999999999</v>
      </c>
      <c r="F78" s="1">
        <v>2.0169999999999999</v>
      </c>
      <c r="G78" s="1">
        <f>VLOOKUP(A78,[2]TDSheet!$A:$M,9,0)</f>
        <v>5.4180000000000001</v>
      </c>
      <c r="H78" s="7">
        <v>1</v>
      </c>
      <c r="I78" s="1">
        <v>50</v>
      </c>
      <c r="J78" s="1" t="s">
        <v>37</v>
      </c>
      <c r="K78" s="1"/>
      <c r="L78" s="1">
        <v>235.6</v>
      </c>
      <c r="M78" s="1">
        <f t="shared" si="31"/>
        <v>-11.882000000000005</v>
      </c>
      <c r="N78" s="1">
        <f t="shared" si="33"/>
        <v>173.45599999999999</v>
      </c>
      <c r="O78" s="1">
        <f>VLOOKUP(A78,[3]TDSheet!$A:$AX,7,0)</f>
        <v>50.262</v>
      </c>
      <c r="P78" s="1">
        <v>124</v>
      </c>
      <c r="Q78" s="1">
        <v>300</v>
      </c>
      <c r="R78" s="1">
        <f t="shared" si="34"/>
        <v>34.691199999999995</v>
      </c>
      <c r="S78" s="5">
        <f t="shared" ref="S78:S79" si="38">15*R78-Q78-P78-G78-F78</f>
        <v>88.932999999999936</v>
      </c>
      <c r="T78" s="19">
        <f>VLOOKUP(A78,[1]TDSheet!$D:$J,7,0)</f>
        <v>0.49845613343158723</v>
      </c>
      <c r="U78" s="5">
        <f t="shared" ref="U78:U80" si="39">S78-V78</f>
        <v>44.603800685528618</v>
      </c>
      <c r="V78" s="5">
        <f t="shared" ref="V78:V80" si="40">S78*T78</f>
        <v>44.329199314471317</v>
      </c>
      <c r="W78" s="1">
        <f t="shared" si="35"/>
        <v>15</v>
      </c>
      <c r="X78" s="1">
        <f t="shared" si="32"/>
        <v>12.436439212249795</v>
      </c>
      <c r="Y78" s="1">
        <v>31.833200000000001</v>
      </c>
      <c r="Z78" s="1">
        <v>30.706800000000001</v>
      </c>
      <c r="AA78" s="1">
        <v>26.449000000000002</v>
      </c>
      <c r="AB78" s="1">
        <v>38.481000000000002</v>
      </c>
      <c r="AC78" s="1">
        <v>36.499000000000002</v>
      </c>
      <c r="AD78" s="1">
        <v>22.372399999999999</v>
      </c>
      <c r="AE78" s="1">
        <v>38.507599999999996</v>
      </c>
      <c r="AF78" s="1">
        <v>29.706199999999999</v>
      </c>
      <c r="AG78" s="1">
        <v>31.820399999999999</v>
      </c>
      <c r="AH78" s="1">
        <v>24.954999999999998</v>
      </c>
      <c r="AI78" s="1"/>
      <c r="AJ78" s="1">
        <f t="shared" si="36"/>
        <v>44.603800685528618</v>
      </c>
      <c r="AK78" s="1">
        <f t="shared" si="37"/>
        <v>44.329199314471317</v>
      </c>
    </row>
    <row r="79" spans="1:37" x14ac:dyDescent="0.25">
      <c r="A79" s="1" t="s">
        <v>128</v>
      </c>
      <c r="B79" s="1" t="s">
        <v>36</v>
      </c>
      <c r="C79" s="1">
        <v>586.96100000000001</v>
      </c>
      <c r="D79" s="1">
        <v>492.49400000000003</v>
      </c>
      <c r="E79" s="1">
        <v>340.18799999999999</v>
      </c>
      <c r="F79" s="1">
        <v>35.420999999999999</v>
      </c>
      <c r="G79" s="1"/>
      <c r="H79" s="7">
        <v>1</v>
      </c>
      <c r="I79" s="1">
        <v>50</v>
      </c>
      <c r="J79" s="1" t="s">
        <v>37</v>
      </c>
      <c r="K79" s="1"/>
      <c r="L79" s="1">
        <v>319.60500000000002</v>
      </c>
      <c r="M79" s="1">
        <f t="shared" si="31"/>
        <v>20.58299999999997</v>
      </c>
      <c r="N79" s="1">
        <f t="shared" si="33"/>
        <v>306.34999999999997</v>
      </c>
      <c r="O79" s="1">
        <f>VLOOKUP(A79,[3]TDSheet!$A:$AX,7,0)</f>
        <v>33.838000000000001</v>
      </c>
      <c r="P79" s="1">
        <v>277</v>
      </c>
      <c r="Q79" s="1">
        <v>400</v>
      </c>
      <c r="R79" s="1">
        <f t="shared" si="34"/>
        <v>61.269999999999996</v>
      </c>
      <c r="S79" s="5">
        <f t="shared" si="38"/>
        <v>206.62899999999996</v>
      </c>
      <c r="T79" s="19">
        <f>VLOOKUP(A79,[1]TDSheet!$D:$J,7,0)</f>
        <v>0.48903541207700518</v>
      </c>
      <c r="U79" s="5">
        <f t="shared" si="39"/>
        <v>105.58010183794048</v>
      </c>
      <c r="V79" s="5">
        <f t="shared" si="40"/>
        <v>101.04889816205949</v>
      </c>
      <c r="W79" s="1">
        <f t="shared" si="35"/>
        <v>15</v>
      </c>
      <c r="X79" s="1">
        <f t="shared" si="32"/>
        <v>11.627566508895056</v>
      </c>
      <c r="Y79" s="1">
        <v>56.628799999999998</v>
      </c>
      <c r="Z79" s="1">
        <v>59.719200000000001</v>
      </c>
      <c r="AA79" s="1">
        <v>27.568200000000001</v>
      </c>
      <c r="AB79" s="1">
        <v>69.794600000000003</v>
      </c>
      <c r="AC79" s="1">
        <v>60.612000000000002</v>
      </c>
      <c r="AD79" s="1">
        <v>40.339399999999998</v>
      </c>
      <c r="AE79" s="1">
        <v>47.528399999999998</v>
      </c>
      <c r="AF79" s="1">
        <v>59.781599999999997</v>
      </c>
      <c r="AG79" s="1">
        <v>56.038800000000002</v>
      </c>
      <c r="AH79" s="1">
        <v>36.125599999999999</v>
      </c>
      <c r="AI79" s="1"/>
      <c r="AJ79" s="1">
        <f t="shared" si="36"/>
        <v>105.58010183794048</v>
      </c>
      <c r="AK79" s="1">
        <f t="shared" si="37"/>
        <v>101.04889816205949</v>
      </c>
    </row>
    <row r="80" spans="1:37" x14ac:dyDescent="0.25">
      <c r="A80" s="1" t="s">
        <v>129</v>
      </c>
      <c r="B80" s="1" t="s">
        <v>40</v>
      </c>
      <c r="C80" s="1">
        <v>786</v>
      </c>
      <c r="D80" s="1">
        <v>2520</v>
      </c>
      <c r="E80" s="1">
        <v>715</v>
      </c>
      <c r="F80" s="1">
        <v>24</v>
      </c>
      <c r="G80" s="1">
        <f>VLOOKUP(A80,[2]TDSheet!$A:$M,9,0)</f>
        <v>101</v>
      </c>
      <c r="H80" s="7">
        <v>0.35</v>
      </c>
      <c r="I80" s="1">
        <v>50</v>
      </c>
      <c r="J80" s="1" t="s">
        <v>37</v>
      </c>
      <c r="K80" s="1"/>
      <c r="L80" s="1">
        <v>790</v>
      </c>
      <c r="M80" s="1">
        <f t="shared" si="31"/>
        <v>-75</v>
      </c>
      <c r="N80" s="1">
        <f t="shared" si="33"/>
        <v>537</v>
      </c>
      <c r="O80" s="1">
        <f>VLOOKUP(A80,[3]TDSheet!$A:$AX,7,0)</f>
        <v>178</v>
      </c>
      <c r="P80" s="1">
        <v>900</v>
      </c>
      <c r="Q80" s="1">
        <v>600</v>
      </c>
      <c r="R80" s="1">
        <f t="shared" si="34"/>
        <v>107.4</v>
      </c>
      <c r="S80" s="5"/>
      <c r="T80" s="19">
        <f>VLOOKUP(A80,[1]TDSheet!$D:$J,7,0)</f>
        <v>0.54810049019607832</v>
      </c>
      <c r="U80" s="5">
        <f t="shared" si="39"/>
        <v>0</v>
      </c>
      <c r="V80" s="5">
        <f t="shared" si="40"/>
        <v>0</v>
      </c>
      <c r="W80" s="1">
        <f t="shared" si="35"/>
        <v>15.130353817504655</v>
      </c>
      <c r="X80" s="1">
        <f t="shared" si="32"/>
        <v>15.130353817504655</v>
      </c>
      <c r="Y80" s="1">
        <v>141.4</v>
      </c>
      <c r="Z80" s="1">
        <v>157.19999999999999</v>
      </c>
      <c r="AA80" s="1">
        <v>83.2</v>
      </c>
      <c r="AB80" s="1">
        <v>181</v>
      </c>
      <c r="AC80" s="1">
        <v>164.4</v>
      </c>
      <c r="AD80" s="1">
        <v>112.2</v>
      </c>
      <c r="AE80" s="1">
        <v>124.6</v>
      </c>
      <c r="AF80" s="1">
        <v>139</v>
      </c>
      <c r="AG80" s="1">
        <v>128</v>
      </c>
      <c r="AH80" s="1">
        <v>104.2</v>
      </c>
      <c r="AI80" s="1"/>
      <c r="AJ80" s="1">
        <f t="shared" si="36"/>
        <v>0</v>
      </c>
      <c r="AK80" s="1">
        <f t="shared" si="37"/>
        <v>0</v>
      </c>
    </row>
    <row r="81" spans="1:37" x14ac:dyDescent="0.25">
      <c r="A81" s="9" t="s">
        <v>130</v>
      </c>
      <c r="B81" s="9" t="s">
        <v>40</v>
      </c>
      <c r="C81" s="9">
        <v>71</v>
      </c>
      <c r="D81" s="9">
        <v>48</v>
      </c>
      <c r="E81" s="9">
        <v>32</v>
      </c>
      <c r="F81" s="9"/>
      <c r="G81" s="9"/>
      <c r="H81" s="10">
        <v>0</v>
      </c>
      <c r="I81" s="9"/>
      <c r="J81" s="9" t="s">
        <v>62</v>
      </c>
      <c r="K81" s="9"/>
      <c r="L81" s="9">
        <v>146</v>
      </c>
      <c r="M81" s="9">
        <f t="shared" si="31"/>
        <v>-114</v>
      </c>
      <c r="N81" s="9">
        <f t="shared" si="33"/>
        <v>0</v>
      </c>
      <c r="O81" s="9">
        <f>VLOOKUP(A81,[3]TDSheet!$A:$AX,7,0)</f>
        <v>32</v>
      </c>
      <c r="P81" s="9">
        <v>0</v>
      </c>
      <c r="Q81" s="9">
        <v>0</v>
      </c>
      <c r="R81" s="9">
        <f t="shared" si="34"/>
        <v>0</v>
      </c>
      <c r="S81" s="11"/>
      <c r="T81" s="19">
        <f>VLOOKUP(A81,[1]TDSheet!$D:$J,7,0)</f>
        <v>0.5960264900662251</v>
      </c>
      <c r="U81" s="11"/>
      <c r="V81" s="11"/>
      <c r="W81" s="9" t="e">
        <f t="shared" si="35"/>
        <v>#DIV/0!</v>
      </c>
      <c r="X81" s="9" t="e">
        <f t="shared" si="32"/>
        <v>#DIV/0!</v>
      </c>
      <c r="Y81" s="9">
        <v>-0.4</v>
      </c>
      <c r="Z81" s="9">
        <v>10.4</v>
      </c>
      <c r="AA81" s="9">
        <v>5.2</v>
      </c>
      <c r="AB81" s="9">
        <v>3.6</v>
      </c>
      <c r="AC81" s="9">
        <v>3.2</v>
      </c>
      <c r="AD81" s="9">
        <v>4.8</v>
      </c>
      <c r="AE81" s="9">
        <v>6.4</v>
      </c>
      <c r="AF81" s="9">
        <v>0</v>
      </c>
      <c r="AG81" s="9">
        <v>0</v>
      </c>
      <c r="AH81" s="9">
        <v>0</v>
      </c>
      <c r="AI81" s="9" t="s">
        <v>63</v>
      </c>
      <c r="AJ81" s="1">
        <f t="shared" si="36"/>
        <v>0</v>
      </c>
      <c r="AK81" s="1">
        <f t="shared" si="37"/>
        <v>0</v>
      </c>
    </row>
    <row r="82" spans="1:37" x14ac:dyDescent="0.25">
      <c r="A82" s="1" t="s">
        <v>131</v>
      </c>
      <c r="B82" s="1" t="s">
        <v>40</v>
      </c>
      <c r="C82" s="1">
        <v>24</v>
      </c>
      <c r="D82" s="1">
        <v>538</v>
      </c>
      <c r="E82" s="1">
        <v>89</v>
      </c>
      <c r="F82" s="1"/>
      <c r="G82" s="1"/>
      <c r="H82" s="7">
        <v>0.3</v>
      </c>
      <c r="I82" s="1">
        <v>50</v>
      </c>
      <c r="J82" s="1" t="s">
        <v>37</v>
      </c>
      <c r="K82" s="1"/>
      <c r="L82" s="1">
        <v>293</v>
      </c>
      <c r="M82" s="1">
        <f t="shared" si="31"/>
        <v>-204</v>
      </c>
      <c r="N82" s="1">
        <f t="shared" si="33"/>
        <v>35</v>
      </c>
      <c r="O82" s="1">
        <f>VLOOKUP(A82,[3]TDSheet!$A:$AX,7,0)</f>
        <v>54</v>
      </c>
      <c r="P82" s="1">
        <v>325</v>
      </c>
      <c r="Q82" s="1">
        <v>275</v>
      </c>
      <c r="R82" s="1">
        <f t="shared" si="34"/>
        <v>7</v>
      </c>
      <c r="S82" s="5"/>
      <c r="T82" s="19">
        <f>VLOOKUP(A82,[1]TDSheet!$D:$J,7,0)</f>
        <v>0.4534075104311544</v>
      </c>
      <c r="U82" s="5">
        <f t="shared" ref="U82:U85" si="41">S82-V82</f>
        <v>0</v>
      </c>
      <c r="V82" s="5">
        <f t="shared" ref="V82:V85" si="42">S82*T82</f>
        <v>0</v>
      </c>
      <c r="W82" s="1">
        <f t="shared" si="35"/>
        <v>85.714285714285708</v>
      </c>
      <c r="X82" s="1">
        <f t="shared" si="32"/>
        <v>85.714285714285708</v>
      </c>
      <c r="Y82" s="1">
        <v>41.6</v>
      </c>
      <c r="Z82" s="1">
        <v>38</v>
      </c>
      <c r="AA82" s="1">
        <v>4</v>
      </c>
      <c r="AB82" s="1">
        <v>39.200000000000003</v>
      </c>
      <c r="AC82" s="1">
        <v>26.6</v>
      </c>
      <c r="AD82" s="1">
        <v>20.6</v>
      </c>
      <c r="AE82" s="1">
        <v>23</v>
      </c>
      <c r="AF82" s="1">
        <v>20</v>
      </c>
      <c r="AG82" s="1">
        <v>27</v>
      </c>
      <c r="AH82" s="1">
        <v>28.2</v>
      </c>
      <c r="AI82" s="1"/>
      <c r="AJ82" s="1">
        <f t="shared" si="36"/>
        <v>0</v>
      </c>
      <c r="AK82" s="1">
        <f t="shared" si="37"/>
        <v>0</v>
      </c>
    </row>
    <row r="83" spans="1:37" x14ac:dyDescent="0.25">
      <c r="A83" s="1" t="s">
        <v>132</v>
      </c>
      <c r="B83" s="1" t="s">
        <v>40</v>
      </c>
      <c r="C83" s="1">
        <v>47</v>
      </c>
      <c r="D83" s="1">
        <v>42</v>
      </c>
      <c r="E83" s="1">
        <v>44</v>
      </c>
      <c r="F83" s="1"/>
      <c r="G83" s="1"/>
      <c r="H83" s="7">
        <v>0.3</v>
      </c>
      <c r="I83" s="1">
        <v>60</v>
      </c>
      <c r="J83" s="1" t="s">
        <v>37</v>
      </c>
      <c r="K83" s="1"/>
      <c r="L83" s="1">
        <v>63</v>
      </c>
      <c r="M83" s="1">
        <f t="shared" si="31"/>
        <v>-19</v>
      </c>
      <c r="N83" s="1">
        <f t="shared" si="33"/>
        <v>44</v>
      </c>
      <c r="O83" s="1"/>
      <c r="P83" s="1">
        <v>99</v>
      </c>
      <c r="Q83" s="1">
        <v>0</v>
      </c>
      <c r="R83" s="1">
        <f t="shared" si="34"/>
        <v>8.8000000000000007</v>
      </c>
      <c r="S83" s="5">
        <f t="shared" ref="S83:S85" si="43">15*R83-Q83-P83-G83-F83</f>
        <v>33</v>
      </c>
      <c r="T83" s="19">
        <f>VLOOKUP(A83,[1]TDSheet!$D:$J,7,0)</f>
        <v>0.20731707317073167</v>
      </c>
      <c r="U83" s="5">
        <f t="shared" si="41"/>
        <v>26.158536585365855</v>
      </c>
      <c r="V83" s="5">
        <f t="shared" si="42"/>
        <v>6.8414634146341449</v>
      </c>
      <c r="W83" s="1">
        <f t="shared" si="35"/>
        <v>14.999999999999998</v>
      </c>
      <c r="X83" s="1">
        <f t="shared" si="32"/>
        <v>11.249999999999998</v>
      </c>
      <c r="Y83" s="1">
        <v>2.6</v>
      </c>
      <c r="Z83" s="1">
        <v>12.4</v>
      </c>
      <c r="AA83" s="1">
        <v>8</v>
      </c>
      <c r="AB83" s="1">
        <v>5.2</v>
      </c>
      <c r="AC83" s="1">
        <v>9.6</v>
      </c>
      <c r="AD83" s="1">
        <v>8.4</v>
      </c>
      <c r="AE83" s="1">
        <v>4.5999999999999996</v>
      </c>
      <c r="AF83" s="1">
        <v>4</v>
      </c>
      <c r="AG83" s="1">
        <v>7.8</v>
      </c>
      <c r="AH83" s="1">
        <v>5.8</v>
      </c>
      <c r="AI83" s="1"/>
      <c r="AJ83" s="1">
        <f t="shared" si="36"/>
        <v>7.8475609756097562</v>
      </c>
      <c r="AK83" s="1">
        <f t="shared" si="37"/>
        <v>2.0524390243902433</v>
      </c>
    </row>
    <row r="84" spans="1:37" x14ac:dyDescent="0.25">
      <c r="A84" s="1" t="s">
        <v>133</v>
      </c>
      <c r="B84" s="1" t="s">
        <v>40</v>
      </c>
      <c r="C84" s="1">
        <v>623</v>
      </c>
      <c r="D84" s="1">
        <v>810</v>
      </c>
      <c r="E84" s="1">
        <v>352</v>
      </c>
      <c r="F84" s="1">
        <v>173</v>
      </c>
      <c r="G84" s="1">
        <f>VLOOKUP(A84,[2]TDSheet!$A:$M,9,0)</f>
        <v>200</v>
      </c>
      <c r="H84" s="7">
        <v>0.28000000000000003</v>
      </c>
      <c r="I84" s="1">
        <v>50</v>
      </c>
      <c r="J84" s="1" t="s">
        <v>37</v>
      </c>
      <c r="K84" s="1"/>
      <c r="L84" s="1">
        <v>459</v>
      </c>
      <c r="M84" s="1">
        <f t="shared" si="31"/>
        <v>-107</v>
      </c>
      <c r="N84" s="1">
        <f t="shared" si="33"/>
        <v>232</v>
      </c>
      <c r="O84" s="1">
        <f>VLOOKUP(A84,[3]TDSheet!$A:$AX,7,0)</f>
        <v>120</v>
      </c>
      <c r="P84" s="1">
        <v>425</v>
      </c>
      <c r="Q84" s="1">
        <v>0</v>
      </c>
      <c r="R84" s="1">
        <f t="shared" si="34"/>
        <v>46.4</v>
      </c>
      <c r="S84" s="5"/>
      <c r="T84" s="19">
        <f>VLOOKUP(A84,[1]TDSheet!$D:$J,7,0)</f>
        <v>0.55424836601307192</v>
      </c>
      <c r="U84" s="5">
        <f t="shared" si="41"/>
        <v>0</v>
      </c>
      <c r="V84" s="5">
        <f t="shared" si="42"/>
        <v>0</v>
      </c>
      <c r="W84" s="1">
        <f t="shared" si="35"/>
        <v>17.198275862068964</v>
      </c>
      <c r="X84" s="1">
        <f t="shared" si="32"/>
        <v>17.198275862068964</v>
      </c>
      <c r="Y84" s="1">
        <v>51.4</v>
      </c>
      <c r="Z84" s="1">
        <v>86.8</v>
      </c>
      <c r="AA84" s="1">
        <v>22</v>
      </c>
      <c r="AB84" s="1">
        <v>110.6</v>
      </c>
      <c r="AC84" s="1">
        <v>99.4</v>
      </c>
      <c r="AD84" s="1">
        <v>52.6</v>
      </c>
      <c r="AE84" s="1">
        <v>55.4</v>
      </c>
      <c r="AF84" s="1">
        <v>88.4</v>
      </c>
      <c r="AG84" s="1">
        <v>94.2</v>
      </c>
      <c r="AH84" s="1">
        <v>52.8</v>
      </c>
      <c r="AI84" s="1"/>
      <c r="AJ84" s="1">
        <f t="shared" si="36"/>
        <v>0</v>
      </c>
      <c r="AK84" s="1">
        <f t="shared" si="37"/>
        <v>0</v>
      </c>
    </row>
    <row r="85" spans="1:37" x14ac:dyDescent="0.25">
      <c r="A85" s="1" t="s">
        <v>134</v>
      </c>
      <c r="B85" s="1" t="s">
        <v>40</v>
      </c>
      <c r="C85" s="1">
        <v>673</v>
      </c>
      <c r="D85" s="1">
        <v>664</v>
      </c>
      <c r="E85" s="1">
        <v>436</v>
      </c>
      <c r="F85" s="1">
        <v>170</v>
      </c>
      <c r="G85" s="1">
        <f>VLOOKUP(A85,[2]TDSheet!$A:$M,9,0)</f>
        <v>197</v>
      </c>
      <c r="H85" s="7">
        <v>0.28000000000000003</v>
      </c>
      <c r="I85" s="1">
        <v>45</v>
      </c>
      <c r="J85" s="1" t="s">
        <v>37</v>
      </c>
      <c r="K85" s="1"/>
      <c r="L85" s="1">
        <v>457</v>
      </c>
      <c r="M85" s="1">
        <f t="shared" si="31"/>
        <v>-21</v>
      </c>
      <c r="N85" s="1">
        <f t="shared" si="33"/>
        <v>284</v>
      </c>
      <c r="O85" s="1">
        <f>VLOOKUP(A85,[3]TDSheet!$A:$AX,7,0)</f>
        <v>152</v>
      </c>
      <c r="P85" s="1">
        <v>291</v>
      </c>
      <c r="Q85" s="1">
        <v>86</v>
      </c>
      <c r="R85" s="1">
        <f t="shared" si="34"/>
        <v>56.8</v>
      </c>
      <c r="S85" s="5">
        <f t="shared" si="43"/>
        <v>108</v>
      </c>
      <c r="T85" s="19">
        <f>VLOOKUP(A85,[1]TDSheet!$D:$J,7,0)</f>
        <v>0.65466101694915257</v>
      </c>
      <c r="U85" s="5">
        <f t="shared" si="41"/>
        <v>37.296610169491515</v>
      </c>
      <c r="V85" s="5">
        <f t="shared" si="42"/>
        <v>70.703389830508485</v>
      </c>
      <c r="W85" s="1">
        <f t="shared" si="35"/>
        <v>15</v>
      </c>
      <c r="X85" s="1">
        <f t="shared" si="32"/>
        <v>13.098591549295776</v>
      </c>
      <c r="Y85" s="1">
        <v>70</v>
      </c>
      <c r="Z85" s="1">
        <v>86.8</v>
      </c>
      <c r="AA85" s="1">
        <v>43.4</v>
      </c>
      <c r="AB85" s="1">
        <v>132</v>
      </c>
      <c r="AC85" s="1">
        <v>102</v>
      </c>
      <c r="AD85" s="1">
        <v>67.599999999999994</v>
      </c>
      <c r="AE85" s="1">
        <v>86.6</v>
      </c>
      <c r="AF85" s="1">
        <v>90.2</v>
      </c>
      <c r="AG85" s="1">
        <v>81.8</v>
      </c>
      <c r="AH85" s="1">
        <v>59.8</v>
      </c>
      <c r="AI85" s="1"/>
      <c r="AJ85" s="1">
        <f t="shared" si="36"/>
        <v>10.443050847457625</v>
      </c>
      <c r="AK85" s="1">
        <f t="shared" si="37"/>
        <v>19.796949152542378</v>
      </c>
    </row>
    <row r="86" spans="1:37" x14ac:dyDescent="0.25">
      <c r="A86" s="9" t="s">
        <v>135</v>
      </c>
      <c r="B86" s="9" t="s">
        <v>40</v>
      </c>
      <c r="C86" s="9">
        <v>140</v>
      </c>
      <c r="D86" s="9">
        <v>288</v>
      </c>
      <c r="E86" s="9"/>
      <c r="F86" s="9"/>
      <c r="G86" s="9"/>
      <c r="H86" s="10">
        <v>0</v>
      </c>
      <c r="I86" s="9"/>
      <c r="J86" s="9" t="s">
        <v>62</v>
      </c>
      <c r="K86" s="9"/>
      <c r="L86" s="9"/>
      <c r="M86" s="9">
        <f t="shared" si="31"/>
        <v>0</v>
      </c>
      <c r="N86" s="9">
        <f t="shared" si="33"/>
        <v>0</v>
      </c>
      <c r="O86" s="9"/>
      <c r="P86" s="9">
        <v>0</v>
      </c>
      <c r="Q86" s="9">
        <v>0</v>
      </c>
      <c r="R86" s="9">
        <f t="shared" si="34"/>
        <v>0</v>
      </c>
      <c r="S86" s="11"/>
      <c r="T86" s="19">
        <f>VLOOKUP(A86,[1]TDSheet!$D:$J,7,0)</f>
        <v>1</v>
      </c>
      <c r="U86" s="11"/>
      <c r="V86" s="11"/>
      <c r="W86" s="9" t="e">
        <f t="shared" si="35"/>
        <v>#DIV/0!</v>
      </c>
      <c r="X86" s="9" t="e">
        <f t="shared" si="32"/>
        <v>#DIV/0!</v>
      </c>
      <c r="Y86" s="9">
        <v>0</v>
      </c>
      <c r="Z86" s="9">
        <v>0</v>
      </c>
      <c r="AA86" s="9">
        <v>0</v>
      </c>
      <c r="AB86" s="9">
        <v>0.4</v>
      </c>
      <c r="AC86" s="9">
        <v>6.4</v>
      </c>
      <c r="AD86" s="9">
        <v>0</v>
      </c>
      <c r="AE86" s="9">
        <v>1.6</v>
      </c>
      <c r="AF86" s="9">
        <v>3.2</v>
      </c>
      <c r="AG86" s="9">
        <v>0</v>
      </c>
      <c r="AH86" s="9">
        <v>0</v>
      </c>
      <c r="AI86" s="9" t="s">
        <v>63</v>
      </c>
      <c r="AJ86" s="1">
        <f t="shared" si="36"/>
        <v>0</v>
      </c>
      <c r="AK86" s="1">
        <f t="shared" si="37"/>
        <v>0</v>
      </c>
    </row>
    <row r="87" spans="1:37" x14ac:dyDescent="0.25">
      <c r="A87" s="1" t="s">
        <v>136</v>
      </c>
      <c r="B87" s="1" t="s">
        <v>40</v>
      </c>
      <c r="C87" s="1">
        <v>375</v>
      </c>
      <c r="D87" s="1">
        <v>409</v>
      </c>
      <c r="E87" s="1">
        <v>384</v>
      </c>
      <c r="F87" s="1">
        <v>28</v>
      </c>
      <c r="G87" s="1">
        <f>VLOOKUP(A87,[2]TDSheet!$A:$M,9,0)</f>
        <v>70</v>
      </c>
      <c r="H87" s="7">
        <v>0.28000000000000003</v>
      </c>
      <c r="I87" s="1">
        <v>45</v>
      </c>
      <c r="J87" s="1" t="s">
        <v>37</v>
      </c>
      <c r="K87" s="1"/>
      <c r="L87" s="1">
        <v>406</v>
      </c>
      <c r="M87" s="1">
        <f t="shared" si="31"/>
        <v>-22</v>
      </c>
      <c r="N87" s="1">
        <f t="shared" si="33"/>
        <v>254</v>
      </c>
      <c r="O87" s="1">
        <f>VLOOKUP(A87,[3]TDSheet!$A:$AX,7,0)</f>
        <v>130</v>
      </c>
      <c r="P87" s="1">
        <v>566</v>
      </c>
      <c r="Q87" s="1">
        <v>0</v>
      </c>
      <c r="R87" s="1">
        <f t="shared" si="34"/>
        <v>50.8</v>
      </c>
      <c r="S87" s="5">
        <f t="shared" ref="S87:S88" si="44">15*R87-Q87-P87-G87-F87</f>
        <v>98</v>
      </c>
      <c r="T87" s="19">
        <f>VLOOKUP(A87,[1]TDSheet!$D:$J,7,0)</f>
        <v>0.65590062111801239</v>
      </c>
      <c r="U87" s="5">
        <f t="shared" ref="U87:U88" si="45">S87-V87</f>
        <v>33.721739130434784</v>
      </c>
      <c r="V87" s="5">
        <f t="shared" ref="V87:V88" si="46">S87*T87</f>
        <v>64.278260869565216</v>
      </c>
      <c r="W87" s="1">
        <f t="shared" si="35"/>
        <v>15</v>
      </c>
      <c r="X87" s="1">
        <f t="shared" si="32"/>
        <v>13.070866141732283</v>
      </c>
      <c r="Y87" s="1">
        <v>56</v>
      </c>
      <c r="Z87" s="1">
        <v>80.8</v>
      </c>
      <c r="AA87" s="1">
        <v>37.200000000000003</v>
      </c>
      <c r="AB87" s="1">
        <v>103.2</v>
      </c>
      <c r="AC87" s="1">
        <v>77.2</v>
      </c>
      <c r="AD87" s="1">
        <v>52.2</v>
      </c>
      <c r="AE87" s="1">
        <v>71.8</v>
      </c>
      <c r="AF87" s="1">
        <v>70.8</v>
      </c>
      <c r="AG87" s="1">
        <v>74.2</v>
      </c>
      <c r="AH87" s="1">
        <v>48.8</v>
      </c>
      <c r="AI87" s="1"/>
      <c r="AJ87" s="1">
        <f t="shared" si="36"/>
        <v>9.4420869565217398</v>
      </c>
      <c r="AK87" s="1">
        <f t="shared" si="37"/>
        <v>17.997913043478263</v>
      </c>
    </row>
    <row r="88" spans="1:37" x14ac:dyDescent="0.25">
      <c r="A88" s="1" t="s">
        <v>137</v>
      </c>
      <c r="B88" s="1" t="s">
        <v>40</v>
      </c>
      <c r="C88" s="1">
        <v>1384</v>
      </c>
      <c r="D88" s="1">
        <v>1768</v>
      </c>
      <c r="E88" s="1">
        <v>563</v>
      </c>
      <c r="F88" s="1">
        <v>229</v>
      </c>
      <c r="G88" s="1">
        <f>VLOOKUP(A88,[2]TDSheet!$A:$M,9,0)</f>
        <v>523</v>
      </c>
      <c r="H88" s="7">
        <v>0.4</v>
      </c>
      <c r="I88" s="1">
        <v>50</v>
      </c>
      <c r="J88" s="1" t="s">
        <v>37</v>
      </c>
      <c r="K88" s="1"/>
      <c r="L88" s="1">
        <v>587</v>
      </c>
      <c r="M88" s="1">
        <f t="shared" si="31"/>
        <v>-24</v>
      </c>
      <c r="N88" s="1">
        <f t="shared" si="33"/>
        <v>509</v>
      </c>
      <c r="O88" s="1">
        <f>VLOOKUP(A88,[3]TDSheet!$A:$AX,7,0)</f>
        <v>54</v>
      </c>
      <c r="P88" s="1">
        <v>688</v>
      </c>
      <c r="Q88" s="1">
        <v>0</v>
      </c>
      <c r="R88" s="1">
        <f t="shared" si="34"/>
        <v>101.8</v>
      </c>
      <c r="S88" s="5">
        <f t="shared" si="44"/>
        <v>87</v>
      </c>
      <c r="T88" s="19">
        <f>VLOOKUP(A88,[1]TDSheet!$D:$J,7,0)</f>
        <v>0.53124018838304554</v>
      </c>
      <c r="U88" s="5">
        <f t="shared" si="45"/>
        <v>40.782103610675037</v>
      </c>
      <c r="V88" s="5">
        <f t="shared" si="46"/>
        <v>46.217896389324963</v>
      </c>
      <c r="W88" s="1">
        <f t="shared" si="35"/>
        <v>15</v>
      </c>
      <c r="X88" s="1">
        <f t="shared" si="32"/>
        <v>14.145383104125736</v>
      </c>
      <c r="Y88" s="1">
        <v>116.6</v>
      </c>
      <c r="Z88" s="1">
        <v>169.8</v>
      </c>
      <c r="AA88" s="1">
        <v>144.4</v>
      </c>
      <c r="AB88" s="1">
        <v>147.80000000000001</v>
      </c>
      <c r="AC88" s="1">
        <v>187.2</v>
      </c>
      <c r="AD88" s="1">
        <v>136.4</v>
      </c>
      <c r="AE88" s="1">
        <v>73</v>
      </c>
      <c r="AF88" s="1">
        <v>123.8</v>
      </c>
      <c r="AG88" s="1">
        <v>112.6</v>
      </c>
      <c r="AH88" s="1">
        <v>89.6</v>
      </c>
      <c r="AI88" s="1"/>
      <c r="AJ88" s="1">
        <f t="shared" si="36"/>
        <v>16.312841444270017</v>
      </c>
      <c r="AK88" s="1">
        <f t="shared" si="37"/>
        <v>18.487158555729987</v>
      </c>
    </row>
    <row r="89" spans="1:37" x14ac:dyDescent="0.25">
      <c r="A89" s="9" t="s">
        <v>138</v>
      </c>
      <c r="B89" s="9" t="s">
        <v>40</v>
      </c>
      <c r="C89" s="9">
        <v>-6</v>
      </c>
      <c r="D89" s="9">
        <v>6</v>
      </c>
      <c r="E89" s="9"/>
      <c r="F89" s="9"/>
      <c r="G89" s="9"/>
      <c r="H89" s="10">
        <v>0</v>
      </c>
      <c r="I89" s="9"/>
      <c r="J89" s="9" t="s">
        <v>62</v>
      </c>
      <c r="K89" s="9" t="s">
        <v>139</v>
      </c>
      <c r="L89" s="9"/>
      <c r="M89" s="9">
        <f t="shared" si="31"/>
        <v>0</v>
      </c>
      <c r="N89" s="9">
        <f t="shared" si="33"/>
        <v>0</v>
      </c>
      <c r="O89" s="9"/>
      <c r="P89" s="9">
        <v>0</v>
      </c>
      <c r="Q89" s="9">
        <v>0</v>
      </c>
      <c r="R89" s="9">
        <f t="shared" si="34"/>
        <v>0</v>
      </c>
      <c r="S89" s="11"/>
      <c r="T89" s="19">
        <f>VLOOKUP(A89,[1]TDSheet!$D:$J,7,0)</f>
        <v>0</v>
      </c>
      <c r="U89" s="11"/>
      <c r="V89" s="11"/>
      <c r="W89" s="9" t="e">
        <f t="shared" si="35"/>
        <v>#DIV/0!</v>
      </c>
      <c r="X89" s="9" t="e">
        <f t="shared" si="32"/>
        <v>#DIV/0!</v>
      </c>
      <c r="Y89" s="9">
        <v>0</v>
      </c>
      <c r="Z89" s="9">
        <v>1</v>
      </c>
      <c r="AA89" s="9">
        <v>0</v>
      </c>
      <c r="AB89" s="9">
        <v>0.2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/>
      <c r="AJ89" s="1">
        <f t="shared" si="36"/>
        <v>0</v>
      </c>
      <c r="AK89" s="1">
        <f t="shared" si="37"/>
        <v>0</v>
      </c>
    </row>
    <row r="90" spans="1:37" x14ac:dyDescent="0.25">
      <c r="A90" s="1" t="s">
        <v>140</v>
      </c>
      <c r="B90" s="1" t="s">
        <v>36</v>
      </c>
      <c r="C90" s="1">
        <v>45.125</v>
      </c>
      <c r="D90" s="1">
        <v>5.48</v>
      </c>
      <c r="E90" s="1">
        <v>-2.5590000000000002</v>
      </c>
      <c r="F90" s="1"/>
      <c r="G90" s="1"/>
      <c r="H90" s="7">
        <v>1</v>
      </c>
      <c r="I90" s="1">
        <v>30</v>
      </c>
      <c r="J90" s="1" t="s">
        <v>37</v>
      </c>
      <c r="K90" s="1"/>
      <c r="L90" s="1">
        <v>35.423000000000002</v>
      </c>
      <c r="M90" s="1">
        <f t="shared" si="31"/>
        <v>-37.981999999999999</v>
      </c>
      <c r="N90" s="1">
        <f t="shared" si="33"/>
        <v>-2.5590000000000002</v>
      </c>
      <c r="O90" s="1"/>
      <c r="P90" s="1">
        <v>0</v>
      </c>
      <c r="Q90" s="1">
        <v>80</v>
      </c>
      <c r="R90" s="1">
        <f t="shared" si="34"/>
        <v>-0.51180000000000003</v>
      </c>
      <c r="S90" s="5"/>
      <c r="T90" s="19">
        <f>VLOOKUP(A90,[1]TDSheet!$D:$J,7,0)</f>
        <v>0.41066279365617847</v>
      </c>
      <c r="U90" s="5">
        <f>S90-V90</f>
        <v>0</v>
      </c>
      <c r="V90" s="5">
        <f>S90*T90</f>
        <v>0</v>
      </c>
      <c r="W90" s="1">
        <f t="shared" si="35"/>
        <v>-156.31105900742477</v>
      </c>
      <c r="X90" s="1">
        <f t="shared" si="32"/>
        <v>-156.31105900742477</v>
      </c>
      <c r="Y90" s="1">
        <v>6.7103999999999999</v>
      </c>
      <c r="Z90" s="1">
        <v>5.0915999999999997</v>
      </c>
      <c r="AA90" s="1">
        <v>3.8393999999999999</v>
      </c>
      <c r="AB90" s="1">
        <v>4.0342000000000002</v>
      </c>
      <c r="AC90" s="1">
        <v>9.1999999999999998E-2</v>
      </c>
      <c r="AD90" s="1">
        <v>3.0341999999999998</v>
      </c>
      <c r="AE90" s="1">
        <v>4.6256000000000004</v>
      </c>
      <c r="AF90" s="1">
        <v>0.94879999999999998</v>
      </c>
      <c r="AG90" s="1">
        <v>0.78600000000000003</v>
      </c>
      <c r="AH90" s="1">
        <v>0</v>
      </c>
      <c r="AI90" s="1"/>
      <c r="AJ90" s="1">
        <f t="shared" si="36"/>
        <v>0</v>
      </c>
      <c r="AK90" s="1">
        <f t="shared" si="37"/>
        <v>0</v>
      </c>
    </row>
    <row r="91" spans="1:37" x14ac:dyDescent="0.25">
      <c r="A91" s="9" t="s">
        <v>141</v>
      </c>
      <c r="B91" s="9" t="s">
        <v>40</v>
      </c>
      <c r="C91" s="9">
        <v>3</v>
      </c>
      <c r="D91" s="9">
        <v>22</v>
      </c>
      <c r="E91" s="9">
        <v>1</v>
      </c>
      <c r="F91" s="9"/>
      <c r="G91" s="9"/>
      <c r="H91" s="10">
        <v>0</v>
      </c>
      <c r="I91" s="9">
        <v>50</v>
      </c>
      <c r="J91" s="9" t="s">
        <v>77</v>
      </c>
      <c r="K91" s="9"/>
      <c r="L91" s="9">
        <v>60</v>
      </c>
      <c r="M91" s="9">
        <f t="shared" si="31"/>
        <v>-59</v>
      </c>
      <c r="N91" s="9">
        <f t="shared" si="33"/>
        <v>1</v>
      </c>
      <c r="O91" s="9"/>
      <c r="P91" s="9">
        <v>0</v>
      </c>
      <c r="Q91" s="9">
        <v>0</v>
      </c>
      <c r="R91" s="9">
        <f t="shared" si="34"/>
        <v>0.2</v>
      </c>
      <c r="S91" s="11"/>
      <c r="T91" s="19">
        <f>VLOOKUP(A91,[1]TDSheet!$D:$J,7,0)</f>
        <v>9.45945945945946E-2</v>
      </c>
      <c r="U91" s="11"/>
      <c r="V91" s="11"/>
      <c r="W91" s="9">
        <f t="shared" si="35"/>
        <v>0</v>
      </c>
      <c r="X91" s="9">
        <f t="shared" si="32"/>
        <v>0</v>
      </c>
      <c r="Y91" s="9">
        <v>4</v>
      </c>
      <c r="Z91" s="9">
        <v>2.4</v>
      </c>
      <c r="AA91" s="9">
        <v>4.4000000000000004</v>
      </c>
      <c r="AB91" s="9">
        <v>4</v>
      </c>
      <c r="AC91" s="9">
        <v>4.4000000000000004</v>
      </c>
      <c r="AD91" s="9">
        <v>5.4</v>
      </c>
      <c r="AE91" s="9">
        <v>2.8</v>
      </c>
      <c r="AF91" s="9">
        <v>5.2</v>
      </c>
      <c r="AG91" s="9">
        <v>5.6</v>
      </c>
      <c r="AH91" s="9">
        <v>4.4000000000000004</v>
      </c>
      <c r="AI91" s="9"/>
      <c r="AJ91" s="1">
        <f t="shared" si="36"/>
        <v>0</v>
      </c>
      <c r="AK91" s="1">
        <f t="shared" si="37"/>
        <v>0</v>
      </c>
    </row>
    <row r="92" spans="1:37" x14ac:dyDescent="0.25">
      <c r="A92" s="9" t="s">
        <v>142</v>
      </c>
      <c r="B92" s="9" t="s">
        <v>40</v>
      </c>
      <c r="C92" s="9">
        <v>280</v>
      </c>
      <c r="D92" s="9"/>
      <c r="E92" s="9"/>
      <c r="F92" s="9"/>
      <c r="G92" s="9"/>
      <c r="H92" s="10">
        <v>0</v>
      </c>
      <c r="I92" s="9"/>
      <c r="J92" s="9" t="s">
        <v>62</v>
      </c>
      <c r="K92" s="9"/>
      <c r="L92" s="9"/>
      <c r="M92" s="9">
        <f t="shared" si="31"/>
        <v>0</v>
      </c>
      <c r="N92" s="9">
        <f t="shared" si="33"/>
        <v>0</v>
      </c>
      <c r="O92" s="9"/>
      <c r="P92" s="9">
        <v>0</v>
      </c>
      <c r="Q92" s="9">
        <v>0</v>
      </c>
      <c r="R92" s="9">
        <f t="shared" si="34"/>
        <v>0</v>
      </c>
      <c r="S92" s="11"/>
      <c r="T92" s="19">
        <f>VLOOKUP(A92,[1]TDSheet!$D:$J,7,0)</f>
        <v>0</v>
      </c>
      <c r="U92" s="11"/>
      <c r="V92" s="11"/>
      <c r="W92" s="9" t="e">
        <f t="shared" si="35"/>
        <v>#DIV/0!</v>
      </c>
      <c r="X92" s="9" t="e">
        <f t="shared" si="32"/>
        <v>#DIV/0!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 t="s">
        <v>63</v>
      </c>
      <c r="AJ92" s="1">
        <f t="shared" si="36"/>
        <v>0</v>
      </c>
      <c r="AK92" s="1">
        <f t="shared" si="37"/>
        <v>0</v>
      </c>
    </row>
    <row r="93" spans="1:37" x14ac:dyDescent="0.25">
      <c r="A93" s="1" t="s">
        <v>143</v>
      </c>
      <c r="B93" s="1" t="s">
        <v>40</v>
      </c>
      <c r="C93" s="1">
        <v>296</v>
      </c>
      <c r="D93" s="1">
        <v>188</v>
      </c>
      <c r="E93" s="1">
        <v>109</v>
      </c>
      <c r="F93" s="1">
        <v>179</v>
      </c>
      <c r="G93" s="1"/>
      <c r="H93" s="7">
        <v>0.33800000000000002</v>
      </c>
      <c r="I93" s="1" t="s">
        <v>144</v>
      </c>
      <c r="J93" s="1" t="s">
        <v>37</v>
      </c>
      <c r="K93" s="1"/>
      <c r="L93" s="1">
        <v>142</v>
      </c>
      <c r="M93" s="1">
        <f t="shared" si="31"/>
        <v>-33</v>
      </c>
      <c r="N93" s="1">
        <f t="shared" si="33"/>
        <v>109</v>
      </c>
      <c r="O93" s="1"/>
      <c r="P93" s="1">
        <v>0</v>
      </c>
      <c r="Q93" s="1">
        <v>0</v>
      </c>
      <c r="R93" s="1">
        <f t="shared" si="34"/>
        <v>21.8</v>
      </c>
      <c r="S93" s="5">
        <f t="shared" ref="S93:S106" si="47">15*R93-Q93-P93-G93-F93</f>
        <v>148</v>
      </c>
      <c r="T93" s="19">
        <f>VLOOKUP(A93,[1]TDSheet!$D:$J,7,0)</f>
        <v>0</v>
      </c>
      <c r="U93" s="5">
        <f t="shared" ref="U93:U107" si="48">S93-V93</f>
        <v>148</v>
      </c>
      <c r="V93" s="5">
        <f t="shared" ref="V93:V107" si="49">S93*T93</f>
        <v>0</v>
      </c>
      <c r="W93" s="1">
        <f t="shared" si="35"/>
        <v>15</v>
      </c>
      <c r="X93" s="1">
        <f t="shared" si="32"/>
        <v>8.2110091743119256</v>
      </c>
      <c r="Y93" s="1">
        <v>0.8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 t="s">
        <v>38</v>
      </c>
      <c r="AJ93" s="1">
        <f t="shared" si="36"/>
        <v>50.024000000000001</v>
      </c>
      <c r="AK93" s="1">
        <f t="shared" si="37"/>
        <v>0</v>
      </c>
    </row>
    <row r="94" spans="1:37" x14ac:dyDescent="0.25">
      <c r="A94" s="1" t="s">
        <v>145</v>
      </c>
      <c r="B94" s="1" t="s">
        <v>40</v>
      </c>
      <c r="C94" s="1">
        <v>286</v>
      </c>
      <c r="D94" s="1">
        <v>1</v>
      </c>
      <c r="E94" s="1">
        <v>156</v>
      </c>
      <c r="F94" s="1">
        <v>121</v>
      </c>
      <c r="G94" s="1"/>
      <c r="H94" s="7">
        <v>0.32500000000000001</v>
      </c>
      <c r="I94" s="1" t="s">
        <v>144</v>
      </c>
      <c r="J94" s="1" t="s">
        <v>37</v>
      </c>
      <c r="K94" s="1"/>
      <c r="L94" s="1">
        <v>187</v>
      </c>
      <c r="M94" s="1">
        <f t="shared" si="31"/>
        <v>-31</v>
      </c>
      <c r="N94" s="1">
        <f t="shared" si="33"/>
        <v>156</v>
      </c>
      <c r="O94" s="1"/>
      <c r="P94" s="1">
        <v>0</v>
      </c>
      <c r="Q94" s="1">
        <v>0</v>
      </c>
      <c r="R94" s="1">
        <f t="shared" si="34"/>
        <v>31.2</v>
      </c>
      <c r="S94" s="5">
        <f>12*R94-Q94-P94-G94-F94</f>
        <v>253.39999999999998</v>
      </c>
      <c r="T94" s="19">
        <f>VLOOKUP(A94,[1]TDSheet!$D:$J,7,0)</f>
        <v>0</v>
      </c>
      <c r="U94" s="5">
        <f t="shared" si="48"/>
        <v>253.39999999999998</v>
      </c>
      <c r="V94" s="5">
        <f t="shared" si="49"/>
        <v>0</v>
      </c>
      <c r="W94" s="1">
        <f t="shared" si="35"/>
        <v>12</v>
      </c>
      <c r="X94" s="1">
        <f t="shared" si="32"/>
        <v>3.8782051282051282</v>
      </c>
      <c r="Y94" s="1">
        <v>0.4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 t="s">
        <v>38</v>
      </c>
      <c r="AJ94" s="1">
        <f t="shared" si="36"/>
        <v>82.35499999999999</v>
      </c>
      <c r="AK94" s="1">
        <f t="shared" si="37"/>
        <v>0</v>
      </c>
    </row>
    <row r="95" spans="1:37" x14ac:dyDescent="0.25">
      <c r="A95" s="1" t="s">
        <v>146</v>
      </c>
      <c r="B95" s="1" t="s">
        <v>40</v>
      </c>
      <c r="C95" s="1">
        <v>268</v>
      </c>
      <c r="D95" s="1">
        <v>562</v>
      </c>
      <c r="E95" s="1">
        <v>233</v>
      </c>
      <c r="F95" s="1">
        <v>26</v>
      </c>
      <c r="G95" s="1">
        <f>VLOOKUP(A95,[2]TDSheet!$A:$M,9,0)</f>
        <v>32</v>
      </c>
      <c r="H95" s="7">
        <v>0.12</v>
      </c>
      <c r="I95" s="1">
        <v>60</v>
      </c>
      <c r="J95" s="1" t="s">
        <v>37</v>
      </c>
      <c r="K95" s="1"/>
      <c r="L95" s="1">
        <v>239</v>
      </c>
      <c r="M95" s="1">
        <f t="shared" si="31"/>
        <v>-6</v>
      </c>
      <c r="N95" s="1">
        <f t="shared" si="33"/>
        <v>185</v>
      </c>
      <c r="O95" s="1">
        <f>VLOOKUP(A95,[3]TDSheet!$A:$AX,7,0)</f>
        <v>48</v>
      </c>
      <c r="P95" s="1">
        <v>639</v>
      </c>
      <c r="Q95" s="1">
        <v>0</v>
      </c>
      <c r="R95" s="1">
        <f t="shared" si="34"/>
        <v>37</v>
      </c>
      <c r="S95" s="5"/>
      <c r="T95" s="19">
        <f>VLOOKUP(A95,[1]TDSheet!$D:$J,7,0)</f>
        <v>0.54972375690607733</v>
      </c>
      <c r="U95" s="5">
        <f t="shared" si="48"/>
        <v>0</v>
      </c>
      <c r="V95" s="5">
        <f t="shared" si="49"/>
        <v>0</v>
      </c>
      <c r="W95" s="1">
        <f t="shared" si="35"/>
        <v>18.837837837837839</v>
      </c>
      <c r="X95" s="1">
        <f t="shared" si="32"/>
        <v>18.837837837837839</v>
      </c>
      <c r="Y95" s="1">
        <v>50.6</v>
      </c>
      <c r="Z95" s="1">
        <v>77.2</v>
      </c>
      <c r="AA95" s="1">
        <v>50</v>
      </c>
      <c r="AB95" s="1">
        <v>83</v>
      </c>
      <c r="AC95" s="1">
        <v>79</v>
      </c>
      <c r="AD95" s="1">
        <v>54.8</v>
      </c>
      <c r="AE95" s="1">
        <v>35.6</v>
      </c>
      <c r="AF95" s="1">
        <v>57.8</v>
      </c>
      <c r="AG95" s="1">
        <v>44.4</v>
      </c>
      <c r="AH95" s="1">
        <v>26.4</v>
      </c>
      <c r="AI95" s="1"/>
      <c r="AJ95" s="1">
        <f t="shared" si="36"/>
        <v>0</v>
      </c>
      <c r="AK95" s="1">
        <f t="shared" si="37"/>
        <v>0</v>
      </c>
    </row>
    <row r="96" spans="1:37" x14ac:dyDescent="0.25">
      <c r="A96" s="1" t="s">
        <v>147</v>
      </c>
      <c r="B96" s="1" t="s">
        <v>40</v>
      </c>
      <c r="C96" s="1">
        <v>139</v>
      </c>
      <c r="D96" s="1">
        <v>181</v>
      </c>
      <c r="E96" s="1">
        <v>124</v>
      </c>
      <c r="F96" s="1">
        <v>2</v>
      </c>
      <c r="G96" s="1"/>
      <c r="H96" s="7">
        <v>0.15</v>
      </c>
      <c r="I96" s="1">
        <v>90</v>
      </c>
      <c r="J96" s="1" t="s">
        <v>37</v>
      </c>
      <c r="K96" s="1"/>
      <c r="L96" s="1">
        <v>290</v>
      </c>
      <c r="M96" s="1">
        <f t="shared" si="31"/>
        <v>-166</v>
      </c>
      <c r="N96" s="1">
        <f t="shared" si="33"/>
        <v>124</v>
      </c>
      <c r="O96" s="1"/>
      <c r="P96" s="1">
        <v>0</v>
      </c>
      <c r="Q96" s="1">
        <v>60</v>
      </c>
      <c r="R96" s="1">
        <f t="shared" si="34"/>
        <v>24.8</v>
      </c>
      <c r="S96" s="5">
        <f>11*R96-Q96-P96-G96-F96</f>
        <v>210.8</v>
      </c>
      <c r="T96" s="19">
        <f>VLOOKUP(A96,[1]TDSheet!$D:$J,7,0)</f>
        <v>0.65546218487394947</v>
      </c>
      <c r="U96" s="5">
        <f t="shared" si="48"/>
        <v>72.628571428571462</v>
      </c>
      <c r="V96" s="5">
        <f t="shared" si="49"/>
        <v>138.17142857142855</v>
      </c>
      <c r="W96" s="1">
        <f t="shared" si="35"/>
        <v>11</v>
      </c>
      <c r="X96" s="1">
        <f t="shared" si="32"/>
        <v>2.5</v>
      </c>
      <c r="Y96" s="1">
        <v>4.5999999999999996</v>
      </c>
      <c r="Z96" s="1">
        <v>0</v>
      </c>
      <c r="AA96" s="1">
        <v>3.4</v>
      </c>
      <c r="AB96" s="1">
        <v>9</v>
      </c>
      <c r="AC96" s="1">
        <v>7.2</v>
      </c>
      <c r="AD96" s="1">
        <v>5.4</v>
      </c>
      <c r="AE96" s="1">
        <v>9</v>
      </c>
      <c r="AF96" s="1">
        <v>0</v>
      </c>
      <c r="AG96" s="1">
        <v>0</v>
      </c>
      <c r="AH96" s="1">
        <v>0</v>
      </c>
      <c r="AI96" s="1" t="s">
        <v>38</v>
      </c>
      <c r="AJ96" s="1">
        <f t="shared" si="36"/>
        <v>10.894285714285719</v>
      </c>
      <c r="AK96" s="1">
        <f t="shared" si="37"/>
        <v>20.725714285714282</v>
      </c>
    </row>
    <row r="97" spans="1:37" x14ac:dyDescent="0.25">
      <c r="A97" s="1" t="s">
        <v>148</v>
      </c>
      <c r="B97" s="1" t="s">
        <v>40</v>
      </c>
      <c r="C97" s="1">
        <v>114</v>
      </c>
      <c r="D97" s="1">
        <v>9</v>
      </c>
      <c r="E97" s="1">
        <v>108</v>
      </c>
      <c r="F97" s="1">
        <v>3</v>
      </c>
      <c r="G97" s="1"/>
      <c r="H97" s="7">
        <v>0.15</v>
      </c>
      <c r="I97" s="1">
        <v>90</v>
      </c>
      <c r="J97" s="1" t="s">
        <v>37</v>
      </c>
      <c r="K97" s="1"/>
      <c r="L97" s="1">
        <v>282</v>
      </c>
      <c r="M97" s="1">
        <f t="shared" si="31"/>
        <v>-174</v>
      </c>
      <c r="N97" s="1">
        <f t="shared" si="33"/>
        <v>108</v>
      </c>
      <c r="O97" s="1"/>
      <c r="P97" s="1">
        <v>0</v>
      </c>
      <c r="Q97" s="1">
        <v>150</v>
      </c>
      <c r="R97" s="1">
        <f t="shared" si="34"/>
        <v>21.6</v>
      </c>
      <c r="S97" s="5">
        <f t="shared" si="47"/>
        <v>171</v>
      </c>
      <c r="T97" s="19">
        <f>VLOOKUP(A97,[1]TDSheet!$D:$J,7,0)</f>
        <v>0.15384615384615385</v>
      </c>
      <c r="U97" s="5">
        <f t="shared" si="48"/>
        <v>144.69230769230768</v>
      </c>
      <c r="V97" s="5">
        <f t="shared" si="49"/>
        <v>26.30769230769231</v>
      </c>
      <c r="W97" s="1">
        <f t="shared" si="35"/>
        <v>14.999999999999998</v>
      </c>
      <c r="X97" s="1">
        <f t="shared" si="32"/>
        <v>7.083333333333333</v>
      </c>
      <c r="Y97" s="1">
        <v>1.2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 t="s">
        <v>38</v>
      </c>
      <c r="AJ97" s="1">
        <f t="shared" si="36"/>
        <v>21.70384615384615</v>
      </c>
      <c r="AK97" s="1">
        <f t="shared" si="37"/>
        <v>3.9461538461538463</v>
      </c>
    </row>
    <row r="98" spans="1:37" x14ac:dyDescent="0.25">
      <c r="A98" s="1" t="s">
        <v>139</v>
      </c>
      <c r="B98" s="1" t="s">
        <v>40</v>
      </c>
      <c r="C98" s="1">
        <v>206</v>
      </c>
      <c r="D98" s="1">
        <v>96</v>
      </c>
      <c r="E98" s="1">
        <v>151</v>
      </c>
      <c r="F98" s="1">
        <v>27</v>
      </c>
      <c r="G98" s="1">
        <f>VLOOKUP(A98,[2]TDSheet!$A:$M,9,0)</f>
        <v>70</v>
      </c>
      <c r="H98" s="7">
        <v>0.33</v>
      </c>
      <c r="I98" s="1">
        <v>30</v>
      </c>
      <c r="J98" s="1" t="s">
        <v>37</v>
      </c>
      <c r="K98" s="1"/>
      <c r="L98" s="1">
        <v>179</v>
      </c>
      <c r="M98" s="1">
        <f t="shared" si="31"/>
        <v>-28</v>
      </c>
      <c r="N98" s="1">
        <f t="shared" si="33"/>
        <v>151</v>
      </c>
      <c r="O98" s="1"/>
      <c r="P98" s="1">
        <v>79</v>
      </c>
      <c r="Q98" s="1">
        <v>87</v>
      </c>
      <c r="R98" s="1">
        <f t="shared" si="34"/>
        <v>30.2</v>
      </c>
      <c r="S98" s="5">
        <f t="shared" si="47"/>
        <v>190</v>
      </c>
      <c r="T98" s="19">
        <f>VLOOKUP(A98,[1]TDSheet!$D:$J,7,0)</f>
        <v>0.40757575757575754</v>
      </c>
      <c r="U98" s="5">
        <f t="shared" si="48"/>
        <v>112.56060606060606</v>
      </c>
      <c r="V98" s="5">
        <f t="shared" si="49"/>
        <v>77.439393939393938</v>
      </c>
      <c r="W98" s="1">
        <f t="shared" si="35"/>
        <v>15</v>
      </c>
      <c r="X98" s="1">
        <f t="shared" si="32"/>
        <v>8.7086092715231782</v>
      </c>
      <c r="Y98" s="1">
        <v>24.4</v>
      </c>
      <c r="Z98" s="1">
        <v>27.2</v>
      </c>
      <c r="AA98" s="1">
        <v>30.4</v>
      </c>
      <c r="AB98" s="1">
        <v>43</v>
      </c>
      <c r="AC98" s="1">
        <v>45.2</v>
      </c>
      <c r="AD98" s="1">
        <v>1.8</v>
      </c>
      <c r="AE98" s="1">
        <v>37.799999999999997</v>
      </c>
      <c r="AF98" s="1">
        <v>56</v>
      </c>
      <c r="AG98" s="1">
        <v>32.200000000000003</v>
      </c>
      <c r="AH98" s="1">
        <v>40</v>
      </c>
      <c r="AI98" s="1"/>
      <c r="AJ98" s="1">
        <f t="shared" si="36"/>
        <v>37.145000000000003</v>
      </c>
      <c r="AK98" s="1">
        <f t="shared" si="37"/>
        <v>25.555</v>
      </c>
    </row>
    <row r="99" spans="1:37" x14ac:dyDescent="0.25">
      <c r="A99" s="1" t="s">
        <v>149</v>
      </c>
      <c r="B99" s="1" t="s">
        <v>40</v>
      </c>
      <c r="C99" s="1">
        <v>148</v>
      </c>
      <c r="D99" s="1">
        <v>38</v>
      </c>
      <c r="E99" s="1">
        <v>150</v>
      </c>
      <c r="F99" s="1"/>
      <c r="G99" s="1"/>
      <c r="H99" s="7">
        <v>0.15</v>
      </c>
      <c r="I99" s="1">
        <v>60</v>
      </c>
      <c r="J99" s="1" t="s">
        <v>37</v>
      </c>
      <c r="K99" s="1"/>
      <c r="L99" s="1">
        <v>445</v>
      </c>
      <c r="M99" s="1">
        <f t="shared" si="31"/>
        <v>-295</v>
      </c>
      <c r="N99" s="1">
        <f t="shared" si="33"/>
        <v>150</v>
      </c>
      <c r="O99" s="1"/>
      <c r="P99" s="1">
        <v>0</v>
      </c>
      <c r="Q99" s="1">
        <v>200</v>
      </c>
      <c r="R99" s="1">
        <f t="shared" si="34"/>
        <v>30</v>
      </c>
      <c r="S99" s="5">
        <f t="shared" si="47"/>
        <v>250</v>
      </c>
      <c r="T99" s="19">
        <f>VLOOKUP(A99,[1]TDSheet!$D:$J,7,0)</f>
        <v>0.3141891891891892</v>
      </c>
      <c r="U99" s="5">
        <f t="shared" si="48"/>
        <v>171.45270270270271</v>
      </c>
      <c r="V99" s="5">
        <f t="shared" si="49"/>
        <v>78.547297297297305</v>
      </c>
      <c r="W99" s="1">
        <f t="shared" si="35"/>
        <v>15</v>
      </c>
      <c r="X99" s="1">
        <f t="shared" si="32"/>
        <v>6.666666666666667</v>
      </c>
      <c r="Y99" s="1">
        <v>11.4</v>
      </c>
      <c r="Z99" s="1">
        <v>5.6</v>
      </c>
      <c r="AA99" s="1">
        <v>10</v>
      </c>
      <c r="AB99" s="1">
        <v>7.8</v>
      </c>
      <c r="AC99" s="1">
        <v>5.8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 t="s">
        <v>38</v>
      </c>
      <c r="AJ99" s="1">
        <f t="shared" si="36"/>
        <v>25.717905405405407</v>
      </c>
      <c r="AK99" s="1">
        <f t="shared" si="37"/>
        <v>11.782094594594595</v>
      </c>
    </row>
    <row r="100" spans="1:37" x14ac:dyDescent="0.25">
      <c r="A100" s="1" t="s">
        <v>150</v>
      </c>
      <c r="B100" s="1" t="s">
        <v>40</v>
      </c>
      <c r="C100" s="1">
        <v>186</v>
      </c>
      <c r="D100" s="1">
        <v>40</v>
      </c>
      <c r="E100" s="1">
        <v>181</v>
      </c>
      <c r="F100" s="1">
        <v>4</v>
      </c>
      <c r="G100" s="1"/>
      <c r="H100" s="7">
        <v>0.26</v>
      </c>
      <c r="I100" s="1">
        <v>45</v>
      </c>
      <c r="J100" s="1" t="s">
        <v>37</v>
      </c>
      <c r="K100" s="1"/>
      <c r="L100" s="1">
        <v>249</v>
      </c>
      <c r="M100" s="1">
        <f t="shared" si="31"/>
        <v>-68</v>
      </c>
      <c r="N100" s="1">
        <f t="shared" si="33"/>
        <v>181</v>
      </c>
      <c r="O100" s="1"/>
      <c r="P100" s="1">
        <v>0</v>
      </c>
      <c r="Q100" s="1">
        <v>30</v>
      </c>
      <c r="R100" s="1">
        <f>N100/5</f>
        <v>36.200000000000003</v>
      </c>
      <c r="S100" s="5">
        <f>8*R100-Q100-P100-G100-F100</f>
        <v>255.60000000000002</v>
      </c>
      <c r="T100" s="19">
        <f>VLOOKUP(A100,[1]TDSheet!$D:$J,7,0)</f>
        <v>0.51412429378531066</v>
      </c>
      <c r="U100" s="5">
        <f t="shared" si="48"/>
        <v>124.18983050847461</v>
      </c>
      <c r="V100" s="5">
        <f t="shared" si="49"/>
        <v>131.41016949152541</v>
      </c>
      <c r="W100" s="1">
        <f t="shared" si="35"/>
        <v>8</v>
      </c>
      <c r="X100" s="1">
        <f t="shared" si="32"/>
        <v>0.93922651933701651</v>
      </c>
      <c r="Y100" s="1">
        <v>3.4</v>
      </c>
      <c r="Z100" s="1">
        <v>6.2</v>
      </c>
      <c r="AA100" s="1">
        <v>11</v>
      </c>
      <c r="AB100" s="1">
        <v>6.8</v>
      </c>
      <c r="AC100" s="1">
        <v>2.8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 t="s">
        <v>38</v>
      </c>
      <c r="AJ100" s="1">
        <f t="shared" si="36"/>
        <v>32.289355932203399</v>
      </c>
      <c r="AK100" s="1">
        <f t="shared" si="37"/>
        <v>34.166644067796611</v>
      </c>
    </row>
    <row r="101" spans="1:37" x14ac:dyDescent="0.25">
      <c r="A101" s="1" t="s">
        <v>151</v>
      </c>
      <c r="B101" s="1" t="s">
        <v>36</v>
      </c>
      <c r="C101" s="1">
        <v>100.914</v>
      </c>
      <c r="D101" s="1"/>
      <c r="E101" s="1">
        <v>45.429000000000002</v>
      </c>
      <c r="F101" s="1">
        <v>50.475000000000001</v>
      </c>
      <c r="G101" s="1"/>
      <c r="H101" s="7">
        <v>1</v>
      </c>
      <c r="I101" s="1">
        <v>30</v>
      </c>
      <c r="J101" s="1" t="s">
        <v>37</v>
      </c>
      <c r="K101" s="1"/>
      <c r="L101" s="1">
        <v>36.5</v>
      </c>
      <c r="M101" s="1">
        <f t="shared" si="31"/>
        <v>8.929000000000002</v>
      </c>
      <c r="N101" s="1">
        <f t="shared" si="33"/>
        <v>45.429000000000002</v>
      </c>
      <c r="O101" s="1"/>
      <c r="P101" s="1">
        <v>0</v>
      </c>
      <c r="Q101" s="1">
        <v>50</v>
      </c>
      <c r="R101" s="1">
        <f t="shared" si="34"/>
        <v>9.0858000000000008</v>
      </c>
      <c r="S101" s="5">
        <f t="shared" si="47"/>
        <v>35.812000000000005</v>
      </c>
      <c r="T101" s="19">
        <f>VLOOKUP(A101,[1]TDSheet!$D:$J,7,0)</f>
        <v>0</v>
      </c>
      <c r="U101" s="5">
        <f t="shared" si="48"/>
        <v>35.812000000000005</v>
      </c>
      <c r="V101" s="5">
        <f t="shared" si="49"/>
        <v>0</v>
      </c>
      <c r="W101" s="1">
        <f t="shared" si="35"/>
        <v>15</v>
      </c>
      <c r="X101" s="1">
        <f t="shared" si="32"/>
        <v>11.058464857249772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 t="s">
        <v>38</v>
      </c>
      <c r="AJ101" s="1">
        <f t="shared" si="36"/>
        <v>35.812000000000005</v>
      </c>
      <c r="AK101" s="1">
        <f t="shared" si="37"/>
        <v>0</v>
      </c>
    </row>
    <row r="102" spans="1:37" x14ac:dyDescent="0.25">
      <c r="A102" s="1" t="s">
        <v>152</v>
      </c>
      <c r="B102" s="1" t="s">
        <v>40</v>
      </c>
      <c r="C102" s="1">
        <v>182</v>
      </c>
      <c r="D102" s="1">
        <v>58</v>
      </c>
      <c r="E102" s="1">
        <v>174</v>
      </c>
      <c r="F102" s="1">
        <v>4</v>
      </c>
      <c r="G102" s="1"/>
      <c r="H102" s="7">
        <v>0.31</v>
      </c>
      <c r="I102" s="1">
        <v>45</v>
      </c>
      <c r="J102" s="1" t="s">
        <v>37</v>
      </c>
      <c r="K102" s="1"/>
      <c r="L102" s="1">
        <v>244</v>
      </c>
      <c r="M102" s="1">
        <f t="shared" ref="M102:M119" si="50">E102-L102</f>
        <v>-70</v>
      </c>
      <c r="N102" s="1">
        <f t="shared" si="33"/>
        <v>174</v>
      </c>
      <c r="O102" s="1"/>
      <c r="P102" s="1">
        <v>0</v>
      </c>
      <c r="Q102" s="1">
        <v>30</v>
      </c>
      <c r="R102" s="1">
        <f t="shared" si="34"/>
        <v>34.799999999999997</v>
      </c>
      <c r="S102" s="5">
        <f>8*R102-Q102-P102-G102-F102</f>
        <v>244.39999999999998</v>
      </c>
      <c r="T102" s="19">
        <f>VLOOKUP(A102,[1]TDSheet!$D:$J,7,0)</f>
        <v>0.4705882352941177</v>
      </c>
      <c r="U102" s="5">
        <f t="shared" si="48"/>
        <v>129.38823529411764</v>
      </c>
      <c r="V102" s="5">
        <f t="shared" si="49"/>
        <v>115.01176470588236</v>
      </c>
      <c r="W102" s="1">
        <f t="shared" si="35"/>
        <v>8</v>
      </c>
      <c r="X102" s="1">
        <f t="shared" ref="X102:X119" si="51">(F102+G102+P102+Q102)/R102</f>
        <v>0.97701149425287359</v>
      </c>
      <c r="Y102" s="1">
        <v>5</v>
      </c>
      <c r="Z102" s="1">
        <v>8.4</v>
      </c>
      <c r="AA102" s="1">
        <v>9</v>
      </c>
      <c r="AB102" s="1">
        <v>7.8</v>
      </c>
      <c r="AC102" s="1">
        <v>4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 t="s">
        <v>38</v>
      </c>
      <c r="AJ102" s="1">
        <f t="shared" si="36"/>
        <v>40.110352941176465</v>
      </c>
      <c r="AK102" s="1">
        <f t="shared" si="37"/>
        <v>35.65364705882353</v>
      </c>
    </row>
    <row r="103" spans="1:37" x14ac:dyDescent="0.25">
      <c r="A103" s="1" t="s">
        <v>153</v>
      </c>
      <c r="B103" s="1" t="s">
        <v>36</v>
      </c>
      <c r="C103" s="1">
        <v>101.369</v>
      </c>
      <c r="D103" s="1">
        <v>3.4</v>
      </c>
      <c r="E103" s="1">
        <v>32.076999999999998</v>
      </c>
      <c r="F103" s="1">
        <v>68.28</v>
      </c>
      <c r="G103" s="1"/>
      <c r="H103" s="7">
        <v>1</v>
      </c>
      <c r="I103" s="1">
        <v>30</v>
      </c>
      <c r="J103" s="1" t="s">
        <v>37</v>
      </c>
      <c r="K103" s="1"/>
      <c r="L103" s="1">
        <v>35.799999999999997</v>
      </c>
      <c r="M103" s="1">
        <f t="shared" si="50"/>
        <v>-3.722999999999999</v>
      </c>
      <c r="N103" s="1">
        <f t="shared" si="33"/>
        <v>32.076999999999998</v>
      </c>
      <c r="O103" s="1"/>
      <c r="P103" s="1">
        <v>0</v>
      </c>
      <c r="Q103" s="1">
        <v>50</v>
      </c>
      <c r="R103" s="1">
        <f t="shared" si="34"/>
        <v>6.4154</v>
      </c>
      <c r="S103" s="5"/>
      <c r="T103" s="19">
        <f>VLOOKUP(A103,[1]TDSheet!$D:$J,7,0)</f>
        <v>0</v>
      </c>
      <c r="U103" s="5">
        <f t="shared" si="48"/>
        <v>0</v>
      </c>
      <c r="V103" s="5">
        <f t="shared" si="49"/>
        <v>0</v>
      </c>
      <c r="W103" s="1">
        <f t="shared" si="35"/>
        <v>18.436886242479034</v>
      </c>
      <c r="X103" s="1">
        <f t="shared" si="51"/>
        <v>18.436886242479034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 t="s">
        <v>38</v>
      </c>
      <c r="AJ103" s="1">
        <f t="shared" si="36"/>
        <v>0</v>
      </c>
      <c r="AK103" s="1">
        <f t="shared" si="37"/>
        <v>0</v>
      </c>
    </row>
    <row r="104" spans="1:37" x14ac:dyDescent="0.25">
      <c r="A104" s="1" t="s">
        <v>154</v>
      </c>
      <c r="B104" s="1" t="s">
        <v>40</v>
      </c>
      <c r="C104" s="1">
        <v>386</v>
      </c>
      <c r="D104" s="1">
        <v>919</v>
      </c>
      <c r="E104" s="1">
        <v>253</v>
      </c>
      <c r="F104" s="1">
        <v>117</v>
      </c>
      <c r="G104" s="1">
        <f>VLOOKUP(A104,[2]TDSheet!$A:$M,9,0)</f>
        <v>128</v>
      </c>
      <c r="H104" s="7">
        <v>0.4</v>
      </c>
      <c r="I104" s="1">
        <v>60</v>
      </c>
      <c r="J104" s="1" t="s">
        <v>37</v>
      </c>
      <c r="K104" s="1"/>
      <c r="L104" s="1">
        <v>267</v>
      </c>
      <c r="M104" s="1">
        <f t="shared" si="50"/>
        <v>-14</v>
      </c>
      <c r="N104" s="1">
        <f t="shared" si="33"/>
        <v>157</v>
      </c>
      <c r="O104" s="1">
        <f>VLOOKUP(A104,[3]TDSheet!$A:$AX,7,0)</f>
        <v>96</v>
      </c>
      <c r="P104" s="1">
        <v>49</v>
      </c>
      <c r="Q104" s="1">
        <v>42</v>
      </c>
      <c r="R104" s="1">
        <f t="shared" si="34"/>
        <v>31.4</v>
      </c>
      <c r="S104" s="5">
        <f t="shared" si="47"/>
        <v>135</v>
      </c>
      <c r="T104" s="19">
        <f>VLOOKUP(A104,[1]TDSheet!$D:$J,7,0)</f>
        <v>0.68349514563106806</v>
      </c>
      <c r="U104" s="5">
        <f t="shared" si="48"/>
        <v>42.728155339805809</v>
      </c>
      <c r="V104" s="5">
        <f t="shared" si="49"/>
        <v>92.271844660194191</v>
      </c>
      <c r="W104" s="1">
        <f t="shared" si="35"/>
        <v>15</v>
      </c>
      <c r="X104" s="1">
        <f t="shared" si="51"/>
        <v>10.70063694267516</v>
      </c>
      <c r="Y104" s="1">
        <v>31.8</v>
      </c>
      <c r="Z104" s="1">
        <v>39.4</v>
      </c>
      <c r="AA104" s="1">
        <v>24.4</v>
      </c>
      <c r="AB104" s="1">
        <v>65</v>
      </c>
      <c r="AC104" s="1">
        <v>53.4</v>
      </c>
      <c r="AD104" s="1">
        <v>32</v>
      </c>
      <c r="AE104" s="1">
        <v>33</v>
      </c>
      <c r="AF104" s="1">
        <v>43</v>
      </c>
      <c r="AG104" s="1">
        <v>36.6</v>
      </c>
      <c r="AH104" s="1">
        <v>18.600000000000001</v>
      </c>
      <c r="AI104" s="1"/>
      <c r="AJ104" s="1">
        <f t="shared" si="36"/>
        <v>17.091262135922324</v>
      </c>
      <c r="AK104" s="1">
        <f t="shared" si="37"/>
        <v>36.908737864077679</v>
      </c>
    </row>
    <row r="105" spans="1:37" x14ac:dyDescent="0.25">
      <c r="A105" s="1" t="s">
        <v>155</v>
      </c>
      <c r="B105" s="1" t="s">
        <v>40</v>
      </c>
      <c r="C105" s="1">
        <v>8</v>
      </c>
      <c r="D105" s="1">
        <v>152</v>
      </c>
      <c r="E105" s="1">
        <v>3</v>
      </c>
      <c r="F105" s="1">
        <v>5</v>
      </c>
      <c r="G105" s="1"/>
      <c r="H105" s="7">
        <v>0.35</v>
      </c>
      <c r="I105" s="1">
        <v>60</v>
      </c>
      <c r="J105" s="1" t="s">
        <v>37</v>
      </c>
      <c r="K105" s="1"/>
      <c r="L105" s="1">
        <v>115</v>
      </c>
      <c r="M105" s="1">
        <f t="shared" si="50"/>
        <v>-112</v>
      </c>
      <c r="N105" s="1">
        <f t="shared" si="33"/>
        <v>3</v>
      </c>
      <c r="O105" s="1"/>
      <c r="P105" s="1">
        <v>116</v>
      </c>
      <c r="Q105" s="1">
        <v>0</v>
      </c>
      <c r="R105" s="1">
        <f t="shared" si="34"/>
        <v>0.6</v>
      </c>
      <c r="S105" s="5"/>
      <c r="T105" s="19">
        <f>VLOOKUP(A105,[1]TDSheet!$D:$J,7,0)</f>
        <v>0.5</v>
      </c>
      <c r="U105" s="5">
        <f t="shared" si="48"/>
        <v>0</v>
      </c>
      <c r="V105" s="5">
        <f t="shared" si="49"/>
        <v>0</v>
      </c>
      <c r="W105" s="1">
        <f t="shared" si="35"/>
        <v>201.66666666666669</v>
      </c>
      <c r="X105" s="1">
        <f t="shared" si="51"/>
        <v>201.66666666666669</v>
      </c>
      <c r="Y105" s="1">
        <v>0.2</v>
      </c>
      <c r="Z105" s="1">
        <v>7.8</v>
      </c>
      <c r="AA105" s="1">
        <v>0</v>
      </c>
      <c r="AB105" s="1">
        <v>0</v>
      </c>
      <c r="AC105" s="1">
        <v>4.5999999999999996</v>
      </c>
      <c r="AD105" s="1">
        <v>3.6</v>
      </c>
      <c r="AE105" s="1">
        <v>1</v>
      </c>
      <c r="AF105" s="1">
        <v>0.6</v>
      </c>
      <c r="AG105" s="1">
        <v>0.4</v>
      </c>
      <c r="AH105" s="1">
        <v>0.6</v>
      </c>
      <c r="AI105" s="1" t="s">
        <v>156</v>
      </c>
      <c r="AJ105" s="1">
        <f t="shared" si="36"/>
        <v>0</v>
      </c>
      <c r="AK105" s="1">
        <f t="shared" si="37"/>
        <v>0</v>
      </c>
    </row>
    <row r="106" spans="1:37" x14ac:dyDescent="0.25">
      <c r="A106" s="1" t="s">
        <v>157</v>
      </c>
      <c r="B106" s="1" t="s">
        <v>36</v>
      </c>
      <c r="C106" s="1">
        <v>172.86199999999999</v>
      </c>
      <c r="D106" s="1">
        <v>3.3919999999999999</v>
      </c>
      <c r="E106" s="1">
        <v>61.000999999999998</v>
      </c>
      <c r="F106" s="1">
        <v>54.991</v>
      </c>
      <c r="G106" s="1">
        <f>VLOOKUP(A106,[2]TDSheet!$A:$M,9,0)</f>
        <v>52.542000000000002</v>
      </c>
      <c r="H106" s="7">
        <v>1</v>
      </c>
      <c r="I106" s="1">
        <v>45</v>
      </c>
      <c r="J106" s="1" t="s">
        <v>37</v>
      </c>
      <c r="K106" s="1"/>
      <c r="L106" s="1">
        <v>57.3</v>
      </c>
      <c r="M106" s="1">
        <f t="shared" si="50"/>
        <v>3.7010000000000005</v>
      </c>
      <c r="N106" s="1">
        <f t="shared" si="33"/>
        <v>61.000999999999998</v>
      </c>
      <c r="O106" s="1"/>
      <c r="P106" s="1">
        <v>0</v>
      </c>
      <c r="Q106" s="1">
        <v>0</v>
      </c>
      <c r="R106" s="1">
        <f t="shared" si="34"/>
        <v>12.200199999999999</v>
      </c>
      <c r="S106" s="5">
        <f t="shared" si="47"/>
        <v>75.469999999999985</v>
      </c>
      <c r="T106" s="19">
        <f>VLOOKUP(A106,[1]TDSheet!$D:$J,7,0)</f>
        <v>0.4465351162598869</v>
      </c>
      <c r="U106" s="5">
        <f t="shared" si="48"/>
        <v>41.76999477586633</v>
      </c>
      <c r="V106" s="5">
        <f t="shared" si="49"/>
        <v>33.700005224133655</v>
      </c>
      <c r="W106" s="1">
        <f t="shared" si="35"/>
        <v>15</v>
      </c>
      <c r="X106" s="1">
        <f t="shared" si="51"/>
        <v>8.8140358354781085</v>
      </c>
      <c r="Y106" s="1">
        <v>1.3218000000000001</v>
      </c>
      <c r="Z106" s="1">
        <v>3.1663999999999999</v>
      </c>
      <c r="AA106" s="1">
        <v>11.7332</v>
      </c>
      <c r="AB106" s="1">
        <v>0.34699999999999998</v>
      </c>
      <c r="AC106" s="1">
        <v>0.50080000000000002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 t="s">
        <v>38</v>
      </c>
      <c r="AJ106" s="1">
        <f t="shared" si="36"/>
        <v>41.76999477586633</v>
      </c>
      <c r="AK106" s="1">
        <f t="shared" si="37"/>
        <v>33.700005224133655</v>
      </c>
    </row>
    <row r="107" spans="1:37" x14ac:dyDescent="0.25">
      <c r="A107" s="1" t="s">
        <v>158</v>
      </c>
      <c r="B107" s="1" t="s">
        <v>36</v>
      </c>
      <c r="C107" s="1">
        <v>16.876000000000001</v>
      </c>
      <c r="D107" s="1">
        <v>43.433999999999997</v>
      </c>
      <c r="E107" s="1">
        <v>25.577999999999999</v>
      </c>
      <c r="F107" s="1">
        <v>0.86099999999999999</v>
      </c>
      <c r="G107" s="1"/>
      <c r="H107" s="7">
        <v>1</v>
      </c>
      <c r="I107" s="1">
        <v>45</v>
      </c>
      <c r="J107" s="1" t="s">
        <v>37</v>
      </c>
      <c r="K107" s="1"/>
      <c r="L107" s="1">
        <v>68.760000000000005</v>
      </c>
      <c r="M107" s="1">
        <f t="shared" si="50"/>
        <v>-43.182000000000002</v>
      </c>
      <c r="N107" s="1">
        <f t="shared" si="33"/>
        <v>25.577999999999999</v>
      </c>
      <c r="O107" s="1"/>
      <c r="P107" s="1">
        <v>0</v>
      </c>
      <c r="Q107" s="1">
        <v>129</v>
      </c>
      <c r="R107" s="1">
        <f t="shared" si="34"/>
        <v>5.1155999999999997</v>
      </c>
      <c r="S107" s="5"/>
      <c r="T107" s="19">
        <f>VLOOKUP(A107,[1]TDSheet!$D:$J,7,0)</f>
        <v>0.40681027729125813</v>
      </c>
      <c r="U107" s="5">
        <f t="shared" si="48"/>
        <v>0</v>
      </c>
      <c r="V107" s="5">
        <f t="shared" si="49"/>
        <v>0</v>
      </c>
      <c r="W107" s="1">
        <f t="shared" si="35"/>
        <v>25.385292047853625</v>
      </c>
      <c r="X107" s="1">
        <f t="shared" si="51"/>
        <v>25.385292047853625</v>
      </c>
      <c r="Y107" s="1">
        <v>16.523</v>
      </c>
      <c r="Z107" s="1">
        <v>0</v>
      </c>
      <c r="AA107" s="1">
        <v>6.5928000000000004</v>
      </c>
      <c r="AB107" s="1">
        <v>12.7</v>
      </c>
      <c r="AC107" s="1">
        <v>5.0625999999999998</v>
      </c>
      <c r="AD107" s="1">
        <v>0.50580000000000003</v>
      </c>
      <c r="AE107" s="1">
        <v>9.2891999999999992</v>
      </c>
      <c r="AF107" s="1">
        <v>4.9366000000000003</v>
      </c>
      <c r="AG107" s="1">
        <v>0.85839999999999994</v>
      </c>
      <c r="AH107" s="1">
        <v>15.9528</v>
      </c>
      <c r="AI107" s="1"/>
      <c r="AJ107" s="1">
        <f t="shared" si="36"/>
        <v>0</v>
      </c>
      <c r="AK107" s="1">
        <f t="shared" si="37"/>
        <v>0</v>
      </c>
    </row>
    <row r="108" spans="1:37" x14ac:dyDescent="0.25">
      <c r="A108" s="9" t="s">
        <v>159</v>
      </c>
      <c r="B108" s="9" t="s">
        <v>40</v>
      </c>
      <c r="C108" s="9">
        <v>158</v>
      </c>
      <c r="D108" s="9"/>
      <c r="E108" s="9"/>
      <c r="F108" s="9"/>
      <c r="G108" s="9"/>
      <c r="H108" s="10">
        <v>0</v>
      </c>
      <c r="I108" s="9"/>
      <c r="J108" s="9" t="s">
        <v>62</v>
      </c>
      <c r="K108" s="9"/>
      <c r="L108" s="9">
        <v>25</v>
      </c>
      <c r="M108" s="9">
        <f t="shared" si="50"/>
        <v>-25</v>
      </c>
      <c r="N108" s="9">
        <f t="shared" si="33"/>
        <v>0</v>
      </c>
      <c r="O108" s="9"/>
      <c r="P108" s="9">
        <v>0</v>
      </c>
      <c r="Q108" s="9">
        <v>0</v>
      </c>
      <c r="R108" s="9">
        <f t="shared" si="34"/>
        <v>0</v>
      </c>
      <c r="S108" s="11"/>
      <c r="T108" s="19">
        <f>VLOOKUP(A108,[1]TDSheet!$D:$J,7,0)</f>
        <v>0.42307692307692307</v>
      </c>
      <c r="U108" s="11"/>
      <c r="V108" s="11"/>
      <c r="W108" s="9" t="e">
        <f t="shared" si="35"/>
        <v>#DIV/0!</v>
      </c>
      <c r="X108" s="9" t="e">
        <f t="shared" si="51"/>
        <v>#DIV/0!</v>
      </c>
      <c r="Y108" s="9">
        <v>0.2</v>
      </c>
      <c r="Z108" s="9">
        <v>0.2</v>
      </c>
      <c r="AA108" s="9">
        <v>0</v>
      </c>
      <c r="AB108" s="9">
        <v>4.4000000000000004</v>
      </c>
      <c r="AC108" s="9">
        <v>2.2000000000000002</v>
      </c>
      <c r="AD108" s="9">
        <v>1</v>
      </c>
      <c r="AE108" s="9">
        <v>0</v>
      </c>
      <c r="AF108" s="9">
        <v>0</v>
      </c>
      <c r="AG108" s="9">
        <v>0</v>
      </c>
      <c r="AH108" s="9">
        <v>0</v>
      </c>
      <c r="AI108" s="13" t="s">
        <v>160</v>
      </c>
      <c r="AJ108" s="1">
        <f t="shared" si="36"/>
        <v>0</v>
      </c>
      <c r="AK108" s="1">
        <f t="shared" si="37"/>
        <v>0</v>
      </c>
    </row>
    <row r="109" spans="1:37" x14ac:dyDescent="0.25">
      <c r="A109" s="1" t="s">
        <v>161</v>
      </c>
      <c r="B109" s="1" t="s">
        <v>40</v>
      </c>
      <c r="C109" s="1">
        <v>79</v>
      </c>
      <c r="D109" s="1">
        <v>401</v>
      </c>
      <c r="E109" s="1">
        <v>109</v>
      </c>
      <c r="F109" s="1">
        <v>2</v>
      </c>
      <c r="G109" s="1"/>
      <c r="H109" s="7">
        <v>0.33</v>
      </c>
      <c r="I109" s="1">
        <v>45</v>
      </c>
      <c r="J109" s="1" t="s">
        <v>37</v>
      </c>
      <c r="K109" s="1"/>
      <c r="L109" s="1">
        <v>267</v>
      </c>
      <c r="M109" s="1">
        <f t="shared" si="50"/>
        <v>-158</v>
      </c>
      <c r="N109" s="1">
        <f t="shared" si="33"/>
        <v>53</v>
      </c>
      <c r="O109" s="1">
        <f>VLOOKUP(A109,[3]TDSheet!$A:$AX,7,0)</f>
        <v>56</v>
      </c>
      <c r="P109" s="1">
        <v>0</v>
      </c>
      <c r="Q109" s="1">
        <v>0</v>
      </c>
      <c r="R109" s="1">
        <f t="shared" si="34"/>
        <v>10.6</v>
      </c>
      <c r="S109" s="5">
        <v>160</v>
      </c>
      <c r="T109" s="19">
        <f>VLOOKUP(A109,[1]TDSheet!$D:$J,7,0)</f>
        <v>0.7021276595744681</v>
      </c>
      <c r="U109" s="5">
        <f>S109-V109</f>
        <v>47.659574468085111</v>
      </c>
      <c r="V109" s="5">
        <f>S109*T109</f>
        <v>112.34042553191489</v>
      </c>
      <c r="W109" s="1">
        <f t="shared" si="35"/>
        <v>15.283018867924529</v>
      </c>
      <c r="X109" s="1">
        <f t="shared" si="51"/>
        <v>0.18867924528301888</v>
      </c>
      <c r="Y109" s="1">
        <v>5</v>
      </c>
      <c r="Z109" s="1">
        <v>1.6</v>
      </c>
      <c r="AA109" s="1">
        <v>0</v>
      </c>
      <c r="AB109" s="1">
        <v>-2.2000000000000002</v>
      </c>
      <c r="AC109" s="1">
        <v>23</v>
      </c>
      <c r="AD109" s="1">
        <v>25.8</v>
      </c>
      <c r="AE109" s="1">
        <v>35.200000000000003</v>
      </c>
      <c r="AF109" s="1">
        <v>18.8</v>
      </c>
      <c r="AG109" s="1">
        <v>4.8</v>
      </c>
      <c r="AH109" s="1">
        <v>21.6</v>
      </c>
      <c r="AI109" s="1" t="s">
        <v>162</v>
      </c>
      <c r="AJ109" s="1">
        <f t="shared" si="36"/>
        <v>15.727659574468088</v>
      </c>
      <c r="AK109" s="1">
        <f t="shared" si="37"/>
        <v>37.072340425531912</v>
      </c>
    </row>
    <row r="110" spans="1:37" x14ac:dyDescent="0.25">
      <c r="A110" s="9" t="s">
        <v>163</v>
      </c>
      <c r="B110" s="9" t="s">
        <v>40</v>
      </c>
      <c r="C110" s="9">
        <v>46</v>
      </c>
      <c r="D110" s="9"/>
      <c r="E110" s="9">
        <v>-1</v>
      </c>
      <c r="F110" s="9"/>
      <c r="G110" s="9"/>
      <c r="H110" s="10">
        <v>0</v>
      </c>
      <c r="I110" s="9">
        <v>45</v>
      </c>
      <c r="J110" s="9" t="s">
        <v>77</v>
      </c>
      <c r="K110" s="9"/>
      <c r="L110" s="9">
        <v>16</v>
      </c>
      <c r="M110" s="9">
        <f t="shared" si="50"/>
        <v>-17</v>
      </c>
      <c r="N110" s="9">
        <f t="shared" si="33"/>
        <v>-1</v>
      </c>
      <c r="O110" s="9"/>
      <c r="P110" s="9">
        <v>0</v>
      </c>
      <c r="Q110" s="9">
        <v>0</v>
      </c>
      <c r="R110" s="9">
        <f t="shared" si="34"/>
        <v>-0.2</v>
      </c>
      <c r="S110" s="11"/>
      <c r="T110" s="19">
        <f>VLOOKUP(A110,[1]TDSheet!$D:$J,7,0)</f>
        <v>0.90909090909090906</v>
      </c>
      <c r="U110" s="11"/>
      <c r="V110" s="11"/>
      <c r="W110" s="9">
        <f t="shared" si="35"/>
        <v>0</v>
      </c>
      <c r="X110" s="9">
        <f t="shared" si="51"/>
        <v>0</v>
      </c>
      <c r="Y110" s="9">
        <v>0</v>
      </c>
      <c r="Z110" s="9">
        <v>-0.2</v>
      </c>
      <c r="AA110" s="9">
        <v>0</v>
      </c>
      <c r="AB110" s="9">
        <v>2.4</v>
      </c>
      <c r="AC110" s="9">
        <v>0.8</v>
      </c>
      <c r="AD110" s="9">
        <v>0.6</v>
      </c>
      <c r="AE110" s="9">
        <v>0.4</v>
      </c>
      <c r="AF110" s="9">
        <v>4.2</v>
      </c>
      <c r="AG110" s="9">
        <v>3.4</v>
      </c>
      <c r="AH110" s="9">
        <v>0</v>
      </c>
      <c r="AI110" s="9"/>
      <c r="AJ110" s="1">
        <f t="shared" si="36"/>
        <v>0</v>
      </c>
      <c r="AK110" s="1">
        <f t="shared" si="37"/>
        <v>0</v>
      </c>
    </row>
    <row r="111" spans="1:37" x14ac:dyDescent="0.25">
      <c r="A111" s="9" t="s">
        <v>164</v>
      </c>
      <c r="B111" s="9" t="s">
        <v>40</v>
      </c>
      <c r="C111" s="9">
        <v>4</v>
      </c>
      <c r="D111" s="9">
        <v>319</v>
      </c>
      <c r="E111" s="9"/>
      <c r="F111" s="9"/>
      <c r="G111" s="9"/>
      <c r="H111" s="10">
        <v>0</v>
      </c>
      <c r="I111" s="9">
        <v>60</v>
      </c>
      <c r="J111" s="9" t="s">
        <v>77</v>
      </c>
      <c r="K111" s="9"/>
      <c r="L111" s="9">
        <v>94</v>
      </c>
      <c r="M111" s="9">
        <f t="shared" si="50"/>
        <v>-94</v>
      </c>
      <c r="N111" s="9">
        <f t="shared" si="33"/>
        <v>0</v>
      </c>
      <c r="O111" s="9"/>
      <c r="P111" s="9">
        <v>0</v>
      </c>
      <c r="Q111" s="9">
        <v>0</v>
      </c>
      <c r="R111" s="9">
        <f t="shared" si="34"/>
        <v>0</v>
      </c>
      <c r="S111" s="11"/>
      <c r="T111" s="19">
        <f>VLOOKUP(A111,[1]TDSheet!$D:$J,7,0)</f>
        <v>0.51694915254237284</v>
      </c>
      <c r="U111" s="11"/>
      <c r="V111" s="11"/>
      <c r="W111" s="9" t="e">
        <f t="shared" si="35"/>
        <v>#DIV/0!</v>
      </c>
      <c r="X111" s="9" t="e">
        <f t="shared" si="51"/>
        <v>#DIV/0!</v>
      </c>
      <c r="Y111" s="9">
        <v>4</v>
      </c>
      <c r="Z111" s="9">
        <v>6.2</v>
      </c>
      <c r="AA111" s="9">
        <v>3.4</v>
      </c>
      <c r="AB111" s="9">
        <v>10</v>
      </c>
      <c r="AC111" s="9">
        <v>1</v>
      </c>
      <c r="AD111" s="9">
        <v>0</v>
      </c>
      <c r="AE111" s="9">
        <v>0.4</v>
      </c>
      <c r="AF111" s="9">
        <v>5.8</v>
      </c>
      <c r="AG111" s="9">
        <v>0.6</v>
      </c>
      <c r="AH111" s="9">
        <v>0</v>
      </c>
      <c r="AI111" s="9" t="s">
        <v>165</v>
      </c>
      <c r="AJ111" s="1">
        <f t="shared" si="36"/>
        <v>0</v>
      </c>
      <c r="AK111" s="1">
        <f t="shared" si="37"/>
        <v>0</v>
      </c>
    </row>
    <row r="112" spans="1:37" x14ac:dyDescent="0.25">
      <c r="A112" s="1" t="s">
        <v>166</v>
      </c>
      <c r="B112" s="1" t="s">
        <v>40</v>
      </c>
      <c r="C112" s="1">
        <v>193</v>
      </c>
      <c r="D112" s="1">
        <v>260</v>
      </c>
      <c r="E112" s="1">
        <v>128</v>
      </c>
      <c r="F112" s="1">
        <v>2</v>
      </c>
      <c r="G112" s="1"/>
      <c r="H112" s="7">
        <v>0.1</v>
      </c>
      <c r="I112" s="1">
        <v>60</v>
      </c>
      <c r="J112" s="1" t="s">
        <v>37</v>
      </c>
      <c r="K112" s="1"/>
      <c r="L112" s="1">
        <v>226</v>
      </c>
      <c r="M112" s="1">
        <f t="shared" si="50"/>
        <v>-98</v>
      </c>
      <c r="N112" s="1">
        <f t="shared" si="33"/>
        <v>128</v>
      </c>
      <c r="O112" s="1"/>
      <c r="P112" s="1">
        <v>90</v>
      </c>
      <c r="Q112" s="1">
        <v>155</v>
      </c>
      <c r="R112" s="1">
        <f t="shared" si="34"/>
        <v>25.6</v>
      </c>
      <c r="S112" s="5">
        <f t="shared" ref="S112" si="52">15*R112-Q112-P112-G112-F112</f>
        <v>137</v>
      </c>
      <c r="T112" s="19">
        <f>VLOOKUP(A112,[1]TDSheet!$D:$J,7,0)</f>
        <v>0.24617737003058104</v>
      </c>
      <c r="U112" s="5">
        <f t="shared" ref="U112:U113" si="53">S112-V112</f>
        <v>103.27370030581039</v>
      </c>
      <c r="V112" s="5">
        <f t="shared" ref="V112:V113" si="54">S112*T112</f>
        <v>33.726299694189606</v>
      </c>
      <c r="W112" s="1">
        <f t="shared" si="35"/>
        <v>15</v>
      </c>
      <c r="X112" s="1">
        <f t="shared" si="51"/>
        <v>9.6484375</v>
      </c>
      <c r="Y112" s="1">
        <v>29.2</v>
      </c>
      <c r="Z112" s="1">
        <v>28.4</v>
      </c>
      <c r="AA112" s="1">
        <v>25.8</v>
      </c>
      <c r="AB112" s="1">
        <v>40.4</v>
      </c>
      <c r="AC112" s="1">
        <v>27</v>
      </c>
      <c r="AD112" s="1">
        <v>16.2</v>
      </c>
      <c r="AE112" s="1">
        <v>1.4</v>
      </c>
      <c r="AF112" s="1">
        <v>17</v>
      </c>
      <c r="AG112" s="1">
        <v>24.6</v>
      </c>
      <c r="AH112" s="1">
        <v>0</v>
      </c>
      <c r="AI112" s="1" t="s">
        <v>167</v>
      </c>
      <c r="AJ112" s="1">
        <f t="shared" si="36"/>
        <v>10.32737003058104</v>
      </c>
      <c r="AK112" s="1">
        <f t="shared" si="37"/>
        <v>3.372629969418961</v>
      </c>
    </row>
    <row r="113" spans="1:37" x14ac:dyDescent="0.25">
      <c r="A113" s="1" t="s">
        <v>79</v>
      </c>
      <c r="B113" s="1" t="s">
        <v>40</v>
      </c>
      <c r="C113" s="1">
        <v>135</v>
      </c>
      <c r="D113" s="1">
        <v>352</v>
      </c>
      <c r="E113" s="1">
        <v>124</v>
      </c>
      <c r="F113" s="14">
        <f>3+F36</f>
        <v>5</v>
      </c>
      <c r="G113" s="1"/>
      <c r="H113" s="7">
        <v>0.1</v>
      </c>
      <c r="I113" s="1">
        <v>60</v>
      </c>
      <c r="J113" s="1" t="s">
        <v>37</v>
      </c>
      <c r="K113" s="1"/>
      <c r="L113" s="1">
        <v>268</v>
      </c>
      <c r="M113" s="1">
        <f t="shared" si="50"/>
        <v>-144</v>
      </c>
      <c r="N113" s="1">
        <f t="shared" si="33"/>
        <v>124</v>
      </c>
      <c r="O113" s="1"/>
      <c r="P113" s="1">
        <v>0</v>
      </c>
      <c r="Q113" s="1">
        <v>444</v>
      </c>
      <c r="R113" s="1">
        <f t="shared" si="34"/>
        <v>24.8</v>
      </c>
      <c r="S113" s="5"/>
      <c r="T113" s="19">
        <f>VLOOKUP(A113,[1]TDSheet!$D:$J,7,0)</f>
        <v>0.50526315789473686</v>
      </c>
      <c r="U113" s="5">
        <f t="shared" si="53"/>
        <v>0</v>
      </c>
      <c r="V113" s="5">
        <f t="shared" si="54"/>
        <v>0</v>
      </c>
      <c r="W113" s="1">
        <f t="shared" si="35"/>
        <v>18.10483870967742</v>
      </c>
      <c r="X113" s="1">
        <f t="shared" si="51"/>
        <v>18.10483870967742</v>
      </c>
      <c r="Y113" s="1">
        <v>52.8</v>
      </c>
      <c r="Z113" s="1">
        <v>10.8</v>
      </c>
      <c r="AA113" s="1">
        <v>29.2</v>
      </c>
      <c r="AB113" s="1">
        <v>51</v>
      </c>
      <c r="AC113" s="1">
        <v>2.2000000000000002</v>
      </c>
      <c r="AD113" s="1">
        <v>20.399999999999999</v>
      </c>
      <c r="AE113" s="1">
        <v>38.799999999999997</v>
      </c>
      <c r="AF113" s="1">
        <v>20</v>
      </c>
      <c r="AG113" s="1">
        <v>-0.4</v>
      </c>
      <c r="AH113" s="1">
        <v>0</v>
      </c>
      <c r="AI113" s="1" t="s">
        <v>168</v>
      </c>
      <c r="AJ113" s="1">
        <f t="shared" si="36"/>
        <v>0</v>
      </c>
      <c r="AK113" s="1">
        <f t="shared" si="37"/>
        <v>0</v>
      </c>
    </row>
    <row r="114" spans="1:37" x14ac:dyDescent="0.25">
      <c r="A114" s="9" t="s">
        <v>169</v>
      </c>
      <c r="B114" s="9" t="s">
        <v>40</v>
      </c>
      <c r="C114" s="9">
        <v>-3</v>
      </c>
      <c r="D114" s="9">
        <v>4</v>
      </c>
      <c r="E114" s="9">
        <v>1</v>
      </c>
      <c r="F114" s="9"/>
      <c r="G114" s="9"/>
      <c r="H114" s="10">
        <v>0</v>
      </c>
      <c r="I114" s="9"/>
      <c r="J114" s="9" t="s">
        <v>62</v>
      </c>
      <c r="K114" s="9"/>
      <c r="L114" s="9">
        <v>29</v>
      </c>
      <c r="M114" s="9">
        <f t="shared" si="50"/>
        <v>-28</v>
      </c>
      <c r="N114" s="9">
        <f t="shared" si="33"/>
        <v>1</v>
      </c>
      <c r="O114" s="9"/>
      <c r="P114" s="9"/>
      <c r="Q114" s="9">
        <v>0</v>
      </c>
      <c r="R114" s="9">
        <f t="shared" si="34"/>
        <v>0.2</v>
      </c>
      <c r="S114" s="11"/>
      <c r="T114" s="19">
        <f>VLOOKUP(A114,[1]TDSheet!$D:$J,7,0)</f>
        <v>0</v>
      </c>
      <c r="U114" s="11"/>
      <c r="V114" s="11"/>
      <c r="W114" s="9">
        <f t="shared" si="35"/>
        <v>0</v>
      </c>
      <c r="X114" s="9">
        <f t="shared" si="51"/>
        <v>0</v>
      </c>
      <c r="Y114" s="9">
        <v>0.6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/>
      <c r="AJ114" s="1">
        <f t="shared" si="36"/>
        <v>0</v>
      </c>
      <c r="AK114" s="1">
        <f t="shared" si="37"/>
        <v>0</v>
      </c>
    </row>
    <row r="115" spans="1:37" x14ac:dyDescent="0.25">
      <c r="A115" s="1" t="s">
        <v>170</v>
      </c>
      <c r="B115" s="1" t="s">
        <v>40</v>
      </c>
      <c r="C115" s="1">
        <v>654</v>
      </c>
      <c r="D115" s="1">
        <v>745</v>
      </c>
      <c r="E115" s="1">
        <v>324</v>
      </c>
      <c r="F115" s="1">
        <v>159</v>
      </c>
      <c r="G115" s="1">
        <f>VLOOKUP(A115,[2]TDSheet!$A:$M,9,0)</f>
        <v>168</v>
      </c>
      <c r="H115" s="7">
        <v>0.4</v>
      </c>
      <c r="I115" s="1">
        <v>60</v>
      </c>
      <c r="J115" s="1" t="s">
        <v>37</v>
      </c>
      <c r="K115" s="1"/>
      <c r="L115" s="1">
        <v>352</v>
      </c>
      <c r="M115" s="1">
        <f t="shared" si="50"/>
        <v>-28</v>
      </c>
      <c r="N115" s="1">
        <f t="shared" si="33"/>
        <v>308</v>
      </c>
      <c r="O115" s="1">
        <f>VLOOKUP(A115,[3]TDSheet!$A:$AX,7,0)</f>
        <v>16</v>
      </c>
      <c r="P115" s="1">
        <v>430</v>
      </c>
      <c r="Q115" s="1">
        <v>8</v>
      </c>
      <c r="R115" s="1">
        <f t="shared" si="34"/>
        <v>61.6</v>
      </c>
      <c r="S115" s="5">
        <f t="shared" ref="S115:S117" si="55">15*R115-Q115-P115-G115-F115</f>
        <v>159</v>
      </c>
      <c r="T115" s="19">
        <f>VLOOKUP(A115,[1]TDSheet!$D:$J,7,0)</f>
        <v>0.34303977272727271</v>
      </c>
      <c r="U115" s="5">
        <f t="shared" ref="U115:U118" si="56">S115-V115</f>
        <v>104.45667613636364</v>
      </c>
      <c r="V115" s="5">
        <f t="shared" ref="V115:V118" si="57">S115*T115</f>
        <v>54.54332386363636</v>
      </c>
      <c r="W115" s="1">
        <f t="shared" si="35"/>
        <v>15</v>
      </c>
      <c r="X115" s="1">
        <f t="shared" si="51"/>
        <v>12.418831168831169</v>
      </c>
      <c r="Y115" s="1">
        <v>72.8</v>
      </c>
      <c r="Z115" s="1">
        <v>96.4</v>
      </c>
      <c r="AA115" s="1">
        <v>80</v>
      </c>
      <c r="AB115" s="1">
        <v>80.2</v>
      </c>
      <c r="AC115" s="1">
        <v>93.8</v>
      </c>
      <c r="AD115" s="1">
        <v>30.4</v>
      </c>
      <c r="AE115" s="1">
        <v>47.8</v>
      </c>
      <c r="AF115" s="1">
        <v>65.8</v>
      </c>
      <c r="AG115" s="1">
        <v>42</v>
      </c>
      <c r="AH115" s="1">
        <v>44.4</v>
      </c>
      <c r="AI115" s="1" t="s">
        <v>171</v>
      </c>
      <c r="AJ115" s="1">
        <f t="shared" si="36"/>
        <v>41.78267045454546</v>
      </c>
      <c r="AK115" s="1">
        <f t="shared" si="37"/>
        <v>21.817329545454545</v>
      </c>
    </row>
    <row r="116" spans="1:37" x14ac:dyDescent="0.25">
      <c r="A116" s="1" t="s">
        <v>172</v>
      </c>
      <c r="B116" s="1" t="s">
        <v>40</v>
      </c>
      <c r="C116" s="1">
        <v>181</v>
      </c>
      <c r="D116" s="1">
        <v>14</v>
      </c>
      <c r="E116" s="1">
        <v>34</v>
      </c>
      <c r="F116" s="1">
        <v>80</v>
      </c>
      <c r="G116" s="1">
        <f>VLOOKUP(A116,[2]TDSheet!$A:$M,9,0)</f>
        <v>55</v>
      </c>
      <c r="H116" s="7">
        <v>0.1</v>
      </c>
      <c r="I116" s="1"/>
      <c r="J116" s="1" t="s">
        <v>37</v>
      </c>
      <c r="K116" s="1"/>
      <c r="L116" s="1">
        <v>42</v>
      </c>
      <c r="M116" s="1">
        <f t="shared" si="50"/>
        <v>-8</v>
      </c>
      <c r="N116" s="1">
        <f t="shared" si="33"/>
        <v>34</v>
      </c>
      <c r="O116" s="1"/>
      <c r="P116" s="1">
        <v>0</v>
      </c>
      <c r="Q116" s="1">
        <v>0</v>
      </c>
      <c r="R116" s="1">
        <f t="shared" si="34"/>
        <v>6.8</v>
      </c>
      <c r="S116" s="5"/>
      <c r="T116" s="19">
        <f>VLOOKUP(A116,[1]TDSheet!$D:$J,7,0)</f>
        <v>0.30463576158940397</v>
      </c>
      <c r="U116" s="5">
        <f t="shared" si="56"/>
        <v>0</v>
      </c>
      <c r="V116" s="5">
        <f t="shared" si="57"/>
        <v>0</v>
      </c>
      <c r="W116" s="1">
        <f t="shared" si="35"/>
        <v>19.852941176470587</v>
      </c>
      <c r="X116" s="1">
        <f t="shared" si="51"/>
        <v>19.852941176470587</v>
      </c>
      <c r="Y116" s="1">
        <v>-0.8</v>
      </c>
      <c r="Z116" s="1">
        <v>2.4</v>
      </c>
      <c r="AA116" s="1">
        <v>23</v>
      </c>
      <c r="AB116" s="1">
        <v>4.8</v>
      </c>
      <c r="AC116" s="1">
        <v>1.6</v>
      </c>
      <c r="AD116" s="1">
        <v>16</v>
      </c>
      <c r="AE116" s="1">
        <v>1.8</v>
      </c>
      <c r="AF116" s="1">
        <v>0</v>
      </c>
      <c r="AG116" s="1">
        <v>0</v>
      </c>
      <c r="AH116" s="1">
        <v>0</v>
      </c>
      <c r="AI116" s="1" t="s">
        <v>38</v>
      </c>
      <c r="AJ116" s="1">
        <f t="shared" si="36"/>
        <v>0</v>
      </c>
      <c r="AK116" s="1">
        <f t="shared" si="37"/>
        <v>0</v>
      </c>
    </row>
    <row r="117" spans="1:37" x14ac:dyDescent="0.25">
      <c r="A117" s="1" t="s">
        <v>173</v>
      </c>
      <c r="B117" s="1" t="s">
        <v>40</v>
      </c>
      <c r="C117" s="1">
        <v>179</v>
      </c>
      <c r="D117" s="1">
        <v>13</v>
      </c>
      <c r="E117" s="1">
        <v>44</v>
      </c>
      <c r="F117" s="1">
        <v>71</v>
      </c>
      <c r="G117" s="1">
        <f>VLOOKUP(A117,[2]TDSheet!$A:$M,9,0)</f>
        <v>55</v>
      </c>
      <c r="H117" s="7">
        <v>0.1</v>
      </c>
      <c r="I117" s="1"/>
      <c r="J117" s="1" t="s">
        <v>37</v>
      </c>
      <c r="K117" s="1"/>
      <c r="L117" s="1">
        <v>48</v>
      </c>
      <c r="M117" s="1">
        <f t="shared" si="50"/>
        <v>-4</v>
      </c>
      <c r="N117" s="1">
        <f t="shared" si="33"/>
        <v>44</v>
      </c>
      <c r="O117" s="1"/>
      <c r="P117" s="1">
        <v>0</v>
      </c>
      <c r="Q117" s="1">
        <v>0</v>
      </c>
      <c r="R117" s="1">
        <f t="shared" si="34"/>
        <v>8.8000000000000007</v>
      </c>
      <c r="S117" s="5">
        <f t="shared" si="55"/>
        <v>6</v>
      </c>
      <c r="T117" s="19">
        <f>VLOOKUP(A117,[1]TDSheet!$D:$J,7,0)</f>
        <v>0.30722891566265054</v>
      </c>
      <c r="U117" s="5">
        <v>4</v>
      </c>
      <c r="V117" s="5">
        <v>4</v>
      </c>
      <c r="W117" s="1">
        <f t="shared" si="35"/>
        <v>15.227272727272727</v>
      </c>
      <c r="X117" s="1">
        <f t="shared" si="51"/>
        <v>14.318181818181817</v>
      </c>
      <c r="Y117" s="1">
        <v>1</v>
      </c>
      <c r="Z117" s="1">
        <v>2.8</v>
      </c>
      <c r="AA117" s="1">
        <v>22.8</v>
      </c>
      <c r="AB117" s="1">
        <v>5.4</v>
      </c>
      <c r="AC117" s="1">
        <v>1.6</v>
      </c>
      <c r="AD117" s="1">
        <v>16</v>
      </c>
      <c r="AE117" s="1">
        <v>1.6</v>
      </c>
      <c r="AF117" s="1">
        <v>0</v>
      </c>
      <c r="AG117" s="1">
        <v>0</v>
      </c>
      <c r="AH117" s="1">
        <v>0</v>
      </c>
      <c r="AI117" s="1" t="s">
        <v>38</v>
      </c>
      <c r="AJ117" s="1">
        <f t="shared" si="36"/>
        <v>0.4</v>
      </c>
      <c r="AK117" s="1">
        <f t="shared" si="37"/>
        <v>0.4</v>
      </c>
    </row>
    <row r="118" spans="1:37" x14ac:dyDescent="0.25">
      <c r="A118" s="1" t="s">
        <v>174</v>
      </c>
      <c r="B118" s="1" t="s">
        <v>40</v>
      </c>
      <c r="C118" s="1">
        <v>117</v>
      </c>
      <c r="D118" s="1">
        <v>7</v>
      </c>
      <c r="E118" s="1">
        <v>52</v>
      </c>
      <c r="F118" s="1">
        <v>5</v>
      </c>
      <c r="G118" s="1">
        <f>VLOOKUP(A118,[2]TDSheet!$A:$M,9,0)</f>
        <v>56</v>
      </c>
      <c r="H118" s="7">
        <v>0.3</v>
      </c>
      <c r="I118" s="1">
        <v>45</v>
      </c>
      <c r="J118" s="1" t="s">
        <v>37</v>
      </c>
      <c r="K118" s="1"/>
      <c r="L118" s="1">
        <v>65</v>
      </c>
      <c r="M118" s="1">
        <f t="shared" si="50"/>
        <v>-13</v>
      </c>
      <c r="N118" s="1">
        <f t="shared" si="33"/>
        <v>52</v>
      </c>
      <c r="O118" s="1"/>
      <c r="P118" s="1">
        <v>0</v>
      </c>
      <c r="Q118" s="1">
        <v>0</v>
      </c>
      <c r="R118" s="1">
        <f t="shared" si="34"/>
        <v>10.4</v>
      </c>
      <c r="S118" s="5">
        <f>14*R118-Q118-P118-G118-F118</f>
        <v>84.6</v>
      </c>
      <c r="T118" s="19">
        <f>VLOOKUP(A118,[1]TDSheet!$D:$J,7,0)</f>
        <v>1</v>
      </c>
      <c r="U118" s="5">
        <f t="shared" si="56"/>
        <v>0</v>
      </c>
      <c r="V118" s="5">
        <f t="shared" si="57"/>
        <v>84.6</v>
      </c>
      <c r="W118" s="1">
        <f t="shared" si="35"/>
        <v>13.999999999999998</v>
      </c>
      <c r="X118" s="1">
        <f t="shared" si="51"/>
        <v>5.865384615384615</v>
      </c>
      <c r="Y118" s="1">
        <v>0.6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 t="s">
        <v>38</v>
      </c>
      <c r="AJ118" s="1">
        <f t="shared" si="36"/>
        <v>0</v>
      </c>
      <c r="AK118" s="1">
        <f t="shared" si="37"/>
        <v>25.38</v>
      </c>
    </row>
    <row r="119" spans="1:37" x14ac:dyDescent="0.25">
      <c r="A119" s="9" t="s">
        <v>175</v>
      </c>
      <c r="B119" s="9" t="s">
        <v>36</v>
      </c>
      <c r="C119" s="9"/>
      <c r="D119" s="9"/>
      <c r="E119" s="9"/>
      <c r="F119" s="9"/>
      <c r="G119" s="9"/>
      <c r="H119" s="10">
        <v>0</v>
      </c>
      <c r="I119" s="9"/>
      <c r="J119" s="9" t="s">
        <v>37</v>
      </c>
      <c r="K119" s="9"/>
      <c r="L119" s="9"/>
      <c r="M119" s="9">
        <f t="shared" si="50"/>
        <v>0</v>
      </c>
      <c r="N119" s="9">
        <f t="shared" si="33"/>
        <v>0</v>
      </c>
      <c r="O119" s="9"/>
      <c r="P119" s="9">
        <v>0</v>
      </c>
      <c r="Q119" s="9">
        <v>0</v>
      </c>
      <c r="R119" s="9">
        <f t="shared" si="34"/>
        <v>0</v>
      </c>
      <c r="S119" s="11"/>
      <c r="T119" s="19" t="e">
        <f>VLOOKUP(A119,[1]TDSheet!$D:$J,7,0)</f>
        <v>#N/A</v>
      </c>
      <c r="U119" s="11"/>
      <c r="V119" s="11"/>
      <c r="W119" s="9" t="e">
        <f t="shared" si="35"/>
        <v>#DIV/0!</v>
      </c>
      <c r="X119" s="9" t="e">
        <f t="shared" si="51"/>
        <v>#DIV/0!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 t="s">
        <v>107</v>
      </c>
      <c r="AJ119" s="1">
        <f t="shared" si="36"/>
        <v>0</v>
      </c>
      <c r="AK119" s="1">
        <f t="shared" si="37"/>
        <v>0</v>
      </c>
    </row>
    <row r="120" spans="1:37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6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6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6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6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6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6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6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6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6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6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6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6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6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6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6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6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6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6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6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6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6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6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6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6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6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6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6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6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6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6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6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6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6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6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6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6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6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6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6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6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6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6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6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6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6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6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6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6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6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6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6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6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6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6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6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6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6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6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6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6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6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6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6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6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6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6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6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6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6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6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6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6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6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6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6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6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6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6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6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6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6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6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6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6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6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6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6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6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6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6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6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6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6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6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6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6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6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6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6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6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6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6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6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6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6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6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6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6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6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6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6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6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6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6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6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6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6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6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6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6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6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6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6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6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6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6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6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6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6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6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6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6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6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6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6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6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6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6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6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6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6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6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6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6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6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6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6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6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6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6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6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6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6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6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6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6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6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6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6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6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6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6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6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6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6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6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6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6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6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6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6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6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6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6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6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6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6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6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6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6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6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6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6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6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6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6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6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6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6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6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6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6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6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6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6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6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6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6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6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6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6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6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6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6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6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6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6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6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6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6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6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6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6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6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6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6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6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6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6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6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6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6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6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6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6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6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6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6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6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6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6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6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6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6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6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6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6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6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6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6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6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6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6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6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6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6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6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6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6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6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6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6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6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6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6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6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6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6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6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6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6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6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6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6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6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6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6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6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6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6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6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6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6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6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6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6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6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6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6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6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6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6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6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6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6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6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6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6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6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6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6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6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6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6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6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6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6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6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6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6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6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6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6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6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6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6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6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6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6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6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6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6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6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6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6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6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6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6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6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6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6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6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6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6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6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6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6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6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6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6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6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6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6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6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6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6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6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6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6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6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6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6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6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6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6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6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6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6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6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6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6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6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6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6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6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6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6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6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6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6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6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6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6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6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6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6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6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6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6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6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6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6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6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6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6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6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6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</sheetData>
  <autoFilter ref="A3:AJ119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2026-09-21T11:15:41Z</dcterms:created>
  <dcterms:modified xsi:type="dcterms:W3CDTF">2026-09-21T12:40:50Z</dcterms:modified>
</cp:coreProperties>
</file>