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26,10 Горняк(Луганск) КИ НВ с филиалами на 31,10\"/>
    </mc:Choice>
  </mc:AlternateContent>
  <xr:revisionPtr revIDLastSave="0" documentId="13_ncr:1_{2A74510D-A794-4683-9DA1-2490B9A177D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494" i="2"/>
  <c r="Z414" i="2"/>
  <c r="Z81" i="2"/>
  <c r="Z207" i="2"/>
  <c r="Z343" i="2"/>
  <c r="Z139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<sst xmlns="http://schemas.openxmlformats.org/spreadsheetml/2006/main" count="4296" uniqueCount="915">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</sst>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Z13" sqref="Z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/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 xml:space="preserve"> 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/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345.6</v>
      </c>
      <c r="Y47" s="53">
        <f>IFERROR(IF(X47="",0,CEILING((X47/$H47),1)*$H47),"")</f>
        <v>345.6</v>
      </c>
      <c r="Z47" s="39">
        <f>IFERROR(IF(Y47=0,"",ROUNDUP(Y47/H47,0)*0.01898),"")</f>
        <v>0.60736000000000001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358.72</v>
      </c>
      <c r="BN47" s="75">
        <f>IFERROR(Y47*I47/H47,"0")</f>
        <v>358.72</v>
      </c>
      <c r="BO47" s="75">
        <f>IFERROR(1/J47*(X47/H47),"0")</f>
        <v>0.5</v>
      </c>
      <c r="BP47" s="75">
        <f>IFERROR(1/J47*(Y47/H47),"0")</f>
        <v>0.5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32</v>
      </c>
      <c r="Y51" s="41">
        <f>IFERROR(Y47/H47,"0")+IFERROR(Y48/H48,"0")+IFERROR(Y49/H49,"0")+IFERROR(Y50/H50,"0")</f>
        <v>32</v>
      </c>
      <c r="Z51" s="41">
        <f>IFERROR(IF(Z47="",0,Z47),"0")+IFERROR(IF(Z48="",0,Z48),"0")+IFERROR(IF(Z49="",0,Z49),"0")+IFERROR(IF(Z50="",0,Z50),"0")</f>
        <v>0.60736000000000001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345.6</v>
      </c>
      <c r="Y52" s="41">
        <f>IFERROR(SUM(Y47:Y50),"0")</f>
        <v>345.6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62.4</v>
      </c>
      <c r="Y78" s="53">
        <f>IFERROR(IF(X78="",0,CEILING((X78/$H78),1)*$H78),"")</f>
        <v>62.4</v>
      </c>
      <c r="Z78" s="39">
        <f>IFERROR(IF(Y78=0,"",ROUNDUP(Y78/H78,0)*0.01898),"")</f>
        <v>0.15184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65.680000000000007</v>
      </c>
      <c r="BN78" s="75">
        <f>IFERROR(Y78*I78/H78,"0")</f>
        <v>65.680000000000007</v>
      </c>
      <c r="BO78" s="75">
        <f>IFERROR(1/J78*(X78/H78),"0")</f>
        <v>0.125</v>
      </c>
      <c r="BP78" s="75">
        <f>IFERROR(1/J78*(Y78/H78),"0")</f>
        <v>0.125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8</v>
      </c>
      <c r="Y81" s="41">
        <f>IFERROR(Y78/H78,"0")+IFERROR(Y79/H79,"0")+IFERROR(Y80/H80,"0")</f>
        <v>8</v>
      </c>
      <c r="Z81" s="41">
        <f>IFERROR(IF(Z78="",0,Z78),"0")+IFERROR(IF(Z79="",0,Z79),"0")+IFERROR(IF(Z80="",0,Z80),"0")</f>
        <v>0.15184</v>
      </c>
      <c r="AA81" s="64"/>
      <c r="AB81" s="64"/>
      <c r="AC81" s="6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62.4</v>
      </c>
      <c r="Y82" s="41">
        <f>IFERROR(SUM(Y78:Y80),"0")</f>
        <v>62.4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172.8</v>
      </c>
      <c r="Y85" s="53">
        <f>IFERROR(IF(X85="",0,CEILING((X85/$H85),1)*$H85),"")</f>
        <v>172.8</v>
      </c>
      <c r="Z85" s="39">
        <f>IFERROR(IF(Y85=0,"",ROUNDUP(Y85/H85,0)*0.01898),"")</f>
        <v>0.30368000000000001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179.36</v>
      </c>
      <c r="BN85" s="75">
        <f>IFERROR(Y85*I85/H85,"0")</f>
        <v>179.36</v>
      </c>
      <c r="BO85" s="75">
        <f>IFERROR(1/J85*(X85/H85),"0")</f>
        <v>0.25</v>
      </c>
      <c r="BP85" s="75">
        <f>IFERROR(1/J85*(Y85/H85),"0")</f>
        <v>0.25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16</v>
      </c>
      <c r="Y90" s="41">
        <f>IFERROR(Y85/H85,"0")+IFERROR(Y86/H86,"0")+IFERROR(Y87/H87,"0")+IFERROR(Y88/H88,"0")+IFERROR(Y89/H89,"0")</f>
        <v>16</v>
      </c>
      <c r="Z90" s="41">
        <f>IFERROR(IF(Z85="",0,Z85),"0")+IFERROR(IF(Z86="",0,Z86),"0")+IFERROR(IF(Z87="",0,Z87),"0")+IFERROR(IF(Z88="",0,Z88),"0")+IFERROR(IF(Z89="",0,Z89),"0")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172.8</v>
      </c>
      <c r="Y91" s="41">
        <f>IFERROR(SUM(Y85:Y89),"0")</f>
        <v>172.8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22</v>
      </c>
      <c r="Y97" s="41">
        <f>IFERROR(Y93/H93,"0")+IFERROR(Y94/H94,"0")+IFERROR(Y95/H95,"0")+IFERROR(Y96/H96,"0")</f>
        <v>22</v>
      </c>
      <c r="Z97" s="41">
        <f>IFERROR(IF(Z93="",0,Z93),"0")+IFERROR(IF(Z94="",0,Z94),"0")+IFERROR(IF(Z95="",0,Z95),"0")+IFERROR(IF(Z96="",0,Z96),"0")</f>
        <v>0.24298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102.6</v>
      </c>
      <c r="Y98" s="41">
        <f>IFERROR(SUM(Y93:Y96),"0")</f>
        <v>102.6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172.8</v>
      </c>
      <c r="Y101" s="53">
        <f t="shared" ref="Y101:Y108" si="5">IFERROR(IF(X101="",0,CEILING((X101/$H101),1)*$H101),"")</f>
        <v>172.8</v>
      </c>
      <c r="Z101" s="39">
        <f>IFERROR(IF(Y101=0,"",ROUNDUP(Y101/H101,0)*0.01898),"")</f>
        <v>0.30368000000000001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179.36</v>
      </c>
      <c r="BN101" s="75">
        <f t="shared" ref="BN101:BN108" si="7">IFERROR(Y101*I101/H101,"0")</f>
        <v>179.36</v>
      </c>
      <c r="BO101" s="75">
        <f t="shared" ref="BO101:BO108" si="8">IFERROR(1/J101*(X101/H101),"0")</f>
        <v>0.25</v>
      </c>
      <c r="BP101" s="75">
        <f t="shared" ref="BP101:BP108" si="9">IFERROR(1/J101*(Y101/H101),"0")</f>
        <v>0.25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16</v>
      </c>
      <c r="Y109" s="41">
        <f>IFERROR(Y101/H101,"0")+IFERROR(Y102/H102,"0")+IFERROR(Y103/H103,"0")+IFERROR(Y104/H104,"0")+IFERROR(Y105/H105,"0")+IFERROR(Y106/H106,"0")+IFERROR(Y107/H107,"0")+IFERROR(Y108/H108,"0")</f>
        <v>16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0.30368000000000001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172.8</v>
      </c>
      <c r="Y110" s="41">
        <f>IFERROR(SUM(Y101:Y108),"0")</f>
        <v>172.8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32.4</v>
      </c>
      <c r="Y122" s="53">
        <f>IFERROR(IF(X122="",0,CEILING((X122/$H122),1)*$H122),"")</f>
        <v>32.400000000000006</v>
      </c>
      <c r="Z122" s="39">
        <f>IFERROR(IF(Y122=0,"",ROUNDUP(Y122/H122,0)*0.00651),"")</f>
        <v>7.8119999999999995E-2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35.423999999999992</v>
      </c>
      <c r="BN122" s="75">
        <f>IFERROR(Y122*I122/H122,"0")</f>
        <v>35.424000000000007</v>
      </c>
      <c r="BO122" s="75">
        <f>IFERROR(1/J122*(X122/H122),"0")</f>
        <v>6.5934065934065936E-2</v>
      </c>
      <c r="BP122" s="75">
        <f>IFERROR(1/J122*(Y122/H122),"0")</f>
        <v>6.593406593406595E-2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28</v>
      </c>
      <c r="Y124" s="41">
        <f>IFERROR(Y120/H120,"0")+IFERROR(Y121/H121,"0")+IFERROR(Y122/H122,"0")+IFERROR(Y123/H123,"0")</f>
        <v>28</v>
      </c>
      <c r="Z124" s="41">
        <f>IFERROR(IF(Z120="",0,Z120),"0")+IFERROR(IF(Z121="",0,Z121),"0")+IFERROR(IF(Z122="",0,Z122),"0")+IFERROR(IF(Z123="",0,Z123),"0")</f>
        <v>0.38180000000000003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162</v>
      </c>
      <c r="Y125" s="41">
        <f>IFERROR(SUM(Y120:Y123),"0")</f>
        <v>162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151.19999999999999</v>
      </c>
      <c r="Y217" s="53">
        <f t="shared" si="27"/>
        <v>151.20000000000002</v>
      </c>
      <c r="Z217" s="39">
        <f>IFERROR(IF(Y217=0,"",ROUNDUP(Y217/H217,0)*0.00902),"")</f>
        <v>0.32472000000000001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158.03999999999996</v>
      </c>
      <c r="BN217" s="75">
        <f t="shared" si="29"/>
        <v>158.04</v>
      </c>
      <c r="BO217" s="75">
        <f t="shared" si="30"/>
        <v>0.27272727272727271</v>
      </c>
      <c r="BP217" s="75">
        <f t="shared" si="31"/>
        <v>0.27272727272727271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0.43296000000000001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201.6</v>
      </c>
      <c r="Y231" s="41">
        <f>IFERROR(SUM(Y215:Y229),"0")</f>
        <v>201.60000000000002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64.8</v>
      </c>
      <c r="Y267" s="53">
        <f t="shared" si="38"/>
        <v>64.800000000000011</v>
      </c>
      <c r="Z267" s="39">
        <f>IFERROR(IF(Y267=0,"",ROUNDUP(Y267/H267,0)*0.00902),"")</f>
        <v>0.10824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67.079999999999984</v>
      </c>
      <c r="BN267" s="75">
        <f t="shared" si="40"/>
        <v>67.08</v>
      </c>
      <c r="BO267" s="75">
        <f t="shared" si="41"/>
        <v>9.0909090909090898E-2</v>
      </c>
      <c r="BP267" s="75">
        <f t="shared" si="42"/>
        <v>9.0909090909090925E-2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64.8</v>
      </c>
      <c r="Y268" s="53">
        <f t="shared" si="38"/>
        <v>64.800000000000011</v>
      </c>
      <c r="Z268" s="39">
        <f>IFERROR(IF(Y268=0,"",ROUNDUP(Y268/H268,0)*0.00902),"")</f>
        <v>0.10824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67.079999999999984</v>
      </c>
      <c r="BN268" s="75">
        <f t="shared" si="40"/>
        <v>67.08</v>
      </c>
      <c r="BO268" s="75">
        <f t="shared" si="41"/>
        <v>9.0909090909090898E-2</v>
      </c>
      <c r="BP268" s="75">
        <f t="shared" si="42"/>
        <v>9.0909090909090925E-2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129.6</v>
      </c>
      <c r="Y269" s="53">
        <f t="shared" si="38"/>
        <v>129.60000000000002</v>
      </c>
      <c r="Z269" s="39">
        <f>IFERROR(IF(Y269=0,"",ROUNDUP(Y269/H269,0)*0.00902),"")</f>
        <v>0.21648000000000001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134.15999999999997</v>
      </c>
      <c r="BN269" s="75">
        <f t="shared" si="40"/>
        <v>134.16</v>
      </c>
      <c r="BO269" s="75">
        <f t="shared" si="41"/>
        <v>0.1818181818181818</v>
      </c>
      <c r="BP269" s="75">
        <f t="shared" si="42"/>
        <v>0.18181818181818185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71.999999999999986</v>
      </c>
      <c r="Y274" s="41">
        <f>IFERROR(Y266/H266,"0")+IFERROR(Y267/H267,"0")+IFERROR(Y268/H268,"0")+IFERROR(Y269/H269,"0")+IFERROR(Y270/H270,"0")+IFERROR(Y271/H271,"0")+IFERROR(Y272/H272,"0")+IFERROR(Y273/H273,"0")</f>
        <v>72.000000000000014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0.64944000000000002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388.79999999999995</v>
      </c>
      <c r="Y275" s="41">
        <f>IFERROR(SUM(Y266:Y273),"0")</f>
        <v>388.80000000000007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208.8</v>
      </c>
      <c r="Y279" s="53">
        <f t="shared" si="43"/>
        <v>208.79999999999998</v>
      </c>
      <c r="Z279" s="39">
        <f>IFERROR(IF(Y279=0,"",ROUNDUP(Y279/H279,0)*0.01898),"")</f>
        <v>0.45552000000000004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220.65600000000006</v>
      </c>
      <c r="BN279" s="75">
        <f t="shared" si="45"/>
        <v>220.65600000000003</v>
      </c>
      <c r="BO279" s="75">
        <f t="shared" si="46"/>
        <v>0.37500000000000006</v>
      </c>
      <c r="BP279" s="75">
        <f t="shared" si="47"/>
        <v>0.375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28.8</v>
      </c>
      <c r="Y280" s="53">
        <f t="shared" si="43"/>
        <v>28.799999999999997</v>
      </c>
      <c r="Z280" s="39">
        <f>IFERROR(IF(Y280=0,"",ROUNDUP(Y280/H280,0)*0.00651),"")</f>
        <v>7.8119999999999995E-2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32.04</v>
      </c>
      <c r="BN280" s="75">
        <f t="shared" si="45"/>
        <v>32.039999999999992</v>
      </c>
      <c r="BO280" s="75">
        <f t="shared" si="46"/>
        <v>6.5934065934065936E-2</v>
      </c>
      <c r="BP280" s="75">
        <f t="shared" si="47"/>
        <v>6.5934065934065936E-2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0.7679999999999999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324.00000000000006</v>
      </c>
      <c r="Y290" s="41">
        <f>IFERROR(SUM(Y277:Y288),"0")</f>
        <v>324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28.8</v>
      </c>
      <c r="Y332" s="53">
        <f>IFERROR(IF(X332="",0,CEILING((X332/$H332),1)*$H332),"")</f>
        <v>28.799999999999997</v>
      </c>
      <c r="Z332" s="39">
        <f>IFERROR(IF(Y332=0,"",ROUNDUP(Y332/H332,0)*0.00651),"")</f>
        <v>7.8119999999999995E-2</v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31.824000000000002</v>
      </c>
      <c r="BN332" s="75">
        <f>IFERROR(Y332*I332/H332,"0")</f>
        <v>31.824000000000002</v>
      </c>
      <c r="BO332" s="75">
        <f>IFERROR(1/J332*(X332/H332),"0")</f>
        <v>6.5934065934065936E-2</v>
      </c>
      <c r="BP332" s="75">
        <f>IFERROR(1/J332*(Y332/H332),"0")</f>
        <v>6.5934065934065936E-2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12</v>
      </c>
      <c r="Y334" s="41">
        <f>IFERROR(Y331/H331,"0")+IFERROR(Y332/H332,"0")+IFERROR(Y333/H333,"0")</f>
        <v>12</v>
      </c>
      <c r="Z334" s="41">
        <f>IFERROR(IF(Z331="",0,Z331),"0")+IFERROR(IF(Z332="",0,Z332),"0")+IFERROR(IF(Z333="",0,Z333),"0")</f>
        <v>7.8119999999999995E-2</v>
      </c>
      <c r="AA334" s="64"/>
      <c r="AB334" s="64"/>
      <c r="AC334" s="64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28.8</v>
      </c>
      <c r="Y335" s="41">
        <f>IFERROR(SUM(Y331:Y333),"0")</f>
        <v>28.799999999999997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201.6</v>
      </c>
      <c r="Y386" s="53">
        <f>IFERROR(IF(X386="",0,CEILING((X386/$H386),1)*$H386),"")</f>
        <v>201.60000000000002</v>
      </c>
      <c r="Z386" s="39">
        <f>IFERROR(IF(Y386=0,"",ROUNDUP(Y386/H386,0)*0.01898),"")</f>
        <v>0.45552000000000004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213.45599999999999</v>
      </c>
      <c r="BN386" s="75">
        <f>IFERROR(Y386*I386/H386,"0")</f>
        <v>213.45600000000002</v>
      </c>
      <c r="BO386" s="75">
        <f>IFERROR(1/J386*(X386/H386),"0")</f>
        <v>0.375</v>
      </c>
      <c r="BP386" s="75">
        <f>IFERROR(1/J386*(Y386/H386),"0")</f>
        <v>0.375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80</v>
      </c>
      <c r="Y389" s="41">
        <f>IFERROR(Y386/H386,"0")+IFERROR(Y387/H387,"0")+IFERROR(Y388/H388,"0")</f>
        <v>80</v>
      </c>
      <c r="Z389" s="41">
        <f>IFERROR(IF(Z386="",0,Z386),"0")+IFERROR(IF(Z387="",0,Z387),"0")+IFERROR(IF(Z388="",0,Z388),"0")</f>
        <v>1.5184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648</v>
      </c>
      <c r="Y390" s="41">
        <f>IFERROR(SUM(Y386:Y388),"0")</f>
        <v>648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360</v>
      </c>
      <c r="Y428" s="53">
        <f t="shared" si="68"/>
        <v>360</v>
      </c>
      <c r="Z428" s="39">
        <f>IFERROR(IF(Y428=0,"",ROUNDUP(Y428/H428,0)*0.02175),"")</f>
        <v>0.52200000000000002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371.28</v>
      </c>
      <c r="BN428" s="75">
        <f t="shared" si="70"/>
        <v>371.28</v>
      </c>
      <c r="BO428" s="75">
        <f t="shared" si="71"/>
        <v>0.5</v>
      </c>
      <c r="BP428" s="75">
        <f t="shared" si="72"/>
        <v>0.5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42.24</v>
      </c>
      <c r="Y511" s="53">
        <f>IFERROR(IF(X511="",0,CEILING((X511/$H511),1)*$H511),"")</f>
        <v>42.24</v>
      </c>
      <c r="Z511" s="39">
        <f>IFERROR(IF(Y511=0,"",ROUNDUP(Y511/H511,0)*0.01196),"")</f>
        <v>9.5680000000000001E-2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45.04</v>
      </c>
      <c r="BN511" s="75">
        <f>IFERROR(Y511*I511/H511,"0")</f>
        <v>45.04</v>
      </c>
      <c r="BO511" s="75">
        <f>IFERROR(1/J511*(X511/H511),"0")</f>
        <v>7.6923076923076927E-2</v>
      </c>
      <c r="BP511" s="75">
        <f>IFERROR(1/J511*(Y511/H511),"0")</f>
        <v>7.6923076923076927E-2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8</v>
      </c>
      <c r="Y514" s="41">
        <f>IFERROR(Y511/H511,"0")+IFERROR(Y512/H512,"0")+IFERROR(Y513/H513,"0")</f>
        <v>8</v>
      </c>
      <c r="Z514" s="41">
        <f>IFERROR(IF(Z511="",0,Z511),"0")+IFERROR(IF(Z512="",0,Z512),"0")+IFERROR(IF(Z513="",0,Z513),"0")</f>
        <v>9.5680000000000001E-2</v>
      </c>
      <c r="AA514" s="64"/>
      <c r="AB514" s="64"/>
      <c r="AC514" s="64"/>
    </row>
    <row r="515" spans="1:68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42.24</v>
      </c>
      <c r="Y515" s="41">
        <f>IFERROR(SUM(Y511:Y513),"0")</f>
        <v>42.24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42.24</v>
      </c>
      <c r="Y517" s="53">
        <f t="shared" ref="Y517:Y523" si="84">IFERROR(IF(X517="",0,CEILING((X517/$H517),1)*$H517),"")</f>
        <v>42.24</v>
      </c>
      <c r="Z517" s="39">
        <f>IFERROR(IF(Y517=0,"",ROUNDUP(Y517/H517,0)*0.01196),"")</f>
        <v>9.5680000000000001E-2</v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45.04</v>
      </c>
      <c r="BN517" s="75">
        <f t="shared" ref="BN517:BN523" si="86">IFERROR(Y517*I517/H517,"0")</f>
        <v>45.04</v>
      </c>
      <c r="BO517" s="75">
        <f t="shared" ref="BO517:BO523" si="87">IFERROR(1/J517*(X517/H517),"0")</f>
        <v>7.6923076923076927E-2</v>
      </c>
      <c r="BP517" s="75">
        <f t="shared" ref="BP517:BP523" si="88">IFERROR(1/J517*(Y517/H517),"0")</f>
        <v>7.6923076923076927E-2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42.24</v>
      </c>
      <c r="Y518" s="53">
        <f t="shared" si="84"/>
        <v>42.24</v>
      </c>
      <c r="Z518" s="39">
        <f>IFERROR(IF(Y518=0,"",ROUNDUP(Y518/H518,0)*0.01196),"")</f>
        <v>9.5680000000000001E-2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45.04</v>
      </c>
      <c r="BN518" s="75">
        <f t="shared" si="86"/>
        <v>45.04</v>
      </c>
      <c r="BO518" s="75">
        <f t="shared" si="87"/>
        <v>7.6923076923076927E-2</v>
      </c>
      <c r="BP518" s="75">
        <f t="shared" si="88"/>
        <v>7.6923076923076927E-2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42.24</v>
      </c>
      <c r="Y519" s="53">
        <f t="shared" si="84"/>
        <v>42.24</v>
      </c>
      <c r="Z519" s="39">
        <f>IFERROR(IF(Y519=0,"",ROUNDUP(Y519/H519,0)*0.01196),"")</f>
        <v>9.5680000000000001E-2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45.04</v>
      </c>
      <c r="BN519" s="75">
        <f t="shared" si="86"/>
        <v>45.04</v>
      </c>
      <c r="BO519" s="75">
        <f t="shared" si="87"/>
        <v>7.6923076923076927E-2</v>
      </c>
      <c r="BP519" s="75">
        <f t="shared" si="88"/>
        <v>7.6923076923076927E-2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24</v>
      </c>
      <c r="Y524" s="41">
        <f>IFERROR(Y517/H517,"0")+IFERROR(Y518/H518,"0")+IFERROR(Y519/H519,"0")+IFERROR(Y520/H520,"0")+IFERROR(Y521/H521,"0")+IFERROR(Y522/H522,"0")+IFERROR(Y523/H523,"0")</f>
        <v>24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0.28704000000000002</v>
      </c>
      <c r="AA524" s="64"/>
      <c r="AB524" s="64"/>
      <c r="AC524" s="64"/>
    </row>
    <row r="525" spans="1:68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126.72</v>
      </c>
      <c r="Y525" s="41">
        <f>IFERROR(SUM(Y517:Y523),"0")</f>
        <v>126.72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5115.16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5115.1600000000008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5342.648000000001</v>
      </c>
      <c r="Y555" s="41">
        <f>IFERROR(SUM(BN22:BN551),"0")</f>
        <v>5342.648000000001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5567.648000000001</v>
      </c>
      <c r="Y557" s="41">
        <f>GrossWeightTotalR+PalletQtyTotalR*25</f>
        <v>5567.648000000001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610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610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9.40686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345.6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587.19999999999993</v>
      </c>
      <c r="F564" s="50">
        <f>IFERROR(Y85*1,"0")+IFERROR(Y86*1,"0")+IFERROR(Y87*1,"0")+IFERROR(Y88*1,"0")+IFERROR(Y89*1,"0")+IFERROR(Y93*1,"0")+IFERROR(Y94*1,"0")+IFERROR(Y95*1,"0")+IFERROR(Y96*1,"0")</f>
        <v>275.40000000000003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334.79999999999995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201.60000000000002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712.79999999999984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28.799999999999997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648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1812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168.96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02,60"/>
        <filter val="12,00"/>
        <filter val="126,72"/>
        <filter val="129,60"/>
        <filter val="134,40"/>
        <filter val="151,20"/>
        <filter val="16,00"/>
        <filter val="162,00"/>
        <filter val="172,80"/>
        <filter val="179,20"/>
        <filter val="201,60"/>
        <filter val="208,80"/>
        <filter val="22,00"/>
        <filter val="24,00"/>
        <filter val="240,00"/>
        <filter val="28,00"/>
        <filter val="28,80"/>
        <filter val="312,00"/>
        <filter val="32,00"/>
        <filter val="32,40"/>
        <filter val="324,00"/>
        <filter val="345,60"/>
        <filter val="352,00"/>
        <filter val="360,00"/>
        <filter val="37,80"/>
        <filter val="388,80"/>
        <filter val="42,24"/>
        <filter val="48,00"/>
        <filter val="5 115,16"/>
        <filter val="5 342,65"/>
        <filter val="5 567,65"/>
        <filter val="50,40"/>
        <filter val="540,00"/>
        <filter val="600,00"/>
        <filter val="610,00"/>
        <filter val="62,40"/>
        <filter val="64,80"/>
        <filter val="648,00"/>
        <filter val="72,00"/>
        <filter val="8,00"/>
        <filter val="80,00"/>
        <filter val="9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