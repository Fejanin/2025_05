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09,09 НПК КИ ЛП ближ\"/>
    </mc:Choice>
  </mc:AlternateContent>
  <xr:revisionPtr revIDLastSave="0" documentId="13_ncr:1_{BEC76864-80A8-4DA9-BA5E-D53EB8BE96A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05" i="2" l="1"/>
  <c r="X504" i="2"/>
  <c r="BO503" i="2"/>
  <c r="BM503" i="2"/>
  <c r="Y503" i="2"/>
  <c r="P503" i="2"/>
  <c r="X500" i="2"/>
  <c r="X499" i="2"/>
  <c r="BO498" i="2"/>
  <c r="BM498" i="2"/>
  <c r="Y498" i="2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O481" i="2"/>
  <c r="BM481" i="2"/>
  <c r="Y481" i="2"/>
  <c r="P481" i="2"/>
  <c r="BO480" i="2"/>
  <c r="BM480" i="2"/>
  <c r="Y480" i="2"/>
  <c r="Y482" i="2" s="1"/>
  <c r="P480" i="2"/>
  <c r="BP479" i="2"/>
  <c r="BO479" i="2"/>
  <c r="BN479" i="2"/>
  <c r="BM479" i="2"/>
  <c r="Z479" i="2"/>
  <c r="Y479" i="2"/>
  <c r="P479" i="2"/>
  <c r="X475" i="2"/>
  <c r="X474" i="2"/>
  <c r="BO473" i="2"/>
  <c r="BM473" i="2"/>
  <c r="Y473" i="2"/>
  <c r="P473" i="2"/>
  <c r="BO472" i="2"/>
  <c r="BM472" i="2"/>
  <c r="Y472" i="2"/>
  <c r="P472" i="2"/>
  <c r="BO471" i="2"/>
  <c r="BM471" i="2"/>
  <c r="Y471" i="2"/>
  <c r="P471" i="2"/>
  <c r="BP470" i="2"/>
  <c r="BO470" i="2"/>
  <c r="BN470" i="2"/>
  <c r="BM470" i="2"/>
  <c r="Z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P456" i="2"/>
  <c r="BP455" i="2"/>
  <c r="BO455" i="2"/>
  <c r="BN455" i="2"/>
  <c r="BM455" i="2"/>
  <c r="Z455" i="2"/>
  <c r="Y455" i="2"/>
  <c r="P455" i="2"/>
  <c r="BO454" i="2"/>
  <c r="BM454" i="2"/>
  <c r="Y454" i="2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P447" i="2"/>
  <c r="BO447" i="2"/>
  <c r="BN447" i="2"/>
  <c r="BM447" i="2"/>
  <c r="Z447" i="2"/>
  <c r="Y447" i="2"/>
  <c r="P447" i="2"/>
  <c r="BO446" i="2"/>
  <c r="BM446" i="2"/>
  <c r="Y446" i="2"/>
  <c r="P446" i="2"/>
  <c r="X442" i="2"/>
  <c r="X441" i="2"/>
  <c r="BO440" i="2"/>
  <c r="BM440" i="2"/>
  <c r="Y440" i="2"/>
  <c r="P440" i="2"/>
  <c r="X437" i="2"/>
  <c r="X436" i="2"/>
  <c r="BO435" i="2"/>
  <c r="BM435" i="2"/>
  <c r="Y435" i="2"/>
  <c r="P435" i="2"/>
  <c r="BO434" i="2"/>
  <c r="BM434" i="2"/>
  <c r="Y434" i="2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O424" i="2"/>
  <c r="BM424" i="2"/>
  <c r="Y424" i="2"/>
  <c r="P424" i="2"/>
  <c r="BP423" i="2"/>
  <c r="BO423" i="2"/>
  <c r="BN423" i="2"/>
  <c r="BM423" i="2"/>
  <c r="Z423" i="2"/>
  <c r="Y423" i="2"/>
  <c r="P423" i="2"/>
  <c r="X421" i="2"/>
  <c r="X420" i="2"/>
  <c r="BO419" i="2"/>
  <c r="BM419" i="2"/>
  <c r="Y419" i="2"/>
  <c r="P419" i="2"/>
  <c r="BO418" i="2"/>
  <c r="BM418" i="2"/>
  <c r="Y418" i="2"/>
  <c r="P418" i="2"/>
  <c r="BP417" i="2"/>
  <c r="BO417" i="2"/>
  <c r="BN417" i="2"/>
  <c r="BM417" i="2"/>
  <c r="Z417" i="2"/>
  <c r="Y417" i="2"/>
  <c r="P417" i="2"/>
  <c r="BO416" i="2"/>
  <c r="BM416" i="2"/>
  <c r="Y416" i="2"/>
  <c r="P416" i="2"/>
  <c r="BO415" i="2"/>
  <c r="BM415" i="2"/>
  <c r="Y415" i="2"/>
  <c r="P415" i="2"/>
  <c r="BO414" i="2"/>
  <c r="BM414" i="2"/>
  <c r="Y414" i="2"/>
  <c r="P414" i="2"/>
  <c r="BP413" i="2"/>
  <c r="BO413" i="2"/>
  <c r="BN413" i="2"/>
  <c r="BM413" i="2"/>
  <c r="Z413" i="2"/>
  <c r="Y413" i="2"/>
  <c r="P413" i="2"/>
  <c r="BO412" i="2"/>
  <c r="BM412" i="2"/>
  <c r="Y412" i="2"/>
  <c r="P412" i="2"/>
  <c r="BO411" i="2"/>
  <c r="BM411" i="2"/>
  <c r="Y411" i="2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P395" i="2"/>
  <c r="BO395" i="2"/>
  <c r="BN395" i="2"/>
  <c r="BM395" i="2"/>
  <c r="Z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Y381" i="2" s="1"/>
  <c r="P379" i="2"/>
  <c r="X377" i="2"/>
  <c r="X376" i="2"/>
  <c r="BO375" i="2"/>
  <c r="BM375" i="2"/>
  <c r="Y375" i="2"/>
  <c r="BP375" i="2" s="1"/>
  <c r="P375" i="2"/>
  <c r="BP374" i="2"/>
  <c r="BO374" i="2"/>
  <c r="BN374" i="2"/>
  <c r="BM374" i="2"/>
  <c r="Z374" i="2"/>
  <c r="Y374" i="2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BP349" i="2" s="1"/>
  <c r="P349" i="2"/>
  <c r="BP348" i="2"/>
  <c r="BO348" i="2"/>
  <c r="BN348" i="2"/>
  <c r="BM348" i="2"/>
  <c r="Z348" i="2"/>
  <c r="Y348" i="2"/>
  <c r="P348" i="2"/>
  <c r="BO347" i="2"/>
  <c r="BM347" i="2"/>
  <c r="Y347" i="2"/>
  <c r="BP347" i="2" s="1"/>
  <c r="P347" i="2"/>
  <c r="X345" i="2"/>
  <c r="X344" i="2"/>
  <c r="BO343" i="2"/>
  <c r="BM343" i="2"/>
  <c r="Y343" i="2"/>
  <c r="P343" i="2"/>
  <c r="BO342" i="2"/>
  <c r="BM342" i="2"/>
  <c r="Y342" i="2"/>
  <c r="P342" i="2"/>
  <c r="BO341" i="2"/>
  <c r="BM341" i="2"/>
  <c r="Y341" i="2"/>
  <c r="BP341" i="2" s="1"/>
  <c r="P341" i="2"/>
  <c r="X339" i="2"/>
  <c r="X338" i="2"/>
  <c r="BO337" i="2"/>
  <c r="BM337" i="2"/>
  <c r="Y337" i="2"/>
  <c r="BP337" i="2" s="1"/>
  <c r="P337" i="2"/>
  <c r="BP336" i="2"/>
  <c r="BO336" i="2"/>
  <c r="BN336" i="2"/>
  <c r="BM336" i="2"/>
  <c r="Z336" i="2"/>
  <c r="Y336" i="2"/>
  <c r="P336" i="2"/>
  <c r="BO335" i="2"/>
  <c r="BM335" i="2"/>
  <c r="Y335" i="2"/>
  <c r="P335" i="2"/>
  <c r="BO334" i="2"/>
  <c r="BM334" i="2"/>
  <c r="Y334" i="2"/>
  <c r="P334" i="2"/>
  <c r="X332" i="2"/>
  <c r="X331" i="2"/>
  <c r="BP330" i="2"/>
  <c r="BO330" i="2"/>
  <c r="BN330" i="2"/>
  <c r="BM330" i="2"/>
  <c r="Z330" i="2"/>
  <c r="Y330" i="2"/>
  <c r="P330" i="2"/>
  <c r="BO329" i="2"/>
  <c r="BM329" i="2"/>
  <c r="Y329" i="2"/>
  <c r="BP329" i="2" s="1"/>
  <c r="P329" i="2"/>
  <c r="BO328" i="2"/>
  <c r="BM328" i="2"/>
  <c r="Y328" i="2"/>
  <c r="P328" i="2"/>
  <c r="BO327" i="2"/>
  <c r="BM327" i="2"/>
  <c r="Y327" i="2"/>
  <c r="BP327" i="2" s="1"/>
  <c r="P327" i="2"/>
  <c r="BP326" i="2"/>
  <c r="BO326" i="2"/>
  <c r="BN326" i="2"/>
  <c r="BM326" i="2"/>
  <c r="Z326" i="2"/>
  <c r="Y326" i="2"/>
  <c r="P326" i="2"/>
  <c r="BO325" i="2"/>
  <c r="BM325" i="2"/>
  <c r="Y325" i="2"/>
  <c r="BP325" i="2" s="1"/>
  <c r="P325" i="2"/>
  <c r="BO324" i="2"/>
  <c r="BM324" i="2"/>
  <c r="Y324" i="2"/>
  <c r="P324" i="2"/>
  <c r="X322" i="2"/>
  <c r="X321" i="2"/>
  <c r="BP320" i="2"/>
  <c r="BO320" i="2"/>
  <c r="BN320" i="2"/>
  <c r="BM320" i="2"/>
  <c r="Z320" i="2"/>
  <c r="Y320" i="2"/>
  <c r="P320" i="2"/>
  <c r="BO319" i="2"/>
  <c r="BM319" i="2"/>
  <c r="Y319" i="2"/>
  <c r="BP319" i="2" s="1"/>
  <c r="P319" i="2"/>
  <c r="BO318" i="2"/>
  <c r="BM318" i="2"/>
  <c r="Y318" i="2"/>
  <c r="BO317" i="2"/>
  <c r="BM317" i="2"/>
  <c r="Y317" i="2"/>
  <c r="P317" i="2"/>
  <c r="BO316" i="2"/>
  <c r="BM316" i="2"/>
  <c r="Y316" i="2"/>
  <c r="BP316" i="2" s="1"/>
  <c r="BO315" i="2"/>
  <c r="BM315" i="2"/>
  <c r="Y315" i="2"/>
  <c r="BP315" i="2" s="1"/>
  <c r="P315" i="2"/>
  <c r="BO314" i="2"/>
  <c r="BM314" i="2"/>
  <c r="Y314" i="2"/>
  <c r="BO313" i="2"/>
  <c r="BM313" i="2"/>
  <c r="Y313" i="2"/>
  <c r="P313" i="2"/>
  <c r="X310" i="2"/>
  <c r="X309" i="2"/>
  <c r="BP308" i="2"/>
  <c r="BO308" i="2"/>
  <c r="BN308" i="2"/>
  <c r="BM308" i="2"/>
  <c r="Z308" i="2"/>
  <c r="Y308" i="2"/>
  <c r="P308" i="2"/>
  <c r="BO307" i="2"/>
  <c r="BM307" i="2"/>
  <c r="Y307" i="2"/>
  <c r="Y309" i="2" s="1"/>
  <c r="P307" i="2"/>
  <c r="X305" i="2"/>
  <c r="X304" i="2"/>
  <c r="BO303" i="2"/>
  <c r="BM303" i="2"/>
  <c r="Y303" i="2"/>
  <c r="BP303" i="2" s="1"/>
  <c r="P303" i="2"/>
  <c r="BO302" i="2"/>
  <c r="BM302" i="2"/>
  <c r="Y302" i="2"/>
  <c r="P302" i="2"/>
  <c r="BO301" i="2"/>
  <c r="BM301" i="2"/>
  <c r="Y301" i="2"/>
  <c r="Q516" i="2" s="1"/>
  <c r="P301" i="2"/>
  <c r="X298" i="2"/>
  <c r="X297" i="2"/>
  <c r="BO296" i="2"/>
  <c r="BM296" i="2"/>
  <c r="Y296" i="2"/>
  <c r="BP296" i="2" s="1"/>
  <c r="P296" i="2"/>
  <c r="BP295" i="2"/>
  <c r="BO295" i="2"/>
  <c r="BN295" i="2"/>
  <c r="BM295" i="2"/>
  <c r="Z295" i="2"/>
  <c r="Y295" i="2"/>
  <c r="P295" i="2"/>
  <c r="BO294" i="2"/>
  <c r="BM294" i="2"/>
  <c r="Y294" i="2"/>
  <c r="P294" i="2"/>
  <c r="X291" i="2"/>
  <c r="X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Y291" i="2" s="1"/>
  <c r="P287" i="2"/>
  <c r="BP286" i="2"/>
  <c r="BO286" i="2"/>
  <c r="BN286" i="2"/>
  <c r="BM286" i="2"/>
  <c r="Z286" i="2"/>
  <c r="Y286" i="2"/>
  <c r="P286" i="2"/>
  <c r="X283" i="2"/>
  <c r="X282" i="2"/>
  <c r="BO281" i="2"/>
  <c r="BM281" i="2"/>
  <c r="Y281" i="2"/>
  <c r="P281" i="2"/>
  <c r="BO280" i="2"/>
  <c r="BM280" i="2"/>
  <c r="Y280" i="2"/>
  <c r="BP280" i="2" s="1"/>
  <c r="P280" i="2"/>
  <c r="BP279" i="2"/>
  <c r="BO279" i="2"/>
  <c r="BN279" i="2"/>
  <c r="BM279" i="2"/>
  <c r="Z279" i="2"/>
  <c r="Y279" i="2"/>
  <c r="P279" i="2"/>
  <c r="BO278" i="2"/>
  <c r="BM278" i="2"/>
  <c r="Y278" i="2"/>
  <c r="BP278" i="2" s="1"/>
  <c r="BO277" i="2"/>
  <c r="BM277" i="2"/>
  <c r="Y277" i="2"/>
  <c r="M516" i="2" s="1"/>
  <c r="P277" i="2"/>
  <c r="X274" i="2"/>
  <c r="X273" i="2"/>
  <c r="BO272" i="2"/>
  <c r="BM272" i="2"/>
  <c r="Y272" i="2"/>
  <c r="BP272" i="2" s="1"/>
  <c r="P272" i="2"/>
  <c r="BP271" i="2"/>
  <c r="BO271" i="2"/>
  <c r="BN271" i="2"/>
  <c r="BM271" i="2"/>
  <c r="Z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X266" i="2"/>
  <c r="X265" i="2"/>
  <c r="BO264" i="2"/>
  <c r="BM264" i="2"/>
  <c r="Y264" i="2"/>
  <c r="Y266" i="2" s="1"/>
  <c r="P264" i="2"/>
  <c r="X262" i="2"/>
  <c r="X261" i="2"/>
  <c r="BO260" i="2"/>
  <c r="BM260" i="2"/>
  <c r="Y260" i="2"/>
  <c r="Y262" i="2" s="1"/>
  <c r="P260" i="2"/>
  <c r="X258" i="2"/>
  <c r="X257" i="2"/>
  <c r="BO256" i="2"/>
  <c r="BM256" i="2"/>
  <c r="Y256" i="2"/>
  <c r="BP256" i="2" s="1"/>
  <c r="P256" i="2"/>
  <c r="BP255" i="2"/>
  <c r="BO255" i="2"/>
  <c r="BN255" i="2"/>
  <c r="BM255" i="2"/>
  <c r="Z255" i="2"/>
  <c r="Y255" i="2"/>
  <c r="P255" i="2"/>
  <c r="BO254" i="2"/>
  <c r="BM254" i="2"/>
  <c r="Y254" i="2"/>
  <c r="BP254" i="2" s="1"/>
  <c r="P254" i="2"/>
  <c r="BO253" i="2"/>
  <c r="BM253" i="2"/>
  <c r="Y253" i="2"/>
  <c r="P253" i="2"/>
  <c r="BO252" i="2"/>
  <c r="BM252" i="2"/>
  <c r="Y252" i="2"/>
  <c r="BP252" i="2" s="1"/>
  <c r="P252" i="2"/>
  <c r="BP251" i="2"/>
  <c r="BO251" i="2"/>
  <c r="BN251" i="2"/>
  <c r="BM251" i="2"/>
  <c r="Z251" i="2"/>
  <c r="Y251" i="2"/>
  <c r="P251" i="2"/>
  <c r="BO250" i="2"/>
  <c r="BM250" i="2"/>
  <c r="Y250" i="2"/>
  <c r="P250" i="2"/>
  <c r="X247" i="2"/>
  <c r="X246" i="2"/>
  <c r="BO245" i="2"/>
  <c r="BM245" i="2"/>
  <c r="Y245" i="2"/>
  <c r="P245" i="2"/>
  <c r="BO244" i="2"/>
  <c r="BN244" i="2"/>
  <c r="BM244" i="2"/>
  <c r="Z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O228" i="2"/>
  <c r="BM228" i="2"/>
  <c r="Y228" i="2"/>
  <c r="BP228" i="2" s="1"/>
  <c r="P228" i="2"/>
  <c r="BO227" i="2"/>
  <c r="BM227" i="2"/>
  <c r="Y227" i="2"/>
  <c r="BP227" i="2" s="1"/>
  <c r="P227" i="2"/>
  <c r="BP226" i="2"/>
  <c r="BO226" i="2"/>
  <c r="BN226" i="2"/>
  <c r="BM226" i="2"/>
  <c r="Z226" i="2"/>
  <c r="Y226" i="2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P217" i="2"/>
  <c r="BO216" i="2"/>
  <c r="BM216" i="2"/>
  <c r="Y216" i="2"/>
  <c r="Y218" i="2" s="1"/>
  <c r="P216" i="2"/>
  <c r="X214" i="2"/>
  <c r="X213" i="2"/>
  <c r="BO212" i="2"/>
  <c r="BM212" i="2"/>
  <c r="Y212" i="2"/>
  <c r="BP212" i="2" s="1"/>
  <c r="P212" i="2"/>
  <c r="BO211" i="2"/>
  <c r="BM211" i="2"/>
  <c r="Y211" i="2"/>
  <c r="Y213" i="2" s="1"/>
  <c r="P211" i="2"/>
  <c r="X208" i="2"/>
  <c r="X207" i="2"/>
  <c r="BO206" i="2"/>
  <c r="BM206" i="2"/>
  <c r="Y206" i="2"/>
  <c r="Y208" i="2" s="1"/>
  <c r="P206" i="2"/>
  <c r="X204" i="2"/>
  <c r="X203" i="2"/>
  <c r="BO202" i="2"/>
  <c r="BM202" i="2"/>
  <c r="Y202" i="2"/>
  <c r="BP202" i="2" s="1"/>
  <c r="P202" i="2"/>
  <c r="BP201" i="2"/>
  <c r="BO201" i="2"/>
  <c r="BN201" i="2"/>
  <c r="BM201" i="2"/>
  <c r="Z201" i="2"/>
  <c r="Y201" i="2"/>
  <c r="P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BO194" i="2"/>
  <c r="BM194" i="2"/>
  <c r="Y194" i="2"/>
  <c r="P194" i="2"/>
  <c r="BP193" i="2"/>
  <c r="BO193" i="2"/>
  <c r="BN193" i="2"/>
  <c r="BM193" i="2"/>
  <c r="Z193" i="2"/>
  <c r="Y193" i="2"/>
  <c r="P193" i="2"/>
  <c r="BO192" i="2"/>
  <c r="BM192" i="2"/>
  <c r="Y192" i="2"/>
  <c r="P192" i="2"/>
  <c r="BO191" i="2"/>
  <c r="BM191" i="2"/>
  <c r="Y191" i="2"/>
  <c r="BP191" i="2" s="1"/>
  <c r="P191" i="2"/>
  <c r="BO190" i="2"/>
  <c r="BM190" i="2"/>
  <c r="Y190" i="2"/>
  <c r="P190" i="2"/>
  <c r="BP189" i="2"/>
  <c r="BO189" i="2"/>
  <c r="BN189" i="2"/>
  <c r="BM189" i="2"/>
  <c r="Z189" i="2"/>
  <c r="Y189" i="2"/>
  <c r="P189" i="2"/>
  <c r="BO188" i="2"/>
  <c r="BM188" i="2"/>
  <c r="Y188" i="2"/>
  <c r="Z188" i="2" s="1"/>
  <c r="P188" i="2"/>
  <c r="BO187" i="2"/>
  <c r="BM187" i="2"/>
  <c r="Y187" i="2"/>
  <c r="BP187" i="2" s="1"/>
  <c r="P187" i="2"/>
  <c r="BO186" i="2"/>
  <c r="BM186" i="2"/>
  <c r="Y186" i="2"/>
  <c r="BP186" i="2" s="1"/>
  <c r="P186" i="2"/>
  <c r="BP185" i="2"/>
  <c r="BO185" i="2"/>
  <c r="BN185" i="2"/>
  <c r="BM185" i="2"/>
  <c r="Z185" i="2"/>
  <c r="Y185" i="2"/>
  <c r="P185" i="2"/>
  <c r="BO184" i="2"/>
  <c r="BM184" i="2"/>
  <c r="Y184" i="2"/>
  <c r="BP184" i="2" s="1"/>
  <c r="P184" i="2"/>
  <c r="X182" i="2"/>
  <c r="X181" i="2"/>
  <c r="BO180" i="2"/>
  <c r="BM180" i="2"/>
  <c r="Y180" i="2"/>
  <c r="P180" i="2"/>
  <c r="X176" i="2"/>
  <c r="X175" i="2"/>
  <c r="BO174" i="2"/>
  <c r="BM174" i="2"/>
  <c r="Y174" i="2"/>
  <c r="Y176" i="2" s="1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BP165" i="2"/>
  <c r="BO165" i="2"/>
  <c r="BN165" i="2"/>
  <c r="BM165" i="2"/>
  <c r="Z165" i="2"/>
  <c r="Y165" i="2"/>
  <c r="BP164" i="2"/>
  <c r="BO164" i="2"/>
  <c r="BN164" i="2"/>
  <c r="BM164" i="2"/>
  <c r="Z164" i="2"/>
  <c r="Y164" i="2"/>
  <c r="P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BP161" i="2" s="1"/>
  <c r="P161" i="2"/>
  <c r="X159" i="2"/>
  <c r="X158" i="2"/>
  <c r="BO157" i="2"/>
  <c r="BM157" i="2"/>
  <c r="Y157" i="2"/>
  <c r="Y159" i="2" s="1"/>
  <c r="X155" i="2"/>
  <c r="X154" i="2"/>
  <c r="BO153" i="2"/>
  <c r="BM153" i="2"/>
  <c r="Y153" i="2"/>
  <c r="BP153" i="2" s="1"/>
  <c r="P153" i="2"/>
  <c r="BO152" i="2"/>
  <c r="BM152" i="2"/>
  <c r="Y152" i="2"/>
  <c r="Y155" i="2" s="1"/>
  <c r="P152" i="2"/>
  <c r="X149" i="2"/>
  <c r="X148" i="2"/>
  <c r="BO147" i="2"/>
  <c r="BM147" i="2"/>
  <c r="Y147" i="2"/>
  <c r="BP147" i="2" s="1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P137" i="2"/>
  <c r="BO137" i="2"/>
  <c r="BN137" i="2"/>
  <c r="BM137" i="2"/>
  <c r="Z137" i="2"/>
  <c r="Y137" i="2"/>
  <c r="P137" i="2"/>
  <c r="BO136" i="2"/>
  <c r="BM136" i="2"/>
  <c r="Y136" i="2"/>
  <c r="P136" i="2"/>
  <c r="X133" i="2"/>
  <c r="Y132" i="2"/>
  <c r="X132" i="2"/>
  <c r="BP131" i="2"/>
  <c r="BO131" i="2"/>
  <c r="BN131" i="2"/>
  <c r="BM131" i="2"/>
  <c r="Z131" i="2"/>
  <c r="Z132" i="2" s="1"/>
  <c r="Y131" i="2"/>
  <c r="Y133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X122" i="2"/>
  <c r="X121" i="2"/>
  <c r="BO120" i="2"/>
  <c r="BM120" i="2"/>
  <c r="Y120" i="2"/>
  <c r="BP120" i="2" s="1"/>
  <c r="P120" i="2"/>
  <c r="BP119" i="2"/>
  <c r="BO119" i="2"/>
  <c r="BN119" i="2"/>
  <c r="BM119" i="2"/>
  <c r="Z119" i="2"/>
  <c r="Y119" i="2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BP113" i="2" s="1"/>
  <c r="P113" i="2"/>
  <c r="BO112" i="2"/>
  <c r="BM112" i="2"/>
  <c r="Y112" i="2"/>
  <c r="BP112" i="2" s="1"/>
  <c r="P112" i="2"/>
  <c r="BO111" i="2"/>
  <c r="BM111" i="2"/>
  <c r="Y111" i="2"/>
  <c r="BP111" i="2" s="1"/>
  <c r="P111" i="2"/>
  <c r="BP110" i="2"/>
  <c r="BO110" i="2"/>
  <c r="BN110" i="2"/>
  <c r="BM110" i="2"/>
  <c r="Z110" i="2"/>
  <c r="Y110" i="2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P102" i="2"/>
  <c r="BO102" i="2"/>
  <c r="BN102" i="2"/>
  <c r="BM102" i="2"/>
  <c r="Z102" i="2"/>
  <c r="Y102" i="2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P94" i="2"/>
  <c r="X91" i="2"/>
  <c r="X90" i="2"/>
  <c r="BP89" i="2"/>
  <c r="BO89" i="2"/>
  <c r="BN89" i="2"/>
  <c r="BM89" i="2"/>
  <c r="Z89" i="2"/>
  <c r="Y89" i="2"/>
  <c r="P89" i="2"/>
  <c r="BO88" i="2"/>
  <c r="BM88" i="2"/>
  <c r="Y88" i="2"/>
  <c r="Y90" i="2" s="1"/>
  <c r="P88" i="2"/>
  <c r="X86" i="2"/>
  <c r="X85" i="2"/>
  <c r="BO84" i="2"/>
  <c r="BM84" i="2"/>
  <c r="Y84" i="2"/>
  <c r="BP84" i="2" s="1"/>
  <c r="P84" i="2"/>
  <c r="BO83" i="2"/>
  <c r="BM83" i="2"/>
  <c r="Y83" i="2"/>
  <c r="BP83" i="2" s="1"/>
  <c r="P83" i="2"/>
  <c r="BO82" i="2"/>
  <c r="BM82" i="2"/>
  <c r="Y82" i="2"/>
  <c r="Y86" i="2" s="1"/>
  <c r="P82" i="2"/>
  <c r="BP81" i="2"/>
  <c r="BO81" i="2"/>
  <c r="BN81" i="2"/>
  <c r="BM81" i="2"/>
  <c r="Z81" i="2"/>
  <c r="Y81" i="2"/>
  <c r="P81" i="2"/>
  <c r="X79" i="2"/>
  <c r="Y78" i="2"/>
  <c r="X78" i="2"/>
  <c r="BP77" i="2"/>
  <c r="BO77" i="2"/>
  <c r="BN77" i="2"/>
  <c r="BM77" i="2"/>
  <c r="Z77" i="2"/>
  <c r="Z78" i="2" s="1"/>
  <c r="Y77" i="2"/>
  <c r="Y79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Y74" i="2" s="1"/>
  <c r="P70" i="2"/>
  <c r="X68" i="2"/>
  <c r="X67" i="2"/>
  <c r="BO66" i="2"/>
  <c r="BM66" i="2"/>
  <c r="Y66" i="2"/>
  <c r="BP66" i="2" s="1"/>
  <c r="P66" i="2"/>
  <c r="BP65" i="2"/>
  <c r="BO65" i="2"/>
  <c r="BN65" i="2"/>
  <c r="BM65" i="2"/>
  <c r="Z65" i="2"/>
  <c r="Y65" i="2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Y58" i="2" s="1"/>
  <c r="P56" i="2"/>
  <c r="X54" i="2"/>
  <c r="X53" i="2"/>
  <c r="BO52" i="2"/>
  <c r="BM52" i="2"/>
  <c r="Y52" i="2"/>
  <c r="BP52" i="2" s="1"/>
  <c r="P52" i="2"/>
  <c r="BO51" i="2"/>
  <c r="BM51" i="2"/>
  <c r="Y51" i="2"/>
  <c r="BP51" i="2" s="1"/>
  <c r="P51" i="2"/>
  <c r="BP50" i="2"/>
  <c r="BO50" i="2"/>
  <c r="BN50" i="2"/>
  <c r="BM50" i="2"/>
  <c r="Z50" i="2"/>
  <c r="Y50" i="2"/>
  <c r="BO49" i="2"/>
  <c r="BM49" i="2"/>
  <c r="Y49" i="2"/>
  <c r="P49" i="2"/>
  <c r="X45" i="2"/>
  <c r="X44" i="2"/>
  <c r="BO43" i="2"/>
  <c r="BM43" i="2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O33" i="2"/>
  <c r="BM33" i="2"/>
  <c r="Y33" i="2"/>
  <c r="BP33" i="2" s="1"/>
  <c r="P33" i="2"/>
  <c r="BP32" i="2"/>
  <c r="BO32" i="2"/>
  <c r="BN32" i="2"/>
  <c r="BM32" i="2"/>
  <c r="Z32" i="2"/>
  <c r="Y32" i="2"/>
  <c r="P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X25" i="2"/>
  <c r="X24" i="2"/>
  <c r="BP23" i="2"/>
  <c r="BO23" i="2"/>
  <c r="BN23" i="2"/>
  <c r="BM23" i="2"/>
  <c r="Z23" i="2"/>
  <c r="Y23" i="2"/>
  <c r="P23" i="2"/>
  <c r="BO22" i="2"/>
  <c r="BM22" i="2"/>
  <c r="Y22" i="2"/>
  <c r="P22" i="2"/>
  <c r="H10" i="2"/>
  <c r="A9" i="2"/>
  <c r="A10" i="2" s="1"/>
  <c r="D7" i="2"/>
  <c r="Q6" i="2"/>
  <c r="P2" i="2"/>
  <c r="BP253" i="2" l="1"/>
  <c r="BN253" i="2"/>
  <c r="Z253" i="2"/>
  <c r="BP281" i="2"/>
  <c r="BN281" i="2"/>
  <c r="Z281" i="2"/>
  <c r="BP302" i="2"/>
  <c r="BN302" i="2"/>
  <c r="Z302" i="2"/>
  <c r="BP314" i="2"/>
  <c r="BN314" i="2"/>
  <c r="Z314" i="2"/>
  <c r="BP318" i="2"/>
  <c r="BN318" i="2"/>
  <c r="Z318" i="2"/>
  <c r="BP328" i="2"/>
  <c r="BN328" i="2"/>
  <c r="Z328" i="2"/>
  <c r="BP343" i="2"/>
  <c r="BN343" i="2"/>
  <c r="Z343" i="2"/>
  <c r="BP380" i="2"/>
  <c r="BN380" i="2"/>
  <c r="Z380" i="2"/>
  <c r="BP415" i="2"/>
  <c r="BN415" i="2"/>
  <c r="Z415" i="2"/>
  <c r="BP434" i="2"/>
  <c r="BN434" i="2"/>
  <c r="Z434" i="2"/>
  <c r="BP462" i="2"/>
  <c r="BN462" i="2"/>
  <c r="Z462" i="2"/>
  <c r="Y487" i="2"/>
  <c r="Y486" i="2"/>
  <c r="BP485" i="2"/>
  <c r="BN485" i="2"/>
  <c r="Z485" i="2"/>
  <c r="Z486" i="2" s="1"/>
  <c r="Y491" i="2"/>
  <c r="Y490" i="2"/>
  <c r="BP489" i="2"/>
  <c r="BN489" i="2"/>
  <c r="Z489" i="2"/>
  <c r="Z490" i="2" s="1"/>
  <c r="BP497" i="2"/>
  <c r="BN497" i="2"/>
  <c r="Z497" i="2"/>
  <c r="B516" i="2"/>
  <c r="Y35" i="2"/>
  <c r="Z30" i="2"/>
  <c r="BN30" i="2"/>
  <c r="Z56" i="2"/>
  <c r="Z57" i="2" s="1"/>
  <c r="BN56" i="2"/>
  <c r="BP56" i="2"/>
  <c r="Y57" i="2"/>
  <c r="Z63" i="2"/>
  <c r="BN63" i="2"/>
  <c r="Z72" i="2"/>
  <c r="BN72" i="2"/>
  <c r="Y85" i="2"/>
  <c r="Z83" i="2"/>
  <c r="BN83" i="2"/>
  <c r="Z95" i="2"/>
  <c r="BN95" i="2"/>
  <c r="Z113" i="2"/>
  <c r="BN113" i="2"/>
  <c r="Y121" i="2"/>
  <c r="Z125" i="2"/>
  <c r="BN125" i="2"/>
  <c r="Z153" i="2"/>
  <c r="BN153" i="2"/>
  <c r="Z157" i="2"/>
  <c r="Z158" i="2" s="1"/>
  <c r="BN157" i="2"/>
  <c r="BP157" i="2"/>
  <c r="Y158" i="2"/>
  <c r="Z161" i="2"/>
  <c r="BN161" i="2"/>
  <c r="Y171" i="2"/>
  <c r="Z167" i="2"/>
  <c r="BN167" i="2"/>
  <c r="Z170" i="2"/>
  <c r="BN170" i="2"/>
  <c r="J516" i="2"/>
  <c r="Z187" i="2"/>
  <c r="BN187" i="2"/>
  <c r="Z191" i="2"/>
  <c r="BN191" i="2"/>
  <c r="Z195" i="2"/>
  <c r="BN195" i="2"/>
  <c r="Y204" i="2"/>
  <c r="Z216" i="2"/>
  <c r="BN216" i="2"/>
  <c r="BP216" i="2"/>
  <c r="Y219" i="2"/>
  <c r="Z228" i="2"/>
  <c r="BN228" i="2"/>
  <c r="Y274" i="2"/>
  <c r="BP269" i="2"/>
  <c r="BN269" i="2"/>
  <c r="Z269" i="2"/>
  <c r="BP288" i="2"/>
  <c r="BN288" i="2"/>
  <c r="Z288" i="2"/>
  <c r="Y321" i="2"/>
  <c r="BP313" i="2"/>
  <c r="BN313" i="2"/>
  <c r="Z313" i="2"/>
  <c r="BP317" i="2"/>
  <c r="BN317" i="2"/>
  <c r="Z317" i="2"/>
  <c r="Y331" i="2"/>
  <c r="BP324" i="2"/>
  <c r="BN324" i="2"/>
  <c r="Z324" i="2"/>
  <c r="Y338" i="2"/>
  <c r="BP334" i="2"/>
  <c r="BN334" i="2"/>
  <c r="Z334" i="2"/>
  <c r="BP361" i="2"/>
  <c r="BN361" i="2"/>
  <c r="Z361" i="2"/>
  <c r="V516" i="2"/>
  <c r="BP411" i="2"/>
  <c r="BN411" i="2"/>
  <c r="Z411" i="2"/>
  <c r="BP419" i="2"/>
  <c r="BN419" i="2"/>
  <c r="Z419" i="2"/>
  <c r="BP453" i="2"/>
  <c r="BN453" i="2"/>
  <c r="Z453" i="2"/>
  <c r="BP472" i="2"/>
  <c r="BN472" i="2"/>
  <c r="Z472" i="2"/>
  <c r="Y246" i="2"/>
  <c r="L516" i="2"/>
  <c r="O516" i="2"/>
  <c r="P516" i="2"/>
  <c r="Y339" i="2"/>
  <c r="S516" i="2"/>
  <c r="Y425" i="2"/>
  <c r="F9" i="2"/>
  <c r="J9" i="2"/>
  <c r="F10" i="2"/>
  <c r="Z22" i="2"/>
  <c r="Z24" i="2" s="1"/>
  <c r="BN22" i="2"/>
  <c r="BP22" i="2"/>
  <c r="Y25" i="2"/>
  <c r="Z27" i="2"/>
  <c r="BN27" i="2"/>
  <c r="BP27" i="2"/>
  <c r="Z29" i="2"/>
  <c r="BN29" i="2"/>
  <c r="Z31" i="2"/>
  <c r="BN31" i="2"/>
  <c r="Z33" i="2"/>
  <c r="BN33" i="2"/>
  <c r="Y34" i="2"/>
  <c r="Z37" i="2"/>
  <c r="Z38" i="2" s="1"/>
  <c r="BN37" i="2"/>
  <c r="BP37" i="2"/>
  <c r="Y38" i="2"/>
  <c r="Z43" i="2"/>
  <c r="Z44" i="2" s="1"/>
  <c r="BN43" i="2"/>
  <c r="BP43" i="2"/>
  <c r="Y44" i="2"/>
  <c r="Z52" i="2"/>
  <c r="BN52" i="2"/>
  <c r="Z64" i="2"/>
  <c r="BN64" i="2"/>
  <c r="Z71" i="2"/>
  <c r="BN71" i="2"/>
  <c r="Z73" i="2"/>
  <c r="BN73" i="2"/>
  <c r="Z82" i="2"/>
  <c r="BN82" i="2"/>
  <c r="BP82" i="2"/>
  <c r="Z84" i="2"/>
  <c r="BN84" i="2"/>
  <c r="Z88" i="2"/>
  <c r="Z90" i="2" s="1"/>
  <c r="BN88" i="2"/>
  <c r="BP88" i="2"/>
  <c r="Y91" i="2"/>
  <c r="Z96" i="2"/>
  <c r="BN96" i="2"/>
  <c r="Z112" i="2"/>
  <c r="BN112" i="2"/>
  <c r="Z118" i="2"/>
  <c r="BN118" i="2"/>
  <c r="Z120" i="2"/>
  <c r="BN120" i="2"/>
  <c r="Z127" i="2"/>
  <c r="BN127" i="2"/>
  <c r="Z147" i="2"/>
  <c r="BN147" i="2"/>
  <c r="Z163" i="2"/>
  <c r="BN163" i="2"/>
  <c r="Z166" i="2"/>
  <c r="BN166" i="2"/>
  <c r="Z168" i="2"/>
  <c r="BN168" i="2"/>
  <c r="Z169" i="2"/>
  <c r="BN169" i="2"/>
  <c r="Z174" i="2"/>
  <c r="Z175" i="2" s="1"/>
  <c r="BN174" i="2"/>
  <c r="BP174" i="2"/>
  <c r="Y175" i="2"/>
  <c r="Z180" i="2"/>
  <c r="Z181" i="2" s="1"/>
  <c r="BN180" i="2"/>
  <c r="BP180" i="2"/>
  <c r="Y181" i="2"/>
  <c r="Z184" i="2"/>
  <c r="BN184" i="2"/>
  <c r="Z186" i="2"/>
  <c r="BN186" i="2"/>
  <c r="BP192" i="2"/>
  <c r="BN192" i="2"/>
  <c r="Z192" i="2"/>
  <c r="BP196" i="2"/>
  <c r="BN196" i="2"/>
  <c r="Z196" i="2"/>
  <c r="Z218" i="2"/>
  <c r="H9" i="2"/>
  <c r="Y24" i="2"/>
  <c r="Y45" i="2"/>
  <c r="Y182" i="2"/>
  <c r="Y198" i="2"/>
  <c r="Y197" i="2"/>
  <c r="BP188" i="2"/>
  <c r="BN188" i="2"/>
  <c r="BP190" i="2"/>
  <c r="BN190" i="2"/>
  <c r="Z190" i="2"/>
  <c r="BP194" i="2"/>
  <c r="BN194" i="2"/>
  <c r="Z194" i="2"/>
  <c r="Z200" i="2"/>
  <c r="BN200" i="2"/>
  <c r="BP200" i="2"/>
  <c r="Z202" i="2"/>
  <c r="BN202" i="2"/>
  <c r="Y203" i="2"/>
  <c r="Z206" i="2"/>
  <c r="Z207" i="2" s="1"/>
  <c r="BN206" i="2"/>
  <c r="BP206" i="2"/>
  <c r="Y207" i="2"/>
  <c r="Z212" i="2"/>
  <c r="BN212" i="2"/>
  <c r="Z217" i="2"/>
  <c r="BN217" i="2"/>
  <c r="BP217" i="2"/>
  <c r="Z225" i="2"/>
  <c r="BN225" i="2"/>
  <c r="Z227" i="2"/>
  <c r="BN227" i="2"/>
  <c r="Z236" i="2"/>
  <c r="BN236" i="2"/>
  <c r="Z250" i="2"/>
  <c r="Z257" i="2" s="1"/>
  <c r="BN250" i="2"/>
  <c r="BP250" i="2"/>
  <c r="Z252" i="2"/>
  <c r="BN252" i="2"/>
  <c r="Z254" i="2"/>
  <c r="BN254" i="2"/>
  <c r="Z256" i="2"/>
  <c r="BN256" i="2"/>
  <c r="Y257" i="2"/>
  <c r="Z260" i="2"/>
  <c r="Z261" i="2" s="1"/>
  <c r="BN260" i="2"/>
  <c r="BP260" i="2"/>
  <c r="Y261" i="2"/>
  <c r="Z264" i="2"/>
  <c r="Z265" i="2" s="1"/>
  <c r="BN264" i="2"/>
  <c r="BP264" i="2"/>
  <c r="Y265" i="2"/>
  <c r="Z268" i="2"/>
  <c r="Z273" i="2" s="1"/>
  <c r="BN268" i="2"/>
  <c r="BP268" i="2"/>
  <c r="Z270" i="2"/>
  <c r="BN270" i="2"/>
  <c r="Z272" i="2"/>
  <c r="BN272" i="2"/>
  <c r="Y273" i="2"/>
  <c r="Z277" i="2"/>
  <c r="Z282" i="2" s="1"/>
  <c r="BN277" i="2"/>
  <c r="BP277" i="2"/>
  <c r="Z278" i="2"/>
  <c r="BN278" i="2"/>
  <c r="Z280" i="2"/>
  <c r="BN280" i="2"/>
  <c r="Y283" i="2"/>
  <c r="Z287" i="2"/>
  <c r="Z290" i="2" s="1"/>
  <c r="BN287" i="2"/>
  <c r="BP287" i="2"/>
  <c r="Z289" i="2"/>
  <c r="BN289" i="2"/>
  <c r="Y290" i="2"/>
  <c r="Z294" i="2"/>
  <c r="Z297" i="2" s="1"/>
  <c r="BN294" i="2"/>
  <c r="BP294" i="2"/>
  <c r="Z296" i="2"/>
  <c r="BN296" i="2"/>
  <c r="Y297" i="2"/>
  <c r="Z301" i="2"/>
  <c r="Z304" i="2" s="1"/>
  <c r="BN301" i="2"/>
  <c r="BP301" i="2"/>
  <c r="Z303" i="2"/>
  <c r="BN303" i="2"/>
  <c r="Y304" i="2"/>
  <c r="Z307" i="2"/>
  <c r="Z309" i="2" s="1"/>
  <c r="BN307" i="2"/>
  <c r="BP307" i="2"/>
  <c r="Y310" i="2"/>
  <c r="Z315" i="2"/>
  <c r="BN315" i="2"/>
  <c r="Z316" i="2"/>
  <c r="BN316" i="2"/>
  <c r="Z319" i="2"/>
  <c r="BN319" i="2"/>
  <c r="Y322" i="2"/>
  <c r="Z325" i="2"/>
  <c r="BN325" i="2"/>
  <c r="Z327" i="2"/>
  <c r="BN327" i="2"/>
  <c r="Z329" i="2"/>
  <c r="BN329" i="2"/>
  <c r="Y332" i="2"/>
  <c r="Z335" i="2"/>
  <c r="Z338" i="2" s="1"/>
  <c r="BN335" i="2"/>
  <c r="BP335" i="2"/>
  <c r="Z337" i="2"/>
  <c r="BN337" i="2"/>
  <c r="Z341" i="2"/>
  <c r="BN341" i="2"/>
  <c r="Y344" i="2"/>
  <c r="Z347" i="2"/>
  <c r="BN347" i="2"/>
  <c r="Z349" i="2"/>
  <c r="BN349" i="2"/>
  <c r="Y352" i="2"/>
  <c r="Z373" i="2"/>
  <c r="BN373" i="2"/>
  <c r="Z375" i="2"/>
  <c r="BN375" i="2"/>
  <c r="BP412" i="2"/>
  <c r="BN412" i="2"/>
  <c r="Z412" i="2"/>
  <c r="BP416" i="2"/>
  <c r="BN416" i="2"/>
  <c r="Z416" i="2"/>
  <c r="Y420" i="2"/>
  <c r="BP424" i="2"/>
  <c r="BN424" i="2"/>
  <c r="Z424" i="2"/>
  <c r="Z425" i="2" s="1"/>
  <c r="Y426" i="2"/>
  <c r="Y430" i="2"/>
  <c r="BP429" i="2"/>
  <c r="BN429" i="2"/>
  <c r="Z429" i="2"/>
  <c r="Z430" i="2" s="1"/>
  <c r="Y431" i="2"/>
  <c r="Y436" i="2"/>
  <c r="BP433" i="2"/>
  <c r="BN433" i="2"/>
  <c r="Z433" i="2"/>
  <c r="BP451" i="2"/>
  <c r="BN451" i="2"/>
  <c r="Z451" i="2"/>
  <c r="BP456" i="2"/>
  <c r="BN456" i="2"/>
  <c r="Z456" i="2"/>
  <c r="BP471" i="2"/>
  <c r="BN471" i="2"/>
  <c r="Z471" i="2"/>
  <c r="BP481" i="2"/>
  <c r="BN481" i="2"/>
  <c r="Z481" i="2"/>
  <c r="Y499" i="2"/>
  <c r="W516" i="2"/>
  <c r="Y258" i="2"/>
  <c r="Y282" i="2"/>
  <c r="Y298" i="2"/>
  <c r="Y305" i="2"/>
  <c r="BP384" i="2"/>
  <c r="BN384" i="2"/>
  <c r="Y400" i="2"/>
  <c r="BP399" i="2"/>
  <c r="BN399" i="2"/>
  <c r="Z399" i="2"/>
  <c r="Z400" i="2" s="1"/>
  <c r="Y401" i="2"/>
  <c r="BP405" i="2"/>
  <c r="BN405" i="2"/>
  <c r="Z405" i="2"/>
  <c r="BP414" i="2"/>
  <c r="BN414" i="2"/>
  <c r="Z414" i="2"/>
  <c r="BP418" i="2"/>
  <c r="BN418" i="2"/>
  <c r="Z418" i="2"/>
  <c r="BP435" i="2"/>
  <c r="BN435" i="2"/>
  <c r="Z435" i="2"/>
  <c r="Y437" i="2"/>
  <c r="X516" i="2"/>
  <c r="Y441" i="2"/>
  <c r="BP440" i="2"/>
  <c r="BN440" i="2"/>
  <c r="Z440" i="2"/>
  <c r="Z441" i="2" s="1"/>
  <c r="Y442" i="2"/>
  <c r="BP446" i="2"/>
  <c r="BN446" i="2"/>
  <c r="Z446" i="2"/>
  <c r="BP454" i="2"/>
  <c r="BN454" i="2"/>
  <c r="Z454" i="2"/>
  <c r="BP463" i="2"/>
  <c r="BN463" i="2"/>
  <c r="Z463" i="2"/>
  <c r="BP473" i="2"/>
  <c r="BN473" i="2"/>
  <c r="Z473" i="2"/>
  <c r="BP498" i="2"/>
  <c r="BN498" i="2"/>
  <c r="Z498" i="2"/>
  <c r="Z499" i="2" s="1"/>
  <c r="Y500" i="2"/>
  <c r="Y504" i="2"/>
  <c r="BP503" i="2"/>
  <c r="BN503" i="2"/>
  <c r="Z503" i="2"/>
  <c r="Z504" i="2" s="1"/>
  <c r="Y505" i="2"/>
  <c r="AA516" i="2"/>
  <c r="Y421" i="2"/>
  <c r="Y464" i="2"/>
  <c r="Z211" i="2"/>
  <c r="Z213" i="2" s="1"/>
  <c r="BN211" i="2"/>
  <c r="BP211" i="2"/>
  <c r="Y214" i="2"/>
  <c r="Y154" i="2"/>
  <c r="Z152" i="2"/>
  <c r="Z154" i="2" s="1"/>
  <c r="BN152" i="2"/>
  <c r="BP152" i="2"/>
  <c r="Y387" i="2"/>
  <c r="Y386" i="2"/>
  <c r="Z385" i="2"/>
  <c r="Z386" i="2" s="1"/>
  <c r="BN385" i="2"/>
  <c r="Z448" i="2"/>
  <c r="BN448" i="2"/>
  <c r="Y247" i="2"/>
  <c r="Z245" i="2"/>
  <c r="Z246" i="2" s="1"/>
  <c r="BN245" i="2"/>
  <c r="BP245" i="2"/>
  <c r="Z142" i="2"/>
  <c r="BN142" i="2"/>
  <c r="Z97" i="2"/>
  <c r="BN97" i="2"/>
  <c r="Z389" i="2"/>
  <c r="Z390" i="2" s="1"/>
  <c r="BN389" i="2"/>
  <c r="BP389" i="2"/>
  <c r="Y390" i="2"/>
  <c r="Z480" i="2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321" i="2" l="1"/>
  <c r="Z128" i="2"/>
  <c r="Z74" i="2"/>
  <c r="Z344" i="2"/>
  <c r="Z351" i="2"/>
  <c r="Z482" i="2"/>
  <c r="Z420" i="2"/>
  <c r="Z331" i="2"/>
  <c r="Z85" i="2"/>
  <c r="Z197" i="2"/>
  <c r="Z436" i="2"/>
  <c r="Z203" i="2"/>
  <c r="Z34" i="2"/>
  <c r="Z143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<sst xmlns="http://schemas.openxmlformats.org/spreadsheetml/2006/main" count="3779" uniqueCount="818">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</sst>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7" fillId="0" borderId="14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Protection="1">
      <protection hidden="1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workbookViewId="0">
      <selection activeCell="AA15" sqref="AA15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163" t="s">
        <v>0</v>
      </c>
      <c r="E1" s="163"/>
      <c r="F1" s="163"/>
      <c r="G1" s="11" t="s">
        <v>1</v>
      </c>
      <c r="H1" s="163" t="s">
        <v>2</v>
      </c>
      <c r="I1" s="163"/>
      <c r="J1" s="163"/>
      <c r="K1" s="163"/>
      <c r="L1" s="163"/>
      <c r="M1" s="163"/>
      <c r="N1" s="163"/>
      <c r="O1" s="163"/>
      <c r="P1" s="163"/>
      <c r="Q1" s="163"/>
      <c r="R1" s="164" t="s">
        <v>3</v>
      </c>
      <c r="S1" s="165"/>
      <c r="T1" s="165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71"/>
      <c r="R2" s="171"/>
      <c r="S2" s="171"/>
      <c r="T2" s="171"/>
      <c r="U2" s="171"/>
      <c r="V2" s="171"/>
      <c r="W2" s="171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171"/>
      <c r="Q3" s="171"/>
      <c r="R3" s="171"/>
      <c r="S3" s="171"/>
      <c r="T3" s="171"/>
      <c r="U3" s="171"/>
      <c r="V3" s="171"/>
      <c r="W3" s="171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152" t="s">
        <v>8</v>
      </c>
      <c r="B5" s="152"/>
      <c r="C5" s="152"/>
      <c r="D5" s="166"/>
      <c r="E5" s="166"/>
      <c r="F5" s="167" t="s">
        <v>9</v>
      </c>
      <c r="G5" s="167"/>
      <c r="H5" s="166"/>
      <c r="I5" s="166"/>
      <c r="J5" s="166"/>
      <c r="K5" s="166"/>
      <c r="L5" s="166"/>
      <c r="M5" s="166"/>
      <c r="N5" s="36"/>
      <c r="P5" s="37" t="s">
        <v>10</v>
      </c>
      <c r="Q5" s="168"/>
      <c r="R5" s="168"/>
      <c r="T5" s="169" t="s">
        <v>11</v>
      </c>
      <c r="U5" s="170"/>
      <c r="V5" s="172" t="s">
        <v>12</v>
      </c>
      <c r="W5" s="173"/>
      <c r="AB5" s="67"/>
      <c r="AC5" s="67"/>
      <c r="AD5" s="67"/>
      <c r="AE5" s="67"/>
    </row>
    <row r="6" spans="1:32" s="3" customFormat="1" ht="24" customHeight="1" x14ac:dyDescent="0.2">
      <c r="A6" s="152" t="s">
        <v>13</v>
      </c>
      <c r="B6" s="152"/>
      <c r="C6" s="152"/>
      <c r="D6" s="153" t="s">
        <v>14</v>
      </c>
      <c r="E6" s="153"/>
      <c r="F6" s="153"/>
      <c r="G6" s="153"/>
      <c r="H6" s="153"/>
      <c r="I6" s="153"/>
      <c r="J6" s="153"/>
      <c r="K6" s="153"/>
      <c r="L6" s="153"/>
      <c r="M6" s="153"/>
      <c r="N6" s="38"/>
      <c r="P6" s="37" t="s">
        <v>15</v>
      </c>
      <c r="Q6" s="154" t="str">
        <f>IF(Q5=0," ",CHOOSE(WEEKDAY(Q5,2),"Понедельник","Вторник","Среда","Четверг","Пятница","Суббота","Воскресенье"))</f>
        <v xml:space="preserve"> </v>
      </c>
      <c r="R6" s="154"/>
      <c r="T6" s="137" t="s">
        <v>16</v>
      </c>
      <c r="U6" s="138"/>
      <c r="V6" s="139" t="s">
        <v>17</v>
      </c>
      <c r="W6" s="14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55" t="str">
        <f>IFERROR(VLOOKUP(DeliveryAddress,Table,3,0),1)</f>
        <v>4</v>
      </c>
      <c r="E7" s="156"/>
      <c r="F7" s="156"/>
      <c r="G7" s="156"/>
      <c r="H7" s="156"/>
      <c r="I7" s="156"/>
      <c r="J7" s="156"/>
      <c r="K7" s="156"/>
      <c r="L7" s="156"/>
      <c r="M7" s="157"/>
      <c r="N7" s="39"/>
      <c r="P7" s="37"/>
      <c r="Q7" s="50"/>
      <c r="R7" s="50"/>
      <c r="T7" s="137"/>
      <c r="U7" s="138"/>
      <c r="V7" s="141"/>
      <c r="W7" s="142"/>
      <c r="AB7" s="67"/>
      <c r="AC7" s="67"/>
      <c r="AD7" s="67"/>
      <c r="AE7" s="67"/>
    </row>
    <row r="8" spans="1:32" s="3" customFormat="1" ht="25.5" customHeight="1" x14ac:dyDescent="0.2">
      <c r="A8" s="158" t="s">
        <v>18</v>
      </c>
      <c r="B8" s="158"/>
      <c r="C8" s="158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40"/>
      <c r="P8" s="37" t="s">
        <v>19</v>
      </c>
      <c r="Q8" s="131"/>
      <c r="R8" s="131"/>
      <c r="T8" s="137"/>
      <c r="U8" s="138"/>
      <c r="V8" s="141"/>
      <c r="W8" s="142"/>
      <c r="AB8" s="67"/>
      <c r="AC8" s="67"/>
      <c r="AD8" s="67"/>
      <c r="AE8" s="67"/>
    </row>
    <row r="9" spans="1:32" s="3" customFormat="1" ht="39.950000000000003" customHeight="1" x14ac:dyDescent="0.2">
      <c r="A9" s="1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45"/>
      <c r="C9" s="145"/>
      <c r="D9" s="160" t="s">
        <v>20</v>
      </c>
      <c r="E9" s="146"/>
      <c r="F9" s="1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45"/>
      <c r="H9" s="161" t="str">
        <f>IF(AND($A$9="Тип доверенности/получателя при получении в адресе перегруза:",$D$9="Разовая доверенность"),"Введите ФИО","")</f>
        <v/>
      </c>
      <c r="I9" s="161"/>
      <c r="J9" s="1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61"/>
      <c r="L9" s="161"/>
      <c r="M9" s="161"/>
      <c r="N9" s="23"/>
      <c r="P9" s="41" t="s">
        <v>21</v>
      </c>
      <c r="Q9" s="162"/>
      <c r="R9" s="162"/>
      <c r="T9" s="137"/>
      <c r="U9" s="138"/>
      <c r="V9" s="143"/>
      <c r="W9" s="14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45"/>
      <c r="C10" s="145"/>
      <c r="D10" s="146"/>
      <c r="E10" s="146"/>
      <c r="F10" s="1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45"/>
      <c r="H10" s="147" t="str">
        <f>IFERROR(VLOOKUP($D$10,Proxy,2,FALSE),"")</f>
        <v/>
      </c>
      <c r="I10" s="147"/>
      <c r="J10" s="147"/>
      <c r="K10" s="147"/>
      <c r="L10" s="147"/>
      <c r="M10" s="147"/>
      <c r="N10" s="24"/>
      <c r="P10" s="41" t="s">
        <v>22</v>
      </c>
      <c r="Q10" s="148"/>
      <c r="R10" s="148"/>
      <c r="U10" s="37" t="s">
        <v>23</v>
      </c>
      <c r="V10" s="149" t="s">
        <v>24</v>
      </c>
      <c r="W10" s="15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51"/>
      <c r="R11" s="151"/>
      <c r="U11" s="37" t="s">
        <v>27</v>
      </c>
      <c r="V11" s="133" t="s">
        <v>28</v>
      </c>
      <c r="W11" s="133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30" t="s">
        <v>29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42"/>
      <c r="P12" s="37" t="s">
        <v>30</v>
      </c>
      <c r="Q12" s="131"/>
      <c r="R12" s="131"/>
      <c r="S12" s="54"/>
      <c r="T12"/>
      <c r="U12" s="37" t="s">
        <v>20</v>
      </c>
      <c r="V12" s="132"/>
      <c r="W12" s="132"/>
      <c r="X12"/>
      <c r="AB12" s="67"/>
      <c r="AC12" s="67"/>
      <c r="AD12" s="67"/>
      <c r="AE12" s="67"/>
    </row>
    <row r="13" spans="1:32" s="3" customFormat="1" ht="23.25" customHeight="1" x14ac:dyDescent="0.2">
      <c r="A13" s="130" t="s">
        <v>31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42"/>
      <c r="O13" s="41"/>
      <c r="P13" s="41" t="s">
        <v>32</v>
      </c>
      <c r="Q13" s="133"/>
      <c r="R13" s="133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30" t="s">
        <v>33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34" t="s">
        <v>34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43"/>
      <c r="O15"/>
      <c r="P15" s="128" t="s">
        <v>35</v>
      </c>
      <c r="Q15" s="128"/>
      <c r="R15" s="128"/>
      <c r="S15" s="128"/>
      <c r="T15" s="12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29"/>
      <c r="Q16" s="129"/>
      <c r="R16" s="129"/>
      <c r="S16" s="129"/>
      <c r="T16" s="12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08" t="s">
        <v>36</v>
      </c>
      <c r="B17" s="108" t="s">
        <v>37</v>
      </c>
      <c r="C17" s="122" t="s">
        <v>38</v>
      </c>
      <c r="D17" s="110" t="s">
        <v>39</v>
      </c>
      <c r="E17" s="112"/>
      <c r="F17" s="108" t="s">
        <v>40</v>
      </c>
      <c r="G17" s="108" t="s">
        <v>41</v>
      </c>
      <c r="H17" s="108" t="s">
        <v>42</v>
      </c>
      <c r="I17" s="108" t="s">
        <v>43</v>
      </c>
      <c r="J17" s="108" t="s">
        <v>44</v>
      </c>
      <c r="K17" s="108" t="s">
        <v>45</v>
      </c>
      <c r="L17" s="108" t="s">
        <v>46</v>
      </c>
      <c r="M17" s="108" t="s">
        <v>47</v>
      </c>
      <c r="N17" s="108" t="s">
        <v>48</v>
      </c>
      <c r="O17" s="108" t="s">
        <v>49</v>
      </c>
      <c r="P17" s="110" t="s">
        <v>50</v>
      </c>
      <c r="Q17" s="111"/>
      <c r="R17" s="111"/>
      <c r="S17" s="111"/>
      <c r="T17" s="112"/>
      <c r="U17" s="135" t="s">
        <v>51</v>
      </c>
      <c r="V17" s="136"/>
      <c r="W17" s="108" t="s">
        <v>52</v>
      </c>
      <c r="X17" s="108" t="s">
        <v>53</v>
      </c>
      <c r="Y17" s="101" t="s">
        <v>54</v>
      </c>
      <c r="Z17" s="103" t="s">
        <v>55</v>
      </c>
      <c r="AA17" s="105" t="s">
        <v>56</v>
      </c>
      <c r="AB17" s="105" t="s">
        <v>57</v>
      </c>
      <c r="AC17" s="105" t="s">
        <v>58</v>
      </c>
      <c r="AD17" s="85" t="s">
        <v>59</v>
      </c>
      <c r="AE17" s="86"/>
      <c r="AF17" s="87"/>
      <c r="AG17" s="75"/>
      <c r="BD17" s="78" t="s">
        <v>60</v>
      </c>
    </row>
    <row r="18" spans="1:68" ht="14.25" customHeight="1" x14ac:dyDescent="0.2">
      <c r="A18" s="109"/>
      <c r="B18" s="109"/>
      <c r="C18" s="123"/>
      <c r="D18" s="113"/>
      <c r="E18" s="115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3"/>
      <c r="Q18" s="114"/>
      <c r="R18" s="114"/>
      <c r="S18" s="114"/>
      <c r="T18" s="115"/>
      <c r="U18" s="60" t="s">
        <v>61</v>
      </c>
      <c r="V18" s="60" t="s">
        <v>62</v>
      </c>
      <c r="W18" s="109"/>
      <c r="X18" s="109"/>
      <c r="Y18" s="102"/>
      <c r="Z18" s="104"/>
      <c r="AA18" s="106"/>
      <c r="AB18" s="106"/>
      <c r="AC18" s="106"/>
      <c r="AD18" s="88"/>
      <c r="AE18" s="89"/>
      <c r="AF18" s="90"/>
      <c r="AG18" s="75"/>
      <c r="BD18" s="78"/>
    </row>
    <row r="19" spans="1:68" ht="27.75" hidden="1" customHeight="1" x14ac:dyDescent="0.2">
      <c r="A19" s="126" t="s">
        <v>63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68"/>
      <c r="AB19" s="68"/>
      <c r="AC19" s="68"/>
    </row>
    <row r="20" spans="1:68" ht="16.5" hidden="1" customHeight="1" x14ac:dyDescent="0.25">
      <c r="A20" s="125" t="s">
        <v>63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30"/>
      <c r="AB20" s="30"/>
      <c r="AC20" s="30"/>
    </row>
    <row r="21" spans="1:68" ht="14.25" hidden="1" customHeight="1" x14ac:dyDescent="0.25">
      <c r="A21" s="107" t="s">
        <v>64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31"/>
      <c r="AB21" s="31"/>
      <c r="AC21" s="31"/>
    </row>
    <row r="22" spans="1:68" ht="27" hidden="1" customHeight="1" x14ac:dyDescent="0.25">
      <c r="A22" s="32" t="s">
        <v>65</v>
      </c>
      <c r="B22" s="32" t="s">
        <v>66</v>
      </c>
      <c r="C22" s="33">
        <v>4301031446</v>
      </c>
      <c r="D22" s="96">
        <v>4680115887510</v>
      </c>
      <c r="E22" s="96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98"/>
      <c r="R22" s="98"/>
      <c r="S22" s="98"/>
      <c r="T22" s="99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hidden="1" customHeight="1" x14ac:dyDescent="0.25">
      <c r="A23" s="32" t="s">
        <v>71</v>
      </c>
      <c r="B23" s="32" t="s">
        <v>72</v>
      </c>
      <c r="C23" s="33">
        <v>4301031278</v>
      </c>
      <c r="D23" s="96">
        <v>4680115886643</v>
      </c>
      <c r="E23" s="96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98"/>
      <c r="R23" s="98"/>
      <c r="S23" s="98"/>
      <c r="T23" s="99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hidden="1" x14ac:dyDescent="0.2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2"/>
      <c r="P24" s="93" t="s">
        <v>75</v>
      </c>
      <c r="Q24" s="94"/>
      <c r="R24" s="94"/>
      <c r="S24" s="94"/>
      <c r="T24" s="94"/>
      <c r="U24" s="94"/>
      <c r="V24" s="95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hidden="1" x14ac:dyDescent="0.2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2"/>
      <c r="P25" s="93" t="s">
        <v>75</v>
      </c>
      <c r="Q25" s="94"/>
      <c r="R25" s="94"/>
      <c r="S25" s="94"/>
      <c r="T25" s="94"/>
      <c r="U25" s="94"/>
      <c r="V25" s="95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hidden="1" customHeight="1" x14ac:dyDescent="0.25">
      <c r="A26" s="107" t="s">
        <v>77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31"/>
      <c r="AB26" s="31"/>
      <c r="AC26" s="31"/>
    </row>
    <row r="27" spans="1:68" ht="27" hidden="1" customHeight="1" x14ac:dyDescent="0.25">
      <c r="A27" s="32" t="s">
        <v>78</v>
      </c>
      <c r="B27" s="32" t="s">
        <v>79</v>
      </c>
      <c r="C27" s="33">
        <v>4301052197</v>
      </c>
      <c r="D27" s="96">
        <v>4680115888326</v>
      </c>
      <c r="E27" s="96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27" t="s">
        <v>81</v>
      </c>
      <c r="Q27" s="98"/>
      <c r="R27" s="98"/>
      <c r="S27" s="98"/>
      <c r="T27" s="99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hidden="1" customHeight="1" x14ac:dyDescent="0.25">
      <c r="A28" s="32" t="s">
        <v>84</v>
      </c>
      <c r="B28" s="32" t="s">
        <v>85</v>
      </c>
      <c r="C28" s="33">
        <v>4301051866</v>
      </c>
      <c r="D28" s="96">
        <v>4680115885912</v>
      </c>
      <c r="E28" s="96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98"/>
      <c r="R28" s="98"/>
      <c r="S28" s="98"/>
      <c r="T28" s="99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hidden="1" customHeight="1" x14ac:dyDescent="0.25">
      <c r="A29" s="32" t="s">
        <v>88</v>
      </c>
      <c r="B29" s="32" t="s">
        <v>89</v>
      </c>
      <c r="C29" s="33">
        <v>4301051776</v>
      </c>
      <c r="D29" s="96">
        <v>4607091388237</v>
      </c>
      <c r="E29" s="96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98"/>
      <c r="R29" s="98"/>
      <c r="S29" s="98"/>
      <c r="T29" s="99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hidden="1" customHeight="1" x14ac:dyDescent="0.25">
      <c r="A30" s="32" t="s">
        <v>90</v>
      </c>
      <c r="B30" s="32" t="s">
        <v>91</v>
      </c>
      <c r="C30" s="33">
        <v>4301052063</v>
      </c>
      <c r="D30" s="96">
        <v>4680115887350</v>
      </c>
      <c r="E30" s="96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98"/>
      <c r="R30" s="98"/>
      <c r="S30" s="98"/>
      <c r="T30" s="99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hidden="1" customHeight="1" x14ac:dyDescent="0.25">
      <c r="A31" s="32" t="s">
        <v>93</v>
      </c>
      <c r="B31" s="32" t="s">
        <v>94</v>
      </c>
      <c r="C31" s="33">
        <v>4301051863</v>
      </c>
      <c r="D31" s="96">
        <v>4680115885905</v>
      </c>
      <c r="E31" s="96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98"/>
      <c r="R31" s="98"/>
      <c r="S31" s="98"/>
      <c r="T31" s="99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hidden="1" customHeight="1" x14ac:dyDescent="0.25">
      <c r="A32" s="32" t="s">
        <v>96</v>
      </c>
      <c r="B32" s="32" t="s">
        <v>97</v>
      </c>
      <c r="C32" s="33">
        <v>4301052078</v>
      </c>
      <c r="D32" s="96">
        <v>4680115887657</v>
      </c>
      <c r="E32" s="96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9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98"/>
      <c r="R32" s="98"/>
      <c r="S32" s="98"/>
      <c r="T32" s="99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hidden="1" customHeight="1" x14ac:dyDescent="0.25">
      <c r="A33" s="32" t="s">
        <v>99</v>
      </c>
      <c r="B33" s="32" t="s">
        <v>100</v>
      </c>
      <c r="C33" s="33">
        <v>4301052071</v>
      </c>
      <c r="D33" s="96">
        <v>4680115887619</v>
      </c>
      <c r="E33" s="96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98"/>
      <c r="R33" s="98"/>
      <c r="S33" s="98"/>
      <c r="T33" s="99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hidden="1" x14ac:dyDescent="0.2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2"/>
      <c r="P34" s="93" t="s">
        <v>75</v>
      </c>
      <c r="Q34" s="94"/>
      <c r="R34" s="94"/>
      <c r="S34" s="94"/>
      <c r="T34" s="94"/>
      <c r="U34" s="94"/>
      <c r="V34" s="95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hidden="1" x14ac:dyDescent="0.2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2"/>
      <c r="P35" s="93" t="s">
        <v>75</v>
      </c>
      <c r="Q35" s="94"/>
      <c r="R35" s="94"/>
      <c r="S35" s="94"/>
      <c r="T35" s="94"/>
      <c r="U35" s="94"/>
      <c r="V35" s="95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hidden="1" customHeight="1" x14ac:dyDescent="0.25">
      <c r="A36" s="107" t="s">
        <v>102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31"/>
      <c r="AB36" s="31"/>
      <c r="AC36" s="31"/>
    </row>
    <row r="37" spans="1:68" ht="27" hidden="1" customHeight="1" x14ac:dyDescent="0.25">
      <c r="A37" s="32" t="s">
        <v>103</v>
      </c>
      <c r="B37" s="32" t="s">
        <v>104</v>
      </c>
      <c r="C37" s="33">
        <v>4301032013</v>
      </c>
      <c r="D37" s="96">
        <v>4607091388503</v>
      </c>
      <c r="E37" s="96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98"/>
      <c r="R37" s="98"/>
      <c r="S37" s="98"/>
      <c r="T37" s="99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hidden="1" x14ac:dyDescent="0.2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2"/>
      <c r="P38" s="93" t="s">
        <v>75</v>
      </c>
      <c r="Q38" s="94"/>
      <c r="R38" s="94"/>
      <c r="S38" s="94"/>
      <c r="T38" s="94"/>
      <c r="U38" s="94"/>
      <c r="V38" s="95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hidden="1" x14ac:dyDescent="0.2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2"/>
      <c r="P39" s="93" t="s">
        <v>75</v>
      </c>
      <c r="Q39" s="94"/>
      <c r="R39" s="94"/>
      <c r="S39" s="94"/>
      <c r="T39" s="94"/>
      <c r="U39" s="94"/>
      <c r="V39" s="95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hidden="1" customHeight="1" x14ac:dyDescent="0.2">
      <c r="A40" s="126" t="s">
        <v>108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68"/>
      <c r="AB40" s="68"/>
      <c r="AC40" s="68"/>
    </row>
    <row r="41" spans="1:68" ht="16.5" hidden="1" customHeight="1" x14ac:dyDescent="0.25">
      <c r="A41" s="125" t="s">
        <v>109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30"/>
      <c r="AB41" s="30"/>
      <c r="AC41" s="30"/>
    </row>
    <row r="42" spans="1:68" ht="14.25" hidden="1" customHeight="1" x14ac:dyDescent="0.25">
      <c r="A42" s="107" t="s">
        <v>77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31"/>
      <c r="AB42" s="31"/>
      <c r="AC42" s="31"/>
    </row>
    <row r="43" spans="1:68" ht="27" hidden="1" customHeight="1" x14ac:dyDescent="0.25">
      <c r="A43" s="32" t="s">
        <v>110</v>
      </c>
      <c r="B43" s="32" t="s">
        <v>111</v>
      </c>
      <c r="C43" s="33">
        <v>4301052184</v>
      </c>
      <c r="D43" s="96">
        <v>4680115888272</v>
      </c>
      <c r="E43" s="96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9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98"/>
      <c r="R43" s="98"/>
      <c r="S43" s="98"/>
      <c r="T43" s="99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hidden="1" x14ac:dyDescent="0.2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2"/>
      <c r="P44" s="93" t="s">
        <v>75</v>
      </c>
      <c r="Q44" s="94"/>
      <c r="R44" s="94"/>
      <c r="S44" s="94"/>
      <c r="T44" s="94"/>
      <c r="U44" s="94"/>
      <c r="V44" s="95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hidden="1" x14ac:dyDescent="0.2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2"/>
      <c r="P45" s="93" t="s">
        <v>75</v>
      </c>
      <c r="Q45" s="94"/>
      <c r="R45" s="94"/>
      <c r="S45" s="94"/>
      <c r="T45" s="94"/>
      <c r="U45" s="94"/>
      <c r="V45" s="95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hidden="1" customHeight="1" x14ac:dyDescent="0.2">
      <c r="A46" s="126" t="s">
        <v>113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68"/>
      <c r="AB46" s="68"/>
      <c r="AC46" s="68"/>
    </row>
    <row r="47" spans="1:68" ht="16.5" hidden="1" customHeight="1" x14ac:dyDescent="0.25">
      <c r="A47" s="125" t="s">
        <v>114</v>
      </c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30"/>
      <c r="AB47" s="30"/>
      <c r="AC47" s="30"/>
    </row>
    <row r="48" spans="1:68" ht="14.25" hidden="1" customHeight="1" x14ac:dyDescent="0.25">
      <c r="A48" s="107" t="s">
        <v>115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96">
        <v>4607091385670</v>
      </c>
      <c r="E49" s="96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98"/>
      <c r="R49" s="98"/>
      <c r="S49" s="98"/>
      <c r="T49" s="99"/>
      <c r="U49" s="61" t="s">
        <v>20</v>
      </c>
      <c r="V49" s="61" t="s">
        <v>20</v>
      </c>
      <c r="W49" s="62" t="s">
        <v>69</v>
      </c>
      <c r="X49" s="63">
        <v>250</v>
      </c>
      <c r="Y49" s="69">
        <f>IFERROR(IF(X49="",0,CEILING((X49/$H49),1)*$H49),"")</f>
        <v>259.20000000000005</v>
      </c>
      <c r="Z49" s="70">
        <f>IFERROR(IF(Y49=0,"",ROUNDUP(Y49/H49,0)*0.01898),"")</f>
        <v>0.45552000000000004</v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259.4907407407407</v>
      </c>
      <c r="BN49" s="76">
        <f>IFERROR(Y49*I49/H49,"0")</f>
        <v>269.04000000000002</v>
      </c>
      <c r="BO49" s="76">
        <f>IFERROR(1/J49*(X49/H49),"0")</f>
        <v>0.36168981481481477</v>
      </c>
      <c r="BP49" s="76">
        <f>IFERROR(1/J49*(Y49/H49),"0")</f>
        <v>0.37500000000000006</v>
      </c>
    </row>
    <row r="50" spans="1:68" ht="27" hidden="1" customHeight="1" x14ac:dyDescent="0.25">
      <c r="A50" s="32" t="s">
        <v>121</v>
      </c>
      <c r="B50" s="32" t="s">
        <v>122</v>
      </c>
      <c r="C50" s="33">
        <v>4301012053</v>
      </c>
      <c r="D50" s="96">
        <v>4680115887725</v>
      </c>
      <c r="E50" s="96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27" t="s">
        <v>124</v>
      </c>
      <c r="Q50" s="98"/>
      <c r="R50" s="98"/>
      <c r="S50" s="98"/>
      <c r="T50" s="99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96">
        <v>4607091385687</v>
      </c>
      <c r="E51" s="96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98"/>
      <c r="R51" s="98"/>
      <c r="S51" s="98"/>
      <c r="T51" s="99"/>
      <c r="U51" s="61" t="s">
        <v>20</v>
      </c>
      <c r="V51" s="61" t="s">
        <v>20</v>
      </c>
      <c r="W51" s="62" t="s">
        <v>69</v>
      </c>
      <c r="X51" s="63">
        <v>50</v>
      </c>
      <c r="Y51" s="69">
        <f>IFERROR(IF(X51="",0,CEILING((X51/$H51),1)*$H51),"")</f>
        <v>52</v>
      </c>
      <c r="Z51" s="70">
        <f>IFERROR(IF(Y51=0,"",ROUNDUP(Y51/H51,0)*0.00902),"")</f>
        <v>0.11726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52.375000000000007</v>
      </c>
      <c r="BN51" s="76">
        <f>IFERROR(Y51*I51/H51,"0")</f>
        <v>54.470000000000006</v>
      </c>
      <c r="BO51" s="76">
        <f>IFERROR(1/J51*(X51/H51),"0")</f>
        <v>9.4696969696969696E-2</v>
      </c>
      <c r="BP51" s="76">
        <f>IFERROR(1/J51*(Y51/H51),"0")</f>
        <v>9.8484848484848481E-2</v>
      </c>
    </row>
    <row r="52" spans="1:68" ht="27" hidden="1" customHeight="1" x14ac:dyDescent="0.25">
      <c r="A52" s="32" t="s">
        <v>129</v>
      </c>
      <c r="B52" s="32" t="s">
        <v>130</v>
      </c>
      <c r="C52" s="33">
        <v>4301011565</v>
      </c>
      <c r="D52" s="96">
        <v>4680115882539</v>
      </c>
      <c r="E52" s="96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98"/>
      <c r="R52" s="98"/>
      <c r="S52" s="98"/>
      <c r="T52" s="99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2"/>
      <c r="P53" s="93" t="s">
        <v>75</v>
      </c>
      <c r="Q53" s="94"/>
      <c r="R53" s="94"/>
      <c r="S53" s="94"/>
      <c r="T53" s="94"/>
      <c r="U53" s="94"/>
      <c r="V53" s="95"/>
      <c r="W53" s="64" t="s">
        <v>76</v>
      </c>
      <c r="X53" s="65">
        <f>IFERROR(X49/H49,"0")+IFERROR(X50/H50,"0")+IFERROR(X51/H51,"0")+IFERROR(X52/H52,"0")</f>
        <v>35.648148148148145</v>
      </c>
      <c r="Y53" s="65">
        <f>IFERROR(Y49/H49,"0")+IFERROR(Y50/H50,"0")+IFERROR(Y51/H51,"0")+IFERROR(Y52/H52,"0")</f>
        <v>37</v>
      </c>
      <c r="Z53" s="65">
        <f>IFERROR(IF(Z49="",0,Z49),"0")+IFERROR(IF(Z50="",0,Z50),"0")+IFERROR(IF(Z51="",0,Z51),"0")+IFERROR(IF(Z52="",0,Z52),"0")</f>
        <v>0.57278000000000007</v>
      </c>
      <c r="AA53" s="74"/>
      <c r="AB53" s="74"/>
      <c r="AC53" s="74"/>
    </row>
    <row r="54" spans="1:68" x14ac:dyDescent="0.2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2"/>
      <c r="P54" s="93" t="s">
        <v>75</v>
      </c>
      <c r="Q54" s="94"/>
      <c r="R54" s="94"/>
      <c r="S54" s="94"/>
      <c r="T54" s="94"/>
      <c r="U54" s="94"/>
      <c r="V54" s="95"/>
      <c r="W54" s="64" t="s">
        <v>69</v>
      </c>
      <c r="X54" s="65">
        <f>IFERROR(SUM(X49:X52),"0")</f>
        <v>300</v>
      </c>
      <c r="Y54" s="65">
        <f>IFERROR(SUM(Y49:Y52),"0")</f>
        <v>311.20000000000005</v>
      </c>
      <c r="Z54" s="64"/>
      <c r="AA54" s="74"/>
      <c r="AB54" s="74"/>
      <c r="AC54" s="74"/>
    </row>
    <row r="55" spans="1:68" ht="14.25" hidden="1" customHeight="1" x14ac:dyDescent="0.25">
      <c r="A55" s="107" t="s">
        <v>77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31"/>
      <c r="AB55" s="31"/>
      <c r="AC55" s="31"/>
    </row>
    <row r="56" spans="1:68" ht="16.5" hidden="1" customHeight="1" x14ac:dyDescent="0.25">
      <c r="A56" s="32" t="s">
        <v>131</v>
      </c>
      <c r="B56" s="32" t="s">
        <v>132</v>
      </c>
      <c r="C56" s="33">
        <v>4301051820</v>
      </c>
      <c r="D56" s="96">
        <v>4680115884915</v>
      </c>
      <c r="E56" s="96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98"/>
      <c r="R56" s="98"/>
      <c r="S56" s="98"/>
      <c r="T56" s="99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hidden="1" x14ac:dyDescent="0.2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2"/>
      <c r="P57" s="93" t="s">
        <v>75</v>
      </c>
      <c r="Q57" s="94"/>
      <c r="R57" s="94"/>
      <c r="S57" s="94"/>
      <c r="T57" s="94"/>
      <c r="U57" s="94"/>
      <c r="V57" s="95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hidden="1" x14ac:dyDescent="0.2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2"/>
      <c r="P58" s="93" t="s">
        <v>75</v>
      </c>
      <c r="Q58" s="94"/>
      <c r="R58" s="94"/>
      <c r="S58" s="94"/>
      <c r="T58" s="94"/>
      <c r="U58" s="94"/>
      <c r="V58" s="95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hidden="1" customHeight="1" x14ac:dyDescent="0.25">
      <c r="A59" s="125" t="s">
        <v>135</v>
      </c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30"/>
      <c r="AB59" s="30"/>
      <c r="AC59" s="30"/>
    </row>
    <row r="60" spans="1:68" ht="14.25" hidden="1" customHeight="1" x14ac:dyDescent="0.25">
      <c r="A60" s="107" t="s">
        <v>115</v>
      </c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31"/>
      <c r="AB60" s="31"/>
      <c r="AC60" s="31"/>
    </row>
    <row r="61" spans="1:68" ht="27" hidden="1" customHeight="1" x14ac:dyDescent="0.25">
      <c r="A61" s="32" t="s">
        <v>136</v>
      </c>
      <c r="B61" s="32" t="s">
        <v>137</v>
      </c>
      <c r="C61" s="33">
        <v>4301012030</v>
      </c>
      <c r="D61" s="96">
        <v>4680115885882</v>
      </c>
      <c r="E61" s="96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98"/>
      <c r="R61" s="98"/>
      <c r="S61" s="98"/>
      <c r="T61" s="99"/>
      <c r="U61" s="61" t="s">
        <v>20</v>
      </c>
      <c r="V61" s="61" t="s">
        <v>20</v>
      </c>
      <c r="W61" s="62" t="s">
        <v>69</v>
      </c>
      <c r="X61" s="63">
        <v>0</v>
      </c>
      <c r="Y61" s="69">
        <f t="shared" ref="Y61:Y66" si="6">IFERROR(IF(X61="",0,CEILING((X61/$H61),1)*$H61),"")</f>
        <v>0</v>
      </c>
      <c r="Z61" s="70" t="str">
        <f>IFERROR(IF(Y61=0,"",ROUNDUP(Y61/H61,0)*0.01898),"")</f>
        <v/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0</v>
      </c>
      <c r="BN61" s="76">
        <f t="shared" ref="BN61:BN66" si="8">IFERROR(Y61*I61/H61,"0")</f>
        <v>0</v>
      </c>
      <c r="BO61" s="76">
        <f t="shared" ref="BO61:BO66" si="9">IFERROR(1/J61*(X61/H61),"0")</f>
        <v>0</v>
      </c>
      <c r="BP61" s="76">
        <f t="shared" ref="BP61:BP66" si="10">IFERROR(1/J61*(Y61/H61),"0")</f>
        <v>0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96">
        <v>4680115881426</v>
      </c>
      <c r="E62" s="96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98"/>
      <c r="R62" s="98"/>
      <c r="S62" s="98"/>
      <c r="T62" s="99"/>
      <c r="U62" s="61" t="s">
        <v>20</v>
      </c>
      <c r="V62" s="61" t="s">
        <v>20</v>
      </c>
      <c r="W62" s="62" t="s">
        <v>69</v>
      </c>
      <c r="X62" s="63">
        <v>200</v>
      </c>
      <c r="Y62" s="69">
        <f t="shared" si="6"/>
        <v>205.20000000000002</v>
      </c>
      <c r="Z62" s="70">
        <f>IFERROR(IF(Y62=0,"",ROUNDUP(Y62/H62,0)*0.01898),"")</f>
        <v>0.36062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207.59259259259258</v>
      </c>
      <c r="BN62" s="76">
        <f t="shared" si="8"/>
        <v>212.99</v>
      </c>
      <c r="BO62" s="76">
        <f t="shared" si="9"/>
        <v>0.28935185185185186</v>
      </c>
      <c r="BP62" s="76">
        <f t="shared" si="10"/>
        <v>0.296875</v>
      </c>
    </row>
    <row r="63" spans="1:68" ht="27" hidden="1" customHeight="1" x14ac:dyDescent="0.25">
      <c r="A63" s="32" t="s">
        <v>142</v>
      </c>
      <c r="B63" s="32" t="s">
        <v>143</v>
      </c>
      <c r="C63" s="33">
        <v>4301011386</v>
      </c>
      <c r="D63" s="96">
        <v>4680115880283</v>
      </c>
      <c r="E63" s="96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9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98"/>
      <c r="R63" s="98"/>
      <c r="S63" s="98"/>
      <c r="T63" s="99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hidden="1" customHeight="1" x14ac:dyDescent="0.25">
      <c r="A64" s="32" t="s">
        <v>145</v>
      </c>
      <c r="B64" s="32" t="s">
        <v>146</v>
      </c>
      <c r="C64" s="33">
        <v>4301011806</v>
      </c>
      <c r="D64" s="96">
        <v>4680115881525</v>
      </c>
      <c r="E64" s="96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98"/>
      <c r="R64" s="98"/>
      <c r="S64" s="98"/>
      <c r="T64" s="99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hidden="1" customHeight="1" x14ac:dyDescent="0.25">
      <c r="A65" s="32" t="s">
        <v>148</v>
      </c>
      <c r="B65" s="32" t="s">
        <v>149</v>
      </c>
      <c r="C65" s="33">
        <v>4301011589</v>
      </c>
      <c r="D65" s="96">
        <v>4680115885899</v>
      </c>
      <c r="E65" s="96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98"/>
      <c r="R65" s="98"/>
      <c r="S65" s="98"/>
      <c r="T65" s="99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96">
        <v>4680115881419</v>
      </c>
      <c r="E66" s="96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98"/>
      <c r="R66" s="98"/>
      <c r="S66" s="98"/>
      <c r="T66" s="99"/>
      <c r="U66" s="61" t="s">
        <v>20</v>
      </c>
      <c r="V66" s="61" t="s">
        <v>20</v>
      </c>
      <c r="W66" s="62" t="s">
        <v>69</v>
      </c>
      <c r="X66" s="63">
        <v>100</v>
      </c>
      <c r="Y66" s="69">
        <f t="shared" si="6"/>
        <v>103.5</v>
      </c>
      <c r="Z66" s="70">
        <f>IFERROR(IF(Y66=0,"",ROUNDUP(Y66/H66,0)*0.00902),"")</f>
        <v>0.20746000000000001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104.22222222222223</v>
      </c>
      <c r="BN66" s="76">
        <f t="shared" si="8"/>
        <v>107.87</v>
      </c>
      <c r="BO66" s="76">
        <f t="shared" si="9"/>
        <v>0.16835016835016836</v>
      </c>
      <c r="BP66" s="76">
        <f t="shared" si="10"/>
        <v>0.17424242424242425</v>
      </c>
    </row>
    <row r="67" spans="1:68" x14ac:dyDescent="0.2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2"/>
      <c r="P67" s="93" t="s">
        <v>75</v>
      </c>
      <c r="Q67" s="94"/>
      <c r="R67" s="94"/>
      <c r="S67" s="94"/>
      <c r="T67" s="94"/>
      <c r="U67" s="94"/>
      <c r="V67" s="95"/>
      <c r="W67" s="64" t="s">
        <v>76</v>
      </c>
      <c r="X67" s="65">
        <f>IFERROR(X61/H61,"0")+IFERROR(X62/H62,"0")+IFERROR(X63/H63,"0")+IFERROR(X64/H64,"0")+IFERROR(X65/H65,"0")+IFERROR(X66/H66,"0")</f>
        <v>40.74074074074074</v>
      </c>
      <c r="Y67" s="65">
        <f>IFERROR(Y61/H61,"0")+IFERROR(Y62/H62,"0")+IFERROR(Y63/H63,"0")+IFERROR(Y64/H64,"0")+IFERROR(Y65/H65,"0")+IFERROR(Y66/H66,"0")</f>
        <v>42</v>
      </c>
      <c r="Z67" s="65">
        <f>IFERROR(IF(Z61="",0,Z61),"0")+IFERROR(IF(Z62="",0,Z62),"0")+IFERROR(IF(Z63="",0,Z63),"0")+IFERROR(IF(Z64="",0,Z64),"0")+IFERROR(IF(Z65="",0,Z65),"0")+IFERROR(IF(Z66="",0,Z66),"0")</f>
        <v>0.56808000000000003</v>
      </c>
      <c r="AA67" s="74"/>
      <c r="AB67" s="74"/>
      <c r="AC67" s="74"/>
    </row>
    <row r="68" spans="1:68" x14ac:dyDescent="0.2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2"/>
      <c r="P68" s="93" t="s">
        <v>75</v>
      </c>
      <c r="Q68" s="94"/>
      <c r="R68" s="94"/>
      <c r="S68" s="94"/>
      <c r="T68" s="94"/>
      <c r="U68" s="94"/>
      <c r="V68" s="95"/>
      <c r="W68" s="64" t="s">
        <v>69</v>
      </c>
      <c r="X68" s="65">
        <f>IFERROR(SUM(X61:X66),"0")</f>
        <v>300</v>
      </c>
      <c r="Y68" s="65">
        <f>IFERROR(SUM(Y61:Y66),"0")</f>
        <v>308.70000000000005</v>
      </c>
      <c r="Z68" s="64"/>
      <c r="AA68" s="74"/>
      <c r="AB68" s="74"/>
      <c r="AC68" s="74"/>
    </row>
    <row r="69" spans="1:68" ht="14.25" hidden="1" customHeight="1" x14ac:dyDescent="0.25">
      <c r="A69" s="107" t="s">
        <v>154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31"/>
      <c r="AB69" s="31"/>
      <c r="AC69" s="31"/>
    </row>
    <row r="70" spans="1:68" ht="16.5" hidden="1" customHeight="1" x14ac:dyDescent="0.25">
      <c r="A70" s="32" t="s">
        <v>155</v>
      </c>
      <c r="B70" s="32" t="s">
        <v>156</v>
      </c>
      <c r="C70" s="33">
        <v>4301020298</v>
      </c>
      <c r="D70" s="96">
        <v>4680115881440</v>
      </c>
      <c r="E70" s="96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98"/>
      <c r="R70" s="98"/>
      <c r="S70" s="98"/>
      <c r="T70" s="99"/>
      <c r="U70" s="61" t="s">
        <v>20</v>
      </c>
      <c r="V70" s="61" t="s">
        <v>20</v>
      </c>
      <c r="W70" s="62" t="s">
        <v>69</v>
      </c>
      <c r="X70" s="63">
        <v>0</v>
      </c>
      <c r="Y70" s="69">
        <f>IFERROR(IF(X70="",0,CEILING((X70/$H70),1)*$H70),"")</f>
        <v>0</v>
      </c>
      <c r="Z70" s="70" t="str">
        <f>IFERROR(IF(Y70=0,"",ROUNDUP(Y70/H70,0)*0.01898),"")</f>
        <v/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0</v>
      </c>
      <c r="BN70" s="76">
        <f>IFERROR(Y70*I70/H70,"0")</f>
        <v>0</v>
      </c>
      <c r="BO70" s="76">
        <f>IFERROR(1/J70*(X70/H70),"0")</f>
        <v>0</v>
      </c>
      <c r="BP70" s="76">
        <f>IFERROR(1/J70*(Y70/H70),"0")</f>
        <v>0</v>
      </c>
    </row>
    <row r="71" spans="1:68" ht="16.5" hidden="1" customHeight="1" x14ac:dyDescent="0.25">
      <c r="A71" s="32" t="s">
        <v>158</v>
      </c>
      <c r="B71" s="32" t="s">
        <v>159</v>
      </c>
      <c r="C71" s="33">
        <v>4301020358</v>
      </c>
      <c r="D71" s="96">
        <v>4680115885950</v>
      </c>
      <c r="E71" s="96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98"/>
      <c r="R71" s="98"/>
      <c r="S71" s="98"/>
      <c r="T71" s="99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hidden="1" customHeight="1" x14ac:dyDescent="0.25">
      <c r="A72" s="32" t="s">
        <v>160</v>
      </c>
      <c r="B72" s="32" t="s">
        <v>161</v>
      </c>
      <c r="C72" s="33">
        <v>4301020371</v>
      </c>
      <c r="D72" s="96">
        <v>4680115887688</v>
      </c>
      <c r="E72" s="96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9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98"/>
      <c r="R72" s="98"/>
      <c r="S72" s="98"/>
      <c r="T72" s="99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hidden="1" customHeight="1" x14ac:dyDescent="0.25">
      <c r="A73" s="32" t="s">
        <v>163</v>
      </c>
      <c r="B73" s="32" t="s">
        <v>164</v>
      </c>
      <c r="C73" s="33">
        <v>4301020296</v>
      </c>
      <c r="D73" s="96">
        <v>4680115881433</v>
      </c>
      <c r="E73" s="96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98"/>
      <c r="R73" s="98"/>
      <c r="S73" s="98"/>
      <c r="T73" s="99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hidden="1" x14ac:dyDescent="0.2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2"/>
      <c r="P74" s="93" t="s">
        <v>75</v>
      </c>
      <c r="Q74" s="94"/>
      <c r="R74" s="94"/>
      <c r="S74" s="94"/>
      <c r="T74" s="94"/>
      <c r="U74" s="94"/>
      <c r="V74" s="95"/>
      <c r="W74" s="64" t="s">
        <v>76</v>
      </c>
      <c r="X74" s="65">
        <f>IFERROR(X70/H70,"0")+IFERROR(X71/H71,"0")+IFERROR(X72/H72,"0")+IFERROR(X73/H73,"0")</f>
        <v>0</v>
      </c>
      <c r="Y74" s="65">
        <f>IFERROR(Y70/H70,"0")+IFERROR(Y71/H71,"0")+IFERROR(Y72/H72,"0")+IFERROR(Y73/H73,"0")</f>
        <v>0</v>
      </c>
      <c r="Z74" s="65">
        <f>IFERROR(IF(Z70="",0,Z70),"0")+IFERROR(IF(Z71="",0,Z71),"0")+IFERROR(IF(Z72="",0,Z72),"0")+IFERROR(IF(Z73="",0,Z73),"0")</f>
        <v>0</v>
      </c>
      <c r="AA74" s="74"/>
      <c r="AB74" s="74"/>
      <c r="AC74" s="74"/>
    </row>
    <row r="75" spans="1:68" hidden="1" x14ac:dyDescent="0.2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2"/>
      <c r="P75" s="93" t="s">
        <v>75</v>
      </c>
      <c r="Q75" s="94"/>
      <c r="R75" s="94"/>
      <c r="S75" s="94"/>
      <c r="T75" s="94"/>
      <c r="U75" s="94"/>
      <c r="V75" s="95"/>
      <c r="W75" s="64" t="s">
        <v>69</v>
      </c>
      <c r="X75" s="65">
        <f>IFERROR(SUM(X70:X73),"0")</f>
        <v>0</v>
      </c>
      <c r="Y75" s="65">
        <f>IFERROR(SUM(Y70:Y73),"0")</f>
        <v>0</v>
      </c>
      <c r="Z75" s="64"/>
      <c r="AA75" s="74"/>
      <c r="AB75" s="74"/>
      <c r="AC75" s="74"/>
    </row>
    <row r="76" spans="1:68" ht="14.25" hidden="1" customHeight="1" x14ac:dyDescent="0.25">
      <c r="A76" s="107" t="s">
        <v>64</v>
      </c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31"/>
      <c r="AB76" s="31"/>
      <c r="AC76" s="31"/>
    </row>
    <row r="77" spans="1:68" ht="27" hidden="1" customHeight="1" x14ac:dyDescent="0.25">
      <c r="A77" s="32" t="s">
        <v>165</v>
      </c>
      <c r="B77" s="32" t="s">
        <v>166</v>
      </c>
      <c r="C77" s="33">
        <v>4301031316</v>
      </c>
      <c r="D77" s="96">
        <v>4680115885097</v>
      </c>
      <c r="E77" s="96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98"/>
      <c r="R77" s="98"/>
      <c r="S77" s="98"/>
      <c r="T77" s="99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hidden="1" x14ac:dyDescent="0.2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2"/>
      <c r="P78" s="93" t="s">
        <v>75</v>
      </c>
      <c r="Q78" s="94"/>
      <c r="R78" s="94"/>
      <c r="S78" s="94"/>
      <c r="T78" s="94"/>
      <c r="U78" s="94"/>
      <c r="V78" s="95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hidden="1" x14ac:dyDescent="0.2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2"/>
      <c r="P79" s="93" t="s">
        <v>75</v>
      </c>
      <c r="Q79" s="94"/>
      <c r="R79" s="94"/>
      <c r="S79" s="94"/>
      <c r="T79" s="94"/>
      <c r="U79" s="94"/>
      <c r="V79" s="95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hidden="1" customHeight="1" x14ac:dyDescent="0.25">
      <c r="A80" s="107" t="s">
        <v>77</v>
      </c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31"/>
      <c r="AB80" s="31"/>
      <c r="AC80" s="31"/>
    </row>
    <row r="81" spans="1:68" ht="27" hidden="1" customHeight="1" x14ac:dyDescent="0.25">
      <c r="A81" s="32" t="s">
        <v>168</v>
      </c>
      <c r="B81" s="32" t="s">
        <v>169</v>
      </c>
      <c r="C81" s="33">
        <v>4301051846</v>
      </c>
      <c r="D81" s="96">
        <v>4680115885769</v>
      </c>
      <c r="E81" s="96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9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98"/>
      <c r="R81" s="98"/>
      <c r="S81" s="98"/>
      <c r="T81" s="99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hidden="1" customHeight="1" x14ac:dyDescent="0.25">
      <c r="A82" s="32" t="s">
        <v>171</v>
      </c>
      <c r="B82" s="32" t="s">
        <v>172</v>
      </c>
      <c r="C82" s="33">
        <v>4301051837</v>
      </c>
      <c r="D82" s="96">
        <v>4680115884311</v>
      </c>
      <c r="E82" s="96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98"/>
      <c r="R82" s="98"/>
      <c r="S82" s="98"/>
      <c r="T82" s="99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hidden="1" customHeight="1" x14ac:dyDescent="0.25">
      <c r="A83" s="32" t="s">
        <v>174</v>
      </c>
      <c r="B83" s="32" t="s">
        <v>175</v>
      </c>
      <c r="C83" s="33">
        <v>4301051844</v>
      </c>
      <c r="D83" s="96">
        <v>4680115885929</v>
      </c>
      <c r="E83" s="96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9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98"/>
      <c r="R83" s="98"/>
      <c r="S83" s="98"/>
      <c r="T83" s="99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hidden="1" customHeight="1" x14ac:dyDescent="0.25">
      <c r="A84" s="32" t="s">
        <v>176</v>
      </c>
      <c r="B84" s="32" t="s">
        <v>177</v>
      </c>
      <c r="C84" s="33">
        <v>4301051929</v>
      </c>
      <c r="D84" s="96">
        <v>4680115884403</v>
      </c>
      <c r="E84" s="96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98"/>
      <c r="R84" s="98"/>
      <c r="S84" s="98"/>
      <c r="T84" s="99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hidden="1" x14ac:dyDescent="0.2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2"/>
      <c r="P85" s="93" t="s">
        <v>75</v>
      </c>
      <c r="Q85" s="94"/>
      <c r="R85" s="94"/>
      <c r="S85" s="94"/>
      <c r="T85" s="94"/>
      <c r="U85" s="94"/>
      <c r="V85" s="95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hidden="1" x14ac:dyDescent="0.2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2"/>
      <c r="P86" s="93" t="s">
        <v>75</v>
      </c>
      <c r="Q86" s="94"/>
      <c r="R86" s="94"/>
      <c r="S86" s="94"/>
      <c r="T86" s="94"/>
      <c r="U86" s="94"/>
      <c r="V86" s="95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hidden="1" customHeight="1" x14ac:dyDescent="0.25">
      <c r="A87" s="107" t="s">
        <v>179</v>
      </c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31"/>
      <c r="AB87" s="31"/>
      <c r="AC87" s="31"/>
    </row>
    <row r="88" spans="1:68" ht="27" hidden="1" customHeight="1" x14ac:dyDescent="0.25">
      <c r="A88" s="32" t="s">
        <v>180</v>
      </c>
      <c r="B88" s="32" t="s">
        <v>181</v>
      </c>
      <c r="C88" s="33">
        <v>4301060455</v>
      </c>
      <c r="D88" s="96">
        <v>4680115881532</v>
      </c>
      <c r="E88" s="96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9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98"/>
      <c r="R88" s="98"/>
      <c r="S88" s="98"/>
      <c r="T88" s="99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hidden="1" customHeight="1" x14ac:dyDescent="0.25">
      <c r="A89" s="32" t="s">
        <v>183</v>
      </c>
      <c r="B89" s="32" t="s">
        <v>184</v>
      </c>
      <c r="C89" s="33">
        <v>4301060351</v>
      </c>
      <c r="D89" s="96">
        <v>4680115881464</v>
      </c>
      <c r="E89" s="96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98"/>
      <c r="R89" s="98"/>
      <c r="S89" s="98"/>
      <c r="T89" s="99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hidden="1" x14ac:dyDescent="0.2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2"/>
      <c r="P90" s="93" t="s">
        <v>75</v>
      </c>
      <c r="Q90" s="94"/>
      <c r="R90" s="94"/>
      <c r="S90" s="94"/>
      <c r="T90" s="94"/>
      <c r="U90" s="94"/>
      <c r="V90" s="95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hidden="1" x14ac:dyDescent="0.2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2"/>
      <c r="P91" s="93" t="s">
        <v>75</v>
      </c>
      <c r="Q91" s="94"/>
      <c r="R91" s="94"/>
      <c r="S91" s="94"/>
      <c r="T91" s="94"/>
      <c r="U91" s="94"/>
      <c r="V91" s="95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hidden="1" customHeight="1" x14ac:dyDescent="0.25">
      <c r="A92" s="125" t="s">
        <v>186</v>
      </c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30"/>
      <c r="AB92" s="30"/>
      <c r="AC92" s="30"/>
    </row>
    <row r="93" spans="1:68" ht="14.25" hidden="1" customHeight="1" x14ac:dyDescent="0.25">
      <c r="A93" s="107" t="s">
        <v>115</v>
      </c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96">
        <v>4680115881327</v>
      </c>
      <c r="E94" s="96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98"/>
      <c r="R94" s="98"/>
      <c r="S94" s="98"/>
      <c r="T94" s="99"/>
      <c r="U94" s="61" t="s">
        <v>20</v>
      </c>
      <c r="V94" s="61" t="s">
        <v>20</v>
      </c>
      <c r="W94" s="62" t="s">
        <v>69</v>
      </c>
      <c r="X94" s="63">
        <v>300</v>
      </c>
      <c r="Y94" s="69">
        <f>IFERROR(IF(X94="",0,CEILING((X94/$H94),1)*$H94),"")</f>
        <v>302.40000000000003</v>
      </c>
      <c r="Z94" s="70">
        <f>IFERROR(IF(Y94=0,"",ROUNDUP(Y94/H94,0)*0.01898),"")</f>
        <v>0.53144000000000002</v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311.38888888888891</v>
      </c>
      <c r="BN94" s="76">
        <f>IFERROR(Y94*I94/H94,"0")</f>
        <v>313.88</v>
      </c>
      <c r="BO94" s="76">
        <f>IFERROR(1/J94*(X94/H94),"0")</f>
        <v>0.43402777777777773</v>
      </c>
      <c r="BP94" s="76">
        <f>IFERROR(1/J94*(Y94/H94),"0")</f>
        <v>0.4375</v>
      </c>
    </row>
    <row r="95" spans="1:68" ht="27" hidden="1" customHeight="1" x14ac:dyDescent="0.25">
      <c r="A95" s="32" t="s">
        <v>190</v>
      </c>
      <c r="B95" s="32" t="s">
        <v>191</v>
      </c>
      <c r="C95" s="33">
        <v>4301011261</v>
      </c>
      <c r="D95" s="96">
        <v>4680115887732</v>
      </c>
      <c r="E95" s="96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98"/>
      <c r="R95" s="98"/>
      <c r="S95" s="98"/>
      <c r="T95" s="99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hidden="1" customHeight="1" x14ac:dyDescent="0.25">
      <c r="A96" s="32" t="s">
        <v>193</v>
      </c>
      <c r="B96" s="32" t="s">
        <v>194</v>
      </c>
      <c r="C96" s="33">
        <v>4301011476</v>
      </c>
      <c r="D96" s="96">
        <v>4680115881518</v>
      </c>
      <c r="E96" s="96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9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98"/>
      <c r="R96" s="98"/>
      <c r="S96" s="98"/>
      <c r="T96" s="99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hidden="1" customHeight="1" x14ac:dyDescent="0.25">
      <c r="A97" s="32" t="s">
        <v>195</v>
      </c>
      <c r="B97" s="32" t="s">
        <v>196</v>
      </c>
      <c r="C97" s="33">
        <v>4301011443</v>
      </c>
      <c r="D97" s="96">
        <v>4680115881303</v>
      </c>
      <c r="E97" s="96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9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98"/>
      <c r="R97" s="98"/>
      <c r="S97" s="98"/>
      <c r="T97" s="99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2"/>
      <c r="P98" s="93" t="s">
        <v>75</v>
      </c>
      <c r="Q98" s="94"/>
      <c r="R98" s="94"/>
      <c r="S98" s="94"/>
      <c r="T98" s="94"/>
      <c r="U98" s="94"/>
      <c r="V98" s="95"/>
      <c r="W98" s="64" t="s">
        <v>76</v>
      </c>
      <c r="X98" s="65">
        <f>IFERROR(X94/H94,"0")+IFERROR(X95/H95,"0")+IFERROR(X96/H96,"0")+IFERROR(X97/H97,"0")</f>
        <v>27.777777777777775</v>
      </c>
      <c r="Y98" s="65">
        <f>IFERROR(Y94/H94,"0")+IFERROR(Y95/H95,"0")+IFERROR(Y96/H96,"0")+IFERROR(Y97/H97,"0")</f>
        <v>28</v>
      </c>
      <c r="Z98" s="65">
        <f>IFERROR(IF(Z94="",0,Z94),"0")+IFERROR(IF(Z95="",0,Z95),"0")+IFERROR(IF(Z96="",0,Z96),"0")+IFERROR(IF(Z97="",0,Z97),"0")</f>
        <v>0.53144000000000002</v>
      </c>
      <c r="AA98" s="74"/>
      <c r="AB98" s="74"/>
      <c r="AC98" s="74"/>
    </row>
    <row r="99" spans="1:68" x14ac:dyDescent="0.2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2"/>
      <c r="P99" s="93" t="s">
        <v>75</v>
      </c>
      <c r="Q99" s="94"/>
      <c r="R99" s="94"/>
      <c r="S99" s="94"/>
      <c r="T99" s="94"/>
      <c r="U99" s="94"/>
      <c r="V99" s="95"/>
      <c r="W99" s="64" t="s">
        <v>69</v>
      </c>
      <c r="X99" s="65">
        <f>IFERROR(SUM(X94:X97),"0")</f>
        <v>300</v>
      </c>
      <c r="Y99" s="65">
        <f>IFERROR(SUM(Y94:Y97),"0")</f>
        <v>302.40000000000003</v>
      </c>
      <c r="Z99" s="64"/>
      <c r="AA99" s="74"/>
      <c r="AB99" s="74"/>
      <c r="AC99" s="74"/>
    </row>
    <row r="100" spans="1:68" ht="14.25" hidden="1" customHeight="1" x14ac:dyDescent="0.25">
      <c r="A100" s="107" t="s">
        <v>77</v>
      </c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96">
        <v>4607091386967</v>
      </c>
      <c r="E101" s="96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98"/>
      <c r="R101" s="98"/>
      <c r="S101" s="98"/>
      <c r="T101" s="99"/>
      <c r="U101" s="61" t="s">
        <v>20</v>
      </c>
      <c r="V101" s="61" t="s">
        <v>20</v>
      </c>
      <c r="W101" s="62" t="s">
        <v>69</v>
      </c>
      <c r="X101" s="63">
        <v>100</v>
      </c>
      <c r="Y101" s="69">
        <f>IFERROR(IF(X101="",0,CEILING((X101/$H101),1)*$H101),"")</f>
        <v>105.3</v>
      </c>
      <c r="Z101" s="70">
        <f>IFERROR(IF(Y101=0,"",ROUNDUP(Y101/H101,0)*0.01898),"")</f>
        <v>0.24674000000000001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106.09876543209877</v>
      </c>
      <c r="BN101" s="76">
        <f>IFERROR(Y101*I101/H101,"0")</f>
        <v>111.72199999999999</v>
      </c>
      <c r="BO101" s="76">
        <f>IFERROR(1/J101*(X101/H101),"0")</f>
        <v>0.19290123456790123</v>
      </c>
      <c r="BP101" s="76">
        <f>IFERROR(1/J101*(Y101/H101),"0")</f>
        <v>0.203125</v>
      </c>
    </row>
    <row r="102" spans="1:68" ht="27" hidden="1" customHeight="1" x14ac:dyDescent="0.25">
      <c r="A102" s="32" t="s">
        <v>200</v>
      </c>
      <c r="B102" s="32" t="s">
        <v>201</v>
      </c>
      <c r="C102" s="33">
        <v>4301051788</v>
      </c>
      <c r="D102" s="96">
        <v>4680115884953</v>
      </c>
      <c r="E102" s="96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98"/>
      <c r="R102" s="98"/>
      <c r="S102" s="98"/>
      <c r="T102" s="99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96">
        <v>4607091385731</v>
      </c>
      <c r="E103" s="96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98"/>
      <c r="R103" s="98"/>
      <c r="S103" s="98"/>
      <c r="T103" s="99"/>
      <c r="U103" s="61" t="s">
        <v>20</v>
      </c>
      <c r="V103" s="61" t="s">
        <v>20</v>
      </c>
      <c r="W103" s="62" t="s">
        <v>69</v>
      </c>
      <c r="X103" s="63">
        <v>150</v>
      </c>
      <c r="Y103" s="69">
        <f>IFERROR(IF(X103="",0,CEILING((X103/$H103),1)*$H103),"")</f>
        <v>151.20000000000002</v>
      </c>
      <c r="Z103" s="70">
        <f>IFERROR(IF(Y103=0,"",ROUNDUP(Y103/H103,0)*0.00651),"")</f>
        <v>0.36456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164</v>
      </c>
      <c r="BN103" s="76">
        <f>IFERROR(Y103*I103/H103,"0")</f>
        <v>165.31200000000001</v>
      </c>
      <c r="BO103" s="76">
        <f>IFERROR(1/J103*(X103/H103),"0")</f>
        <v>0.30525030525030522</v>
      </c>
      <c r="BP103" s="76">
        <f>IFERROR(1/J103*(Y103/H103),"0")</f>
        <v>0.30769230769230771</v>
      </c>
    </row>
    <row r="104" spans="1:68" ht="16.5" hidden="1" customHeight="1" x14ac:dyDescent="0.25">
      <c r="A104" s="32" t="s">
        <v>204</v>
      </c>
      <c r="B104" s="32" t="s">
        <v>205</v>
      </c>
      <c r="C104" s="33">
        <v>4301052092</v>
      </c>
      <c r="D104" s="96">
        <v>4680115880894</v>
      </c>
      <c r="E104" s="96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27" t="s">
        <v>206</v>
      </c>
      <c r="Q104" s="98"/>
      <c r="R104" s="98"/>
      <c r="S104" s="98"/>
      <c r="T104" s="99"/>
      <c r="U104" s="61" t="s">
        <v>20</v>
      </c>
      <c r="V104" s="61" t="s">
        <v>20</v>
      </c>
      <c r="W104" s="62" t="s">
        <v>69</v>
      </c>
      <c r="X104" s="63">
        <v>0</v>
      </c>
      <c r="Y104" s="69">
        <f>IFERROR(IF(X104="",0,CEILING((X104/$H104),1)*$H104),"")</f>
        <v>0</v>
      </c>
      <c r="Z104" s="70" t="str">
        <f>IFERROR(IF(Y104=0,"",ROUNDUP(Y104/H104,0)*0.00651),"")</f>
        <v/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0</v>
      </c>
      <c r="BN104" s="76">
        <f>IFERROR(Y104*I104/H104,"0")</f>
        <v>0</v>
      </c>
      <c r="BO104" s="76">
        <f>IFERROR(1/J104*(X104/H104),"0")</f>
        <v>0</v>
      </c>
      <c r="BP104" s="76">
        <f>IFERROR(1/J104*(Y104/H104),"0")</f>
        <v>0</v>
      </c>
    </row>
    <row r="105" spans="1:68" x14ac:dyDescent="0.2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2"/>
      <c r="P105" s="93" t="s">
        <v>75</v>
      </c>
      <c r="Q105" s="94"/>
      <c r="R105" s="94"/>
      <c r="S105" s="94"/>
      <c r="T105" s="94"/>
      <c r="U105" s="94"/>
      <c r="V105" s="95"/>
      <c r="W105" s="64" t="s">
        <v>76</v>
      </c>
      <c r="X105" s="65">
        <f>IFERROR(X101/H101,"0")+IFERROR(X102/H102,"0")+IFERROR(X103/H103,"0")+IFERROR(X104/H104,"0")</f>
        <v>67.901234567901227</v>
      </c>
      <c r="Y105" s="65">
        <f>IFERROR(Y101/H101,"0")+IFERROR(Y102/H102,"0")+IFERROR(Y103/H103,"0")+IFERROR(Y104/H104,"0")</f>
        <v>69</v>
      </c>
      <c r="Z105" s="65">
        <f>IFERROR(IF(Z101="",0,Z101),"0")+IFERROR(IF(Z102="",0,Z102),"0")+IFERROR(IF(Z103="",0,Z103),"0")+IFERROR(IF(Z104="",0,Z104),"0")</f>
        <v>0.61129999999999995</v>
      </c>
      <c r="AA105" s="74"/>
      <c r="AB105" s="74"/>
      <c r="AC105" s="74"/>
    </row>
    <row r="106" spans="1:68" x14ac:dyDescent="0.2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2"/>
      <c r="P106" s="93" t="s">
        <v>75</v>
      </c>
      <c r="Q106" s="94"/>
      <c r="R106" s="94"/>
      <c r="S106" s="94"/>
      <c r="T106" s="94"/>
      <c r="U106" s="94"/>
      <c r="V106" s="95"/>
      <c r="W106" s="64" t="s">
        <v>69</v>
      </c>
      <c r="X106" s="65">
        <f>IFERROR(SUM(X101:X104),"0")</f>
        <v>250</v>
      </c>
      <c r="Y106" s="65">
        <f>IFERROR(SUM(Y101:Y104),"0")</f>
        <v>256.5</v>
      </c>
      <c r="Z106" s="64"/>
      <c r="AA106" s="74"/>
      <c r="AB106" s="74"/>
      <c r="AC106" s="74"/>
    </row>
    <row r="107" spans="1:68" ht="16.5" hidden="1" customHeight="1" x14ac:dyDescent="0.25">
      <c r="A107" s="125" t="s">
        <v>208</v>
      </c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30"/>
      <c r="AB107" s="30"/>
      <c r="AC107" s="30"/>
    </row>
    <row r="108" spans="1:68" ht="14.25" hidden="1" customHeight="1" x14ac:dyDescent="0.25">
      <c r="A108" s="107" t="s">
        <v>115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31"/>
      <c r="AB108" s="31"/>
      <c r="AC108" s="31"/>
    </row>
    <row r="109" spans="1:68" ht="37.5" customHeight="1" x14ac:dyDescent="0.25">
      <c r="A109" s="32" t="s">
        <v>209</v>
      </c>
      <c r="B109" s="32" t="s">
        <v>210</v>
      </c>
      <c r="C109" s="33">
        <v>4301011514</v>
      </c>
      <c r="D109" s="96">
        <v>4680115882133</v>
      </c>
      <c r="E109" s="96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98"/>
      <c r="R109" s="98"/>
      <c r="S109" s="98"/>
      <c r="T109" s="99"/>
      <c r="U109" s="61" t="s">
        <v>20</v>
      </c>
      <c r="V109" s="61" t="s">
        <v>20</v>
      </c>
      <c r="W109" s="62" t="s">
        <v>69</v>
      </c>
      <c r="X109" s="63">
        <v>200</v>
      </c>
      <c r="Y109" s="69">
        <f>IFERROR(IF(X109="",0,CEILING((X109/$H109),1)*$H109),"")</f>
        <v>205.20000000000002</v>
      </c>
      <c r="Z109" s="70">
        <f>IFERROR(IF(Y109=0,"",ROUNDUP(Y109/H109,0)*0.01898),"")</f>
        <v>0.36062</v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207.59259259259258</v>
      </c>
      <c r="BN109" s="76">
        <f>IFERROR(Y109*I109/H109,"0")</f>
        <v>212.99</v>
      </c>
      <c r="BO109" s="76">
        <f>IFERROR(1/J109*(X109/H109),"0")</f>
        <v>0.28935185185185186</v>
      </c>
      <c r="BP109" s="76">
        <f>IFERROR(1/J109*(Y109/H109),"0")</f>
        <v>0.296875</v>
      </c>
    </row>
    <row r="110" spans="1:68" ht="27" hidden="1" customHeight="1" x14ac:dyDescent="0.25">
      <c r="A110" s="32" t="s">
        <v>212</v>
      </c>
      <c r="B110" s="32" t="s">
        <v>213</v>
      </c>
      <c r="C110" s="33">
        <v>4301012051</v>
      </c>
      <c r="D110" s="96">
        <v>4680115887718</v>
      </c>
      <c r="E110" s="96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98"/>
      <c r="R110" s="98"/>
      <c r="S110" s="98"/>
      <c r="T110" s="99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96">
        <v>4680115880269</v>
      </c>
      <c r="E111" s="96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98"/>
      <c r="R111" s="98"/>
      <c r="S111" s="98"/>
      <c r="T111" s="99"/>
      <c r="U111" s="61" t="s">
        <v>20</v>
      </c>
      <c r="V111" s="61" t="s">
        <v>20</v>
      </c>
      <c r="W111" s="62" t="s">
        <v>69</v>
      </c>
      <c r="X111" s="63">
        <v>50</v>
      </c>
      <c r="Y111" s="69">
        <f>IFERROR(IF(X111="",0,CEILING((X111/$H111),1)*$H111),"")</f>
        <v>52.5</v>
      </c>
      <c r="Z111" s="70">
        <f>IFERROR(IF(Y111=0,"",ROUNDUP(Y111/H111,0)*0.00902),"")</f>
        <v>0.12628</v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52.533333333333331</v>
      </c>
      <c r="BN111" s="76">
        <f>IFERROR(Y111*I111/H111,"0")</f>
        <v>55.16</v>
      </c>
      <c r="BO111" s="76">
        <f>IFERROR(1/J111*(X111/H111),"0")</f>
        <v>0.10101010101010102</v>
      </c>
      <c r="BP111" s="76">
        <f>IFERROR(1/J111*(Y111/H111),"0")</f>
        <v>0.10606060606060606</v>
      </c>
    </row>
    <row r="112" spans="1:68" ht="37.5" hidden="1" customHeight="1" x14ac:dyDescent="0.25">
      <c r="A112" s="32" t="s">
        <v>217</v>
      </c>
      <c r="B112" s="32" t="s">
        <v>218</v>
      </c>
      <c r="C112" s="33">
        <v>4301011415</v>
      </c>
      <c r="D112" s="96">
        <v>4680115880429</v>
      </c>
      <c r="E112" s="96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98"/>
      <c r="R112" s="98"/>
      <c r="S112" s="98"/>
      <c r="T112" s="99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hidden="1" customHeight="1" x14ac:dyDescent="0.25">
      <c r="A113" s="32" t="s">
        <v>219</v>
      </c>
      <c r="B113" s="32" t="s">
        <v>220</v>
      </c>
      <c r="C113" s="33">
        <v>4301011462</v>
      </c>
      <c r="D113" s="96">
        <v>4680115881457</v>
      </c>
      <c r="E113" s="96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9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98"/>
      <c r="R113" s="98"/>
      <c r="S113" s="98"/>
      <c r="T113" s="99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2"/>
      <c r="P114" s="93" t="s">
        <v>75</v>
      </c>
      <c r="Q114" s="94"/>
      <c r="R114" s="94"/>
      <c r="S114" s="94"/>
      <c r="T114" s="94"/>
      <c r="U114" s="94"/>
      <c r="V114" s="95"/>
      <c r="W114" s="64" t="s">
        <v>76</v>
      </c>
      <c r="X114" s="65">
        <f>IFERROR(X109/H109,"0")+IFERROR(X110/H110,"0")+IFERROR(X111/H111,"0")+IFERROR(X112/H112,"0")+IFERROR(X113/H113,"0")</f>
        <v>31.851851851851855</v>
      </c>
      <c r="Y114" s="65">
        <f>IFERROR(Y109/H109,"0")+IFERROR(Y110/H110,"0")+IFERROR(Y111/H111,"0")+IFERROR(Y112/H112,"0")+IFERROR(Y113/H113,"0")</f>
        <v>33</v>
      </c>
      <c r="Z114" s="65">
        <f>IFERROR(IF(Z109="",0,Z109),"0")+IFERROR(IF(Z110="",0,Z110),"0")+IFERROR(IF(Z111="",0,Z111),"0")+IFERROR(IF(Z112="",0,Z112),"0")+IFERROR(IF(Z113="",0,Z113),"0")</f>
        <v>0.4869</v>
      </c>
      <c r="AA114" s="74"/>
      <c r="AB114" s="74"/>
      <c r="AC114" s="74"/>
    </row>
    <row r="115" spans="1:68" x14ac:dyDescent="0.2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2"/>
      <c r="P115" s="93" t="s">
        <v>75</v>
      </c>
      <c r="Q115" s="94"/>
      <c r="R115" s="94"/>
      <c r="S115" s="94"/>
      <c r="T115" s="94"/>
      <c r="U115" s="94"/>
      <c r="V115" s="95"/>
      <c r="W115" s="64" t="s">
        <v>69</v>
      </c>
      <c r="X115" s="65">
        <f>IFERROR(SUM(X109:X113),"0")</f>
        <v>250</v>
      </c>
      <c r="Y115" s="65">
        <f>IFERROR(SUM(Y109:Y113),"0")</f>
        <v>257.70000000000005</v>
      </c>
      <c r="Z115" s="64"/>
      <c r="AA115" s="74"/>
      <c r="AB115" s="74"/>
      <c r="AC115" s="74"/>
    </row>
    <row r="116" spans="1:68" ht="14.25" hidden="1" customHeight="1" x14ac:dyDescent="0.25">
      <c r="A116" s="107" t="s">
        <v>154</v>
      </c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31"/>
      <c r="AB116" s="31"/>
      <c r="AC116" s="31"/>
    </row>
    <row r="117" spans="1:68" ht="16.5" hidden="1" customHeight="1" x14ac:dyDescent="0.25">
      <c r="A117" s="32" t="s">
        <v>221</v>
      </c>
      <c r="B117" s="32" t="s">
        <v>222</v>
      </c>
      <c r="C117" s="33">
        <v>4301020345</v>
      </c>
      <c r="D117" s="96">
        <v>4680115881488</v>
      </c>
      <c r="E117" s="96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9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98"/>
      <c r="R117" s="98"/>
      <c r="S117" s="98"/>
      <c r="T117" s="99"/>
      <c r="U117" s="61" t="s">
        <v>20</v>
      </c>
      <c r="V117" s="61" t="s">
        <v>20</v>
      </c>
      <c r="W117" s="62" t="s">
        <v>69</v>
      </c>
      <c r="X117" s="63">
        <v>0</v>
      </c>
      <c r="Y117" s="69">
        <f>IFERROR(IF(X117="",0,CEILING((X117/$H117),1)*$H117),"")</f>
        <v>0</v>
      </c>
      <c r="Z117" s="70" t="str">
        <f>IFERROR(IF(Y117=0,"",ROUNDUP(Y117/H117,0)*0.01898),"")</f>
        <v/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0</v>
      </c>
      <c r="BN117" s="76">
        <f>IFERROR(Y117*I117/H117,"0")</f>
        <v>0</v>
      </c>
      <c r="BO117" s="76">
        <f>IFERROR(1/J117*(X117/H117),"0")</f>
        <v>0</v>
      </c>
      <c r="BP117" s="76">
        <f>IFERROR(1/J117*(Y117/H117),"0")</f>
        <v>0</v>
      </c>
    </row>
    <row r="118" spans="1:68" ht="27" hidden="1" customHeight="1" x14ac:dyDescent="0.25">
      <c r="A118" s="32" t="s">
        <v>224</v>
      </c>
      <c r="B118" s="32" t="s">
        <v>225</v>
      </c>
      <c r="C118" s="33">
        <v>4301020186</v>
      </c>
      <c r="D118" s="96">
        <v>4680115887664</v>
      </c>
      <c r="E118" s="96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98"/>
      <c r="R118" s="98"/>
      <c r="S118" s="98"/>
      <c r="T118" s="99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hidden="1" customHeight="1" x14ac:dyDescent="0.25">
      <c r="A119" s="32" t="s">
        <v>228</v>
      </c>
      <c r="B119" s="32" t="s">
        <v>229</v>
      </c>
      <c r="C119" s="33">
        <v>4301020346</v>
      </c>
      <c r="D119" s="96">
        <v>4680115882775</v>
      </c>
      <c r="E119" s="96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98"/>
      <c r="R119" s="98"/>
      <c r="S119" s="98"/>
      <c r="T119" s="99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hidden="1" customHeight="1" x14ac:dyDescent="0.25">
      <c r="A120" s="32" t="s">
        <v>230</v>
      </c>
      <c r="B120" s="32" t="s">
        <v>231</v>
      </c>
      <c r="C120" s="33">
        <v>4301020344</v>
      </c>
      <c r="D120" s="96">
        <v>4680115880658</v>
      </c>
      <c r="E120" s="96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98"/>
      <c r="R120" s="98"/>
      <c r="S120" s="98"/>
      <c r="T120" s="99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hidden="1" x14ac:dyDescent="0.2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2"/>
      <c r="P121" s="93" t="s">
        <v>75</v>
      </c>
      <c r="Q121" s="94"/>
      <c r="R121" s="94"/>
      <c r="S121" s="94"/>
      <c r="T121" s="94"/>
      <c r="U121" s="94"/>
      <c r="V121" s="95"/>
      <c r="W121" s="64" t="s">
        <v>76</v>
      </c>
      <c r="X121" s="65">
        <f>IFERROR(X117/H117,"0")+IFERROR(X118/H118,"0")+IFERROR(X119/H119,"0")+IFERROR(X120/H120,"0")</f>
        <v>0</v>
      </c>
      <c r="Y121" s="65">
        <f>IFERROR(Y117/H117,"0")+IFERROR(Y118/H118,"0")+IFERROR(Y119/H119,"0")+IFERROR(Y120/H120,"0")</f>
        <v>0</v>
      </c>
      <c r="Z121" s="65">
        <f>IFERROR(IF(Z117="",0,Z117),"0")+IFERROR(IF(Z118="",0,Z118),"0")+IFERROR(IF(Z119="",0,Z119),"0")+IFERROR(IF(Z120="",0,Z120),"0")</f>
        <v>0</v>
      </c>
      <c r="AA121" s="74"/>
      <c r="AB121" s="74"/>
      <c r="AC121" s="74"/>
    </row>
    <row r="122" spans="1:68" hidden="1" x14ac:dyDescent="0.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2"/>
      <c r="P122" s="93" t="s">
        <v>75</v>
      </c>
      <c r="Q122" s="94"/>
      <c r="R122" s="94"/>
      <c r="S122" s="94"/>
      <c r="T122" s="94"/>
      <c r="U122" s="94"/>
      <c r="V122" s="95"/>
      <c r="W122" s="64" t="s">
        <v>69</v>
      </c>
      <c r="X122" s="65">
        <f>IFERROR(SUM(X117:X120),"0")</f>
        <v>0</v>
      </c>
      <c r="Y122" s="65">
        <f>IFERROR(SUM(Y117:Y120),"0")</f>
        <v>0</v>
      </c>
      <c r="Z122" s="64"/>
      <c r="AA122" s="74"/>
      <c r="AB122" s="74"/>
      <c r="AC122" s="74"/>
    </row>
    <row r="123" spans="1:68" ht="14.25" hidden="1" customHeight="1" x14ac:dyDescent="0.25">
      <c r="A123" s="107" t="s">
        <v>77</v>
      </c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96">
        <v>4607091385168</v>
      </c>
      <c r="E124" s="96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98"/>
      <c r="R124" s="98"/>
      <c r="S124" s="98"/>
      <c r="T124" s="99"/>
      <c r="U124" s="61" t="s">
        <v>20</v>
      </c>
      <c r="V124" s="61" t="s">
        <v>20</v>
      </c>
      <c r="W124" s="62" t="s">
        <v>69</v>
      </c>
      <c r="X124" s="63">
        <v>100</v>
      </c>
      <c r="Y124" s="69">
        <f>IFERROR(IF(X124="",0,CEILING((X124/$H124),1)*$H124),"")</f>
        <v>105.3</v>
      </c>
      <c r="Z124" s="70">
        <f>IFERROR(IF(Y124=0,"",ROUNDUP(Y124/H124,0)*0.01898),"")</f>
        <v>0.24674000000000001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106.0246913580247</v>
      </c>
      <c r="BN124" s="76">
        <f>IFERROR(Y124*I124/H124,"0")</f>
        <v>111.64399999999999</v>
      </c>
      <c r="BO124" s="76">
        <f>IFERROR(1/J124*(X124/H124),"0")</f>
        <v>0.19290123456790123</v>
      </c>
      <c r="BP124" s="76">
        <f>IFERROR(1/J124*(Y124/H124),"0")</f>
        <v>0.203125</v>
      </c>
    </row>
    <row r="125" spans="1:68" ht="27" hidden="1" customHeight="1" x14ac:dyDescent="0.25">
      <c r="A125" s="32" t="s">
        <v>235</v>
      </c>
      <c r="B125" s="32" t="s">
        <v>236</v>
      </c>
      <c r="C125" s="33">
        <v>4301051730</v>
      </c>
      <c r="D125" s="96">
        <v>4607091383256</v>
      </c>
      <c r="E125" s="96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98"/>
      <c r="R125" s="98"/>
      <c r="S125" s="98"/>
      <c r="T125" s="99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hidden="1" customHeight="1" x14ac:dyDescent="0.25">
      <c r="A126" s="32" t="s">
        <v>237</v>
      </c>
      <c r="B126" s="32" t="s">
        <v>238</v>
      </c>
      <c r="C126" s="33">
        <v>4301051721</v>
      </c>
      <c r="D126" s="96">
        <v>4607091385748</v>
      </c>
      <c r="E126" s="96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9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98"/>
      <c r="R126" s="98"/>
      <c r="S126" s="98"/>
      <c r="T126" s="99"/>
      <c r="U126" s="61" t="s">
        <v>20</v>
      </c>
      <c r="V126" s="61" t="s">
        <v>20</v>
      </c>
      <c r="W126" s="62" t="s">
        <v>69</v>
      </c>
      <c r="X126" s="63">
        <v>0</v>
      </c>
      <c r="Y126" s="69">
        <f>IFERROR(IF(X126="",0,CEILING((X126/$H126),1)*$H126),"")</f>
        <v>0</v>
      </c>
      <c r="Z126" s="70" t="str">
        <f>IFERROR(IF(Y126=0,"",ROUNDUP(Y126/H126,0)*0.00651),"")</f>
        <v/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0</v>
      </c>
      <c r="BN126" s="76">
        <f>IFERROR(Y126*I126/H126,"0")</f>
        <v>0</v>
      </c>
      <c r="BO126" s="76">
        <f>IFERROR(1/J126*(X126/H126),"0")</f>
        <v>0</v>
      </c>
      <c r="BP126" s="76">
        <f>IFERROR(1/J126*(Y126/H126),"0")</f>
        <v>0</v>
      </c>
    </row>
    <row r="127" spans="1:68" ht="16.5" hidden="1" customHeight="1" x14ac:dyDescent="0.25">
      <c r="A127" s="32" t="s">
        <v>239</v>
      </c>
      <c r="B127" s="32" t="s">
        <v>240</v>
      </c>
      <c r="C127" s="33">
        <v>4301051740</v>
      </c>
      <c r="D127" s="96">
        <v>4680115884533</v>
      </c>
      <c r="E127" s="96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9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98"/>
      <c r="R127" s="98"/>
      <c r="S127" s="98"/>
      <c r="T127" s="99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2"/>
      <c r="P128" s="93" t="s">
        <v>75</v>
      </c>
      <c r="Q128" s="94"/>
      <c r="R128" s="94"/>
      <c r="S128" s="94"/>
      <c r="T128" s="94"/>
      <c r="U128" s="94"/>
      <c r="V128" s="95"/>
      <c r="W128" s="64" t="s">
        <v>76</v>
      </c>
      <c r="X128" s="65">
        <f>IFERROR(X124/H124,"0")+IFERROR(X125/H125,"0")+IFERROR(X126/H126,"0")+IFERROR(X127/H127,"0")</f>
        <v>12.345679012345679</v>
      </c>
      <c r="Y128" s="65">
        <f>IFERROR(Y124/H124,"0")+IFERROR(Y125/H125,"0")+IFERROR(Y126/H126,"0")+IFERROR(Y127/H127,"0")</f>
        <v>13</v>
      </c>
      <c r="Z128" s="65">
        <f>IFERROR(IF(Z124="",0,Z124),"0")+IFERROR(IF(Z125="",0,Z125),"0")+IFERROR(IF(Z126="",0,Z126),"0")+IFERROR(IF(Z127="",0,Z127),"0")</f>
        <v>0.24674000000000001</v>
      </c>
      <c r="AA128" s="74"/>
      <c r="AB128" s="74"/>
      <c r="AC128" s="74"/>
    </row>
    <row r="129" spans="1:68" x14ac:dyDescent="0.2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2"/>
      <c r="P129" s="93" t="s">
        <v>75</v>
      </c>
      <c r="Q129" s="94"/>
      <c r="R129" s="94"/>
      <c r="S129" s="94"/>
      <c r="T129" s="94"/>
      <c r="U129" s="94"/>
      <c r="V129" s="95"/>
      <c r="W129" s="64" t="s">
        <v>69</v>
      </c>
      <c r="X129" s="65">
        <f>IFERROR(SUM(X124:X127),"0")</f>
        <v>100</v>
      </c>
      <c r="Y129" s="65">
        <f>IFERROR(SUM(Y124:Y127),"0")</f>
        <v>105.3</v>
      </c>
      <c r="Z129" s="64"/>
      <c r="AA129" s="74"/>
      <c r="AB129" s="74"/>
      <c r="AC129" s="74"/>
    </row>
    <row r="130" spans="1:68" ht="14.25" hidden="1" customHeight="1" x14ac:dyDescent="0.25">
      <c r="A130" s="107" t="s">
        <v>179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31"/>
      <c r="AB130" s="31"/>
      <c r="AC130" s="31"/>
    </row>
    <row r="131" spans="1:68" ht="16.5" hidden="1" customHeight="1" x14ac:dyDescent="0.25">
      <c r="A131" s="32" t="s">
        <v>242</v>
      </c>
      <c r="B131" s="32" t="s">
        <v>243</v>
      </c>
      <c r="C131" s="33">
        <v>4301060317</v>
      </c>
      <c r="D131" s="96">
        <v>4680115880238</v>
      </c>
      <c r="E131" s="96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98"/>
      <c r="R131" s="98"/>
      <c r="S131" s="98"/>
      <c r="T131" s="99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hidden="1" x14ac:dyDescent="0.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2"/>
      <c r="P132" s="93" t="s">
        <v>75</v>
      </c>
      <c r="Q132" s="94"/>
      <c r="R132" s="94"/>
      <c r="S132" s="94"/>
      <c r="T132" s="94"/>
      <c r="U132" s="94"/>
      <c r="V132" s="95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hidden="1" x14ac:dyDescent="0.2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2"/>
      <c r="P133" s="93" t="s">
        <v>75</v>
      </c>
      <c r="Q133" s="94"/>
      <c r="R133" s="94"/>
      <c r="S133" s="94"/>
      <c r="T133" s="94"/>
      <c r="U133" s="94"/>
      <c r="V133" s="95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hidden="1" customHeight="1" x14ac:dyDescent="0.25">
      <c r="A134" s="125" t="s">
        <v>245</v>
      </c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30"/>
      <c r="AB134" s="30"/>
      <c r="AC134" s="30"/>
    </row>
    <row r="135" spans="1:68" ht="14.25" hidden="1" customHeight="1" x14ac:dyDescent="0.25">
      <c r="A135" s="107" t="s">
        <v>115</v>
      </c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31"/>
      <c r="AB135" s="31"/>
      <c r="AC135" s="31"/>
    </row>
    <row r="136" spans="1:68" ht="27" hidden="1" customHeight="1" x14ac:dyDescent="0.25">
      <c r="A136" s="32" t="s">
        <v>246</v>
      </c>
      <c r="B136" s="32" t="s">
        <v>247</v>
      </c>
      <c r="C136" s="33">
        <v>4301011564</v>
      </c>
      <c r="D136" s="96">
        <v>4680115882577</v>
      </c>
      <c r="E136" s="96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98"/>
      <c r="R136" s="98"/>
      <c r="S136" s="98"/>
      <c r="T136" s="99"/>
      <c r="U136" s="61" t="s">
        <v>20</v>
      </c>
      <c r="V136" s="61" t="s">
        <v>20</v>
      </c>
      <c r="W136" s="62" t="s">
        <v>69</v>
      </c>
      <c r="X136" s="63">
        <v>0</v>
      </c>
      <c r="Y136" s="69">
        <f>IFERROR(IF(X136="",0,CEILING((X136/$H136),1)*$H136),"")</f>
        <v>0</v>
      </c>
      <c r="Z136" s="70" t="str">
        <f>IFERROR(IF(Y136=0,"",ROUNDUP(Y136/H136,0)*0.00651),"")</f>
        <v/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0</v>
      </c>
      <c r="BN136" s="76">
        <f>IFERROR(Y136*I136/H136,"0")</f>
        <v>0</v>
      </c>
      <c r="BO136" s="76">
        <f>IFERROR(1/J136*(X136/H136),"0")</f>
        <v>0</v>
      </c>
      <c r="BP136" s="76">
        <f>IFERROR(1/J136*(Y136/H136),"0")</f>
        <v>0</v>
      </c>
    </row>
    <row r="137" spans="1:68" ht="27" hidden="1" customHeight="1" x14ac:dyDescent="0.25">
      <c r="A137" s="32" t="s">
        <v>246</v>
      </c>
      <c r="B137" s="32" t="s">
        <v>249</v>
      </c>
      <c r="C137" s="33">
        <v>4301011562</v>
      </c>
      <c r="D137" s="96">
        <v>4680115882577</v>
      </c>
      <c r="E137" s="96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98"/>
      <c r="R137" s="98"/>
      <c r="S137" s="98"/>
      <c r="T137" s="99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hidden="1" x14ac:dyDescent="0.2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2"/>
      <c r="P138" s="93" t="s">
        <v>75</v>
      </c>
      <c r="Q138" s="94"/>
      <c r="R138" s="94"/>
      <c r="S138" s="94"/>
      <c r="T138" s="94"/>
      <c r="U138" s="94"/>
      <c r="V138" s="95"/>
      <c r="W138" s="64" t="s">
        <v>76</v>
      </c>
      <c r="X138" s="65">
        <f>IFERROR(X136/H136,"0")+IFERROR(X137/H137,"0")</f>
        <v>0</v>
      </c>
      <c r="Y138" s="65">
        <f>IFERROR(Y136/H136,"0")+IFERROR(Y137/H137,"0")</f>
        <v>0</v>
      </c>
      <c r="Z138" s="65">
        <f>IFERROR(IF(Z136="",0,Z136),"0")+IFERROR(IF(Z137="",0,Z137),"0")</f>
        <v>0</v>
      </c>
      <c r="AA138" s="74"/>
      <c r="AB138" s="74"/>
      <c r="AC138" s="74"/>
    </row>
    <row r="139" spans="1:68" hidden="1" x14ac:dyDescent="0.2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2"/>
      <c r="P139" s="93" t="s">
        <v>75</v>
      </c>
      <c r="Q139" s="94"/>
      <c r="R139" s="94"/>
      <c r="S139" s="94"/>
      <c r="T139" s="94"/>
      <c r="U139" s="94"/>
      <c r="V139" s="95"/>
      <c r="W139" s="64" t="s">
        <v>69</v>
      </c>
      <c r="X139" s="65">
        <f>IFERROR(SUM(X136:X137),"0")</f>
        <v>0</v>
      </c>
      <c r="Y139" s="65">
        <f>IFERROR(SUM(Y136:Y137),"0")</f>
        <v>0</v>
      </c>
      <c r="Z139" s="64"/>
      <c r="AA139" s="74"/>
      <c r="AB139" s="74"/>
      <c r="AC139" s="74"/>
    </row>
    <row r="140" spans="1:68" ht="14.25" hidden="1" customHeight="1" x14ac:dyDescent="0.25">
      <c r="A140" s="107" t="s">
        <v>64</v>
      </c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31"/>
      <c r="AB140" s="31"/>
      <c r="AC140" s="31"/>
    </row>
    <row r="141" spans="1:68" ht="27" hidden="1" customHeight="1" x14ac:dyDescent="0.25">
      <c r="A141" s="32" t="s">
        <v>250</v>
      </c>
      <c r="B141" s="32" t="s">
        <v>251</v>
      </c>
      <c r="C141" s="33">
        <v>4301031234</v>
      </c>
      <c r="D141" s="96">
        <v>4680115883444</v>
      </c>
      <c r="E141" s="96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98"/>
      <c r="R141" s="98"/>
      <c r="S141" s="98"/>
      <c r="T141" s="99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hidden="1" customHeight="1" x14ac:dyDescent="0.25">
      <c r="A142" s="32" t="s">
        <v>250</v>
      </c>
      <c r="B142" s="32" t="s">
        <v>253</v>
      </c>
      <c r="C142" s="33">
        <v>4301031235</v>
      </c>
      <c r="D142" s="96">
        <v>4680115883444</v>
      </c>
      <c r="E142" s="96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98"/>
      <c r="R142" s="98"/>
      <c r="S142" s="98"/>
      <c r="T142" s="99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hidden="1" x14ac:dyDescent="0.2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2"/>
      <c r="P143" s="93" t="s">
        <v>75</v>
      </c>
      <c r="Q143" s="94"/>
      <c r="R143" s="94"/>
      <c r="S143" s="94"/>
      <c r="T143" s="94"/>
      <c r="U143" s="94"/>
      <c r="V143" s="95"/>
      <c r="W143" s="64" t="s">
        <v>76</v>
      </c>
      <c r="X143" s="65">
        <f>IFERROR(X141/H141,"0")+IFERROR(X142/H142,"0")</f>
        <v>0</v>
      </c>
      <c r="Y143" s="65">
        <f>IFERROR(Y141/H141,"0")+IFERROR(Y142/H142,"0")</f>
        <v>0</v>
      </c>
      <c r="Z143" s="65">
        <f>IFERROR(IF(Z141="",0,Z141),"0")+IFERROR(IF(Z142="",0,Z142),"0")</f>
        <v>0</v>
      </c>
      <c r="AA143" s="74"/>
      <c r="AB143" s="74"/>
      <c r="AC143" s="74"/>
    </row>
    <row r="144" spans="1:68" hidden="1" x14ac:dyDescent="0.2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2"/>
      <c r="P144" s="93" t="s">
        <v>75</v>
      </c>
      <c r="Q144" s="94"/>
      <c r="R144" s="94"/>
      <c r="S144" s="94"/>
      <c r="T144" s="94"/>
      <c r="U144" s="94"/>
      <c r="V144" s="95"/>
      <c r="W144" s="64" t="s">
        <v>69</v>
      </c>
      <c r="X144" s="65">
        <f>IFERROR(SUM(X141:X142),"0")</f>
        <v>0</v>
      </c>
      <c r="Y144" s="65">
        <f>IFERROR(SUM(Y141:Y142),"0")</f>
        <v>0</v>
      </c>
      <c r="Z144" s="64"/>
      <c r="AA144" s="74"/>
      <c r="AB144" s="74"/>
      <c r="AC144" s="74"/>
    </row>
    <row r="145" spans="1:68" ht="14.25" hidden="1" customHeight="1" x14ac:dyDescent="0.25">
      <c r="A145" s="107" t="s">
        <v>77</v>
      </c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31"/>
      <c r="AB145" s="31"/>
      <c r="AC145" s="31"/>
    </row>
    <row r="146" spans="1:68" ht="16.5" hidden="1" customHeight="1" x14ac:dyDescent="0.25">
      <c r="A146" s="32" t="s">
        <v>254</v>
      </c>
      <c r="B146" s="32" t="s">
        <v>255</v>
      </c>
      <c r="C146" s="33">
        <v>4301051477</v>
      </c>
      <c r="D146" s="96">
        <v>4680115882584</v>
      </c>
      <c r="E146" s="96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98"/>
      <c r="R146" s="98"/>
      <c r="S146" s="98"/>
      <c r="T146" s="99"/>
      <c r="U146" s="61" t="s">
        <v>20</v>
      </c>
      <c r="V146" s="61" t="s">
        <v>20</v>
      </c>
      <c r="W146" s="62" t="s">
        <v>69</v>
      </c>
      <c r="X146" s="63">
        <v>0</v>
      </c>
      <c r="Y146" s="69">
        <f>IFERROR(IF(X146="",0,CEILING((X146/$H146),1)*$H146),"")</f>
        <v>0</v>
      </c>
      <c r="Z146" s="70" t="str">
        <f>IFERROR(IF(Y146=0,"",ROUNDUP(Y146/H146,0)*0.00651),"")</f>
        <v/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0</v>
      </c>
      <c r="BN146" s="76">
        <f>IFERROR(Y146*I146/H146,"0")</f>
        <v>0</v>
      </c>
      <c r="BO146" s="76">
        <f>IFERROR(1/J146*(X146/H146),"0")</f>
        <v>0</v>
      </c>
      <c r="BP146" s="76">
        <f>IFERROR(1/J146*(Y146/H146),"0")</f>
        <v>0</v>
      </c>
    </row>
    <row r="147" spans="1:68" ht="16.5" hidden="1" customHeight="1" x14ac:dyDescent="0.25">
      <c r="A147" s="32" t="s">
        <v>254</v>
      </c>
      <c r="B147" s="32" t="s">
        <v>256</v>
      </c>
      <c r="C147" s="33">
        <v>4301051476</v>
      </c>
      <c r="D147" s="96">
        <v>4680115882584</v>
      </c>
      <c r="E147" s="96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98"/>
      <c r="R147" s="98"/>
      <c r="S147" s="98"/>
      <c r="T147" s="99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hidden="1" x14ac:dyDescent="0.2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2"/>
      <c r="P148" s="93" t="s">
        <v>75</v>
      </c>
      <c r="Q148" s="94"/>
      <c r="R148" s="94"/>
      <c r="S148" s="94"/>
      <c r="T148" s="94"/>
      <c r="U148" s="94"/>
      <c r="V148" s="95"/>
      <c r="W148" s="64" t="s">
        <v>76</v>
      </c>
      <c r="X148" s="65">
        <f>IFERROR(X146/H146,"0")+IFERROR(X147/H147,"0")</f>
        <v>0</v>
      </c>
      <c r="Y148" s="65">
        <f>IFERROR(Y146/H146,"0")+IFERROR(Y147/H147,"0")</f>
        <v>0</v>
      </c>
      <c r="Z148" s="65">
        <f>IFERROR(IF(Z146="",0,Z146),"0")+IFERROR(IF(Z147="",0,Z147),"0")</f>
        <v>0</v>
      </c>
      <c r="AA148" s="74"/>
      <c r="AB148" s="74"/>
      <c r="AC148" s="74"/>
    </row>
    <row r="149" spans="1:68" hidden="1" x14ac:dyDescent="0.2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2"/>
      <c r="P149" s="93" t="s">
        <v>75</v>
      </c>
      <c r="Q149" s="94"/>
      <c r="R149" s="94"/>
      <c r="S149" s="94"/>
      <c r="T149" s="94"/>
      <c r="U149" s="94"/>
      <c r="V149" s="95"/>
      <c r="W149" s="64" t="s">
        <v>69</v>
      </c>
      <c r="X149" s="65">
        <f>IFERROR(SUM(X146:X147),"0")</f>
        <v>0</v>
      </c>
      <c r="Y149" s="65">
        <f>IFERROR(SUM(Y146:Y147),"0")</f>
        <v>0</v>
      </c>
      <c r="Z149" s="64"/>
      <c r="AA149" s="74"/>
      <c r="AB149" s="74"/>
      <c r="AC149" s="74"/>
    </row>
    <row r="150" spans="1:68" ht="16.5" hidden="1" customHeight="1" x14ac:dyDescent="0.25">
      <c r="A150" s="125" t="s">
        <v>113</v>
      </c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30"/>
      <c r="AB150" s="30"/>
      <c r="AC150" s="30"/>
    </row>
    <row r="151" spans="1:68" ht="14.25" hidden="1" customHeight="1" x14ac:dyDescent="0.25">
      <c r="A151" s="107" t="s">
        <v>115</v>
      </c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31"/>
      <c r="AB151" s="31"/>
      <c r="AC151" s="31"/>
    </row>
    <row r="152" spans="1:68" ht="27" customHeight="1" x14ac:dyDescent="0.25">
      <c r="A152" s="32" t="s">
        <v>257</v>
      </c>
      <c r="B152" s="32" t="s">
        <v>258</v>
      </c>
      <c r="C152" s="33">
        <v>4301012244</v>
      </c>
      <c r="D152" s="96">
        <v>4680115887374</v>
      </c>
      <c r="E152" s="96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9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98"/>
      <c r="R152" s="98"/>
      <c r="S152" s="98"/>
      <c r="T152" s="99"/>
      <c r="U152" s="61" t="s">
        <v>20</v>
      </c>
      <c r="V152" s="61" t="s">
        <v>20</v>
      </c>
      <c r="W152" s="62" t="s">
        <v>69</v>
      </c>
      <c r="X152" s="63">
        <v>50</v>
      </c>
      <c r="Y152" s="69">
        <f>IFERROR(IF(X152="",0,CEILING((X152/$H152),1)*$H152),"")</f>
        <v>51.2</v>
      </c>
      <c r="Z152" s="70">
        <f>IFERROR(IF(Y152=0,"",ROUNDUP(Y152/H152,0)*0.01898),"")</f>
        <v>7.5920000000000001E-2</v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51.6015625</v>
      </c>
      <c r="BN152" s="76">
        <f>IFERROR(Y152*I152/H152,"0")</f>
        <v>52.84</v>
      </c>
      <c r="BO152" s="76">
        <f>IFERROR(1/J152*(X152/H152),"0")</f>
        <v>6.103515625E-2</v>
      </c>
      <c r="BP152" s="76">
        <f>IFERROR(1/J152*(Y152/H152),"0")</f>
        <v>6.25E-2</v>
      </c>
    </row>
    <row r="153" spans="1:68" ht="27" hidden="1" customHeight="1" x14ac:dyDescent="0.25">
      <c r="A153" s="32" t="s">
        <v>260</v>
      </c>
      <c r="B153" s="32" t="s">
        <v>261</v>
      </c>
      <c r="C153" s="33">
        <v>4301011705</v>
      </c>
      <c r="D153" s="96">
        <v>4607091384604</v>
      </c>
      <c r="E153" s="96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98"/>
      <c r="R153" s="98"/>
      <c r="S153" s="98"/>
      <c r="T153" s="99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x14ac:dyDescent="0.2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2"/>
      <c r="P154" s="93" t="s">
        <v>75</v>
      </c>
      <c r="Q154" s="94"/>
      <c r="R154" s="94"/>
      <c r="S154" s="94"/>
      <c r="T154" s="94"/>
      <c r="U154" s="94"/>
      <c r="V154" s="95"/>
      <c r="W154" s="64" t="s">
        <v>76</v>
      </c>
      <c r="X154" s="65">
        <f>IFERROR(X152/H152,"0")+IFERROR(X153/H153,"0")</f>
        <v>3.90625</v>
      </c>
      <c r="Y154" s="65">
        <f>IFERROR(Y152/H152,"0")+IFERROR(Y153/H153,"0")</f>
        <v>4</v>
      </c>
      <c r="Z154" s="65">
        <f>IFERROR(IF(Z152="",0,Z152),"0")+IFERROR(IF(Z153="",0,Z153),"0")</f>
        <v>7.5920000000000001E-2</v>
      </c>
      <c r="AA154" s="74"/>
      <c r="AB154" s="74"/>
      <c r="AC154" s="74"/>
    </row>
    <row r="155" spans="1:68" x14ac:dyDescent="0.2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2"/>
      <c r="P155" s="93" t="s">
        <v>75</v>
      </c>
      <c r="Q155" s="94"/>
      <c r="R155" s="94"/>
      <c r="S155" s="94"/>
      <c r="T155" s="94"/>
      <c r="U155" s="94"/>
      <c r="V155" s="95"/>
      <c r="W155" s="64" t="s">
        <v>69</v>
      </c>
      <c r="X155" s="65">
        <f>IFERROR(SUM(X152:X153),"0")</f>
        <v>50</v>
      </c>
      <c r="Y155" s="65">
        <f>IFERROR(SUM(Y152:Y153),"0")</f>
        <v>51.2</v>
      </c>
      <c r="Z155" s="64"/>
      <c r="AA155" s="74"/>
      <c r="AB155" s="74"/>
      <c r="AC155" s="74"/>
    </row>
    <row r="156" spans="1:68" ht="14.25" hidden="1" customHeight="1" x14ac:dyDescent="0.25">
      <c r="A156" s="107" t="s">
        <v>154</v>
      </c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31"/>
      <c r="AB156" s="31"/>
      <c r="AC156" s="31"/>
    </row>
    <row r="157" spans="1:68" ht="16.5" hidden="1" customHeight="1" x14ac:dyDescent="0.25">
      <c r="A157" s="32" t="s">
        <v>263</v>
      </c>
      <c r="B157" s="32" t="s">
        <v>264</v>
      </c>
      <c r="C157" s="33">
        <v>4301020410</v>
      </c>
      <c r="D157" s="96">
        <v>4680115887695</v>
      </c>
      <c r="E157" s="96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27" t="s">
        <v>265</v>
      </c>
      <c r="Q157" s="98"/>
      <c r="R157" s="98"/>
      <c r="S157" s="98"/>
      <c r="T157" s="99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hidden="1" x14ac:dyDescent="0.2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2"/>
      <c r="P158" s="93" t="s">
        <v>75</v>
      </c>
      <c r="Q158" s="94"/>
      <c r="R158" s="94"/>
      <c r="S158" s="94"/>
      <c r="T158" s="94"/>
      <c r="U158" s="94"/>
      <c r="V158" s="95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hidden="1" x14ac:dyDescent="0.2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2"/>
      <c r="P159" s="93" t="s">
        <v>75</v>
      </c>
      <c r="Q159" s="94"/>
      <c r="R159" s="94"/>
      <c r="S159" s="94"/>
      <c r="T159" s="94"/>
      <c r="U159" s="94"/>
      <c r="V159" s="95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hidden="1" customHeight="1" x14ac:dyDescent="0.25">
      <c r="A160" s="107" t="s">
        <v>64</v>
      </c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31"/>
      <c r="AB160" s="31"/>
      <c r="AC160" s="31"/>
    </row>
    <row r="161" spans="1:68" ht="27" hidden="1" customHeight="1" x14ac:dyDescent="0.25">
      <c r="A161" s="32" t="s">
        <v>267</v>
      </c>
      <c r="B161" s="32" t="s">
        <v>268</v>
      </c>
      <c r="C161" s="33">
        <v>4301031450</v>
      </c>
      <c r="D161" s="96">
        <v>4680115887428</v>
      </c>
      <c r="E161" s="96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9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98"/>
      <c r="R161" s="98"/>
      <c r="S161" s="98"/>
      <c r="T161" s="99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hidden="1" customHeight="1" x14ac:dyDescent="0.25">
      <c r="A162" s="32" t="s">
        <v>270</v>
      </c>
      <c r="B162" s="32" t="s">
        <v>271</v>
      </c>
      <c r="C162" s="33">
        <v>4301031453</v>
      </c>
      <c r="D162" s="96">
        <v>4680115887336</v>
      </c>
      <c r="E162" s="96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9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98"/>
      <c r="R162" s="98"/>
      <c r="S162" s="98"/>
      <c r="T162" s="99"/>
      <c r="U162" s="61" t="s">
        <v>20</v>
      </c>
      <c r="V162" s="61" t="s">
        <v>20</v>
      </c>
      <c r="W162" s="62" t="s">
        <v>69</v>
      </c>
      <c r="X162" s="63">
        <v>0</v>
      </c>
      <c r="Y162" s="69">
        <f t="shared" si="11"/>
        <v>0</v>
      </c>
      <c r="Z162" s="70" t="str">
        <f>IFERROR(IF(Y162=0,"",ROUNDUP(Y162/H162,0)*0.00902),"")</f>
        <v/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0</v>
      </c>
      <c r="BN162" s="76">
        <f t="shared" si="13"/>
        <v>0</v>
      </c>
      <c r="BO162" s="76">
        <f t="shared" si="14"/>
        <v>0</v>
      </c>
      <c r="BP162" s="76">
        <f t="shared" si="15"/>
        <v>0</v>
      </c>
    </row>
    <row r="163" spans="1:68" ht="27" hidden="1" customHeight="1" x14ac:dyDescent="0.25">
      <c r="A163" s="32" t="s">
        <v>273</v>
      </c>
      <c r="B163" s="32" t="s">
        <v>274</v>
      </c>
      <c r="C163" s="33">
        <v>4301030963</v>
      </c>
      <c r="D163" s="96">
        <v>4607091382426</v>
      </c>
      <c r="E163" s="96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98"/>
      <c r="R163" s="98"/>
      <c r="S163" s="98"/>
      <c r="T163" s="99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hidden="1" customHeight="1" x14ac:dyDescent="0.25">
      <c r="A164" s="32" t="s">
        <v>276</v>
      </c>
      <c r="B164" s="32" t="s">
        <v>277</v>
      </c>
      <c r="C164" s="33">
        <v>4301031456</v>
      </c>
      <c r="D164" s="96">
        <v>4680115887398</v>
      </c>
      <c r="E164" s="96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9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98"/>
      <c r="R164" s="98"/>
      <c r="S164" s="98"/>
      <c r="T164" s="99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hidden="1" customHeight="1" x14ac:dyDescent="0.25">
      <c r="A165" s="32" t="s">
        <v>279</v>
      </c>
      <c r="B165" s="32" t="s">
        <v>280</v>
      </c>
      <c r="C165" s="33">
        <v>4301032049</v>
      </c>
      <c r="D165" s="96">
        <v>4680115887787</v>
      </c>
      <c r="E165" s="96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27" t="s">
        <v>281</v>
      </c>
      <c r="Q165" s="98"/>
      <c r="R165" s="98"/>
      <c r="S165" s="98"/>
      <c r="T165" s="99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hidden="1" customHeight="1" x14ac:dyDescent="0.25">
      <c r="A166" s="32" t="s">
        <v>283</v>
      </c>
      <c r="B166" s="32" t="s">
        <v>284</v>
      </c>
      <c r="C166" s="33">
        <v>4301031448</v>
      </c>
      <c r="D166" s="96">
        <v>4680115887503</v>
      </c>
      <c r="E166" s="96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98"/>
      <c r="R166" s="98"/>
      <c r="S166" s="98"/>
      <c r="T166" s="99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hidden="1" customHeight="1" x14ac:dyDescent="0.25">
      <c r="A167" s="32" t="s">
        <v>285</v>
      </c>
      <c r="B167" s="32" t="s">
        <v>286</v>
      </c>
      <c r="C167" s="33">
        <v>4301031389</v>
      </c>
      <c r="D167" s="96">
        <v>4680115887763</v>
      </c>
      <c r="E167" s="96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98"/>
      <c r="R167" s="98"/>
      <c r="S167" s="98"/>
      <c r="T167" s="99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hidden="1" customHeight="1" x14ac:dyDescent="0.25">
      <c r="A168" s="32" t="s">
        <v>288</v>
      </c>
      <c r="B168" s="32" t="s">
        <v>289</v>
      </c>
      <c r="C168" s="33">
        <v>4301031454</v>
      </c>
      <c r="D168" s="96">
        <v>4680115887480</v>
      </c>
      <c r="E168" s="96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9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98"/>
      <c r="R168" s="98"/>
      <c r="S168" s="98"/>
      <c r="T168" s="99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hidden="1" customHeight="1" x14ac:dyDescent="0.25">
      <c r="A169" s="32" t="s">
        <v>290</v>
      </c>
      <c r="B169" s="32" t="s">
        <v>291</v>
      </c>
      <c r="C169" s="33">
        <v>4301031434</v>
      </c>
      <c r="D169" s="96">
        <v>4680115888067</v>
      </c>
      <c r="E169" s="96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27" t="s">
        <v>292</v>
      </c>
      <c r="Q169" s="98"/>
      <c r="R169" s="98"/>
      <c r="S169" s="98"/>
      <c r="T169" s="99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hidden="1" customHeight="1" x14ac:dyDescent="0.25">
      <c r="A170" s="32" t="s">
        <v>294</v>
      </c>
      <c r="B170" s="32" t="s">
        <v>295</v>
      </c>
      <c r="C170" s="33">
        <v>4301031451</v>
      </c>
      <c r="D170" s="96">
        <v>4680115887435</v>
      </c>
      <c r="E170" s="96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9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98"/>
      <c r="R170" s="98"/>
      <c r="S170" s="98"/>
      <c r="T170" s="99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hidden="1" x14ac:dyDescent="0.2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2"/>
      <c r="P171" s="93" t="s">
        <v>75</v>
      </c>
      <c r="Q171" s="94"/>
      <c r="R171" s="94"/>
      <c r="S171" s="94"/>
      <c r="T171" s="94"/>
      <c r="U171" s="94"/>
      <c r="V171" s="95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4"/>
      <c r="AB171" s="74"/>
      <c r="AC171" s="74"/>
    </row>
    <row r="172" spans="1:68" hidden="1" x14ac:dyDescent="0.2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2"/>
      <c r="P172" s="93" t="s">
        <v>75</v>
      </c>
      <c r="Q172" s="94"/>
      <c r="R172" s="94"/>
      <c r="S172" s="94"/>
      <c r="T172" s="94"/>
      <c r="U172" s="94"/>
      <c r="V172" s="95"/>
      <c r="W172" s="64" t="s">
        <v>69</v>
      </c>
      <c r="X172" s="65">
        <f>IFERROR(SUM(X161:X170),"0")</f>
        <v>0</v>
      </c>
      <c r="Y172" s="65">
        <f>IFERROR(SUM(Y161:Y170),"0")</f>
        <v>0</v>
      </c>
      <c r="Z172" s="64"/>
      <c r="AA172" s="74"/>
      <c r="AB172" s="74"/>
      <c r="AC172" s="74"/>
    </row>
    <row r="173" spans="1:68" ht="14.25" hidden="1" customHeight="1" x14ac:dyDescent="0.25">
      <c r="A173" s="107" t="s">
        <v>77</v>
      </c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31"/>
      <c r="AB173" s="31"/>
      <c r="AC173" s="31"/>
    </row>
    <row r="174" spans="1:68" ht="27" hidden="1" customHeight="1" x14ac:dyDescent="0.25">
      <c r="A174" s="32" t="s">
        <v>296</v>
      </c>
      <c r="B174" s="32" t="s">
        <v>297</v>
      </c>
      <c r="C174" s="33">
        <v>4301052064</v>
      </c>
      <c r="D174" s="96">
        <v>4680115887459</v>
      </c>
      <c r="E174" s="96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9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98"/>
      <c r="R174" s="98"/>
      <c r="S174" s="98"/>
      <c r="T174" s="99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hidden="1" x14ac:dyDescent="0.2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2"/>
      <c r="P175" s="93" t="s">
        <v>75</v>
      </c>
      <c r="Q175" s="94"/>
      <c r="R175" s="94"/>
      <c r="S175" s="94"/>
      <c r="T175" s="94"/>
      <c r="U175" s="94"/>
      <c r="V175" s="95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hidden="1" x14ac:dyDescent="0.2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2"/>
      <c r="P176" s="93" t="s">
        <v>75</v>
      </c>
      <c r="Q176" s="94"/>
      <c r="R176" s="94"/>
      <c r="S176" s="94"/>
      <c r="T176" s="94"/>
      <c r="U176" s="94"/>
      <c r="V176" s="95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hidden="1" customHeight="1" x14ac:dyDescent="0.2">
      <c r="A177" s="126" t="s">
        <v>299</v>
      </c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68"/>
      <c r="AB177" s="68"/>
      <c r="AC177" s="68"/>
    </row>
    <row r="178" spans="1:68" ht="16.5" hidden="1" customHeight="1" x14ac:dyDescent="0.25">
      <c r="A178" s="125" t="s">
        <v>300</v>
      </c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30"/>
      <c r="AB178" s="30"/>
      <c r="AC178" s="30"/>
    </row>
    <row r="179" spans="1:68" ht="14.25" hidden="1" customHeight="1" x14ac:dyDescent="0.25">
      <c r="A179" s="107" t="s">
        <v>154</v>
      </c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31"/>
      <c r="AB179" s="31"/>
      <c r="AC179" s="31"/>
    </row>
    <row r="180" spans="1:68" ht="27" hidden="1" customHeight="1" x14ac:dyDescent="0.25">
      <c r="A180" s="32" t="s">
        <v>301</v>
      </c>
      <c r="B180" s="32" t="s">
        <v>302</v>
      </c>
      <c r="C180" s="33">
        <v>4301020323</v>
      </c>
      <c r="D180" s="96">
        <v>4680115886223</v>
      </c>
      <c r="E180" s="96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98"/>
      <c r="R180" s="98"/>
      <c r="S180" s="98"/>
      <c r="T180" s="99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hidden="1" x14ac:dyDescent="0.2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2"/>
      <c r="P181" s="93" t="s">
        <v>75</v>
      </c>
      <c r="Q181" s="94"/>
      <c r="R181" s="94"/>
      <c r="S181" s="94"/>
      <c r="T181" s="94"/>
      <c r="U181" s="94"/>
      <c r="V181" s="95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hidden="1" x14ac:dyDescent="0.2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2"/>
      <c r="P182" s="93" t="s">
        <v>75</v>
      </c>
      <c r="Q182" s="94"/>
      <c r="R182" s="94"/>
      <c r="S182" s="94"/>
      <c r="T182" s="94"/>
      <c r="U182" s="94"/>
      <c r="V182" s="95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hidden="1" customHeight="1" x14ac:dyDescent="0.25">
      <c r="A183" s="107" t="s">
        <v>64</v>
      </c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31"/>
      <c r="AB183" s="31"/>
      <c r="AC183" s="31"/>
    </row>
    <row r="184" spans="1:68" ht="27" hidden="1" customHeight="1" x14ac:dyDescent="0.25">
      <c r="A184" s="32" t="s">
        <v>304</v>
      </c>
      <c r="B184" s="32" t="s">
        <v>305</v>
      </c>
      <c r="C184" s="33">
        <v>4301031191</v>
      </c>
      <c r="D184" s="96">
        <v>4680115880993</v>
      </c>
      <c r="E184" s="96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98"/>
      <c r="R184" s="98"/>
      <c r="S184" s="98"/>
      <c r="T184" s="99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hidden="1" customHeight="1" x14ac:dyDescent="0.25">
      <c r="A185" s="32" t="s">
        <v>307</v>
      </c>
      <c r="B185" s="32" t="s">
        <v>308</v>
      </c>
      <c r="C185" s="33">
        <v>4301031204</v>
      </c>
      <c r="D185" s="96">
        <v>4680115881761</v>
      </c>
      <c r="E185" s="96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98"/>
      <c r="R185" s="98"/>
      <c r="S185" s="98"/>
      <c r="T185" s="99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hidden="1" customHeight="1" x14ac:dyDescent="0.25">
      <c r="A186" s="32" t="s">
        <v>310</v>
      </c>
      <c r="B186" s="32" t="s">
        <v>311</v>
      </c>
      <c r="C186" s="33">
        <v>4301031201</v>
      </c>
      <c r="D186" s="96">
        <v>4680115881563</v>
      </c>
      <c r="E186" s="96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98"/>
      <c r="R186" s="98"/>
      <c r="S186" s="98"/>
      <c r="T186" s="99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hidden="1" customHeight="1" x14ac:dyDescent="0.25">
      <c r="A187" s="32" t="s">
        <v>313</v>
      </c>
      <c r="B187" s="32" t="s">
        <v>314</v>
      </c>
      <c r="C187" s="33">
        <v>4301031447</v>
      </c>
      <c r="D187" s="96">
        <v>4680115887565</v>
      </c>
      <c r="E187" s="96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9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98"/>
      <c r="R187" s="98"/>
      <c r="S187" s="98"/>
      <c r="T187" s="99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hidden="1" customHeight="1" x14ac:dyDescent="0.25">
      <c r="A188" s="32" t="s">
        <v>316</v>
      </c>
      <c r="B188" s="32" t="s">
        <v>317</v>
      </c>
      <c r="C188" s="33">
        <v>4301031199</v>
      </c>
      <c r="D188" s="96">
        <v>4680115880986</v>
      </c>
      <c r="E188" s="96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98"/>
      <c r="R188" s="98"/>
      <c r="S188" s="98"/>
      <c r="T188" s="99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hidden="1" customHeight="1" x14ac:dyDescent="0.25">
      <c r="A189" s="32" t="s">
        <v>318</v>
      </c>
      <c r="B189" s="32" t="s">
        <v>319</v>
      </c>
      <c r="C189" s="33">
        <v>4301031443</v>
      </c>
      <c r="D189" s="96">
        <v>4680115887213</v>
      </c>
      <c r="E189" s="96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98"/>
      <c r="R189" s="98"/>
      <c r="S189" s="98"/>
      <c r="T189" s="99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hidden="1" customHeight="1" x14ac:dyDescent="0.25">
      <c r="A190" s="32" t="s">
        <v>321</v>
      </c>
      <c r="B190" s="32" t="s">
        <v>322</v>
      </c>
      <c r="C190" s="33">
        <v>4301031205</v>
      </c>
      <c r="D190" s="96">
        <v>4680115881785</v>
      </c>
      <c r="E190" s="96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98"/>
      <c r="R190" s="98"/>
      <c r="S190" s="98"/>
      <c r="T190" s="99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hidden="1" customHeight="1" x14ac:dyDescent="0.25">
      <c r="A191" s="32" t="s">
        <v>323</v>
      </c>
      <c r="B191" s="32" t="s">
        <v>324</v>
      </c>
      <c r="C191" s="33">
        <v>4301031427</v>
      </c>
      <c r="D191" s="96">
        <v>4680115888104</v>
      </c>
      <c r="E191" s="96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9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98"/>
      <c r="R191" s="98"/>
      <c r="S191" s="98"/>
      <c r="T191" s="99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hidden="1" customHeight="1" x14ac:dyDescent="0.25">
      <c r="A192" s="32" t="s">
        <v>326</v>
      </c>
      <c r="B192" s="32" t="s">
        <v>327</v>
      </c>
      <c r="C192" s="33">
        <v>4301031399</v>
      </c>
      <c r="D192" s="96">
        <v>4680115886537</v>
      </c>
      <c r="E192" s="96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98"/>
      <c r="R192" s="98"/>
      <c r="S192" s="98"/>
      <c r="T192" s="99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hidden="1" customHeight="1" x14ac:dyDescent="0.25">
      <c r="A193" s="32" t="s">
        <v>329</v>
      </c>
      <c r="B193" s="32" t="s">
        <v>330</v>
      </c>
      <c r="C193" s="33">
        <v>4301031279</v>
      </c>
      <c r="D193" s="96">
        <v>4680115887596</v>
      </c>
      <c r="E193" s="96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9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98"/>
      <c r="R193" s="98"/>
      <c r="S193" s="98"/>
      <c r="T193" s="99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hidden="1" customHeight="1" x14ac:dyDescent="0.25">
      <c r="A194" s="32" t="s">
        <v>332</v>
      </c>
      <c r="B194" s="32" t="s">
        <v>333</v>
      </c>
      <c r="C194" s="33">
        <v>4301031202</v>
      </c>
      <c r="D194" s="96">
        <v>4680115881679</v>
      </c>
      <c r="E194" s="96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98"/>
      <c r="R194" s="98"/>
      <c r="S194" s="98"/>
      <c r="T194" s="99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hidden="1" customHeight="1" x14ac:dyDescent="0.25">
      <c r="A195" s="32" t="s">
        <v>334</v>
      </c>
      <c r="B195" s="32" t="s">
        <v>335</v>
      </c>
      <c r="C195" s="33">
        <v>4301031158</v>
      </c>
      <c r="D195" s="96">
        <v>4680115880191</v>
      </c>
      <c r="E195" s="96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9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98"/>
      <c r="R195" s="98"/>
      <c r="S195" s="98"/>
      <c r="T195" s="99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hidden="1" customHeight="1" x14ac:dyDescent="0.25">
      <c r="A196" s="32" t="s">
        <v>336</v>
      </c>
      <c r="B196" s="32" t="s">
        <v>337</v>
      </c>
      <c r="C196" s="33">
        <v>4301031245</v>
      </c>
      <c r="D196" s="96">
        <v>4680115883963</v>
      </c>
      <c r="E196" s="96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98"/>
      <c r="R196" s="98"/>
      <c r="S196" s="98"/>
      <c r="T196" s="99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hidden="1" x14ac:dyDescent="0.2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2"/>
      <c r="P197" s="93" t="s">
        <v>75</v>
      </c>
      <c r="Q197" s="94"/>
      <c r="R197" s="94"/>
      <c r="S197" s="94"/>
      <c r="T197" s="94"/>
      <c r="U197" s="94"/>
      <c r="V197" s="95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hidden="1" x14ac:dyDescent="0.2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2"/>
      <c r="P198" s="93" t="s">
        <v>75</v>
      </c>
      <c r="Q198" s="94"/>
      <c r="R198" s="94"/>
      <c r="S198" s="94"/>
      <c r="T198" s="94"/>
      <c r="U198" s="94"/>
      <c r="V198" s="95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hidden="1" customHeight="1" x14ac:dyDescent="0.25">
      <c r="A199" s="107" t="s">
        <v>102</v>
      </c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31"/>
      <c r="AB199" s="31"/>
      <c r="AC199" s="31"/>
    </row>
    <row r="200" spans="1:68" ht="27" hidden="1" customHeight="1" x14ac:dyDescent="0.25">
      <c r="A200" s="32" t="s">
        <v>339</v>
      </c>
      <c r="B200" s="32" t="s">
        <v>340</v>
      </c>
      <c r="C200" s="33">
        <v>4301032053</v>
      </c>
      <c r="D200" s="96">
        <v>4680115886780</v>
      </c>
      <c r="E200" s="96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98"/>
      <c r="R200" s="98"/>
      <c r="S200" s="98"/>
      <c r="T200" s="99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hidden="1" customHeight="1" x14ac:dyDescent="0.25">
      <c r="A201" s="32" t="s">
        <v>344</v>
      </c>
      <c r="B201" s="32" t="s">
        <v>345</v>
      </c>
      <c r="C201" s="33">
        <v>4301032051</v>
      </c>
      <c r="D201" s="96">
        <v>4680115886742</v>
      </c>
      <c r="E201" s="96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98"/>
      <c r="R201" s="98"/>
      <c r="S201" s="98"/>
      <c r="T201" s="99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hidden="1" customHeight="1" x14ac:dyDescent="0.25">
      <c r="A202" s="32" t="s">
        <v>347</v>
      </c>
      <c r="B202" s="32" t="s">
        <v>348</v>
      </c>
      <c r="C202" s="33">
        <v>4301032052</v>
      </c>
      <c r="D202" s="96">
        <v>4680115886766</v>
      </c>
      <c r="E202" s="96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98"/>
      <c r="R202" s="98"/>
      <c r="S202" s="98"/>
      <c r="T202" s="99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hidden="1" x14ac:dyDescent="0.2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2"/>
      <c r="P203" s="93" t="s">
        <v>75</v>
      </c>
      <c r="Q203" s="94"/>
      <c r="R203" s="94"/>
      <c r="S203" s="94"/>
      <c r="T203" s="94"/>
      <c r="U203" s="94"/>
      <c r="V203" s="95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hidden="1" x14ac:dyDescent="0.2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2"/>
      <c r="P204" s="93" t="s">
        <v>75</v>
      </c>
      <c r="Q204" s="94"/>
      <c r="R204" s="94"/>
      <c r="S204" s="94"/>
      <c r="T204" s="94"/>
      <c r="U204" s="94"/>
      <c r="V204" s="95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hidden="1" customHeight="1" x14ac:dyDescent="0.25">
      <c r="A205" s="107" t="s">
        <v>349</v>
      </c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31"/>
      <c r="AB205" s="31"/>
      <c r="AC205" s="31"/>
    </row>
    <row r="206" spans="1:68" ht="27" hidden="1" customHeight="1" x14ac:dyDescent="0.25">
      <c r="A206" s="32" t="s">
        <v>350</v>
      </c>
      <c r="B206" s="32" t="s">
        <v>351</v>
      </c>
      <c r="C206" s="33">
        <v>4301170013</v>
      </c>
      <c r="D206" s="96">
        <v>4680115886797</v>
      </c>
      <c r="E206" s="96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98"/>
      <c r="R206" s="98"/>
      <c r="S206" s="98"/>
      <c r="T206" s="99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hidden="1" x14ac:dyDescent="0.2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2"/>
      <c r="P207" s="93" t="s">
        <v>75</v>
      </c>
      <c r="Q207" s="94"/>
      <c r="R207" s="94"/>
      <c r="S207" s="94"/>
      <c r="T207" s="94"/>
      <c r="U207" s="94"/>
      <c r="V207" s="95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hidden="1" x14ac:dyDescent="0.2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2"/>
      <c r="P208" s="93" t="s">
        <v>75</v>
      </c>
      <c r="Q208" s="94"/>
      <c r="R208" s="94"/>
      <c r="S208" s="94"/>
      <c r="T208" s="94"/>
      <c r="U208" s="94"/>
      <c r="V208" s="95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hidden="1" customHeight="1" x14ac:dyDescent="0.25">
      <c r="A209" s="125" t="s">
        <v>352</v>
      </c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30"/>
      <c r="AB209" s="30"/>
      <c r="AC209" s="30"/>
    </row>
    <row r="210" spans="1:68" ht="14.25" hidden="1" customHeight="1" x14ac:dyDescent="0.25">
      <c r="A210" s="107" t="s">
        <v>115</v>
      </c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31"/>
      <c r="AB210" s="31"/>
      <c r="AC210" s="31"/>
    </row>
    <row r="211" spans="1:68" ht="27" customHeight="1" x14ac:dyDescent="0.25">
      <c r="A211" s="32" t="s">
        <v>353</v>
      </c>
      <c r="B211" s="32" t="s">
        <v>354</v>
      </c>
      <c r="C211" s="33">
        <v>4301011450</v>
      </c>
      <c r="D211" s="96">
        <v>4680115881402</v>
      </c>
      <c r="E211" s="96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9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98"/>
      <c r="R211" s="98"/>
      <c r="S211" s="98"/>
      <c r="T211" s="99"/>
      <c r="U211" s="61" t="s">
        <v>20</v>
      </c>
      <c r="V211" s="61" t="s">
        <v>20</v>
      </c>
      <c r="W211" s="62" t="s">
        <v>69</v>
      </c>
      <c r="X211" s="63">
        <v>50</v>
      </c>
      <c r="Y211" s="69">
        <f>IFERROR(IF(X211="",0,CEILING((X211/$H211),1)*$H211),"")</f>
        <v>54</v>
      </c>
      <c r="Z211" s="70">
        <f>IFERROR(IF(Y211=0,"",ROUNDUP(Y211/H211,0)*0.01898),"")</f>
        <v>9.4899999999999998E-2</v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51.898148148148145</v>
      </c>
      <c r="BN211" s="76">
        <f>IFERROR(Y211*I211/H211,"0")</f>
        <v>56.05</v>
      </c>
      <c r="BO211" s="76">
        <f>IFERROR(1/J211*(X211/H211),"0")</f>
        <v>7.2337962962962965E-2</v>
      </c>
      <c r="BP211" s="76">
        <f>IFERROR(1/J211*(Y211/H211),"0")</f>
        <v>7.8125E-2</v>
      </c>
    </row>
    <row r="212" spans="1:68" ht="27" hidden="1" customHeight="1" x14ac:dyDescent="0.25">
      <c r="A212" s="32" t="s">
        <v>356</v>
      </c>
      <c r="B212" s="32" t="s">
        <v>357</v>
      </c>
      <c r="C212" s="33">
        <v>4301011768</v>
      </c>
      <c r="D212" s="96">
        <v>4680115881396</v>
      </c>
      <c r="E212" s="96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98"/>
      <c r="R212" s="98"/>
      <c r="S212" s="98"/>
      <c r="T212" s="99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x14ac:dyDescent="0.2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2"/>
      <c r="P213" s="93" t="s">
        <v>75</v>
      </c>
      <c r="Q213" s="94"/>
      <c r="R213" s="94"/>
      <c r="S213" s="94"/>
      <c r="T213" s="94"/>
      <c r="U213" s="94"/>
      <c r="V213" s="95"/>
      <c r="W213" s="64" t="s">
        <v>76</v>
      </c>
      <c r="X213" s="65">
        <f>IFERROR(X211/H211,"0")+IFERROR(X212/H212,"0")</f>
        <v>4.6296296296296298</v>
      </c>
      <c r="Y213" s="65">
        <f>IFERROR(Y211/H211,"0")+IFERROR(Y212/H212,"0")</f>
        <v>5</v>
      </c>
      <c r="Z213" s="65">
        <f>IFERROR(IF(Z211="",0,Z211),"0")+IFERROR(IF(Z212="",0,Z212),"0")</f>
        <v>9.4899999999999998E-2</v>
      </c>
      <c r="AA213" s="74"/>
      <c r="AB213" s="74"/>
      <c r="AC213" s="74"/>
    </row>
    <row r="214" spans="1:68" x14ac:dyDescent="0.2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2"/>
      <c r="P214" s="93" t="s">
        <v>75</v>
      </c>
      <c r="Q214" s="94"/>
      <c r="R214" s="94"/>
      <c r="S214" s="94"/>
      <c r="T214" s="94"/>
      <c r="U214" s="94"/>
      <c r="V214" s="95"/>
      <c r="W214" s="64" t="s">
        <v>69</v>
      </c>
      <c r="X214" s="65">
        <f>IFERROR(SUM(X211:X212),"0")</f>
        <v>50</v>
      </c>
      <c r="Y214" s="65">
        <f>IFERROR(SUM(Y211:Y212),"0")</f>
        <v>54</v>
      </c>
      <c r="Z214" s="64"/>
      <c r="AA214" s="74"/>
      <c r="AB214" s="74"/>
      <c r="AC214" s="74"/>
    </row>
    <row r="215" spans="1:68" ht="14.25" hidden="1" customHeight="1" x14ac:dyDescent="0.25">
      <c r="A215" s="107" t="s">
        <v>154</v>
      </c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31"/>
      <c r="AB215" s="31"/>
      <c r="AC215" s="31"/>
    </row>
    <row r="216" spans="1:68" ht="16.5" hidden="1" customHeight="1" x14ac:dyDescent="0.25">
      <c r="A216" s="32" t="s">
        <v>358</v>
      </c>
      <c r="B216" s="32" t="s">
        <v>359</v>
      </c>
      <c r="C216" s="33">
        <v>4301020261</v>
      </c>
      <c r="D216" s="96">
        <v>4680115882935</v>
      </c>
      <c r="E216" s="96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9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98"/>
      <c r="R216" s="98"/>
      <c r="S216" s="98"/>
      <c r="T216" s="99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hidden="1" customHeight="1" x14ac:dyDescent="0.25">
      <c r="A217" s="32" t="s">
        <v>361</v>
      </c>
      <c r="B217" s="32" t="s">
        <v>362</v>
      </c>
      <c r="C217" s="33">
        <v>4301020220</v>
      </c>
      <c r="D217" s="96">
        <v>4680115880764</v>
      </c>
      <c r="E217" s="96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98"/>
      <c r="R217" s="98"/>
      <c r="S217" s="98"/>
      <c r="T217" s="99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hidden="1" x14ac:dyDescent="0.2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2"/>
      <c r="P218" s="93" t="s">
        <v>75</v>
      </c>
      <c r="Q218" s="94"/>
      <c r="R218" s="94"/>
      <c r="S218" s="94"/>
      <c r="T218" s="94"/>
      <c r="U218" s="94"/>
      <c r="V218" s="95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hidden="1" x14ac:dyDescent="0.2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2"/>
      <c r="P219" s="93" t="s">
        <v>75</v>
      </c>
      <c r="Q219" s="94"/>
      <c r="R219" s="94"/>
      <c r="S219" s="94"/>
      <c r="T219" s="94"/>
      <c r="U219" s="94"/>
      <c r="V219" s="95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hidden="1" customHeight="1" x14ac:dyDescent="0.25">
      <c r="A220" s="107" t="s">
        <v>64</v>
      </c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31"/>
      <c r="AB220" s="31"/>
      <c r="AC220" s="31"/>
    </row>
    <row r="221" spans="1:68" ht="27" hidden="1" customHeight="1" x14ac:dyDescent="0.25">
      <c r="A221" s="32" t="s">
        <v>363</v>
      </c>
      <c r="B221" s="32" t="s">
        <v>364</v>
      </c>
      <c r="C221" s="33">
        <v>4301031224</v>
      </c>
      <c r="D221" s="96">
        <v>4680115882683</v>
      </c>
      <c r="E221" s="96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98"/>
      <c r="R221" s="98"/>
      <c r="S221" s="98"/>
      <c r="T221" s="99"/>
      <c r="U221" s="61" t="s">
        <v>20</v>
      </c>
      <c r="V221" s="61" t="s">
        <v>20</v>
      </c>
      <c r="W221" s="62" t="s">
        <v>69</v>
      </c>
      <c r="X221" s="63">
        <v>0</v>
      </c>
      <c r="Y221" s="69">
        <f t="shared" ref="Y221:Y228" si="21">IFERROR(IF(X221="",0,CEILING((X221/$H221),1)*$H221),"")</f>
        <v>0</v>
      </c>
      <c r="Z221" s="70" t="str">
        <f>IFERROR(IF(Y221=0,"",ROUNDUP(Y221/H221,0)*0.00902),"")</f>
        <v/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0</v>
      </c>
      <c r="BN221" s="76">
        <f t="shared" ref="BN221:BN228" si="23">IFERROR(Y221*I221/H221,"0")</f>
        <v>0</v>
      </c>
      <c r="BO221" s="76">
        <f t="shared" ref="BO221:BO228" si="24">IFERROR(1/J221*(X221/H221),"0")</f>
        <v>0</v>
      </c>
      <c r="BP221" s="76">
        <f t="shared" ref="BP221:BP228" si="25">IFERROR(1/J221*(Y221/H221),"0")</f>
        <v>0</v>
      </c>
    </row>
    <row r="222" spans="1:68" ht="27" hidden="1" customHeight="1" x14ac:dyDescent="0.25">
      <c r="A222" s="32" t="s">
        <v>366</v>
      </c>
      <c r="B222" s="32" t="s">
        <v>367</v>
      </c>
      <c r="C222" s="33">
        <v>4301031230</v>
      </c>
      <c r="D222" s="96">
        <v>4680115882690</v>
      </c>
      <c r="E222" s="96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98"/>
      <c r="R222" s="98"/>
      <c r="S222" s="98"/>
      <c r="T222" s="99"/>
      <c r="U222" s="61" t="s">
        <v>20</v>
      </c>
      <c r="V222" s="61" t="s">
        <v>20</v>
      </c>
      <c r="W222" s="62" t="s">
        <v>69</v>
      </c>
      <c r="X222" s="63">
        <v>0</v>
      </c>
      <c r="Y222" s="69">
        <f t="shared" si="21"/>
        <v>0</v>
      </c>
      <c r="Z222" s="70" t="str">
        <f>IFERROR(IF(Y222=0,"",ROUNDUP(Y222/H222,0)*0.00902),"")</f>
        <v/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0</v>
      </c>
      <c r="BN222" s="76">
        <f t="shared" si="23"/>
        <v>0</v>
      </c>
      <c r="BO222" s="76">
        <f t="shared" si="24"/>
        <v>0</v>
      </c>
      <c r="BP222" s="76">
        <f t="shared" si="25"/>
        <v>0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96">
        <v>4680115882669</v>
      </c>
      <c r="E223" s="96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9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98"/>
      <c r="R223" s="98"/>
      <c r="S223" s="98"/>
      <c r="T223" s="99"/>
      <c r="U223" s="61" t="s">
        <v>20</v>
      </c>
      <c r="V223" s="61" t="s">
        <v>20</v>
      </c>
      <c r="W223" s="62" t="s">
        <v>69</v>
      </c>
      <c r="X223" s="63">
        <v>150</v>
      </c>
      <c r="Y223" s="69">
        <f t="shared" si="21"/>
        <v>151.20000000000002</v>
      </c>
      <c r="Z223" s="70">
        <f>IFERROR(IF(Y223=0,"",ROUNDUP(Y223/H223,0)*0.00902),"")</f>
        <v>0.25256000000000001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155.27777777777777</v>
      </c>
      <c r="BN223" s="76">
        <f t="shared" si="23"/>
        <v>156.52000000000001</v>
      </c>
      <c r="BO223" s="76">
        <f t="shared" si="24"/>
        <v>0.21043771043771042</v>
      </c>
      <c r="BP223" s="76">
        <f t="shared" si="25"/>
        <v>0.21212121212121213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96">
        <v>4680115882676</v>
      </c>
      <c r="E224" s="96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98"/>
      <c r="R224" s="98"/>
      <c r="S224" s="98"/>
      <c r="T224" s="99"/>
      <c r="U224" s="61" t="s">
        <v>20</v>
      </c>
      <c r="V224" s="61" t="s">
        <v>20</v>
      </c>
      <c r="W224" s="62" t="s">
        <v>69</v>
      </c>
      <c r="X224" s="63">
        <v>150</v>
      </c>
      <c r="Y224" s="69">
        <f t="shared" si="21"/>
        <v>151.20000000000002</v>
      </c>
      <c r="Z224" s="70">
        <f>IFERROR(IF(Y224=0,"",ROUNDUP(Y224/H224,0)*0.00902),"")</f>
        <v>0.25256000000000001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155.27777777777777</v>
      </c>
      <c r="BN224" s="76">
        <f t="shared" si="23"/>
        <v>156.52000000000001</v>
      </c>
      <c r="BO224" s="76">
        <f t="shared" si="24"/>
        <v>0.21043771043771042</v>
      </c>
      <c r="BP224" s="76">
        <f t="shared" si="25"/>
        <v>0.21212121212121213</v>
      </c>
    </row>
    <row r="225" spans="1:68" ht="27" hidden="1" customHeight="1" x14ac:dyDescent="0.25">
      <c r="A225" s="32" t="s">
        <v>375</v>
      </c>
      <c r="B225" s="32" t="s">
        <v>376</v>
      </c>
      <c r="C225" s="33">
        <v>4301031223</v>
      </c>
      <c r="D225" s="96">
        <v>4680115884014</v>
      </c>
      <c r="E225" s="96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98"/>
      <c r="R225" s="98"/>
      <c r="S225" s="98"/>
      <c r="T225" s="99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hidden="1" customHeight="1" x14ac:dyDescent="0.25">
      <c r="A226" s="32" t="s">
        <v>377</v>
      </c>
      <c r="B226" s="32" t="s">
        <v>378</v>
      </c>
      <c r="C226" s="33">
        <v>4301031222</v>
      </c>
      <c r="D226" s="96">
        <v>4680115884007</v>
      </c>
      <c r="E226" s="96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98"/>
      <c r="R226" s="98"/>
      <c r="S226" s="98"/>
      <c r="T226" s="99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hidden="1" customHeight="1" x14ac:dyDescent="0.25">
      <c r="A227" s="32" t="s">
        <v>379</v>
      </c>
      <c r="B227" s="32" t="s">
        <v>380</v>
      </c>
      <c r="C227" s="33">
        <v>4301031229</v>
      </c>
      <c r="D227" s="96">
        <v>4680115884038</v>
      </c>
      <c r="E227" s="96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98"/>
      <c r="R227" s="98"/>
      <c r="S227" s="98"/>
      <c r="T227" s="99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hidden="1" customHeight="1" x14ac:dyDescent="0.25">
      <c r="A228" s="32" t="s">
        <v>381</v>
      </c>
      <c r="B228" s="32" t="s">
        <v>382</v>
      </c>
      <c r="C228" s="33">
        <v>4301031225</v>
      </c>
      <c r="D228" s="96">
        <v>4680115884021</v>
      </c>
      <c r="E228" s="96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9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98"/>
      <c r="R228" s="98"/>
      <c r="S228" s="98"/>
      <c r="T228" s="99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2"/>
      <c r="P229" s="93" t="s">
        <v>75</v>
      </c>
      <c r="Q229" s="94"/>
      <c r="R229" s="94"/>
      <c r="S229" s="94"/>
      <c r="T229" s="94"/>
      <c r="U229" s="94"/>
      <c r="V229" s="95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55.55555555555555</v>
      </c>
      <c r="Y229" s="65">
        <f>IFERROR(Y221/H221,"0")+IFERROR(Y222/H222,"0")+IFERROR(Y223/H223,"0")+IFERROR(Y224/H224,"0")+IFERROR(Y225/H225,"0")+IFERROR(Y226/H226,"0")+IFERROR(Y227/H227,"0")+IFERROR(Y228/H228,"0")</f>
        <v>56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0.50512000000000001</v>
      </c>
      <c r="AA229" s="74"/>
      <c r="AB229" s="74"/>
      <c r="AC229" s="74"/>
    </row>
    <row r="230" spans="1:68" x14ac:dyDescent="0.2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2"/>
      <c r="P230" s="93" t="s">
        <v>75</v>
      </c>
      <c r="Q230" s="94"/>
      <c r="R230" s="94"/>
      <c r="S230" s="94"/>
      <c r="T230" s="94"/>
      <c r="U230" s="94"/>
      <c r="V230" s="95"/>
      <c r="W230" s="64" t="s">
        <v>69</v>
      </c>
      <c r="X230" s="65">
        <f>IFERROR(SUM(X221:X228),"0")</f>
        <v>300</v>
      </c>
      <c r="Y230" s="65">
        <f>IFERROR(SUM(Y221:Y228),"0")</f>
        <v>302.40000000000003</v>
      </c>
      <c r="Z230" s="64"/>
      <c r="AA230" s="74"/>
      <c r="AB230" s="74"/>
      <c r="AC230" s="74"/>
    </row>
    <row r="231" spans="1:68" ht="14.25" hidden="1" customHeight="1" x14ac:dyDescent="0.25">
      <c r="A231" s="107" t="s">
        <v>77</v>
      </c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31"/>
      <c r="AB231" s="31"/>
      <c r="AC231" s="31"/>
    </row>
    <row r="232" spans="1:68" ht="37.5" customHeight="1" x14ac:dyDescent="0.25">
      <c r="A232" s="32" t="s">
        <v>383</v>
      </c>
      <c r="B232" s="32" t="s">
        <v>384</v>
      </c>
      <c r="C232" s="33">
        <v>4301051408</v>
      </c>
      <c r="D232" s="96">
        <v>4680115881594</v>
      </c>
      <c r="E232" s="96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98"/>
      <c r="R232" s="98"/>
      <c r="S232" s="98"/>
      <c r="T232" s="99"/>
      <c r="U232" s="61" t="s">
        <v>20</v>
      </c>
      <c r="V232" s="61" t="s">
        <v>20</v>
      </c>
      <c r="W232" s="62" t="s">
        <v>69</v>
      </c>
      <c r="X232" s="63">
        <v>300</v>
      </c>
      <c r="Y232" s="69">
        <f t="shared" ref="Y232:Y240" si="26">IFERROR(IF(X232="",0,CEILING((X232/$H232),1)*$H232),"")</f>
        <v>307.8</v>
      </c>
      <c r="Z232" s="70">
        <f>IFERROR(IF(Y232=0,"",ROUNDUP(Y232/H232,0)*0.01898),"")</f>
        <v>0.72123999999999999</v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318.2962962962963</v>
      </c>
      <c r="BN232" s="76">
        <f t="shared" ref="BN232:BN240" si="28">IFERROR(Y232*I232/H232,"0")</f>
        <v>326.572</v>
      </c>
      <c r="BO232" s="76">
        <f t="shared" ref="BO232:BO240" si="29">IFERROR(1/J232*(X232/H232),"0")</f>
        <v>0.57870370370370372</v>
      </c>
      <c r="BP232" s="76">
        <f t="shared" ref="BP232:BP240" si="30">IFERROR(1/J232*(Y232/H232),"0")</f>
        <v>0.59375</v>
      </c>
    </row>
    <row r="233" spans="1:68" ht="37.5" hidden="1" customHeight="1" x14ac:dyDescent="0.25">
      <c r="A233" s="32" t="s">
        <v>386</v>
      </c>
      <c r="B233" s="32" t="s">
        <v>387</v>
      </c>
      <c r="C233" s="33">
        <v>4301051411</v>
      </c>
      <c r="D233" s="96">
        <v>4680115881617</v>
      </c>
      <c r="E233" s="96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98"/>
      <c r="R233" s="98"/>
      <c r="S233" s="98"/>
      <c r="T233" s="99"/>
      <c r="U233" s="61" t="s">
        <v>20</v>
      </c>
      <c r="V233" s="61" t="s">
        <v>20</v>
      </c>
      <c r="W233" s="62" t="s">
        <v>69</v>
      </c>
      <c r="X233" s="63">
        <v>0</v>
      </c>
      <c r="Y233" s="69">
        <f t="shared" si="26"/>
        <v>0</v>
      </c>
      <c r="Z233" s="70" t="str">
        <f>IFERROR(IF(Y233=0,"",ROUNDUP(Y233/H233,0)*0.01898),"")</f>
        <v/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0</v>
      </c>
      <c r="BN233" s="76">
        <f t="shared" si="28"/>
        <v>0</v>
      </c>
      <c r="BO233" s="76">
        <f t="shared" si="29"/>
        <v>0</v>
      </c>
      <c r="BP233" s="76">
        <f t="shared" si="30"/>
        <v>0</v>
      </c>
    </row>
    <row r="234" spans="1:68" ht="27" hidden="1" customHeight="1" x14ac:dyDescent="0.25">
      <c r="A234" s="32" t="s">
        <v>389</v>
      </c>
      <c r="B234" s="32" t="s">
        <v>390</v>
      </c>
      <c r="C234" s="33">
        <v>4301051656</v>
      </c>
      <c r="D234" s="96">
        <v>4680115880573</v>
      </c>
      <c r="E234" s="96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98"/>
      <c r="R234" s="98"/>
      <c r="S234" s="98"/>
      <c r="T234" s="99"/>
      <c r="U234" s="61" t="s">
        <v>20</v>
      </c>
      <c r="V234" s="61" t="s">
        <v>20</v>
      </c>
      <c r="W234" s="62" t="s">
        <v>69</v>
      </c>
      <c r="X234" s="63">
        <v>0</v>
      </c>
      <c r="Y234" s="69">
        <f t="shared" si="26"/>
        <v>0</v>
      </c>
      <c r="Z234" s="70" t="str">
        <f>IFERROR(IF(Y234=0,"",ROUNDUP(Y234/H234,0)*0.01898),"")</f>
        <v/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0</v>
      </c>
      <c r="BN234" s="76">
        <f t="shared" si="28"/>
        <v>0</v>
      </c>
      <c r="BO234" s="76">
        <f t="shared" si="29"/>
        <v>0</v>
      </c>
      <c r="BP234" s="76">
        <f t="shared" si="30"/>
        <v>0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96">
        <v>4680115882195</v>
      </c>
      <c r="E235" s="96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98"/>
      <c r="R235" s="98"/>
      <c r="S235" s="98"/>
      <c r="T235" s="99"/>
      <c r="U235" s="61" t="s">
        <v>20</v>
      </c>
      <c r="V235" s="61" t="s">
        <v>20</v>
      </c>
      <c r="W235" s="62" t="s">
        <v>69</v>
      </c>
      <c r="X235" s="63">
        <v>150</v>
      </c>
      <c r="Y235" s="69">
        <f t="shared" si="26"/>
        <v>151.19999999999999</v>
      </c>
      <c r="Z235" s="70">
        <f t="shared" ref="Z235:Z240" si="31">IFERROR(IF(Y235=0,"",ROUNDUP(Y235/H235,0)*0.00651),"")</f>
        <v>0.41012999999999999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166.875</v>
      </c>
      <c r="BN235" s="76">
        <f t="shared" si="28"/>
        <v>168.20999999999998</v>
      </c>
      <c r="BO235" s="76">
        <f t="shared" si="29"/>
        <v>0.34340659340659341</v>
      </c>
      <c r="BP235" s="76">
        <f t="shared" si="30"/>
        <v>0.3461538461538462</v>
      </c>
    </row>
    <row r="236" spans="1:68" ht="27" hidden="1" customHeight="1" x14ac:dyDescent="0.25">
      <c r="A236" s="32" t="s">
        <v>394</v>
      </c>
      <c r="B236" s="32" t="s">
        <v>395</v>
      </c>
      <c r="C236" s="33">
        <v>4301051752</v>
      </c>
      <c r="D236" s="96">
        <v>4680115882607</v>
      </c>
      <c r="E236" s="96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98"/>
      <c r="R236" s="98"/>
      <c r="S236" s="98"/>
      <c r="T236" s="99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96">
        <v>4680115880092</v>
      </c>
      <c r="E237" s="96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98"/>
      <c r="R237" s="98"/>
      <c r="S237" s="98"/>
      <c r="T237" s="99"/>
      <c r="U237" s="61" t="s">
        <v>20</v>
      </c>
      <c r="V237" s="61" t="s">
        <v>20</v>
      </c>
      <c r="W237" s="62" t="s">
        <v>69</v>
      </c>
      <c r="X237" s="63">
        <v>150</v>
      </c>
      <c r="Y237" s="69">
        <f t="shared" si="26"/>
        <v>151.19999999999999</v>
      </c>
      <c r="Z237" s="70">
        <f t="shared" si="31"/>
        <v>0.41012999999999999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165.75</v>
      </c>
      <c r="BN237" s="76">
        <f t="shared" si="28"/>
        <v>167.07599999999999</v>
      </c>
      <c r="BO237" s="76">
        <f t="shared" si="29"/>
        <v>0.34340659340659341</v>
      </c>
      <c r="BP237" s="76">
        <f t="shared" si="30"/>
        <v>0.3461538461538462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96">
        <v>4680115880221</v>
      </c>
      <c r="E238" s="96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98"/>
      <c r="R238" s="98"/>
      <c r="S238" s="98"/>
      <c r="T238" s="99"/>
      <c r="U238" s="61" t="s">
        <v>20</v>
      </c>
      <c r="V238" s="61" t="s">
        <v>20</v>
      </c>
      <c r="W238" s="62" t="s">
        <v>69</v>
      </c>
      <c r="X238" s="63">
        <v>150</v>
      </c>
      <c r="Y238" s="69">
        <f t="shared" si="26"/>
        <v>151.19999999999999</v>
      </c>
      <c r="Z238" s="70">
        <f t="shared" si="31"/>
        <v>0.41012999999999999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165.75</v>
      </c>
      <c r="BN238" s="76">
        <f t="shared" si="28"/>
        <v>167.07599999999999</v>
      </c>
      <c r="BO238" s="76">
        <f t="shared" si="29"/>
        <v>0.34340659340659341</v>
      </c>
      <c r="BP238" s="76">
        <f t="shared" si="30"/>
        <v>0.3461538461538462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96">
        <v>4680115880504</v>
      </c>
      <c r="E239" s="96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98"/>
      <c r="R239" s="98"/>
      <c r="S239" s="98"/>
      <c r="T239" s="99"/>
      <c r="U239" s="61" t="s">
        <v>20</v>
      </c>
      <c r="V239" s="61" t="s">
        <v>20</v>
      </c>
      <c r="W239" s="62" t="s">
        <v>69</v>
      </c>
      <c r="X239" s="63">
        <v>150</v>
      </c>
      <c r="Y239" s="69">
        <f t="shared" si="26"/>
        <v>151.19999999999999</v>
      </c>
      <c r="Z239" s="70">
        <f t="shared" si="31"/>
        <v>0.41012999999999999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165.75</v>
      </c>
      <c r="BN239" s="76">
        <f t="shared" si="28"/>
        <v>167.07599999999999</v>
      </c>
      <c r="BO239" s="76">
        <f t="shared" si="29"/>
        <v>0.34340659340659341</v>
      </c>
      <c r="BP239" s="76">
        <f t="shared" si="30"/>
        <v>0.3461538461538462</v>
      </c>
    </row>
    <row r="240" spans="1:68" ht="27" hidden="1" customHeight="1" x14ac:dyDescent="0.25">
      <c r="A240" s="32" t="s">
        <v>403</v>
      </c>
      <c r="B240" s="32" t="s">
        <v>404</v>
      </c>
      <c r="C240" s="33">
        <v>4301051410</v>
      </c>
      <c r="D240" s="96">
        <v>4680115882164</v>
      </c>
      <c r="E240" s="96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98"/>
      <c r="R240" s="98"/>
      <c r="S240" s="98"/>
      <c r="T240" s="99"/>
      <c r="U240" s="61" t="s">
        <v>20</v>
      </c>
      <c r="V240" s="61" t="s">
        <v>20</v>
      </c>
      <c r="W240" s="62" t="s">
        <v>69</v>
      </c>
      <c r="X240" s="63">
        <v>0</v>
      </c>
      <c r="Y240" s="69">
        <f t="shared" si="26"/>
        <v>0</v>
      </c>
      <c r="Z240" s="70" t="str">
        <f t="shared" si="31"/>
        <v/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0</v>
      </c>
      <c r="BN240" s="76">
        <f t="shared" si="28"/>
        <v>0</v>
      </c>
      <c r="BO240" s="76">
        <f t="shared" si="29"/>
        <v>0</v>
      </c>
      <c r="BP240" s="76">
        <f t="shared" si="30"/>
        <v>0</v>
      </c>
    </row>
    <row r="241" spans="1:68" x14ac:dyDescent="0.2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2"/>
      <c r="P241" s="93" t="s">
        <v>75</v>
      </c>
      <c r="Q241" s="94"/>
      <c r="R241" s="94"/>
      <c r="S241" s="94"/>
      <c r="T241" s="94"/>
      <c r="U241" s="94"/>
      <c r="V241" s="95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287.03703703703707</v>
      </c>
      <c r="Y241" s="65">
        <f>IFERROR(Y232/H232,"0")+IFERROR(Y233/H233,"0")+IFERROR(Y234/H234,"0")+IFERROR(Y235/H235,"0")+IFERROR(Y236/H236,"0")+IFERROR(Y237/H237,"0")+IFERROR(Y238/H238,"0")+IFERROR(Y239/H239,"0")+IFERROR(Y240/H240,"0")</f>
        <v>290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2.3617600000000003</v>
      </c>
      <c r="AA241" s="74"/>
      <c r="AB241" s="74"/>
      <c r="AC241" s="74"/>
    </row>
    <row r="242" spans="1:68" x14ac:dyDescent="0.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2"/>
      <c r="P242" s="93" t="s">
        <v>75</v>
      </c>
      <c r="Q242" s="94"/>
      <c r="R242" s="94"/>
      <c r="S242" s="94"/>
      <c r="T242" s="94"/>
      <c r="U242" s="94"/>
      <c r="V242" s="95"/>
      <c r="W242" s="64" t="s">
        <v>69</v>
      </c>
      <c r="X242" s="65">
        <f>IFERROR(SUM(X232:X240),"0")</f>
        <v>900</v>
      </c>
      <c r="Y242" s="65">
        <f>IFERROR(SUM(Y232:Y240),"0")</f>
        <v>912.60000000000014</v>
      </c>
      <c r="Z242" s="64"/>
      <c r="AA242" s="74"/>
      <c r="AB242" s="74"/>
      <c r="AC242" s="74"/>
    </row>
    <row r="243" spans="1:68" ht="14.25" hidden="1" customHeight="1" x14ac:dyDescent="0.25">
      <c r="A243" s="107" t="s">
        <v>179</v>
      </c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31"/>
      <c r="AB243" s="31"/>
      <c r="AC243" s="31"/>
    </row>
    <row r="244" spans="1:68" ht="27" hidden="1" customHeight="1" x14ac:dyDescent="0.25">
      <c r="A244" s="32" t="s">
        <v>406</v>
      </c>
      <c r="B244" s="32" t="s">
        <v>407</v>
      </c>
      <c r="C244" s="33">
        <v>4301060463</v>
      </c>
      <c r="D244" s="96">
        <v>4680115880818</v>
      </c>
      <c r="E244" s="96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98"/>
      <c r="R244" s="98"/>
      <c r="S244" s="98"/>
      <c r="T244" s="99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hidden="1" customHeight="1" x14ac:dyDescent="0.25">
      <c r="A245" s="32" t="s">
        <v>409</v>
      </c>
      <c r="B245" s="32" t="s">
        <v>410</v>
      </c>
      <c r="C245" s="33">
        <v>4301060389</v>
      </c>
      <c r="D245" s="96">
        <v>4680115880801</v>
      </c>
      <c r="E245" s="96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9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98"/>
      <c r="R245" s="98"/>
      <c r="S245" s="98"/>
      <c r="T245" s="99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hidden="1" x14ac:dyDescent="0.2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2"/>
      <c r="P246" s="93" t="s">
        <v>75</v>
      </c>
      <c r="Q246" s="94"/>
      <c r="R246" s="94"/>
      <c r="S246" s="94"/>
      <c r="T246" s="94"/>
      <c r="U246" s="94"/>
      <c r="V246" s="95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hidden="1" x14ac:dyDescent="0.2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2"/>
      <c r="P247" s="93" t="s">
        <v>75</v>
      </c>
      <c r="Q247" s="94"/>
      <c r="R247" s="94"/>
      <c r="S247" s="94"/>
      <c r="T247" s="94"/>
      <c r="U247" s="94"/>
      <c r="V247" s="95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hidden="1" customHeight="1" x14ac:dyDescent="0.25">
      <c r="A248" s="125" t="s">
        <v>412</v>
      </c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30"/>
      <c r="AB248" s="30"/>
      <c r="AC248" s="30"/>
    </row>
    <row r="249" spans="1:68" ht="14.25" hidden="1" customHeight="1" x14ac:dyDescent="0.25">
      <c r="A249" s="107" t="s">
        <v>115</v>
      </c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31"/>
      <c r="AB249" s="31"/>
      <c r="AC249" s="31"/>
    </row>
    <row r="250" spans="1:68" ht="27" hidden="1" customHeight="1" x14ac:dyDescent="0.25">
      <c r="A250" s="32" t="s">
        <v>413</v>
      </c>
      <c r="B250" s="32" t="s">
        <v>414</v>
      </c>
      <c r="C250" s="33">
        <v>4301011826</v>
      </c>
      <c r="D250" s="96">
        <v>4680115884137</v>
      </c>
      <c r="E250" s="96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9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98"/>
      <c r="R250" s="98"/>
      <c r="S250" s="98"/>
      <c r="T250" s="99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hidden="1" customHeight="1" x14ac:dyDescent="0.25">
      <c r="A251" s="32" t="s">
        <v>416</v>
      </c>
      <c r="B251" s="32" t="s">
        <v>417</v>
      </c>
      <c r="C251" s="33">
        <v>4301011724</v>
      </c>
      <c r="D251" s="96">
        <v>4680115884236</v>
      </c>
      <c r="E251" s="96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98"/>
      <c r="R251" s="98"/>
      <c r="S251" s="98"/>
      <c r="T251" s="99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hidden="1" customHeight="1" x14ac:dyDescent="0.25">
      <c r="A252" s="32" t="s">
        <v>419</v>
      </c>
      <c r="B252" s="32" t="s">
        <v>420</v>
      </c>
      <c r="C252" s="33">
        <v>4301011721</v>
      </c>
      <c r="D252" s="96">
        <v>4680115884175</v>
      </c>
      <c r="E252" s="96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98"/>
      <c r="R252" s="98"/>
      <c r="S252" s="98"/>
      <c r="T252" s="99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hidden="1" customHeight="1" x14ac:dyDescent="0.25">
      <c r="A253" s="32" t="s">
        <v>422</v>
      </c>
      <c r="B253" s="32" t="s">
        <v>423</v>
      </c>
      <c r="C253" s="33">
        <v>4301011824</v>
      </c>
      <c r="D253" s="96">
        <v>4680115884144</v>
      </c>
      <c r="E253" s="96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98"/>
      <c r="R253" s="98"/>
      <c r="S253" s="98"/>
      <c r="T253" s="99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hidden="1" customHeight="1" x14ac:dyDescent="0.25">
      <c r="A254" s="32" t="s">
        <v>424</v>
      </c>
      <c r="B254" s="32" t="s">
        <v>425</v>
      </c>
      <c r="C254" s="33">
        <v>4301012149</v>
      </c>
      <c r="D254" s="96">
        <v>4680115886551</v>
      </c>
      <c r="E254" s="96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9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98"/>
      <c r="R254" s="98"/>
      <c r="S254" s="98"/>
      <c r="T254" s="99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hidden="1" customHeight="1" x14ac:dyDescent="0.25">
      <c r="A255" s="32" t="s">
        <v>427</v>
      </c>
      <c r="B255" s="32" t="s">
        <v>428</v>
      </c>
      <c r="C255" s="33">
        <v>4301012228</v>
      </c>
      <c r="D255" s="96">
        <v>4680115887282</v>
      </c>
      <c r="E255" s="96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98"/>
      <c r="R255" s="98"/>
      <c r="S255" s="98"/>
      <c r="T255" s="99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hidden="1" customHeight="1" x14ac:dyDescent="0.25">
      <c r="A256" s="32" t="s">
        <v>430</v>
      </c>
      <c r="B256" s="32" t="s">
        <v>431</v>
      </c>
      <c r="C256" s="33">
        <v>4301011722</v>
      </c>
      <c r="D256" s="96">
        <v>4680115884205</v>
      </c>
      <c r="E256" s="96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98"/>
      <c r="R256" s="98"/>
      <c r="S256" s="98"/>
      <c r="T256" s="99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hidden="1" x14ac:dyDescent="0.2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2"/>
      <c r="P257" s="93" t="s">
        <v>75</v>
      </c>
      <c r="Q257" s="94"/>
      <c r="R257" s="94"/>
      <c r="S257" s="94"/>
      <c r="T257" s="94"/>
      <c r="U257" s="94"/>
      <c r="V257" s="95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hidden="1" x14ac:dyDescent="0.2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2"/>
      <c r="P258" s="93" t="s">
        <v>75</v>
      </c>
      <c r="Q258" s="94"/>
      <c r="R258" s="94"/>
      <c r="S258" s="94"/>
      <c r="T258" s="94"/>
      <c r="U258" s="94"/>
      <c r="V258" s="95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hidden="1" customHeight="1" x14ac:dyDescent="0.25">
      <c r="A259" s="107" t="s">
        <v>154</v>
      </c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31"/>
      <c r="AB259" s="31"/>
      <c r="AC259" s="31"/>
    </row>
    <row r="260" spans="1:68" ht="27" hidden="1" customHeight="1" x14ac:dyDescent="0.25">
      <c r="A260" s="32" t="s">
        <v>432</v>
      </c>
      <c r="B260" s="32" t="s">
        <v>433</v>
      </c>
      <c r="C260" s="33">
        <v>4301020377</v>
      </c>
      <c r="D260" s="96">
        <v>4680115885981</v>
      </c>
      <c r="E260" s="96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98"/>
      <c r="R260" s="98"/>
      <c r="S260" s="98"/>
      <c r="T260" s="99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hidden="1" x14ac:dyDescent="0.2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2"/>
      <c r="P261" s="93" t="s">
        <v>75</v>
      </c>
      <c r="Q261" s="94"/>
      <c r="R261" s="94"/>
      <c r="S261" s="94"/>
      <c r="T261" s="94"/>
      <c r="U261" s="94"/>
      <c r="V261" s="95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hidden="1" x14ac:dyDescent="0.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2"/>
      <c r="P262" s="93" t="s">
        <v>75</v>
      </c>
      <c r="Q262" s="94"/>
      <c r="R262" s="94"/>
      <c r="S262" s="94"/>
      <c r="T262" s="94"/>
      <c r="U262" s="94"/>
      <c r="V262" s="95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hidden="1" customHeight="1" x14ac:dyDescent="0.25">
      <c r="A263" s="107" t="s">
        <v>435</v>
      </c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31"/>
      <c r="AB263" s="31"/>
      <c r="AC263" s="31"/>
    </row>
    <row r="264" spans="1:68" ht="27" hidden="1" customHeight="1" x14ac:dyDescent="0.25">
      <c r="A264" s="32" t="s">
        <v>436</v>
      </c>
      <c r="B264" s="32" t="s">
        <v>437</v>
      </c>
      <c r="C264" s="33">
        <v>4301040362</v>
      </c>
      <c r="D264" s="96">
        <v>4680115886803</v>
      </c>
      <c r="E264" s="96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98"/>
      <c r="R264" s="98"/>
      <c r="S264" s="98"/>
      <c r="T264" s="99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hidden="1" x14ac:dyDescent="0.2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2"/>
      <c r="P265" s="93" t="s">
        <v>75</v>
      </c>
      <c r="Q265" s="94"/>
      <c r="R265" s="94"/>
      <c r="S265" s="94"/>
      <c r="T265" s="94"/>
      <c r="U265" s="94"/>
      <c r="V265" s="95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hidden="1" x14ac:dyDescent="0.2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2"/>
      <c r="P266" s="93" t="s">
        <v>75</v>
      </c>
      <c r="Q266" s="94"/>
      <c r="R266" s="94"/>
      <c r="S266" s="94"/>
      <c r="T266" s="94"/>
      <c r="U266" s="94"/>
      <c r="V266" s="95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hidden="1" customHeight="1" x14ac:dyDescent="0.25">
      <c r="A267" s="107" t="s">
        <v>439</v>
      </c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31"/>
      <c r="AB267" s="31"/>
      <c r="AC267" s="31"/>
    </row>
    <row r="268" spans="1:68" ht="27" hidden="1" customHeight="1" x14ac:dyDescent="0.25">
      <c r="A268" s="32" t="s">
        <v>440</v>
      </c>
      <c r="B268" s="32" t="s">
        <v>441</v>
      </c>
      <c r="C268" s="33">
        <v>4301041004</v>
      </c>
      <c r="D268" s="96">
        <v>4680115886704</v>
      </c>
      <c r="E268" s="96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98"/>
      <c r="R268" s="98"/>
      <c r="S268" s="98"/>
      <c r="T268" s="99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hidden="1" customHeight="1" x14ac:dyDescent="0.25">
      <c r="A269" s="32" t="s">
        <v>443</v>
      </c>
      <c r="B269" s="32" t="s">
        <v>444</v>
      </c>
      <c r="C269" s="33">
        <v>4301041008</v>
      </c>
      <c r="D269" s="96">
        <v>4680115886681</v>
      </c>
      <c r="E269" s="96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98"/>
      <c r="R269" s="98"/>
      <c r="S269" s="98"/>
      <c r="T269" s="99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hidden="1" customHeight="1" x14ac:dyDescent="0.25">
      <c r="A270" s="32" t="s">
        <v>445</v>
      </c>
      <c r="B270" s="32" t="s">
        <v>446</v>
      </c>
      <c r="C270" s="33">
        <v>4301041007</v>
      </c>
      <c r="D270" s="96">
        <v>4680115886735</v>
      </c>
      <c r="E270" s="96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9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98"/>
      <c r="R270" s="98"/>
      <c r="S270" s="98"/>
      <c r="T270" s="99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hidden="1" customHeight="1" x14ac:dyDescent="0.25">
      <c r="A271" s="32" t="s">
        <v>447</v>
      </c>
      <c r="B271" s="32" t="s">
        <v>448</v>
      </c>
      <c r="C271" s="33">
        <v>4301041006</v>
      </c>
      <c r="D271" s="96">
        <v>4680115886728</v>
      </c>
      <c r="E271" s="96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9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98"/>
      <c r="R271" s="98"/>
      <c r="S271" s="98"/>
      <c r="T271" s="99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hidden="1" customHeight="1" x14ac:dyDescent="0.25">
      <c r="A272" s="32" t="s">
        <v>449</v>
      </c>
      <c r="B272" s="32" t="s">
        <v>450</v>
      </c>
      <c r="C272" s="33">
        <v>4301041005</v>
      </c>
      <c r="D272" s="96">
        <v>4680115886711</v>
      </c>
      <c r="E272" s="96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9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98"/>
      <c r="R272" s="98"/>
      <c r="S272" s="98"/>
      <c r="T272" s="99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hidden="1" x14ac:dyDescent="0.2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2"/>
      <c r="P273" s="93" t="s">
        <v>75</v>
      </c>
      <c r="Q273" s="94"/>
      <c r="R273" s="94"/>
      <c r="S273" s="94"/>
      <c r="T273" s="94"/>
      <c r="U273" s="94"/>
      <c r="V273" s="95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hidden="1" x14ac:dyDescent="0.2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2"/>
      <c r="P274" s="93" t="s">
        <v>75</v>
      </c>
      <c r="Q274" s="94"/>
      <c r="R274" s="94"/>
      <c r="S274" s="94"/>
      <c r="T274" s="94"/>
      <c r="U274" s="94"/>
      <c r="V274" s="95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hidden="1" customHeight="1" x14ac:dyDescent="0.25">
      <c r="A275" s="125" t="s">
        <v>451</v>
      </c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30"/>
      <c r="AB275" s="30"/>
      <c r="AC275" s="30"/>
    </row>
    <row r="276" spans="1:68" ht="14.25" hidden="1" customHeight="1" x14ac:dyDescent="0.25">
      <c r="A276" s="107" t="s">
        <v>115</v>
      </c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31"/>
      <c r="AB276" s="31"/>
      <c r="AC276" s="31"/>
    </row>
    <row r="277" spans="1:68" ht="27" hidden="1" customHeight="1" x14ac:dyDescent="0.25">
      <c r="A277" s="32" t="s">
        <v>452</v>
      </c>
      <c r="B277" s="32" t="s">
        <v>453</v>
      </c>
      <c r="C277" s="33">
        <v>4301011855</v>
      </c>
      <c r="D277" s="96">
        <v>4680115885837</v>
      </c>
      <c r="E277" s="96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98"/>
      <c r="R277" s="98"/>
      <c r="S277" s="98"/>
      <c r="T277" s="99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hidden="1" customHeight="1" x14ac:dyDescent="0.25">
      <c r="A278" s="32" t="s">
        <v>455</v>
      </c>
      <c r="B278" s="32" t="s">
        <v>456</v>
      </c>
      <c r="C278" s="33">
        <v>4301012234</v>
      </c>
      <c r="D278" s="96">
        <v>4680115887237</v>
      </c>
      <c r="E278" s="96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27" t="s">
        <v>457</v>
      </c>
      <c r="Q278" s="98"/>
      <c r="R278" s="98"/>
      <c r="S278" s="98"/>
      <c r="T278" s="99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hidden="1" customHeight="1" x14ac:dyDescent="0.25">
      <c r="A279" s="32" t="s">
        <v>459</v>
      </c>
      <c r="B279" s="32" t="s">
        <v>460</v>
      </c>
      <c r="C279" s="33">
        <v>4301011850</v>
      </c>
      <c r="D279" s="96">
        <v>4680115885806</v>
      </c>
      <c r="E279" s="96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9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98"/>
      <c r="R279" s="98"/>
      <c r="S279" s="98"/>
      <c r="T279" s="99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hidden="1" customHeight="1" x14ac:dyDescent="0.25">
      <c r="A280" s="32" t="s">
        <v>462</v>
      </c>
      <c r="B280" s="32" t="s">
        <v>463</v>
      </c>
      <c r="C280" s="33">
        <v>4301011852</v>
      </c>
      <c r="D280" s="96">
        <v>4680115885844</v>
      </c>
      <c r="E280" s="96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98"/>
      <c r="R280" s="98"/>
      <c r="S280" s="98"/>
      <c r="T280" s="99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hidden="1" customHeight="1" x14ac:dyDescent="0.25">
      <c r="A281" s="32" t="s">
        <v>465</v>
      </c>
      <c r="B281" s="32" t="s">
        <v>466</v>
      </c>
      <c r="C281" s="33">
        <v>4301011851</v>
      </c>
      <c r="D281" s="96">
        <v>4680115885820</v>
      </c>
      <c r="E281" s="96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9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98"/>
      <c r="R281" s="98"/>
      <c r="S281" s="98"/>
      <c r="T281" s="99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hidden="1" x14ac:dyDescent="0.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2"/>
      <c r="P282" s="93" t="s">
        <v>75</v>
      </c>
      <c r="Q282" s="94"/>
      <c r="R282" s="94"/>
      <c r="S282" s="94"/>
      <c r="T282" s="94"/>
      <c r="U282" s="94"/>
      <c r="V282" s="95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hidden="1" x14ac:dyDescent="0.2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2"/>
      <c r="P283" s="93" t="s">
        <v>75</v>
      </c>
      <c r="Q283" s="94"/>
      <c r="R283" s="94"/>
      <c r="S283" s="94"/>
      <c r="T283" s="94"/>
      <c r="U283" s="94"/>
      <c r="V283" s="95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hidden="1" customHeight="1" x14ac:dyDescent="0.25">
      <c r="A284" s="125" t="s">
        <v>468</v>
      </c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30"/>
      <c r="AB284" s="30"/>
      <c r="AC284" s="30"/>
    </row>
    <row r="285" spans="1:68" ht="14.25" hidden="1" customHeight="1" x14ac:dyDescent="0.25">
      <c r="A285" s="107" t="s">
        <v>115</v>
      </c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31"/>
      <c r="AB285" s="31"/>
      <c r="AC285" s="31"/>
    </row>
    <row r="286" spans="1:68" ht="27" hidden="1" customHeight="1" x14ac:dyDescent="0.25">
      <c r="A286" s="32" t="s">
        <v>469</v>
      </c>
      <c r="B286" s="32" t="s">
        <v>470</v>
      </c>
      <c r="C286" s="33">
        <v>4301011223</v>
      </c>
      <c r="D286" s="96">
        <v>4607091383423</v>
      </c>
      <c r="E286" s="96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98"/>
      <c r="R286" s="98"/>
      <c r="S286" s="98"/>
      <c r="T286" s="99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hidden="1" customHeight="1" x14ac:dyDescent="0.25">
      <c r="A287" s="32" t="s">
        <v>471</v>
      </c>
      <c r="B287" s="32" t="s">
        <v>472</v>
      </c>
      <c r="C287" s="33">
        <v>4301012199</v>
      </c>
      <c r="D287" s="96">
        <v>4680115886957</v>
      </c>
      <c r="E287" s="96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98"/>
      <c r="R287" s="98"/>
      <c r="S287" s="98"/>
      <c r="T287" s="99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hidden="1" customHeight="1" x14ac:dyDescent="0.25">
      <c r="A288" s="32" t="s">
        <v>474</v>
      </c>
      <c r="B288" s="32" t="s">
        <v>475</v>
      </c>
      <c r="C288" s="33">
        <v>4301012098</v>
      </c>
      <c r="D288" s="96">
        <v>4680115885660</v>
      </c>
      <c r="E288" s="96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9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98"/>
      <c r="R288" s="98"/>
      <c r="S288" s="98"/>
      <c r="T288" s="99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hidden="1" customHeight="1" x14ac:dyDescent="0.25">
      <c r="A289" s="32" t="s">
        <v>476</v>
      </c>
      <c r="B289" s="32" t="s">
        <v>477</v>
      </c>
      <c r="C289" s="33">
        <v>4301012176</v>
      </c>
      <c r="D289" s="96">
        <v>4680115886773</v>
      </c>
      <c r="E289" s="96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9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98"/>
      <c r="R289" s="98"/>
      <c r="S289" s="98"/>
      <c r="T289" s="99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hidden="1" x14ac:dyDescent="0.2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2"/>
      <c r="P290" s="93" t="s">
        <v>75</v>
      </c>
      <c r="Q290" s="94"/>
      <c r="R290" s="94"/>
      <c r="S290" s="94"/>
      <c r="T290" s="94"/>
      <c r="U290" s="94"/>
      <c r="V290" s="95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hidden="1" x14ac:dyDescent="0.2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2"/>
      <c r="P291" s="93" t="s">
        <v>75</v>
      </c>
      <c r="Q291" s="94"/>
      <c r="R291" s="94"/>
      <c r="S291" s="94"/>
      <c r="T291" s="94"/>
      <c r="U291" s="94"/>
      <c r="V291" s="95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hidden="1" customHeight="1" x14ac:dyDescent="0.25">
      <c r="A292" s="125" t="s">
        <v>479</v>
      </c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30"/>
      <c r="AB292" s="30"/>
      <c r="AC292" s="30"/>
    </row>
    <row r="293" spans="1:68" ht="14.25" hidden="1" customHeight="1" x14ac:dyDescent="0.25">
      <c r="A293" s="107" t="s">
        <v>77</v>
      </c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31"/>
      <c r="AB293" s="31"/>
      <c r="AC293" s="31"/>
    </row>
    <row r="294" spans="1:68" ht="27" hidden="1" customHeight="1" x14ac:dyDescent="0.25">
      <c r="A294" s="32" t="s">
        <v>480</v>
      </c>
      <c r="B294" s="32" t="s">
        <v>481</v>
      </c>
      <c r="C294" s="33">
        <v>4301051893</v>
      </c>
      <c r="D294" s="96">
        <v>4680115886186</v>
      </c>
      <c r="E294" s="96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98"/>
      <c r="R294" s="98"/>
      <c r="S294" s="98"/>
      <c r="T294" s="99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hidden="1" customHeight="1" x14ac:dyDescent="0.25">
      <c r="A295" s="32" t="s">
        <v>483</v>
      </c>
      <c r="B295" s="32" t="s">
        <v>484</v>
      </c>
      <c r="C295" s="33">
        <v>4301051795</v>
      </c>
      <c r="D295" s="96">
        <v>4680115881228</v>
      </c>
      <c r="E295" s="96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9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98"/>
      <c r="R295" s="98"/>
      <c r="S295" s="98"/>
      <c r="T295" s="99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hidden="1" customHeight="1" x14ac:dyDescent="0.25">
      <c r="A296" s="32" t="s">
        <v>486</v>
      </c>
      <c r="B296" s="32" t="s">
        <v>487</v>
      </c>
      <c r="C296" s="33">
        <v>4301051388</v>
      </c>
      <c r="D296" s="96">
        <v>4680115881211</v>
      </c>
      <c r="E296" s="96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9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98"/>
      <c r="R296" s="98"/>
      <c r="S296" s="98"/>
      <c r="T296" s="99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hidden="1" x14ac:dyDescent="0.2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2"/>
      <c r="P297" s="93" t="s">
        <v>75</v>
      </c>
      <c r="Q297" s="94"/>
      <c r="R297" s="94"/>
      <c r="S297" s="94"/>
      <c r="T297" s="94"/>
      <c r="U297" s="94"/>
      <c r="V297" s="95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hidden="1" x14ac:dyDescent="0.2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2"/>
      <c r="P298" s="93" t="s">
        <v>75</v>
      </c>
      <c r="Q298" s="94"/>
      <c r="R298" s="94"/>
      <c r="S298" s="94"/>
      <c r="T298" s="94"/>
      <c r="U298" s="94"/>
      <c r="V298" s="95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hidden="1" customHeight="1" x14ac:dyDescent="0.25">
      <c r="A299" s="125" t="s">
        <v>488</v>
      </c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30"/>
      <c r="AB299" s="30"/>
      <c r="AC299" s="30"/>
    </row>
    <row r="300" spans="1:68" ht="14.25" hidden="1" customHeight="1" x14ac:dyDescent="0.25">
      <c r="A300" s="107" t="s">
        <v>64</v>
      </c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31"/>
      <c r="AB300" s="31"/>
      <c r="AC300" s="31"/>
    </row>
    <row r="301" spans="1:68" ht="27" hidden="1" customHeight="1" x14ac:dyDescent="0.25">
      <c r="A301" s="32" t="s">
        <v>489</v>
      </c>
      <c r="B301" s="32" t="s">
        <v>490</v>
      </c>
      <c r="C301" s="33">
        <v>4301031424</v>
      </c>
      <c r="D301" s="96">
        <v>4680115884700</v>
      </c>
      <c r="E301" s="96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97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98"/>
      <c r="R301" s="98"/>
      <c r="S301" s="98"/>
      <c r="T301" s="99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hidden="1" customHeight="1" x14ac:dyDescent="0.25">
      <c r="A302" s="32" t="s">
        <v>492</v>
      </c>
      <c r="B302" s="32" t="s">
        <v>493</v>
      </c>
      <c r="C302" s="33">
        <v>4301031307</v>
      </c>
      <c r="D302" s="96">
        <v>4680115880344</v>
      </c>
      <c r="E302" s="96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98"/>
      <c r="R302" s="98"/>
      <c r="S302" s="98"/>
      <c r="T302" s="99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hidden="1" customHeight="1" x14ac:dyDescent="0.25">
      <c r="A303" s="32" t="s">
        <v>495</v>
      </c>
      <c r="B303" s="32" t="s">
        <v>496</v>
      </c>
      <c r="C303" s="33">
        <v>4301031429</v>
      </c>
      <c r="D303" s="96">
        <v>4680115886919</v>
      </c>
      <c r="E303" s="96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9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98"/>
      <c r="R303" s="98"/>
      <c r="S303" s="98"/>
      <c r="T303" s="99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hidden="1" x14ac:dyDescent="0.2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2"/>
      <c r="P304" s="93" t="s">
        <v>75</v>
      </c>
      <c r="Q304" s="94"/>
      <c r="R304" s="94"/>
      <c r="S304" s="94"/>
      <c r="T304" s="94"/>
      <c r="U304" s="94"/>
      <c r="V304" s="95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hidden="1" x14ac:dyDescent="0.2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2"/>
      <c r="P305" s="93" t="s">
        <v>75</v>
      </c>
      <c r="Q305" s="94"/>
      <c r="R305" s="94"/>
      <c r="S305" s="94"/>
      <c r="T305" s="94"/>
      <c r="U305" s="94"/>
      <c r="V305" s="95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hidden="1" customHeight="1" x14ac:dyDescent="0.25">
      <c r="A306" s="107" t="s">
        <v>77</v>
      </c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31"/>
      <c r="AB306" s="31"/>
      <c r="AC306" s="31"/>
    </row>
    <row r="307" spans="1:68" ht="37.5" hidden="1" customHeight="1" x14ac:dyDescent="0.25">
      <c r="A307" s="32" t="s">
        <v>498</v>
      </c>
      <c r="B307" s="32" t="s">
        <v>499</v>
      </c>
      <c r="C307" s="33">
        <v>4301051782</v>
      </c>
      <c r="D307" s="96">
        <v>4680115884618</v>
      </c>
      <c r="E307" s="96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98"/>
      <c r="R307" s="98"/>
      <c r="S307" s="98"/>
      <c r="T307" s="99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hidden="1" customHeight="1" x14ac:dyDescent="0.25">
      <c r="A308" s="32" t="s">
        <v>501</v>
      </c>
      <c r="B308" s="32" t="s">
        <v>502</v>
      </c>
      <c r="C308" s="33">
        <v>4301052057</v>
      </c>
      <c r="D308" s="96">
        <v>4680115887114</v>
      </c>
      <c r="E308" s="96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98"/>
      <c r="R308" s="98"/>
      <c r="S308" s="98"/>
      <c r="T308" s="99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hidden="1" x14ac:dyDescent="0.2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2"/>
      <c r="P309" s="93" t="s">
        <v>75</v>
      </c>
      <c r="Q309" s="94"/>
      <c r="R309" s="94"/>
      <c r="S309" s="94"/>
      <c r="T309" s="94"/>
      <c r="U309" s="94"/>
      <c r="V309" s="95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hidden="1" x14ac:dyDescent="0.2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2"/>
      <c r="P310" s="93" t="s">
        <v>75</v>
      </c>
      <c r="Q310" s="94"/>
      <c r="R310" s="94"/>
      <c r="S310" s="94"/>
      <c r="T310" s="94"/>
      <c r="U310" s="94"/>
      <c r="V310" s="95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hidden="1" customHeight="1" x14ac:dyDescent="0.25">
      <c r="A311" s="125" t="s">
        <v>504</v>
      </c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30"/>
      <c r="AB311" s="30"/>
      <c r="AC311" s="30"/>
    </row>
    <row r="312" spans="1:68" ht="14.25" hidden="1" customHeight="1" x14ac:dyDescent="0.25">
      <c r="A312" s="107" t="s">
        <v>115</v>
      </c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31"/>
      <c r="AB312" s="31"/>
      <c r="AC312" s="31"/>
    </row>
    <row r="313" spans="1:68" ht="27" hidden="1" customHeight="1" x14ac:dyDescent="0.25">
      <c r="A313" s="32" t="s">
        <v>505</v>
      </c>
      <c r="B313" s="32" t="s">
        <v>506</v>
      </c>
      <c r="C313" s="33">
        <v>4301012126</v>
      </c>
      <c r="D313" s="96">
        <v>4607091386004</v>
      </c>
      <c r="E313" s="96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9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98"/>
      <c r="R313" s="98"/>
      <c r="S313" s="98"/>
      <c r="T313" s="99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hidden="1" customHeight="1" x14ac:dyDescent="0.25">
      <c r="A314" s="32" t="s">
        <v>508</v>
      </c>
      <c r="B314" s="32" t="s">
        <v>509</v>
      </c>
      <c r="C314" s="33">
        <v>4301012235</v>
      </c>
      <c r="D314" s="96">
        <v>4680115887190</v>
      </c>
      <c r="E314" s="96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27" t="s">
        <v>510</v>
      </c>
      <c r="Q314" s="98"/>
      <c r="R314" s="98"/>
      <c r="S314" s="98"/>
      <c r="T314" s="99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hidden="1" customHeight="1" x14ac:dyDescent="0.25">
      <c r="A315" s="32" t="s">
        <v>512</v>
      </c>
      <c r="B315" s="32" t="s">
        <v>513</v>
      </c>
      <c r="C315" s="33">
        <v>4301012024</v>
      </c>
      <c r="D315" s="96">
        <v>4680115885615</v>
      </c>
      <c r="E315" s="96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9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98"/>
      <c r="R315" s="98"/>
      <c r="S315" s="98"/>
      <c r="T315" s="99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hidden="1" customHeight="1" x14ac:dyDescent="0.25">
      <c r="A316" s="32" t="s">
        <v>515</v>
      </c>
      <c r="B316" s="32" t="s">
        <v>516</v>
      </c>
      <c r="C316" s="33">
        <v>4301012233</v>
      </c>
      <c r="D316" s="96">
        <v>4680115887138</v>
      </c>
      <c r="E316" s="96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27" t="s">
        <v>517</v>
      </c>
      <c r="Q316" s="98"/>
      <c r="R316" s="98"/>
      <c r="S316" s="98"/>
      <c r="T316" s="99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hidden="1" customHeight="1" x14ac:dyDescent="0.25">
      <c r="A317" s="32" t="s">
        <v>519</v>
      </c>
      <c r="B317" s="32" t="s">
        <v>520</v>
      </c>
      <c r="C317" s="33">
        <v>4301012016</v>
      </c>
      <c r="D317" s="96">
        <v>4680115885554</v>
      </c>
      <c r="E317" s="96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9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98"/>
      <c r="R317" s="98"/>
      <c r="S317" s="98"/>
      <c r="T317" s="99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hidden="1" customHeight="1" x14ac:dyDescent="0.25">
      <c r="A318" s="32" t="s">
        <v>522</v>
      </c>
      <c r="B318" s="32" t="s">
        <v>523</v>
      </c>
      <c r="C318" s="33">
        <v>4301012236</v>
      </c>
      <c r="D318" s="96">
        <v>4680115887220</v>
      </c>
      <c r="E318" s="96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27" t="s">
        <v>524</v>
      </c>
      <c r="Q318" s="98"/>
      <c r="R318" s="98"/>
      <c r="S318" s="98"/>
      <c r="T318" s="99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hidden="1" customHeight="1" x14ac:dyDescent="0.25">
      <c r="A319" s="32" t="s">
        <v>525</v>
      </c>
      <c r="B319" s="32" t="s">
        <v>526</v>
      </c>
      <c r="C319" s="33">
        <v>4301011857</v>
      </c>
      <c r="D319" s="96">
        <v>4680115885622</v>
      </c>
      <c r="E319" s="96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98"/>
      <c r="R319" s="98"/>
      <c r="S319" s="98"/>
      <c r="T319" s="99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hidden="1" customHeight="1" x14ac:dyDescent="0.25">
      <c r="A320" s="32" t="s">
        <v>527</v>
      </c>
      <c r="B320" s="32" t="s">
        <v>528</v>
      </c>
      <c r="C320" s="33">
        <v>4301011859</v>
      </c>
      <c r="D320" s="96">
        <v>4680115885608</v>
      </c>
      <c r="E320" s="96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98"/>
      <c r="R320" s="98"/>
      <c r="S320" s="98"/>
      <c r="T320" s="99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hidden="1" x14ac:dyDescent="0.2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2"/>
      <c r="P321" s="93" t="s">
        <v>75</v>
      </c>
      <c r="Q321" s="94"/>
      <c r="R321" s="94"/>
      <c r="S321" s="94"/>
      <c r="T321" s="94"/>
      <c r="U321" s="94"/>
      <c r="V321" s="95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hidden="1" x14ac:dyDescent="0.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2"/>
      <c r="P322" s="93" t="s">
        <v>75</v>
      </c>
      <c r="Q322" s="94"/>
      <c r="R322" s="94"/>
      <c r="S322" s="94"/>
      <c r="T322" s="94"/>
      <c r="U322" s="94"/>
      <c r="V322" s="95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hidden="1" customHeight="1" x14ac:dyDescent="0.25">
      <c r="A323" s="107" t="s">
        <v>64</v>
      </c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31"/>
      <c r="AB323" s="31"/>
      <c r="AC323" s="31"/>
    </row>
    <row r="324" spans="1:68" ht="27" hidden="1" customHeight="1" x14ac:dyDescent="0.25">
      <c r="A324" s="32" t="s">
        <v>530</v>
      </c>
      <c r="B324" s="32" t="s">
        <v>531</v>
      </c>
      <c r="C324" s="33">
        <v>4301030878</v>
      </c>
      <c r="D324" s="96">
        <v>4607091387193</v>
      </c>
      <c r="E324" s="96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98"/>
      <c r="R324" s="98"/>
      <c r="S324" s="98"/>
      <c r="T324" s="99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hidden="1" customHeight="1" x14ac:dyDescent="0.25">
      <c r="A325" s="32" t="s">
        <v>533</v>
      </c>
      <c r="B325" s="32" t="s">
        <v>534</v>
      </c>
      <c r="C325" s="33">
        <v>4301031153</v>
      </c>
      <c r="D325" s="96">
        <v>4607091387230</v>
      </c>
      <c r="E325" s="96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98"/>
      <c r="R325" s="98"/>
      <c r="S325" s="98"/>
      <c r="T325" s="99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hidden="1" customHeight="1" x14ac:dyDescent="0.25">
      <c r="A326" s="32" t="s">
        <v>536</v>
      </c>
      <c r="B326" s="32" t="s">
        <v>537</v>
      </c>
      <c r="C326" s="33">
        <v>4301031154</v>
      </c>
      <c r="D326" s="96">
        <v>4607091387292</v>
      </c>
      <c r="E326" s="96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98"/>
      <c r="R326" s="98"/>
      <c r="S326" s="98"/>
      <c r="T326" s="99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hidden="1" customHeight="1" x14ac:dyDescent="0.25">
      <c r="A327" s="32" t="s">
        <v>539</v>
      </c>
      <c r="B327" s="32" t="s">
        <v>540</v>
      </c>
      <c r="C327" s="33">
        <v>4301031152</v>
      </c>
      <c r="D327" s="96">
        <v>4607091387285</v>
      </c>
      <c r="E327" s="96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98"/>
      <c r="R327" s="98"/>
      <c r="S327" s="98"/>
      <c r="T327" s="99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hidden="1" customHeight="1" x14ac:dyDescent="0.25">
      <c r="A328" s="32" t="s">
        <v>541</v>
      </c>
      <c r="B328" s="32" t="s">
        <v>542</v>
      </c>
      <c r="C328" s="33">
        <v>4301031305</v>
      </c>
      <c r="D328" s="96">
        <v>4607091389845</v>
      </c>
      <c r="E328" s="96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98"/>
      <c r="R328" s="98"/>
      <c r="S328" s="98"/>
      <c r="T328" s="99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hidden="1" customHeight="1" x14ac:dyDescent="0.25">
      <c r="A329" s="32" t="s">
        <v>544</v>
      </c>
      <c r="B329" s="32" t="s">
        <v>545</v>
      </c>
      <c r="C329" s="33">
        <v>4301031460</v>
      </c>
      <c r="D329" s="96">
        <v>4680115887442</v>
      </c>
      <c r="E329" s="96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9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98"/>
      <c r="R329" s="98"/>
      <c r="S329" s="98"/>
      <c r="T329" s="99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hidden="1" customHeight="1" x14ac:dyDescent="0.25">
      <c r="A330" s="32" t="s">
        <v>546</v>
      </c>
      <c r="B330" s="32" t="s">
        <v>547</v>
      </c>
      <c r="C330" s="33">
        <v>4301031066</v>
      </c>
      <c r="D330" s="96">
        <v>4607091383836</v>
      </c>
      <c r="E330" s="96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98"/>
      <c r="R330" s="98"/>
      <c r="S330" s="98"/>
      <c r="T330" s="99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hidden="1" x14ac:dyDescent="0.2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2"/>
      <c r="P331" s="93" t="s">
        <v>75</v>
      </c>
      <c r="Q331" s="94"/>
      <c r="R331" s="94"/>
      <c r="S331" s="94"/>
      <c r="T331" s="94"/>
      <c r="U331" s="94"/>
      <c r="V331" s="95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hidden="1" x14ac:dyDescent="0.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2"/>
      <c r="P332" s="93" t="s">
        <v>75</v>
      </c>
      <c r="Q332" s="94"/>
      <c r="R332" s="94"/>
      <c r="S332" s="94"/>
      <c r="T332" s="94"/>
      <c r="U332" s="94"/>
      <c r="V332" s="95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hidden="1" customHeight="1" x14ac:dyDescent="0.25">
      <c r="A333" s="107" t="s">
        <v>77</v>
      </c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31"/>
      <c r="AB333" s="31"/>
      <c r="AC333" s="31"/>
    </row>
    <row r="334" spans="1:68" ht="27" hidden="1" customHeight="1" x14ac:dyDescent="0.25">
      <c r="A334" s="32" t="s">
        <v>549</v>
      </c>
      <c r="B334" s="32" t="s">
        <v>550</v>
      </c>
      <c r="C334" s="33">
        <v>4301051100</v>
      </c>
      <c r="D334" s="96">
        <v>4607091387766</v>
      </c>
      <c r="E334" s="96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9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98"/>
      <c r="R334" s="98"/>
      <c r="S334" s="98"/>
      <c r="T334" s="99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hidden="1" customHeight="1" x14ac:dyDescent="0.25">
      <c r="A335" s="32" t="s">
        <v>552</v>
      </c>
      <c r="B335" s="32" t="s">
        <v>553</v>
      </c>
      <c r="C335" s="33">
        <v>4301051818</v>
      </c>
      <c r="D335" s="96">
        <v>4607091387957</v>
      </c>
      <c r="E335" s="96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98"/>
      <c r="R335" s="98"/>
      <c r="S335" s="98"/>
      <c r="T335" s="99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hidden="1" customHeight="1" x14ac:dyDescent="0.25">
      <c r="A336" s="32" t="s">
        <v>555</v>
      </c>
      <c r="B336" s="32" t="s">
        <v>556</v>
      </c>
      <c r="C336" s="33">
        <v>4301051819</v>
      </c>
      <c r="D336" s="96">
        <v>4607091387964</v>
      </c>
      <c r="E336" s="96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98"/>
      <c r="R336" s="98"/>
      <c r="S336" s="98"/>
      <c r="T336" s="99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hidden="1" customHeight="1" x14ac:dyDescent="0.25">
      <c r="A337" s="32" t="s">
        <v>558</v>
      </c>
      <c r="B337" s="32" t="s">
        <v>559</v>
      </c>
      <c r="C337" s="33">
        <v>4301051734</v>
      </c>
      <c r="D337" s="96">
        <v>4680115884588</v>
      </c>
      <c r="E337" s="96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98"/>
      <c r="R337" s="98"/>
      <c r="S337" s="98"/>
      <c r="T337" s="99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hidden="1" x14ac:dyDescent="0.2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2"/>
      <c r="P338" s="93" t="s">
        <v>75</v>
      </c>
      <c r="Q338" s="94"/>
      <c r="R338" s="94"/>
      <c r="S338" s="94"/>
      <c r="T338" s="94"/>
      <c r="U338" s="94"/>
      <c r="V338" s="95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hidden="1" x14ac:dyDescent="0.2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2"/>
      <c r="P339" s="93" t="s">
        <v>75</v>
      </c>
      <c r="Q339" s="94"/>
      <c r="R339" s="94"/>
      <c r="S339" s="94"/>
      <c r="T339" s="94"/>
      <c r="U339" s="94"/>
      <c r="V339" s="95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hidden="1" customHeight="1" x14ac:dyDescent="0.25">
      <c r="A340" s="107" t="s">
        <v>179</v>
      </c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31"/>
      <c r="AB340" s="31"/>
      <c r="AC340" s="31"/>
    </row>
    <row r="341" spans="1:68" ht="27" hidden="1" customHeight="1" x14ac:dyDescent="0.25">
      <c r="A341" s="32" t="s">
        <v>561</v>
      </c>
      <c r="B341" s="32" t="s">
        <v>562</v>
      </c>
      <c r="C341" s="33">
        <v>4301060387</v>
      </c>
      <c r="D341" s="96">
        <v>4607091380880</v>
      </c>
      <c r="E341" s="96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9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98"/>
      <c r="R341" s="98"/>
      <c r="S341" s="98"/>
      <c r="T341" s="99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customHeight="1" x14ac:dyDescent="0.25">
      <c r="A342" s="32" t="s">
        <v>564</v>
      </c>
      <c r="B342" s="32" t="s">
        <v>565</v>
      </c>
      <c r="C342" s="33">
        <v>4301060406</v>
      </c>
      <c r="D342" s="96">
        <v>4607091384482</v>
      </c>
      <c r="E342" s="96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98"/>
      <c r="R342" s="98"/>
      <c r="S342" s="98"/>
      <c r="T342" s="99"/>
      <c r="U342" s="61" t="s">
        <v>20</v>
      </c>
      <c r="V342" s="61" t="s">
        <v>20</v>
      </c>
      <c r="W342" s="62" t="s">
        <v>69</v>
      </c>
      <c r="X342" s="63">
        <v>250</v>
      </c>
      <c r="Y342" s="69">
        <f>IFERROR(IF(X342="",0,CEILING((X342/$H342),1)*$H342),"")</f>
        <v>257.39999999999998</v>
      </c>
      <c r="Z342" s="70">
        <f>IFERROR(IF(Y342=0,"",ROUNDUP(Y342/H342,0)*0.01898),"")</f>
        <v>0.62634000000000001</v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265.83333333333331</v>
      </c>
      <c r="BN342" s="76">
        <f>IFERROR(Y342*I342/H342,"0")</f>
        <v>273.702</v>
      </c>
      <c r="BO342" s="76">
        <f>IFERROR(1/J342*(X342/H342),"0")</f>
        <v>0.50080128205128205</v>
      </c>
      <c r="BP342" s="76">
        <f>IFERROR(1/J342*(Y342/H342),"0")</f>
        <v>0.515625</v>
      </c>
    </row>
    <row r="343" spans="1:68" ht="16.5" hidden="1" customHeight="1" x14ac:dyDescent="0.25">
      <c r="A343" s="32" t="s">
        <v>567</v>
      </c>
      <c r="B343" s="32" t="s">
        <v>568</v>
      </c>
      <c r="C343" s="33">
        <v>4301060484</v>
      </c>
      <c r="D343" s="96">
        <v>4607091380897</v>
      </c>
      <c r="E343" s="96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98"/>
      <c r="R343" s="98"/>
      <c r="S343" s="98"/>
      <c r="T343" s="99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x14ac:dyDescent="0.2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2"/>
      <c r="P344" s="93" t="s">
        <v>75</v>
      </c>
      <c r="Q344" s="94"/>
      <c r="R344" s="94"/>
      <c r="S344" s="94"/>
      <c r="T344" s="94"/>
      <c r="U344" s="94"/>
      <c r="V344" s="95"/>
      <c r="W344" s="64" t="s">
        <v>76</v>
      </c>
      <c r="X344" s="65">
        <f>IFERROR(X341/H341,"0")+IFERROR(X342/H342,"0")+IFERROR(X343/H343,"0")</f>
        <v>32.051282051282051</v>
      </c>
      <c r="Y344" s="65">
        <f>IFERROR(Y341/H341,"0")+IFERROR(Y342/H342,"0")+IFERROR(Y343/H343,"0")</f>
        <v>33</v>
      </c>
      <c r="Z344" s="65">
        <f>IFERROR(IF(Z341="",0,Z341),"0")+IFERROR(IF(Z342="",0,Z342),"0")+IFERROR(IF(Z343="",0,Z343),"0")</f>
        <v>0.62634000000000001</v>
      </c>
      <c r="AA344" s="74"/>
      <c r="AB344" s="74"/>
      <c r="AC344" s="74"/>
    </row>
    <row r="345" spans="1:68" x14ac:dyDescent="0.2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2"/>
      <c r="P345" s="93" t="s">
        <v>75</v>
      </c>
      <c r="Q345" s="94"/>
      <c r="R345" s="94"/>
      <c r="S345" s="94"/>
      <c r="T345" s="94"/>
      <c r="U345" s="94"/>
      <c r="V345" s="95"/>
      <c r="W345" s="64" t="s">
        <v>69</v>
      </c>
      <c r="X345" s="65">
        <f>IFERROR(SUM(X341:X343),"0")</f>
        <v>250</v>
      </c>
      <c r="Y345" s="65">
        <f>IFERROR(SUM(Y341:Y343),"0")</f>
        <v>257.39999999999998</v>
      </c>
      <c r="Z345" s="64"/>
      <c r="AA345" s="74"/>
      <c r="AB345" s="74"/>
      <c r="AC345" s="74"/>
    </row>
    <row r="346" spans="1:68" ht="14.25" hidden="1" customHeight="1" x14ac:dyDescent="0.25">
      <c r="A346" s="107" t="s">
        <v>102</v>
      </c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31"/>
      <c r="AB346" s="31"/>
      <c r="AC346" s="31"/>
    </row>
    <row r="347" spans="1:68" ht="27" hidden="1" customHeight="1" x14ac:dyDescent="0.25">
      <c r="A347" s="32" t="s">
        <v>570</v>
      </c>
      <c r="B347" s="32" t="s">
        <v>571</v>
      </c>
      <c r="C347" s="33">
        <v>4301030235</v>
      </c>
      <c r="D347" s="96">
        <v>4607091388381</v>
      </c>
      <c r="E347" s="96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9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98"/>
      <c r="R347" s="98"/>
      <c r="S347" s="98"/>
      <c r="T347" s="99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hidden="1" customHeight="1" x14ac:dyDescent="0.25">
      <c r="A348" s="32" t="s">
        <v>573</v>
      </c>
      <c r="B348" s="32" t="s">
        <v>574</v>
      </c>
      <c r="C348" s="33">
        <v>4301030232</v>
      </c>
      <c r="D348" s="96">
        <v>4607091388374</v>
      </c>
      <c r="E348" s="96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98"/>
      <c r="R348" s="98"/>
      <c r="S348" s="98"/>
      <c r="T348" s="99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hidden="1" customHeight="1" x14ac:dyDescent="0.25">
      <c r="A349" s="32" t="s">
        <v>575</v>
      </c>
      <c r="B349" s="32" t="s">
        <v>576</v>
      </c>
      <c r="C349" s="33">
        <v>4301032015</v>
      </c>
      <c r="D349" s="96">
        <v>4607091383102</v>
      </c>
      <c r="E349" s="96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9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98"/>
      <c r="R349" s="98"/>
      <c r="S349" s="98"/>
      <c r="T349" s="99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hidden="1" customHeight="1" x14ac:dyDescent="0.25">
      <c r="A350" s="32" t="s">
        <v>577</v>
      </c>
      <c r="B350" s="32" t="s">
        <v>578</v>
      </c>
      <c r="C350" s="33">
        <v>4301030233</v>
      </c>
      <c r="D350" s="96">
        <v>4607091388404</v>
      </c>
      <c r="E350" s="96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98"/>
      <c r="R350" s="98"/>
      <c r="S350" s="98"/>
      <c r="T350" s="99"/>
      <c r="U350" s="61" t="s">
        <v>20</v>
      </c>
      <c r="V350" s="61" t="s">
        <v>20</v>
      </c>
      <c r="W350" s="62" t="s">
        <v>69</v>
      </c>
      <c r="X350" s="63">
        <v>0</v>
      </c>
      <c r="Y350" s="69">
        <f>IFERROR(IF(X350="",0,CEILING((X350/$H350),1)*$H350),"")</f>
        <v>0</v>
      </c>
      <c r="Z350" s="70" t="str">
        <f>IFERROR(IF(Y350=0,"",ROUNDUP(Y350/H350,0)*0.00651),"")</f>
        <v/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0</v>
      </c>
      <c r="BN350" s="76">
        <f>IFERROR(Y350*I350/H350,"0")</f>
        <v>0</v>
      </c>
      <c r="BO350" s="76">
        <f>IFERROR(1/J350*(X350/H350),"0")</f>
        <v>0</v>
      </c>
      <c r="BP350" s="76">
        <f>IFERROR(1/J350*(Y350/H350),"0")</f>
        <v>0</v>
      </c>
    </row>
    <row r="351" spans="1:68" hidden="1" x14ac:dyDescent="0.2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2"/>
      <c r="P351" s="93" t="s">
        <v>75</v>
      </c>
      <c r="Q351" s="94"/>
      <c r="R351" s="94"/>
      <c r="S351" s="94"/>
      <c r="T351" s="94"/>
      <c r="U351" s="94"/>
      <c r="V351" s="95"/>
      <c r="W351" s="64" t="s">
        <v>76</v>
      </c>
      <c r="X351" s="65">
        <f>IFERROR(X347/H347,"0")+IFERROR(X348/H348,"0")+IFERROR(X349/H349,"0")+IFERROR(X350/H350,"0")</f>
        <v>0</v>
      </c>
      <c r="Y351" s="65">
        <f>IFERROR(Y347/H347,"0")+IFERROR(Y348/H348,"0")+IFERROR(Y349/H349,"0")+IFERROR(Y350/H350,"0")</f>
        <v>0</v>
      </c>
      <c r="Z351" s="65">
        <f>IFERROR(IF(Z347="",0,Z347),"0")+IFERROR(IF(Z348="",0,Z348),"0")+IFERROR(IF(Z349="",0,Z349),"0")+IFERROR(IF(Z350="",0,Z350),"0")</f>
        <v>0</v>
      </c>
      <c r="AA351" s="74"/>
      <c r="AB351" s="74"/>
      <c r="AC351" s="74"/>
    </row>
    <row r="352" spans="1:68" hidden="1" x14ac:dyDescent="0.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2"/>
      <c r="P352" s="93" t="s">
        <v>75</v>
      </c>
      <c r="Q352" s="94"/>
      <c r="R352" s="94"/>
      <c r="S352" s="94"/>
      <c r="T352" s="94"/>
      <c r="U352" s="94"/>
      <c r="V352" s="95"/>
      <c r="W352" s="64" t="s">
        <v>69</v>
      </c>
      <c r="X352" s="65">
        <f>IFERROR(SUM(X347:X350),"0")</f>
        <v>0</v>
      </c>
      <c r="Y352" s="65">
        <f>IFERROR(SUM(Y347:Y350),"0")</f>
        <v>0</v>
      </c>
      <c r="Z352" s="64"/>
      <c r="AA352" s="74"/>
      <c r="AB352" s="74"/>
      <c r="AC352" s="74"/>
    </row>
    <row r="353" spans="1:68" ht="14.25" hidden="1" customHeight="1" x14ac:dyDescent="0.25">
      <c r="A353" s="107" t="s">
        <v>579</v>
      </c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31"/>
      <c r="AB353" s="31"/>
      <c r="AC353" s="31"/>
    </row>
    <row r="354" spans="1:68" ht="16.5" hidden="1" customHeight="1" x14ac:dyDescent="0.25">
      <c r="A354" s="32" t="s">
        <v>580</v>
      </c>
      <c r="B354" s="32" t="s">
        <v>581</v>
      </c>
      <c r="C354" s="33">
        <v>4301180007</v>
      </c>
      <c r="D354" s="96">
        <v>4680115881808</v>
      </c>
      <c r="E354" s="96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98"/>
      <c r="R354" s="98"/>
      <c r="S354" s="98"/>
      <c r="T354" s="99"/>
      <c r="U354" s="61" t="s">
        <v>20</v>
      </c>
      <c r="V354" s="61" t="s">
        <v>20</v>
      </c>
      <c r="W354" s="62" t="s">
        <v>69</v>
      </c>
      <c r="X354" s="63">
        <v>0</v>
      </c>
      <c r="Y354" s="69">
        <f>IFERROR(IF(X354="",0,CEILING((X354/$H354),1)*$H354),"")</f>
        <v>0</v>
      </c>
      <c r="Z354" s="70" t="str">
        <f>IFERROR(IF(Y354=0,"",ROUNDUP(Y354/H354,0)*0.00474),"")</f>
        <v/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0</v>
      </c>
      <c r="BN354" s="76">
        <f>IFERROR(Y354*I354/H354,"0")</f>
        <v>0</v>
      </c>
      <c r="BO354" s="76">
        <f>IFERROR(1/J354*(X354/H354),"0")</f>
        <v>0</v>
      </c>
      <c r="BP354" s="76">
        <f>IFERROR(1/J354*(Y354/H354),"0")</f>
        <v>0</v>
      </c>
    </row>
    <row r="355" spans="1:68" ht="27" hidden="1" customHeight="1" x14ac:dyDescent="0.25">
      <c r="A355" s="32" t="s">
        <v>584</v>
      </c>
      <c r="B355" s="32" t="s">
        <v>585</v>
      </c>
      <c r="C355" s="33">
        <v>4301180006</v>
      </c>
      <c r="D355" s="96">
        <v>4680115881822</v>
      </c>
      <c r="E355" s="96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98"/>
      <c r="R355" s="98"/>
      <c r="S355" s="98"/>
      <c r="T355" s="99"/>
      <c r="U355" s="61" t="s">
        <v>20</v>
      </c>
      <c r="V355" s="61" t="s">
        <v>20</v>
      </c>
      <c r="W355" s="62" t="s">
        <v>69</v>
      </c>
      <c r="X355" s="63">
        <v>0</v>
      </c>
      <c r="Y355" s="69">
        <f>IFERROR(IF(X355="",0,CEILING((X355/$H355),1)*$H355),"")</f>
        <v>0</v>
      </c>
      <c r="Z355" s="70" t="str">
        <f>IFERROR(IF(Y355=0,"",ROUNDUP(Y355/H355,0)*0.00474),"")</f>
        <v/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0</v>
      </c>
      <c r="BN355" s="76">
        <f>IFERROR(Y355*I355/H355,"0")</f>
        <v>0</v>
      </c>
      <c r="BO355" s="76">
        <f>IFERROR(1/J355*(X355/H355),"0")</f>
        <v>0</v>
      </c>
      <c r="BP355" s="76">
        <f>IFERROR(1/J355*(Y355/H355),"0")</f>
        <v>0</v>
      </c>
    </row>
    <row r="356" spans="1:68" ht="27" hidden="1" customHeight="1" x14ac:dyDescent="0.25">
      <c r="A356" s="32" t="s">
        <v>586</v>
      </c>
      <c r="B356" s="32" t="s">
        <v>587</v>
      </c>
      <c r="C356" s="33">
        <v>4301180001</v>
      </c>
      <c r="D356" s="96">
        <v>4680115880016</v>
      </c>
      <c r="E356" s="96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98"/>
      <c r="R356" s="98"/>
      <c r="S356" s="98"/>
      <c r="T356" s="99"/>
      <c r="U356" s="61" t="s">
        <v>20</v>
      </c>
      <c r="V356" s="61" t="s">
        <v>20</v>
      </c>
      <c r="W356" s="62" t="s">
        <v>69</v>
      </c>
      <c r="X356" s="63">
        <v>0</v>
      </c>
      <c r="Y356" s="69">
        <f>IFERROR(IF(X356="",0,CEILING((X356/$H356),1)*$H356),"")</f>
        <v>0</v>
      </c>
      <c r="Z356" s="70" t="str">
        <f>IFERROR(IF(Y356=0,"",ROUNDUP(Y356/H356,0)*0.00474),"")</f>
        <v/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0</v>
      </c>
      <c r="BN356" s="76">
        <f>IFERROR(Y356*I356/H356,"0")</f>
        <v>0</v>
      </c>
      <c r="BO356" s="76">
        <f>IFERROR(1/J356*(X356/H356),"0")</f>
        <v>0</v>
      </c>
      <c r="BP356" s="76">
        <f>IFERROR(1/J356*(Y356/H356),"0")</f>
        <v>0</v>
      </c>
    </row>
    <row r="357" spans="1:68" hidden="1" x14ac:dyDescent="0.2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2"/>
      <c r="P357" s="93" t="s">
        <v>75</v>
      </c>
      <c r="Q357" s="94"/>
      <c r="R357" s="94"/>
      <c r="S357" s="94"/>
      <c r="T357" s="94"/>
      <c r="U357" s="94"/>
      <c r="V357" s="95"/>
      <c r="W357" s="64" t="s">
        <v>76</v>
      </c>
      <c r="X357" s="65">
        <f>IFERROR(X354/H354,"0")+IFERROR(X355/H355,"0")+IFERROR(X356/H356,"0")</f>
        <v>0</v>
      </c>
      <c r="Y357" s="65">
        <f>IFERROR(Y354/H354,"0")+IFERROR(Y355/H355,"0")+IFERROR(Y356/H356,"0")</f>
        <v>0</v>
      </c>
      <c r="Z357" s="65">
        <f>IFERROR(IF(Z354="",0,Z354),"0")+IFERROR(IF(Z355="",0,Z355),"0")+IFERROR(IF(Z356="",0,Z356),"0")</f>
        <v>0</v>
      </c>
      <c r="AA357" s="74"/>
      <c r="AB357" s="74"/>
      <c r="AC357" s="74"/>
    </row>
    <row r="358" spans="1:68" hidden="1" x14ac:dyDescent="0.2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2"/>
      <c r="P358" s="93" t="s">
        <v>75</v>
      </c>
      <c r="Q358" s="94"/>
      <c r="R358" s="94"/>
      <c r="S358" s="94"/>
      <c r="T358" s="94"/>
      <c r="U358" s="94"/>
      <c r="V358" s="95"/>
      <c r="W358" s="64" t="s">
        <v>69</v>
      </c>
      <c r="X358" s="65">
        <f>IFERROR(SUM(X354:X356),"0")</f>
        <v>0</v>
      </c>
      <c r="Y358" s="65">
        <f>IFERROR(SUM(Y354:Y356),"0")</f>
        <v>0</v>
      </c>
      <c r="Z358" s="64"/>
      <c r="AA358" s="74"/>
      <c r="AB358" s="74"/>
      <c r="AC358" s="74"/>
    </row>
    <row r="359" spans="1:68" ht="16.5" hidden="1" customHeight="1" x14ac:dyDescent="0.25">
      <c r="A359" s="125" t="s">
        <v>588</v>
      </c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30"/>
      <c r="AB359" s="30"/>
      <c r="AC359" s="30"/>
    </row>
    <row r="360" spans="1:68" ht="14.25" hidden="1" customHeight="1" x14ac:dyDescent="0.25">
      <c r="A360" s="107" t="s">
        <v>77</v>
      </c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31"/>
      <c r="AB360" s="31"/>
      <c r="AC360" s="31"/>
    </row>
    <row r="361" spans="1:68" ht="27" hidden="1" customHeight="1" x14ac:dyDescent="0.25">
      <c r="A361" s="32" t="s">
        <v>589</v>
      </c>
      <c r="B361" s="32" t="s">
        <v>590</v>
      </c>
      <c r="C361" s="33">
        <v>4301051489</v>
      </c>
      <c r="D361" s="96">
        <v>4607091387919</v>
      </c>
      <c r="E361" s="96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98"/>
      <c r="R361" s="98"/>
      <c r="S361" s="98"/>
      <c r="T361" s="99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96">
        <v>4680115883604</v>
      </c>
      <c r="E362" s="96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98"/>
      <c r="R362" s="98"/>
      <c r="S362" s="98"/>
      <c r="T362" s="99"/>
      <c r="U362" s="61" t="s">
        <v>20</v>
      </c>
      <c r="V362" s="61" t="s">
        <v>20</v>
      </c>
      <c r="W362" s="62" t="s">
        <v>69</v>
      </c>
      <c r="X362" s="63">
        <v>50</v>
      </c>
      <c r="Y362" s="69">
        <f>IFERROR(IF(X362="",0,CEILING((X362/$H362),1)*$H362),"")</f>
        <v>50.400000000000006</v>
      </c>
      <c r="Z362" s="70">
        <f>IFERROR(IF(Y362=0,"",ROUNDUP(Y362/H362,0)*0.00651),"")</f>
        <v>0.15623999999999999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55.999999999999993</v>
      </c>
      <c r="BN362" s="76">
        <f>IFERROR(Y362*I362/H362,"0")</f>
        <v>56.448</v>
      </c>
      <c r="BO362" s="76">
        <f>IFERROR(1/J362*(X362/H362),"0")</f>
        <v>0.13082155939298798</v>
      </c>
      <c r="BP362" s="76">
        <f>IFERROR(1/J362*(Y362/H362),"0")</f>
        <v>0.13186813186813187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96">
        <v>4680115883567</v>
      </c>
      <c r="E363" s="96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98"/>
      <c r="R363" s="98"/>
      <c r="S363" s="98"/>
      <c r="T363" s="99"/>
      <c r="U363" s="61" t="s">
        <v>20</v>
      </c>
      <c r="V363" s="61" t="s">
        <v>20</v>
      </c>
      <c r="W363" s="62" t="s">
        <v>69</v>
      </c>
      <c r="X363" s="63">
        <v>50</v>
      </c>
      <c r="Y363" s="69">
        <f>IFERROR(IF(X363="",0,CEILING((X363/$H363),1)*$H363),"")</f>
        <v>50.400000000000006</v>
      </c>
      <c r="Z363" s="70">
        <f>IFERROR(IF(Y363=0,"",ROUNDUP(Y363/H363,0)*0.00651),"")</f>
        <v>0.15623999999999999</v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55.714285714285715</v>
      </c>
      <c r="BN363" s="76">
        <f>IFERROR(Y363*I363/H363,"0")</f>
        <v>56.160000000000004</v>
      </c>
      <c r="BO363" s="76">
        <f>IFERROR(1/J363*(X363/H363),"0")</f>
        <v>0.13082155939298798</v>
      </c>
      <c r="BP363" s="76">
        <f>IFERROR(1/J363*(Y363/H363),"0")</f>
        <v>0.13186813186813187</v>
      </c>
    </row>
    <row r="364" spans="1:68" x14ac:dyDescent="0.2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2"/>
      <c r="P364" s="93" t="s">
        <v>75</v>
      </c>
      <c r="Q364" s="94"/>
      <c r="R364" s="94"/>
      <c r="S364" s="94"/>
      <c r="T364" s="94"/>
      <c r="U364" s="94"/>
      <c r="V364" s="95"/>
      <c r="W364" s="64" t="s">
        <v>76</v>
      </c>
      <c r="X364" s="65">
        <f>IFERROR(X361/H361,"0")+IFERROR(X362/H362,"0")+IFERROR(X363/H363,"0")</f>
        <v>47.61904761904762</v>
      </c>
      <c r="Y364" s="65">
        <f>IFERROR(Y361/H361,"0")+IFERROR(Y362/H362,"0")+IFERROR(Y363/H363,"0")</f>
        <v>48</v>
      </c>
      <c r="Z364" s="65">
        <f>IFERROR(IF(Z361="",0,Z361),"0")+IFERROR(IF(Z362="",0,Z362),"0")+IFERROR(IF(Z363="",0,Z363),"0")</f>
        <v>0.31247999999999998</v>
      </c>
      <c r="AA364" s="74"/>
      <c r="AB364" s="74"/>
      <c r="AC364" s="74"/>
    </row>
    <row r="365" spans="1:68" x14ac:dyDescent="0.2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2"/>
      <c r="P365" s="93" t="s">
        <v>75</v>
      </c>
      <c r="Q365" s="94"/>
      <c r="R365" s="94"/>
      <c r="S365" s="94"/>
      <c r="T365" s="94"/>
      <c r="U365" s="94"/>
      <c r="V365" s="95"/>
      <c r="W365" s="64" t="s">
        <v>69</v>
      </c>
      <c r="X365" s="65">
        <f>IFERROR(SUM(X361:X363),"0")</f>
        <v>100</v>
      </c>
      <c r="Y365" s="65">
        <f>IFERROR(SUM(Y361:Y363),"0")</f>
        <v>100.80000000000001</v>
      </c>
      <c r="Z365" s="64"/>
      <c r="AA365" s="74"/>
      <c r="AB365" s="74"/>
      <c r="AC365" s="74"/>
    </row>
    <row r="366" spans="1:68" ht="27.75" hidden="1" customHeight="1" x14ac:dyDescent="0.2">
      <c r="A366" s="126" t="s">
        <v>598</v>
      </c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68"/>
      <c r="AB366" s="68"/>
      <c r="AC366" s="68"/>
    </row>
    <row r="367" spans="1:68" ht="16.5" hidden="1" customHeight="1" x14ac:dyDescent="0.25">
      <c r="A367" s="125" t="s">
        <v>599</v>
      </c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30"/>
      <c r="AB367" s="30"/>
      <c r="AC367" s="30"/>
    </row>
    <row r="368" spans="1:68" ht="14.25" hidden="1" customHeight="1" x14ac:dyDescent="0.25">
      <c r="A368" s="107" t="s">
        <v>115</v>
      </c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31"/>
      <c r="AB368" s="31"/>
      <c r="AC368" s="31"/>
    </row>
    <row r="369" spans="1:68" ht="37.5" hidden="1" customHeight="1" x14ac:dyDescent="0.25">
      <c r="A369" s="32" t="s">
        <v>600</v>
      </c>
      <c r="B369" s="32" t="s">
        <v>601</v>
      </c>
      <c r="C369" s="33">
        <v>4301011869</v>
      </c>
      <c r="D369" s="96">
        <v>4680115884847</v>
      </c>
      <c r="E369" s="96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98"/>
      <c r="R369" s="98"/>
      <c r="S369" s="98"/>
      <c r="T369" s="99"/>
      <c r="U369" s="61" t="s">
        <v>20</v>
      </c>
      <c r="V369" s="61" t="s">
        <v>20</v>
      </c>
      <c r="W369" s="62" t="s">
        <v>69</v>
      </c>
      <c r="X369" s="63">
        <v>0</v>
      </c>
      <c r="Y369" s="69">
        <f t="shared" ref="Y369:Y375" si="47">IFERROR(IF(X369="",0,CEILING((X369/$H369),1)*$H369),"")</f>
        <v>0</v>
      </c>
      <c r="Z369" s="70" t="str">
        <f>IFERROR(IF(Y369=0,"",ROUNDUP(Y369/H369,0)*0.02175),"")</f>
        <v/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0</v>
      </c>
      <c r="BN369" s="76">
        <f t="shared" ref="BN369:BN375" si="49">IFERROR(Y369*I369/H369,"0")</f>
        <v>0</v>
      </c>
      <c r="BO369" s="76">
        <f t="shared" ref="BO369:BO375" si="50">IFERROR(1/J369*(X369/H369),"0")</f>
        <v>0</v>
      </c>
      <c r="BP369" s="76">
        <f t="shared" ref="BP369:BP375" si="51">IFERROR(1/J369*(Y369/H369),"0")</f>
        <v>0</v>
      </c>
    </row>
    <row r="370" spans="1:68" ht="27" customHeight="1" x14ac:dyDescent="0.25">
      <c r="A370" s="32" t="s">
        <v>603</v>
      </c>
      <c r="B370" s="32" t="s">
        <v>604</v>
      </c>
      <c r="C370" s="33">
        <v>4301012083</v>
      </c>
      <c r="D370" s="96">
        <v>4680115884854</v>
      </c>
      <c r="E370" s="96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98"/>
      <c r="R370" s="98"/>
      <c r="S370" s="98"/>
      <c r="T370" s="99"/>
      <c r="U370" s="61" t="s">
        <v>20</v>
      </c>
      <c r="V370" s="61" t="s">
        <v>20</v>
      </c>
      <c r="W370" s="62" t="s">
        <v>69</v>
      </c>
      <c r="X370" s="63">
        <v>150</v>
      </c>
      <c r="Y370" s="69">
        <f t="shared" si="47"/>
        <v>150</v>
      </c>
      <c r="Z370" s="70">
        <f>IFERROR(IF(Y370=0,"",ROUNDUP(Y370/H370,0)*0.02175),"")</f>
        <v>0.21749999999999997</v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154.69999999999999</v>
      </c>
      <c r="BN370" s="76">
        <f t="shared" si="49"/>
        <v>154.69999999999999</v>
      </c>
      <c r="BO370" s="76">
        <f t="shared" si="50"/>
        <v>0.20833333333333331</v>
      </c>
      <c r="BP370" s="76">
        <f t="shared" si="51"/>
        <v>0.20833333333333331</v>
      </c>
    </row>
    <row r="371" spans="1:68" ht="27" hidden="1" customHeight="1" x14ac:dyDescent="0.25">
      <c r="A371" s="32" t="s">
        <v>606</v>
      </c>
      <c r="B371" s="32" t="s">
        <v>607</v>
      </c>
      <c r="C371" s="33">
        <v>4301012215</v>
      </c>
      <c r="D371" s="96">
        <v>4680115887046</v>
      </c>
      <c r="E371" s="96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98"/>
      <c r="R371" s="98"/>
      <c r="S371" s="98"/>
      <c r="T371" s="99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customHeight="1" x14ac:dyDescent="0.25">
      <c r="A372" s="32" t="s">
        <v>609</v>
      </c>
      <c r="B372" s="32" t="s">
        <v>610</v>
      </c>
      <c r="C372" s="33">
        <v>4301011867</v>
      </c>
      <c r="D372" s="96">
        <v>4680115884830</v>
      </c>
      <c r="E372" s="96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9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98"/>
      <c r="R372" s="98"/>
      <c r="S372" s="98"/>
      <c r="T372" s="99"/>
      <c r="U372" s="61" t="s">
        <v>20</v>
      </c>
      <c r="V372" s="61" t="s">
        <v>20</v>
      </c>
      <c r="W372" s="62" t="s">
        <v>69</v>
      </c>
      <c r="X372" s="63">
        <v>700</v>
      </c>
      <c r="Y372" s="69">
        <f t="shared" si="47"/>
        <v>705</v>
      </c>
      <c r="Z372" s="70">
        <f>IFERROR(IF(Y372=0,"",ROUNDUP(Y372/H372,0)*0.02175),"")</f>
        <v>1.0222499999999999</v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721.93333333333328</v>
      </c>
      <c r="BN372" s="76">
        <f t="shared" si="49"/>
        <v>727.09</v>
      </c>
      <c r="BO372" s="76">
        <f t="shared" si="50"/>
        <v>0.9722222222222221</v>
      </c>
      <c r="BP372" s="76">
        <f t="shared" si="51"/>
        <v>0.97916666666666663</v>
      </c>
    </row>
    <row r="373" spans="1:68" ht="27" hidden="1" customHeight="1" x14ac:dyDescent="0.25">
      <c r="A373" s="32" t="s">
        <v>612</v>
      </c>
      <c r="B373" s="32" t="s">
        <v>613</v>
      </c>
      <c r="C373" s="33">
        <v>4301011433</v>
      </c>
      <c r="D373" s="96">
        <v>4680115882638</v>
      </c>
      <c r="E373" s="96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98"/>
      <c r="R373" s="98"/>
      <c r="S373" s="98"/>
      <c r="T373" s="99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hidden="1" customHeight="1" x14ac:dyDescent="0.25">
      <c r="A374" s="32" t="s">
        <v>615</v>
      </c>
      <c r="B374" s="32" t="s">
        <v>616</v>
      </c>
      <c r="C374" s="33">
        <v>4301011952</v>
      </c>
      <c r="D374" s="96">
        <v>4680115884922</v>
      </c>
      <c r="E374" s="96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9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98"/>
      <c r="R374" s="98"/>
      <c r="S374" s="98"/>
      <c r="T374" s="99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hidden="1" customHeight="1" x14ac:dyDescent="0.25">
      <c r="A375" s="32" t="s">
        <v>618</v>
      </c>
      <c r="B375" s="32" t="s">
        <v>619</v>
      </c>
      <c r="C375" s="33">
        <v>4301011868</v>
      </c>
      <c r="D375" s="96">
        <v>4680115884861</v>
      </c>
      <c r="E375" s="96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98"/>
      <c r="R375" s="98"/>
      <c r="S375" s="98"/>
      <c r="T375" s="99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2"/>
      <c r="P376" s="93" t="s">
        <v>75</v>
      </c>
      <c r="Q376" s="94"/>
      <c r="R376" s="94"/>
      <c r="S376" s="94"/>
      <c r="T376" s="94"/>
      <c r="U376" s="94"/>
      <c r="V376" s="95"/>
      <c r="W376" s="64" t="s">
        <v>76</v>
      </c>
      <c r="X376" s="65">
        <f>IFERROR(X369/H369,"0")+IFERROR(X370/H370,"0")+IFERROR(X371/H371,"0")+IFERROR(X372/H372,"0")+IFERROR(X373/H373,"0")+IFERROR(X374/H374,"0")+IFERROR(X375/H375,"0")</f>
        <v>56.666666666666664</v>
      </c>
      <c r="Y376" s="65">
        <f>IFERROR(Y369/H369,"0")+IFERROR(Y370/H370,"0")+IFERROR(Y371/H371,"0")+IFERROR(Y372/H372,"0")+IFERROR(Y373/H373,"0")+IFERROR(Y374/H374,"0")+IFERROR(Y375/H375,"0")</f>
        <v>57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1.2397499999999999</v>
      </c>
      <c r="AA376" s="74"/>
      <c r="AB376" s="74"/>
      <c r="AC376" s="74"/>
    </row>
    <row r="377" spans="1:68" x14ac:dyDescent="0.2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2"/>
      <c r="P377" s="93" t="s">
        <v>75</v>
      </c>
      <c r="Q377" s="94"/>
      <c r="R377" s="94"/>
      <c r="S377" s="94"/>
      <c r="T377" s="94"/>
      <c r="U377" s="94"/>
      <c r="V377" s="95"/>
      <c r="W377" s="64" t="s">
        <v>69</v>
      </c>
      <c r="X377" s="65">
        <f>IFERROR(SUM(X369:X375),"0")</f>
        <v>850</v>
      </c>
      <c r="Y377" s="65">
        <f>IFERROR(SUM(Y369:Y375),"0")</f>
        <v>855</v>
      </c>
      <c r="Z377" s="64"/>
      <c r="AA377" s="74"/>
      <c r="AB377" s="74"/>
      <c r="AC377" s="74"/>
    </row>
    <row r="378" spans="1:68" ht="14.25" hidden="1" customHeight="1" x14ac:dyDescent="0.25">
      <c r="A378" s="107" t="s">
        <v>154</v>
      </c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96">
        <v>4607091383980</v>
      </c>
      <c r="E379" s="96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98"/>
      <c r="R379" s="98"/>
      <c r="S379" s="98"/>
      <c r="T379" s="99"/>
      <c r="U379" s="61" t="s">
        <v>20</v>
      </c>
      <c r="V379" s="61" t="s">
        <v>20</v>
      </c>
      <c r="W379" s="62" t="s">
        <v>69</v>
      </c>
      <c r="X379" s="63">
        <v>700</v>
      </c>
      <c r="Y379" s="69">
        <f>IFERROR(IF(X379="",0,CEILING((X379/$H379),1)*$H379),"")</f>
        <v>705</v>
      </c>
      <c r="Z379" s="70">
        <f>IFERROR(IF(Y379=0,"",ROUNDUP(Y379/H379,0)*0.02175),"")</f>
        <v>1.0222499999999999</v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721.93333333333328</v>
      </c>
      <c r="BN379" s="76">
        <f>IFERROR(Y379*I379/H379,"0")</f>
        <v>727.09</v>
      </c>
      <c r="BO379" s="76">
        <f>IFERROR(1/J379*(X379/H379),"0")</f>
        <v>0.9722222222222221</v>
      </c>
      <c r="BP379" s="76">
        <f>IFERROR(1/J379*(Y379/H379),"0")</f>
        <v>0.97916666666666663</v>
      </c>
    </row>
    <row r="380" spans="1:68" ht="27" hidden="1" customHeight="1" x14ac:dyDescent="0.25">
      <c r="A380" s="32" t="s">
        <v>623</v>
      </c>
      <c r="B380" s="32" t="s">
        <v>624</v>
      </c>
      <c r="C380" s="33">
        <v>4301020179</v>
      </c>
      <c r="D380" s="96">
        <v>4607091384178</v>
      </c>
      <c r="E380" s="96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98"/>
      <c r="R380" s="98"/>
      <c r="S380" s="98"/>
      <c r="T380" s="99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2"/>
      <c r="P381" s="93" t="s">
        <v>75</v>
      </c>
      <c r="Q381" s="94"/>
      <c r="R381" s="94"/>
      <c r="S381" s="94"/>
      <c r="T381" s="94"/>
      <c r="U381" s="94"/>
      <c r="V381" s="95"/>
      <c r="W381" s="64" t="s">
        <v>76</v>
      </c>
      <c r="X381" s="65">
        <f>IFERROR(X379/H379,"0")+IFERROR(X380/H380,"0")</f>
        <v>46.666666666666664</v>
      </c>
      <c r="Y381" s="65">
        <f>IFERROR(Y379/H379,"0")+IFERROR(Y380/H380,"0")</f>
        <v>47</v>
      </c>
      <c r="Z381" s="65">
        <f>IFERROR(IF(Z379="",0,Z379),"0")+IFERROR(IF(Z380="",0,Z380),"0")</f>
        <v>1.0222499999999999</v>
      </c>
      <c r="AA381" s="74"/>
      <c r="AB381" s="74"/>
      <c r="AC381" s="74"/>
    </row>
    <row r="382" spans="1:68" x14ac:dyDescent="0.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2"/>
      <c r="P382" s="93" t="s">
        <v>75</v>
      </c>
      <c r="Q382" s="94"/>
      <c r="R382" s="94"/>
      <c r="S382" s="94"/>
      <c r="T382" s="94"/>
      <c r="U382" s="94"/>
      <c r="V382" s="95"/>
      <c r="W382" s="64" t="s">
        <v>69</v>
      </c>
      <c r="X382" s="65">
        <f>IFERROR(SUM(X379:X380),"0")</f>
        <v>700</v>
      </c>
      <c r="Y382" s="65">
        <f>IFERROR(SUM(Y379:Y380),"0")</f>
        <v>705</v>
      </c>
      <c r="Z382" s="64"/>
      <c r="AA382" s="74"/>
      <c r="AB382" s="74"/>
      <c r="AC382" s="74"/>
    </row>
    <row r="383" spans="1:68" ht="14.25" hidden="1" customHeight="1" x14ac:dyDescent="0.25">
      <c r="A383" s="107" t="s">
        <v>77</v>
      </c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31"/>
      <c r="AB383" s="31"/>
      <c r="AC383" s="31"/>
    </row>
    <row r="384" spans="1:68" ht="27" customHeight="1" x14ac:dyDescent="0.25">
      <c r="A384" s="32" t="s">
        <v>626</v>
      </c>
      <c r="B384" s="32" t="s">
        <v>627</v>
      </c>
      <c r="C384" s="33">
        <v>4301051903</v>
      </c>
      <c r="D384" s="96">
        <v>4607091383928</v>
      </c>
      <c r="E384" s="96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98"/>
      <c r="R384" s="98"/>
      <c r="S384" s="98"/>
      <c r="T384" s="99"/>
      <c r="U384" s="61" t="s">
        <v>20</v>
      </c>
      <c r="V384" s="61" t="s">
        <v>20</v>
      </c>
      <c r="W384" s="62" t="s">
        <v>69</v>
      </c>
      <c r="X384" s="63">
        <v>100</v>
      </c>
      <c r="Y384" s="69">
        <f>IFERROR(IF(X384="",0,CEILING((X384/$H384),1)*$H384),"")</f>
        <v>108</v>
      </c>
      <c r="Z384" s="70">
        <f>IFERROR(IF(Y384=0,"",ROUNDUP(Y384/H384,0)*0.01898),"")</f>
        <v>0.22776000000000002</v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105.55555555555556</v>
      </c>
      <c r="BN384" s="76">
        <f>IFERROR(Y384*I384/H384,"0")</f>
        <v>114</v>
      </c>
      <c r="BO384" s="76">
        <f>IFERROR(1/J384*(X384/H384),"0")</f>
        <v>0.1736111111111111</v>
      </c>
      <c r="BP384" s="76">
        <f>IFERROR(1/J384*(Y384/H384),"0")</f>
        <v>0.1875</v>
      </c>
    </row>
    <row r="385" spans="1:68" ht="27" customHeight="1" x14ac:dyDescent="0.25">
      <c r="A385" s="32" t="s">
        <v>629</v>
      </c>
      <c r="B385" s="32" t="s">
        <v>630</v>
      </c>
      <c r="C385" s="33">
        <v>4301051897</v>
      </c>
      <c r="D385" s="96">
        <v>4607091384260</v>
      </c>
      <c r="E385" s="96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98"/>
      <c r="R385" s="98"/>
      <c r="S385" s="98"/>
      <c r="T385" s="99"/>
      <c r="U385" s="61" t="s">
        <v>20</v>
      </c>
      <c r="V385" s="61" t="s">
        <v>20</v>
      </c>
      <c r="W385" s="62" t="s">
        <v>69</v>
      </c>
      <c r="X385" s="63">
        <v>100</v>
      </c>
      <c r="Y385" s="69">
        <f>IFERROR(IF(X385="",0,CEILING((X385/$H385),1)*$H385),"")</f>
        <v>108</v>
      </c>
      <c r="Z385" s="70">
        <f>IFERROR(IF(Y385=0,"",ROUNDUP(Y385/H385,0)*0.01898),"")</f>
        <v>0.22776000000000002</v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105.48888888888888</v>
      </c>
      <c r="BN385" s="76">
        <f>IFERROR(Y385*I385/H385,"0")</f>
        <v>113.92799999999998</v>
      </c>
      <c r="BO385" s="76">
        <f>IFERROR(1/J385*(X385/H385),"0")</f>
        <v>0.1736111111111111</v>
      </c>
      <c r="BP385" s="76">
        <f>IFERROR(1/J385*(Y385/H385),"0")</f>
        <v>0.1875</v>
      </c>
    </row>
    <row r="386" spans="1:68" x14ac:dyDescent="0.2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2"/>
      <c r="P386" s="93" t="s">
        <v>75</v>
      </c>
      <c r="Q386" s="94"/>
      <c r="R386" s="94"/>
      <c r="S386" s="94"/>
      <c r="T386" s="94"/>
      <c r="U386" s="94"/>
      <c r="V386" s="95"/>
      <c r="W386" s="64" t="s">
        <v>76</v>
      </c>
      <c r="X386" s="65">
        <f>IFERROR(X384/H384,"0")+IFERROR(X385/H385,"0")</f>
        <v>22.222222222222221</v>
      </c>
      <c r="Y386" s="65">
        <f>IFERROR(Y384/H384,"0")+IFERROR(Y385/H385,"0")</f>
        <v>24</v>
      </c>
      <c r="Z386" s="65">
        <f>IFERROR(IF(Z384="",0,Z384),"0")+IFERROR(IF(Z385="",0,Z385),"0")</f>
        <v>0.45552000000000004</v>
      </c>
      <c r="AA386" s="74"/>
      <c r="AB386" s="74"/>
      <c r="AC386" s="74"/>
    </row>
    <row r="387" spans="1:68" x14ac:dyDescent="0.2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2"/>
      <c r="P387" s="93" t="s">
        <v>75</v>
      </c>
      <c r="Q387" s="94"/>
      <c r="R387" s="94"/>
      <c r="S387" s="94"/>
      <c r="T387" s="94"/>
      <c r="U387" s="94"/>
      <c r="V387" s="95"/>
      <c r="W387" s="64" t="s">
        <v>69</v>
      </c>
      <c r="X387" s="65">
        <f>IFERROR(SUM(X384:X385),"0")</f>
        <v>200</v>
      </c>
      <c r="Y387" s="65">
        <f>IFERROR(SUM(Y384:Y385),"0")</f>
        <v>216</v>
      </c>
      <c r="Z387" s="64"/>
      <c r="AA387" s="74"/>
      <c r="AB387" s="74"/>
      <c r="AC387" s="74"/>
    </row>
    <row r="388" spans="1:68" ht="14.25" hidden="1" customHeight="1" x14ac:dyDescent="0.25">
      <c r="A388" s="107" t="s">
        <v>179</v>
      </c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31"/>
      <c r="AB388" s="31"/>
      <c r="AC388" s="31"/>
    </row>
    <row r="389" spans="1:68" ht="16.5" hidden="1" customHeight="1" x14ac:dyDescent="0.25">
      <c r="A389" s="32" t="s">
        <v>632</v>
      </c>
      <c r="B389" s="32" t="s">
        <v>633</v>
      </c>
      <c r="C389" s="33">
        <v>4301060524</v>
      </c>
      <c r="D389" s="96">
        <v>4607091384673</v>
      </c>
      <c r="E389" s="96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98"/>
      <c r="R389" s="98"/>
      <c r="S389" s="98"/>
      <c r="T389" s="99"/>
      <c r="U389" s="61" t="s">
        <v>20</v>
      </c>
      <c r="V389" s="61" t="s">
        <v>20</v>
      </c>
      <c r="W389" s="62" t="s">
        <v>69</v>
      </c>
      <c r="X389" s="63">
        <v>0</v>
      </c>
      <c r="Y389" s="69">
        <f>IFERROR(IF(X389="",0,CEILING((X389/$H389),1)*$H389),"")</f>
        <v>0</v>
      </c>
      <c r="Z389" s="70" t="str">
        <f>IFERROR(IF(Y389=0,"",ROUNDUP(Y389/H389,0)*0.01898),"")</f>
        <v/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0</v>
      </c>
      <c r="BN389" s="76">
        <f>IFERROR(Y389*I389/H389,"0")</f>
        <v>0</v>
      </c>
      <c r="BO389" s="76">
        <f>IFERROR(1/J389*(X389/H389),"0")</f>
        <v>0</v>
      </c>
      <c r="BP389" s="76">
        <f>IFERROR(1/J389*(Y389/H389),"0")</f>
        <v>0</v>
      </c>
    </row>
    <row r="390" spans="1:68" hidden="1" x14ac:dyDescent="0.2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2"/>
      <c r="P390" s="93" t="s">
        <v>75</v>
      </c>
      <c r="Q390" s="94"/>
      <c r="R390" s="94"/>
      <c r="S390" s="94"/>
      <c r="T390" s="94"/>
      <c r="U390" s="94"/>
      <c r="V390" s="95"/>
      <c r="W390" s="64" t="s">
        <v>76</v>
      </c>
      <c r="X390" s="65">
        <f>IFERROR(X389/H389,"0")</f>
        <v>0</v>
      </c>
      <c r="Y390" s="65">
        <f>IFERROR(Y389/H389,"0")</f>
        <v>0</v>
      </c>
      <c r="Z390" s="65">
        <f>IFERROR(IF(Z389="",0,Z389),"0")</f>
        <v>0</v>
      </c>
      <c r="AA390" s="74"/>
      <c r="AB390" s="74"/>
      <c r="AC390" s="74"/>
    </row>
    <row r="391" spans="1:68" hidden="1" x14ac:dyDescent="0.2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2"/>
      <c r="P391" s="93" t="s">
        <v>75</v>
      </c>
      <c r="Q391" s="94"/>
      <c r="R391" s="94"/>
      <c r="S391" s="94"/>
      <c r="T391" s="94"/>
      <c r="U391" s="94"/>
      <c r="V391" s="95"/>
      <c r="W391" s="64" t="s">
        <v>69</v>
      </c>
      <c r="X391" s="65">
        <f>IFERROR(SUM(X389:X389),"0")</f>
        <v>0</v>
      </c>
      <c r="Y391" s="65">
        <f>IFERROR(SUM(Y389:Y389),"0")</f>
        <v>0</v>
      </c>
      <c r="Z391" s="64"/>
      <c r="AA391" s="74"/>
      <c r="AB391" s="74"/>
      <c r="AC391" s="74"/>
    </row>
    <row r="392" spans="1:68" ht="16.5" hidden="1" customHeight="1" x14ac:dyDescent="0.25">
      <c r="A392" s="125" t="s">
        <v>635</v>
      </c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30"/>
      <c r="AB392" s="30"/>
      <c r="AC392" s="30"/>
    </row>
    <row r="393" spans="1:68" ht="14.25" hidden="1" customHeight="1" x14ac:dyDescent="0.25">
      <c r="A393" s="107" t="s">
        <v>115</v>
      </c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31"/>
      <c r="AB393" s="31"/>
      <c r="AC393" s="31"/>
    </row>
    <row r="394" spans="1:68" ht="37.5" customHeight="1" x14ac:dyDescent="0.25">
      <c r="A394" s="32" t="s">
        <v>636</v>
      </c>
      <c r="B394" s="32" t="s">
        <v>637</v>
      </c>
      <c r="C394" s="33">
        <v>4301011875</v>
      </c>
      <c r="D394" s="96">
        <v>4680115884885</v>
      </c>
      <c r="E394" s="96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98"/>
      <c r="R394" s="98"/>
      <c r="S394" s="98"/>
      <c r="T394" s="99"/>
      <c r="U394" s="61" t="s">
        <v>20</v>
      </c>
      <c r="V394" s="61" t="s">
        <v>20</v>
      </c>
      <c r="W394" s="62" t="s">
        <v>69</v>
      </c>
      <c r="X394" s="63">
        <v>100</v>
      </c>
      <c r="Y394" s="69">
        <f>IFERROR(IF(X394="",0,CEILING((X394/$H394),1)*$H394),"")</f>
        <v>108</v>
      </c>
      <c r="Z394" s="70">
        <f>IFERROR(IF(Y394=0,"",ROUNDUP(Y394/H394,0)*0.01898),"")</f>
        <v>0.17082</v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103.41666666666667</v>
      </c>
      <c r="BN394" s="76">
        <f>IFERROR(Y394*I394/H394,"0")</f>
        <v>111.69</v>
      </c>
      <c r="BO394" s="76">
        <f>IFERROR(1/J394*(X394/H394),"0")</f>
        <v>0.13020833333333334</v>
      </c>
      <c r="BP394" s="76">
        <f>IFERROR(1/J394*(Y394/H394),"0")</f>
        <v>0.140625</v>
      </c>
    </row>
    <row r="395" spans="1:68" ht="37.5" hidden="1" customHeight="1" x14ac:dyDescent="0.25">
      <c r="A395" s="32" t="s">
        <v>639</v>
      </c>
      <c r="B395" s="32" t="s">
        <v>640</v>
      </c>
      <c r="C395" s="33">
        <v>4301011871</v>
      </c>
      <c r="D395" s="96">
        <v>4680115884908</v>
      </c>
      <c r="E395" s="96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98"/>
      <c r="R395" s="98"/>
      <c r="S395" s="98"/>
      <c r="T395" s="99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x14ac:dyDescent="0.2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2"/>
      <c r="P396" s="93" t="s">
        <v>75</v>
      </c>
      <c r="Q396" s="94"/>
      <c r="R396" s="94"/>
      <c r="S396" s="94"/>
      <c r="T396" s="94"/>
      <c r="U396" s="94"/>
      <c r="V396" s="95"/>
      <c r="W396" s="64" t="s">
        <v>76</v>
      </c>
      <c r="X396" s="65">
        <f>IFERROR(X394/H394,"0")+IFERROR(X395/H395,"0")</f>
        <v>8.3333333333333339</v>
      </c>
      <c r="Y396" s="65">
        <f>IFERROR(Y394/H394,"0")+IFERROR(Y395/H395,"0")</f>
        <v>9</v>
      </c>
      <c r="Z396" s="65">
        <f>IFERROR(IF(Z394="",0,Z394),"0")+IFERROR(IF(Z395="",0,Z395),"0")</f>
        <v>0.17082</v>
      </c>
      <c r="AA396" s="74"/>
      <c r="AB396" s="74"/>
      <c r="AC396" s="74"/>
    </row>
    <row r="397" spans="1:68" x14ac:dyDescent="0.2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2"/>
      <c r="P397" s="93" t="s">
        <v>75</v>
      </c>
      <c r="Q397" s="94"/>
      <c r="R397" s="94"/>
      <c r="S397" s="94"/>
      <c r="T397" s="94"/>
      <c r="U397" s="94"/>
      <c r="V397" s="95"/>
      <c r="W397" s="64" t="s">
        <v>69</v>
      </c>
      <c r="X397" s="65">
        <f>IFERROR(SUM(X394:X395),"0")</f>
        <v>100</v>
      </c>
      <c r="Y397" s="65">
        <f>IFERROR(SUM(Y394:Y395),"0")</f>
        <v>108</v>
      </c>
      <c r="Z397" s="64"/>
      <c r="AA397" s="74"/>
      <c r="AB397" s="74"/>
      <c r="AC397" s="74"/>
    </row>
    <row r="398" spans="1:68" ht="14.25" hidden="1" customHeight="1" x14ac:dyDescent="0.25">
      <c r="A398" s="107" t="s">
        <v>64</v>
      </c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31"/>
      <c r="AB398" s="31"/>
      <c r="AC398" s="31"/>
    </row>
    <row r="399" spans="1:68" ht="27" hidden="1" customHeight="1" x14ac:dyDescent="0.25">
      <c r="A399" s="32" t="s">
        <v>641</v>
      </c>
      <c r="B399" s="32" t="s">
        <v>642</v>
      </c>
      <c r="C399" s="33">
        <v>4301031457</v>
      </c>
      <c r="D399" s="96">
        <v>4607091384802</v>
      </c>
      <c r="E399" s="96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9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98"/>
      <c r="R399" s="98"/>
      <c r="S399" s="98"/>
      <c r="T399" s="99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hidden="1" x14ac:dyDescent="0.2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2"/>
      <c r="P400" s="93" t="s">
        <v>75</v>
      </c>
      <c r="Q400" s="94"/>
      <c r="R400" s="94"/>
      <c r="S400" s="94"/>
      <c r="T400" s="94"/>
      <c r="U400" s="94"/>
      <c r="V400" s="95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hidden="1" x14ac:dyDescent="0.2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2"/>
      <c r="P401" s="93" t="s">
        <v>75</v>
      </c>
      <c r="Q401" s="94"/>
      <c r="R401" s="94"/>
      <c r="S401" s="94"/>
      <c r="T401" s="94"/>
      <c r="U401" s="94"/>
      <c r="V401" s="95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hidden="1" customHeight="1" x14ac:dyDescent="0.25">
      <c r="A402" s="107" t="s">
        <v>77</v>
      </c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96">
        <v>4607091384246</v>
      </c>
      <c r="E403" s="96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98"/>
      <c r="R403" s="98"/>
      <c r="S403" s="98"/>
      <c r="T403" s="99"/>
      <c r="U403" s="61" t="s">
        <v>20</v>
      </c>
      <c r="V403" s="61" t="s">
        <v>20</v>
      </c>
      <c r="W403" s="62" t="s">
        <v>69</v>
      </c>
      <c r="X403" s="63">
        <v>500</v>
      </c>
      <c r="Y403" s="69">
        <f>IFERROR(IF(X403="",0,CEILING((X403/$H403),1)*$H403),"")</f>
        <v>504</v>
      </c>
      <c r="Z403" s="70">
        <f>IFERROR(IF(Y403=0,"",ROUNDUP(Y403/H403,0)*0.01898),"")</f>
        <v>1.06288</v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527.44444444444446</v>
      </c>
      <c r="BN403" s="76">
        <f>IFERROR(Y403*I403/H403,"0")</f>
        <v>531.66399999999999</v>
      </c>
      <c r="BO403" s="76">
        <f>IFERROR(1/J403*(X403/H403),"0")</f>
        <v>0.86805555555555558</v>
      </c>
      <c r="BP403" s="76">
        <f>IFERROR(1/J403*(Y403/H403),"0")</f>
        <v>0.875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96">
        <v>4607091384253</v>
      </c>
      <c r="E404" s="96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98"/>
      <c r="R404" s="98"/>
      <c r="S404" s="98"/>
      <c r="T404" s="99"/>
      <c r="U404" s="61" t="s">
        <v>20</v>
      </c>
      <c r="V404" s="61" t="s">
        <v>20</v>
      </c>
      <c r="W404" s="62" t="s">
        <v>69</v>
      </c>
      <c r="X404" s="63">
        <v>100</v>
      </c>
      <c r="Y404" s="69">
        <f>IFERROR(IF(X404="",0,CEILING((X404/$H404),1)*$H404),"")</f>
        <v>100.8</v>
      </c>
      <c r="Z404" s="70">
        <f>IFERROR(IF(Y404=0,"",ROUNDUP(Y404/H404,0)*0.00651),"")</f>
        <v>0.27342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111.00000000000001</v>
      </c>
      <c r="BN404" s="76">
        <f>IFERROR(Y404*I404/H404,"0")</f>
        <v>111.88800000000001</v>
      </c>
      <c r="BO404" s="76">
        <f>IFERROR(1/J404*(X404/H404),"0")</f>
        <v>0.22893772893772898</v>
      </c>
      <c r="BP404" s="76">
        <f>IFERROR(1/J404*(Y404/H404),"0")</f>
        <v>0.23076923076923078</v>
      </c>
    </row>
    <row r="405" spans="1:68" ht="27" hidden="1" customHeight="1" x14ac:dyDescent="0.25">
      <c r="A405" s="32" t="s">
        <v>647</v>
      </c>
      <c r="B405" s="32" t="s">
        <v>650</v>
      </c>
      <c r="C405" s="33">
        <v>4301051660</v>
      </c>
      <c r="D405" s="96">
        <v>4607091384253</v>
      </c>
      <c r="E405" s="96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9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98"/>
      <c r="R405" s="98"/>
      <c r="S405" s="98"/>
      <c r="T405" s="99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2"/>
      <c r="P406" s="93" t="s">
        <v>75</v>
      </c>
      <c r="Q406" s="94"/>
      <c r="R406" s="94"/>
      <c r="S406" s="94"/>
      <c r="T406" s="94"/>
      <c r="U406" s="94"/>
      <c r="V406" s="95"/>
      <c r="W406" s="64" t="s">
        <v>76</v>
      </c>
      <c r="X406" s="65">
        <f>IFERROR(X403/H403,"0")+IFERROR(X404/H404,"0")+IFERROR(X405/H405,"0")</f>
        <v>97.222222222222229</v>
      </c>
      <c r="Y406" s="65">
        <f>IFERROR(Y403/H403,"0")+IFERROR(Y404/H404,"0")+IFERROR(Y405/H405,"0")</f>
        <v>98</v>
      </c>
      <c r="Z406" s="65">
        <f>IFERROR(IF(Z403="",0,Z403),"0")+IFERROR(IF(Z404="",0,Z404),"0")+IFERROR(IF(Z405="",0,Z405),"0")</f>
        <v>1.3363</v>
      </c>
      <c r="AA406" s="74"/>
      <c r="AB406" s="74"/>
      <c r="AC406" s="74"/>
    </row>
    <row r="407" spans="1:68" x14ac:dyDescent="0.2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2"/>
      <c r="P407" s="93" t="s">
        <v>75</v>
      </c>
      <c r="Q407" s="94"/>
      <c r="R407" s="94"/>
      <c r="S407" s="94"/>
      <c r="T407" s="94"/>
      <c r="U407" s="94"/>
      <c r="V407" s="95"/>
      <c r="W407" s="64" t="s">
        <v>69</v>
      </c>
      <c r="X407" s="65">
        <f>IFERROR(SUM(X403:X405),"0")</f>
        <v>600</v>
      </c>
      <c r="Y407" s="65">
        <f>IFERROR(SUM(Y403:Y405),"0")</f>
        <v>604.79999999999995</v>
      </c>
      <c r="Z407" s="64"/>
      <c r="AA407" s="74"/>
      <c r="AB407" s="74"/>
      <c r="AC407" s="74"/>
    </row>
    <row r="408" spans="1:68" ht="27.75" hidden="1" customHeight="1" x14ac:dyDescent="0.2">
      <c r="A408" s="126" t="s">
        <v>651</v>
      </c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68"/>
      <c r="AB408" s="68"/>
      <c r="AC408" s="68"/>
    </row>
    <row r="409" spans="1:68" ht="16.5" hidden="1" customHeight="1" x14ac:dyDescent="0.25">
      <c r="A409" s="125" t="s">
        <v>652</v>
      </c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30"/>
      <c r="AB409" s="30"/>
      <c r="AC409" s="30"/>
    </row>
    <row r="410" spans="1:68" ht="14.25" hidden="1" customHeight="1" x14ac:dyDescent="0.25">
      <c r="A410" s="107" t="s">
        <v>64</v>
      </c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31"/>
      <c r="AB410" s="31"/>
      <c r="AC410" s="31"/>
    </row>
    <row r="411" spans="1:68" ht="27" hidden="1" customHeight="1" x14ac:dyDescent="0.25">
      <c r="A411" s="32" t="s">
        <v>653</v>
      </c>
      <c r="B411" s="32" t="s">
        <v>654</v>
      </c>
      <c r="C411" s="33">
        <v>4301031405</v>
      </c>
      <c r="D411" s="96">
        <v>4680115886100</v>
      </c>
      <c r="E411" s="96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98"/>
      <c r="R411" s="98"/>
      <c r="S411" s="98"/>
      <c r="T411" s="99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hidden="1" customHeight="1" x14ac:dyDescent="0.25">
      <c r="A412" s="32" t="s">
        <v>656</v>
      </c>
      <c r="B412" s="32" t="s">
        <v>657</v>
      </c>
      <c r="C412" s="33">
        <v>4301031406</v>
      </c>
      <c r="D412" s="96">
        <v>4680115886117</v>
      </c>
      <c r="E412" s="96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9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98"/>
      <c r="R412" s="98"/>
      <c r="S412" s="98"/>
      <c r="T412" s="99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hidden="1" customHeight="1" x14ac:dyDescent="0.25">
      <c r="A413" s="32" t="s">
        <v>659</v>
      </c>
      <c r="B413" s="32" t="s">
        <v>660</v>
      </c>
      <c r="C413" s="33">
        <v>4301031402</v>
      </c>
      <c r="D413" s="96">
        <v>4680115886124</v>
      </c>
      <c r="E413" s="96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98"/>
      <c r="R413" s="98"/>
      <c r="S413" s="98"/>
      <c r="T413" s="99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hidden="1" customHeight="1" x14ac:dyDescent="0.25">
      <c r="A414" s="32" t="s">
        <v>662</v>
      </c>
      <c r="B414" s="32" t="s">
        <v>663</v>
      </c>
      <c r="C414" s="33">
        <v>4301031366</v>
      </c>
      <c r="D414" s="96">
        <v>4680115883147</v>
      </c>
      <c r="E414" s="96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9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98"/>
      <c r="R414" s="98"/>
      <c r="S414" s="98"/>
      <c r="T414" s="99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hidden="1" customHeight="1" x14ac:dyDescent="0.25">
      <c r="A415" s="32" t="s">
        <v>664</v>
      </c>
      <c r="B415" s="32" t="s">
        <v>665</v>
      </c>
      <c r="C415" s="33">
        <v>4301031362</v>
      </c>
      <c r="D415" s="96">
        <v>4607091384338</v>
      </c>
      <c r="E415" s="96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98"/>
      <c r="R415" s="98"/>
      <c r="S415" s="98"/>
      <c r="T415" s="99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hidden="1" customHeight="1" x14ac:dyDescent="0.25">
      <c r="A416" s="32" t="s">
        <v>666</v>
      </c>
      <c r="B416" s="32" t="s">
        <v>667</v>
      </c>
      <c r="C416" s="33">
        <v>4301031361</v>
      </c>
      <c r="D416" s="96">
        <v>4607091389524</v>
      </c>
      <c r="E416" s="96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9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98"/>
      <c r="R416" s="98"/>
      <c r="S416" s="98"/>
      <c r="T416" s="99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hidden="1" customHeight="1" x14ac:dyDescent="0.25">
      <c r="A417" s="32" t="s">
        <v>669</v>
      </c>
      <c r="B417" s="32" t="s">
        <v>670</v>
      </c>
      <c r="C417" s="33">
        <v>4301031364</v>
      </c>
      <c r="D417" s="96">
        <v>4680115883161</v>
      </c>
      <c r="E417" s="96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98"/>
      <c r="R417" s="98"/>
      <c r="S417" s="98"/>
      <c r="T417" s="99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hidden="1" customHeight="1" x14ac:dyDescent="0.25">
      <c r="A418" s="32" t="s">
        <v>672</v>
      </c>
      <c r="B418" s="32" t="s">
        <v>673</v>
      </c>
      <c r="C418" s="33">
        <v>4301031358</v>
      </c>
      <c r="D418" s="96">
        <v>4607091389531</v>
      </c>
      <c r="E418" s="96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98"/>
      <c r="R418" s="98"/>
      <c r="S418" s="98"/>
      <c r="T418" s="99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hidden="1" customHeight="1" x14ac:dyDescent="0.25">
      <c r="A419" s="32" t="s">
        <v>675</v>
      </c>
      <c r="B419" s="32" t="s">
        <v>676</v>
      </c>
      <c r="C419" s="33">
        <v>4301031360</v>
      </c>
      <c r="D419" s="96">
        <v>4607091384345</v>
      </c>
      <c r="E419" s="96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98"/>
      <c r="R419" s="98"/>
      <c r="S419" s="98"/>
      <c r="T419" s="99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hidden="1" x14ac:dyDescent="0.2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2"/>
      <c r="P420" s="93" t="s">
        <v>75</v>
      </c>
      <c r="Q420" s="94"/>
      <c r="R420" s="94"/>
      <c r="S420" s="94"/>
      <c r="T420" s="94"/>
      <c r="U420" s="94"/>
      <c r="V420" s="95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hidden="1" x14ac:dyDescent="0.2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2"/>
      <c r="P421" s="93" t="s">
        <v>75</v>
      </c>
      <c r="Q421" s="94"/>
      <c r="R421" s="94"/>
      <c r="S421" s="94"/>
      <c r="T421" s="94"/>
      <c r="U421" s="94"/>
      <c r="V421" s="95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hidden="1" customHeight="1" x14ac:dyDescent="0.25">
      <c r="A422" s="107" t="s">
        <v>77</v>
      </c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31"/>
      <c r="AB422" s="31"/>
      <c r="AC422" s="31"/>
    </row>
    <row r="423" spans="1:68" ht="27" hidden="1" customHeight="1" x14ac:dyDescent="0.25">
      <c r="A423" s="32" t="s">
        <v>677</v>
      </c>
      <c r="B423" s="32" t="s">
        <v>678</v>
      </c>
      <c r="C423" s="33">
        <v>4301051284</v>
      </c>
      <c r="D423" s="96">
        <v>4607091384352</v>
      </c>
      <c r="E423" s="96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98"/>
      <c r="R423" s="98"/>
      <c r="S423" s="98"/>
      <c r="T423" s="99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hidden="1" customHeight="1" x14ac:dyDescent="0.25">
      <c r="A424" s="32" t="s">
        <v>680</v>
      </c>
      <c r="B424" s="32" t="s">
        <v>681</v>
      </c>
      <c r="C424" s="33">
        <v>4301051431</v>
      </c>
      <c r="D424" s="96">
        <v>4607091389654</v>
      </c>
      <c r="E424" s="96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98"/>
      <c r="R424" s="98"/>
      <c r="S424" s="98"/>
      <c r="T424" s="99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hidden="1" x14ac:dyDescent="0.2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2"/>
      <c r="P425" s="93" t="s">
        <v>75</v>
      </c>
      <c r="Q425" s="94"/>
      <c r="R425" s="94"/>
      <c r="S425" s="94"/>
      <c r="T425" s="94"/>
      <c r="U425" s="94"/>
      <c r="V425" s="95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hidden="1" x14ac:dyDescent="0.2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2"/>
      <c r="P426" s="93" t="s">
        <v>75</v>
      </c>
      <c r="Q426" s="94"/>
      <c r="R426" s="94"/>
      <c r="S426" s="94"/>
      <c r="T426" s="94"/>
      <c r="U426" s="94"/>
      <c r="V426" s="95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hidden="1" customHeight="1" x14ac:dyDescent="0.25">
      <c r="A427" s="125" t="s">
        <v>683</v>
      </c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30"/>
      <c r="AB427" s="30"/>
      <c r="AC427" s="30"/>
    </row>
    <row r="428" spans="1:68" ht="14.25" hidden="1" customHeight="1" x14ac:dyDescent="0.25">
      <c r="A428" s="107" t="s">
        <v>154</v>
      </c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31"/>
      <c r="AB428" s="31"/>
      <c r="AC428" s="31"/>
    </row>
    <row r="429" spans="1:68" ht="27" hidden="1" customHeight="1" x14ac:dyDescent="0.25">
      <c r="A429" s="32" t="s">
        <v>684</v>
      </c>
      <c r="B429" s="32" t="s">
        <v>685</v>
      </c>
      <c r="C429" s="33">
        <v>4301020319</v>
      </c>
      <c r="D429" s="96">
        <v>4680115885240</v>
      </c>
      <c r="E429" s="96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98"/>
      <c r="R429" s="98"/>
      <c r="S429" s="98"/>
      <c r="T429" s="99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hidden="1" x14ac:dyDescent="0.2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2"/>
      <c r="P430" s="93" t="s">
        <v>75</v>
      </c>
      <c r="Q430" s="94"/>
      <c r="R430" s="94"/>
      <c r="S430" s="94"/>
      <c r="T430" s="94"/>
      <c r="U430" s="94"/>
      <c r="V430" s="95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hidden="1" x14ac:dyDescent="0.2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2"/>
      <c r="P431" s="93" t="s">
        <v>75</v>
      </c>
      <c r="Q431" s="94"/>
      <c r="R431" s="94"/>
      <c r="S431" s="94"/>
      <c r="T431" s="94"/>
      <c r="U431" s="94"/>
      <c r="V431" s="95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hidden="1" customHeight="1" x14ac:dyDescent="0.25">
      <c r="A432" s="107" t="s">
        <v>64</v>
      </c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31"/>
      <c r="AB432" s="31"/>
      <c r="AC432" s="31"/>
    </row>
    <row r="433" spans="1:68" ht="27" hidden="1" customHeight="1" x14ac:dyDescent="0.25">
      <c r="A433" s="32" t="s">
        <v>687</v>
      </c>
      <c r="B433" s="32" t="s">
        <v>688</v>
      </c>
      <c r="C433" s="33">
        <v>4301031403</v>
      </c>
      <c r="D433" s="96">
        <v>4680115886094</v>
      </c>
      <c r="E433" s="96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98"/>
      <c r="R433" s="98"/>
      <c r="S433" s="98"/>
      <c r="T433" s="99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hidden="1" customHeight="1" x14ac:dyDescent="0.25">
      <c r="A434" s="32" t="s">
        <v>690</v>
      </c>
      <c r="B434" s="32" t="s">
        <v>691</v>
      </c>
      <c r="C434" s="33">
        <v>4301031373</v>
      </c>
      <c r="D434" s="96">
        <v>4680115880771</v>
      </c>
      <c r="E434" s="96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98"/>
      <c r="R434" s="98"/>
      <c r="S434" s="98"/>
      <c r="T434" s="99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hidden="1" customHeight="1" x14ac:dyDescent="0.25">
      <c r="A435" s="32" t="s">
        <v>693</v>
      </c>
      <c r="B435" s="32" t="s">
        <v>694</v>
      </c>
      <c r="C435" s="33">
        <v>4301031359</v>
      </c>
      <c r="D435" s="96">
        <v>4607091389500</v>
      </c>
      <c r="E435" s="96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98"/>
      <c r="R435" s="98"/>
      <c r="S435" s="98"/>
      <c r="T435" s="99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hidden="1" x14ac:dyDescent="0.2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2"/>
      <c r="P436" s="93" t="s">
        <v>75</v>
      </c>
      <c r="Q436" s="94"/>
      <c r="R436" s="94"/>
      <c r="S436" s="94"/>
      <c r="T436" s="94"/>
      <c r="U436" s="94"/>
      <c r="V436" s="95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hidden="1" x14ac:dyDescent="0.2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2"/>
      <c r="P437" s="93" t="s">
        <v>75</v>
      </c>
      <c r="Q437" s="94"/>
      <c r="R437" s="94"/>
      <c r="S437" s="94"/>
      <c r="T437" s="94"/>
      <c r="U437" s="94"/>
      <c r="V437" s="95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hidden="1" customHeight="1" x14ac:dyDescent="0.25">
      <c r="A438" s="125" t="s">
        <v>695</v>
      </c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30"/>
      <c r="AB438" s="30"/>
      <c r="AC438" s="30"/>
    </row>
    <row r="439" spans="1:68" ht="14.25" hidden="1" customHeight="1" x14ac:dyDescent="0.25">
      <c r="A439" s="107" t="s">
        <v>64</v>
      </c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31"/>
      <c r="AB439" s="31"/>
      <c r="AC439" s="31"/>
    </row>
    <row r="440" spans="1:68" ht="27" hidden="1" customHeight="1" x14ac:dyDescent="0.25">
      <c r="A440" s="32" t="s">
        <v>696</v>
      </c>
      <c r="B440" s="32" t="s">
        <v>697</v>
      </c>
      <c r="C440" s="33">
        <v>4301031347</v>
      </c>
      <c r="D440" s="96">
        <v>4680115885110</v>
      </c>
      <c r="E440" s="96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98"/>
      <c r="R440" s="98"/>
      <c r="S440" s="98"/>
      <c r="T440" s="99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hidden="1" x14ac:dyDescent="0.2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2"/>
      <c r="P441" s="93" t="s">
        <v>75</v>
      </c>
      <c r="Q441" s="94"/>
      <c r="R441" s="94"/>
      <c r="S441" s="94"/>
      <c r="T441" s="94"/>
      <c r="U441" s="94"/>
      <c r="V441" s="95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hidden="1" x14ac:dyDescent="0.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2"/>
      <c r="P442" s="93" t="s">
        <v>75</v>
      </c>
      <c r="Q442" s="94"/>
      <c r="R442" s="94"/>
      <c r="S442" s="94"/>
      <c r="T442" s="94"/>
      <c r="U442" s="94"/>
      <c r="V442" s="95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hidden="1" customHeight="1" x14ac:dyDescent="0.2">
      <c r="A443" s="126" t="s">
        <v>699</v>
      </c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68"/>
      <c r="AB443" s="68"/>
      <c r="AC443" s="68"/>
    </row>
    <row r="444" spans="1:68" ht="16.5" hidden="1" customHeight="1" x14ac:dyDescent="0.25">
      <c r="A444" s="125" t="s">
        <v>699</v>
      </c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30"/>
      <c r="AB444" s="30"/>
      <c r="AC444" s="30"/>
    </row>
    <row r="445" spans="1:68" ht="14.25" hidden="1" customHeight="1" x14ac:dyDescent="0.25">
      <c r="A445" s="107" t="s">
        <v>115</v>
      </c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31"/>
      <c r="AB445" s="31"/>
      <c r="AC445" s="31"/>
    </row>
    <row r="446" spans="1:68" ht="27" hidden="1" customHeight="1" x14ac:dyDescent="0.25">
      <c r="A446" s="32" t="s">
        <v>700</v>
      </c>
      <c r="B446" s="32" t="s">
        <v>701</v>
      </c>
      <c r="C446" s="33">
        <v>4301011795</v>
      </c>
      <c r="D446" s="96">
        <v>4607091389067</v>
      </c>
      <c r="E446" s="96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98"/>
      <c r="R446" s="98"/>
      <c r="S446" s="98"/>
      <c r="T446" s="99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hidden="1" customHeight="1" x14ac:dyDescent="0.25">
      <c r="A447" s="32" t="s">
        <v>702</v>
      </c>
      <c r="B447" s="32" t="s">
        <v>703</v>
      </c>
      <c r="C447" s="33">
        <v>4301012210</v>
      </c>
      <c r="D447" s="96">
        <v>4607091383522</v>
      </c>
      <c r="E447" s="96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9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98"/>
      <c r="R447" s="98"/>
      <c r="S447" s="98"/>
      <c r="T447" s="99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96">
        <v>4607091383522</v>
      </c>
      <c r="E448" s="96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98"/>
      <c r="R448" s="98"/>
      <c r="S448" s="98"/>
      <c r="T448" s="99"/>
      <c r="U448" s="61" t="s">
        <v>20</v>
      </c>
      <c r="V448" s="61" t="s">
        <v>20</v>
      </c>
      <c r="W448" s="62" t="s">
        <v>69</v>
      </c>
      <c r="X448" s="63">
        <v>1000</v>
      </c>
      <c r="Y448" s="69">
        <f t="shared" si="58"/>
        <v>1003.2</v>
      </c>
      <c r="Z448" s="70">
        <f t="shared" si="59"/>
        <v>2.2724000000000002</v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1066.2878787878788</v>
      </c>
      <c r="BN448" s="76">
        <f t="shared" si="61"/>
        <v>1069.7</v>
      </c>
      <c r="BO448" s="76">
        <f t="shared" si="62"/>
        <v>1.821095571095571</v>
      </c>
      <c r="BP448" s="76">
        <f t="shared" si="63"/>
        <v>1.8269230769230771</v>
      </c>
    </row>
    <row r="449" spans="1:68" ht="27" customHeight="1" x14ac:dyDescent="0.25">
      <c r="A449" s="32" t="s">
        <v>706</v>
      </c>
      <c r="B449" s="32" t="s">
        <v>707</v>
      </c>
      <c r="C449" s="33">
        <v>4301011961</v>
      </c>
      <c r="D449" s="96">
        <v>4680115885271</v>
      </c>
      <c r="E449" s="96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98"/>
      <c r="R449" s="98"/>
      <c r="S449" s="98"/>
      <c r="T449" s="99"/>
      <c r="U449" s="61" t="s">
        <v>20</v>
      </c>
      <c r="V449" s="61" t="s">
        <v>20</v>
      </c>
      <c r="W449" s="62" t="s">
        <v>69</v>
      </c>
      <c r="X449" s="63">
        <v>100</v>
      </c>
      <c r="Y449" s="69">
        <f t="shared" si="58"/>
        <v>100.32000000000001</v>
      </c>
      <c r="Z449" s="70">
        <f t="shared" si="59"/>
        <v>0.22724</v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106.62878787878788</v>
      </c>
      <c r="BN449" s="76">
        <f t="shared" si="61"/>
        <v>106.97</v>
      </c>
      <c r="BO449" s="76">
        <f t="shared" si="62"/>
        <v>0.18210955710955709</v>
      </c>
      <c r="BP449" s="76">
        <f t="shared" si="63"/>
        <v>0.18269230769230771</v>
      </c>
    </row>
    <row r="450" spans="1:68" ht="27" hidden="1" customHeight="1" x14ac:dyDescent="0.25">
      <c r="A450" s="32" t="s">
        <v>709</v>
      </c>
      <c r="B450" s="32" t="s">
        <v>710</v>
      </c>
      <c r="C450" s="33">
        <v>4301011376</v>
      </c>
      <c r="D450" s="96">
        <v>4680115885226</v>
      </c>
      <c r="E450" s="96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98"/>
      <c r="R450" s="98"/>
      <c r="S450" s="98"/>
      <c r="T450" s="99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hidden="1" customHeight="1" x14ac:dyDescent="0.25">
      <c r="A451" s="32" t="s">
        <v>712</v>
      </c>
      <c r="B451" s="32" t="s">
        <v>713</v>
      </c>
      <c r="C451" s="33">
        <v>4301011774</v>
      </c>
      <c r="D451" s="96">
        <v>4680115884502</v>
      </c>
      <c r="E451" s="96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98"/>
      <c r="R451" s="98"/>
      <c r="S451" s="98"/>
      <c r="T451" s="99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96">
        <v>4607091389104</v>
      </c>
      <c r="E452" s="96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98"/>
      <c r="R452" s="98"/>
      <c r="S452" s="98"/>
      <c r="T452" s="99"/>
      <c r="U452" s="61" t="s">
        <v>20</v>
      </c>
      <c r="V452" s="61" t="s">
        <v>20</v>
      </c>
      <c r="W452" s="62" t="s">
        <v>69</v>
      </c>
      <c r="X452" s="63">
        <v>1000</v>
      </c>
      <c r="Y452" s="69">
        <f t="shared" si="58"/>
        <v>1003.2</v>
      </c>
      <c r="Z452" s="70">
        <f t="shared" si="59"/>
        <v>2.2724000000000002</v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1066.2878787878788</v>
      </c>
      <c r="BN452" s="76">
        <f t="shared" si="61"/>
        <v>1069.7</v>
      </c>
      <c r="BO452" s="76">
        <f t="shared" si="62"/>
        <v>1.821095571095571</v>
      </c>
      <c r="BP452" s="76">
        <f t="shared" si="63"/>
        <v>1.8269230769230771</v>
      </c>
    </row>
    <row r="453" spans="1:68" ht="27" hidden="1" customHeight="1" x14ac:dyDescent="0.25">
      <c r="A453" s="32" t="s">
        <v>718</v>
      </c>
      <c r="B453" s="32" t="s">
        <v>719</v>
      </c>
      <c r="C453" s="33">
        <v>4301012125</v>
      </c>
      <c r="D453" s="96">
        <v>4680115886391</v>
      </c>
      <c r="E453" s="96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98"/>
      <c r="R453" s="98"/>
      <c r="S453" s="98"/>
      <c r="T453" s="99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hidden="1" customHeight="1" x14ac:dyDescent="0.25">
      <c r="A454" s="32" t="s">
        <v>720</v>
      </c>
      <c r="B454" s="32" t="s">
        <v>721</v>
      </c>
      <c r="C454" s="33">
        <v>4301012035</v>
      </c>
      <c r="D454" s="96">
        <v>4680115880603</v>
      </c>
      <c r="E454" s="96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98"/>
      <c r="R454" s="98"/>
      <c r="S454" s="98"/>
      <c r="T454" s="99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hidden="1" customHeight="1" x14ac:dyDescent="0.25">
      <c r="A455" s="32" t="s">
        <v>722</v>
      </c>
      <c r="B455" s="32" t="s">
        <v>723</v>
      </c>
      <c r="C455" s="33">
        <v>4301012036</v>
      </c>
      <c r="D455" s="96">
        <v>4680115882782</v>
      </c>
      <c r="E455" s="96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98"/>
      <c r="R455" s="98"/>
      <c r="S455" s="98"/>
      <c r="T455" s="99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hidden="1" customHeight="1" x14ac:dyDescent="0.25">
      <c r="A456" s="32" t="s">
        <v>724</v>
      </c>
      <c r="B456" s="32" t="s">
        <v>725</v>
      </c>
      <c r="C456" s="33">
        <v>4301012050</v>
      </c>
      <c r="D456" s="96">
        <v>4680115885479</v>
      </c>
      <c r="E456" s="96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9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98"/>
      <c r="R456" s="98"/>
      <c r="S456" s="98"/>
      <c r="T456" s="99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96">
        <v>4607091389982</v>
      </c>
      <c r="E457" s="96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9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98"/>
      <c r="R457" s="98"/>
      <c r="S457" s="98"/>
      <c r="T457" s="99"/>
      <c r="U457" s="61" t="s">
        <v>20</v>
      </c>
      <c r="V457" s="61" t="s">
        <v>20</v>
      </c>
      <c r="W457" s="62" t="s">
        <v>69</v>
      </c>
      <c r="X457" s="63">
        <v>200</v>
      </c>
      <c r="Y457" s="69">
        <f t="shared" si="58"/>
        <v>201.6</v>
      </c>
      <c r="Z457" s="70">
        <f>IFERROR(IF(Y457=0,"",ROUNDUP(Y457/H457,0)*0.00902),"")</f>
        <v>0.37884000000000001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287.91666666666669</v>
      </c>
      <c r="BN457" s="76">
        <f t="shared" si="61"/>
        <v>290.22000000000003</v>
      </c>
      <c r="BO457" s="76">
        <f t="shared" si="62"/>
        <v>0.31565656565656569</v>
      </c>
      <c r="BP457" s="76">
        <f t="shared" si="63"/>
        <v>0.31818181818181818</v>
      </c>
    </row>
    <row r="458" spans="1:68" x14ac:dyDescent="0.2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2"/>
      <c r="P458" s="93" t="s">
        <v>75</v>
      </c>
      <c r="Q458" s="94"/>
      <c r="R458" s="94"/>
      <c r="S458" s="94"/>
      <c r="T458" s="94"/>
      <c r="U458" s="94"/>
      <c r="V458" s="95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439.39393939393938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441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5.1508800000000008</v>
      </c>
      <c r="AA458" s="74"/>
      <c r="AB458" s="74"/>
      <c r="AC458" s="74"/>
    </row>
    <row r="459" spans="1:68" x14ac:dyDescent="0.2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2"/>
      <c r="P459" s="93" t="s">
        <v>75</v>
      </c>
      <c r="Q459" s="94"/>
      <c r="R459" s="94"/>
      <c r="S459" s="94"/>
      <c r="T459" s="94"/>
      <c r="U459" s="94"/>
      <c r="V459" s="95"/>
      <c r="W459" s="64" t="s">
        <v>69</v>
      </c>
      <c r="X459" s="65">
        <f>IFERROR(SUM(X446:X457),"0")</f>
        <v>2300</v>
      </c>
      <c r="Y459" s="65">
        <f>IFERROR(SUM(Y446:Y457),"0")</f>
        <v>2308.3200000000002</v>
      </c>
      <c r="Z459" s="64"/>
      <c r="AA459" s="74"/>
      <c r="AB459" s="74"/>
      <c r="AC459" s="74"/>
    </row>
    <row r="460" spans="1:68" ht="14.25" hidden="1" customHeight="1" x14ac:dyDescent="0.25">
      <c r="A460" s="107" t="s">
        <v>154</v>
      </c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96">
        <v>4607091388930</v>
      </c>
      <c r="E461" s="96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98"/>
      <c r="R461" s="98"/>
      <c r="S461" s="98"/>
      <c r="T461" s="99"/>
      <c r="U461" s="61" t="s">
        <v>20</v>
      </c>
      <c r="V461" s="61" t="s">
        <v>20</v>
      </c>
      <c r="W461" s="62" t="s">
        <v>69</v>
      </c>
      <c r="X461" s="63">
        <v>500</v>
      </c>
      <c r="Y461" s="69">
        <f>IFERROR(IF(X461="",0,CEILING((X461/$H461),1)*$H461),"")</f>
        <v>501.6</v>
      </c>
      <c r="Z461" s="70">
        <f>IFERROR(IF(Y461=0,"",ROUNDUP(Y461/H461,0)*0.01196),"")</f>
        <v>1.1362000000000001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533.14393939393938</v>
      </c>
      <c r="BN461" s="76">
        <f>IFERROR(Y461*I461/H461,"0")</f>
        <v>534.85</v>
      </c>
      <c r="BO461" s="76">
        <f>IFERROR(1/J461*(X461/H461),"0")</f>
        <v>0.91054778554778548</v>
      </c>
      <c r="BP461" s="76">
        <f>IFERROR(1/J461*(Y461/H461),"0")</f>
        <v>0.91346153846153855</v>
      </c>
    </row>
    <row r="462" spans="1:68" ht="16.5" hidden="1" customHeight="1" x14ac:dyDescent="0.25">
      <c r="A462" s="32" t="s">
        <v>731</v>
      </c>
      <c r="B462" s="32" t="s">
        <v>732</v>
      </c>
      <c r="C462" s="33">
        <v>4301020374</v>
      </c>
      <c r="D462" s="96">
        <v>4680115886407</v>
      </c>
      <c r="E462" s="96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98"/>
      <c r="R462" s="98"/>
      <c r="S462" s="98"/>
      <c r="T462" s="99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hidden="1" customHeight="1" x14ac:dyDescent="0.25">
      <c r="A463" s="32" t="s">
        <v>733</v>
      </c>
      <c r="B463" s="32" t="s">
        <v>734</v>
      </c>
      <c r="C463" s="33">
        <v>4301020385</v>
      </c>
      <c r="D463" s="96">
        <v>4680115880054</v>
      </c>
      <c r="E463" s="96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98"/>
      <c r="R463" s="98"/>
      <c r="S463" s="98"/>
      <c r="T463" s="99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2"/>
      <c r="P464" s="93" t="s">
        <v>75</v>
      </c>
      <c r="Q464" s="94"/>
      <c r="R464" s="94"/>
      <c r="S464" s="94"/>
      <c r="T464" s="94"/>
      <c r="U464" s="94"/>
      <c r="V464" s="95"/>
      <c r="W464" s="64" t="s">
        <v>76</v>
      </c>
      <c r="X464" s="65">
        <f>IFERROR(X461/H461,"0")+IFERROR(X462/H462,"0")+IFERROR(X463/H463,"0")</f>
        <v>94.696969696969688</v>
      </c>
      <c r="Y464" s="65">
        <f>IFERROR(Y461/H461,"0")+IFERROR(Y462/H462,"0")+IFERROR(Y463/H463,"0")</f>
        <v>95</v>
      </c>
      <c r="Z464" s="65">
        <f>IFERROR(IF(Z461="",0,Z461),"0")+IFERROR(IF(Z462="",0,Z462),"0")+IFERROR(IF(Z463="",0,Z463),"0")</f>
        <v>1.1362000000000001</v>
      </c>
      <c r="AA464" s="74"/>
      <c r="AB464" s="74"/>
      <c r="AC464" s="74"/>
    </row>
    <row r="465" spans="1:68" x14ac:dyDescent="0.2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2"/>
      <c r="P465" s="93" t="s">
        <v>75</v>
      </c>
      <c r="Q465" s="94"/>
      <c r="R465" s="94"/>
      <c r="S465" s="94"/>
      <c r="T465" s="94"/>
      <c r="U465" s="94"/>
      <c r="V465" s="95"/>
      <c r="W465" s="64" t="s">
        <v>69</v>
      </c>
      <c r="X465" s="65">
        <f>IFERROR(SUM(X461:X463),"0")</f>
        <v>500</v>
      </c>
      <c r="Y465" s="65">
        <f>IFERROR(SUM(Y461:Y463),"0")</f>
        <v>501.6</v>
      </c>
      <c r="Z465" s="64"/>
      <c r="AA465" s="74"/>
      <c r="AB465" s="74"/>
      <c r="AC465" s="74"/>
    </row>
    <row r="466" spans="1:68" ht="14.25" hidden="1" customHeight="1" x14ac:dyDescent="0.25">
      <c r="A466" s="107" t="s">
        <v>64</v>
      </c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31"/>
      <c r="AB466" s="31"/>
      <c r="AC466" s="31"/>
    </row>
    <row r="467" spans="1:68" ht="27" customHeight="1" x14ac:dyDescent="0.25">
      <c r="A467" s="32" t="s">
        <v>735</v>
      </c>
      <c r="B467" s="32" t="s">
        <v>736</v>
      </c>
      <c r="C467" s="33">
        <v>4301031349</v>
      </c>
      <c r="D467" s="96">
        <v>4680115883116</v>
      </c>
      <c r="E467" s="96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9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98"/>
      <c r="R467" s="98"/>
      <c r="S467" s="98"/>
      <c r="T467" s="99"/>
      <c r="U467" s="61" t="s">
        <v>20</v>
      </c>
      <c r="V467" s="61" t="s">
        <v>20</v>
      </c>
      <c r="W467" s="62" t="s">
        <v>69</v>
      </c>
      <c r="X467" s="63">
        <v>500</v>
      </c>
      <c r="Y467" s="69">
        <f t="shared" ref="Y467:Y473" si="64">IFERROR(IF(X467="",0,CEILING((X467/$H467),1)*$H467),"")</f>
        <v>501.6</v>
      </c>
      <c r="Z467" s="70">
        <f>IFERROR(IF(Y467=0,"",ROUNDUP(Y467/H467,0)*0.01196),"")</f>
        <v>1.1362000000000001</v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533.14393939393938</v>
      </c>
      <c r="BN467" s="76">
        <f t="shared" ref="BN467:BN473" si="66">IFERROR(Y467*I467/H467,"0")</f>
        <v>534.85</v>
      </c>
      <c r="BO467" s="76">
        <f t="shared" ref="BO467:BO473" si="67">IFERROR(1/J467*(X467/H467),"0")</f>
        <v>0.91054778554778548</v>
      </c>
      <c r="BP467" s="76">
        <f t="shared" ref="BP467:BP473" si="68">IFERROR(1/J467*(Y467/H467),"0")</f>
        <v>0.91346153846153855</v>
      </c>
    </row>
    <row r="468" spans="1:68" ht="27" customHeight="1" x14ac:dyDescent="0.25">
      <c r="A468" s="32" t="s">
        <v>738</v>
      </c>
      <c r="B468" s="32" t="s">
        <v>739</v>
      </c>
      <c r="C468" s="33">
        <v>4301031350</v>
      </c>
      <c r="D468" s="96">
        <v>4680115883093</v>
      </c>
      <c r="E468" s="96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98"/>
      <c r="R468" s="98"/>
      <c r="S468" s="98"/>
      <c r="T468" s="99"/>
      <c r="U468" s="61" t="s">
        <v>20</v>
      </c>
      <c r="V468" s="61" t="s">
        <v>20</v>
      </c>
      <c r="W468" s="62" t="s">
        <v>69</v>
      </c>
      <c r="X468" s="63">
        <v>500</v>
      </c>
      <c r="Y468" s="69">
        <f t="shared" si="64"/>
        <v>501.6</v>
      </c>
      <c r="Z468" s="70">
        <f>IFERROR(IF(Y468=0,"",ROUNDUP(Y468/H468,0)*0.01196),"")</f>
        <v>1.1362000000000001</v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533.14393939393938</v>
      </c>
      <c r="BN468" s="76">
        <f t="shared" si="66"/>
        <v>534.85</v>
      </c>
      <c r="BO468" s="76">
        <f t="shared" si="67"/>
        <v>0.91054778554778548</v>
      </c>
      <c r="BP468" s="76">
        <f t="shared" si="68"/>
        <v>0.91346153846153855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96">
        <v>4680115883109</v>
      </c>
      <c r="E469" s="96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98"/>
      <c r="R469" s="98"/>
      <c r="S469" s="98"/>
      <c r="T469" s="99"/>
      <c r="U469" s="61" t="s">
        <v>20</v>
      </c>
      <c r="V469" s="61" t="s">
        <v>20</v>
      </c>
      <c r="W469" s="62" t="s">
        <v>69</v>
      </c>
      <c r="X469" s="63">
        <v>300</v>
      </c>
      <c r="Y469" s="69">
        <f t="shared" si="64"/>
        <v>300.96000000000004</v>
      </c>
      <c r="Z469" s="70">
        <f>IFERROR(IF(Y469=0,"",ROUNDUP(Y469/H469,0)*0.01196),"")</f>
        <v>0.68171999999999999</v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319.88636363636363</v>
      </c>
      <c r="BN469" s="76">
        <f t="shared" si="66"/>
        <v>320.91000000000003</v>
      </c>
      <c r="BO469" s="76">
        <f t="shared" si="67"/>
        <v>0.54632867132867136</v>
      </c>
      <c r="BP469" s="76">
        <f t="shared" si="68"/>
        <v>0.54807692307692313</v>
      </c>
    </row>
    <row r="470" spans="1:68" ht="27" hidden="1" customHeight="1" x14ac:dyDescent="0.25">
      <c r="A470" s="32" t="s">
        <v>744</v>
      </c>
      <c r="B470" s="32" t="s">
        <v>745</v>
      </c>
      <c r="C470" s="33">
        <v>4301031419</v>
      </c>
      <c r="D470" s="96">
        <v>4680115882072</v>
      </c>
      <c r="E470" s="96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98"/>
      <c r="R470" s="98"/>
      <c r="S470" s="98"/>
      <c r="T470" s="99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hidden="1" customHeight="1" x14ac:dyDescent="0.25">
      <c r="A471" s="32" t="s">
        <v>746</v>
      </c>
      <c r="B471" s="32" t="s">
        <v>747</v>
      </c>
      <c r="C471" s="33">
        <v>4301031352</v>
      </c>
      <c r="D471" s="96">
        <v>4680115882102</v>
      </c>
      <c r="E471" s="96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9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98"/>
      <c r="R471" s="98"/>
      <c r="S471" s="98"/>
      <c r="T471" s="99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hidden="1" customHeight="1" x14ac:dyDescent="0.25">
      <c r="A472" s="32" t="s">
        <v>746</v>
      </c>
      <c r="B472" s="32" t="s">
        <v>748</v>
      </c>
      <c r="C472" s="33">
        <v>4301031418</v>
      </c>
      <c r="D472" s="96">
        <v>4680115882102</v>
      </c>
      <c r="E472" s="96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98"/>
      <c r="R472" s="98"/>
      <c r="S472" s="98"/>
      <c r="T472" s="99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hidden="1" customHeight="1" x14ac:dyDescent="0.25">
      <c r="A473" s="32" t="s">
        <v>749</v>
      </c>
      <c r="B473" s="32" t="s">
        <v>750</v>
      </c>
      <c r="C473" s="33">
        <v>4301031417</v>
      </c>
      <c r="D473" s="96">
        <v>4680115882096</v>
      </c>
      <c r="E473" s="96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98"/>
      <c r="R473" s="98"/>
      <c r="S473" s="98"/>
      <c r="T473" s="99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2"/>
      <c r="P474" s="93" t="s">
        <v>75</v>
      </c>
      <c r="Q474" s="94"/>
      <c r="R474" s="94"/>
      <c r="S474" s="94"/>
      <c r="T474" s="94"/>
      <c r="U474" s="94"/>
      <c r="V474" s="95"/>
      <c r="W474" s="64" t="s">
        <v>76</v>
      </c>
      <c r="X474" s="65">
        <f>IFERROR(X467/H467,"0")+IFERROR(X468/H468,"0")+IFERROR(X469/H469,"0")+IFERROR(X470/H470,"0")+IFERROR(X471/H471,"0")+IFERROR(X472/H472,"0")+IFERROR(X473/H473,"0")</f>
        <v>246.21212121212119</v>
      </c>
      <c r="Y474" s="65">
        <f>IFERROR(Y467/H467,"0")+IFERROR(Y468/H468,"0")+IFERROR(Y469/H469,"0")+IFERROR(Y470/H470,"0")+IFERROR(Y471/H471,"0")+IFERROR(Y472/H472,"0")+IFERROR(Y473/H473,"0")</f>
        <v>247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2.9541200000000001</v>
      </c>
      <c r="AA474" s="74"/>
      <c r="AB474" s="74"/>
      <c r="AC474" s="74"/>
    </row>
    <row r="475" spans="1:68" x14ac:dyDescent="0.2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2"/>
      <c r="P475" s="93" t="s">
        <v>75</v>
      </c>
      <c r="Q475" s="94"/>
      <c r="R475" s="94"/>
      <c r="S475" s="94"/>
      <c r="T475" s="94"/>
      <c r="U475" s="94"/>
      <c r="V475" s="95"/>
      <c r="W475" s="64" t="s">
        <v>69</v>
      </c>
      <c r="X475" s="65">
        <f>IFERROR(SUM(X467:X473),"0")</f>
        <v>1300</v>
      </c>
      <c r="Y475" s="65">
        <f>IFERROR(SUM(Y467:Y473),"0")</f>
        <v>1304.1600000000001</v>
      </c>
      <c r="Z475" s="64"/>
      <c r="AA475" s="74"/>
      <c r="AB475" s="74"/>
      <c r="AC475" s="74"/>
    </row>
    <row r="476" spans="1:68" ht="27.75" hidden="1" customHeight="1" x14ac:dyDescent="0.2">
      <c r="A476" s="126" t="s">
        <v>751</v>
      </c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68"/>
      <c r="AB476" s="68"/>
      <c r="AC476" s="68"/>
    </row>
    <row r="477" spans="1:68" ht="16.5" hidden="1" customHeight="1" x14ac:dyDescent="0.25">
      <c r="A477" s="125" t="s">
        <v>751</v>
      </c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30"/>
      <c r="AB477" s="30"/>
      <c r="AC477" s="30"/>
    </row>
    <row r="478" spans="1:68" ht="14.25" hidden="1" customHeight="1" x14ac:dyDescent="0.25">
      <c r="A478" s="107" t="s">
        <v>115</v>
      </c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31"/>
      <c r="AB478" s="31"/>
      <c r="AC478" s="31"/>
    </row>
    <row r="479" spans="1:68" ht="27" hidden="1" customHeight="1" x14ac:dyDescent="0.25">
      <c r="A479" s="32" t="s">
        <v>752</v>
      </c>
      <c r="B479" s="32" t="s">
        <v>753</v>
      </c>
      <c r="C479" s="33">
        <v>4301011763</v>
      </c>
      <c r="D479" s="96">
        <v>4640242181011</v>
      </c>
      <c r="E479" s="96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98"/>
      <c r="R479" s="98"/>
      <c r="S479" s="98"/>
      <c r="T479" s="99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customHeight="1" x14ac:dyDescent="0.25">
      <c r="A480" s="32" t="s">
        <v>755</v>
      </c>
      <c r="B480" s="32" t="s">
        <v>756</v>
      </c>
      <c r="C480" s="33">
        <v>4301011584</v>
      </c>
      <c r="D480" s="96">
        <v>4640242180564</v>
      </c>
      <c r="E480" s="96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98"/>
      <c r="R480" s="98"/>
      <c r="S480" s="98"/>
      <c r="T480" s="99"/>
      <c r="U480" s="61" t="s">
        <v>20</v>
      </c>
      <c r="V480" s="61" t="s">
        <v>20</v>
      </c>
      <c r="W480" s="62" t="s">
        <v>69</v>
      </c>
      <c r="X480" s="63">
        <v>100</v>
      </c>
      <c r="Y480" s="69">
        <f>IFERROR(IF(X480="",0,CEILING((X480/$H480),1)*$H480),"")</f>
        <v>108</v>
      </c>
      <c r="Z480" s="70">
        <f>IFERROR(IF(Y480=0,"",ROUNDUP(Y480/H480,0)*0.01898),"")</f>
        <v>0.17082</v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103.41666666666667</v>
      </c>
      <c r="BN480" s="76">
        <f>IFERROR(Y480*I480/H480,"0")</f>
        <v>111.69</v>
      </c>
      <c r="BO480" s="76">
        <f>IFERROR(1/J480*(X480/H480),"0")</f>
        <v>0.13020833333333334</v>
      </c>
      <c r="BP480" s="76">
        <f>IFERROR(1/J480*(Y480/H480),"0")</f>
        <v>0.140625</v>
      </c>
    </row>
    <row r="481" spans="1:68" ht="27" hidden="1" customHeight="1" x14ac:dyDescent="0.25">
      <c r="A481" s="32" t="s">
        <v>758</v>
      </c>
      <c r="B481" s="32" t="s">
        <v>759</v>
      </c>
      <c r="C481" s="33">
        <v>4301011764</v>
      </c>
      <c r="D481" s="96">
        <v>4640242181189</v>
      </c>
      <c r="E481" s="96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98"/>
      <c r="R481" s="98"/>
      <c r="S481" s="98"/>
      <c r="T481" s="99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x14ac:dyDescent="0.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2"/>
      <c r="P482" s="93" t="s">
        <v>75</v>
      </c>
      <c r="Q482" s="94"/>
      <c r="R482" s="94"/>
      <c r="S482" s="94"/>
      <c r="T482" s="94"/>
      <c r="U482" s="94"/>
      <c r="V482" s="95"/>
      <c r="W482" s="64" t="s">
        <v>76</v>
      </c>
      <c r="X482" s="65">
        <f>IFERROR(X479/H479,"0")+IFERROR(X480/H480,"0")+IFERROR(X481/H481,"0")</f>
        <v>8.3333333333333339</v>
      </c>
      <c r="Y482" s="65">
        <f>IFERROR(Y479/H479,"0")+IFERROR(Y480/H480,"0")+IFERROR(Y481/H481,"0")</f>
        <v>9</v>
      </c>
      <c r="Z482" s="65">
        <f>IFERROR(IF(Z479="",0,Z479),"0")+IFERROR(IF(Z480="",0,Z480),"0")+IFERROR(IF(Z481="",0,Z481),"0")</f>
        <v>0.17082</v>
      </c>
      <c r="AA482" s="74"/>
      <c r="AB482" s="74"/>
      <c r="AC482" s="74"/>
    </row>
    <row r="483" spans="1:68" x14ac:dyDescent="0.2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2"/>
      <c r="P483" s="93" t="s">
        <v>75</v>
      </c>
      <c r="Q483" s="94"/>
      <c r="R483" s="94"/>
      <c r="S483" s="94"/>
      <c r="T483" s="94"/>
      <c r="U483" s="94"/>
      <c r="V483" s="95"/>
      <c r="W483" s="64" t="s">
        <v>69</v>
      </c>
      <c r="X483" s="65">
        <f>IFERROR(SUM(X479:X481),"0")</f>
        <v>100</v>
      </c>
      <c r="Y483" s="65">
        <f>IFERROR(SUM(Y479:Y481),"0")</f>
        <v>108</v>
      </c>
      <c r="Z483" s="64"/>
      <c r="AA483" s="74"/>
      <c r="AB483" s="74"/>
      <c r="AC483" s="74"/>
    </row>
    <row r="484" spans="1:68" ht="14.25" hidden="1" customHeight="1" x14ac:dyDescent="0.25">
      <c r="A484" s="107" t="s">
        <v>154</v>
      </c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31"/>
      <c r="AB484" s="31"/>
      <c r="AC484" s="31"/>
    </row>
    <row r="485" spans="1:68" ht="27" hidden="1" customHeight="1" x14ac:dyDescent="0.25">
      <c r="A485" s="32" t="s">
        <v>760</v>
      </c>
      <c r="B485" s="32" t="s">
        <v>761</v>
      </c>
      <c r="C485" s="33">
        <v>4301020400</v>
      </c>
      <c r="D485" s="96">
        <v>4640242180519</v>
      </c>
      <c r="E485" s="96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98"/>
      <c r="R485" s="98"/>
      <c r="S485" s="98"/>
      <c r="T485" s="99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hidden="1" x14ac:dyDescent="0.2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2"/>
      <c r="P486" s="93" t="s">
        <v>75</v>
      </c>
      <c r="Q486" s="94"/>
      <c r="R486" s="94"/>
      <c r="S486" s="94"/>
      <c r="T486" s="94"/>
      <c r="U486" s="94"/>
      <c r="V486" s="95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hidden="1" x14ac:dyDescent="0.2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2"/>
      <c r="P487" s="93" t="s">
        <v>75</v>
      </c>
      <c r="Q487" s="94"/>
      <c r="R487" s="94"/>
      <c r="S487" s="94"/>
      <c r="T487" s="94"/>
      <c r="U487" s="94"/>
      <c r="V487" s="95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hidden="1" customHeight="1" x14ac:dyDescent="0.25">
      <c r="A488" s="107" t="s">
        <v>64</v>
      </c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31"/>
      <c r="AB488" s="31"/>
      <c r="AC488" s="31"/>
    </row>
    <row r="489" spans="1:68" ht="27" hidden="1" customHeight="1" x14ac:dyDescent="0.25">
      <c r="A489" s="32" t="s">
        <v>763</v>
      </c>
      <c r="B489" s="32" t="s">
        <v>764</v>
      </c>
      <c r="C489" s="33">
        <v>4301031467</v>
      </c>
      <c r="D489" s="96">
        <v>4640242180595</v>
      </c>
      <c r="E489" s="96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9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98"/>
      <c r="R489" s="98"/>
      <c r="S489" s="98"/>
      <c r="T489" s="99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hidden="1" x14ac:dyDescent="0.2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2"/>
      <c r="P490" s="93" t="s">
        <v>75</v>
      </c>
      <c r="Q490" s="94"/>
      <c r="R490" s="94"/>
      <c r="S490" s="94"/>
      <c r="T490" s="94"/>
      <c r="U490" s="94"/>
      <c r="V490" s="95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hidden="1" x14ac:dyDescent="0.2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2"/>
      <c r="P491" s="93" t="s">
        <v>75</v>
      </c>
      <c r="Q491" s="94"/>
      <c r="R491" s="94"/>
      <c r="S491" s="94"/>
      <c r="T491" s="94"/>
      <c r="U491" s="94"/>
      <c r="V491" s="95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hidden="1" customHeight="1" x14ac:dyDescent="0.25">
      <c r="A492" s="107" t="s">
        <v>77</v>
      </c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31"/>
      <c r="AB492" s="31"/>
      <c r="AC492" s="31"/>
    </row>
    <row r="493" spans="1:68" ht="27" customHeight="1" x14ac:dyDescent="0.25">
      <c r="A493" s="32" t="s">
        <v>766</v>
      </c>
      <c r="B493" s="32" t="s">
        <v>767</v>
      </c>
      <c r="C493" s="33">
        <v>4301052046</v>
      </c>
      <c r="D493" s="96">
        <v>4640242180533</v>
      </c>
      <c r="E493" s="96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9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98"/>
      <c r="R493" s="98"/>
      <c r="S493" s="98"/>
      <c r="T493" s="99"/>
      <c r="U493" s="61" t="s">
        <v>20</v>
      </c>
      <c r="V493" s="61" t="s">
        <v>20</v>
      </c>
      <c r="W493" s="62" t="s">
        <v>69</v>
      </c>
      <c r="X493" s="63">
        <v>500</v>
      </c>
      <c r="Y493" s="69">
        <f>IFERROR(IF(X493="",0,CEILING((X493/$H493),1)*$H493),"")</f>
        <v>504</v>
      </c>
      <c r="Z493" s="70">
        <f>IFERROR(IF(Y493=0,"",ROUNDUP(Y493/H493,0)*0.01898),"")</f>
        <v>1.06288</v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527.44444444444446</v>
      </c>
      <c r="BN493" s="76">
        <f>IFERROR(Y493*I493/H493,"0")</f>
        <v>531.66399999999999</v>
      </c>
      <c r="BO493" s="76">
        <f>IFERROR(1/J493*(X493/H493),"0")</f>
        <v>0.86805555555555558</v>
      </c>
      <c r="BP493" s="76">
        <f>IFERROR(1/J493*(Y493/H493),"0")</f>
        <v>0.875</v>
      </c>
    </row>
    <row r="494" spans="1:68" x14ac:dyDescent="0.2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2"/>
      <c r="P494" s="93" t="s">
        <v>75</v>
      </c>
      <c r="Q494" s="94"/>
      <c r="R494" s="94"/>
      <c r="S494" s="94"/>
      <c r="T494" s="94"/>
      <c r="U494" s="94"/>
      <c r="V494" s="95"/>
      <c r="W494" s="64" t="s">
        <v>76</v>
      </c>
      <c r="X494" s="65">
        <f>IFERROR(X493/H493,"0")</f>
        <v>55.555555555555557</v>
      </c>
      <c r="Y494" s="65">
        <f>IFERROR(Y493/H493,"0")</f>
        <v>56</v>
      </c>
      <c r="Z494" s="65">
        <f>IFERROR(IF(Z493="",0,Z493),"0")</f>
        <v>1.06288</v>
      </c>
      <c r="AA494" s="74"/>
      <c r="AB494" s="74"/>
      <c r="AC494" s="74"/>
    </row>
    <row r="495" spans="1:68" x14ac:dyDescent="0.2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2"/>
      <c r="P495" s="93" t="s">
        <v>75</v>
      </c>
      <c r="Q495" s="94"/>
      <c r="R495" s="94"/>
      <c r="S495" s="94"/>
      <c r="T495" s="94"/>
      <c r="U495" s="94"/>
      <c r="V495" s="95"/>
      <c r="W495" s="64" t="s">
        <v>69</v>
      </c>
      <c r="X495" s="65">
        <f>IFERROR(SUM(X493:X493),"0")</f>
        <v>500</v>
      </c>
      <c r="Y495" s="65">
        <f>IFERROR(SUM(Y493:Y493),"0")</f>
        <v>504</v>
      </c>
      <c r="Z495" s="64"/>
      <c r="AA495" s="74"/>
      <c r="AB495" s="74"/>
      <c r="AC495" s="74"/>
    </row>
    <row r="496" spans="1:68" ht="14.25" hidden="1" customHeight="1" x14ac:dyDescent="0.25">
      <c r="A496" s="107" t="s">
        <v>179</v>
      </c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31"/>
      <c r="AB496" s="31"/>
      <c r="AC496" s="31"/>
    </row>
    <row r="497" spans="1:68" ht="27" hidden="1" customHeight="1" x14ac:dyDescent="0.25">
      <c r="A497" s="32" t="s">
        <v>769</v>
      </c>
      <c r="B497" s="32" t="s">
        <v>770</v>
      </c>
      <c r="C497" s="33">
        <v>4301060491</v>
      </c>
      <c r="D497" s="96">
        <v>4640242180120</v>
      </c>
      <c r="E497" s="96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9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98"/>
      <c r="R497" s="98"/>
      <c r="S497" s="98"/>
      <c r="T497" s="99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hidden="1" customHeight="1" x14ac:dyDescent="0.25">
      <c r="A498" s="32" t="s">
        <v>772</v>
      </c>
      <c r="B498" s="32" t="s">
        <v>773</v>
      </c>
      <c r="C498" s="33">
        <v>4301060493</v>
      </c>
      <c r="D498" s="96">
        <v>4640242180137</v>
      </c>
      <c r="E498" s="96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9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98"/>
      <c r="R498" s="98"/>
      <c r="S498" s="98"/>
      <c r="T498" s="99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hidden="1" x14ac:dyDescent="0.2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2"/>
      <c r="P499" s="93" t="s">
        <v>75</v>
      </c>
      <c r="Q499" s="94"/>
      <c r="R499" s="94"/>
      <c r="S499" s="94"/>
      <c r="T499" s="94"/>
      <c r="U499" s="94"/>
      <c r="V499" s="95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hidden="1" x14ac:dyDescent="0.2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2"/>
      <c r="P500" s="93" t="s">
        <v>75</v>
      </c>
      <c r="Q500" s="94"/>
      <c r="R500" s="94"/>
      <c r="S500" s="94"/>
      <c r="T500" s="94"/>
      <c r="U500" s="94"/>
      <c r="V500" s="95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hidden="1" customHeight="1" x14ac:dyDescent="0.25">
      <c r="A501" s="125" t="s">
        <v>775</v>
      </c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30"/>
      <c r="AB501" s="30"/>
      <c r="AC501" s="30"/>
    </row>
    <row r="502" spans="1:68" ht="14.25" hidden="1" customHeight="1" x14ac:dyDescent="0.25">
      <c r="A502" s="107" t="s">
        <v>154</v>
      </c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31"/>
      <c r="AB502" s="31"/>
      <c r="AC502" s="31"/>
    </row>
    <row r="503" spans="1:68" ht="27" hidden="1" customHeight="1" x14ac:dyDescent="0.25">
      <c r="A503" s="32" t="s">
        <v>776</v>
      </c>
      <c r="B503" s="32" t="s">
        <v>777</v>
      </c>
      <c r="C503" s="33">
        <v>4301020314</v>
      </c>
      <c r="D503" s="96">
        <v>4640242180090</v>
      </c>
      <c r="E503" s="96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9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98"/>
      <c r="R503" s="98"/>
      <c r="S503" s="98"/>
      <c r="T503" s="99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hidden="1" x14ac:dyDescent="0.2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2"/>
      <c r="P504" s="93" t="s">
        <v>75</v>
      </c>
      <c r="Q504" s="94"/>
      <c r="R504" s="94"/>
      <c r="S504" s="94"/>
      <c r="T504" s="94"/>
      <c r="U504" s="94"/>
      <c r="V504" s="95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hidden="1" x14ac:dyDescent="0.2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2"/>
      <c r="P505" s="93" t="s">
        <v>75</v>
      </c>
      <c r="Q505" s="94"/>
      <c r="R505" s="94"/>
      <c r="S505" s="94"/>
      <c r="T505" s="94"/>
      <c r="U505" s="94"/>
      <c r="V505" s="95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124"/>
      <c r="P506" s="116" t="s">
        <v>779</v>
      </c>
      <c r="Q506" s="117"/>
      <c r="R506" s="117"/>
      <c r="S506" s="117"/>
      <c r="T506" s="117"/>
      <c r="U506" s="117"/>
      <c r="V506" s="118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10300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10435.080000000002</v>
      </c>
      <c r="Z506" s="64"/>
      <c r="AA506" s="74"/>
      <c r="AB506" s="74"/>
      <c r="AC506" s="74"/>
    </row>
    <row r="507" spans="1:68" x14ac:dyDescent="0.2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124"/>
      <c r="P507" s="116" t="s">
        <v>780</v>
      </c>
      <c r="Q507" s="117"/>
      <c r="R507" s="117"/>
      <c r="S507" s="117"/>
      <c r="T507" s="117"/>
      <c r="U507" s="117"/>
      <c r="V507" s="118"/>
      <c r="W507" s="64" t="s">
        <v>69</v>
      </c>
      <c r="X507" s="65">
        <f>IFERROR(SUM(BM22:BM503),"0")</f>
        <v>10974.115735980844</v>
      </c>
      <c r="Y507" s="65">
        <f>IFERROR(SUM(BN22:BN503),"0")</f>
        <v>11116.782000000001</v>
      </c>
      <c r="Z507" s="64"/>
      <c r="AA507" s="74"/>
      <c r="AB507" s="74"/>
      <c r="AC507" s="74"/>
    </row>
    <row r="508" spans="1:68" x14ac:dyDescent="0.2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124"/>
      <c r="P508" s="116" t="s">
        <v>781</v>
      </c>
      <c r="Q508" s="117"/>
      <c r="R508" s="117"/>
      <c r="S508" s="117"/>
      <c r="T508" s="117"/>
      <c r="U508" s="117"/>
      <c r="V508" s="118"/>
      <c r="W508" s="64" t="s">
        <v>782</v>
      </c>
      <c r="X508" s="80">
        <f>ROUNDUP(SUM(BO22:BO503),0)</f>
        <v>18</v>
      </c>
      <c r="Y508" s="80">
        <f>ROUNDUP(SUM(BP22:BP503),0)</f>
        <v>19</v>
      </c>
      <c r="Z508" s="64"/>
      <c r="AA508" s="74"/>
      <c r="AB508" s="74"/>
      <c r="AC508" s="74"/>
    </row>
    <row r="509" spans="1:68" x14ac:dyDescent="0.2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124"/>
      <c r="P509" s="116" t="s">
        <v>783</v>
      </c>
      <c r="Q509" s="117"/>
      <c r="R509" s="117"/>
      <c r="S509" s="117"/>
      <c r="T509" s="117"/>
      <c r="U509" s="117"/>
      <c r="V509" s="118"/>
      <c r="W509" s="64" t="s">
        <v>69</v>
      </c>
      <c r="X509" s="65">
        <f>GrossWeightTotal+PalletQtyTotal*25</f>
        <v>11424.115735980844</v>
      </c>
      <c r="Y509" s="65">
        <f>GrossWeightTotalR+PalletQtyTotalR*25</f>
        <v>11591.782000000001</v>
      </c>
      <c r="Z509" s="64"/>
      <c r="AA509" s="74"/>
      <c r="AB509" s="74"/>
      <c r="AC509" s="74"/>
    </row>
    <row r="510" spans="1:68" x14ac:dyDescent="0.2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124"/>
      <c r="P510" s="116" t="s">
        <v>784</v>
      </c>
      <c r="Q510" s="117"/>
      <c r="R510" s="117"/>
      <c r="S510" s="117"/>
      <c r="T510" s="117"/>
      <c r="U510" s="117"/>
      <c r="V510" s="118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1722.3672642943477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1741</v>
      </c>
      <c r="Z510" s="64"/>
      <c r="AA510" s="74"/>
      <c r="AB510" s="74"/>
      <c r="AC510" s="74"/>
    </row>
    <row r="511" spans="1:68" ht="14.25" hidden="1" x14ac:dyDescent="0.2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124"/>
      <c r="P511" s="116" t="s">
        <v>785</v>
      </c>
      <c r="Q511" s="117"/>
      <c r="R511" s="117"/>
      <c r="S511" s="117"/>
      <c r="T511" s="117"/>
      <c r="U511" s="117"/>
      <c r="V511" s="118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21.693299999999997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00" t="s">
        <v>113</v>
      </c>
      <c r="E513" s="100" t="s">
        <v>113</v>
      </c>
      <c r="F513" s="100" t="s">
        <v>113</v>
      </c>
      <c r="G513" s="100" t="s">
        <v>113</v>
      </c>
      <c r="H513" s="100" t="s">
        <v>113</v>
      </c>
      <c r="I513" s="100" t="s">
        <v>113</v>
      </c>
      <c r="J513" s="100" t="s">
        <v>299</v>
      </c>
      <c r="K513" s="100" t="s">
        <v>299</v>
      </c>
      <c r="L513" s="100" t="s">
        <v>299</v>
      </c>
      <c r="M513" s="100" t="s">
        <v>299</v>
      </c>
      <c r="N513" s="119"/>
      <c r="O513" s="100" t="s">
        <v>299</v>
      </c>
      <c r="P513" s="100" t="s">
        <v>299</v>
      </c>
      <c r="Q513" s="100" t="s">
        <v>299</v>
      </c>
      <c r="R513" s="100" t="s">
        <v>299</v>
      </c>
      <c r="S513" s="100" t="s">
        <v>299</v>
      </c>
      <c r="T513" s="100" t="s">
        <v>598</v>
      </c>
      <c r="U513" s="100" t="s">
        <v>598</v>
      </c>
      <c r="V513" s="100" t="s">
        <v>651</v>
      </c>
      <c r="W513" s="100" t="s">
        <v>651</v>
      </c>
      <c r="X513" s="100" t="s">
        <v>651</v>
      </c>
      <c r="Y513" s="83" t="s">
        <v>699</v>
      </c>
      <c r="Z513" s="100" t="s">
        <v>751</v>
      </c>
      <c r="AA513" s="100" t="s">
        <v>751</v>
      </c>
      <c r="AB513" s="9"/>
      <c r="AC513" s="9"/>
      <c r="AF513" s="4"/>
    </row>
    <row r="514" spans="1:32" ht="14.25" customHeight="1" x14ac:dyDescent="0.2">
      <c r="A514" s="120" t="s">
        <v>788</v>
      </c>
      <c r="B514" s="100" t="s">
        <v>63</v>
      </c>
      <c r="C514" s="100" t="s">
        <v>109</v>
      </c>
      <c r="D514" s="100" t="s">
        <v>114</v>
      </c>
      <c r="E514" s="100" t="s">
        <v>135</v>
      </c>
      <c r="F514" s="100" t="s">
        <v>186</v>
      </c>
      <c r="G514" s="100" t="s">
        <v>208</v>
      </c>
      <c r="H514" s="100" t="s">
        <v>245</v>
      </c>
      <c r="I514" s="100" t="s">
        <v>113</v>
      </c>
      <c r="J514" s="100" t="s">
        <v>300</v>
      </c>
      <c r="K514" s="100" t="s">
        <v>352</v>
      </c>
      <c r="L514" s="100" t="s">
        <v>412</v>
      </c>
      <c r="M514" s="100" t="s">
        <v>451</v>
      </c>
      <c r="N514" s="4"/>
      <c r="O514" s="100" t="s">
        <v>468</v>
      </c>
      <c r="P514" s="100" t="s">
        <v>479</v>
      </c>
      <c r="Q514" s="100" t="s">
        <v>488</v>
      </c>
      <c r="R514" s="100" t="s">
        <v>504</v>
      </c>
      <c r="S514" s="100" t="s">
        <v>588</v>
      </c>
      <c r="T514" s="100" t="s">
        <v>599</v>
      </c>
      <c r="U514" s="100" t="s">
        <v>635</v>
      </c>
      <c r="V514" s="100" t="s">
        <v>652</v>
      </c>
      <c r="W514" s="100" t="s">
        <v>683</v>
      </c>
      <c r="X514" s="100" t="s">
        <v>695</v>
      </c>
      <c r="Y514" s="100" t="s">
        <v>699</v>
      </c>
      <c r="Z514" s="100" t="s">
        <v>751</v>
      </c>
      <c r="AA514" s="100" t="s">
        <v>775</v>
      </c>
      <c r="AB514" s="9"/>
      <c r="AC514" s="9"/>
      <c r="AF514" s="4"/>
    </row>
    <row r="515" spans="1:32" x14ac:dyDescent="0.2">
      <c r="A515" s="121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4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311.20000000000005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308.70000000000005</v>
      </c>
      <c r="F516" s="84">
        <f>IFERROR(Y94*1,"0")+IFERROR(Y95*1,"0")+IFERROR(Y96*1,"0")+IFERROR(Y97*1,"0")+IFERROR(Y101*1,"0")+IFERROR(Y102*1,"0")+IFERROR(Y103*1,"0")+IFERROR(Y104*1,"0")</f>
        <v>558.90000000000009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363.00000000000006</v>
      </c>
      <c r="H516" s="84">
        <f>IFERROR(Y136*1,"0")+IFERROR(Y137*1,"0")+IFERROR(Y141*1,"0")+IFERROR(Y142*1,"0")+IFERROR(Y146*1,"0")+IFERROR(Y147*1,"0")</f>
        <v>0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51.2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1269.0000000000002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257.39999999999998</v>
      </c>
      <c r="S516" s="84">
        <f>IFERROR(Y361*1,"0")+IFERROR(Y362*1,"0")+IFERROR(Y363*1,"0")</f>
        <v>100.80000000000001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1776</v>
      </c>
      <c r="U516" s="84">
        <f>IFERROR(Y394*1,"0")+IFERROR(Y395*1,"0")+IFERROR(Y399*1,"0")+IFERROR(Y403*1,"0")+IFERROR(Y404*1,"0")+IFERROR(Y405*1,"0")</f>
        <v>712.8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4114.08</v>
      </c>
      <c r="Z516" s="84">
        <f>IFERROR(Y479*1,"0")+IFERROR(Y480*1,"0")+IFERROR(Y481*1,"0")+IFERROR(Y485*1,"0")+IFERROR(Y489*1,"0")+IFERROR(Y493*1,"0")+IFERROR(Y497*1,"0")+IFERROR(Y498*1,"0")</f>
        <v>612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000,00"/>
        <filter val="1 300,00"/>
        <filter val="1 722,37"/>
        <filter val="10 300,00"/>
        <filter val="10 974,12"/>
        <filter val="100,00"/>
        <filter val="11 424,12"/>
        <filter val="12,35"/>
        <filter val="150,00"/>
        <filter val="18"/>
        <filter val="2 300,00"/>
        <filter val="200,00"/>
        <filter val="22,22"/>
        <filter val="246,21"/>
        <filter val="250,00"/>
        <filter val="27,78"/>
        <filter val="287,04"/>
        <filter val="3,91"/>
        <filter val="300,00"/>
        <filter val="31,85"/>
        <filter val="32,05"/>
        <filter val="35,65"/>
        <filter val="4,63"/>
        <filter val="40,74"/>
        <filter val="439,39"/>
        <filter val="46,67"/>
        <filter val="47,62"/>
        <filter val="50,00"/>
        <filter val="500,00"/>
        <filter val="55,56"/>
        <filter val="56,67"/>
        <filter val="600,00"/>
        <filter val="67,90"/>
        <filter val="700,00"/>
        <filter val="8,33"/>
        <filter val="850,00"/>
        <filter val="900,00"/>
        <filter val="94,70"/>
        <filter val="97,22"/>
      </filters>
    </filterColumn>
  </autoFilter>
  <mergeCells count="905"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36407DDB-7AD7-47BE-9510-621E920C3D44}">
  <ds:schemaRefs/>
</ds:datastoreItem>
</file>

<file path=customXml/itemProps2.xml><?xml version="1.0" encoding="utf-8"?>
<ds:datastoreItem xmlns:ds="http://schemas.openxmlformats.org/officeDocument/2006/customXml" ds:itemID="{FE5A0B88-DB71-4916-80FA-147DE2C72DAC}">
  <ds:schemaRefs/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2026-09-09T12:32:24Z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