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09,09 НПК КИ ЛП ближ\"/>
    </mc:Choice>
  </mc:AlternateContent>
  <xr:revisionPtr revIDLastSave="0" documentId="13_ncr:1_{8D3B19C3-8244-4A94-B433-B9A3B72535D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P539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Z492" i="2" s="1"/>
  <c r="P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P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Z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BP440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P410" i="2"/>
  <c r="BO410" i="2"/>
  <c r="BM410" i="2"/>
  <c r="Y410" i="2"/>
  <c r="BN410" i="2" s="1"/>
  <c r="P410" i="2"/>
  <c r="BO409" i="2"/>
  <c r="BM409" i="2"/>
  <c r="Z409" i="2"/>
  <c r="Y409" i="2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P396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Z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Y367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P277" i="2"/>
  <c r="BO277" i="2"/>
  <c r="BN277" i="2"/>
  <c r="BM277" i="2"/>
  <c r="Z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P200" i="2"/>
  <c r="BO200" i="2"/>
  <c r="BM200" i="2"/>
  <c r="Y200" i="2"/>
  <c r="P200" i="2"/>
  <c r="BO199" i="2"/>
  <c r="BM199" i="2"/>
  <c r="Y199" i="2"/>
  <c r="Y202" i="2" s="1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Z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Z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Z97" i="2"/>
  <c r="Y97" i="2"/>
  <c r="P97" i="2"/>
  <c r="BO96" i="2"/>
  <c r="BM96" i="2"/>
  <c r="Y96" i="2"/>
  <c r="Z96" i="2" s="1"/>
  <c r="BO95" i="2"/>
  <c r="BN95" i="2"/>
  <c r="BM95" i="2"/>
  <c r="Z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P78" i="2"/>
  <c r="BO78" i="2"/>
  <c r="BN78" i="2"/>
  <c r="BM78" i="2"/>
  <c r="Z78" i="2"/>
  <c r="Y78" i="2"/>
  <c r="P78" i="2"/>
  <c r="BO77" i="2"/>
  <c r="BM77" i="2"/>
  <c r="Z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Z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P41" i="2"/>
  <c r="BO41" i="2"/>
  <c r="BN41" i="2"/>
  <c r="BM41" i="2"/>
  <c r="Z41" i="2"/>
  <c r="Y41" i="2"/>
  <c r="P41" i="2"/>
  <c r="BO40" i="2"/>
  <c r="BM40" i="2"/>
  <c r="Y40" i="2"/>
  <c r="BN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BN23" i="2" l="1"/>
  <c r="BN30" i="2"/>
  <c r="BN80" i="2"/>
  <c r="BP93" i="2"/>
  <c r="BP104" i="2"/>
  <c r="Z104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N278" i="2"/>
  <c r="BN289" i="2"/>
  <c r="BN303" i="2"/>
  <c r="BN318" i="2"/>
  <c r="BN351" i="2"/>
  <c r="BN372" i="2"/>
  <c r="BN379" i="2"/>
  <c r="BN397" i="2"/>
  <c r="Z397" i="2"/>
  <c r="BP429" i="2"/>
  <c r="BN429" i="2"/>
  <c r="Z429" i="2"/>
  <c r="BN439" i="2"/>
  <c r="Z439" i="2"/>
  <c r="BN455" i="2"/>
  <c r="Z455" i="2"/>
  <c r="BP466" i="2"/>
  <c r="BN466" i="2"/>
  <c r="Z466" i="2"/>
  <c r="BP491" i="2"/>
  <c r="Y493" i="2"/>
  <c r="BN492" i="2"/>
  <c r="BN515" i="2"/>
  <c r="Y24" i="2"/>
  <c r="Z27" i="2"/>
  <c r="BP40" i="2"/>
  <c r="Y61" i="2"/>
  <c r="Z64" i="2"/>
  <c r="BP77" i="2"/>
  <c r="Z86" i="2"/>
  <c r="BN86" i="2"/>
  <c r="Z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BP250" i="2"/>
  <c r="BN250" i="2"/>
  <c r="Z250" i="2"/>
  <c r="Y258" i="2"/>
  <c r="BP255" i="2"/>
  <c r="BP267" i="2"/>
  <c r="BN267" i="2"/>
  <c r="Z267" i="2"/>
  <c r="BN283" i="2"/>
  <c r="BP297" i="2"/>
  <c r="BN297" i="2"/>
  <c r="Z297" i="2"/>
  <c r="BN310" i="2"/>
  <c r="BN336" i="2"/>
  <c r="BN396" i="2"/>
  <c r="Y400" i="2"/>
  <c r="Z396" i="2"/>
  <c r="BP405" i="2"/>
  <c r="BN405" i="2"/>
  <c r="Z405" i="2"/>
  <c r="BP411" i="2"/>
  <c r="Z411" i="2"/>
  <c r="BN415" i="2"/>
  <c r="BP441" i="2"/>
  <c r="BN441" i="2"/>
  <c r="Z441" i="2"/>
  <c r="BN449" i="2"/>
  <c r="Z449" i="2"/>
  <c r="BP455" i="2"/>
  <c r="Y468" i="2"/>
  <c r="Z465" i="2"/>
  <c r="Z467" i="2" s="1"/>
  <c r="Y499" i="2"/>
  <c r="Z497" i="2"/>
  <c r="Z498" i="2" s="1"/>
  <c r="BN510" i="2"/>
  <c r="BN530" i="2"/>
  <c r="BN556" i="2"/>
  <c r="BN99" i="2"/>
  <c r="BP105" i="2"/>
  <c r="BP106" i="2"/>
  <c r="BN107" i="2"/>
  <c r="BN115" i="2"/>
  <c r="BN123" i="2"/>
  <c r="BN128" i="2"/>
  <c r="Y137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N352" i="2"/>
  <c r="BN389" i="2"/>
  <c r="Y413" i="2"/>
  <c r="BP409" i="2"/>
  <c r="Y412" i="2"/>
  <c r="BN422" i="2"/>
  <c r="BN430" i="2"/>
  <c r="BN442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<sst xmlns="http://schemas.openxmlformats.org/spreadsheetml/2006/main" count="4373" uniqueCount="914">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</sst>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4" sqref="AA47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500</v>
      </c>
      <c r="Y474" s="55">
        <f>IFERROR(IF(X474="",0,CEILING((X474/$H474),1)*$H474),"")</f>
        <v>504</v>
      </c>
      <c r="Z474" s="41">
        <f>IFERROR(IF(Y474=0,"",ROUNDUP(Y474/H474,0)*0.01898),"")</f>
        <v>1.06288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527.44444444444446</v>
      </c>
      <c r="BN474" s="78">
        <f>IFERROR(Y474*I474/H474,"0")</f>
        <v>531.66399999999999</v>
      </c>
      <c r="BO474" s="78">
        <f>IFERROR(1/J474*(X474/H474),"0")</f>
        <v>0.86805555555555558</v>
      </c>
      <c r="BP474" s="78">
        <f>IFERROR(1/J474*(Y474/H474),"0")</f>
        <v>0.875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55.555555555555557</v>
      </c>
      <c r="Y477" s="43">
        <f>IFERROR(Y474/H474,"0")+IFERROR(Y475/H475,"0")+IFERROR(Y476/H476,"0")</f>
        <v>56</v>
      </c>
      <c r="Z477" s="43">
        <f>IFERROR(IF(Z474="",0,Z474),"0")+IFERROR(IF(Z475="",0,Z475),"0")+IFERROR(IF(Z476="",0,Z476),"0")</f>
        <v>1.06288</v>
      </c>
      <c r="AA477" s="67"/>
      <c r="AB477" s="67"/>
      <c r="AC477" s="67"/>
    </row>
    <row r="478" spans="1:68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500</v>
      </c>
      <c r="Y478" s="43">
        <f>IFERROR(SUM(Y474:Y476),"0")</f>
        <v>504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500</v>
      </c>
      <c r="Y551" s="55">
        <f>IFERROR(IF(X551="",0,CEILING((X551/$H551),1)*$H551),"")</f>
        <v>504</v>
      </c>
      <c r="Z551" s="41">
        <f>IFERROR(IF(Y551=0,"",ROUNDUP(Y551/H551,0)*0.01898),"")</f>
        <v>1.06288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527.44444444444446</v>
      </c>
      <c r="BN551" s="78">
        <f>IFERROR(Y551*I551/H551,"0")</f>
        <v>531.66399999999999</v>
      </c>
      <c r="BO551" s="78">
        <f>IFERROR(1/J551*(X551/H551),"0")</f>
        <v>0.86805555555555558</v>
      </c>
      <c r="BP551" s="78">
        <f>IFERROR(1/J551*(Y551/H551),"0")</f>
        <v>0.875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55.555555555555557</v>
      </c>
      <c r="Y552" s="43">
        <f>IFERROR(Y551/H551,"0")</f>
        <v>56</v>
      </c>
      <c r="Z552" s="43">
        <f>IFERROR(IF(Z551="",0,Z551),"0")</f>
        <v>1.06288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500</v>
      </c>
      <c r="Y553" s="43">
        <f>IFERROR(SUM(Y551:Y551),"0")</f>
        <v>504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1000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1008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1054.8888888888889</v>
      </c>
      <c r="Y565" s="43">
        <f>IFERROR(SUM(BN22:BN561),"0")</f>
        <v>1063.328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2</v>
      </c>
      <c r="Y566" s="44">
        <f>ROUNDUP(SUM(BP22:BP561),0)</f>
        <v>2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1104.8888888888889</v>
      </c>
      <c r="Y567" s="43">
        <f>GrossWeightTotalR+PalletQtyTotalR*25</f>
        <v>1113.328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111.11111111111111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112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2.1257600000000001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504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504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4,89"/>
        <filter val="1 104,89"/>
        <filter val="111,11"/>
        <filter val="2"/>
        <filter val="500,00"/>
        <filter val="55,56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2026-09-09T12:37:18Z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