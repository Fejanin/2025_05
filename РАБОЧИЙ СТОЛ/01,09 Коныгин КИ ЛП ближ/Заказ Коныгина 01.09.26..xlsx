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01,09 Коныгин КИ ЛП ближ\"/>
    </mc:Choice>
  </mc:AlternateContent>
  <xr:revisionPtr revIDLastSave="0" documentId="13_ncr:1_{7D24132B-48CE-4AB4-A22F-97D3F210FD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91" i="2" l="1"/>
  <c r="BP375" i="2"/>
  <c r="Z284" i="2"/>
  <c r="Z470" i="2"/>
  <c r="BN470" i="2"/>
  <c r="Z480" i="2"/>
  <c r="Z64" i="2"/>
  <c r="Z108" i="2"/>
  <c r="BP114" i="2"/>
  <c r="Z233" i="2"/>
  <c r="Z310" i="2"/>
  <c r="Z394" i="2"/>
  <c r="Z513" i="2"/>
  <c r="Z31" i="2"/>
  <c r="BN31" i="2"/>
  <c r="Z86" i="2"/>
  <c r="Z93" i="2"/>
  <c r="BN93" i="2"/>
  <c r="Z97" i="2"/>
  <c r="Z155" i="2"/>
  <c r="Z214" i="2"/>
  <c r="BN214" i="2"/>
  <c r="Z304" i="2"/>
  <c r="BP345" i="2"/>
  <c r="Z388" i="2"/>
  <c r="BN388" i="2"/>
  <c r="Z424" i="2"/>
  <c r="BN424" i="2"/>
  <c r="BP493" i="2"/>
  <c r="X562" i="2"/>
  <c r="Z48" i="2"/>
  <c r="BN48" i="2"/>
  <c r="Z77" i="2"/>
  <c r="BN77" i="2"/>
  <c r="Z138" i="2"/>
  <c r="BN138" i="2"/>
  <c r="Y177" i="2"/>
  <c r="BP226" i="2"/>
  <c r="Z236" i="2"/>
  <c r="BN236" i="2"/>
  <c r="Z244" i="2"/>
  <c r="BN244" i="2"/>
  <c r="Z257" i="2"/>
  <c r="Z258" i="2" s="1"/>
  <c r="BN257" i="2"/>
  <c r="BP257" i="2"/>
  <c r="Y258" i="2"/>
  <c r="Z276" i="2"/>
  <c r="Z288" i="2"/>
  <c r="BN288" i="2"/>
  <c r="Z307" i="2"/>
  <c r="Z387" i="2"/>
  <c r="BP418" i="2"/>
  <c r="BP435" i="2"/>
  <c r="Z481" i="2"/>
  <c r="BN481" i="2"/>
  <c r="Z524" i="2"/>
  <c r="X560" i="2"/>
  <c r="BN73" i="2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3" i="2" s="1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Y427" i="2"/>
  <c r="BN436" i="2"/>
  <c r="BP456" i="2"/>
  <c r="BP461" i="2"/>
  <c r="BN461" i="2"/>
  <c r="Z461" i="2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395" i="2" l="1"/>
  <c r="Z446" i="2"/>
  <c r="Z473" i="2"/>
  <c r="Z341" i="2"/>
  <c r="Z414" i="2"/>
  <c r="Z68" i="2"/>
  <c r="Z402" i="2"/>
  <c r="Z457" i="2"/>
  <c r="Z463" i="2"/>
  <c r="Z520" i="2"/>
  <c r="Z145" i="2"/>
  <c r="Z530" i="2"/>
  <c r="Z484" i="2"/>
  <c r="Z382" i="2"/>
  <c r="Z280" i="2"/>
  <c r="Z192" i="2"/>
  <c r="Z119" i="2"/>
  <c r="Z32" i="2"/>
  <c r="Z350" i="2"/>
  <c r="Z172" i="2"/>
  <c r="Z427" i="2"/>
  <c r="Z489" i="2"/>
  <c r="Z81" i="2"/>
  <c r="Z140" i="2"/>
  <c r="Z30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<sst xmlns="http://schemas.openxmlformats.org/spreadsheetml/2006/main" count="4317" uniqueCount="904">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</sst>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topLeftCell="A517" zoomScaleNormal="100" zoomScaleSheetLayoutView="100" workbookViewId="0">
      <selection activeCell="Z566" sqref="Z5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/>
      <c r="I5" s="659"/>
      <c r="J5" s="659"/>
      <c r="K5" s="659"/>
      <c r="L5" s="659"/>
      <c r="M5" s="659"/>
      <c r="N5" s="72"/>
      <c r="P5" s="27" t="s">
        <v>4</v>
      </c>
      <c r="Q5" s="661">
        <v>46268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Четверг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40</v>
      </c>
      <c r="Y47" s="55">
        <f>IFERROR(IF(X47="",0,CEILING((X47/$H47),1)*$H47),"")</f>
        <v>43.2</v>
      </c>
      <c r="Z47" s="41">
        <f>IFERROR(IF(Y47=0,"",ROUNDUP(Y47/H47,0)*0.01898),"")</f>
        <v>7.5920000000000001E-2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41.518518518518519</v>
      </c>
      <c r="BN47" s="78">
        <f>IFERROR(Y47*I47/H47,"0")</f>
        <v>44.84</v>
      </c>
      <c r="BO47" s="78">
        <f>IFERROR(1/J47*(X47/H47),"0")</f>
        <v>5.7870370370370364E-2</v>
      </c>
      <c r="BP47" s="78">
        <f>IFERROR(1/J47*(Y47/H47),"0")</f>
        <v>6.25E-2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3.7037037037037033</v>
      </c>
      <c r="Y51" s="43">
        <f>IFERROR(Y47/H47,"0")+IFERROR(Y48/H48,"0")+IFERROR(Y49/H49,"0")+IFERROR(Y50/H50,"0")</f>
        <v>4</v>
      </c>
      <c r="Z51" s="43">
        <f>IFERROR(IF(Z47="",0,Z47),"0")+IFERROR(IF(Z48="",0,Z48),"0")+IFERROR(IF(Z49="",0,Z49),"0")+IFERROR(IF(Z50="",0,Z50),"0")</f>
        <v>7.5920000000000001E-2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40</v>
      </c>
      <c r="Y52" s="43">
        <f>IFERROR(SUM(Y47:Y50),"0")</f>
        <v>43.2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60</v>
      </c>
      <c r="Y85" s="55">
        <f>IFERROR(IF(X85="",0,CEILING((X85/$H85),1)*$H85),"")</f>
        <v>64.800000000000011</v>
      </c>
      <c r="Z85" s="41">
        <f>IFERROR(IF(Y85=0,"",ROUNDUP(Y85/H85,0)*0.01898),"")</f>
        <v>0.11388000000000001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62.277777777777779</v>
      </c>
      <c r="BN85" s="78">
        <f>IFERROR(Y85*I85/H85,"0")</f>
        <v>67.260000000000005</v>
      </c>
      <c r="BO85" s="78">
        <f>IFERROR(1/J85*(X85/H85),"0")</f>
        <v>8.6805555555555552E-2</v>
      </c>
      <c r="BP85" s="78">
        <f>IFERROR(1/J85*(Y85/H85),"0")</f>
        <v>9.3750000000000014E-2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5.5555555555555554</v>
      </c>
      <c r="Y90" s="43">
        <f>IFERROR(Y85/H85,"0")+IFERROR(Y86/H86,"0")+IFERROR(Y87/H87,"0")+IFERROR(Y88/H88,"0")+IFERROR(Y89/H89,"0")</f>
        <v>6.0000000000000009</v>
      </c>
      <c r="Z90" s="43">
        <f>IFERROR(IF(Z85="",0,Z85),"0")+IFERROR(IF(Z86="",0,Z86),"0")+IFERROR(IF(Z87="",0,Z87),"0")+IFERROR(IF(Z88="",0,Z88),"0")+IFERROR(IF(Z89="",0,Z89),"0")</f>
        <v>0.11388000000000001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60</v>
      </c>
      <c r="Y91" s="43">
        <f>IFERROR(SUM(Y85:Y89),"0")</f>
        <v>64.800000000000011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8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53.049382716049386</v>
      </c>
      <c r="BN93" s="78">
        <f t="shared" ref="BN93:BN98" si="7">IFERROR(Y93*I93/H93,"0")</f>
        <v>60.157999999999994</v>
      </c>
      <c r="BO93" s="78">
        <f t="shared" ref="BO93:BO98" si="8">IFERROR(1/J93*(X93/H93),"0")</f>
        <v>9.6450617283950615E-2</v>
      </c>
      <c r="BP93" s="78">
        <f t="shared" ref="BP93:BP98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6.1728395061728394</v>
      </c>
      <c r="Y99" s="43">
        <f>IFERROR(Y93/H93,"0")+IFERROR(Y94/H94,"0")+IFERROR(Y95/H95,"0")+IFERROR(Y96/H96,"0")+IFERROR(Y97/H97,"0")+IFERROR(Y98/H98,"0")</f>
        <v>7</v>
      </c>
      <c r="Z99" s="43">
        <f>IFERROR(IF(Z93="",0,Z93),"0")+IFERROR(IF(Z94="",0,Z94),"0")+IFERROR(IF(Z95="",0,Z95),"0")+IFERROR(IF(Z96="",0,Z96),"0")+IFERROR(IF(Z97="",0,Z97),"0")+IFERROR(IF(Z98="",0,Z98),"0")</f>
        <v>0.13286000000000001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50</v>
      </c>
      <c r="Y100" s="43">
        <f>IFERROR(SUM(Y93:Y98),"0")</f>
        <v>56.699999999999996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100</v>
      </c>
      <c r="Y122" s="55">
        <f t="shared" ref="Y122:Y128" si="15">IFERROR(IF(X122="",0,CEILING((X122/$H122),1)*$H122),"")</f>
        <v>105.3</v>
      </c>
      <c r="Z122" s="41">
        <f>IFERROR(IF(Y122=0,"",ROUNDUP(Y122/H122,0)*0.01898),"")</f>
        <v>0.24674000000000001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106.0246913580247</v>
      </c>
      <c r="BN122" s="78">
        <f t="shared" ref="BN122:BN128" si="17">IFERROR(Y122*I122/H122,"0")</f>
        <v>111.64399999999999</v>
      </c>
      <c r="BO122" s="78">
        <f t="shared" ref="BO122:BO128" si="18">IFERROR(1/J122*(X122/H122),"0")</f>
        <v>0.19290123456790123</v>
      </c>
      <c r="BP122" s="78">
        <f t="shared" ref="BP122:BP128" si="19">IFERROR(1/J122*(Y122/H122),"0")</f>
        <v>0.203125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12.345679012345679</v>
      </c>
      <c r="Y129" s="43">
        <f>IFERROR(Y122/H122,"0")+IFERROR(Y123/H123,"0")+IFERROR(Y124/H124,"0")+IFERROR(Y125/H125,"0")+IFERROR(Y126/H126,"0")+IFERROR(Y127/H127,"0")+IFERROR(Y128/H128,"0")</f>
        <v>13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0.24674000000000001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100</v>
      </c>
      <c r="Y130" s="43">
        <f>IFERROR(SUM(Y122:Y128),"0")</f>
        <v>105.3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80</v>
      </c>
      <c r="Y228" s="55">
        <f t="shared" si="37"/>
        <v>84</v>
      </c>
      <c r="Z228" s="41">
        <f>IFERROR(IF(Y228=0,"",ROUNDUP(Y228/H228,0)*0.00902),"")</f>
        <v>0.1804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83.619047619047606</v>
      </c>
      <c r="BN228" s="78">
        <f t="shared" si="39"/>
        <v>87.8</v>
      </c>
      <c r="BO228" s="78">
        <f t="shared" si="40"/>
        <v>0.14430014430014429</v>
      </c>
      <c r="BP228" s="78">
        <f t="shared" si="41"/>
        <v>0.15151515151515152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19.047619047619047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0.1804</v>
      </c>
      <c r="AA240" s="67"/>
      <c r="AB240" s="67"/>
      <c r="AC240" s="67"/>
    </row>
    <row r="241" spans="1:68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80</v>
      </c>
      <c r="Y241" s="43">
        <f>IFERROR(SUM(Y226:Y239),"0")</f>
        <v>84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ref="Y272:Y279" si="43">IFERROR(IF(X272="",0,CEILING((X272/$H272),1)*$H272),"")</f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72.462962962962962</v>
      </c>
      <c r="BN272" s="78">
        <f t="shared" ref="BN272:BN279" si="45">IFERROR(Y272*I272/H272,"0")</f>
        <v>72.67</v>
      </c>
      <c r="BO272" s="78">
        <f t="shared" ref="BO272:BO279" si="46">IFERROR(1/J272*(X272/H272),"0")</f>
        <v>9.8204264870931535E-2</v>
      </c>
      <c r="BP272" s="78">
        <f t="shared" ref="BP272:BP279" si="47">IFERROR(1/J272*(Y272/H272),"0")</f>
        <v>9.8484848484848481E-2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130</v>
      </c>
      <c r="Y274" s="55">
        <f t="shared" si="43"/>
        <v>135</v>
      </c>
      <c r="Z274" s="41">
        <f>IFERROR(IF(Y274=0,"",ROUNDUP(Y274/H274,0)*0.00902),"")</f>
        <v>0.22550000000000001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134.57407407407405</v>
      </c>
      <c r="BN274" s="78">
        <f t="shared" si="45"/>
        <v>139.75</v>
      </c>
      <c r="BO274" s="78">
        <f t="shared" si="46"/>
        <v>0.18237934904601572</v>
      </c>
      <c r="BP274" s="78">
        <f t="shared" si="47"/>
        <v>0.18939393939393939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37.037037037037038</v>
      </c>
      <c r="Y280" s="43">
        <f>IFERROR(Y272/H272,"0")+IFERROR(Y273/H273,"0")+IFERROR(Y274/H274,"0")+IFERROR(Y275/H275,"0")+IFERROR(Y276/H276,"0")+IFERROR(Y277/H277,"0")+IFERROR(Y278/H278,"0")+IFERROR(Y279/H279,"0")</f>
        <v>38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0.34276000000000001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200</v>
      </c>
      <c r="Y281" s="43">
        <f>IFERROR(SUM(Y272:Y279),"0")</f>
        <v>205.2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20</v>
      </c>
      <c r="Y375" s="55">
        <f t="shared" ref="Y375:Y381" si="63">IFERROR(IF(X375="",0,CEILING((X375/$H375),1)*$H375),"")</f>
        <v>21</v>
      </c>
      <c r="Z375" s="41">
        <f>IFERROR(IF(Y375=0,"",ROUNDUP(Y375/H375,0)*0.00902),"")</f>
        <v>4.5100000000000001E-2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21.19047619047619</v>
      </c>
      <c r="BN375" s="78">
        <f t="shared" ref="BN375:BN381" si="65">IFERROR(Y375*I375/H375,"0")</f>
        <v>22.25</v>
      </c>
      <c r="BO375" s="78">
        <f t="shared" ref="BO375:BO381" si="66">IFERROR(1/J375*(X375/H375),"0")</f>
        <v>3.6075036075036072E-2</v>
      </c>
      <c r="BP375" s="78">
        <f t="shared" ref="BP375:BP381" si="67">IFERROR(1/J375*(Y375/H375),"0")</f>
        <v>3.787878787878788E-2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700</v>
      </c>
      <c r="Y376" s="55">
        <f t="shared" si="63"/>
        <v>701.4</v>
      </c>
      <c r="Z376" s="41">
        <f>IFERROR(IF(Y376=0,"",ROUNDUP(Y376/H376,0)*0.00902),"")</f>
        <v>1.50634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741.66666666666663</v>
      </c>
      <c r="BN376" s="78">
        <f t="shared" si="65"/>
        <v>743.15</v>
      </c>
      <c r="BO376" s="78">
        <f t="shared" si="66"/>
        <v>1.2626262626262625</v>
      </c>
      <c r="BP376" s="78">
        <f t="shared" si="67"/>
        <v>1.2651515151515151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171.42857142857142</v>
      </c>
      <c r="Y382" s="43">
        <f>IFERROR(Y375/H375,"0")+IFERROR(Y376/H376,"0")+IFERROR(Y377/H377,"0")+IFERROR(Y378/H378,"0")+IFERROR(Y379/H379,"0")+IFERROR(Y380/H380,"0")+IFERROR(Y381/H381,"0")</f>
        <v>172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1.5514399999999999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720</v>
      </c>
      <c r="Y383" s="43">
        <f>IFERROR(SUM(Y375:Y381),"0")</f>
        <v>722.4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2500</v>
      </c>
      <c r="Y385" s="55">
        <f>IFERROR(IF(X385="",0,CEILING((X385/$H385),1)*$H385),"")</f>
        <v>2503.7999999999997</v>
      </c>
      <c r="Z385" s="41">
        <f>IFERROR(IF(Y385=0,"",ROUNDUP(Y385/H385,0)*0.01898),"")</f>
        <v>6.0925799999999999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2656.4102564102564</v>
      </c>
      <c r="BN385" s="78">
        <f>IFERROR(Y385*I385/H385,"0")</f>
        <v>2660.4479999999999</v>
      </c>
      <c r="BO385" s="78">
        <f>IFERROR(1/J385*(X385/H385),"0")</f>
        <v>5.0080128205128203</v>
      </c>
      <c r="BP385" s="78">
        <f>IFERROR(1/J385*(Y385/H385),"0")</f>
        <v>5.015625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320.5128205128205</v>
      </c>
      <c r="Y389" s="43">
        <f>IFERROR(Y385/H385,"0")+IFERROR(Y386/H386,"0")+IFERROR(Y387/H387,"0")+IFERROR(Y388/H388,"0")</f>
        <v>321</v>
      </c>
      <c r="Z389" s="43">
        <f>IFERROR(IF(Z385="",0,Z385),"0")+IFERROR(IF(Z386="",0,Z386),"0")+IFERROR(IF(Z387="",0,Z387),"0")+IFERROR(IF(Z388="",0,Z388),"0")</f>
        <v>6.0925799999999999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2500</v>
      </c>
      <c r="Y390" s="43">
        <f>IFERROR(SUM(Y385:Y388),"0")</f>
        <v>2503.7999999999997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50</v>
      </c>
      <c r="Y393" s="55">
        <f>IFERROR(IF(X393="",0,CEILING((X393/$H393),1)*$H393),"")</f>
        <v>54.6</v>
      </c>
      <c r="Z393" s="41">
        <f>IFERROR(IF(Y393=0,"",ROUNDUP(Y393/H393,0)*0.01898),"")</f>
        <v>0.13286000000000001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53.166666666666671</v>
      </c>
      <c r="BN393" s="78">
        <f>IFERROR(Y393*I393/H393,"0")</f>
        <v>58.058000000000007</v>
      </c>
      <c r="BO393" s="78">
        <f>IFERROR(1/J393*(X393/H393),"0")</f>
        <v>0.10016025641025642</v>
      </c>
      <c r="BP393" s="78">
        <f>IFERROR(1/J393*(Y393/H393),"0")</f>
        <v>0.109375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6.4102564102564106</v>
      </c>
      <c r="Y395" s="43">
        <f>IFERROR(Y392/H392,"0")+IFERROR(Y393/H393,"0")+IFERROR(Y394/H394,"0")</f>
        <v>7</v>
      </c>
      <c r="Z395" s="43">
        <f>IFERROR(IF(Z392="",0,Z392),"0")+IFERROR(IF(Z393="",0,Z393),"0")+IFERROR(IF(Z394="",0,Z394),"0")</f>
        <v>0.13286000000000001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50</v>
      </c>
      <c r="Y396" s="43">
        <f>IFERROR(SUM(Y392:Y394),"0")</f>
        <v>54.6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10</v>
      </c>
      <c r="Y405" s="55">
        <f>IFERROR(IF(X405="",0,CEILING((X405/$H405),1)*$H405),"")</f>
        <v>10</v>
      </c>
      <c r="Z405" s="41">
        <f>IFERROR(IF(Y405=0,"",ROUNDUP(Y405/H405,0)*0.00474),"")</f>
        <v>2.3700000000000002E-2</v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11.200000000000001</v>
      </c>
      <c r="BN405" s="78">
        <f>IFERROR(Y405*I405/H405,"0")</f>
        <v>11.200000000000001</v>
      </c>
      <c r="BO405" s="78">
        <f>IFERROR(1/J405*(X405/H405),"0")</f>
        <v>2.1008403361344536E-2</v>
      </c>
      <c r="BP405" s="78">
        <f>IFERROR(1/J405*(Y405/H405),"0")</f>
        <v>2.1008403361344536E-2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10</v>
      </c>
      <c r="Y406" s="55">
        <f>IFERROR(IF(X406="",0,CEILING((X406/$H406),1)*$H406),"")</f>
        <v>10</v>
      </c>
      <c r="Z406" s="41">
        <f>IFERROR(IF(Y406=0,"",ROUNDUP(Y406/H406,0)*0.00474),"")</f>
        <v>2.3700000000000002E-2</v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11.200000000000001</v>
      </c>
      <c r="BN406" s="78">
        <f>IFERROR(Y406*I406/H406,"0")</f>
        <v>11.200000000000001</v>
      </c>
      <c r="BO406" s="78">
        <f>IFERROR(1/J406*(X406/H406),"0")</f>
        <v>2.1008403361344536E-2</v>
      </c>
      <c r="BP406" s="78">
        <f>IFERROR(1/J406*(Y406/H406),"0")</f>
        <v>2.1008403361344536E-2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30</v>
      </c>
      <c r="Y407" s="55">
        <f>IFERROR(IF(X407="",0,CEILING((X407/$H407),1)*$H407),"")</f>
        <v>30</v>
      </c>
      <c r="Z407" s="41">
        <f>IFERROR(IF(Y407=0,"",ROUNDUP(Y407/H407,0)*0.00474),"")</f>
        <v>7.110000000000001E-2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33.6</v>
      </c>
      <c r="BN407" s="78">
        <f>IFERROR(Y407*I407/H407,"0")</f>
        <v>33.6</v>
      </c>
      <c r="BO407" s="78">
        <f>IFERROR(1/J407*(X407/H407),"0")</f>
        <v>6.3025210084033612E-2</v>
      </c>
      <c r="BP407" s="78">
        <f>IFERROR(1/J407*(Y407/H407),"0")</f>
        <v>6.3025210084033612E-2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25</v>
      </c>
      <c r="Y408" s="43">
        <f>IFERROR(Y405/H405,"0")+IFERROR(Y406/H406,"0")+IFERROR(Y407/H407,"0")</f>
        <v>25</v>
      </c>
      <c r="Z408" s="43">
        <f>IFERROR(IF(Z405="",0,Z405),"0")+IFERROR(IF(Z406="",0,Z406),"0")+IFERROR(IF(Z407="",0,Z407),"0")</f>
        <v>0.11850000000000002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50</v>
      </c>
      <c r="Y409" s="43">
        <f>IFERROR(SUM(Y405:Y407),"0")</f>
        <v>50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150</v>
      </c>
      <c r="Y418" s="55">
        <f>IFERROR(IF(X418="",0,CEILING((X418/$H418),1)*$H418),"")</f>
        <v>156</v>
      </c>
      <c r="Z418" s="41">
        <f>IFERROR(IF(Y418=0,"",ROUNDUP(Y418/H418,0)*0.01898),"")</f>
        <v>0.37959999999999999</v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157.88461538461542</v>
      </c>
      <c r="BN418" s="78">
        <f>IFERROR(Y418*I418/H418,"0")</f>
        <v>164.20000000000005</v>
      </c>
      <c r="BO418" s="78">
        <f>IFERROR(1/J418*(X418/H418),"0")</f>
        <v>0.30048076923076922</v>
      </c>
      <c r="BP418" s="78">
        <f>IFERROR(1/J418*(Y418/H418),"0")</f>
        <v>0.3125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156</v>
      </c>
      <c r="Z419" s="41">
        <f>IFERROR(IF(Y419=0,"",ROUNDUP(Y419/H419,0)*0.01898),"")</f>
        <v>0.37959999999999999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157.88461538461542</v>
      </c>
      <c r="BN419" s="78">
        <f>IFERROR(Y419*I419/H419,"0")</f>
        <v>164.20000000000005</v>
      </c>
      <c r="BO419" s="78">
        <f>IFERROR(1/J419*(X419/H419),"0")</f>
        <v>0.30048076923076922</v>
      </c>
      <c r="BP419" s="78">
        <f>IFERROR(1/J419*(Y419/H419),"0")</f>
        <v>0.3125</v>
      </c>
    </row>
    <row r="420" spans="1:68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38.46153846153846</v>
      </c>
      <c r="Y420" s="43">
        <f>IFERROR(Y418/H418,"0")+IFERROR(Y419/H419,"0")</f>
        <v>40</v>
      </c>
      <c r="Z420" s="43">
        <f>IFERROR(IF(Z418="",0,Z418),"0")+IFERROR(IF(Z419="",0,Z419),"0")</f>
        <v>0.75919999999999999</v>
      </c>
      <c r="AA420" s="67"/>
      <c r="AB420" s="67"/>
      <c r="AC420" s="67"/>
    </row>
    <row r="421" spans="1:68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300</v>
      </c>
      <c r="Y421" s="43">
        <f>IFERROR(SUM(Y418:Y419),"0")</f>
        <v>312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60</v>
      </c>
      <c r="Y424" s="55">
        <f>IFERROR(IF(X424="",0,CEILING((X424/$H424),1)*$H424),"")</f>
        <v>64.8</v>
      </c>
      <c r="Z424" s="41">
        <f>IFERROR(IF(Y424=0,"",ROUNDUP(Y424/H424,0)*0.01898),"")</f>
        <v>0.15184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63.659259259259258</v>
      </c>
      <c r="BN424" s="78">
        <f>IFERROR(Y424*I424/H424,"0")</f>
        <v>68.751999999999995</v>
      </c>
      <c r="BO424" s="78">
        <f>IFERROR(1/J424*(X424/H424),"0")</f>
        <v>0.11574074074074074</v>
      </c>
      <c r="BP424" s="78">
        <f>IFERROR(1/J424*(Y424/H424),"0")</f>
        <v>0.125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7.4074074074074074</v>
      </c>
      <c r="Y427" s="43">
        <f>IFERROR(Y424/H424,"0")+IFERROR(Y425/H425,"0")+IFERROR(Y426/H426,"0")</f>
        <v>8</v>
      </c>
      <c r="Z427" s="43">
        <f>IFERROR(IF(Z424="",0,Z424),"0")+IFERROR(IF(Z425="",0,Z425),"0")+IFERROR(IF(Z426="",0,Z426),"0")</f>
        <v>0.15184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60</v>
      </c>
      <c r="Y428" s="43">
        <f>IFERROR(SUM(Y424:Y426),"0")</f>
        <v>64.8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150</v>
      </c>
      <c r="Y433" s="55">
        <f t="shared" si="68"/>
        <v>150</v>
      </c>
      <c r="Z433" s="41">
        <f>IFERROR(IF(Y433=0,"",ROUNDUP(Y433/H433,0)*0.02175),"")</f>
        <v>0.21749999999999997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154.69999999999999</v>
      </c>
      <c r="BN433" s="78">
        <f t="shared" si="70"/>
        <v>154.69999999999999</v>
      </c>
      <c r="BO433" s="78">
        <f t="shared" si="71"/>
        <v>0.20833333333333331</v>
      </c>
      <c r="BP433" s="78">
        <f t="shared" si="72"/>
        <v>0.20833333333333331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195</v>
      </c>
      <c r="Y434" s="55">
        <f t="shared" si="68"/>
        <v>195</v>
      </c>
      <c r="Z434" s="41">
        <f>IFERROR(IF(Y434=0,"",ROUNDUP(Y434/H434,0)*0.02175),"")</f>
        <v>0.28275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201.11</v>
      </c>
      <c r="BN434" s="78">
        <f t="shared" si="70"/>
        <v>201.11</v>
      </c>
      <c r="BO434" s="78">
        <f t="shared" si="71"/>
        <v>0.27083333333333331</v>
      </c>
      <c r="BP434" s="78">
        <f t="shared" si="72"/>
        <v>0.27083333333333331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68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1547</v>
      </c>
      <c r="BN435" s="78">
        <f t="shared" si="70"/>
        <v>1547</v>
      </c>
      <c r="BO435" s="78">
        <f t="shared" si="71"/>
        <v>2.083333333333333</v>
      </c>
      <c r="BP435" s="78">
        <f t="shared" si="72"/>
        <v>2.083333333333333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123</v>
      </c>
      <c r="Y440" s="43">
        <f>IFERROR(Y432/H432,"0")+IFERROR(Y433/H433,"0")+IFERROR(Y434/H434,"0")+IFERROR(Y435/H435,"0")+IFERROR(Y436/H436,"0")+IFERROR(Y437/H437,"0")+IFERROR(Y438/H438,"0")+IFERROR(Y439/H439,"0")</f>
        <v>123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2.6752499999999997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1845</v>
      </c>
      <c r="Y441" s="43">
        <f>IFERROR(SUM(Y432:Y439),"0")</f>
        <v>1845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1800</v>
      </c>
      <c r="Y443" s="55">
        <f>IFERROR(IF(X443="",0,CEILING((X443/$H443),1)*$H443),"")</f>
        <v>1800</v>
      </c>
      <c r="Z443" s="41">
        <f>IFERROR(IF(Y443=0,"",ROUNDUP(Y443/H443,0)*0.02175),"")</f>
        <v>2.61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1856.4</v>
      </c>
      <c r="BN443" s="78">
        <f>IFERROR(Y443*I443/H443,"0")</f>
        <v>1856.4</v>
      </c>
      <c r="BO443" s="78">
        <f>IFERROR(1/J443*(X443/H443),"0")</f>
        <v>2.5</v>
      </c>
      <c r="BP443" s="78">
        <f>IFERROR(1/J443*(Y443/H443),"0")</f>
        <v>2.5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120</v>
      </c>
      <c r="Y446" s="43">
        <f>IFERROR(Y443/H443,"0")+IFERROR(Y444/H444,"0")+IFERROR(Y445/H445,"0")</f>
        <v>120</v>
      </c>
      <c r="Z446" s="43">
        <f>IFERROR(IF(Z443="",0,Z443),"0")+IFERROR(IF(Z444="",0,Z444),"0")+IFERROR(IF(Z445="",0,Z445),"0")</f>
        <v>2.61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1800</v>
      </c>
      <c r="Y447" s="43">
        <f>IFERROR(SUM(Y443:Y445),"0")</f>
        <v>1800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30</v>
      </c>
      <c r="Y449" s="55">
        <f>IFERROR(IF(X449="",0,CEILING((X449/$H449),1)*$H449),"")</f>
        <v>36</v>
      </c>
      <c r="Z449" s="41">
        <f>IFERROR(IF(Y449=0,"",ROUNDUP(Y449/H449,0)*0.01898),"")</f>
        <v>7.5920000000000001E-2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31.666666666666668</v>
      </c>
      <c r="BN449" s="78">
        <f>IFERROR(Y449*I449/H449,"0")</f>
        <v>38</v>
      </c>
      <c r="BO449" s="78">
        <f>IFERROR(1/J449*(X449/H449),"0")</f>
        <v>5.2083333333333336E-2</v>
      </c>
      <c r="BP449" s="78">
        <f>IFERROR(1/J449*(Y449/H449),"0")</f>
        <v>6.25E-2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3.3333333333333335</v>
      </c>
      <c r="Y452" s="43">
        <f>IFERROR(Y449/H449,"0")+IFERROR(Y450/H450,"0")+IFERROR(Y451/H451,"0")</f>
        <v>4</v>
      </c>
      <c r="Z452" s="43">
        <f>IFERROR(IF(Z449="",0,Z449),"0")+IFERROR(IF(Z450="",0,Z450),"0")+IFERROR(IF(Z451="",0,Z451),"0")</f>
        <v>7.5920000000000001E-2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30</v>
      </c>
      <c r="Y453" s="43">
        <f>IFERROR(SUM(Y449:Y451),"0")</f>
        <v>36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200</v>
      </c>
      <c r="Y470" s="55">
        <f>IFERROR(IF(X470="",0,CEILING((X470/$H470),1)*$H470),"")</f>
        <v>207</v>
      </c>
      <c r="Z470" s="41">
        <f>IFERROR(IF(Y470=0,"",ROUNDUP(Y470/H470,0)*0.01898),"")</f>
        <v>0.43653999999999998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210.97777777777776</v>
      </c>
      <c r="BN470" s="78">
        <f>IFERROR(Y470*I470/H470,"0")</f>
        <v>218.36199999999999</v>
      </c>
      <c r="BO470" s="78">
        <f>IFERROR(1/J470*(X470/H470),"0")</f>
        <v>0.34722222222222221</v>
      </c>
      <c r="BP470" s="78">
        <f>IFERROR(1/J470*(Y470/H470),"0")</f>
        <v>0.359375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22.222222222222221</v>
      </c>
      <c r="Y473" s="43">
        <f>IFERROR(Y470/H470,"0")+IFERROR(Y471/H471,"0")+IFERROR(Y472/H472,"0")</f>
        <v>23</v>
      </c>
      <c r="Z473" s="43">
        <f>IFERROR(IF(Z470="",0,Z470),"0")+IFERROR(IF(Z471="",0,Z471),"0")+IFERROR(IF(Z472="",0,Z472),"0")</f>
        <v>0.43653999999999998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200</v>
      </c>
      <c r="Y474" s="43">
        <f>IFERROR(SUM(Y470:Y472),"0")</f>
        <v>207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40</v>
      </c>
      <c r="Y478" s="55">
        <f t="shared" ref="Y478:Y483" si="73">IFERROR(IF(X478="",0,CEILING((X478/$H478),1)*$H478),"")</f>
        <v>43.2</v>
      </c>
      <c r="Z478" s="41">
        <f>IFERROR(IF(Y478=0,"",ROUNDUP(Y478/H478,0)*0.00902),"")</f>
        <v>7.2160000000000002E-2</v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41.407407407407405</v>
      </c>
      <c r="BN478" s="78">
        <f t="shared" ref="BN478:BN483" si="75">IFERROR(Y478*I478/H478,"0")</f>
        <v>44.72</v>
      </c>
      <c r="BO478" s="78">
        <f t="shared" ref="BO478:BO483" si="76">IFERROR(1/J478*(X478/H478),"0")</f>
        <v>5.6116722783389444E-2</v>
      </c>
      <c r="BP478" s="78">
        <f t="shared" ref="BP478:BP483" si="77">IFERROR(1/J478*(Y478/H478),"0")</f>
        <v>6.0606060606060608E-2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7.4074074074074066</v>
      </c>
      <c r="Y484" s="43">
        <f>IFERROR(Y478/H478,"0")+IFERROR(Y479/H479,"0")+IFERROR(Y480/H480,"0")+IFERROR(Y481/H481,"0")+IFERROR(Y482/H482,"0")+IFERROR(Y483/H483,"0")</f>
        <v>8</v>
      </c>
      <c r="Z484" s="43">
        <f>IFERROR(IF(Z478="",0,Z478),"0")+IFERROR(IF(Z479="",0,Z479),"0")+IFERROR(IF(Z480="",0,Z480),"0")+IFERROR(IF(Z481="",0,Z481),"0")+IFERROR(IF(Z482="",0,Z482),"0")+IFERROR(IF(Z483="",0,Z483),"0")</f>
        <v>7.2160000000000002E-2</v>
      </c>
      <c r="AA484" s="67"/>
      <c r="AB484" s="67"/>
      <c r="AC484" s="67"/>
    </row>
    <row r="485" spans="1:68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40</v>
      </c>
      <c r="Y485" s="43">
        <f>IFERROR(SUM(Y478:Y483),"0")</f>
        <v>43.2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15</v>
      </c>
      <c r="Y497" s="55">
        <f>IFERROR(IF(X497="",0,CEILING((X497/$H497),1)*$H497),"")</f>
        <v>16.200000000000003</v>
      </c>
      <c r="Z497" s="41">
        <f>IFERROR(IF(Y497=0,"",ROUNDUP(Y497/H497,0)*0.00902),"")</f>
        <v>2.7060000000000001E-2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15.527777777777775</v>
      </c>
      <c r="BN497" s="78">
        <f>IFERROR(Y497*I497/H497,"0")</f>
        <v>16.77</v>
      </c>
      <c r="BO497" s="78">
        <f>IFERROR(1/J497*(X497/H497),"0")</f>
        <v>2.1043771043771045E-2</v>
      </c>
      <c r="BP497" s="78">
        <f>IFERROR(1/J497*(Y497/H497),"0")</f>
        <v>2.2727272727272731E-2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2.7777777777777777</v>
      </c>
      <c r="Y500" s="43">
        <f>IFERROR(Y497/H497,"0")+IFERROR(Y498/H498,"0")+IFERROR(Y499/H499,"0")</f>
        <v>3.0000000000000004</v>
      </c>
      <c r="Z500" s="43">
        <f>IFERROR(IF(Z497="",0,Z497),"0")+IFERROR(IF(Z498="",0,Z498),"0")+IFERROR(IF(Z499="",0,Z499),"0")</f>
        <v>2.7060000000000001E-2</v>
      </c>
      <c r="AA500" s="67"/>
      <c r="AB500" s="67"/>
      <c r="AC500" s="67"/>
    </row>
    <row r="501" spans="1:68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15</v>
      </c>
      <c r="Y501" s="43">
        <f>IFERROR(SUM(Y497:Y499),"0")</f>
        <v>16.200000000000003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80</v>
      </c>
      <c r="Y508" s="55">
        <f t="shared" si="78"/>
        <v>84.48</v>
      </c>
      <c r="Z508" s="41">
        <f t="shared" si="79"/>
        <v>0.19136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85.303030303030297</v>
      </c>
      <c r="BN508" s="78">
        <f t="shared" si="81"/>
        <v>90.08</v>
      </c>
      <c r="BO508" s="78">
        <f t="shared" si="82"/>
        <v>0.14568764568764569</v>
      </c>
      <c r="BP508" s="78">
        <f t="shared" si="83"/>
        <v>0.15384615384615385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10</v>
      </c>
      <c r="Y510" s="55">
        <f t="shared" si="78"/>
        <v>10.56</v>
      </c>
      <c r="Z510" s="41">
        <f t="shared" si="79"/>
        <v>2.392E-2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10.662878787878787</v>
      </c>
      <c r="BN510" s="78">
        <f t="shared" si="81"/>
        <v>11.26</v>
      </c>
      <c r="BO510" s="78">
        <f t="shared" si="82"/>
        <v>1.8210955710955712E-2</v>
      </c>
      <c r="BP510" s="78">
        <f t="shared" si="83"/>
        <v>1.9230769230769232E-2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17.045454545454543</v>
      </c>
      <c r="Y514" s="43">
        <f>IFERROR(Y505/H505,"0")+IFERROR(Y506/H506,"0")+IFERROR(Y507/H507,"0")+IFERROR(Y508/H508,"0")+IFERROR(Y509/H509,"0")+IFERROR(Y510/H510,"0")+IFERROR(Y511/H511,"0")+IFERROR(Y512/H512,"0")+IFERROR(Y513/H513,"0")</f>
        <v>18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0.21528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90</v>
      </c>
      <c r="Y515" s="43">
        <f>IFERROR(SUM(Y505:Y513),"0")</f>
        <v>95.04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50</v>
      </c>
      <c r="Y517" s="55">
        <f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53.314393939393938</v>
      </c>
      <c r="BN517" s="78">
        <f>IFERROR(Y517*I517/H517,"0")</f>
        <v>56.3</v>
      </c>
      <c r="BO517" s="78">
        <f>IFERROR(1/J517*(X517/H517),"0")</f>
        <v>9.1054778554778545E-2</v>
      </c>
      <c r="BP517" s="78">
        <f>IFERROR(1/J517*(Y517/H517),"0")</f>
        <v>9.6153846153846159E-2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9.4696969696969688</v>
      </c>
      <c r="Y520" s="43">
        <f>IFERROR(Y517/H517,"0")+IFERROR(Y518/H518,"0")+IFERROR(Y519/H519,"0")</f>
        <v>10</v>
      </c>
      <c r="Z520" s="43">
        <f>IFERROR(IF(Z517="",0,Z517),"0")+IFERROR(IF(Z518="",0,Z518),"0")+IFERROR(IF(Z519="",0,Z519),"0")</f>
        <v>0.1196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50</v>
      </c>
      <c r="Y521" s="43">
        <f>IFERROR(SUM(Y517:Y519),"0")</f>
        <v>52.800000000000004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50</v>
      </c>
      <c r="Y523" s="55">
        <f t="shared" ref="Y523:Y529" si="84">IFERROR(IF(X523="",0,CEILING((X523/$H523),1)*$H523),"")</f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53.314393939393938</v>
      </c>
      <c r="BN523" s="78">
        <f t="shared" ref="BN523:BN529" si="86">IFERROR(Y523*I523/H523,"0")</f>
        <v>56.3</v>
      </c>
      <c r="BO523" s="78">
        <f t="shared" ref="BO523:BO529" si="87">IFERROR(1/J523*(X523/H523),"0")</f>
        <v>9.1054778554778545E-2</v>
      </c>
      <c r="BP523" s="78">
        <f t="shared" ref="BP523:BP529" si="88">IFERROR(1/J523*(Y523/H523),"0")</f>
        <v>9.6153846153846159E-2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20</v>
      </c>
      <c r="Y524" s="55">
        <f t="shared" si="84"/>
        <v>21.12</v>
      </c>
      <c r="Z524" s="41">
        <f>IFERROR(IF(Y524=0,"",ROUNDUP(Y524/H524,0)*0.01196),"")</f>
        <v>4.7840000000000001E-2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21.325757575757574</v>
      </c>
      <c r="BN524" s="78">
        <f t="shared" si="86"/>
        <v>22.52</v>
      </c>
      <c r="BO524" s="78">
        <f t="shared" si="87"/>
        <v>3.6421911421911424E-2</v>
      </c>
      <c r="BP524" s="78">
        <f t="shared" si="88"/>
        <v>3.8461538461538464E-2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si="84"/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106.62878787878788</v>
      </c>
      <c r="BN525" s="78">
        <f t="shared" si="86"/>
        <v>106.97</v>
      </c>
      <c r="BO525" s="78">
        <f t="shared" si="87"/>
        <v>0.18210955710955709</v>
      </c>
      <c r="BP525" s="78">
        <f t="shared" si="88"/>
        <v>0.18269230769230771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32.196969696969695</v>
      </c>
      <c r="Y530" s="43">
        <f>IFERROR(Y523/H523,"0")+IFERROR(Y524/H524,"0")+IFERROR(Y525/H525,"0")+IFERROR(Y526/H526,"0")+IFERROR(Y527/H527,"0")+IFERROR(Y528/H528,"0")+IFERROR(Y529/H529,"0")</f>
        <v>33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0.39468000000000003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170</v>
      </c>
      <c r="Y531" s="43">
        <f>IFERROR(SUM(Y523:Y529),"0")</f>
        <v>174.24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100</v>
      </c>
      <c r="Y543" s="55">
        <f>IFERROR(IF(X543="",0,CEILING((X543/$H543),1)*$H543),"")</f>
        <v>100.80000000000001</v>
      </c>
      <c r="Z543" s="41">
        <f>IFERROR(IF(Y543=0,"",ROUNDUP(Y543/H543,0)*0.00902),"")</f>
        <v>0.21648000000000001</v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105.95238095238095</v>
      </c>
      <c r="BN543" s="78">
        <f>IFERROR(Y543*I543/H543,"0")</f>
        <v>106.80000000000001</v>
      </c>
      <c r="BO543" s="78">
        <f>IFERROR(1/J543*(X543/H543),"0")</f>
        <v>0.18037518037518038</v>
      </c>
      <c r="BP543" s="78">
        <f>IFERROR(1/J543*(Y543/H543),"0")</f>
        <v>0.18181818181818182</v>
      </c>
    </row>
    <row r="544" spans="1:68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23.80952380952381</v>
      </c>
      <c r="Y544" s="43">
        <f>IFERROR(Y543/H543,"0")</f>
        <v>24</v>
      </c>
      <c r="Z544" s="43">
        <f>IFERROR(IF(Z543="",0,Z543),"0")</f>
        <v>0.21648000000000001</v>
      </c>
      <c r="AA544" s="67"/>
      <c r="AB544" s="67"/>
      <c r="AC544" s="67"/>
    </row>
    <row r="545" spans="1:68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100</v>
      </c>
      <c r="Y545" s="43">
        <f>IFERROR(SUM(Y543:Y543),"0")</f>
        <v>100.80000000000001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8550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8637.08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8956.6802639952621</v>
      </c>
      <c r="Y561" s="43">
        <f>IFERROR(SUM(BN22:BN557),"0")</f>
        <v>9048.4719999999961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15</v>
      </c>
      <c r="Y562" s="44">
        <f>ROUNDUP(SUM(BP22:BP557),0)</f>
        <v>15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9331.6802639952621</v>
      </c>
      <c r="Y563" s="43">
        <f>GrossWeightTotalR+PalletQtyTotalR*25</f>
        <v>9423.4719999999961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1014.3454138454139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1027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16.741950000000003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43.2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121.5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105.3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84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205.2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3330.7999999999997</v>
      </c>
      <c r="U570" s="52">
        <f>IFERROR(Y418*1,"0")+IFERROR(Y419*1,"0")</f>
        <v>312</v>
      </c>
      <c r="V570" s="52">
        <f>IFERROR(Y424*1,"0")+IFERROR(Y425*1,"0")+IFERROR(Y426*1,"0")</f>
        <v>64.8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3681</v>
      </c>
      <c r="X570" s="52">
        <f>IFERROR(Y461*1,"0")+IFERROR(Y462*1,"0")+IFERROR(Y466*1,"0")+IFERROR(Y470*1,"0")+IFERROR(Y471*1,"0")+IFERROR(Y472*1,"0")</f>
        <v>207</v>
      </c>
      <c r="Y570" s="52">
        <f>IFERROR(Y478*1,"0")+IFERROR(Y479*1,"0")+IFERROR(Y480*1,"0")+IFERROR(Y481*1,"0")+IFERROR(Y482*1,"0")+IFERROR(Y483*1,"0")+IFERROR(Y487*1,"0")+IFERROR(Y488*1,"0")</f>
        <v>43.2</v>
      </c>
      <c r="Z570" s="52">
        <f>IFERROR(Y493*1,"0")+IFERROR(Y497*1,"0")+IFERROR(Y498*1,"0")+IFERROR(Y499*1,"0")</f>
        <v>16.200000000000003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322.08000000000004</v>
      </c>
      <c r="AB570" s="52">
        <f>IFERROR(Y535*1,"0")+IFERROR(Y539*1,"0")+IFERROR(Y543*1,"0")+IFERROR(Y547*1,"0")+IFERROR(Y551*1,"0")+IFERROR(Y552*1,"0")</f>
        <v>100.80000000000001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35"/>
        <filter val="1 500,00"/>
        <filter val="1 800,00"/>
        <filter val="1 845,00"/>
        <filter val="10,00"/>
        <filter val="100,00"/>
        <filter val="12,35"/>
        <filter val="120,00"/>
        <filter val="123,00"/>
        <filter val="130,00"/>
        <filter val="15"/>
        <filter val="15,00"/>
        <filter val="150,00"/>
        <filter val="17,05"/>
        <filter val="170,00"/>
        <filter val="171,43"/>
        <filter val="19,05"/>
        <filter val="195,00"/>
        <filter val="2 500,00"/>
        <filter val="2,78"/>
        <filter val="20,00"/>
        <filter val="200,00"/>
        <filter val="22,22"/>
        <filter val="23,81"/>
        <filter val="25,00"/>
        <filter val="3,33"/>
        <filter val="3,70"/>
        <filter val="30,00"/>
        <filter val="300,00"/>
        <filter val="32,20"/>
        <filter val="320,51"/>
        <filter val="37,04"/>
        <filter val="38,46"/>
        <filter val="40,00"/>
        <filter val="5,56"/>
        <filter val="50,00"/>
        <filter val="6,17"/>
        <filter val="6,41"/>
        <filter val="60,00"/>
        <filter val="7,41"/>
        <filter val="70,00"/>
        <filter val="700,00"/>
        <filter val="720,00"/>
        <filter val="8 550,00"/>
        <filter val="8 956,68"/>
        <filter val="80,00"/>
        <filter val="9 331,68"/>
        <filter val="9,47"/>
        <filter val="9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