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CC5E26E-1E79-44D7-863A-6C72F3FD1A6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X248" i="2"/>
  <c r="X247" i="2"/>
  <c r="BO246" i="2"/>
  <c r="BM246" i="2"/>
  <c r="Z246" i="2"/>
  <c r="Z247" i="2" s="1"/>
  <c r="Y246" i="2"/>
  <c r="Y247" i="2" s="1"/>
  <c r="P246" i="2"/>
  <c r="Y244" i="2"/>
  <c r="X244" i="2"/>
  <c r="X243" i="2"/>
  <c r="BO242" i="2"/>
  <c r="BN242" i="2"/>
  <c r="BM242" i="2"/>
  <c r="Z242" i="2"/>
  <c r="Z243" i="2" s="1"/>
  <c r="Y242" i="2"/>
  <c r="BP242" i="2" s="1"/>
  <c r="P242" i="2"/>
  <c r="X238" i="2"/>
  <c r="X237" i="2"/>
  <c r="BO236" i="2"/>
  <c r="BN236" i="2"/>
  <c r="BM236" i="2"/>
  <c r="Z236" i="2"/>
  <c r="Z237" i="2" s="1"/>
  <c r="Y236" i="2"/>
  <c r="BP236" i="2" s="1"/>
  <c r="P236" i="2"/>
  <c r="X234" i="2"/>
  <c r="X233" i="2"/>
  <c r="BO232" i="2"/>
  <c r="BN232" i="2"/>
  <c r="BM232" i="2"/>
  <c r="Z232" i="2"/>
  <c r="Z233" i="2" s="1"/>
  <c r="Y232" i="2"/>
  <c r="Y233" i="2" s="1"/>
  <c r="P232" i="2"/>
  <c r="X228" i="2"/>
  <c r="X227" i="2"/>
  <c r="BO226" i="2"/>
  <c r="BN226" i="2"/>
  <c r="BM226" i="2"/>
  <c r="Z226" i="2"/>
  <c r="Z227" i="2" s="1"/>
  <c r="Y226" i="2"/>
  <c r="Y228" i="2" s="1"/>
  <c r="P226" i="2"/>
  <c r="X222" i="2"/>
  <c r="X221" i="2"/>
  <c r="BO220" i="2"/>
  <c r="BN220" i="2"/>
  <c r="BM220" i="2"/>
  <c r="Z220" i="2"/>
  <c r="Z221" i="2" s="1"/>
  <c r="Y220" i="2"/>
  <c r="BP220" i="2" s="1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Y209" i="2"/>
  <c r="Y211" i="2" s="1"/>
  <c r="P209" i="2"/>
  <c r="X206" i="2"/>
  <c r="X205" i="2"/>
  <c r="BO204" i="2"/>
  <c r="BM204" i="2"/>
  <c r="Z204" i="2"/>
  <c r="Y204" i="2"/>
  <c r="P204" i="2"/>
  <c r="BO203" i="2"/>
  <c r="BN203" i="2"/>
  <c r="BM203" i="2"/>
  <c r="Z203" i="2"/>
  <c r="Y203" i="2"/>
  <c r="P203" i="2"/>
  <c r="BO202" i="2"/>
  <c r="BM202" i="2"/>
  <c r="Z202" i="2"/>
  <c r="Y202" i="2"/>
  <c r="BP202" i="2" s="1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X185" i="2"/>
  <c r="X184" i="2"/>
  <c r="BO183" i="2"/>
  <c r="BN183" i="2"/>
  <c r="BM183" i="2"/>
  <c r="Z183" i="2"/>
  <c r="Z184" i="2" s="1"/>
  <c r="Y183" i="2"/>
  <c r="BP183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Z179" i="2" s="1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P155" i="2"/>
  <c r="X152" i="2"/>
  <c r="X151" i="2"/>
  <c r="BO150" i="2"/>
  <c r="BM150" i="2"/>
  <c r="Z150" i="2"/>
  <c r="Y150" i="2"/>
  <c r="BP150" i="2" s="1"/>
  <c r="P150" i="2"/>
  <c r="BO149" i="2"/>
  <c r="BM149" i="2"/>
  <c r="Z149" i="2"/>
  <c r="Y149" i="2"/>
  <c r="BP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Z131" i="2"/>
  <c r="Y131" i="2"/>
  <c r="BP131" i="2" s="1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Y128" i="2"/>
  <c r="P128" i="2"/>
  <c r="X125" i="2"/>
  <c r="X124" i="2"/>
  <c r="BO123" i="2"/>
  <c r="BM123" i="2"/>
  <c r="Z123" i="2"/>
  <c r="Z124" i="2" s="1"/>
  <c r="Y123" i="2"/>
  <c r="BN123" i="2" s="1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Z105" i="2" s="1"/>
  <c r="Y103" i="2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P87" i="2"/>
  <c r="BO87" i="2"/>
  <c r="BN87" i="2"/>
  <c r="BM87" i="2"/>
  <c r="Z87" i="2"/>
  <c r="Y87" i="2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P69" i="2"/>
  <c r="X67" i="2"/>
  <c r="X66" i="2"/>
  <c r="BO65" i="2"/>
  <c r="BM65" i="2"/>
  <c r="Z65" i="2"/>
  <c r="Z66" i="2" s="1"/>
  <c r="Y65" i="2"/>
  <c r="Y66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N23" i="2"/>
  <c r="BM23" i="2"/>
  <c r="Z23" i="2"/>
  <c r="Y23" i="2"/>
  <c r="BP23" i="2" s="1"/>
  <c r="P23" i="2"/>
  <c r="BO22" i="2"/>
  <c r="BN22" i="2"/>
  <c r="BM22" i="2"/>
  <c r="Z22" i="2"/>
  <c r="Y22" i="2"/>
  <c r="BP22" i="2" s="1"/>
  <c r="P22" i="2"/>
  <c r="H10" i="2"/>
  <c r="A9" i="2"/>
  <c r="J9" i="2" s="1"/>
  <c r="D7" i="2"/>
  <c r="Q6" i="2"/>
  <c r="P2" i="2"/>
  <c r="Z36" i="2" l="1"/>
  <c r="BN65" i="2"/>
  <c r="BP65" i="2"/>
  <c r="Y73" i="2"/>
  <c r="BN166" i="2"/>
  <c r="Z211" i="2"/>
  <c r="BN253" i="2"/>
  <c r="BP71" i="2"/>
  <c r="Y31" i="2"/>
  <c r="BN25" i="2"/>
  <c r="Z78" i="2"/>
  <c r="Y89" i="2"/>
  <c r="Y117" i="2"/>
  <c r="BN110" i="2"/>
  <c r="Y124" i="2"/>
  <c r="Y139" i="2"/>
  <c r="BN136" i="2"/>
  <c r="Z157" i="2"/>
  <c r="Y167" i="2"/>
  <c r="Y184" i="2"/>
  <c r="Y185" i="2"/>
  <c r="BN190" i="2"/>
  <c r="Z205" i="2"/>
  <c r="BN202" i="2"/>
  <c r="Y206" i="2"/>
  <c r="BN209" i="2"/>
  <c r="Y221" i="2"/>
  <c r="Y227" i="2"/>
  <c r="Y237" i="2"/>
  <c r="Y238" i="2"/>
  <c r="Y243" i="2"/>
  <c r="BN246" i="2"/>
  <c r="Z254" i="2"/>
  <c r="BN275" i="2"/>
  <c r="BN189" i="2"/>
  <c r="Y157" i="2"/>
  <c r="BN156" i="2"/>
  <c r="Y152" i="2"/>
  <c r="BN150" i="2"/>
  <c r="Z151" i="2"/>
  <c r="BN131" i="2"/>
  <c r="Y132" i="2"/>
  <c r="Z132" i="2"/>
  <c r="BN98" i="2"/>
  <c r="BP97" i="2"/>
  <c r="Z89" i="2"/>
  <c r="Z57" i="2"/>
  <c r="Y49" i="2"/>
  <c r="X280" i="2"/>
  <c r="Z43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82" i="2" s="1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BN70" i="2"/>
  <c r="Y99" i="2"/>
  <c r="Y105" i="2"/>
  <c r="Y116" i="2"/>
  <c r="BN142" i="2"/>
  <c r="BN257" i="2"/>
  <c r="BN272" i="2"/>
  <c r="BN82" i="2"/>
  <c r="BN148" i="2"/>
  <c r="Y279" i="2" l="1"/>
  <c r="Z284" i="2"/>
  <c r="Y281" i="2"/>
  <c r="Y280" i="2"/>
  <c r="Y283" i="2"/>
  <c r="Y282" i="2" l="1"/>
  <c r="C292" i="2"/>
  <c r="B292" i="2"/>
  <c r="A292" i="2"/>
</calcChain>
</file>

<file path=xl/sharedStrings.xml><?xml version="1.0" encoding="utf-8"?>
<sst xmlns="http://schemas.openxmlformats.org/spreadsheetml/2006/main" count="1753" uniqueCount="420">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</sst>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9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9" t="s">
        <v>26</v>
      </c>
      <c r="E1" s="459"/>
      <c r="F1" s="459"/>
      <c r="G1" s="14" t="s">
        <v>70</v>
      </c>
      <c r="H1" s="459" t="s">
        <v>47</v>
      </c>
      <c r="I1" s="459"/>
      <c r="J1" s="459"/>
      <c r="K1" s="459"/>
      <c r="L1" s="459"/>
      <c r="M1" s="459"/>
      <c r="N1" s="459"/>
      <c r="O1" s="459"/>
      <c r="P1" s="459"/>
      <c r="Q1" s="459"/>
      <c r="R1" s="460" t="s">
        <v>71</v>
      </c>
      <c r="S1" s="461"/>
      <c r="T1" s="46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2"/>
      <c r="R2" s="462"/>
      <c r="S2" s="462"/>
      <c r="T2" s="462"/>
      <c r="U2" s="462"/>
      <c r="V2" s="462"/>
      <c r="W2" s="46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2"/>
      <c r="Q3" s="462"/>
      <c r="R3" s="462"/>
      <c r="S3" s="462"/>
      <c r="T3" s="462"/>
      <c r="U3" s="462"/>
      <c r="V3" s="462"/>
      <c r="W3" s="46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1" t="s">
        <v>8</v>
      </c>
      <c r="B5" s="441"/>
      <c r="C5" s="441"/>
      <c r="D5" s="463"/>
      <c r="E5" s="463"/>
      <c r="F5" s="464" t="s">
        <v>14</v>
      </c>
      <c r="G5" s="464"/>
      <c r="H5" s="463"/>
      <c r="I5" s="463"/>
      <c r="J5" s="463"/>
      <c r="K5" s="463"/>
      <c r="L5" s="463"/>
      <c r="M5" s="463"/>
      <c r="N5" s="75"/>
      <c r="P5" s="27" t="s">
        <v>4</v>
      </c>
      <c r="Q5" s="465">
        <v>46296</v>
      </c>
      <c r="R5" s="465"/>
      <c r="T5" s="466" t="s">
        <v>3</v>
      </c>
      <c r="U5" s="467"/>
      <c r="V5" s="468" t="s">
        <v>388</v>
      </c>
      <c r="W5" s="469"/>
      <c r="AB5" s="59"/>
      <c r="AC5" s="59"/>
      <c r="AD5" s="59"/>
      <c r="AE5" s="59"/>
    </row>
    <row r="6" spans="1:32" s="17" customFormat="1" ht="24" customHeight="1" x14ac:dyDescent="0.2">
      <c r="A6" s="441" t="s">
        <v>1</v>
      </c>
      <c r="B6" s="441"/>
      <c r="C6" s="441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76"/>
      <c r="P6" s="27" t="s">
        <v>27</v>
      </c>
      <c r="Q6" s="443" t="str">
        <f>IF(Q5=0," ",CHOOSE(WEEKDAY(Q5,2),"Понедельник","Вторник","Среда","Четверг","Пятница","Суббота","Воскресенье"))</f>
        <v>Четверг</v>
      </c>
      <c r="R6" s="443"/>
      <c r="T6" s="444" t="s">
        <v>5</v>
      </c>
      <c r="U6" s="445"/>
      <c r="V6" s="446" t="s">
        <v>73</v>
      </c>
      <c r="W6" s="44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2">
        <f>IFERROR(VLOOKUP(DeliveryAddress,Table,3,0),1)</f>
        <v>1</v>
      </c>
      <c r="E7" s="453"/>
      <c r="F7" s="453"/>
      <c r="G7" s="453"/>
      <c r="H7" s="453"/>
      <c r="I7" s="453"/>
      <c r="J7" s="453"/>
      <c r="K7" s="453"/>
      <c r="L7" s="453"/>
      <c r="M7" s="454"/>
      <c r="N7" s="77"/>
      <c r="P7" s="29"/>
      <c r="Q7" s="48"/>
      <c r="R7" s="48"/>
      <c r="T7" s="444"/>
      <c r="U7" s="445"/>
      <c r="V7" s="448"/>
      <c r="W7" s="449"/>
      <c r="AB7" s="59"/>
      <c r="AC7" s="59"/>
      <c r="AD7" s="59"/>
      <c r="AE7" s="59"/>
    </row>
    <row r="8" spans="1:32" s="17" customFormat="1" ht="25.5" customHeight="1" x14ac:dyDescent="0.2">
      <c r="A8" s="455" t="s">
        <v>58</v>
      </c>
      <c r="B8" s="455"/>
      <c r="C8" s="455"/>
      <c r="D8" s="456"/>
      <c r="E8" s="456"/>
      <c r="F8" s="456"/>
      <c r="G8" s="456"/>
      <c r="H8" s="456"/>
      <c r="I8" s="456"/>
      <c r="J8" s="456"/>
      <c r="K8" s="456"/>
      <c r="L8" s="456"/>
      <c r="M8" s="456"/>
      <c r="N8" s="78"/>
      <c r="P8" s="27" t="s">
        <v>11</v>
      </c>
      <c r="Q8" s="439">
        <v>0.41666666666666669</v>
      </c>
      <c r="R8" s="439"/>
      <c r="T8" s="444"/>
      <c r="U8" s="445"/>
      <c r="V8" s="448"/>
      <c r="W8" s="449"/>
      <c r="AB8" s="59"/>
      <c r="AC8" s="59"/>
      <c r="AD8" s="59"/>
      <c r="AE8" s="59"/>
    </row>
    <row r="9" spans="1:32" s="17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1"/>
      <c r="C9" s="431"/>
      <c r="D9" s="432" t="s">
        <v>46</v>
      </c>
      <c r="E9" s="43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1"/>
      <c r="H9" s="457" t="str">
        <f>IF(AND($A$9="Тип доверенности/получателя при получении в адресе перегруза:",$D$9="Разовая доверенность"),"Введите ФИО","")</f>
        <v/>
      </c>
      <c r="I9" s="457"/>
      <c r="J9" s="4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7"/>
      <c r="L9" s="457"/>
      <c r="M9" s="457"/>
      <c r="N9" s="73"/>
      <c r="P9" s="31" t="s">
        <v>15</v>
      </c>
      <c r="Q9" s="458"/>
      <c r="R9" s="458"/>
      <c r="T9" s="444"/>
      <c r="U9" s="445"/>
      <c r="V9" s="450"/>
      <c r="W9" s="45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1"/>
      <c r="C10" s="431"/>
      <c r="D10" s="432"/>
      <c r="E10" s="43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1"/>
      <c r="H10" s="434" t="str">
        <f>IFERROR(VLOOKUP($D$10,Proxy,2,FALSE),"")</f>
        <v/>
      </c>
      <c r="I10" s="434"/>
      <c r="J10" s="434"/>
      <c r="K10" s="434"/>
      <c r="L10" s="434"/>
      <c r="M10" s="434"/>
      <c r="N10" s="74"/>
      <c r="P10" s="31" t="s">
        <v>32</v>
      </c>
      <c r="Q10" s="435"/>
      <c r="R10" s="435"/>
      <c r="U10" s="29" t="s">
        <v>12</v>
      </c>
      <c r="V10" s="436" t="s">
        <v>74</v>
      </c>
      <c r="W10" s="4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8"/>
      <c r="R11" s="438"/>
      <c r="U11" s="29" t="s">
        <v>28</v>
      </c>
      <c r="V11" s="417" t="s">
        <v>55</v>
      </c>
      <c r="W11" s="4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6" t="s">
        <v>75</v>
      </c>
      <c r="B12" s="416"/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79"/>
      <c r="P12" s="27" t="s">
        <v>30</v>
      </c>
      <c r="Q12" s="439"/>
      <c r="R12" s="439"/>
      <c r="S12" s="28"/>
      <c r="T12"/>
      <c r="U12" s="29" t="s">
        <v>46</v>
      </c>
      <c r="V12" s="440"/>
      <c r="W12" s="440"/>
      <c r="X12"/>
      <c r="AB12" s="59"/>
      <c r="AC12" s="59"/>
      <c r="AD12" s="59"/>
      <c r="AE12" s="59"/>
    </row>
    <row r="13" spans="1:32" s="17" customFormat="1" ht="23.25" customHeight="1" x14ac:dyDescent="0.2">
      <c r="A13" s="416" t="s">
        <v>76</v>
      </c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79"/>
      <c r="O13" s="31"/>
      <c r="P13" s="31" t="s">
        <v>31</v>
      </c>
      <c r="Q13" s="417"/>
      <c r="R13" s="4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6" t="s">
        <v>77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8" t="s">
        <v>78</v>
      </c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80"/>
      <c r="O15"/>
      <c r="P15" s="419" t="s">
        <v>61</v>
      </c>
      <c r="Q15" s="419"/>
      <c r="R15" s="419"/>
      <c r="S15" s="419"/>
      <c r="T15" s="4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0"/>
      <c r="Q16" s="420"/>
      <c r="R16" s="420"/>
      <c r="S16" s="420"/>
      <c r="T16" s="4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2" t="s">
        <v>59</v>
      </c>
      <c r="B17" s="402" t="s">
        <v>49</v>
      </c>
      <c r="C17" s="423" t="s">
        <v>48</v>
      </c>
      <c r="D17" s="425" t="s">
        <v>50</v>
      </c>
      <c r="E17" s="426"/>
      <c r="F17" s="402" t="s">
        <v>21</v>
      </c>
      <c r="G17" s="402" t="s">
        <v>24</v>
      </c>
      <c r="H17" s="402" t="s">
        <v>22</v>
      </c>
      <c r="I17" s="402" t="s">
        <v>23</v>
      </c>
      <c r="J17" s="402" t="s">
        <v>16</v>
      </c>
      <c r="K17" s="402" t="s">
        <v>69</v>
      </c>
      <c r="L17" s="402" t="s">
        <v>67</v>
      </c>
      <c r="M17" s="402" t="s">
        <v>2</v>
      </c>
      <c r="N17" s="402" t="s">
        <v>66</v>
      </c>
      <c r="O17" s="402" t="s">
        <v>25</v>
      </c>
      <c r="P17" s="425" t="s">
        <v>17</v>
      </c>
      <c r="Q17" s="429"/>
      <c r="R17" s="429"/>
      <c r="S17" s="429"/>
      <c r="T17" s="426"/>
      <c r="U17" s="421" t="s">
        <v>56</v>
      </c>
      <c r="V17" s="422"/>
      <c r="W17" s="402" t="s">
        <v>6</v>
      </c>
      <c r="X17" s="402" t="s">
        <v>41</v>
      </c>
      <c r="Y17" s="404" t="s">
        <v>54</v>
      </c>
      <c r="Z17" s="406" t="s">
        <v>18</v>
      </c>
      <c r="AA17" s="408" t="s">
        <v>60</v>
      </c>
      <c r="AB17" s="408" t="s">
        <v>19</v>
      </c>
      <c r="AC17" s="408" t="s">
        <v>68</v>
      </c>
      <c r="AD17" s="410" t="s">
        <v>57</v>
      </c>
      <c r="AE17" s="411"/>
      <c r="AF17" s="412"/>
      <c r="AG17" s="85"/>
      <c r="BD17" s="84" t="s">
        <v>64</v>
      </c>
    </row>
    <row r="18" spans="1:68" ht="14.25" customHeight="1" x14ac:dyDescent="0.2">
      <c r="A18" s="403"/>
      <c r="B18" s="403"/>
      <c r="C18" s="424"/>
      <c r="D18" s="427"/>
      <c r="E18" s="428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27"/>
      <c r="Q18" s="430"/>
      <c r="R18" s="430"/>
      <c r="S18" s="430"/>
      <c r="T18" s="428"/>
      <c r="U18" s="86" t="s">
        <v>44</v>
      </c>
      <c r="V18" s="86" t="s">
        <v>43</v>
      </c>
      <c r="W18" s="403"/>
      <c r="X18" s="403"/>
      <c r="Y18" s="405"/>
      <c r="Z18" s="407"/>
      <c r="AA18" s="409"/>
      <c r="AB18" s="409"/>
      <c r="AC18" s="409"/>
      <c r="AD18" s="413"/>
      <c r="AE18" s="414"/>
      <c r="AF18" s="415"/>
      <c r="AG18" s="85"/>
      <c r="BD18" s="84"/>
    </row>
    <row r="19" spans="1:68" ht="27.75" hidden="1" customHeight="1" x14ac:dyDescent="0.2">
      <c r="A19" s="318" t="s">
        <v>79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54"/>
      <c r="AB19" s="54"/>
      <c r="AC19" s="54"/>
    </row>
    <row r="20" spans="1:68" ht="16.5" hidden="1" customHeight="1" x14ac:dyDescent="0.25">
      <c r="A20" s="319" t="s">
        <v>79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65"/>
      <c r="AB20" s="65"/>
      <c r="AC20" s="82"/>
    </row>
    <row r="21" spans="1:68" ht="14.25" hidden="1" customHeight="1" x14ac:dyDescent="0.25">
      <c r="A21" s="307" t="s">
        <v>80</v>
      </c>
      <c r="B21" s="307"/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289">
        <v>4620207491508</v>
      </c>
      <c r="E22" s="28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9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1"/>
      <c r="R22" s="291"/>
      <c r="S22" s="291"/>
      <c r="T22" s="29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289">
        <v>4620207491256</v>
      </c>
      <c r="E23" s="28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9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1"/>
      <c r="R23" s="291"/>
      <c r="S23" s="291"/>
      <c r="T23" s="29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289">
        <v>4620207491713</v>
      </c>
      <c r="E24" s="28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1"/>
      <c r="R24" s="291"/>
      <c r="S24" s="291"/>
      <c r="T24" s="29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289">
        <v>4620207491720</v>
      </c>
      <c r="E25" s="28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1"/>
      <c r="R25" s="291"/>
      <c r="S25" s="291"/>
      <c r="T25" s="29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289">
        <v>4607111035912</v>
      </c>
      <c r="E26" s="28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1"/>
      <c r="R26" s="291"/>
      <c r="S26" s="291"/>
      <c r="T26" s="29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289">
        <v>4607111035929</v>
      </c>
      <c r="E27" s="28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1"/>
      <c r="R27" s="291"/>
      <c r="S27" s="291"/>
      <c r="T27" s="29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289">
        <v>4607111035882</v>
      </c>
      <c r="E28" s="28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1"/>
      <c r="R28" s="291"/>
      <c r="S28" s="291"/>
      <c r="T28" s="29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289">
        <v>4607111035905</v>
      </c>
      <c r="E29" s="28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9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1"/>
      <c r="R29" s="291"/>
      <c r="S29" s="291"/>
      <c r="T29" s="29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296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7"/>
      <c r="P30" s="293" t="s">
        <v>40</v>
      </c>
      <c r="Q30" s="294"/>
      <c r="R30" s="294"/>
      <c r="S30" s="294"/>
      <c r="T30" s="294"/>
      <c r="U30" s="294"/>
      <c r="V30" s="29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7"/>
      <c r="P31" s="293" t="s">
        <v>40</v>
      </c>
      <c r="Q31" s="294"/>
      <c r="R31" s="294"/>
      <c r="S31" s="294"/>
      <c r="T31" s="294"/>
      <c r="U31" s="294"/>
      <c r="V31" s="29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19" t="s">
        <v>104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65"/>
      <c r="AB32" s="65"/>
      <c r="AC32" s="82"/>
    </row>
    <row r="33" spans="1:68" ht="14.25" hidden="1" customHeight="1" x14ac:dyDescent="0.25">
      <c r="A33" s="307" t="s">
        <v>80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289">
        <v>4607111039019</v>
      </c>
      <c r="E34" s="289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1"/>
      <c r="R34" s="291"/>
      <c r="S34" s="291"/>
      <c r="T34" s="29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289">
        <v>4607111038708</v>
      </c>
      <c r="E35" s="289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1"/>
      <c r="R35" s="291"/>
      <c r="S35" s="291"/>
      <c r="T35" s="292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296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7"/>
      <c r="P36" s="293" t="s">
        <v>40</v>
      </c>
      <c r="Q36" s="294"/>
      <c r="R36" s="294"/>
      <c r="S36" s="294"/>
      <c r="T36" s="294"/>
      <c r="U36" s="294"/>
      <c r="V36" s="29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7"/>
      <c r="P37" s="293" t="s">
        <v>40</v>
      </c>
      <c r="Q37" s="294"/>
      <c r="R37" s="294"/>
      <c r="S37" s="294"/>
      <c r="T37" s="294"/>
      <c r="U37" s="294"/>
      <c r="V37" s="29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18" t="s">
        <v>45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54"/>
      <c r="AB38" s="54"/>
      <c r="AC38" s="54"/>
    </row>
    <row r="39" spans="1:68" ht="16.5" hidden="1" customHeight="1" x14ac:dyDescent="0.25">
      <c r="A39" s="319" t="s">
        <v>110</v>
      </c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65"/>
      <c r="AB39" s="65"/>
      <c r="AC39" s="82"/>
    </row>
    <row r="40" spans="1:68" ht="14.25" hidden="1" customHeight="1" x14ac:dyDescent="0.25">
      <c r="A40" s="307" t="s">
        <v>111</v>
      </c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289">
        <v>4607111036537</v>
      </c>
      <c r="E41" s="289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1"/>
      <c r="R41" s="291"/>
      <c r="S41" s="291"/>
      <c r="T41" s="292"/>
      <c r="U41" s="39" t="s">
        <v>46</v>
      </c>
      <c r="V41" s="39" t="s">
        <v>46</v>
      </c>
      <c r="W41" s="40" t="s">
        <v>39</v>
      </c>
      <c r="X41" s="58">
        <v>56</v>
      </c>
      <c r="Y41" s="55">
        <f>IFERROR(IF(X41="","",X41),"")</f>
        <v>56</v>
      </c>
      <c r="Z41" s="41">
        <f>IFERROR(IF(X41="","",X41*0.00941),"")</f>
        <v>0.52695999999999998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107.6208</v>
      </c>
      <c r="BN41" s="81">
        <f>IFERROR(Y41*I41,"0")</f>
        <v>107.6208</v>
      </c>
      <c r="BO41" s="81">
        <f>IFERROR(X41/J41,"0")</f>
        <v>0.4</v>
      </c>
      <c r="BP41" s="81">
        <f>IFERROR(Y41/J41,"0")</f>
        <v>0.4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289">
        <v>4607111036605</v>
      </c>
      <c r="E42" s="289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1"/>
      <c r="R42" s="291"/>
      <c r="S42" s="291"/>
      <c r="T42" s="292"/>
      <c r="U42" s="39" t="s">
        <v>46</v>
      </c>
      <c r="V42" s="39" t="s">
        <v>46</v>
      </c>
      <c r="W42" s="40" t="s">
        <v>39</v>
      </c>
      <c r="X42" s="58">
        <v>56</v>
      </c>
      <c r="Y42" s="55">
        <f>IFERROR(IF(X42="","",X42),"")</f>
        <v>56</v>
      </c>
      <c r="Z42" s="41">
        <f>IFERROR(IF(X42="","",X42*0.00941),"")</f>
        <v>0.52695999999999998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107.6208</v>
      </c>
      <c r="BN42" s="81">
        <f>IFERROR(Y42*I42,"0")</f>
        <v>107.6208</v>
      </c>
      <c r="BO42" s="81">
        <f>IFERROR(X42/J42,"0")</f>
        <v>0.4</v>
      </c>
      <c r="BP42" s="81">
        <f>IFERROR(Y42/J42,"0")</f>
        <v>0.4</v>
      </c>
    </row>
    <row r="43" spans="1:68" x14ac:dyDescent="0.2">
      <c r="A43" s="296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7"/>
      <c r="P43" s="293" t="s">
        <v>40</v>
      </c>
      <c r="Q43" s="294"/>
      <c r="R43" s="294"/>
      <c r="S43" s="294"/>
      <c r="T43" s="294"/>
      <c r="U43" s="294"/>
      <c r="V43" s="295"/>
      <c r="W43" s="42" t="s">
        <v>39</v>
      </c>
      <c r="X43" s="43">
        <f>IFERROR(SUM(X41:X42),"0")</f>
        <v>112</v>
      </c>
      <c r="Y43" s="43">
        <f>IFERROR(SUM(Y41:Y42),"0")</f>
        <v>112</v>
      </c>
      <c r="Z43" s="43">
        <f>IFERROR(IF(Z41="",0,Z41),"0")+IFERROR(IF(Z42="",0,Z42),"0")</f>
        <v>1.05392</v>
      </c>
      <c r="AA43" s="67"/>
      <c r="AB43" s="67"/>
      <c r="AC43" s="67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7"/>
      <c r="P44" s="293" t="s">
        <v>40</v>
      </c>
      <c r="Q44" s="294"/>
      <c r="R44" s="294"/>
      <c r="S44" s="294"/>
      <c r="T44" s="294"/>
      <c r="U44" s="294"/>
      <c r="V44" s="295"/>
      <c r="W44" s="42" t="s">
        <v>0</v>
      </c>
      <c r="X44" s="43">
        <f>IFERROR(SUMPRODUCT(X41:X42*H41:H42),"0")</f>
        <v>168</v>
      </c>
      <c r="Y44" s="43">
        <f>IFERROR(SUMPRODUCT(Y41:Y42*H41:H42),"0")</f>
        <v>168</v>
      </c>
      <c r="Z44" s="42"/>
      <c r="AA44" s="67"/>
      <c r="AB44" s="67"/>
      <c r="AC44" s="67"/>
    </row>
    <row r="45" spans="1:68" ht="16.5" hidden="1" customHeight="1" x14ac:dyDescent="0.25">
      <c r="A45" s="319" t="s">
        <v>121</v>
      </c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65"/>
      <c r="AB45" s="65"/>
      <c r="AC45" s="82"/>
    </row>
    <row r="46" spans="1:68" ht="14.25" hidden="1" customHeight="1" x14ac:dyDescent="0.25">
      <c r="A46" s="307" t="s">
        <v>80</v>
      </c>
      <c r="B46" s="307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289">
        <v>4620207490075</v>
      </c>
      <c r="E47" s="28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8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1"/>
      <c r="R47" s="291"/>
      <c r="S47" s="291"/>
      <c r="T47" s="292"/>
      <c r="U47" s="39" t="s">
        <v>46</v>
      </c>
      <c r="V47" s="39" t="s">
        <v>46</v>
      </c>
      <c r="W47" s="40" t="s">
        <v>39</v>
      </c>
      <c r="X47" s="58">
        <v>24</v>
      </c>
      <c r="Y47" s="55">
        <f>IFERROR(IF(X47="","",X47),"")</f>
        <v>24</v>
      </c>
      <c r="Z47" s="41">
        <f>IFERROR(IF(X47="","",X47*0.0155),"")</f>
        <v>0.372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140.88</v>
      </c>
      <c r="BN47" s="81">
        <f>IFERROR(Y47*I47,"0")</f>
        <v>140.88</v>
      </c>
      <c r="BO47" s="81">
        <f>IFERROR(X47/J47,"0")</f>
        <v>0.2857142857142857</v>
      </c>
      <c r="BP47" s="81">
        <f>IFERROR(Y47/J47,"0")</f>
        <v>0.2857142857142857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289">
        <v>4620207490174</v>
      </c>
      <c r="E48" s="289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1"/>
      <c r="R48" s="291"/>
      <c r="S48" s="291"/>
      <c r="T48" s="292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x14ac:dyDescent="0.2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7"/>
      <c r="P49" s="293" t="s">
        <v>40</v>
      </c>
      <c r="Q49" s="294"/>
      <c r="R49" s="294"/>
      <c r="S49" s="294"/>
      <c r="T49" s="294"/>
      <c r="U49" s="294"/>
      <c r="V49" s="295"/>
      <c r="W49" s="42" t="s">
        <v>39</v>
      </c>
      <c r="X49" s="43">
        <f>IFERROR(SUM(X47:X48),"0")</f>
        <v>36</v>
      </c>
      <c r="Y49" s="43">
        <f>IFERROR(SUM(Y47:Y48),"0")</f>
        <v>36</v>
      </c>
      <c r="Z49" s="43">
        <f>IFERROR(IF(Z47="",0,Z47),"0")+IFERROR(IF(Z48="",0,Z48),"0")</f>
        <v>0.55800000000000005</v>
      </c>
      <c r="AA49" s="67"/>
      <c r="AB49" s="67"/>
      <c r="AC49" s="67"/>
    </row>
    <row r="50" spans="1:68" x14ac:dyDescent="0.2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7"/>
      <c r="P50" s="293" t="s">
        <v>40</v>
      </c>
      <c r="Q50" s="294"/>
      <c r="R50" s="294"/>
      <c r="S50" s="294"/>
      <c r="T50" s="294"/>
      <c r="U50" s="294"/>
      <c r="V50" s="295"/>
      <c r="W50" s="42" t="s">
        <v>0</v>
      </c>
      <c r="X50" s="43">
        <f>IFERROR(SUMPRODUCT(X47:X48*H47:H48),"0")</f>
        <v>201.59999999999997</v>
      </c>
      <c r="Y50" s="43">
        <f>IFERROR(SUMPRODUCT(Y47:Y48*H47:H48),"0")</f>
        <v>201.59999999999997</v>
      </c>
      <c r="Z50" s="42"/>
      <c r="AA50" s="67"/>
      <c r="AB50" s="67"/>
      <c r="AC50" s="67"/>
    </row>
    <row r="51" spans="1:68" ht="16.5" hidden="1" customHeight="1" x14ac:dyDescent="0.25">
      <c r="A51" s="319" t="s">
        <v>128</v>
      </c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65"/>
      <c r="AB51" s="65"/>
      <c r="AC51" s="82"/>
    </row>
    <row r="52" spans="1:68" ht="14.25" hidden="1" customHeight="1" x14ac:dyDescent="0.25">
      <c r="A52" s="307" t="s">
        <v>80</v>
      </c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  <c r="AA52" s="66"/>
      <c r="AB52" s="66"/>
      <c r="AC52" s="83"/>
    </row>
    <row r="53" spans="1:68" ht="27" customHeight="1" x14ac:dyDescent="0.25">
      <c r="A53" s="63" t="s">
        <v>129</v>
      </c>
      <c r="B53" s="63" t="s">
        <v>130</v>
      </c>
      <c r="C53" s="36">
        <v>4301071044</v>
      </c>
      <c r="D53" s="289">
        <v>4607111039385</v>
      </c>
      <c r="E53" s="289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1"/>
      <c r="R53" s="291"/>
      <c r="S53" s="291"/>
      <c r="T53" s="292"/>
      <c r="U53" s="39" t="s">
        <v>46</v>
      </c>
      <c r="V53" s="39" t="s">
        <v>46</v>
      </c>
      <c r="W53" s="40" t="s">
        <v>39</v>
      </c>
      <c r="X53" s="58">
        <v>12</v>
      </c>
      <c r="Y53" s="55">
        <f>IFERROR(IF(X53="","",X53),"")</f>
        <v>12</v>
      </c>
      <c r="Z53" s="41">
        <f>IFERROR(IF(X53="","",X53*0.0155),"")</f>
        <v>0.186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87.6</v>
      </c>
      <c r="BN53" s="81">
        <f>IFERROR(Y53*I53,"0")</f>
        <v>87.6</v>
      </c>
      <c r="BO53" s="81">
        <f>IFERROR(X53/J53,"0")</f>
        <v>0.14285714285714285</v>
      </c>
      <c r="BP53" s="81">
        <f>IFERROR(Y53/J53,"0")</f>
        <v>0.14285714285714285</v>
      </c>
    </row>
    <row r="54" spans="1:68" ht="27" customHeight="1" x14ac:dyDescent="0.25">
      <c r="A54" s="63" t="s">
        <v>132</v>
      </c>
      <c r="B54" s="63" t="s">
        <v>133</v>
      </c>
      <c r="C54" s="36">
        <v>4301071031</v>
      </c>
      <c r="D54" s="289">
        <v>4607111038982</v>
      </c>
      <c r="E54" s="289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1"/>
      <c r="R54" s="291"/>
      <c r="S54" s="291"/>
      <c r="T54" s="292"/>
      <c r="U54" s="39" t="s">
        <v>46</v>
      </c>
      <c r="V54" s="39" t="s">
        <v>46</v>
      </c>
      <c r="W54" s="40" t="s">
        <v>39</v>
      </c>
      <c r="X54" s="58">
        <v>12</v>
      </c>
      <c r="Y54" s="55">
        <f>IFERROR(IF(X54="","",X54),"")</f>
        <v>12</v>
      </c>
      <c r="Z54" s="41">
        <f>IFERROR(IF(X54="","",X54*0.0155),"")</f>
        <v>0.186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87.431999999999988</v>
      </c>
      <c r="BN54" s="81">
        <f>IFERROR(Y54*I54,"0")</f>
        <v>87.431999999999988</v>
      </c>
      <c r="BO54" s="81">
        <f>IFERROR(X54/J54,"0")</f>
        <v>0.14285714285714285</v>
      </c>
      <c r="BP54" s="81">
        <f>IFERROR(Y54/J54,"0")</f>
        <v>0.14285714285714285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289">
        <v>4607111039354</v>
      </c>
      <c r="E55" s="289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1"/>
      <c r="R55" s="291"/>
      <c r="S55" s="291"/>
      <c r="T55" s="292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289">
        <v>4607111039330</v>
      </c>
      <c r="E56" s="289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1"/>
      <c r="R56" s="291"/>
      <c r="S56" s="291"/>
      <c r="T56" s="292"/>
      <c r="U56" s="39" t="s">
        <v>46</v>
      </c>
      <c r="V56" s="39" t="s">
        <v>46</v>
      </c>
      <c r="W56" s="40" t="s">
        <v>39</v>
      </c>
      <c r="X56" s="58">
        <v>12</v>
      </c>
      <c r="Y56" s="55">
        <f>IFERROR(IF(X56="","",X56),"")</f>
        <v>12</v>
      </c>
      <c r="Z56" s="41">
        <f>IFERROR(IF(X56="","",X56*0.0155),"")</f>
        <v>0.186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87.6</v>
      </c>
      <c r="BN56" s="81">
        <f>IFERROR(Y56*I56,"0")</f>
        <v>87.6</v>
      </c>
      <c r="BO56" s="81">
        <f>IFERROR(X56/J56,"0")</f>
        <v>0.14285714285714285</v>
      </c>
      <c r="BP56" s="81">
        <f>IFERROR(Y56/J56,"0")</f>
        <v>0.14285714285714285</v>
      </c>
    </row>
    <row r="57" spans="1:68" x14ac:dyDescent="0.2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7"/>
      <c r="P57" s="293" t="s">
        <v>40</v>
      </c>
      <c r="Q57" s="294"/>
      <c r="R57" s="294"/>
      <c r="S57" s="294"/>
      <c r="T57" s="294"/>
      <c r="U57" s="294"/>
      <c r="V57" s="295"/>
      <c r="W57" s="42" t="s">
        <v>39</v>
      </c>
      <c r="X57" s="43">
        <f>IFERROR(SUM(X53:X56),"0")</f>
        <v>48</v>
      </c>
      <c r="Y57" s="43">
        <f>IFERROR(SUM(Y53:Y56),"0")</f>
        <v>48</v>
      </c>
      <c r="Z57" s="43">
        <f>IFERROR(IF(Z53="",0,Z53),"0")+IFERROR(IF(Z54="",0,Z54),"0")+IFERROR(IF(Z55="",0,Z55),"0")+IFERROR(IF(Z56="",0,Z56),"0")</f>
        <v>0.74399999999999999</v>
      </c>
      <c r="AA57" s="67"/>
      <c r="AB57" s="67"/>
      <c r="AC57" s="67"/>
    </row>
    <row r="58" spans="1:68" x14ac:dyDescent="0.2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7"/>
      <c r="P58" s="293" t="s">
        <v>40</v>
      </c>
      <c r="Q58" s="294"/>
      <c r="R58" s="294"/>
      <c r="S58" s="294"/>
      <c r="T58" s="294"/>
      <c r="U58" s="294"/>
      <c r="V58" s="295"/>
      <c r="W58" s="42" t="s">
        <v>0</v>
      </c>
      <c r="X58" s="43">
        <f>IFERROR(SUMPRODUCT(X53:X56*H53:H56),"0")</f>
        <v>328.8</v>
      </c>
      <c r="Y58" s="43">
        <f>IFERROR(SUMPRODUCT(Y53:Y56*H53:H56),"0")</f>
        <v>328.8</v>
      </c>
      <c r="Z58" s="42"/>
      <c r="AA58" s="67"/>
      <c r="AB58" s="67"/>
      <c r="AC58" s="67"/>
    </row>
    <row r="59" spans="1:68" ht="16.5" hidden="1" customHeight="1" x14ac:dyDescent="0.25">
      <c r="A59" s="319" t="s">
        <v>139</v>
      </c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65"/>
      <c r="AB59" s="65"/>
      <c r="AC59" s="82"/>
    </row>
    <row r="60" spans="1:68" ht="14.25" hidden="1" customHeight="1" x14ac:dyDescent="0.25">
      <c r="A60" s="307" t="s">
        <v>111</v>
      </c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289">
        <v>4607111039712</v>
      </c>
      <c r="E61" s="28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1"/>
      <c r="R61" s="291"/>
      <c r="S61" s="291"/>
      <c r="T61" s="29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7"/>
      <c r="P62" s="293" t="s">
        <v>40</v>
      </c>
      <c r="Q62" s="294"/>
      <c r="R62" s="294"/>
      <c r="S62" s="294"/>
      <c r="T62" s="294"/>
      <c r="U62" s="294"/>
      <c r="V62" s="29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7"/>
      <c r="P63" s="293" t="s">
        <v>40</v>
      </c>
      <c r="Q63" s="294"/>
      <c r="R63" s="294"/>
      <c r="S63" s="294"/>
      <c r="T63" s="294"/>
      <c r="U63" s="294"/>
      <c r="V63" s="29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07" t="s">
        <v>143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4301136015</v>
      </c>
      <c r="D65" s="289">
        <v>4607111037398</v>
      </c>
      <c r="E65" s="289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1"/>
      <c r="R65" s="291"/>
      <c r="S65" s="291"/>
      <c r="T65" s="29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297"/>
      <c r="P66" s="293" t="s">
        <v>40</v>
      </c>
      <c r="Q66" s="294"/>
      <c r="R66" s="294"/>
      <c r="S66" s="294"/>
      <c r="T66" s="294"/>
      <c r="U66" s="294"/>
      <c r="V66" s="295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7"/>
      <c r="P67" s="293" t="s">
        <v>40</v>
      </c>
      <c r="Q67" s="294"/>
      <c r="R67" s="294"/>
      <c r="S67" s="294"/>
      <c r="T67" s="294"/>
      <c r="U67" s="294"/>
      <c r="V67" s="295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07" t="s">
        <v>147</v>
      </c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  <c r="AA68" s="66"/>
      <c r="AB68" s="66"/>
      <c r="AC68" s="83"/>
    </row>
    <row r="69" spans="1:68" ht="27" hidden="1" customHeight="1" x14ac:dyDescent="0.25">
      <c r="A69" s="63" t="s">
        <v>148</v>
      </c>
      <c r="B69" s="63" t="s">
        <v>149</v>
      </c>
      <c r="C69" s="36">
        <v>4301135664</v>
      </c>
      <c r="D69" s="289">
        <v>4607111039705</v>
      </c>
      <c r="E69" s="289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116</v>
      </c>
      <c r="L69" s="37" t="s">
        <v>86</v>
      </c>
      <c r="M69" s="38" t="s">
        <v>84</v>
      </c>
      <c r="N69" s="38"/>
      <c r="O69" s="37">
        <v>365</v>
      </c>
      <c r="P69" s="38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1"/>
      <c r="R69" s="291"/>
      <c r="S69" s="291"/>
      <c r="T69" s="29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146</v>
      </c>
      <c r="AG69" s="81"/>
      <c r="AJ69" s="87" t="s">
        <v>87</v>
      </c>
      <c r="AK69" s="87">
        <v>1</v>
      </c>
      <c r="BB69" s="130" t="s">
        <v>115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hidden="1" customHeight="1" x14ac:dyDescent="0.25">
      <c r="A70" s="63" t="s">
        <v>150</v>
      </c>
      <c r="B70" s="63" t="s">
        <v>151</v>
      </c>
      <c r="C70" s="36">
        <v>4301135665</v>
      </c>
      <c r="D70" s="289">
        <v>4607111039729</v>
      </c>
      <c r="E70" s="289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1"/>
      <c r="R70" s="291"/>
      <c r="S70" s="291"/>
      <c r="T70" s="29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153</v>
      </c>
      <c r="B71" s="63" t="s">
        <v>154</v>
      </c>
      <c r="C71" s="36">
        <v>4301135702</v>
      </c>
      <c r="D71" s="289">
        <v>4620207490228</v>
      </c>
      <c r="E71" s="289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1"/>
      <c r="R71" s="291"/>
      <c r="S71" s="291"/>
      <c r="T71" s="292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296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7"/>
      <c r="P72" s="293" t="s">
        <v>40</v>
      </c>
      <c r="Q72" s="294"/>
      <c r="R72" s="294"/>
      <c r="S72" s="294"/>
      <c r="T72" s="294"/>
      <c r="U72" s="294"/>
      <c r="V72" s="295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7"/>
      <c r="P73" s="293" t="s">
        <v>40</v>
      </c>
      <c r="Q73" s="294"/>
      <c r="R73" s="294"/>
      <c r="S73" s="294"/>
      <c r="T73" s="294"/>
      <c r="U73" s="294"/>
      <c r="V73" s="295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hidden="1" customHeight="1" x14ac:dyDescent="0.25">
      <c r="A74" s="319" t="s">
        <v>155</v>
      </c>
      <c r="B74" s="319"/>
      <c r="C74" s="319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/>
      <c r="Z74" s="319"/>
      <c r="AA74" s="65"/>
      <c r="AB74" s="65"/>
      <c r="AC74" s="82"/>
    </row>
    <row r="75" spans="1:68" ht="14.25" hidden="1" customHeight="1" x14ac:dyDescent="0.25">
      <c r="A75" s="307" t="s">
        <v>80</v>
      </c>
      <c r="B75" s="307"/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  <c r="Z75" s="307"/>
      <c r="AA75" s="66"/>
      <c r="AB75" s="66"/>
      <c r="AC75" s="83"/>
    </row>
    <row r="76" spans="1:68" ht="27" customHeight="1" x14ac:dyDescent="0.25">
      <c r="A76" s="63" t="s">
        <v>156</v>
      </c>
      <c r="B76" s="63" t="s">
        <v>157</v>
      </c>
      <c r="C76" s="36">
        <v>4301070977</v>
      </c>
      <c r="D76" s="289">
        <v>4607111037411</v>
      </c>
      <c r="E76" s="289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159</v>
      </c>
      <c r="L76" s="37" t="s">
        <v>86</v>
      </c>
      <c r="M76" s="38" t="s">
        <v>84</v>
      </c>
      <c r="N76" s="38"/>
      <c r="O76" s="37">
        <v>180</v>
      </c>
      <c r="P76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1"/>
      <c r="R76" s="291"/>
      <c r="S76" s="291"/>
      <c r="T76" s="292"/>
      <c r="U76" s="39" t="s">
        <v>46</v>
      </c>
      <c r="V76" s="39" t="s">
        <v>46</v>
      </c>
      <c r="W76" s="40" t="s">
        <v>39</v>
      </c>
      <c r="X76" s="58">
        <v>234</v>
      </c>
      <c r="Y76" s="55">
        <f>IFERROR(IF(X76="","",X76),"")</f>
        <v>234</v>
      </c>
      <c r="Z76" s="41">
        <f>IFERROR(IF(X76="","",X76*0.00502),"")</f>
        <v>1.1746799999999999</v>
      </c>
      <c r="AA76" s="68" t="s">
        <v>46</v>
      </c>
      <c r="AB76" s="69" t="s">
        <v>46</v>
      </c>
      <c r="AC76" s="135" t="s">
        <v>158</v>
      </c>
      <c r="AG76" s="81"/>
      <c r="AJ76" s="87" t="s">
        <v>87</v>
      </c>
      <c r="AK76" s="87">
        <v>1</v>
      </c>
      <c r="BB76" s="136" t="s">
        <v>70</v>
      </c>
      <c r="BM76" s="81">
        <f>IFERROR(X76*I76,"0")</f>
        <v>658.28880000000004</v>
      </c>
      <c r="BN76" s="81">
        <f>IFERROR(Y76*I76,"0")</f>
        <v>658.28880000000004</v>
      </c>
      <c r="BO76" s="81">
        <f>IFERROR(X76/J76,"0")</f>
        <v>1</v>
      </c>
      <c r="BP76" s="81">
        <f>IFERROR(Y76/J76,"0")</f>
        <v>1</v>
      </c>
    </row>
    <row r="77" spans="1:68" ht="27" hidden="1" customHeight="1" x14ac:dyDescent="0.25">
      <c r="A77" s="63" t="s">
        <v>160</v>
      </c>
      <c r="B77" s="63" t="s">
        <v>161</v>
      </c>
      <c r="C77" s="36">
        <v>4301070981</v>
      </c>
      <c r="D77" s="289">
        <v>4607111036728</v>
      </c>
      <c r="E77" s="289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85</v>
      </c>
      <c r="L77" s="37" t="s">
        <v>117</v>
      </c>
      <c r="M77" s="38" t="s">
        <v>84</v>
      </c>
      <c r="N77" s="38"/>
      <c r="O77" s="37">
        <v>180</v>
      </c>
      <c r="P77" s="37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1"/>
      <c r="R77" s="291"/>
      <c r="S77" s="291"/>
      <c r="T77" s="292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158</v>
      </c>
      <c r="AG77" s="81"/>
      <c r="AJ77" s="87" t="s">
        <v>118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296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7"/>
      <c r="P78" s="293" t="s">
        <v>40</v>
      </c>
      <c r="Q78" s="294"/>
      <c r="R78" s="294"/>
      <c r="S78" s="294"/>
      <c r="T78" s="294"/>
      <c r="U78" s="294"/>
      <c r="V78" s="295"/>
      <c r="W78" s="42" t="s">
        <v>39</v>
      </c>
      <c r="X78" s="43">
        <f>IFERROR(SUM(X76:X77),"0")</f>
        <v>234</v>
      </c>
      <c r="Y78" s="43">
        <f>IFERROR(SUM(Y76:Y77),"0")</f>
        <v>234</v>
      </c>
      <c r="Z78" s="43">
        <f>IFERROR(IF(Z76="",0,Z76),"0")+IFERROR(IF(Z77="",0,Z77),"0")</f>
        <v>1.1746799999999999</v>
      </c>
      <c r="AA78" s="67"/>
      <c r="AB78" s="67"/>
      <c r="AC78" s="67"/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7"/>
      <c r="P79" s="293" t="s">
        <v>40</v>
      </c>
      <c r="Q79" s="294"/>
      <c r="R79" s="294"/>
      <c r="S79" s="294"/>
      <c r="T79" s="294"/>
      <c r="U79" s="294"/>
      <c r="V79" s="295"/>
      <c r="W79" s="42" t="s">
        <v>0</v>
      </c>
      <c r="X79" s="43">
        <f>IFERROR(SUMPRODUCT(X76:X77*H76:H77),"0")</f>
        <v>631.80000000000007</v>
      </c>
      <c r="Y79" s="43">
        <f>IFERROR(SUMPRODUCT(Y76:Y77*H76:H77),"0")</f>
        <v>631.80000000000007</v>
      </c>
      <c r="Z79" s="42"/>
      <c r="AA79" s="67"/>
      <c r="AB79" s="67"/>
      <c r="AC79" s="67"/>
    </row>
    <row r="80" spans="1:68" ht="16.5" hidden="1" customHeight="1" x14ac:dyDescent="0.25">
      <c r="A80" s="319" t="s">
        <v>162</v>
      </c>
      <c r="B80" s="319"/>
      <c r="C80" s="319"/>
      <c r="D80" s="319"/>
      <c r="E80" s="319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  <c r="AA80" s="65"/>
      <c r="AB80" s="65"/>
      <c r="AC80" s="82"/>
    </row>
    <row r="81" spans="1:68" ht="14.25" hidden="1" customHeight="1" x14ac:dyDescent="0.25">
      <c r="A81" s="307" t="s">
        <v>147</v>
      </c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  <c r="U81" s="307"/>
      <c r="V81" s="307"/>
      <c r="W81" s="307"/>
      <c r="X81" s="307"/>
      <c r="Y81" s="307"/>
      <c r="Z81" s="307"/>
      <c r="AA81" s="66"/>
      <c r="AB81" s="66"/>
      <c r="AC81" s="83"/>
    </row>
    <row r="82" spans="1:68" ht="27" customHeight="1" x14ac:dyDescent="0.25">
      <c r="A82" s="63" t="s">
        <v>163</v>
      </c>
      <c r="B82" s="63" t="s">
        <v>164</v>
      </c>
      <c r="C82" s="36">
        <v>4301135574</v>
      </c>
      <c r="D82" s="289">
        <v>4607111033659</v>
      </c>
      <c r="E82" s="289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116</v>
      </c>
      <c r="L82" s="37" t="s">
        <v>117</v>
      </c>
      <c r="M82" s="38" t="s">
        <v>84</v>
      </c>
      <c r="N82" s="38"/>
      <c r="O82" s="37">
        <v>180</v>
      </c>
      <c r="P82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91"/>
      <c r="R82" s="291"/>
      <c r="S82" s="291"/>
      <c r="T82" s="292"/>
      <c r="U82" s="39" t="s">
        <v>46</v>
      </c>
      <c r="V82" s="39" t="s">
        <v>46</v>
      </c>
      <c r="W82" s="40" t="s">
        <v>39</v>
      </c>
      <c r="X82" s="58">
        <v>42</v>
      </c>
      <c r="Y82" s="55">
        <f>IFERROR(IF(X82="","",X82),"")</f>
        <v>42</v>
      </c>
      <c r="Z82" s="41">
        <f>IFERROR(IF(X82="","",X82*0.01788),"")</f>
        <v>0.75095999999999996</v>
      </c>
      <c r="AA82" s="68" t="s">
        <v>46</v>
      </c>
      <c r="AB82" s="69" t="s">
        <v>46</v>
      </c>
      <c r="AC82" s="139" t="s">
        <v>165</v>
      </c>
      <c r="AG82" s="81"/>
      <c r="AJ82" s="87" t="s">
        <v>118</v>
      </c>
      <c r="AK82" s="87">
        <v>14</v>
      </c>
      <c r="BB82" s="140" t="s">
        <v>115</v>
      </c>
      <c r="BM82" s="81">
        <f>IFERROR(X82*I82,"0")</f>
        <v>180.75120000000001</v>
      </c>
      <c r="BN82" s="81">
        <f>IFERROR(Y82*I82,"0")</f>
        <v>180.75120000000001</v>
      </c>
      <c r="BO82" s="81">
        <f>IFERROR(X82/J82,"0")</f>
        <v>0.6</v>
      </c>
      <c r="BP82" s="81">
        <f>IFERROR(Y82/J82,"0")</f>
        <v>0.6</v>
      </c>
    </row>
    <row r="83" spans="1:68" x14ac:dyDescent="0.2">
      <c r="A83" s="296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7"/>
      <c r="P83" s="293" t="s">
        <v>40</v>
      </c>
      <c r="Q83" s="294"/>
      <c r="R83" s="294"/>
      <c r="S83" s="294"/>
      <c r="T83" s="294"/>
      <c r="U83" s="294"/>
      <c r="V83" s="295"/>
      <c r="W83" s="42" t="s">
        <v>39</v>
      </c>
      <c r="X83" s="43">
        <f>IFERROR(SUM(X82:X82),"0")</f>
        <v>42</v>
      </c>
      <c r="Y83" s="43">
        <f>IFERROR(SUM(Y82:Y82),"0")</f>
        <v>42</v>
      </c>
      <c r="Z83" s="43">
        <f>IFERROR(IF(Z82="",0,Z82),"0")</f>
        <v>0.75095999999999996</v>
      </c>
      <c r="AA83" s="67"/>
      <c r="AB83" s="67"/>
      <c r="AC83" s="67"/>
    </row>
    <row r="84" spans="1:68" x14ac:dyDescent="0.2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7"/>
      <c r="P84" s="293" t="s">
        <v>40</v>
      </c>
      <c r="Q84" s="294"/>
      <c r="R84" s="294"/>
      <c r="S84" s="294"/>
      <c r="T84" s="294"/>
      <c r="U84" s="294"/>
      <c r="V84" s="295"/>
      <c r="W84" s="42" t="s">
        <v>0</v>
      </c>
      <c r="X84" s="43">
        <f>IFERROR(SUMPRODUCT(X82:X82*H82:H82),"0")</f>
        <v>151.20000000000002</v>
      </c>
      <c r="Y84" s="43">
        <f>IFERROR(SUMPRODUCT(Y82:Y82*H82:H82),"0")</f>
        <v>151.20000000000002</v>
      </c>
      <c r="Z84" s="42"/>
      <c r="AA84" s="67"/>
      <c r="AB84" s="67"/>
      <c r="AC84" s="67"/>
    </row>
    <row r="85" spans="1:68" ht="16.5" hidden="1" customHeight="1" x14ac:dyDescent="0.25">
      <c r="A85" s="319" t="s">
        <v>166</v>
      </c>
      <c r="B85" s="319"/>
      <c r="C85" s="319"/>
      <c r="D85" s="319"/>
      <c r="E85" s="319"/>
      <c r="F85" s="319"/>
      <c r="G85" s="319"/>
      <c r="H85" s="319"/>
      <c r="I85" s="319"/>
      <c r="J85" s="319"/>
      <c r="K85" s="319"/>
      <c r="L85" s="319"/>
      <c r="M85" s="319"/>
      <c r="N85" s="319"/>
      <c r="O85" s="319"/>
      <c r="P85" s="319"/>
      <c r="Q85" s="319"/>
      <c r="R85" s="319"/>
      <c r="S85" s="319"/>
      <c r="T85" s="319"/>
      <c r="U85" s="319"/>
      <c r="V85" s="319"/>
      <c r="W85" s="319"/>
      <c r="X85" s="319"/>
      <c r="Y85" s="319"/>
      <c r="Z85" s="319"/>
      <c r="AA85" s="65"/>
      <c r="AB85" s="65"/>
      <c r="AC85" s="82"/>
    </row>
    <row r="86" spans="1:68" ht="14.25" hidden="1" customHeight="1" x14ac:dyDescent="0.25">
      <c r="A86" s="307" t="s">
        <v>167</v>
      </c>
      <c r="B86" s="307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  <c r="AA86" s="66"/>
      <c r="AB86" s="66"/>
      <c r="AC86" s="83"/>
    </row>
    <row r="87" spans="1:68" ht="27" customHeight="1" x14ac:dyDescent="0.25">
      <c r="A87" s="63" t="s">
        <v>168</v>
      </c>
      <c r="B87" s="63" t="s">
        <v>169</v>
      </c>
      <c r="C87" s="36">
        <v>4301131047</v>
      </c>
      <c r="D87" s="289">
        <v>4607111034120</v>
      </c>
      <c r="E87" s="289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116</v>
      </c>
      <c r="L87" s="37" t="s">
        <v>117</v>
      </c>
      <c r="M87" s="38" t="s">
        <v>84</v>
      </c>
      <c r="N87" s="38"/>
      <c r="O87" s="37">
        <v>180</v>
      </c>
      <c r="P87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1"/>
      <c r="R87" s="291"/>
      <c r="S87" s="291"/>
      <c r="T87" s="292"/>
      <c r="U87" s="39" t="s">
        <v>46</v>
      </c>
      <c r="V87" s="39" t="s">
        <v>46</v>
      </c>
      <c r="W87" s="40" t="s">
        <v>39</v>
      </c>
      <c r="X87" s="58">
        <v>70</v>
      </c>
      <c r="Y87" s="55">
        <f>IFERROR(IF(X87="","",X87),"")</f>
        <v>70</v>
      </c>
      <c r="Z87" s="41">
        <f>IFERROR(IF(X87="","",X87*0.01788),"")</f>
        <v>1.2516</v>
      </c>
      <c r="AA87" s="68" t="s">
        <v>46</v>
      </c>
      <c r="AB87" s="69" t="s">
        <v>46</v>
      </c>
      <c r="AC87" s="141" t="s">
        <v>170</v>
      </c>
      <c r="AG87" s="81"/>
      <c r="AJ87" s="87" t="s">
        <v>118</v>
      </c>
      <c r="AK87" s="87">
        <v>14</v>
      </c>
      <c r="BB87" s="142" t="s">
        <v>115</v>
      </c>
      <c r="BM87" s="81">
        <f>IFERROR(X87*I87,"0")</f>
        <v>301.25200000000001</v>
      </c>
      <c r="BN87" s="81">
        <f>IFERROR(Y87*I87,"0")</f>
        <v>301.25200000000001</v>
      </c>
      <c r="BO87" s="81">
        <f>IFERROR(X87/J87,"0")</f>
        <v>1</v>
      </c>
      <c r="BP87" s="81">
        <f>IFERROR(Y87/J87,"0")</f>
        <v>1</v>
      </c>
    </row>
    <row r="88" spans="1:68" ht="27" customHeight="1" x14ac:dyDescent="0.25">
      <c r="A88" s="63" t="s">
        <v>171</v>
      </c>
      <c r="B88" s="63" t="s">
        <v>172</v>
      </c>
      <c r="C88" s="36">
        <v>4301131046</v>
      </c>
      <c r="D88" s="289">
        <v>4607111034137</v>
      </c>
      <c r="E88" s="289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1"/>
      <c r="R88" s="291"/>
      <c r="S88" s="291"/>
      <c r="T88" s="292"/>
      <c r="U88" s="39" t="s">
        <v>46</v>
      </c>
      <c r="V88" s="39" t="s">
        <v>46</v>
      </c>
      <c r="W88" s="40" t="s">
        <v>39</v>
      </c>
      <c r="X88" s="58">
        <v>42</v>
      </c>
      <c r="Y88" s="55">
        <f>IFERROR(IF(X88="","",X88),"")</f>
        <v>42</v>
      </c>
      <c r="Z88" s="41">
        <f>IFERROR(IF(X88="","",X88*0.01788),"")</f>
        <v>0.75095999999999996</v>
      </c>
      <c r="AA88" s="68" t="s">
        <v>46</v>
      </c>
      <c r="AB88" s="69" t="s">
        <v>46</v>
      </c>
      <c r="AC88" s="143" t="s">
        <v>173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180.75120000000001</v>
      </c>
      <c r="BN88" s="81">
        <f>IFERROR(Y88*I88,"0")</f>
        <v>180.75120000000001</v>
      </c>
      <c r="BO88" s="81">
        <f>IFERROR(X88/J88,"0")</f>
        <v>0.6</v>
      </c>
      <c r="BP88" s="81">
        <f>IFERROR(Y88/J88,"0")</f>
        <v>0.6</v>
      </c>
    </row>
    <row r="89" spans="1:68" x14ac:dyDescent="0.2">
      <c r="A89" s="296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7"/>
      <c r="P89" s="293" t="s">
        <v>40</v>
      </c>
      <c r="Q89" s="294"/>
      <c r="R89" s="294"/>
      <c r="S89" s="294"/>
      <c r="T89" s="294"/>
      <c r="U89" s="294"/>
      <c r="V89" s="295"/>
      <c r="W89" s="42" t="s">
        <v>39</v>
      </c>
      <c r="X89" s="43">
        <f>IFERROR(SUM(X87:X88),"0")</f>
        <v>112</v>
      </c>
      <c r="Y89" s="43">
        <f>IFERROR(SUM(Y87:Y88),"0")</f>
        <v>112</v>
      </c>
      <c r="Z89" s="43">
        <f>IFERROR(IF(Z87="",0,Z87),"0")+IFERROR(IF(Z88="",0,Z88),"0")</f>
        <v>2.0025599999999999</v>
      </c>
      <c r="AA89" s="67"/>
      <c r="AB89" s="67"/>
      <c r="AC89" s="67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7"/>
      <c r="P90" s="293" t="s">
        <v>40</v>
      </c>
      <c r="Q90" s="294"/>
      <c r="R90" s="294"/>
      <c r="S90" s="294"/>
      <c r="T90" s="294"/>
      <c r="U90" s="294"/>
      <c r="V90" s="295"/>
      <c r="W90" s="42" t="s">
        <v>0</v>
      </c>
      <c r="X90" s="43">
        <f>IFERROR(SUMPRODUCT(X87:X88*H87:H88),"0")</f>
        <v>403.20000000000005</v>
      </c>
      <c r="Y90" s="43">
        <f>IFERROR(SUMPRODUCT(Y87:Y88*H87:H88),"0")</f>
        <v>403.20000000000005</v>
      </c>
      <c r="Z90" s="42"/>
      <c r="AA90" s="67"/>
      <c r="AB90" s="67"/>
      <c r="AC90" s="67"/>
    </row>
    <row r="91" spans="1:68" ht="16.5" hidden="1" customHeight="1" x14ac:dyDescent="0.25">
      <c r="A91" s="319" t="s">
        <v>174</v>
      </c>
      <c r="B91" s="319"/>
      <c r="C91" s="319"/>
      <c r="D91" s="319"/>
      <c r="E91" s="319"/>
      <c r="F91" s="319"/>
      <c r="G91" s="319"/>
      <c r="H91" s="319"/>
      <c r="I91" s="319"/>
      <c r="J91" s="319"/>
      <c r="K91" s="319"/>
      <c r="L91" s="319"/>
      <c r="M91" s="319"/>
      <c r="N91" s="319"/>
      <c r="O91" s="319"/>
      <c r="P91" s="319"/>
      <c r="Q91" s="319"/>
      <c r="R91" s="319"/>
      <c r="S91" s="319"/>
      <c r="T91" s="319"/>
      <c r="U91" s="319"/>
      <c r="V91" s="319"/>
      <c r="W91" s="319"/>
      <c r="X91" s="319"/>
      <c r="Y91" s="319"/>
      <c r="Z91" s="319"/>
      <c r="AA91" s="65"/>
      <c r="AB91" s="65"/>
      <c r="AC91" s="82"/>
    </row>
    <row r="92" spans="1:68" ht="14.25" hidden="1" customHeight="1" x14ac:dyDescent="0.25">
      <c r="A92" s="307" t="s">
        <v>147</v>
      </c>
      <c r="B92" s="307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7"/>
      <c r="V92" s="307"/>
      <c r="W92" s="307"/>
      <c r="X92" s="307"/>
      <c r="Y92" s="307"/>
      <c r="Z92" s="307"/>
      <c r="AA92" s="66"/>
      <c r="AB92" s="66"/>
      <c r="AC92" s="83"/>
    </row>
    <row r="93" spans="1:68" ht="27" customHeight="1" x14ac:dyDescent="0.25">
      <c r="A93" s="63" t="s">
        <v>175</v>
      </c>
      <c r="B93" s="63" t="s">
        <v>176</v>
      </c>
      <c r="C93" s="36">
        <v>4301135763</v>
      </c>
      <c r="D93" s="289">
        <v>4620207491027</v>
      </c>
      <c r="E93" s="289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7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1"/>
      <c r="R93" s="291"/>
      <c r="S93" s="291"/>
      <c r="T93" s="292"/>
      <c r="U93" s="39" t="s">
        <v>46</v>
      </c>
      <c r="V93" s="39" t="s">
        <v>46</v>
      </c>
      <c r="W93" s="40" t="s">
        <v>39</v>
      </c>
      <c r="X93" s="58">
        <v>56</v>
      </c>
      <c r="Y93" s="55">
        <f t="shared" ref="Y93:Y98" si="6">IFERROR(IF(X93="","",X93),"")</f>
        <v>56</v>
      </c>
      <c r="Z93" s="41">
        <f t="shared" ref="Z93:Z98" si="7">IFERROR(IF(X93="","",X93*0.01788),"")</f>
        <v>1.0012799999999999</v>
      </c>
      <c r="AA93" s="68" t="s">
        <v>46</v>
      </c>
      <c r="AB93" s="69" t="s">
        <v>46</v>
      </c>
      <c r="AC93" s="145" t="s">
        <v>165</v>
      </c>
      <c r="AG93" s="81"/>
      <c r="AJ93" s="87" t="s">
        <v>118</v>
      </c>
      <c r="AK93" s="87">
        <v>14</v>
      </c>
      <c r="BB93" s="146" t="s">
        <v>115</v>
      </c>
      <c r="BM93" s="81">
        <f t="shared" ref="BM93:BM98" si="8">IFERROR(X93*I93,"0")</f>
        <v>200.6816</v>
      </c>
      <c r="BN93" s="81">
        <f t="shared" ref="BN93:BN98" si="9">IFERROR(Y93*I93,"0")</f>
        <v>200.6816</v>
      </c>
      <c r="BO93" s="81">
        <f t="shared" ref="BO93:BO98" si="10">IFERROR(X93/J93,"0")</f>
        <v>0.8</v>
      </c>
      <c r="BP93" s="81">
        <f t="shared" ref="BP93:BP98" si="11">IFERROR(Y93/J93,"0")</f>
        <v>0.8</v>
      </c>
    </row>
    <row r="94" spans="1:68" ht="27" customHeight="1" x14ac:dyDescent="0.25">
      <c r="A94" s="63" t="s">
        <v>177</v>
      </c>
      <c r="B94" s="63" t="s">
        <v>178</v>
      </c>
      <c r="C94" s="36">
        <v>4301135914</v>
      </c>
      <c r="D94" s="289">
        <v>4620207491621</v>
      </c>
      <c r="E94" s="28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86</v>
      </c>
      <c r="M94" s="38" t="s">
        <v>84</v>
      </c>
      <c r="N94" s="38"/>
      <c r="O94" s="37">
        <v>180</v>
      </c>
      <c r="P94" s="36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1"/>
      <c r="R94" s="291"/>
      <c r="S94" s="291"/>
      <c r="T94" s="292"/>
      <c r="U94" s="39" t="s">
        <v>46</v>
      </c>
      <c r="V94" s="39" t="s">
        <v>46</v>
      </c>
      <c r="W94" s="40" t="s">
        <v>39</v>
      </c>
      <c r="X94" s="58">
        <v>84</v>
      </c>
      <c r="Y94" s="55">
        <f t="shared" si="6"/>
        <v>84</v>
      </c>
      <c r="Z94" s="41">
        <f t="shared" si="7"/>
        <v>1.5019199999999999</v>
      </c>
      <c r="AA94" s="68" t="s">
        <v>46</v>
      </c>
      <c r="AB94" s="69" t="s">
        <v>46</v>
      </c>
      <c r="AC94" s="147" t="s">
        <v>179</v>
      </c>
      <c r="AG94" s="81"/>
      <c r="AJ94" s="87" t="s">
        <v>87</v>
      </c>
      <c r="AK94" s="87">
        <v>1</v>
      </c>
      <c r="BB94" s="148" t="s">
        <v>115</v>
      </c>
      <c r="BM94" s="81">
        <f t="shared" si="8"/>
        <v>301.0224</v>
      </c>
      <c r="BN94" s="81">
        <f t="shared" si="9"/>
        <v>301.0224</v>
      </c>
      <c r="BO94" s="81">
        <f t="shared" si="10"/>
        <v>1.2</v>
      </c>
      <c r="BP94" s="81">
        <f t="shared" si="11"/>
        <v>1.2</v>
      </c>
    </row>
    <row r="95" spans="1:68" ht="27" customHeight="1" x14ac:dyDescent="0.25">
      <c r="A95" s="63" t="s">
        <v>180</v>
      </c>
      <c r="B95" s="63" t="s">
        <v>181</v>
      </c>
      <c r="C95" s="36">
        <v>4301135990</v>
      </c>
      <c r="D95" s="289">
        <v>4620207491881</v>
      </c>
      <c r="E95" s="289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86</v>
      </c>
      <c r="M95" s="38" t="s">
        <v>84</v>
      </c>
      <c r="N95" s="38"/>
      <c r="O95" s="37">
        <v>180</v>
      </c>
      <c r="P95" s="36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1"/>
      <c r="R95" s="291"/>
      <c r="S95" s="291"/>
      <c r="T95" s="292"/>
      <c r="U95" s="39" t="s">
        <v>46</v>
      </c>
      <c r="V95" s="39" t="s">
        <v>46</v>
      </c>
      <c r="W95" s="40" t="s">
        <v>39</v>
      </c>
      <c r="X95" s="58">
        <v>14</v>
      </c>
      <c r="Y95" s="55">
        <f t="shared" si="6"/>
        <v>14</v>
      </c>
      <c r="Z95" s="41">
        <f t="shared" si="7"/>
        <v>0.25031999999999999</v>
      </c>
      <c r="AA95" s="68" t="s">
        <v>46</v>
      </c>
      <c r="AB95" s="69" t="s">
        <v>46</v>
      </c>
      <c r="AC95" s="149" t="s">
        <v>179</v>
      </c>
      <c r="AG95" s="81"/>
      <c r="AJ95" s="87" t="s">
        <v>87</v>
      </c>
      <c r="AK95" s="87">
        <v>1</v>
      </c>
      <c r="BB95" s="150" t="s">
        <v>115</v>
      </c>
      <c r="BM95" s="81">
        <f t="shared" si="8"/>
        <v>50.170400000000001</v>
      </c>
      <c r="BN95" s="81">
        <f t="shared" si="9"/>
        <v>50.170400000000001</v>
      </c>
      <c r="BO95" s="81">
        <f t="shared" si="10"/>
        <v>0.2</v>
      </c>
      <c r="BP95" s="81">
        <f t="shared" si="11"/>
        <v>0.2</v>
      </c>
    </row>
    <row r="96" spans="1:68" ht="27" customHeight="1" x14ac:dyDescent="0.25">
      <c r="A96" s="63" t="s">
        <v>182</v>
      </c>
      <c r="B96" s="63" t="s">
        <v>183</v>
      </c>
      <c r="C96" s="36">
        <v>4301135920</v>
      </c>
      <c r="D96" s="289">
        <v>4620207491577</v>
      </c>
      <c r="E96" s="289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86</v>
      </c>
      <c r="M96" s="38" t="s">
        <v>84</v>
      </c>
      <c r="N96" s="38"/>
      <c r="O96" s="37">
        <v>180</v>
      </c>
      <c r="P96" s="37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1"/>
      <c r="R96" s="291"/>
      <c r="S96" s="291"/>
      <c r="T96" s="292"/>
      <c r="U96" s="39" t="s">
        <v>46</v>
      </c>
      <c r="V96" s="39" t="s">
        <v>46</v>
      </c>
      <c r="W96" s="40" t="s">
        <v>39</v>
      </c>
      <c r="X96" s="58">
        <v>70</v>
      </c>
      <c r="Y96" s="55">
        <f t="shared" si="6"/>
        <v>70</v>
      </c>
      <c r="Z96" s="41">
        <f t="shared" si="7"/>
        <v>1.2516</v>
      </c>
      <c r="AA96" s="68" t="s">
        <v>46</v>
      </c>
      <c r="AB96" s="69" t="s">
        <v>46</v>
      </c>
      <c r="AC96" s="151" t="s">
        <v>179</v>
      </c>
      <c r="AG96" s="81"/>
      <c r="AJ96" s="87" t="s">
        <v>87</v>
      </c>
      <c r="AK96" s="87">
        <v>1</v>
      </c>
      <c r="BB96" s="152" t="s">
        <v>115</v>
      </c>
      <c r="BM96" s="81">
        <f t="shared" si="8"/>
        <v>250.852</v>
      </c>
      <c r="BN96" s="81">
        <f t="shared" si="9"/>
        <v>250.852</v>
      </c>
      <c r="BO96" s="81">
        <f t="shared" si="10"/>
        <v>1</v>
      </c>
      <c r="BP96" s="81">
        <f t="shared" si="11"/>
        <v>1</v>
      </c>
    </row>
    <row r="97" spans="1:68" ht="27" customHeight="1" x14ac:dyDescent="0.25">
      <c r="A97" s="63" t="s">
        <v>184</v>
      </c>
      <c r="B97" s="63" t="s">
        <v>185</v>
      </c>
      <c r="C97" s="36">
        <v>4301135984</v>
      </c>
      <c r="D97" s="289">
        <v>4620207491874</v>
      </c>
      <c r="E97" s="289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116</v>
      </c>
      <c r="L97" s="37" t="s">
        <v>86</v>
      </c>
      <c r="M97" s="38" t="s">
        <v>84</v>
      </c>
      <c r="N97" s="38"/>
      <c r="O97" s="37">
        <v>180</v>
      </c>
      <c r="P97" s="37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1"/>
      <c r="R97" s="291"/>
      <c r="S97" s="291"/>
      <c r="T97" s="292"/>
      <c r="U97" s="39" t="s">
        <v>46</v>
      </c>
      <c r="V97" s="39" t="s">
        <v>46</v>
      </c>
      <c r="W97" s="40" t="s">
        <v>39</v>
      </c>
      <c r="X97" s="58">
        <v>28</v>
      </c>
      <c r="Y97" s="55">
        <f t="shared" si="6"/>
        <v>28</v>
      </c>
      <c r="Z97" s="41">
        <f t="shared" si="7"/>
        <v>0.50063999999999997</v>
      </c>
      <c r="AA97" s="68" t="s">
        <v>46</v>
      </c>
      <c r="AB97" s="69" t="s">
        <v>46</v>
      </c>
      <c r="AC97" s="153" t="s">
        <v>179</v>
      </c>
      <c r="AG97" s="81"/>
      <c r="AJ97" s="87" t="s">
        <v>87</v>
      </c>
      <c r="AK97" s="87">
        <v>1</v>
      </c>
      <c r="BB97" s="154" t="s">
        <v>115</v>
      </c>
      <c r="BM97" s="81">
        <f t="shared" si="8"/>
        <v>124.56640000000002</v>
      </c>
      <c r="BN97" s="81">
        <f t="shared" si="9"/>
        <v>124.56640000000002</v>
      </c>
      <c r="BO97" s="81">
        <f t="shared" si="10"/>
        <v>0.4</v>
      </c>
      <c r="BP97" s="81">
        <f t="shared" si="11"/>
        <v>0.4</v>
      </c>
    </row>
    <row r="98" spans="1:68" ht="27" customHeight="1" x14ac:dyDescent="0.25">
      <c r="A98" s="63" t="s">
        <v>186</v>
      </c>
      <c r="B98" s="63" t="s">
        <v>187</v>
      </c>
      <c r="C98" s="36">
        <v>4301135285</v>
      </c>
      <c r="D98" s="289">
        <v>4607111036407</v>
      </c>
      <c r="E98" s="289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116</v>
      </c>
      <c r="L98" s="37" t="s">
        <v>86</v>
      </c>
      <c r="M98" s="38" t="s">
        <v>84</v>
      </c>
      <c r="N98" s="38"/>
      <c r="O98" s="37">
        <v>180</v>
      </c>
      <c r="P98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91"/>
      <c r="R98" s="291"/>
      <c r="S98" s="291"/>
      <c r="T98" s="292"/>
      <c r="U98" s="39" t="s">
        <v>46</v>
      </c>
      <c r="V98" s="39" t="s">
        <v>46</v>
      </c>
      <c r="W98" s="40" t="s">
        <v>39</v>
      </c>
      <c r="X98" s="58">
        <v>14</v>
      </c>
      <c r="Y98" s="55">
        <f t="shared" si="6"/>
        <v>14</v>
      </c>
      <c r="Z98" s="41">
        <f t="shared" si="7"/>
        <v>0.25031999999999999</v>
      </c>
      <c r="AA98" s="68" t="s">
        <v>46</v>
      </c>
      <c r="AB98" s="69" t="s">
        <v>46</v>
      </c>
      <c r="AC98" s="155" t="s">
        <v>188</v>
      </c>
      <c r="AG98" s="81"/>
      <c r="AJ98" s="87" t="s">
        <v>87</v>
      </c>
      <c r="AK98" s="87">
        <v>1</v>
      </c>
      <c r="BB98" s="156" t="s">
        <v>115</v>
      </c>
      <c r="BM98" s="81">
        <f t="shared" si="8"/>
        <v>63.408800000000006</v>
      </c>
      <c r="BN98" s="81">
        <f t="shared" si="9"/>
        <v>63.408800000000006</v>
      </c>
      <c r="BO98" s="81">
        <f t="shared" si="10"/>
        <v>0.2</v>
      </c>
      <c r="BP98" s="81">
        <f t="shared" si="11"/>
        <v>0.2</v>
      </c>
    </row>
    <row r="99" spans="1:68" x14ac:dyDescent="0.2">
      <c r="A99" s="296"/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7"/>
      <c r="P99" s="293" t="s">
        <v>40</v>
      </c>
      <c r="Q99" s="294"/>
      <c r="R99" s="294"/>
      <c r="S99" s="294"/>
      <c r="T99" s="294"/>
      <c r="U99" s="294"/>
      <c r="V99" s="295"/>
      <c r="W99" s="42" t="s">
        <v>39</v>
      </c>
      <c r="X99" s="43">
        <f>IFERROR(SUM(X93:X98),"0")</f>
        <v>266</v>
      </c>
      <c r="Y99" s="43">
        <f>IFERROR(SUM(Y93:Y98),"0")</f>
        <v>266</v>
      </c>
      <c r="Z99" s="43">
        <f>IFERROR(IF(Z93="",0,Z93),"0")+IFERROR(IF(Z94="",0,Z94),"0")+IFERROR(IF(Z95="",0,Z95),"0")+IFERROR(IF(Z96="",0,Z96),"0")+IFERROR(IF(Z97="",0,Z97),"0")+IFERROR(IF(Z98="",0,Z98),"0")</f>
        <v>4.7560799999999999</v>
      </c>
      <c r="AA99" s="67"/>
      <c r="AB99" s="67"/>
      <c r="AC99" s="67"/>
    </row>
    <row r="100" spans="1:68" x14ac:dyDescent="0.2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297"/>
      <c r="P100" s="293" t="s">
        <v>40</v>
      </c>
      <c r="Q100" s="294"/>
      <c r="R100" s="294"/>
      <c r="S100" s="294"/>
      <c r="T100" s="294"/>
      <c r="U100" s="294"/>
      <c r="V100" s="295"/>
      <c r="W100" s="42" t="s">
        <v>0</v>
      </c>
      <c r="X100" s="43">
        <f>IFERROR(SUMPRODUCT(X93:X98*H93:H98),"0")</f>
        <v>811.43999999999994</v>
      </c>
      <c r="Y100" s="43">
        <f>IFERROR(SUMPRODUCT(Y93:Y98*H93:H98),"0")</f>
        <v>811.43999999999994</v>
      </c>
      <c r="Z100" s="42"/>
      <c r="AA100" s="67"/>
      <c r="AB100" s="67"/>
      <c r="AC100" s="67"/>
    </row>
    <row r="101" spans="1:68" ht="16.5" hidden="1" customHeight="1" x14ac:dyDescent="0.25">
      <c r="A101" s="319" t="s">
        <v>189</v>
      </c>
      <c r="B101" s="319"/>
      <c r="C101" s="319"/>
      <c r="D101" s="319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319"/>
      <c r="P101" s="319"/>
      <c r="Q101" s="319"/>
      <c r="R101" s="319"/>
      <c r="S101" s="319"/>
      <c r="T101" s="319"/>
      <c r="U101" s="319"/>
      <c r="V101" s="319"/>
      <c r="W101" s="319"/>
      <c r="X101" s="319"/>
      <c r="Y101" s="319"/>
      <c r="Z101" s="319"/>
      <c r="AA101" s="65"/>
      <c r="AB101" s="65"/>
      <c r="AC101" s="82"/>
    </row>
    <row r="102" spans="1:68" ht="14.25" hidden="1" customHeight="1" x14ac:dyDescent="0.25">
      <c r="A102" s="307" t="s">
        <v>143</v>
      </c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7"/>
      <c r="V102" s="307"/>
      <c r="W102" s="307"/>
      <c r="X102" s="307"/>
      <c r="Y102" s="307"/>
      <c r="Z102" s="307"/>
      <c r="AA102" s="66"/>
      <c r="AB102" s="66"/>
      <c r="AC102" s="83"/>
    </row>
    <row r="103" spans="1:68" ht="27" hidden="1" customHeight="1" x14ac:dyDescent="0.25">
      <c r="A103" s="63" t="s">
        <v>190</v>
      </c>
      <c r="B103" s="63" t="s">
        <v>191</v>
      </c>
      <c r="C103" s="36">
        <v>4301136101</v>
      </c>
      <c r="D103" s="289">
        <v>4620207491652</v>
      </c>
      <c r="E103" s="289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116</v>
      </c>
      <c r="L103" s="37" t="s">
        <v>86</v>
      </c>
      <c r="M103" s="38" t="s">
        <v>84</v>
      </c>
      <c r="N103" s="38"/>
      <c r="O103" s="37">
        <v>180</v>
      </c>
      <c r="P103" s="366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1"/>
      <c r="R103" s="291"/>
      <c r="S103" s="291"/>
      <c r="T103" s="292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192</v>
      </c>
      <c r="AG103" s="81"/>
      <c r="AJ103" s="87" t="s">
        <v>87</v>
      </c>
      <c r="AK103" s="87">
        <v>1</v>
      </c>
      <c r="BB103" s="158" t="s">
        <v>115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hidden="1" customHeight="1" x14ac:dyDescent="0.25">
      <c r="A104" s="63" t="s">
        <v>193</v>
      </c>
      <c r="B104" s="63" t="s">
        <v>194</v>
      </c>
      <c r="C104" s="36">
        <v>4301136103</v>
      </c>
      <c r="D104" s="289">
        <v>4620207491645</v>
      </c>
      <c r="E104" s="289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67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1"/>
      <c r="R104" s="291"/>
      <c r="S104" s="291"/>
      <c r="T104" s="292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192</v>
      </c>
      <c r="AG104" s="81"/>
      <c r="AJ104" s="87" t="s">
        <v>87</v>
      </c>
      <c r="AK104" s="87">
        <v>1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idden="1" x14ac:dyDescent="0.2">
      <c r="A105" s="296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7"/>
      <c r="P105" s="293" t="s">
        <v>40</v>
      </c>
      <c r="Q105" s="294"/>
      <c r="R105" s="294"/>
      <c r="S105" s="294"/>
      <c r="T105" s="294"/>
      <c r="U105" s="294"/>
      <c r="V105" s="295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hidden="1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7"/>
      <c r="P106" s="293" t="s">
        <v>40</v>
      </c>
      <c r="Q106" s="294"/>
      <c r="R106" s="294"/>
      <c r="S106" s="294"/>
      <c r="T106" s="294"/>
      <c r="U106" s="294"/>
      <c r="V106" s="295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hidden="1" customHeight="1" x14ac:dyDescent="0.25">
      <c r="A107" s="319" t="s">
        <v>195</v>
      </c>
      <c r="B107" s="319"/>
      <c r="C107" s="319"/>
      <c r="D107" s="319"/>
      <c r="E107" s="319"/>
      <c r="F107" s="319"/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  <c r="R107" s="319"/>
      <c r="S107" s="319"/>
      <c r="T107" s="319"/>
      <c r="U107" s="319"/>
      <c r="V107" s="319"/>
      <c r="W107" s="319"/>
      <c r="X107" s="319"/>
      <c r="Y107" s="319"/>
      <c r="Z107" s="319"/>
      <c r="AA107" s="65"/>
      <c r="AB107" s="65"/>
      <c r="AC107" s="82"/>
    </row>
    <row r="108" spans="1:68" ht="14.25" hidden="1" customHeight="1" x14ac:dyDescent="0.25">
      <c r="A108" s="307" t="s">
        <v>80</v>
      </c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  <c r="AA108" s="66"/>
      <c r="AB108" s="66"/>
      <c r="AC108" s="83"/>
    </row>
    <row r="109" spans="1:68" ht="27" hidden="1" customHeight="1" x14ac:dyDescent="0.25">
      <c r="A109" s="63" t="s">
        <v>196</v>
      </c>
      <c r="B109" s="63" t="s">
        <v>197</v>
      </c>
      <c r="C109" s="36">
        <v>4301071074</v>
      </c>
      <c r="D109" s="289">
        <v>4620207491157</v>
      </c>
      <c r="E109" s="289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85</v>
      </c>
      <c r="L109" s="37" t="s">
        <v>117</v>
      </c>
      <c r="M109" s="38" t="s">
        <v>84</v>
      </c>
      <c r="N109" s="38"/>
      <c r="O109" s="37">
        <v>180</v>
      </c>
      <c r="P109" s="36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1"/>
      <c r="R109" s="291"/>
      <c r="S109" s="291"/>
      <c r="T109" s="292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5" si="12">IFERROR(IF(X109="","",X109),"")</f>
        <v>0</v>
      </c>
      <c r="Z109" s="41">
        <f t="shared" ref="Z109:Z115" si="13">IFERROR(IF(X109="","",X109*0.0155),"")</f>
        <v>0</v>
      </c>
      <c r="AA109" s="68" t="s">
        <v>46</v>
      </c>
      <c r="AB109" s="69" t="s">
        <v>46</v>
      </c>
      <c r="AC109" s="161" t="s">
        <v>198</v>
      </c>
      <c r="AG109" s="81"/>
      <c r="AJ109" s="87" t="s">
        <v>118</v>
      </c>
      <c r="AK109" s="87">
        <v>12</v>
      </c>
      <c r="BB109" s="162" t="s">
        <v>70</v>
      </c>
      <c r="BM109" s="81">
        <f t="shared" ref="BM109:BM115" si="14">IFERROR(X109*I109,"0")</f>
        <v>0</v>
      </c>
      <c r="BN109" s="81">
        <f t="shared" ref="BN109:BN115" si="15">IFERROR(Y109*I109,"0")</f>
        <v>0</v>
      </c>
      <c r="BO109" s="81">
        <f t="shared" ref="BO109:BO115" si="16">IFERROR(X109/J109,"0")</f>
        <v>0</v>
      </c>
      <c r="BP109" s="81">
        <f t="shared" ref="BP109:BP115" si="17">IFERROR(Y109/J109,"0")</f>
        <v>0</v>
      </c>
    </row>
    <row r="110" spans="1:68" ht="27" hidden="1" customHeight="1" x14ac:dyDescent="0.25">
      <c r="A110" s="63" t="s">
        <v>199</v>
      </c>
      <c r="B110" s="63" t="s">
        <v>200</v>
      </c>
      <c r="C110" s="36">
        <v>4301071121</v>
      </c>
      <c r="D110" s="289">
        <v>4620207491393</v>
      </c>
      <c r="E110" s="289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85</v>
      </c>
      <c r="L110" s="37" t="s">
        <v>86</v>
      </c>
      <c r="M110" s="38" t="s">
        <v>84</v>
      </c>
      <c r="N110" s="38"/>
      <c r="O110" s="37">
        <v>180</v>
      </c>
      <c r="P110" s="36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1"/>
      <c r="R110" s="291"/>
      <c r="S110" s="291"/>
      <c r="T110" s="292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87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4301071051</v>
      </c>
      <c r="D111" s="289">
        <v>4607111039262</v>
      </c>
      <c r="E111" s="289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85</v>
      </c>
      <c r="L111" s="37" t="s">
        <v>117</v>
      </c>
      <c r="M111" s="38" t="s">
        <v>84</v>
      </c>
      <c r="N111" s="38"/>
      <c r="O111" s="37">
        <v>180</v>
      </c>
      <c r="P111" s="35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1"/>
      <c r="R111" s="291"/>
      <c r="S111" s="291"/>
      <c r="T111" s="292"/>
      <c r="U111" s="39" t="s">
        <v>46</v>
      </c>
      <c r="V111" s="39" t="s">
        <v>46</v>
      </c>
      <c r="W111" s="40" t="s">
        <v>39</v>
      </c>
      <c r="X111" s="58">
        <v>48</v>
      </c>
      <c r="Y111" s="55">
        <f t="shared" si="12"/>
        <v>48</v>
      </c>
      <c r="Z111" s="41">
        <f t="shared" si="13"/>
        <v>0.74399999999999999</v>
      </c>
      <c r="AA111" s="68" t="s">
        <v>46</v>
      </c>
      <c r="AB111" s="69" t="s">
        <v>46</v>
      </c>
      <c r="AC111" s="165" t="s">
        <v>158</v>
      </c>
      <c r="AG111" s="81"/>
      <c r="AJ111" s="87" t="s">
        <v>118</v>
      </c>
      <c r="AK111" s="87">
        <v>12</v>
      </c>
      <c r="BB111" s="166" t="s">
        <v>70</v>
      </c>
      <c r="BM111" s="81">
        <f t="shared" si="14"/>
        <v>322.54079999999999</v>
      </c>
      <c r="BN111" s="81">
        <f t="shared" si="15"/>
        <v>322.54079999999999</v>
      </c>
      <c r="BO111" s="81">
        <f t="shared" si="16"/>
        <v>0.5714285714285714</v>
      </c>
      <c r="BP111" s="81">
        <f t="shared" si="17"/>
        <v>0.5714285714285714</v>
      </c>
    </row>
    <row r="112" spans="1:68" ht="27" customHeight="1" x14ac:dyDescent="0.25">
      <c r="A112" s="63" t="s">
        <v>204</v>
      </c>
      <c r="B112" s="63" t="s">
        <v>205</v>
      </c>
      <c r="C112" s="36">
        <v>4301071038</v>
      </c>
      <c r="D112" s="289">
        <v>4607111039248</v>
      </c>
      <c r="E112" s="289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36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1"/>
      <c r="R112" s="291"/>
      <c r="S112" s="291"/>
      <c r="T112" s="292"/>
      <c r="U112" s="39" t="s">
        <v>46</v>
      </c>
      <c r="V112" s="39" t="s">
        <v>46</v>
      </c>
      <c r="W112" s="40" t="s">
        <v>39</v>
      </c>
      <c r="X112" s="58">
        <v>12</v>
      </c>
      <c r="Y112" s="55">
        <f t="shared" si="12"/>
        <v>12</v>
      </c>
      <c r="Z112" s="41">
        <f t="shared" si="13"/>
        <v>0.186</v>
      </c>
      <c r="AA112" s="68" t="s">
        <v>46</v>
      </c>
      <c r="AB112" s="69" t="s">
        <v>46</v>
      </c>
      <c r="AC112" s="167" t="s">
        <v>158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87.6</v>
      </c>
      <c r="BN112" s="81">
        <f t="shared" si="15"/>
        <v>87.6</v>
      </c>
      <c r="BO112" s="81">
        <f t="shared" si="16"/>
        <v>0.14285714285714285</v>
      </c>
      <c r="BP112" s="81">
        <f t="shared" si="17"/>
        <v>0.14285714285714285</v>
      </c>
    </row>
    <row r="113" spans="1:68" ht="27" hidden="1" customHeight="1" x14ac:dyDescent="0.25">
      <c r="A113" s="63" t="s">
        <v>206</v>
      </c>
      <c r="B113" s="63" t="s">
        <v>207</v>
      </c>
      <c r="C113" s="36">
        <v>4301070979</v>
      </c>
      <c r="D113" s="289">
        <v>4607111037145</v>
      </c>
      <c r="E113" s="289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36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1"/>
      <c r="R113" s="291"/>
      <c r="S113" s="291"/>
      <c r="T113" s="292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208</v>
      </c>
      <c r="AG113" s="81"/>
      <c r="AJ113" s="87" t="s">
        <v>87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hidden="1" customHeight="1" x14ac:dyDescent="0.25">
      <c r="A114" s="63" t="s">
        <v>209</v>
      </c>
      <c r="B114" s="63" t="s">
        <v>210</v>
      </c>
      <c r="C114" s="36">
        <v>4301071049</v>
      </c>
      <c r="D114" s="289">
        <v>4607111039293</v>
      </c>
      <c r="E114" s="289"/>
      <c r="F114" s="62">
        <v>0.4</v>
      </c>
      <c r="G114" s="37">
        <v>16</v>
      </c>
      <c r="H114" s="62">
        <v>6.4</v>
      </c>
      <c r="I114" s="62">
        <v>6.7195999999999998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36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1"/>
      <c r="R114" s="291"/>
      <c r="S114" s="291"/>
      <c r="T114" s="292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158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211</v>
      </c>
      <c r="B115" s="63" t="s">
        <v>212</v>
      </c>
      <c r="C115" s="36">
        <v>4301071039</v>
      </c>
      <c r="D115" s="289">
        <v>4607111039279</v>
      </c>
      <c r="E115" s="289"/>
      <c r="F115" s="62">
        <v>0.7</v>
      </c>
      <c r="G115" s="37">
        <v>10</v>
      </c>
      <c r="H115" s="62">
        <v>7</v>
      </c>
      <c r="I115" s="62">
        <v>7.3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36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1"/>
      <c r="R115" s="291"/>
      <c r="S115" s="291"/>
      <c r="T115" s="292"/>
      <c r="U115" s="39" t="s">
        <v>46</v>
      </c>
      <c r="V115" s="39" t="s">
        <v>46</v>
      </c>
      <c r="W115" s="40" t="s">
        <v>39</v>
      </c>
      <c r="X115" s="58">
        <v>24</v>
      </c>
      <c r="Y115" s="55">
        <f t="shared" si="12"/>
        <v>24</v>
      </c>
      <c r="Z115" s="41">
        <f t="shared" si="13"/>
        <v>0.372</v>
      </c>
      <c r="AA115" s="68" t="s">
        <v>46</v>
      </c>
      <c r="AB115" s="69" t="s">
        <v>46</v>
      </c>
      <c r="AC115" s="173" t="s">
        <v>158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175.2</v>
      </c>
      <c r="BN115" s="81">
        <f t="shared" si="15"/>
        <v>175.2</v>
      </c>
      <c r="BO115" s="81">
        <f t="shared" si="16"/>
        <v>0.2857142857142857</v>
      </c>
      <c r="BP115" s="81">
        <f t="shared" si="17"/>
        <v>0.2857142857142857</v>
      </c>
    </row>
    <row r="116" spans="1:68" x14ac:dyDescent="0.2">
      <c r="A116" s="296"/>
      <c r="B116" s="296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7"/>
      <c r="P116" s="293" t="s">
        <v>40</v>
      </c>
      <c r="Q116" s="294"/>
      <c r="R116" s="294"/>
      <c r="S116" s="294"/>
      <c r="T116" s="294"/>
      <c r="U116" s="294"/>
      <c r="V116" s="295"/>
      <c r="W116" s="42" t="s">
        <v>39</v>
      </c>
      <c r="X116" s="43">
        <f>IFERROR(SUM(X109:X115),"0")</f>
        <v>84</v>
      </c>
      <c r="Y116" s="43">
        <f>IFERROR(SUM(Y109:Y115),"0")</f>
        <v>84</v>
      </c>
      <c r="Z116" s="43">
        <f>IFERROR(IF(Z109="",0,Z109),"0")+IFERROR(IF(Z110="",0,Z110),"0")+IFERROR(IF(Z111="",0,Z111),"0")+IFERROR(IF(Z112="",0,Z112),"0")+IFERROR(IF(Z113="",0,Z113),"0")+IFERROR(IF(Z114="",0,Z114),"0")+IFERROR(IF(Z115="",0,Z115),"0")</f>
        <v>1.302</v>
      </c>
      <c r="AA116" s="67"/>
      <c r="AB116" s="67"/>
      <c r="AC116" s="67"/>
    </row>
    <row r="117" spans="1:68" x14ac:dyDescent="0.2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7"/>
      <c r="P117" s="293" t="s">
        <v>40</v>
      </c>
      <c r="Q117" s="294"/>
      <c r="R117" s="294"/>
      <c r="S117" s="294"/>
      <c r="T117" s="294"/>
      <c r="U117" s="294"/>
      <c r="V117" s="295"/>
      <c r="W117" s="42" t="s">
        <v>0</v>
      </c>
      <c r="X117" s="43">
        <f>IFERROR(SUMPRODUCT(X109:X115*H109:H115),"0")</f>
        <v>559.20000000000005</v>
      </c>
      <c r="Y117" s="43">
        <f>IFERROR(SUMPRODUCT(Y109:Y115*H109:H115),"0")</f>
        <v>559.20000000000005</v>
      </c>
      <c r="Z117" s="42"/>
      <c r="AA117" s="67"/>
      <c r="AB117" s="67"/>
      <c r="AC117" s="67"/>
    </row>
    <row r="118" spans="1:68" ht="14.25" hidden="1" customHeight="1" x14ac:dyDescent="0.25">
      <c r="A118" s="307" t="s">
        <v>147</v>
      </c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  <c r="Z118" s="307"/>
      <c r="AA118" s="66"/>
      <c r="AB118" s="66"/>
      <c r="AC118" s="83"/>
    </row>
    <row r="119" spans="1:68" ht="27" customHeight="1" x14ac:dyDescent="0.25">
      <c r="A119" s="63" t="s">
        <v>213</v>
      </c>
      <c r="B119" s="63" t="s">
        <v>214</v>
      </c>
      <c r="C119" s="36">
        <v>4301135826</v>
      </c>
      <c r="D119" s="289">
        <v>4620207490983</v>
      </c>
      <c r="E119" s="289"/>
      <c r="F119" s="62">
        <v>0.22</v>
      </c>
      <c r="G119" s="37">
        <v>12</v>
      </c>
      <c r="H119" s="62">
        <v>2.64</v>
      </c>
      <c r="I119" s="62">
        <v>3.3435999999999999</v>
      </c>
      <c r="J119" s="37">
        <v>70</v>
      </c>
      <c r="K119" s="37" t="s">
        <v>116</v>
      </c>
      <c r="L119" s="37" t="s">
        <v>86</v>
      </c>
      <c r="M119" s="38" t="s">
        <v>84</v>
      </c>
      <c r="N119" s="38"/>
      <c r="O119" s="37">
        <v>180</v>
      </c>
      <c r="P119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1"/>
      <c r="R119" s="291"/>
      <c r="S119" s="291"/>
      <c r="T119" s="292"/>
      <c r="U119" s="39" t="s">
        <v>46</v>
      </c>
      <c r="V119" s="39" t="s">
        <v>46</v>
      </c>
      <c r="W119" s="40" t="s">
        <v>39</v>
      </c>
      <c r="X119" s="58">
        <v>14</v>
      </c>
      <c r="Y119" s="55">
        <f>IFERROR(IF(X119="","",X119),"")</f>
        <v>14</v>
      </c>
      <c r="Z119" s="41">
        <f>IFERROR(IF(X119="","",X119*0.01788),"")</f>
        <v>0.25031999999999999</v>
      </c>
      <c r="AA119" s="68" t="s">
        <v>46</v>
      </c>
      <c r="AB119" s="69" t="s">
        <v>46</v>
      </c>
      <c r="AC119" s="175" t="s">
        <v>215</v>
      </c>
      <c r="AG119" s="81"/>
      <c r="AJ119" s="87" t="s">
        <v>87</v>
      </c>
      <c r="AK119" s="87">
        <v>1</v>
      </c>
      <c r="BB119" s="176" t="s">
        <v>115</v>
      </c>
      <c r="BM119" s="81">
        <f>IFERROR(X119*I119,"0")</f>
        <v>46.810400000000001</v>
      </c>
      <c r="BN119" s="81">
        <f>IFERROR(Y119*I119,"0")</f>
        <v>46.810400000000001</v>
      </c>
      <c r="BO119" s="81">
        <f>IFERROR(X119/J119,"0")</f>
        <v>0.2</v>
      </c>
      <c r="BP119" s="81">
        <f>IFERROR(Y119/J119,"0")</f>
        <v>0.2</v>
      </c>
    </row>
    <row r="120" spans="1:68" x14ac:dyDescent="0.2">
      <c r="A120" s="296"/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7"/>
      <c r="P120" s="293" t="s">
        <v>40</v>
      </c>
      <c r="Q120" s="294"/>
      <c r="R120" s="294"/>
      <c r="S120" s="294"/>
      <c r="T120" s="294"/>
      <c r="U120" s="294"/>
      <c r="V120" s="295"/>
      <c r="W120" s="42" t="s">
        <v>39</v>
      </c>
      <c r="X120" s="43">
        <f>IFERROR(SUM(X119:X119),"0")</f>
        <v>14</v>
      </c>
      <c r="Y120" s="43">
        <f>IFERROR(SUM(Y119:Y119),"0")</f>
        <v>14</v>
      </c>
      <c r="Z120" s="43">
        <f>IFERROR(IF(Z119="",0,Z119),"0")</f>
        <v>0.25031999999999999</v>
      </c>
      <c r="AA120" s="67"/>
      <c r="AB120" s="67"/>
      <c r="AC120" s="67"/>
    </row>
    <row r="121" spans="1:68" x14ac:dyDescent="0.2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7"/>
      <c r="P121" s="293" t="s">
        <v>40</v>
      </c>
      <c r="Q121" s="294"/>
      <c r="R121" s="294"/>
      <c r="S121" s="294"/>
      <c r="T121" s="294"/>
      <c r="U121" s="294"/>
      <c r="V121" s="295"/>
      <c r="W121" s="42" t="s">
        <v>0</v>
      </c>
      <c r="X121" s="43">
        <f>IFERROR(SUMPRODUCT(X119:X119*H119:H119),"0")</f>
        <v>36.96</v>
      </c>
      <c r="Y121" s="43">
        <f>IFERROR(SUMPRODUCT(Y119:Y119*H119:H119),"0")</f>
        <v>36.96</v>
      </c>
      <c r="Z121" s="42"/>
      <c r="AA121" s="67"/>
      <c r="AB121" s="67"/>
      <c r="AC121" s="67"/>
    </row>
    <row r="122" spans="1:68" ht="14.25" hidden="1" customHeight="1" x14ac:dyDescent="0.25">
      <c r="A122" s="307" t="s">
        <v>216</v>
      </c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  <c r="Z122" s="307"/>
      <c r="AA122" s="66"/>
      <c r="AB122" s="66"/>
      <c r="AC122" s="83"/>
    </row>
    <row r="123" spans="1:68" ht="27" hidden="1" customHeight="1" x14ac:dyDescent="0.25">
      <c r="A123" s="63" t="s">
        <v>217</v>
      </c>
      <c r="B123" s="63" t="s">
        <v>218</v>
      </c>
      <c r="C123" s="36">
        <v>4301071094</v>
      </c>
      <c r="D123" s="289">
        <v>4620207491140</v>
      </c>
      <c r="E123" s="289"/>
      <c r="F123" s="62">
        <v>0.6</v>
      </c>
      <c r="G123" s="37">
        <v>10</v>
      </c>
      <c r="H123" s="62">
        <v>6</v>
      </c>
      <c r="I123" s="62">
        <v>6.28</v>
      </c>
      <c r="J123" s="37">
        <v>84</v>
      </c>
      <c r="K123" s="37" t="s">
        <v>85</v>
      </c>
      <c r="L123" s="37" t="s">
        <v>86</v>
      </c>
      <c r="M123" s="38" t="s">
        <v>84</v>
      </c>
      <c r="N123" s="38"/>
      <c r="O123" s="37">
        <v>180</v>
      </c>
      <c r="P123" s="3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1"/>
      <c r="R123" s="291"/>
      <c r="S123" s="291"/>
      <c r="T123" s="292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IFERROR(IF(X123="","",X123*0.0155),"")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87</v>
      </c>
      <c r="AK123" s="87">
        <v>1</v>
      </c>
      <c r="BB123" s="178" t="s">
        <v>115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hidden="1" x14ac:dyDescent="0.2">
      <c r="A124" s="296"/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7"/>
      <c r="P124" s="293" t="s">
        <v>40</v>
      </c>
      <c r="Q124" s="294"/>
      <c r="R124" s="294"/>
      <c r="S124" s="294"/>
      <c r="T124" s="294"/>
      <c r="U124" s="294"/>
      <c r="V124" s="295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297"/>
      <c r="P125" s="293" t="s">
        <v>40</v>
      </c>
      <c r="Q125" s="294"/>
      <c r="R125" s="294"/>
      <c r="S125" s="294"/>
      <c r="T125" s="294"/>
      <c r="U125" s="294"/>
      <c r="V125" s="295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6.5" hidden="1" customHeight="1" x14ac:dyDescent="0.25">
      <c r="A126" s="319" t="s">
        <v>220</v>
      </c>
      <c r="B126" s="319"/>
      <c r="C126" s="319"/>
      <c r="D126" s="319"/>
      <c r="E126" s="319"/>
      <c r="F126" s="319"/>
      <c r="G126" s="319"/>
      <c r="H126" s="319"/>
      <c r="I126" s="319"/>
      <c r="J126" s="319"/>
      <c r="K126" s="319"/>
      <c r="L126" s="319"/>
      <c r="M126" s="319"/>
      <c r="N126" s="319"/>
      <c r="O126" s="319"/>
      <c r="P126" s="319"/>
      <c r="Q126" s="319"/>
      <c r="R126" s="319"/>
      <c r="S126" s="319"/>
      <c r="T126" s="319"/>
      <c r="U126" s="319"/>
      <c r="V126" s="319"/>
      <c r="W126" s="319"/>
      <c r="X126" s="319"/>
      <c r="Y126" s="319"/>
      <c r="Z126" s="319"/>
      <c r="AA126" s="65"/>
      <c r="AB126" s="65"/>
      <c r="AC126" s="82"/>
    </row>
    <row r="127" spans="1:68" ht="14.25" hidden="1" customHeight="1" x14ac:dyDescent="0.25">
      <c r="A127" s="307" t="s">
        <v>147</v>
      </c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  <c r="U127" s="307"/>
      <c r="V127" s="307"/>
      <c r="W127" s="307"/>
      <c r="X127" s="307"/>
      <c r="Y127" s="307"/>
      <c r="Z127" s="307"/>
      <c r="AA127" s="66"/>
      <c r="AB127" s="66"/>
      <c r="AC127" s="83"/>
    </row>
    <row r="128" spans="1:68" ht="27" hidden="1" customHeight="1" x14ac:dyDescent="0.25">
      <c r="A128" s="63" t="s">
        <v>221</v>
      </c>
      <c r="B128" s="63" t="s">
        <v>222</v>
      </c>
      <c r="C128" s="36">
        <v>4301135848</v>
      </c>
      <c r="D128" s="289">
        <v>4620207491799</v>
      </c>
      <c r="E128" s="289"/>
      <c r="F128" s="62">
        <v>0.23</v>
      </c>
      <c r="G128" s="37">
        <v>6</v>
      </c>
      <c r="H128" s="62">
        <v>1.38</v>
      </c>
      <c r="I128" s="62">
        <v>1.8</v>
      </c>
      <c r="J128" s="37">
        <v>140</v>
      </c>
      <c r="K128" s="37" t="s">
        <v>116</v>
      </c>
      <c r="L128" s="37" t="s">
        <v>86</v>
      </c>
      <c r="M128" s="38" t="s">
        <v>84</v>
      </c>
      <c r="N128" s="38"/>
      <c r="O128" s="37">
        <v>180</v>
      </c>
      <c r="P128" s="357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91"/>
      <c r="R128" s="291"/>
      <c r="S128" s="291"/>
      <c r="T128" s="292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IFERROR(IF(X128="","",X128*0.00941),"")</f>
        <v>0</v>
      </c>
      <c r="AA128" s="68" t="s">
        <v>46</v>
      </c>
      <c r="AB128" s="69" t="s">
        <v>46</v>
      </c>
      <c r="AC128" s="179" t="s">
        <v>223</v>
      </c>
      <c r="AG128" s="81"/>
      <c r="AJ128" s="87" t="s">
        <v>87</v>
      </c>
      <c r="AK128" s="87">
        <v>1</v>
      </c>
      <c r="BB128" s="180" t="s">
        <v>115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27" customHeight="1" x14ac:dyDescent="0.25">
      <c r="A129" s="63" t="s">
        <v>224</v>
      </c>
      <c r="B129" s="63" t="s">
        <v>225</v>
      </c>
      <c r="C129" s="36">
        <v>4301135850</v>
      </c>
      <c r="D129" s="289">
        <v>4620207491492</v>
      </c>
      <c r="E129" s="289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116</v>
      </c>
      <c r="L129" s="37" t="s">
        <v>86</v>
      </c>
      <c r="M129" s="38" t="s">
        <v>84</v>
      </c>
      <c r="N129" s="38"/>
      <c r="O129" s="37">
        <v>180</v>
      </c>
      <c r="P129" s="35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91"/>
      <c r="R129" s="291"/>
      <c r="S129" s="291"/>
      <c r="T129" s="292"/>
      <c r="U129" s="39" t="s">
        <v>46</v>
      </c>
      <c r="V129" s="39" t="s">
        <v>46</v>
      </c>
      <c r="W129" s="40" t="s">
        <v>39</v>
      </c>
      <c r="X129" s="58">
        <v>14</v>
      </c>
      <c r="Y129" s="55">
        <f>IFERROR(IF(X129="","",X129),"")</f>
        <v>14</v>
      </c>
      <c r="Z129" s="41">
        <f>IFERROR(IF(X129="","",X129*0.00941),"")</f>
        <v>0.13174</v>
      </c>
      <c r="AA129" s="68" t="s">
        <v>46</v>
      </c>
      <c r="AB129" s="69" t="s">
        <v>46</v>
      </c>
      <c r="AC129" s="181" t="s">
        <v>223</v>
      </c>
      <c r="AG129" s="81"/>
      <c r="AJ129" s="87" t="s">
        <v>87</v>
      </c>
      <c r="AK129" s="87">
        <v>1</v>
      </c>
      <c r="BB129" s="182" t="s">
        <v>115</v>
      </c>
      <c r="BM129" s="81">
        <f>IFERROR(X129*I129,"0")</f>
        <v>25.2</v>
      </c>
      <c r="BN129" s="81">
        <f>IFERROR(Y129*I129,"0")</f>
        <v>25.2</v>
      </c>
      <c r="BO129" s="81">
        <f>IFERROR(X129/J129,"0")</f>
        <v>0.1</v>
      </c>
      <c r="BP129" s="81">
        <f>IFERROR(Y129/J129,"0")</f>
        <v>0.1</v>
      </c>
    </row>
    <row r="130" spans="1:68" ht="27" customHeight="1" x14ac:dyDescent="0.25">
      <c r="A130" s="63" t="s">
        <v>226</v>
      </c>
      <c r="B130" s="63" t="s">
        <v>227</v>
      </c>
      <c r="C130" s="36">
        <v>4301190118</v>
      </c>
      <c r="D130" s="289">
        <v>4620207491461</v>
      </c>
      <c r="E130" s="289"/>
      <c r="F130" s="62">
        <v>0.22</v>
      </c>
      <c r="G130" s="37">
        <v>6</v>
      </c>
      <c r="H130" s="62">
        <v>1.32</v>
      </c>
      <c r="I130" s="62">
        <v>1.74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35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91"/>
      <c r="R130" s="291"/>
      <c r="S130" s="291"/>
      <c r="T130" s="292"/>
      <c r="U130" s="39" t="s">
        <v>46</v>
      </c>
      <c r="V130" s="39" t="s">
        <v>46</v>
      </c>
      <c r="W130" s="40" t="s">
        <v>39</v>
      </c>
      <c r="X130" s="58">
        <v>14</v>
      </c>
      <c r="Y130" s="55">
        <f>IFERROR(IF(X130="","",X130),"")</f>
        <v>14</v>
      </c>
      <c r="Z130" s="41">
        <f>IFERROR(IF(X130="","",X130*0.00941),"")</f>
        <v>0.13174</v>
      </c>
      <c r="AA130" s="68" t="s">
        <v>46</v>
      </c>
      <c r="AB130" s="69" t="s">
        <v>46</v>
      </c>
      <c r="AC130" s="183" t="s">
        <v>223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24.36</v>
      </c>
      <c r="BN130" s="81">
        <f>IFERROR(Y130*I130,"0")</f>
        <v>24.36</v>
      </c>
      <c r="BO130" s="81">
        <f>IFERROR(X130/J130,"0")</f>
        <v>0.1</v>
      </c>
      <c r="BP130" s="81">
        <f>IFERROR(Y130/J130,"0")</f>
        <v>0.1</v>
      </c>
    </row>
    <row r="131" spans="1:68" ht="27" customHeight="1" x14ac:dyDescent="0.25">
      <c r="A131" s="63" t="s">
        <v>228</v>
      </c>
      <c r="B131" s="63" t="s">
        <v>229</v>
      </c>
      <c r="C131" s="36">
        <v>4301135865</v>
      </c>
      <c r="D131" s="289">
        <v>4620207491485</v>
      </c>
      <c r="E131" s="289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35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91"/>
      <c r="R131" s="291"/>
      <c r="S131" s="291"/>
      <c r="T131" s="292"/>
      <c r="U131" s="39" t="s">
        <v>46</v>
      </c>
      <c r="V131" s="39" t="s">
        <v>46</v>
      </c>
      <c r="W131" s="40" t="s">
        <v>39</v>
      </c>
      <c r="X131" s="58">
        <v>14</v>
      </c>
      <c r="Y131" s="55">
        <f>IFERROR(IF(X131="","",X131),"")</f>
        <v>14</v>
      </c>
      <c r="Z131" s="41">
        <f>IFERROR(IF(X131="","",X131*0.00941),"")</f>
        <v>0.13174</v>
      </c>
      <c r="AA131" s="68" t="s">
        <v>46</v>
      </c>
      <c r="AB131" s="69" t="s">
        <v>46</v>
      </c>
      <c r="AC131" s="185" t="s">
        <v>223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25.2</v>
      </c>
      <c r="BN131" s="81">
        <f>IFERROR(Y131*I131,"0")</f>
        <v>25.2</v>
      </c>
      <c r="BO131" s="81">
        <f>IFERROR(X131/J131,"0")</f>
        <v>0.1</v>
      </c>
      <c r="BP131" s="81">
        <f>IFERROR(Y131/J131,"0")</f>
        <v>0.1</v>
      </c>
    </row>
    <row r="132" spans="1:68" x14ac:dyDescent="0.2">
      <c r="A132" s="296"/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7"/>
      <c r="P132" s="293" t="s">
        <v>40</v>
      </c>
      <c r="Q132" s="294"/>
      <c r="R132" s="294"/>
      <c r="S132" s="294"/>
      <c r="T132" s="294"/>
      <c r="U132" s="294"/>
      <c r="V132" s="295"/>
      <c r="W132" s="42" t="s">
        <v>39</v>
      </c>
      <c r="X132" s="43">
        <f>IFERROR(SUM(X128:X131),"0")</f>
        <v>42</v>
      </c>
      <c r="Y132" s="43">
        <f>IFERROR(SUM(Y128:Y131),"0")</f>
        <v>42</v>
      </c>
      <c r="Z132" s="43">
        <f>IFERROR(IF(Z128="",0,Z128),"0")+IFERROR(IF(Z129="",0,Z129),"0")+IFERROR(IF(Z130="",0,Z130),"0")+IFERROR(IF(Z131="",0,Z131),"0")</f>
        <v>0.39522000000000002</v>
      </c>
      <c r="AA132" s="67"/>
      <c r="AB132" s="67"/>
      <c r="AC132" s="67"/>
    </row>
    <row r="133" spans="1:68" x14ac:dyDescent="0.2">
      <c r="A133" s="296"/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7"/>
      <c r="P133" s="293" t="s">
        <v>40</v>
      </c>
      <c r="Q133" s="294"/>
      <c r="R133" s="294"/>
      <c r="S133" s="294"/>
      <c r="T133" s="294"/>
      <c r="U133" s="294"/>
      <c r="V133" s="295"/>
      <c r="W133" s="42" t="s">
        <v>0</v>
      </c>
      <c r="X133" s="43">
        <f>IFERROR(SUMPRODUCT(X128:X131*H128:H131),"0")</f>
        <v>57.12</v>
      </c>
      <c r="Y133" s="43">
        <f>IFERROR(SUMPRODUCT(Y128:Y131*H128:H131),"0")</f>
        <v>57.12</v>
      </c>
      <c r="Z133" s="42"/>
      <c r="AA133" s="67"/>
      <c r="AB133" s="67"/>
      <c r="AC133" s="67"/>
    </row>
    <row r="134" spans="1:68" ht="14.25" hidden="1" customHeight="1" x14ac:dyDescent="0.25">
      <c r="A134" s="307" t="s">
        <v>230</v>
      </c>
      <c r="B134" s="307"/>
      <c r="C134" s="307"/>
      <c r="D134" s="307"/>
      <c r="E134" s="307"/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  <c r="AA134" s="66"/>
      <c r="AB134" s="66"/>
      <c r="AC134" s="83"/>
    </row>
    <row r="135" spans="1:68" ht="27" hidden="1" customHeight="1" x14ac:dyDescent="0.25">
      <c r="A135" s="63" t="s">
        <v>231</v>
      </c>
      <c r="B135" s="63" t="s">
        <v>232</v>
      </c>
      <c r="C135" s="36">
        <v>4301190117</v>
      </c>
      <c r="D135" s="289">
        <v>4620207491386</v>
      </c>
      <c r="E135" s="289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35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91"/>
      <c r="R135" s="291"/>
      <c r="S135" s="291"/>
      <c r="T135" s="292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233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hidden="1" customHeight="1" x14ac:dyDescent="0.25">
      <c r="A136" s="63" t="s">
        <v>234</v>
      </c>
      <c r="B136" s="63" t="s">
        <v>235</v>
      </c>
      <c r="C136" s="36">
        <v>4301190115</v>
      </c>
      <c r="D136" s="289">
        <v>4620207491362</v>
      </c>
      <c r="E136" s="289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35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91"/>
      <c r="R136" s="291"/>
      <c r="S136" s="291"/>
      <c r="T136" s="292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233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hidden="1" customHeight="1" x14ac:dyDescent="0.25">
      <c r="A137" s="63" t="s">
        <v>236</v>
      </c>
      <c r="B137" s="63" t="s">
        <v>237</v>
      </c>
      <c r="C137" s="36">
        <v>4301190116</v>
      </c>
      <c r="D137" s="289">
        <v>4620207491379</v>
      </c>
      <c r="E137" s="289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35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91"/>
      <c r="R137" s="291"/>
      <c r="S137" s="291"/>
      <c r="T137" s="292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233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idden="1" x14ac:dyDescent="0.2">
      <c r="A138" s="296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7"/>
      <c r="P138" s="293" t="s">
        <v>40</v>
      </c>
      <c r="Q138" s="294"/>
      <c r="R138" s="294"/>
      <c r="S138" s="294"/>
      <c r="T138" s="294"/>
      <c r="U138" s="294"/>
      <c r="V138" s="295"/>
      <c r="W138" s="42" t="s">
        <v>39</v>
      </c>
      <c r="X138" s="43">
        <f>IFERROR(SUM(X135:X137),"0")</f>
        <v>0</v>
      </c>
      <c r="Y138" s="43">
        <f>IFERROR(SUM(Y135:Y137),"0")</f>
        <v>0</v>
      </c>
      <c r="Z138" s="43">
        <f>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7"/>
      <c r="P139" s="293" t="s">
        <v>40</v>
      </c>
      <c r="Q139" s="294"/>
      <c r="R139" s="294"/>
      <c r="S139" s="294"/>
      <c r="T139" s="294"/>
      <c r="U139" s="294"/>
      <c r="V139" s="295"/>
      <c r="W139" s="42" t="s">
        <v>0</v>
      </c>
      <c r="X139" s="43">
        <f>IFERROR(SUMPRODUCT(X135:X137*H135:H137),"0")</f>
        <v>0</v>
      </c>
      <c r="Y139" s="43">
        <f>IFERROR(SUMPRODUCT(Y135:Y137*H135:H137),"0")</f>
        <v>0</v>
      </c>
      <c r="Z139" s="42"/>
      <c r="AA139" s="67"/>
      <c r="AB139" s="67"/>
      <c r="AC139" s="67"/>
    </row>
    <row r="140" spans="1:68" ht="16.5" hidden="1" customHeight="1" x14ac:dyDescent="0.25">
      <c r="A140" s="319" t="s">
        <v>238</v>
      </c>
      <c r="B140" s="319"/>
      <c r="C140" s="319"/>
      <c r="D140" s="319"/>
      <c r="E140" s="319"/>
      <c r="F140" s="319"/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  <c r="R140" s="319"/>
      <c r="S140" s="319"/>
      <c r="T140" s="319"/>
      <c r="U140" s="319"/>
      <c r="V140" s="319"/>
      <c r="W140" s="319"/>
      <c r="X140" s="319"/>
      <c r="Y140" s="319"/>
      <c r="Z140" s="319"/>
      <c r="AA140" s="65"/>
      <c r="AB140" s="65"/>
      <c r="AC140" s="82"/>
    </row>
    <row r="141" spans="1:68" ht="14.25" hidden="1" customHeight="1" x14ac:dyDescent="0.25">
      <c r="A141" s="307" t="s">
        <v>147</v>
      </c>
      <c r="B141" s="307"/>
      <c r="C141" s="307"/>
      <c r="D141" s="307"/>
      <c r="E141" s="307"/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7"/>
      <c r="V141" s="307"/>
      <c r="W141" s="307"/>
      <c r="X141" s="307"/>
      <c r="Y141" s="307"/>
      <c r="Z141" s="307"/>
      <c r="AA141" s="66"/>
      <c r="AB141" s="66"/>
      <c r="AC141" s="83"/>
    </row>
    <row r="142" spans="1:68" ht="27" customHeight="1" x14ac:dyDescent="0.25">
      <c r="A142" s="63" t="s">
        <v>239</v>
      </c>
      <c r="B142" s="63" t="s">
        <v>240</v>
      </c>
      <c r="C142" s="36">
        <v>4301135555</v>
      </c>
      <c r="D142" s="289">
        <v>4607111034014</v>
      </c>
      <c r="E142" s="289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116</v>
      </c>
      <c r="L142" s="37" t="s">
        <v>117</v>
      </c>
      <c r="M142" s="38" t="s">
        <v>84</v>
      </c>
      <c r="N142" s="38"/>
      <c r="O142" s="37">
        <v>180</v>
      </c>
      <c r="P142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91"/>
      <c r="R142" s="291"/>
      <c r="S142" s="291"/>
      <c r="T142" s="292"/>
      <c r="U142" s="39" t="s">
        <v>46</v>
      </c>
      <c r="V142" s="39" t="s">
        <v>46</v>
      </c>
      <c r="W142" s="40" t="s">
        <v>39</v>
      </c>
      <c r="X142" s="58">
        <v>140</v>
      </c>
      <c r="Y142" s="55">
        <f>IFERROR(IF(X142="","",X142),"")</f>
        <v>140</v>
      </c>
      <c r="Z142" s="41">
        <f>IFERROR(IF(X142="","",X142*0.01788),"")</f>
        <v>2.5032000000000001</v>
      </c>
      <c r="AA142" s="68" t="s">
        <v>46</v>
      </c>
      <c r="AB142" s="69" t="s">
        <v>46</v>
      </c>
      <c r="AC142" s="193" t="s">
        <v>241</v>
      </c>
      <c r="AG142" s="81"/>
      <c r="AJ142" s="87" t="s">
        <v>118</v>
      </c>
      <c r="AK142" s="87">
        <v>14</v>
      </c>
      <c r="BB142" s="194" t="s">
        <v>115</v>
      </c>
      <c r="BM142" s="81">
        <f>IFERROR(X142*I142,"0")</f>
        <v>518.50400000000002</v>
      </c>
      <c r="BN142" s="81">
        <f>IFERROR(Y142*I142,"0")</f>
        <v>518.50400000000002</v>
      </c>
      <c r="BO142" s="81">
        <f>IFERROR(X142/J142,"0")</f>
        <v>2</v>
      </c>
      <c r="BP142" s="81">
        <f>IFERROR(Y142/J142,"0")</f>
        <v>2</v>
      </c>
    </row>
    <row r="143" spans="1:68" ht="27" customHeight="1" x14ac:dyDescent="0.25">
      <c r="A143" s="63" t="s">
        <v>242</v>
      </c>
      <c r="B143" s="63" t="s">
        <v>243</v>
      </c>
      <c r="C143" s="36">
        <v>4301135532</v>
      </c>
      <c r="D143" s="289">
        <v>4607111033994</v>
      </c>
      <c r="E143" s="289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116</v>
      </c>
      <c r="L143" s="37" t="s">
        <v>117</v>
      </c>
      <c r="M143" s="38" t="s">
        <v>84</v>
      </c>
      <c r="N143" s="38"/>
      <c r="O143" s="37">
        <v>180</v>
      </c>
      <c r="P143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91"/>
      <c r="R143" s="291"/>
      <c r="S143" s="291"/>
      <c r="T143" s="292"/>
      <c r="U143" s="39" t="s">
        <v>46</v>
      </c>
      <c r="V143" s="39" t="s">
        <v>46</v>
      </c>
      <c r="W143" s="40" t="s">
        <v>39</v>
      </c>
      <c r="X143" s="58">
        <v>196</v>
      </c>
      <c r="Y143" s="55">
        <f>IFERROR(IF(X143="","",X143),"")</f>
        <v>196</v>
      </c>
      <c r="Z143" s="41">
        <f>IFERROR(IF(X143="","",X143*0.01788),"")</f>
        <v>3.50448</v>
      </c>
      <c r="AA143" s="68" t="s">
        <v>46</v>
      </c>
      <c r="AB143" s="69" t="s">
        <v>46</v>
      </c>
      <c r="AC143" s="195" t="s">
        <v>165</v>
      </c>
      <c r="AG143" s="81"/>
      <c r="AJ143" s="87" t="s">
        <v>118</v>
      </c>
      <c r="AK143" s="87">
        <v>14</v>
      </c>
      <c r="BB143" s="196" t="s">
        <v>115</v>
      </c>
      <c r="BM143" s="81">
        <f>IFERROR(X143*I143,"0")</f>
        <v>725.90559999999994</v>
      </c>
      <c r="BN143" s="81">
        <f>IFERROR(Y143*I143,"0")</f>
        <v>725.90559999999994</v>
      </c>
      <c r="BO143" s="81">
        <f>IFERROR(X143/J143,"0")</f>
        <v>2.8</v>
      </c>
      <c r="BP143" s="81">
        <f>IFERROR(Y143/J143,"0")</f>
        <v>2.8</v>
      </c>
    </row>
    <row r="144" spans="1:68" x14ac:dyDescent="0.2">
      <c r="A144" s="296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7"/>
      <c r="P144" s="293" t="s">
        <v>40</v>
      </c>
      <c r="Q144" s="294"/>
      <c r="R144" s="294"/>
      <c r="S144" s="294"/>
      <c r="T144" s="294"/>
      <c r="U144" s="294"/>
      <c r="V144" s="295"/>
      <c r="W144" s="42" t="s">
        <v>39</v>
      </c>
      <c r="X144" s="43">
        <f>IFERROR(SUM(X142:X143),"0")</f>
        <v>336</v>
      </c>
      <c r="Y144" s="43">
        <f>IFERROR(SUM(Y142:Y143),"0")</f>
        <v>336</v>
      </c>
      <c r="Z144" s="43">
        <f>IFERROR(IF(Z142="",0,Z142),"0")+IFERROR(IF(Z143="",0,Z143),"0")</f>
        <v>6.0076800000000006</v>
      </c>
      <c r="AA144" s="67"/>
      <c r="AB144" s="67"/>
      <c r="AC144" s="67"/>
    </row>
    <row r="145" spans="1:68" x14ac:dyDescent="0.2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7"/>
      <c r="P145" s="293" t="s">
        <v>40</v>
      </c>
      <c r="Q145" s="294"/>
      <c r="R145" s="294"/>
      <c r="S145" s="294"/>
      <c r="T145" s="294"/>
      <c r="U145" s="294"/>
      <c r="V145" s="295"/>
      <c r="W145" s="42" t="s">
        <v>0</v>
      </c>
      <c r="X145" s="43">
        <f>IFERROR(SUMPRODUCT(X142:X143*H142:H143),"0")</f>
        <v>1008</v>
      </c>
      <c r="Y145" s="43">
        <f>IFERROR(SUMPRODUCT(Y142:Y143*H142:H143),"0")</f>
        <v>1008</v>
      </c>
      <c r="Z145" s="42"/>
      <c r="AA145" s="67"/>
      <c r="AB145" s="67"/>
      <c r="AC145" s="67"/>
    </row>
    <row r="146" spans="1:68" ht="16.5" hidden="1" customHeight="1" x14ac:dyDescent="0.25">
      <c r="A146" s="319" t="s">
        <v>244</v>
      </c>
      <c r="B146" s="319"/>
      <c r="C146" s="319"/>
      <c r="D146" s="319"/>
      <c r="E146" s="319"/>
      <c r="F146" s="319"/>
      <c r="G146" s="319"/>
      <c r="H146" s="319"/>
      <c r="I146" s="319"/>
      <c r="J146" s="319"/>
      <c r="K146" s="319"/>
      <c r="L146" s="319"/>
      <c r="M146" s="319"/>
      <c r="N146" s="319"/>
      <c r="O146" s="319"/>
      <c r="P146" s="319"/>
      <c r="Q146" s="319"/>
      <c r="R146" s="319"/>
      <c r="S146" s="319"/>
      <c r="T146" s="319"/>
      <c r="U146" s="319"/>
      <c r="V146" s="319"/>
      <c r="W146" s="319"/>
      <c r="X146" s="319"/>
      <c r="Y146" s="319"/>
      <c r="Z146" s="319"/>
      <c r="AA146" s="65"/>
      <c r="AB146" s="65"/>
      <c r="AC146" s="82"/>
    </row>
    <row r="147" spans="1:68" ht="14.25" hidden="1" customHeight="1" x14ac:dyDescent="0.25">
      <c r="A147" s="307" t="s">
        <v>147</v>
      </c>
      <c r="B147" s="307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  <c r="AA147" s="66"/>
      <c r="AB147" s="66"/>
      <c r="AC147" s="83"/>
    </row>
    <row r="148" spans="1:68" ht="27" hidden="1" customHeight="1" x14ac:dyDescent="0.25">
      <c r="A148" s="63" t="s">
        <v>245</v>
      </c>
      <c r="B148" s="63" t="s">
        <v>246</v>
      </c>
      <c r="C148" s="36">
        <v>4301135824</v>
      </c>
      <c r="D148" s="289">
        <v>4607111039095</v>
      </c>
      <c r="E148" s="289"/>
      <c r="F148" s="62">
        <v>0.25</v>
      </c>
      <c r="G148" s="37">
        <v>12</v>
      </c>
      <c r="H148" s="62">
        <v>3</v>
      </c>
      <c r="I148" s="62">
        <v>3.7480000000000002</v>
      </c>
      <c r="J148" s="37">
        <v>70</v>
      </c>
      <c r="K148" s="37" t="s">
        <v>116</v>
      </c>
      <c r="L148" s="37" t="s">
        <v>86</v>
      </c>
      <c r="M148" s="38" t="s">
        <v>84</v>
      </c>
      <c r="N148" s="38"/>
      <c r="O148" s="37">
        <v>180</v>
      </c>
      <c r="P148" s="34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91"/>
      <c r="R148" s="291"/>
      <c r="S148" s="291"/>
      <c r="T148" s="292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7" t="s">
        <v>247</v>
      </c>
      <c r="AG148" s="81"/>
      <c r="AJ148" s="87" t="s">
        <v>87</v>
      </c>
      <c r="AK148" s="87">
        <v>1</v>
      </c>
      <c r="BB148" s="198" t="s">
        <v>115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hidden="1" customHeight="1" x14ac:dyDescent="0.25">
      <c r="A149" s="63" t="s">
        <v>248</v>
      </c>
      <c r="B149" s="63" t="s">
        <v>249</v>
      </c>
      <c r="C149" s="36">
        <v>4301135954</v>
      </c>
      <c r="D149" s="289">
        <v>4620207491768</v>
      </c>
      <c r="E149" s="289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116</v>
      </c>
      <c r="L149" s="37" t="s">
        <v>86</v>
      </c>
      <c r="M149" s="38" t="s">
        <v>84</v>
      </c>
      <c r="N149" s="38"/>
      <c r="O149" s="37">
        <v>180</v>
      </c>
      <c r="P149" s="34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91"/>
      <c r="R149" s="291"/>
      <c r="S149" s="291"/>
      <c r="T149" s="292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250</v>
      </c>
      <c r="AG149" s="81"/>
      <c r="AJ149" s="87" t="s">
        <v>87</v>
      </c>
      <c r="AK149" s="87">
        <v>1</v>
      </c>
      <c r="BB149" s="200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16.5" customHeight="1" x14ac:dyDescent="0.25">
      <c r="A150" s="63" t="s">
        <v>251</v>
      </c>
      <c r="B150" s="63" t="s">
        <v>252</v>
      </c>
      <c r="C150" s="36">
        <v>4301135946</v>
      </c>
      <c r="D150" s="289">
        <v>4620207491553</v>
      </c>
      <c r="E150" s="289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347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91"/>
      <c r="R150" s="291"/>
      <c r="S150" s="291"/>
      <c r="T150" s="292"/>
      <c r="U150" s="39" t="s">
        <v>46</v>
      </c>
      <c r="V150" s="39" t="s">
        <v>46</v>
      </c>
      <c r="W150" s="40" t="s">
        <v>39</v>
      </c>
      <c r="X150" s="58">
        <v>112</v>
      </c>
      <c r="Y150" s="55">
        <f>IFERROR(IF(X150="","",X150),"")</f>
        <v>112</v>
      </c>
      <c r="Z150" s="41">
        <f>IFERROR(IF(X150="","",X150*0.01788),"")</f>
        <v>2.0025599999999999</v>
      </c>
      <c r="AA150" s="68" t="s">
        <v>46</v>
      </c>
      <c r="AB150" s="69" t="s">
        <v>46</v>
      </c>
      <c r="AC150" s="201" t="s">
        <v>250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414.80319999999995</v>
      </c>
      <c r="BN150" s="81">
        <f>IFERROR(Y150*I150,"0")</f>
        <v>414.80319999999995</v>
      </c>
      <c r="BO150" s="81">
        <f>IFERROR(X150/J150,"0")</f>
        <v>1.6</v>
      </c>
      <c r="BP150" s="81">
        <f>IFERROR(Y150/J150,"0")</f>
        <v>1.6</v>
      </c>
    </row>
    <row r="151" spans="1:68" x14ac:dyDescent="0.2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7"/>
      <c r="P151" s="293" t="s">
        <v>40</v>
      </c>
      <c r="Q151" s="294"/>
      <c r="R151" s="294"/>
      <c r="S151" s="294"/>
      <c r="T151" s="294"/>
      <c r="U151" s="294"/>
      <c r="V151" s="295"/>
      <c r="W151" s="42" t="s">
        <v>39</v>
      </c>
      <c r="X151" s="43">
        <f>IFERROR(SUM(X148:X150),"0")</f>
        <v>112</v>
      </c>
      <c r="Y151" s="43">
        <f>IFERROR(SUM(Y148:Y150),"0")</f>
        <v>112</v>
      </c>
      <c r="Z151" s="43">
        <f>IFERROR(IF(Z148="",0,Z148),"0")+IFERROR(IF(Z149="",0,Z149),"0")+IFERROR(IF(Z150="",0,Z150),"0")</f>
        <v>2.0025599999999999</v>
      </c>
      <c r="AA151" s="67"/>
      <c r="AB151" s="67"/>
      <c r="AC151" s="67"/>
    </row>
    <row r="152" spans="1:68" x14ac:dyDescent="0.2">
      <c r="A152" s="296"/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7"/>
      <c r="P152" s="293" t="s">
        <v>40</v>
      </c>
      <c r="Q152" s="294"/>
      <c r="R152" s="294"/>
      <c r="S152" s="294"/>
      <c r="T152" s="294"/>
      <c r="U152" s="294"/>
      <c r="V152" s="295"/>
      <c r="W152" s="42" t="s">
        <v>0</v>
      </c>
      <c r="X152" s="43">
        <f>IFERROR(SUMPRODUCT(X148:X150*H148:H150),"0")</f>
        <v>336</v>
      </c>
      <c r="Y152" s="43">
        <f>IFERROR(SUMPRODUCT(Y148:Y150*H148:H150),"0")</f>
        <v>336</v>
      </c>
      <c r="Z152" s="42"/>
      <c r="AA152" s="67"/>
      <c r="AB152" s="67"/>
      <c r="AC152" s="67"/>
    </row>
    <row r="153" spans="1:68" ht="16.5" hidden="1" customHeight="1" x14ac:dyDescent="0.25">
      <c r="A153" s="319" t="s">
        <v>253</v>
      </c>
      <c r="B153" s="319"/>
      <c r="C153" s="319"/>
      <c r="D153" s="319"/>
      <c r="E153" s="319"/>
      <c r="F153" s="319"/>
      <c r="G153" s="319"/>
      <c r="H153" s="319"/>
      <c r="I153" s="319"/>
      <c r="J153" s="319"/>
      <c r="K153" s="319"/>
      <c r="L153" s="319"/>
      <c r="M153" s="319"/>
      <c r="N153" s="319"/>
      <c r="O153" s="319"/>
      <c r="P153" s="319"/>
      <c r="Q153" s="319"/>
      <c r="R153" s="319"/>
      <c r="S153" s="319"/>
      <c r="T153" s="319"/>
      <c r="U153" s="319"/>
      <c r="V153" s="319"/>
      <c r="W153" s="319"/>
      <c r="X153" s="319"/>
      <c r="Y153" s="319"/>
      <c r="Z153" s="319"/>
      <c r="AA153" s="65"/>
      <c r="AB153" s="65"/>
      <c r="AC153" s="82"/>
    </row>
    <row r="154" spans="1:68" ht="14.25" hidden="1" customHeight="1" x14ac:dyDescent="0.25">
      <c r="A154" s="307" t="s">
        <v>147</v>
      </c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  <c r="AA154" s="66"/>
      <c r="AB154" s="66"/>
      <c r="AC154" s="83"/>
    </row>
    <row r="155" spans="1:68" ht="27" customHeight="1" x14ac:dyDescent="0.25">
      <c r="A155" s="63" t="s">
        <v>254</v>
      </c>
      <c r="B155" s="63" t="s">
        <v>255</v>
      </c>
      <c r="C155" s="36">
        <v>4301135753</v>
      </c>
      <c r="D155" s="289">
        <v>4620207490914</v>
      </c>
      <c r="E155" s="289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116</v>
      </c>
      <c r="L155" s="37" t="s">
        <v>86</v>
      </c>
      <c r="M155" s="38" t="s">
        <v>84</v>
      </c>
      <c r="N155" s="38"/>
      <c r="O155" s="37">
        <v>180</v>
      </c>
      <c r="P155" s="34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91"/>
      <c r="R155" s="291"/>
      <c r="S155" s="291"/>
      <c r="T155" s="292"/>
      <c r="U155" s="39" t="s">
        <v>46</v>
      </c>
      <c r="V155" s="39" t="s">
        <v>46</v>
      </c>
      <c r="W155" s="40" t="s">
        <v>39</v>
      </c>
      <c r="X155" s="58">
        <v>42</v>
      </c>
      <c r="Y155" s="55">
        <f>IFERROR(IF(X155="","",X155),"")</f>
        <v>42</v>
      </c>
      <c r="Z155" s="41">
        <f>IFERROR(IF(X155="","",X155*0.01788),"")</f>
        <v>0.75095999999999996</v>
      </c>
      <c r="AA155" s="68" t="s">
        <v>46</v>
      </c>
      <c r="AB155" s="69" t="s">
        <v>46</v>
      </c>
      <c r="AC155" s="203" t="s">
        <v>241</v>
      </c>
      <c r="AG155" s="81"/>
      <c r="AJ155" s="87" t="s">
        <v>87</v>
      </c>
      <c r="AK155" s="87">
        <v>1</v>
      </c>
      <c r="BB155" s="204" t="s">
        <v>115</v>
      </c>
      <c r="BM155" s="81">
        <f>IFERROR(X155*I155,"0")</f>
        <v>112.56</v>
      </c>
      <c r="BN155" s="81">
        <f>IFERROR(Y155*I155,"0")</f>
        <v>112.56</v>
      </c>
      <c r="BO155" s="81">
        <f>IFERROR(X155/J155,"0")</f>
        <v>0.6</v>
      </c>
      <c r="BP155" s="81">
        <f>IFERROR(Y155/J155,"0")</f>
        <v>0.6</v>
      </c>
    </row>
    <row r="156" spans="1:68" ht="27" customHeight="1" x14ac:dyDescent="0.25">
      <c r="A156" s="63" t="s">
        <v>256</v>
      </c>
      <c r="B156" s="63" t="s">
        <v>257</v>
      </c>
      <c r="C156" s="36">
        <v>4301135932</v>
      </c>
      <c r="D156" s="289">
        <v>4620207491676</v>
      </c>
      <c r="E156" s="289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344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91"/>
      <c r="R156" s="291"/>
      <c r="S156" s="291"/>
      <c r="T156" s="292"/>
      <c r="U156" s="39" t="s">
        <v>46</v>
      </c>
      <c r="V156" s="39" t="s">
        <v>46</v>
      </c>
      <c r="W156" s="40" t="s">
        <v>39</v>
      </c>
      <c r="X156" s="58">
        <v>56</v>
      </c>
      <c r="Y156" s="55">
        <f>IFERROR(IF(X156="","",X156),"")</f>
        <v>56</v>
      </c>
      <c r="Z156" s="41">
        <f>IFERROR(IF(X156="","",X156*0.01788),"")</f>
        <v>1.0012799999999999</v>
      </c>
      <c r="AA156" s="68" t="s">
        <v>46</v>
      </c>
      <c r="AB156" s="69" t="s">
        <v>46</v>
      </c>
      <c r="AC156" s="205" t="s">
        <v>258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150.08000000000001</v>
      </c>
      <c r="BN156" s="81">
        <f>IFERROR(Y156*I156,"0")</f>
        <v>150.08000000000001</v>
      </c>
      <c r="BO156" s="81">
        <f>IFERROR(X156/J156,"0")</f>
        <v>0.8</v>
      </c>
      <c r="BP156" s="81">
        <f>IFERROR(Y156/J156,"0")</f>
        <v>0.8</v>
      </c>
    </row>
    <row r="157" spans="1:68" x14ac:dyDescent="0.2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7"/>
      <c r="P157" s="293" t="s">
        <v>40</v>
      </c>
      <c r="Q157" s="294"/>
      <c r="R157" s="294"/>
      <c r="S157" s="294"/>
      <c r="T157" s="294"/>
      <c r="U157" s="294"/>
      <c r="V157" s="295"/>
      <c r="W157" s="42" t="s">
        <v>39</v>
      </c>
      <c r="X157" s="43">
        <f>IFERROR(SUM(X155:X156),"0")</f>
        <v>98</v>
      </c>
      <c r="Y157" s="43">
        <f>IFERROR(SUM(Y155:Y156),"0")</f>
        <v>98</v>
      </c>
      <c r="Z157" s="43">
        <f>IFERROR(IF(Z155="",0,Z155),"0")+IFERROR(IF(Z156="",0,Z156),"0")</f>
        <v>1.75224</v>
      </c>
      <c r="AA157" s="67"/>
      <c r="AB157" s="67"/>
      <c r="AC157" s="67"/>
    </row>
    <row r="158" spans="1:68" x14ac:dyDescent="0.2">
      <c r="A158" s="296"/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7"/>
      <c r="P158" s="293" t="s">
        <v>40</v>
      </c>
      <c r="Q158" s="294"/>
      <c r="R158" s="294"/>
      <c r="S158" s="294"/>
      <c r="T158" s="294"/>
      <c r="U158" s="294"/>
      <c r="V158" s="295"/>
      <c r="W158" s="42" t="s">
        <v>0</v>
      </c>
      <c r="X158" s="43">
        <f>IFERROR(SUMPRODUCT(X155:X156*H155:H156),"0")</f>
        <v>235.2</v>
      </c>
      <c r="Y158" s="43">
        <f>IFERROR(SUMPRODUCT(Y155:Y156*H155:H156),"0")</f>
        <v>235.2</v>
      </c>
      <c r="Z158" s="42"/>
      <c r="AA158" s="67"/>
      <c r="AB158" s="67"/>
      <c r="AC158" s="67"/>
    </row>
    <row r="159" spans="1:68" ht="16.5" hidden="1" customHeight="1" x14ac:dyDescent="0.25">
      <c r="A159" s="319" t="s">
        <v>259</v>
      </c>
      <c r="B159" s="319"/>
      <c r="C159" s="319"/>
      <c r="D159" s="319"/>
      <c r="E159" s="319"/>
      <c r="F159" s="319"/>
      <c r="G159" s="319"/>
      <c r="H159" s="319"/>
      <c r="I159" s="319"/>
      <c r="J159" s="319"/>
      <c r="K159" s="319"/>
      <c r="L159" s="319"/>
      <c r="M159" s="319"/>
      <c r="N159" s="319"/>
      <c r="O159" s="319"/>
      <c r="P159" s="319"/>
      <c r="Q159" s="319"/>
      <c r="R159" s="319"/>
      <c r="S159" s="319"/>
      <c r="T159" s="319"/>
      <c r="U159" s="319"/>
      <c r="V159" s="319"/>
      <c r="W159" s="319"/>
      <c r="X159" s="319"/>
      <c r="Y159" s="319"/>
      <c r="Z159" s="319"/>
      <c r="AA159" s="65"/>
      <c r="AB159" s="65"/>
      <c r="AC159" s="82"/>
    </row>
    <row r="160" spans="1:68" ht="14.25" hidden="1" customHeight="1" x14ac:dyDescent="0.25">
      <c r="A160" s="307" t="s">
        <v>147</v>
      </c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  <c r="AA160" s="66"/>
      <c r="AB160" s="66"/>
      <c r="AC160" s="83"/>
    </row>
    <row r="161" spans="1:68" ht="27" customHeight="1" x14ac:dyDescent="0.25">
      <c r="A161" s="63" t="s">
        <v>260</v>
      </c>
      <c r="B161" s="63" t="s">
        <v>261</v>
      </c>
      <c r="C161" s="36">
        <v>4301135940</v>
      </c>
      <c r="D161" s="289">
        <v>4620207491614</v>
      </c>
      <c r="E161" s="289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116</v>
      </c>
      <c r="L161" s="37" t="s">
        <v>86</v>
      </c>
      <c r="M161" s="38" t="s">
        <v>84</v>
      </c>
      <c r="N161" s="38"/>
      <c r="O161" s="37">
        <v>180</v>
      </c>
      <c r="P161" s="34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91"/>
      <c r="R161" s="291"/>
      <c r="S161" s="291"/>
      <c r="T161" s="292"/>
      <c r="U161" s="39" t="s">
        <v>46</v>
      </c>
      <c r="V161" s="39" t="s">
        <v>46</v>
      </c>
      <c r="W161" s="40" t="s">
        <v>39</v>
      </c>
      <c r="X161" s="58">
        <v>28</v>
      </c>
      <c r="Y161" s="55">
        <f>IFERROR(IF(X161="","",X161),"")</f>
        <v>28</v>
      </c>
      <c r="Z161" s="41">
        <f>IFERROR(IF(X161="","",X161*0.01788),"")</f>
        <v>0.50063999999999997</v>
      </c>
      <c r="AA161" s="68" t="s">
        <v>46</v>
      </c>
      <c r="AB161" s="69" t="s">
        <v>46</v>
      </c>
      <c r="AC161" s="207" t="s">
        <v>262</v>
      </c>
      <c r="AG161" s="81"/>
      <c r="AJ161" s="87" t="s">
        <v>87</v>
      </c>
      <c r="AK161" s="87">
        <v>1</v>
      </c>
      <c r="BB161" s="208" t="s">
        <v>115</v>
      </c>
      <c r="BM161" s="81">
        <f>IFERROR(X161*I161,"0")</f>
        <v>103.70079999999999</v>
      </c>
      <c r="BN161" s="81">
        <f>IFERROR(Y161*I161,"0")</f>
        <v>103.70079999999999</v>
      </c>
      <c r="BO161" s="81">
        <f>IFERROR(X161/J161,"0")</f>
        <v>0.4</v>
      </c>
      <c r="BP161" s="81">
        <f>IFERROR(Y161/J161,"0")</f>
        <v>0.4</v>
      </c>
    </row>
    <row r="162" spans="1:68" x14ac:dyDescent="0.2">
      <c r="A162" s="296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7"/>
      <c r="P162" s="293" t="s">
        <v>40</v>
      </c>
      <c r="Q162" s="294"/>
      <c r="R162" s="294"/>
      <c r="S162" s="294"/>
      <c r="T162" s="294"/>
      <c r="U162" s="294"/>
      <c r="V162" s="295"/>
      <c r="W162" s="42" t="s">
        <v>39</v>
      </c>
      <c r="X162" s="43">
        <f>IFERROR(SUM(X161:X161),"0")</f>
        <v>28</v>
      </c>
      <c r="Y162" s="43">
        <f>IFERROR(SUM(Y161:Y161),"0")</f>
        <v>28</v>
      </c>
      <c r="Z162" s="43">
        <f>IFERROR(IF(Z161="",0,Z161),"0")</f>
        <v>0.50063999999999997</v>
      </c>
      <c r="AA162" s="67"/>
      <c r="AB162" s="67"/>
      <c r="AC162" s="67"/>
    </row>
    <row r="163" spans="1:68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7"/>
      <c r="P163" s="293" t="s">
        <v>40</v>
      </c>
      <c r="Q163" s="294"/>
      <c r="R163" s="294"/>
      <c r="S163" s="294"/>
      <c r="T163" s="294"/>
      <c r="U163" s="294"/>
      <c r="V163" s="295"/>
      <c r="W163" s="42" t="s">
        <v>0</v>
      </c>
      <c r="X163" s="43">
        <f>IFERROR(SUMPRODUCT(X161:X161*H161:H161),"0")</f>
        <v>84</v>
      </c>
      <c r="Y163" s="43">
        <f>IFERROR(SUMPRODUCT(Y161:Y161*H161:H161),"0")</f>
        <v>84</v>
      </c>
      <c r="Z163" s="42"/>
      <c r="AA163" s="67"/>
      <c r="AB163" s="67"/>
      <c r="AC163" s="67"/>
    </row>
    <row r="164" spans="1:68" ht="16.5" hidden="1" customHeight="1" x14ac:dyDescent="0.25">
      <c r="A164" s="319" t="s">
        <v>263</v>
      </c>
      <c r="B164" s="319"/>
      <c r="C164" s="319"/>
      <c r="D164" s="319"/>
      <c r="E164" s="319"/>
      <c r="F164" s="319"/>
      <c r="G164" s="319"/>
      <c r="H164" s="319"/>
      <c r="I164" s="319"/>
      <c r="J164" s="319"/>
      <c r="K164" s="319"/>
      <c r="L164" s="319"/>
      <c r="M164" s="319"/>
      <c r="N164" s="319"/>
      <c r="O164" s="319"/>
      <c r="P164" s="319"/>
      <c r="Q164" s="319"/>
      <c r="R164" s="319"/>
      <c r="S164" s="319"/>
      <c r="T164" s="319"/>
      <c r="U164" s="319"/>
      <c r="V164" s="319"/>
      <c r="W164" s="319"/>
      <c r="X164" s="319"/>
      <c r="Y164" s="319"/>
      <c r="Z164" s="319"/>
      <c r="AA164" s="65"/>
      <c r="AB164" s="65"/>
      <c r="AC164" s="82"/>
    </row>
    <row r="165" spans="1:68" ht="14.25" hidden="1" customHeight="1" x14ac:dyDescent="0.25">
      <c r="A165" s="307" t="s">
        <v>147</v>
      </c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  <c r="AA165" s="66"/>
      <c r="AB165" s="66"/>
      <c r="AC165" s="83"/>
    </row>
    <row r="166" spans="1:68" ht="16.5" hidden="1" customHeight="1" x14ac:dyDescent="0.25">
      <c r="A166" s="63" t="s">
        <v>264</v>
      </c>
      <c r="B166" s="63" t="s">
        <v>265</v>
      </c>
      <c r="C166" s="36">
        <v>4301135607</v>
      </c>
      <c r="D166" s="289">
        <v>4607111039613</v>
      </c>
      <c r="E166" s="289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3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91"/>
      <c r="R166" s="291"/>
      <c r="S166" s="291"/>
      <c r="T166" s="292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IFERROR(IF(X166="","",X166*0.00936),"")</f>
        <v>0</v>
      </c>
      <c r="AA166" s="68" t="s">
        <v>46</v>
      </c>
      <c r="AB166" s="69" t="s">
        <v>46</v>
      </c>
      <c r="AC166" s="209" t="s">
        <v>247</v>
      </c>
      <c r="AG166" s="81"/>
      <c r="AJ166" s="87" t="s">
        <v>118</v>
      </c>
      <c r="AK166" s="87">
        <v>14</v>
      </c>
      <c r="BB166" s="210" t="s">
        <v>115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hidden="1" x14ac:dyDescent="0.2">
      <c r="A167" s="296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7"/>
      <c r="P167" s="293" t="s">
        <v>40</v>
      </c>
      <c r="Q167" s="294"/>
      <c r="R167" s="294"/>
      <c r="S167" s="294"/>
      <c r="T167" s="294"/>
      <c r="U167" s="294"/>
      <c r="V167" s="295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7"/>
      <c r="P168" s="293" t="s">
        <v>40</v>
      </c>
      <c r="Q168" s="294"/>
      <c r="R168" s="294"/>
      <c r="S168" s="294"/>
      <c r="T168" s="294"/>
      <c r="U168" s="294"/>
      <c r="V168" s="295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hidden="1" customHeight="1" x14ac:dyDescent="0.25">
      <c r="A169" s="319" t="s">
        <v>266</v>
      </c>
      <c r="B169" s="319"/>
      <c r="C169" s="319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319"/>
      <c r="Q169" s="319"/>
      <c r="R169" s="319"/>
      <c r="S169" s="319"/>
      <c r="T169" s="319"/>
      <c r="U169" s="319"/>
      <c r="V169" s="319"/>
      <c r="W169" s="319"/>
      <c r="X169" s="319"/>
      <c r="Y169" s="319"/>
      <c r="Z169" s="319"/>
      <c r="AA169" s="65"/>
      <c r="AB169" s="65"/>
      <c r="AC169" s="82"/>
    </row>
    <row r="170" spans="1:68" ht="14.25" hidden="1" customHeight="1" x14ac:dyDescent="0.25">
      <c r="A170" s="307" t="s">
        <v>147</v>
      </c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  <c r="AA170" s="66"/>
      <c r="AB170" s="66"/>
      <c r="AC170" s="83"/>
    </row>
    <row r="171" spans="1:68" ht="27" customHeight="1" x14ac:dyDescent="0.25">
      <c r="A171" s="63" t="s">
        <v>267</v>
      </c>
      <c r="B171" s="63" t="s">
        <v>268</v>
      </c>
      <c r="C171" s="36">
        <v>4301135591</v>
      </c>
      <c r="D171" s="289">
        <v>4607111036568</v>
      </c>
      <c r="E171" s="289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91"/>
      <c r="R171" s="291"/>
      <c r="S171" s="291"/>
      <c r="T171" s="292"/>
      <c r="U171" s="39" t="s">
        <v>46</v>
      </c>
      <c r="V171" s="39" t="s">
        <v>46</v>
      </c>
      <c r="W171" s="40" t="s">
        <v>39</v>
      </c>
      <c r="X171" s="58">
        <v>98</v>
      </c>
      <c r="Y171" s="55">
        <f>IFERROR(IF(X171="","",X171),"")</f>
        <v>98</v>
      </c>
      <c r="Z171" s="41">
        <f>IFERROR(IF(X171="","",X171*0.00941),"")</f>
        <v>0.92218</v>
      </c>
      <c r="AA171" s="68" t="s">
        <v>46</v>
      </c>
      <c r="AB171" s="69" t="s">
        <v>46</v>
      </c>
      <c r="AC171" s="211" t="s">
        <v>269</v>
      </c>
      <c r="AG171" s="81"/>
      <c r="AJ171" s="87" t="s">
        <v>118</v>
      </c>
      <c r="AK171" s="87">
        <v>14</v>
      </c>
      <c r="BB171" s="212" t="s">
        <v>115</v>
      </c>
      <c r="BM171" s="81">
        <f>IFERROR(X171*I171,"0")</f>
        <v>205.97639999999998</v>
      </c>
      <c r="BN171" s="81">
        <f>IFERROR(Y171*I171,"0")</f>
        <v>205.97639999999998</v>
      </c>
      <c r="BO171" s="81">
        <f>IFERROR(X171/J171,"0")</f>
        <v>0.7</v>
      </c>
      <c r="BP171" s="81">
        <f>IFERROR(Y171/J171,"0")</f>
        <v>0.7</v>
      </c>
    </row>
    <row r="172" spans="1:68" x14ac:dyDescent="0.2">
      <c r="A172" s="296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7"/>
      <c r="P172" s="293" t="s">
        <v>40</v>
      </c>
      <c r="Q172" s="294"/>
      <c r="R172" s="294"/>
      <c r="S172" s="294"/>
      <c r="T172" s="294"/>
      <c r="U172" s="294"/>
      <c r="V172" s="295"/>
      <c r="W172" s="42" t="s">
        <v>39</v>
      </c>
      <c r="X172" s="43">
        <f>IFERROR(SUM(X171:X171),"0")</f>
        <v>98</v>
      </c>
      <c r="Y172" s="43">
        <f>IFERROR(SUM(Y171:Y171),"0")</f>
        <v>98</v>
      </c>
      <c r="Z172" s="43">
        <f>IFERROR(IF(Z171="",0,Z171),"0")</f>
        <v>0.92218</v>
      </c>
      <c r="AA172" s="67"/>
      <c r="AB172" s="67"/>
      <c r="AC172" s="67"/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7"/>
      <c r="P173" s="293" t="s">
        <v>40</v>
      </c>
      <c r="Q173" s="294"/>
      <c r="R173" s="294"/>
      <c r="S173" s="294"/>
      <c r="T173" s="294"/>
      <c r="U173" s="294"/>
      <c r="V173" s="295"/>
      <c r="W173" s="42" t="s">
        <v>0</v>
      </c>
      <c r="X173" s="43">
        <f>IFERROR(SUMPRODUCT(X171:X171*H171:H171),"0")</f>
        <v>164.64</v>
      </c>
      <c r="Y173" s="43">
        <f>IFERROR(SUMPRODUCT(Y171:Y171*H171:H171),"0")</f>
        <v>164.64</v>
      </c>
      <c r="Z173" s="42"/>
      <c r="AA173" s="67"/>
      <c r="AB173" s="67"/>
      <c r="AC173" s="67"/>
    </row>
    <row r="174" spans="1:68" ht="27.75" hidden="1" customHeight="1" x14ac:dyDescent="0.2">
      <c r="A174" s="318" t="s">
        <v>270</v>
      </c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54"/>
      <c r="AB174" s="54"/>
      <c r="AC174" s="54"/>
    </row>
    <row r="175" spans="1:68" ht="16.5" hidden="1" customHeight="1" x14ac:dyDescent="0.25">
      <c r="A175" s="319" t="s">
        <v>271</v>
      </c>
      <c r="B175" s="319"/>
      <c r="C175" s="319"/>
      <c r="D175" s="319"/>
      <c r="E175" s="319"/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  <c r="Z175" s="319"/>
      <c r="AA175" s="65"/>
      <c r="AB175" s="65"/>
      <c r="AC175" s="82"/>
    </row>
    <row r="176" spans="1:68" ht="14.25" hidden="1" customHeight="1" x14ac:dyDescent="0.25">
      <c r="A176" s="307" t="s">
        <v>80</v>
      </c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  <c r="AA176" s="66"/>
      <c r="AB176" s="66"/>
      <c r="AC176" s="83"/>
    </row>
    <row r="177" spans="1:68" ht="16.5" hidden="1" customHeight="1" x14ac:dyDescent="0.25">
      <c r="A177" s="63" t="s">
        <v>272</v>
      </c>
      <c r="B177" s="63" t="s">
        <v>273</v>
      </c>
      <c r="C177" s="36">
        <v>4301071062</v>
      </c>
      <c r="D177" s="289">
        <v>4607111036384</v>
      </c>
      <c r="E177" s="289"/>
      <c r="F177" s="62">
        <v>5</v>
      </c>
      <c r="G177" s="37">
        <v>1</v>
      </c>
      <c r="H177" s="62">
        <v>5</v>
      </c>
      <c r="I177" s="62">
        <v>5.2106000000000003</v>
      </c>
      <c r="J177" s="37">
        <v>144</v>
      </c>
      <c r="K177" s="37" t="s">
        <v>85</v>
      </c>
      <c r="L177" s="37" t="s">
        <v>86</v>
      </c>
      <c r="M177" s="38" t="s">
        <v>84</v>
      </c>
      <c r="N177" s="38"/>
      <c r="O177" s="37">
        <v>180</v>
      </c>
      <c r="P177" s="33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91"/>
      <c r="R177" s="291"/>
      <c r="S177" s="291"/>
      <c r="T177" s="292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13" t="s">
        <v>274</v>
      </c>
      <c r="AG177" s="81"/>
      <c r="AJ177" s="87" t="s">
        <v>87</v>
      </c>
      <c r="AK177" s="87">
        <v>1</v>
      </c>
      <c r="BB177" s="214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hidden="1" customHeight="1" x14ac:dyDescent="0.25">
      <c r="A178" s="63" t="s">
        <v>275</v>
      </c>
      <c r="B178" s="63" t="s">
        <v>276</v>
      </c>
      <c r="C178" s="36">
        <v>4301071050</v>
      </c>
      <c r="D178" s="289">
        <v>4607111036216</v>
      </c>
      <c r="E178" s="289"/>
      <c r="F178" s="62">
        <v>5</v>
      </c>
      <c r="G178" s="37">
        <v>1</v>
      </c>
      <c r="H178" s="62">
        <v>5</v>
      </c>
      <c r="I178" s="62">
        <v>5.2131999999999996</v>
      </c>
      <c r="J178" s="37">
        <v>144</v>
      </c>
      <c r="K178" s="37" t="s">
        <v>85</v>
      </c>
      <c r="L178" s="37" t="s">
        <v>117</v>
      </c>
      <c r="M178" s="38" t="s">
        <v>84</v>
      </c>
      <c r="N178" s="38"/>
      <c r="O178" s="37">
        <v>180</v>
      </c>
      <c r="P178" s="33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91"/>
      <c r="R178" s="291"/>
      <c r="S178" s="291"/>
      <c r="T178" s="292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118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idden="1" x14ac:dyDescent="0.2">
      <c r="A179" s="296"/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7"/>
      <c r="P179" s="293" t="s">
        <v>40</v>
      </c>
      <c r="Q179" s="294"/>
      <c r="R179" s="294"/>
      <c r="S179" s="294"/>
      <c r="T179" s="294"/>
      <c r="U179" s="294"/>
      <c r="V179" s="295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296"/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7"/>
      <c r="P180" s="293" t="s">
        <v>40</v>
      </c>
      <c r="Q180" s="294"/>
      <c r="R180" s="294"/>
      <c r="S180" s="294"/>
      <c r="T180" s="294"/>
      <c r="U180" s="294"/>
      <c r="V180" s="295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16.5" hidden="1" customHeight="1" x14ac:dyDescent="0.25">
      <c r="A181" s="319" t="s">
        <v>278</v>
      </c>
      <c r="B181" s="319"/>
      <c r="C181" s="319"/>
      <c r="D181" s="319"/>
      <c r="E181" s="319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  <c r="Z181" s="319"/>
      <c r="AA181" s="65"/>
      <c r="AB181" s="65"/>
      <c r="AC181" s="82"/>
    </row>
    <row r="182" spans="1:68" ht="14.25" hidden="1" customHeight="1" x14ac:dyDescent="0.25">
      <c r="A182" s="307" t="s">
        <v>80</v>
      </c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  <c r="AA182" s="66"/>
      <c r="AB182" s="66"/>
      <c r="AC182" s="83"/>
    </row>
    <row r="183" spans="1:68" ht="27" hidden="1" customHeight="1" x14ac:dyDescent="0.25">
      <c r="A183" s="63" t="s">
        <v>279</v>
      </c>
      <c r="B183" s="63" t="s">
        <v>280</v>
      </c>
      <c r="C183" s="36">
        <v>4301071117</v>
      </c>
      <c r="D183" s="289">
        <v>4620207491737</v>
      </c>
      <c r="E183" s="289"/>
      <c r="F183" s="62">
        <v>1</v>
      </c>
      <c r="G183" s="37">
        <v>5</v>
      </c>
      <c r="H183" s="62">
        <v>5</v>
      </c>
      <c r="I183" s="62">
        <v>5.2619999999999996</v>
      </c>
      <c r="J183" s="37">
        <v>84</v>
      </c>
      <c r="K183" s="37" t="s">
        <v>85</v>
      </c>
      <c r="L183" s="37" t="s">
        <v>86</v>
      </c>
      <c r="M183" s="38" t="s">
        <v>84</v>
      </c>
      <c r="N183" s="38"/>
      <c r="O183" s="37">
        <v>180</v>
      </c>
      <c r="P183" s="33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91"/>
      <c r="R183" s="291"/>
      <c r="S183" s="291"/>
      <c r="T183" s="292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IFERROR(IF(X183="","",X183*0.0155),"")</f>
        <v>0</v>
      </c>
      <c r="AA183" s="68" t="s">
        <v>46</v>
      </c>
      <c r="AB183" s="69" t="s">
        <v>46</v>
      </c>
      <c r="AC183" s="217" t="s">
        <v>277</v>
      </c>
      <c r="AG183" s="81"/>
      <c r="AJ183" s="87" t="s">
        <v>87</v>
      </c>
      <c r="AK183" s="87">
        <v>1</v>
      </c>
      <c r="BB183" s="218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idden="1" x14ac:dyDescent="0.2">
      <c r="A184" s="296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7"/>
      <c r="P184" s="293" t="s">
        <v>40</v>
      </c>
      <c r="Q184" s="294"/>
      <c r="R184" s="294"/>
      <c r="S184" s="294"/>
      <c r="T184" s="294"/>
      <c r="U184" s="294"/>
      <c r="V184" s="295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hidden="1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7"/>
      <c r="P185" s="293" t="s">
        <v>40</v>
      </c>
      <c r="Q185" s="294"/>
      <c r="R185" s="294"/>
      <c r="S185" s="294"/>
      <c r="T185" s="294"/>
      <c r="U185" s="294"/>
      <c r="V185" s="295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27.75" hidden="1" customHeight="1" x14ac:dyDescent="0.2">
      <c r="A186" s="318" t="s">
        <v>281</v>
      </c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  <c r="AA186" s="54"/>
      <c r="AB186" s="54"/>
      <c r="AC186" s="54"/>
    </row>
    <row r="187" spans="1:68" ht="16.5" hidden="1" customHeight="1" x14ac:dyDescent="0.25">
      <c r="A187" s="319" t="s">
        <v>282</v>
      </c>
      <c r="B187" s="319"/>
      <c r="C187" s="319"/>
      <c r="D187" s="319"/>
      <c r="E187" s="319"/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  <c r="Z187" s="319"/>
      <c r="AA187" s="65"/>
      <c r="AB187" s="65"/>
      <c r="AC187" s="82"/>
    </row>
    <row r="188" spans="1:68" ht="14.25" hidden="1" customHeight="1" x14ac:dyDescent="0.25">
      <c r="A188" s="307" t="s">
        <v>111</v>
      </c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  <c r="AA188" s="66"/>
      <c r="AB188" s="66"/>
      <c r="AC188" s="83"/>
    </row>
    <row r="189" spans="1:68" ht="16.5" customHeight="1" x14ac:dyDescent="0.25">
      <c r="A189" s="63" t="s">
        <v>283</v>
      </c>
      <c r="B189" s="63" t="s">
        <v>284</v>
      </c>
      <c r="C189" s="36">
        <v>4301132179</v>
      </c>
      <c r="D189" s="289">
        <v>4607111035691</v>
      </c>
      <c r="E189" s="289"/>
      <c r="F189" s="62">
        <v>0.25</v>
      </c>
      <c r="G189" s="37">
        <v>12</v>
      </c>
      <c r="H189" s="62">
        <v>3</v>
      </c>
      <c r="I189" s="62">
        <v>3.3879999999999999</v>
      </c>
      <c r="J189" s="37">
        <v>70</v>
      </c>
      <c r="K189" s="37" t="s">
        <v>116</v>
      </c>
      <c r="L189" s="37" t="s">
        <v>117</v>
      </c>
      <c r="M189" s="38" t="s">
        <v>84</v>
      </c>
      <c r="N189" s="38"/>
      <c r="O189" s="37">
        <v>365</v>
      </c>
      <c r="P189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91"/>
      <c r="R189" s="291"/>
      <c r="S189" s="291"/>
      <c r="T189" s="292"/>
      <c r="U189" s="39" t="s">
        <v>46</v>
      </c>
      <c r="V189" s="39" t="s">
        <v>46</v>
      </c>
      <c r="W189" s="40" t="s">
        <v>39</v>
      </c>
      <c r="X189" s="58">
        <v>56</v>
      </c>
      <c r="Y189" s="55">
        <f>IFERROR(IF(X189="","",X189),"")</f>
        <v>56</v>
      </c>
      <c r="Z189" s="41">
        <f>IFERROR(IF(X189="","",X189*0.01788),"")</f>
        <v>1.0012799999999999</v>
      </c>
      <c r="AA189" s="68" t="s">
        <v>46</v>
      </c>
      <c r="AB189" s="69" t="s">
        <v>46</v>
      </c>
      <c r="AC189" s="219" t="s">
        <v>285</v>
      </c>
      <c r="AG189" s="81"/>
      <c r="AJ189" s="87" t="s">
        <v>118</v>
      </c>
      <c r="AK189" s="87">
        <v>14</v>
      </c>
      <c r="BB189" s="220" t="s">
        <v>115</v>
      </c>
      <c r="BM189" s="81">
        <f>IFERROR(X189*I189,"0")</f>
        <v>189.72800000000001</v>
      </c>
      <c r="BN189" s="81">
        <f>IFERROR(Y189*I189,"0")</f>
        <v>189.72800000000001</v>
      </c>
      <c r="BO189" s="81">
        <f>IFERROR(X189/J189,"0")</f>
        <v>0.8</v>
      </c>
      <c r="BP189" s="81">
        <f>IFERROR(Y189/J189,"0")</f>
        <v>0.8</v>
      </c>
    </row>
    <row r="190" spans="1:68" ht="27" customHeight="1" x14ac:dyDescent="0.25">
      <c r="A190" s="63" t="s">
        <v>286</v>
      </c>
      <c r="B190" s="63" t="s">
        <v>287</v>
      </c>
      <c r="C190" s="36">
        <v>4301132182</v>
      </c>
      <c r="D190" s="289">
        <v>4607111035721</v>
      </c>
      <c r="E190" s="289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91"/>
      <c r="R190" s="291"/>
      <c r="S190" s="291"/>
      <c r="T190" s="292"/>
      <c r="U190" s="39" t="s">
        <v>46</v>
      </c>
      <c r="V190" s="39" t="s">
        <v>46</v>
      </c>
      <c r="W190" s="40" t="s">
        <v>39</v>
      </c>
      <c r="X190" s="58">
        <v>42</v>
      </c>
      <c r="Y190" s="55">
        <f>IFERROR(IF(X190="","",X190),"")</f>
        <v>42</v>
      </c>
      <c r="Z190" s="41">
        <f>IFERROR(IF(X190="","",X190*0.01788),"")</f>
        <v>0.75095999999999996</v>
      </c>
      <c r="AA190" s="68" t="s">
        <v>46</v>
      </c>
      <c r="AB190" s="69" t="s">
        <v>46</v>
      </c>
      <c r="AC190" s="221" t="s">
        <v>288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142.29599999999999</v>
      </c>
      <c r="BN190" s="81">
        <f>IFERROR(Y190*I190,"0")</f>
        <v>142.29599999999999</v>
      </c>
      <c r="BO190" s="81">
        <f>IFERROR(X190/J190,"0")</f>
        <v>0.6</v>
      </c>
      <c r="BP190" s="81">
        <f>IFERROR(Y190/J190,"0")</f>
        <v>0.6</v>
      </c>
    </row>
    <row r="191" spans="1:68" ht="27" hidden="1" customHeight="1" x14ac:dyDescent="0.25">
      <c r="A191" s="63" t="s">
        <v>289</v>
      </c>
      <c r="B191" s="63" t="s">
        <v>290</v>
      </c>
      <c r="C191" s="36">
        <v>4301132170</v>
      </c>
      <c r="D191" s="289">
        <v>4607111038487</v>
      </c>
      <c r="E191" s="289"/>
      <c r="F191" s="62">
        <v>0.25</v>
      </c>
      <c r="G191" s="37">
        <v>12</v>
      </c>
      <c r="H191" s="62">
        <v>3</v>
      </c>
      <c r="I191" s="62">
        <v>3.7360000000000002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180</v>
      </c>
      <c r="P191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91"/>
      <c r="R191" s="291"/>
      <c r="S191" s="291"/>
      <c r="T191" s="292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hidden="1" customHeight="1" x14ac:dyDescent="0.25">
      <c r="A192" s="63" t="s">
        <v>292</v>
      </c>
      <c r="B192" s="63" t="s">
        <v>293</v>
      </c>
      <c r="C192" s="36">
        <v>4301132243</v>
      </c>
      <c r="D192" s="289">
        <v>4620207491195</v>
      </c>
      <c r="E192" s="289"/>
      <c r="F192" s="62">
        <v>0.23</v>
      </c>
      <c r="G192" s="37">
        <v>12</v>
      </c>
      <c r="H192" s="62">
        <v>2.76</v>
      </c>
      <c r="I192" s="62">
        <v>3.1480000000000001</v>
      </c>
      <c r="J192" s="37">
        <v>70</v>
      </c>
      <c r="K192" s="37" t="s">
        <v>116</v>
      </c>
      <c r="L192" s="37" t="s">
        <v>86</v>
      </c>
      <c r="M192" s="38" t="s">
        <v>84</v>
      </c>
      <c r="N192" s="38"/>
      <c r="O192" s="37">
        <v>180</v>
      </c>
      <c r="P192" s="3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91"/>
      <c r="R192" s="291"/>
      <c r="S192" s="291"/>
      <c r="T192" s="29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294</v>
      </c>
      <c r="AG192" s="81"/>
      <c r="AJ192" s="87" t="s">
        <v>87</v>
      </c>
      <c r="AK192" s="87">
        <v>1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296"/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7"/>
      <c r="P193" s="293" t="s">
        <v>40</v>
      </c>
      <c r="Q193" s="294"/>
      <c r="R193" s="294"/>
      <c r="S193" s="294"/>
      <c r="T193" s="294"/>
      <c r="U193" s="294"/>
      <c r="V193" s="295"/>
      <c r="W193" s="42" t="s">
        <v>39</v>
      </c>
      <c r="X193" s="43">
        <f>IFERROR(SUM(X189:X192),"0")</f>
        <v>98</v>
      </c>
      <c r="Y193" s="43">
        <f>IFERROR(SUM(Y189:Y192),"0")</f>
        <v>98</v>
      </c>
      <c r="Z193" s="43">
        <f>IFERROR(IF(Z189="",0,Z189),"0")+IFERROR(IF(Z190="",0,Z190),"0")+IFERROR(IF(Z191="",0,Z191),"0")+IFERROR(IF(Z192="",0,Z192),"0")</f>
        <v>1.75224</v>
      </c>
      <c r="AA193" s="67"/>
      <c r="AB193" s="67"/>
      <c r="AC193" s="67"/>
    </row>
    <row r="194" spans="1:68" x14ac:dyDescent="0.2">
      <c r="A194" s="296"/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7"/>
      <c r="P194" s="293" t="s">
        <v>40</v>
      </c>
      <c r="Q194" s="294"/>
      <c r="R194" s="294"/>
      <c r="S194" s="294"/>
      <c r="T194" s="294"/>
      <c r="U194" s="294"/>
      <c r="V194" s="295"/>
      <c r="W194" s="42" t="s">
        <v>0</v>
      </c>
      <c r="X194" s="43">
        <f>IFERROR(SUMPRODUCT(X189:X192*H189:H192),"0")</f>
        <v>294</v>
      </c>
      <c r="Y194" s="43">
        <f>IFERROR(SUMPRODUCT(Y189:Y192*H189:H192),"0")</f>
        <v>294</v>
      </c>
      <c r="Z194" s="42"/>
      <c r="AA194" s="67"/>
      <c r="AB194" s="67"/>
      <c r="AC194" s="67"/>
    </row>
    <row r="195" spans="1:68" ht="27.75" hidden="1" customHeight="1" x14ac:dyDescent="0.2">
      <c r="A195" s="318" t="s">
        <v>295</v>
      </c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  <c r="AA195" s="54"/>
      <c r="AB195" s="54"/>
      <c r="AC195" s="54"/>
    </row>
    <row r="196" spans="1:68" ht="16.5" hidden="1" customHeight="1" x14ac:dyDescent="0.25">
      <c r="A196" s="319" t="s">
        <v>296</v>
      </c>
      <c r="B196" s="31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  <c r="Z196" s="319"/>
      <c r="AA196" s="65"/>
      <c r="AB196" s="65"/>
      <c r="AC196" s="82"/>
    </row>
    <row r="197" spans="1:68" ht="14.25" hidden="1" customHeight="1" x14ac:dyDescent="0.25">
      <c r="A197" s="307" t="s">
        <v>111</v>
      </c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  <c r="AA197" s="66"/>
      <c r="AB197" s="66"/>
      <c r="AC197" s="83"/>
    </row>
    <row r="198" spans="1:68" ht="27" hidden="1" customHeight="1" x14ac:dyDescent="0.25">
      <c r="A198" s="63" t="s">
        <v>297</v>
      </c>
      <c r="B198" s="63" t="s">
        <v>298</v>
      </c>
      <c r="C198" s="36">
        <v>4301132227</v>
      </c>
      <c r="D198" s="289">
        <v>4620207491133</v>
      </c>
      <c r="E198" s="289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116</v>
      </c>
      <c r="L198" s="37" t="s">
        <v>117</v>
      </c>
      <c r="M198" s="38" t="s">
        <v>84</v>
      </c>
      <c r="N198" s="38"/>
      <c r="O198" s="37">
        <v>180</v>
      </c>
      <c r="P198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91"/>
      <c r="R198" s="291"/>
      <c r="S198" s="291"/>
      <c r="T198" s="292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7" t="s">
        <v>299</v>
      </c>
      <c r="AG198" s="81"/>
      <c r="AJ198" s="87" t="s">
        <v>118</v>
      </c>
      <c r="AK198" s="87">
        <v>14</v>
      </c>
      <c r="BB198" s="228" t="s">
        <v>115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idden="1" x14ac:dyDescent="0.2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7"/>
      <c r="P199" s="293" t="s">
        <v>40</v>
      </c>
      <c r="Q199" s="294"/>
      <c r="R199" s="294"/>
      <c r="S199" s="294"/>
      <c r="T199" s="294"/>
      <c r="U199" s="294"/>
      <c r="V199" s="295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296"/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7"/>
      <c r="P200" s="293" t="s">
        <v>40</v>
      </c>
      <c r="Q200" s="294"/>
      <c r="R200" s="294"/>
      <c r="S200" s="294"/>
      <c r="T200" s="294"/>
      <c r="U200" s="294"/>
      <c r="V200" s="295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hidden="1" customHeight="1" x14ac:dyDescent="0.25">
      <c r="A201" s="307" t="s">
        <v>147</v>
      </c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  <c r="AA201" s="66"/>
      <c r="AB201" s="66"/>
      <c r="AC201" s="83"/>
    </row>
    <row r="202" spans="1:68" ht="27" hidden="1" customHeight="1" x14ac:dyDescent="0.25">
      <c r="A202" s="63" t="s">
        <v>300</v>
      </c>
      <c r="B202" s="63" t="s">
        <v>301</v>
      </c>
      <c r="C202" s="36">
        <v>4301135834</v>
      </c>
      <c r="D202" s="289">
        <v>4620207491188</v>
      </c>
      <c r="E202" s="289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116</v>
      </c>
      <c r="L202" s="37" t="s">
        <v>86</v>
      </c>
      <c r="M202" s="38" t="s">
        <v>84</v>
      </c>
      <c r="N202" s="38"/>
      <c r="O202" s="37">
        <v>180</v>
      </c>
      <c r="P202" s="32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91"/>
      <c r="R202" s="291"/>
      <c r="S202" s="291"/>
      <c r="T202" s="292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302</v>
      </c>
      <c r="AG202" s="81"/>
      <c r="AJ202" s="87" t="s">
        <v>87</v>
      </c>
      <c r="AK202" s="87">
        <v>1</v>
      </c>
      <c r="BB202" s="230" t="s">
        <v>115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hidden="1" customHeight="1" x14ac:dyDescent="0.25">
      <c r="A203" s="63" t="s">
        <v>303</v>
      </c>
      <c r="B203" s="63" t="s">
        <v>304</v>
      </c>
      <c r="C203" s="36">
        <v>4301135696</v>
      </c>
      <c r="D203" s="289">
        <v>4620207490235</v>
      </c>
      <c r="E203" s="289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3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91"/>
      <c r="R203" s="291"/>
      <c r="S203" s="291"/>
      <c r="T203" s="29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306</v>
      </c>
      <c r="B204" s="63" t="s">
        <v>307</v>
      </c>
      <c r="C204" s="36">
        <v>4301135697</v>
      </c>
      <c r="D204" s="289">
        <v>4620207490259</v>
      </c>
      <c r="E204" s="289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3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91"/>
      <c r="R204" s="291"/>
      <c r="S204" s="291"/>
      <c r="T204" s="292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idden="1" x14ac:dyDescent="0.2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7"/>
      <c r="P205" s="293" t="s">
        <v>40</v>
      </c>
      <c r="Q205" s="294"/>
      <c r="R205" s="294"/>
      <c r="S205" s="294"/>
      <c r="T205" s="294"/>
      <c r="U205" s="294"/>
      <c r="V205" s="295"/>
      <c r="W205" s="42" t="s">
        <v>39</v>
      </c>
      <c r="X205" s="43">
        <f>IFERROR(SUM(X202:X204),"0")</f>
        <v>0</v>
      </c>
      <c r="Y205" s="43">
        <f>IFERROR(SUM(Y202:Y204),"0")</f>
        <v>0</v>
      </c>
      <c r="Z205" s="43">
        <f>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7"/>
      <c r="P206" s="293" t="s">
        <v>40</v>
      </c>
      <c r="Q206" s="294"/>
      <c r="R206" s="294"/>
      <c r="S206" s="294"/>
      <c r="T206" s="294"/>
      <c r="U206" s="294"/>
      <c r="V206" s="295"/>
      <c r="W206" s="42" t="s">
        <v>0</v>
      </c>
      <c r="X206" s="43">
        <f>IFERROR(SUMPRODUCT(X202:X204*H202:H204),"0")</f>
        <v>0</v>
      </c>
      <c r="Y206" s="43">
        <f>IFERROR(SUMPRODUCT(Y202:Y204*H202:H204),"0")</f>
        <v>0</v>
      </c>
      <c r="Z206" s="42"/>
      <c r="AA206" s="67"/>
      <c r="AB206" s="67"/>
      <c r="AC206" s="67"/>
    </row>
    <row r="207" spans="1:68" ht="16.5" hidden="1" customHeight="1" x14ac:dyDescent="0.25">
      <c r="A207" s="319" t="s">
        <v>309</v>
      </c>
      <c r="B207" s="319"/>
      <c r="C207" s="319"/>
      <c r="D207" s="319"/>
      <c r="E207" s="319"/>
      <c r="F207" s="319"/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  <c r="R207" s="319"/>
      <c r="S207" s="319"/>
      <c r="T207" s="319"/>
      <c r="U207" s="319"/>
      <c r="V207" s="319"/>
      <c r="W207" s="319"/>
      <c r="X207" s="319"/>
      <c r="Y207" s="319"/>
      <c r="Z207" s="319"/>
      <c r="AA207" s="65"/>
      <c r="AB207" s="65"/>
      <c r="AC207" s="82"/>
    </row>
    <row r="208" spans="1:68" ht="14.25" hidden="1" customHeight="1" x14ac:dyDescent="0.25">
      <c r="A208" s="307" t="s">
        <v>147</v>
      </c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  <c r="AA208" s="66"/>
      <c r="AB208" s="66"/>
      <c r="AC208" s="83"/>
    </row>
    <row r="209" spans="1:68" ht="27" hidden="1" customHeight="1" x14ac:dyDescent="0.25">
      <c r="A209" s="63" t="s">
        <v>310</v>
      </c>
      <c r="B209" s="63" t="s">
        <v>311</v>
      </c>
      <c r="C209" s="36">
        <v>4301135854</v>
      </c>
      <c r="D209" s="289">
        <v>4620207491706</v>
      </c>
      <c r="E209" s="289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86</v>
      </c>
      <c r="M209" s="38" t="s">
        <v>84</v>
      </c>
      <c r="N209" s="38"/>
      <c r="O209" s="37">
        <v>180</v>
      </c>
      <c r="P209" s="32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91"/>
      <c r="R209" s="291"/>
      <c r="S209" s="291"/>
      <c r="T209" s="292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312</v>
      </c>
      <c r="AG209" s="81"/>
      <c r="AJ209" s="87" t="s">
        <v>87</v>
      </c>
      <c r="AK209" s="87">
        <v>1</v>
      </c>
      <c r="BB209" s="236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hidden="1" customHeight="1" x14ac:dyDescent="0.25">
      <c r="A210" s="63" t="s">
        <v>313</v>
      </c>
      <c r="B210" s="63" t="s">
        <v>314</v>
      </c>
      <c r="C210" s="36">
        <v>4301135895</v>
      </c>
      <c r="D210" s="289">
        <v>4620207491522</v>
      </c>
      <c r="E210" s="289"/>
      <c r="F210" s="62">
        <v>0.28000000000000003</v>
      </c>
      <c r="G210" s="37">
        <v>12</v>
      </c>
      <c r="H210" s="62">
        <v>3.36</v>
      </c>
      <c r="I210" s="62">
        <v>4.0636000000000001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32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91"/>
      <c r="R210" s="291"/>
      <c r="S210" s="291"/>
      <c r="T210" s="29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7"/>
      <c r="P211" s="293" t="s">
        <v>40</v>
      </c>
      <c r="Q211" s="294"/>
      <c r="R211" s="294"/>
      <c r="S211" s="294"/>
      <c r="T211" s="294"/>
      <c r="U211" s="294"/>
      <c r="V211" s="295"/>
      <c r="W211" s="42" t="s">
        <v>39</v>
      </c>
      <c r="X211" s="43">
        <f>IFERROR(SUM(X209:X210),"0")</f>
        <v>0</v>
      </c>
      <c r="Y211" s="43">
        <f>IFERROR(SUM(Y209:Y210),"0")</f>
        <v>0</v>
      </c>
      <c r="Z211" s="43">
        <f>IFERROR(IF(Z209="",0,Z209),"0")+IFERROR(IF(Z210="",0,Z210),"0")</f>
        <v>0</v>
      </c>
      <c r="AA211" s="67"/>
      <c r="AB211" s="67"/>
      <c r="AC211" s="67"/>
    </row>
    <row r="212" spans="1:68" hidden="1" x14ac:dyDescent="0.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7"/>
      <c r="P212" s="293" t="s">
        <v>40</v>
      </c>
      <c r="Q212" s="294"/>
      <c r="R212" s="294"/>
      <c r="S212" s="294"/>
      <c r="T212" s="294"/>
      <c r="U212" s="294"/>
      <c r="V212" s="295"/>
      <c r="W212" s="42" t="s">
        <v>0</v>
      </c>
      <c r="X212" s="43">
        <f>IFERROR(SUMPRODUCT(X209:X210*H209:H210),"0")</f>
        <v>0</v>
      </c>
      <c r="Y212" s="43">
        <f>IFERROR(SUMPRODUCT(Y209:Y210*H209:H210),"0")</f>
        <v>0</v>
      </c>
      <c r="Z212" s="42"/>
      <c r="AA212" s="67"/>
      <c r="AB212" s="67"/>
      <c r="AC212" s="67"/>
    </row>
    <row r="213" spans="1:68" ht="16.5" hidden="1" customHeight="1" x14ac:dyDescent="0.25">
      <c r="A213" s="319" t="s">
        <v>316</v>
      </c>
      <c r="B213" s="31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319"/>
      <c r="W213" s="319"/>
      <c r="X213" s="319"/>
      <c r="Y213" s="319"/>
      <c r="Z213" s="319"/>
      <c r="AA213" s="65"/>
      <c r="AB213" s="65"/>
      <c r="AC213" s="82"/>
    </row>
    <row r="214" spans="1:68" ht="14.25" hidden="1" customHeight="1" x14ac:dyDescent="0.25">
      <c r="A214" s="307" t="s">
        <v>80</v>
      </c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  <c r="AA214" s="66"/>
      <c r="AB214" s="66"/>
      <c r="AC214" s="83"/>
    </row>
    <row r="215" spans="1:68" ht="27" hidden="1" customHeight="1" x14ac:dyDescent="0.25">
      <c r="A215" s="63" t="s">
        <v>317</v>
      </c>
      <c r="B215" s="63" t="s">
        <v>318</v>
      </c>
      <c r="C215" s="36">
        <v>4301071097</v>
      </c>
      <c r="D215" s="289">
        <v>4620207491096</v>
      </c>
      <c r="E215" s="289"/>
      <c r="F215" s="62">
        <v>1</v>
      </c>
      <c r="G215" s="37">
        <v>5</v>
      </c>
      <c r="H215" s="62">
        <v>5</v>
      </c>
      <c r="I215" s="62">
        <v>5.23</v>
      </c>
      <c r="J215" s="37">
        <v>84</v>
      </c>
      <c r="K215" s="37" t="s">
        <v>85</v>
      </c>
      <c r="L215" s="37" t="s">
        <v>117</v>
      </c>
      <c r="M215" s="38" t="s">
        <v>84</v>
      </c>
      <c r="N215" s="38"/>
      <c r="O215" s="37">
        <v>180</v>
      </c>
      <c r="P215" s="32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91"/>
      <c r="R215" s="291"/>
      <c r="S215" s="291"/>
      <c r="T215" s="292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IFERROR(IF(X215="","",X215*0.0155),"")</f>
        <v>0</v>
      </c>
      <c r="AA215" s="68" t="s">
        <v>46</v>
      </c>
      <c r="AB215" s="69" t="s">
        <v>46</v>
      </c>
      <c r="AC215" s="239" t="s">
        <v>319</v>
      </c>
      <c r="AG215" s="81"/>
      <c r="AJ215" s="87" t="s">
        <v>118</v>
      </c>
      <c r="AK215" s="87">
        <v>12</v>
      </c>
      <c r="BB215" s="240" t="s">
        <v>70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idden="1" x14ac:dyDescent="0.2">
      <c r="A216" s="296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7"/>
      <c r="P216" s="293" t="s">
        <v>40</v>
      </c>
      <c r="Q216" s="294"/>
      <c r="R216" s="294"/>
      <c r="S216" s="294"/>
      <c r="T216" s="294"/>
      <c r="U216" s="294"/>
      <c r="V216" s="295"/>
      <c r="W216" s="42" t="s">
        <v>39</v>
      </c>
      <c r="X216" s="43">
        <f>IFERROR(SUM(X215:X215),"0")</f>
        <v>0</v>
      </c>
      <c r="Y216" s="43">
        <f>IFERROR(SUM(Y215:Y215),"0")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7"/>
      <c r="P217" s="293" t="s">
        <v>40</v>
      </c>
      <c r="Q217" s="294"/>
      <c r="R217" s="294"/>
      <c r="S217" s="294"/>
      <c r="T217" s="294"/>
      <c r="U217" s="294"/>
      <c r="V217" s="295"/>
      <c r="W217" s="42" t="s">
        <v>0</v>
      </c>
      <c r="X217" s="43">
        <f>IFERROR(SUMPRODUCT(X215:X215*H215:H215),"0")</f>
        <v>0</v>
      </c>
      <c r="Y217" s="43">
        <f>IFERROR(SUMPRODUCT(Y215:Y215*H215:H215),"0")</f>
        <v>0</v>
      </c>
      <c r="Z217" s="42"/>
      <c r="AA217" s="67"/>
      <c r="AB217" s="67"/>
      <c r="AC217" s="67"/>
    </row>
    <row r="218" spans="1:68" ht="16.5" hidden="1" customHeight="1" x14ac:dyDescent="0.25">
      <c r="A218" s="319" t="s">
        <v>320</v>
      </c>
      <c r="B218" s="31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319"/>
      <c r="W218" s="319"/>
      <c r="X218" s="319"/>
      <c r="Y218" s="319"/>
      <c r="Z218" s="319"/>
      <c r="AA218" s="65"/>
      <c r="AB218" s="65"/>
      <c r="AC218" s="82"/>
    </row>
    <row r="219" spans="1:68" ht="14.25" hidden="1" customHeight="1" x14ac:dyDescent="0.25">
      <c r="A219" s="307" t="s">
        <v>147</v>
      </c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  <c r="AA219" s="66"/>
      <c r="AB219" s="66"/>
      <c r="AC219" s="83"/>
    </row>
    <row r="220" spans="1:68" ht="27" hidden="1" customHeight="1" x14ac:dyDescent="0.25">
      <c r="A220" s="63" t="s">
        <v>321</v>
      </c>
      <c r="B220" s="63" t="s">
        <v>322</v>
      </c>
      <c r="C220" s="36">
        <v>4301135694</v>
      </c>
      <c r="D220" s="289">
        <v>4620207490501</v>
      </c>
      <c r="E220" s="289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116</v>
      </c>
      <c r="L220" s="37" t="s">
        <v>86</v>
      </c>
      <c r="M220" s="38" t="s">
        <v>84</v>
      </c>
      <c r="N220" s="38"/>
      <c r="O220" s="37">
        <v>180</v>
      </c>
      <c r="P220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91"/>
      <c r="R220" s="291"/>
      <c r="S220" s="291"/>
      <c r="T220" s="292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1" t="s">
        <v>323</v>
      </c>
      <c r="AG220" s="81"/>
      <c r="AJ220" s="87" t="s">
        <v>87</v>
      </c>
      <c r="AK220" s="87">
        <v>1</v>
      </c>
      <c r="BB220" s="242" t="s">
        <v>115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296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7"/>
      <c r="P221" s="293" t="s">
        <v>40</v>
      </c>
      <c r="Q221" s="294"/>
      <c r="R221" s="294"/>
      <c r="S221" s="294"/>
      <c r="T221" s="294"/>
      <c r="U221" s="294"/>
      <c r="V221" s="295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hidden="1" x14ac:dyDescent="0.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7"/>
      <c r="P222" s="293" t="s">
        <v>40</v>
      </c>
      <c r="Q222" s="294"/>
      <c r="R222" s="294"/>
      <c r="S222" s="294"/>
      <c r="T222" s="294"/>
      <c r="U222" s="294"/>
      <c r="V222" s="295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hidden="1" customHeight="1" x14ac:dyDescent="0.2">
      <c r="A223" s="318" t="s">
        <v>324</v>
      </c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  <c r="AA223" s="54"/>
      <c r="AB223" s="54"/>
      <c r="AC223" s="54"/>
    </row>
    <row r="224" spans="1:68" ht="16.5" hidden="1" customHeight="1" x14ac:dyDescent="0.25">
      <c r="A224" s="319" t="s">
        <v>325</v>
      </c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65"/>
      <c r="AB224" s="65"/>
      <c r="AC224" s="82"/>
    </row>
    <row r="225" spans="1:68" ht="14.25" hidden="1" customHeight="1" x14ac:dyDescent="0.25">
      <c r="A225" s="307" t="s">
        <v>80</v>
      </c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  <c r="AA225" s="66"/>
      <c r="AB225" s="66"/>
      <c r="AC225" s="83"/>
    </row>
    <row r="226" spans="1:68" ht="27" hidden="1" customHeight="1" x14ac:dyDescent="0.25">
      <c r="A226" s="63" t="s">
        <v>326</v>
      </c>
      <c r="B226" s="63" t="s">
        <v>327</v>
      </c>
      <c r="C226" s="36">
        <v>4301071036</v>
      </c>
      <c r="D226" s="289">
        <v>4607111036162</v>
      </c>
      <c r="E226" s="289"/>
      <c r="F226" s="62">
        <v>0.8</v>
      </c>
      <c r="G226" s="37">
        <v>8</v>
      </c>
      <c r="H226" s="62">
        <v>6.4</v>
      </c>
      <c r="I226" s="62">
        <v>6.6811999999999996</v>
      </c>
      <c r="J226" s="37">
        <v>84</v>
      </c>
      <c r="K226" s="37" t="s">
        <v>85</v>
      </c>
      <c r="L226" s="37" t="s">
        <v>86</v>
      </c>
      <c r="M226" s="38" t="s">
        <v>84</v>
      </c>
      <c r="N226" s="38"/>
      <c r="O226" s="37">
        <v>90</v>
      </c>
      <c r="P226" s="3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91"/>
      <c r="R226" s="291"/>
      <c r="S226" s="291"/>
      <c r="T226" s="292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43" t="s">
        <v>328</v>
      </c>
      <c r="AG226" s="81"/>
      <c r="AJ226" s="87" t="s">
        <v>87</v>
      </c>
      <c r="AK226" s="87">
        <v>1</v>
      </c>
      <c r="BB226" s="244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7"/>
      <c r="P227" s="293" t="s">
        <v>40</v>
      </c>
      <c r="Q227" s="294"/>
      <c r="R227" s="294"/>
      <c r="S227" s="294"/>
      <c r="T227" s="294"/>
      <c r="U227" s="294"/>
      <c r="V227" s="295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296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7"/>
      <c r="P228" s="293" t="s">
        <v>40</v>
      </c>
      <c r="Q228" s="294"/>
      <c r="R228" s="294"/>
      <c r="S228" s="294"/>
      <c r="T228" s="294"/>
      <c r="U228" s="294"/>
      <c r="V228" s="295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hidden="1" customHeight="1" x14ac:dyDescent="0.2">
      <c r="A229" s="318" t="s">
        <v>329</v>
      </c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  <c r="AA229" s="54"/>
      <c r="AB229" s="54"/>
      <c r="AC229" s="54"/>
    </row>
    <row r="230" spans="1:68" ht="16.5" hidden="1" customHeight="1" x14ac:dyDescent="0.25">
      <c r="A230" s="319" t="s">
        <v>330</v>
      </c>
      <c r="B230" s="319"/>
      <c r="C230" s="319"/>
      <c r="D230" s="319"/>
      <c r="E230" s="319"/>
      <c r="F230" s="319"/>
      <c r="G230" s="319"/>
      <c r="H230" s="319"/>
      <c r="I230" s="319"/>
      <c r="J230" s="319"/>
      <c r="K230" s="319"/>
      <c r="L230" s="319"/>
      <c r="M230" s="319"/>
      <c r="N230" s="319"/>
      <c r="O230" s="319"/>
      <c r="P230" s="319"/>
      <c r="Q230" s="319"/>
      <c r="R230" s="319"/>
      <c r="S230" s="319"/>
      <c r="T230" s="319"/>
      <c r="U230" s="319"/>
      <c r="V230" s="319"/>
      <c r="W230" s="319"/>
      <c r="X230" s="319"/>
      <c r="Y230" s="319"/>
      <c r="Z230" s="319"/>
      <c r="AA230" s="65"/>
      <c r="AB230" s="65"/>
      <c r="AC230" s="82"/>
    </row>
    <row r="231" spans="1:68" ht="14.25" hidden="1" customHeight="1" x14ac:dyDescent="0.25">
      <c r="A231" s="307" t="s">
        <v>331</v>
      </c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  <c r="AA231" s="66"/>
      <c r="AB231" s="66"/>
      <c r="AC231" s="83"/>
    </row>
    <row r="232" spans="1:68" ht="27" hidden="1" customHeight="1" x14ac:dyDescent="0.25">
      <c r="A232" s="63" t="s">
        <v>332</v>
      </c>
      <c r="B232" s="63" t="s">
        <v>333</v>
      </c>
      <c r="C232" s="36">
        <v>4301133004</v>
      </c>
      <c r="D232" s="289">
        <v>4607111039774</v>
      </c>
      <c r="E232" s="289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116</v>
      </c>
      <c r="L232" s="37" t="s">
        <v>86</v>
      </c>
      <c r="M232" s="38" t="s">
        <v>84</v>
      </c>
      <c r="N232" s="38"/>
      <c r="O232" s="37">
        <v>180</v>
      </c>
      <c r="P232" s="32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91"/>
      <c r="R232" s="291"/>
      <c r="S232" s="291"/>
      <c r="T232" s="292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45" t="s">
        <v>334</v>
      </c>
      <c r="AG232" s="81"/>
      <c r="AJ232" s="87" t="s">
        <v>87</v>
      </c>
      <c r="AK232" s="87">
        <v>1</v>
      </c>
      <c r="BB232" s="246" t="s">
        <v>115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7"/>
      <c r="P233" s="293" t="s">
        <v>40</v>
      </c>
      <c r="Q233" s="294"/>
      <c r="R233" s="294"/>
      <c r="S233" s="294"/>
      <c r="T233" s="294"/>
      <c r="U233" s="294"/>
      <c r="V233" s="295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hidden="1" x14ac:dyDescent="0.2">
      <c r="A234" s="296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297"/>
      <c r="P234" s="293" t="s">
        <v>40</v>
      </c>
      <c r="Q234" s="294"/>
      <c r="R234" s="294"/>
      <c r="S234" s="294"/>
      <c r="T234" s="294"/>
      <c r="U234" s="294"/>
      <c r="V234" s="295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hidden="1" customHeight="1" x14ac:dyDescent="0.25">
      <c r="A235" s="307" t="s">
        <v>147</v>
      </c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  <c r="AA235" s="66"/>
      <c r="AB235" s="66"/>
      <c r="AC235" s="83"/>
    </row>
    <row r="236" spans="1:68" ht="37.5" hidden="1" customHeight="1" x14ac:dyDescent="0.25">
      <c r="A236" s="63" t="s">
        <v>335</v>
      </c>
      <c r="B236" s="63" t="s">
        <v>336</v>
      </c>
      <c r="C236" s="36">
        <v>4301135400</v>
      </c>
      <c r="D236" s="289">
        <v>4607111039361</v>
      </c>
      <c r="E236" s="289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116</v>
      </c>
      <c r="L236" s="37" t="s">
        <v>86</v>
      </c>
      <c r="M236" s="38" t="s">
        <v>84</v>
      </c>
      <c r="N236" s="38"/>
      <c r="O236" s="37">
        <v>180</v>
      </c>
      <c r="P236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91"/>
      <c r="R236" s="291"/>
      <c r="S236" s="291"/>
      <c r="T236" s="292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334</v>
      </c>
      <c r="AG236" s="81"/>
      <c r="AJ236" s="87" t="s">
        <v>87</v>
      </c>
      <c r="AK236" s="87">
        <v>1</v>
      </c>
      <c r="BB236" s="248" t="s">
        <v>115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idden="1" x14ac:dyDescent="0.2">
      <c r="A237" s="296"/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7"/>
      <c r="P237" s="293" t="s">
        <v>40</v>
      </c>
      <c r="Q237" s="294"/>
      <c r="R237" s="294"/>
      <c r="S237" s="294"/>
      <c r="T237" s="294"/>
      <c r="U237" s="294"/>
      <c r="V237" s="295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296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7"/>
      <c r="P238" s="293" t="s">
        <v>40</v>
      </c>
      <c r="Q238" s="294"/>
      <c r="R238" s="294"/>
      <c r="S238" s="294"/>
      <c r="T238" s="294"/>
      <c r="U238" s="294"/>
      <c r="V238" s="295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hidden="1" customHeight="1" x14ac:dyDescent="0.2">
      <c r="A239" s="318" t="s">
        <v>337</v>
      </c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  <c r="AA239" s="54"/>
      <c r="AB239" s="54"/>
      <c r="AC239" s="54"/>
    </row>
    <row r="240" spans="1:68" ht="16.5" hidden="1" customHeight="1" x14ac:dyDescent="0.25">
      <c r="A240" s="319" t="s">
        <v>337</v>
      </c>
      <c r="B240" s="319"/>
      <c r="C240" s="319"/>
      <c r="D240" s="319"/>
      <c r="E240" s="319"/>
      <c r="F240" s="319"/>
      <c r="G240" s="319"/>
      <c r="H240" s="319"/>
      <c r="I240" s="319"/>
      <c r="J240" s="319"/>
      <c r="K240" s="319"/>
      <c r="L240" s="319"/>
      <c r="M240" s="319"/>
      <c r="N240" s="319"/>
      <c r="O240" s="319"/>
      <c r="P240" s="319"/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  <c r="AA240" s="65"/>
      <c r="AB240" s="65"/>
      <c r="AC240" s="82"/>
    </row>
    <row r="241" spans="1:68" ht="14.25" hidden="1" customHeight="1" x14ac:dyDescent="0.25">
      <c r="A241" s="307" t="s">
        <v>111</v>
      </c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  <c r="AA241" s="66"/>
      <c r="AB241" s="66"/>
      <c r="AC241" s="83"/>
    </row>
    <row r="242" spans="1:68" ht="27" hidden="1" customHeight="1" x14ac:dyDescent="0.25">
      <c r="A242" s="63" t="s">
        <v>338</v>
      </c>
      <c r="B242" s="63" t="s">
        <v>339</v>
      </c>
      <c r="C242" s="36">
        <v>4301132228</v>
      </c>
      <c r="D242" s="289">
        <v>4640242181950</v>
      </c>
      <c r="E242" s="289"/>
      <c r="F242" s="62">
        <v>0.23</v>
      </c>
      <c r="G242" s="37">
        <v>12</v>
      </c>
      <c r="H242" s="62">
        <v>2.76</v>
      </c>
      <c r="I242" s="62">
        <v>3.22</v>
      </c>
      <c r="J242" s="37">
        <v>70</v>
      </c>
      <c r="K242" s="37" t="s">
        <v>116</v>
      </c>
      <c r="L242" s="37" t="s">
        <v>86</v>
      </c>
      <c r="M242" s="38" t="s">
        <v>84</v>
      </c>
      <c r="N242" s="38"/>
      <c r="O242" s="37">
        <v>365</v>
      </c>
      <c r="P242" s="32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91"/>
      <c r="R242" s="291"/>
      <c r="S242" s="291"/>
      <c r="T242" s="292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49" t="s">
        <v>340</v>
      </c>
      <c r="AG242" s="81"/>
      <c r="AJ242" s="87" t="s">
        <v>87</v>
      </c>
      <c r="AK242" s="87">
        <v>1</v>
      </c>
      <c r="BB242" s="250" t="s">
        <v>115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7"/>
      <c r="P243" s="293" t="s">
        <v>40</v>
      </c>
      <c r="Q243" s="294"/>
      <c r="R243" s="294"/>
      <c r="S243" s="294"/>
      <c r="T243" s="294"/>
      <c r="U243" s="294"/>
      <c r="V243" s="295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296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297"/>
      <c r="P244" s="293" t="s">
        <v>40</v>
      </c>
      <c r="Q244" s="294"/>
      <c r="R244" s="294"/>
      <c r="S244" s="294"/>
      <c r="T244" s="294"/>
      <c r="U244" s="294"/>
      <c r="V244" s="295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hidden="1" customHeight="1" x14ac:dyDescent="0.25">
      <c r="A245" s="307" t="s">
        <v>143</v>
      </c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  <c r="AA245" s="66"/>
      <c r="AB245" s="66"/>
      <c r="AC245" s="83"/>
    </row>
    <row r="246" spans="1:68" ht="27" hidden="1" customHeight="1" x14ac:dyDescent="0.25">
      <c r="A246" s="63" t="s">
        <v>341</v>
      </c>
      <c r="B246" s="63" t="s">
        <v>342</v>
      </c>
      <c r="C246" s="36">
        <v>4301136098</v>
      </c>
      <c r="D246" s="289">
        <v>4640242181943</v>
      </c>
      <c r="E246" s="289"/>
      <c r="F246" s="62">
        <v>0.09</v>
      </c>
      <c r="G246" s="37">
        <v>24</v>
      </c>
      <c r="H246" s="62">
        <v>2.16</v>
      </c>
      <c r="I246" s="62">
        <v>2.34</v>
      </c>
      <c r="J246" s="37">
        <v>126</v>
      </c>
      <c r="K246" s="37" t="s">
        <v>116</v>
      </c>
      <c r="L246" s="37" t="s">
        <v>86</v>
      </c>
      <c r="M246" s="38" t="s">
        <v>84</v>
      </c>
      <c r="N246" s="38"/>
      <c r="O246" s="37">
        <v>180</v>
      </c>
      <c r="P246" s="31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91"/>
      <c r="R246" s="291"/>
      <c r="S246" s="291"/>
      <c r="T246" s="292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IFERROR(IF(X246="","",X246*0.00936),"")</f>
        <v>0</v>
      </c>
      <c r="AA246" s="68" t="s">
        <v>46</v>
      </c>
      <c r="AB246" s="69" t="s">
        <v>46</v>
      </c>
      <c r="AC246" s="251" t="s">
        <v>343</v>
      </c>
      <c r="AG246" s="81"/>
      <c r="AJ246" s="87" t="s">
        <v>87</v>
      </c>
      <c r="AK246" s="87">
        <v>1</v>
      </c>
      <c r="BB246" s="252" t="s">
        <v>115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idden="1" x14ac:dyDescent="0.2">
      <c r="A247" s="296"/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7"/>
      <c r="P247" s="293" t="s">
        <v>40</v>
      </c>
      <c r="Q247" s="294"/>
      <c r="R247" s="294"/>
      <c r="S247" s="294"/>
      <c r="T247" s="294"/>
      <c r="U247" s="294"/>
      <c r="V247" s="295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296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7"/>
      <c r="P248" s="293" t="s">
        <v>40</v>
      </c>
      <c r="Q248" s="294"/>
      <c r="R248" s="294"/>
      <c r="S248" s="294"/>
      <c r="T248" s="294"/>
      <c r="U248" s="294"/>
      <c r="V248" s="295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hidden="1" customHeight="1" x14ac:dyDescent="0.2">
      <c r="A249" s="318" t="s">
        <v>344</v>
      </c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  <c r="AA249" s="54"/>
      <c r="AB249" s="54"/>
      <c r="AC249" s="54"/>
    </row>
    <row r="250" spans="1:68" ht="16.5" hidden="1" customHeight="1" x14ac:dyDescent="0.25">
      <c r="A250" s="319" t="s">
        <v>344</v>
      </c>
      <c r="B250" s="319"/>
      <c r="C250" s="319"/>
      <c r="D250" s="319"/>
      <c r="E250" s="319"/>
      <c r="F250" s="319"/>
      <c r="G250" s="319"/>
      <c r="H250" s="319"/>
      <c r="I250" s="319"/>
      <c r="J250" s="319"/>
      <c r="K250" s="319"/>
      <c r="L250" s="319"/>
      <c r="M250" s="319"/>
      <c r="N250" s="319"/>
      <c r="O250" s="319"/>
      <c r="P250" s="319"/>
      <c r="Q250" s="319"/>
      <c r="R250" s="319"/>
      <c r="S250" s="319"/>
      <c r="T250" s="319"/>
      <c r="U250" s="319"/>
      <c r="V250" s="319"/>
      <c r="W250" s="319"/>
      <c r="X250" s="319"/>
      <c r="Y250" s="319"/>
      <c r="Z250" s="319"/>
      <c r="AA250" s="65"/>
      <c r="AB250" s="65"/>
      <c r="AC250" s="82"/>
    </row>
    <row r="251" spans="1:68" ht="14.25" hidden="1" customHeight="1" x14ac:dyDescent="0.25">
      <c r="A251" s="307" t="s">
        <v>80</v>
      </c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  <c r="AA251" s="66"/>
      <c r="AB251" s="66"/>
      <c r="AC251" s="83"/>
    </row>
    <row r="252" spans="1:68" ht="27" hidden="1" customHeight="1" x14ac:dyDescent="0.25">
      <c r="A252" s="63" t="s">
        <v>345</v>
      </c>
      <c r="B252" s="63" t="s">
        <v>346</v>
      </c>
      <c r="C252" s="36">
        <v>4301071014</v>
      </c>
      <c r="D252" s="289">
        <v>4640242181264</v>
      </c>
      <c r="E252" s="289"/>
      <c r="F252" s="62">
        <v>0.7</v>
      </c>
      <c r="G252" s="37">
        <v>10</v>
      </c>
      <c r="H252" s="62">
        <v>7</v>
      </c>
      <c r="I252" s="62">
        <v>7.28</v>
      </c>
      <c r="J252" s="37">
        <v>84</v>
      </c>
      <c r="K252" s="37" t="s">
        <v>85</v>
      </c>
      <c r="L252" s="37" t="s">
        <v>86</v>
      </c>
      <c r="M252" s="38" t="s">
        <v>84</v>
      </c>
      <c r="N252" s="38"/>
      <c r="O252" s="37">
        <v>180</v>
      </c>
      <c r="P252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91"/>
      <c r="R252" s="291"/>
      <c r="S252" s="291"/>
      <c r="T252" s="292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3" t="s">
        <v>347</v>
      </c>
      <c r="AG252" s="81"/>
      <c r="AJ252" s="87" t="s">
        <v>87</v>
      </c>
      <c r="AK252" s="87">
        <v>1</v>
      </c>
      <c r="BB252" s="254" t="s">
        <v>70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hidden="1" customHeight="1" x14ac:dyDescent="0.25">
      <c r="A253" s="63" t="s">
        <v>348</v>
      </c>
      <c r="B253" s="63" t="s">
        <v>349</v>
      </c>
      <c r="C253" s="36">
        <v>4301071141</v>
      </c>
      <c r="D253" s="289">
        <v>4620207491980</v>
      </c>
      <c r="E253" s="289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315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91"/>
      <c r="R253" s="291"/>
      <c r="S253" s="291"/>
      <c r="T253" s="292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296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297"/>
      <c r="P254" s="293" t="s">
        <v>40</v>
      </c>
      <c r="Q254" s="294"/>
      <c r="R254" s="294"/>
      <c r="S254" s="294"/>
      <c r="T254" s="294"/>
      <c r="U254" s="294"/>
      <c r="V254" s="295"/>
      <c r="W254" s="42" t="s">
        <v>39</v>
      </c>
      <c r="X254" s="43">
        <f>IFERROR(SUM(X252:X253),"0")</f>
        <v>0</v>
      </c>
      <c r="Y254" s="43">
        <f>IFERROR(SUM(Y252:Y253),"0")</f>
        <v>0</v>
      </c>
      <c r="Z254" s="43">
        <f>IFERROR(IF(Z252="",0,Z252),"0")+IFERROR(IF(Z253="",0,Z253),"0")</f>
        <v>0</v>
      </c>
      <c r="AA254" s="67"/>
      <c r="AB254" s="67"/>
      <c r="AC254" s="67"/>
    </row>
    <row r="255" spans="1:68" hidden="1" x14ac:dyDescent="0.2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7"/>
      <c r="P255" s="293" t="s">
        <v>40</v>
      </c>
      <c r="Q255" s="294"/>
      <c r="R255" s="294"/>
      <c r="S255" s="294"/>
      <c r="T255" s="294"/>
      <c r="U255" s="294"/>
      <c r="V255" s="295"/>
      <c r="W255" s="42" t="s">
        <v>0</v>
      </c>
      <c r="X255" s="43">
        <f>IFERROR(SUMPRODUCT(X252:X253*H252:H253),"0")</f>
        <v>0</v>
      </c>
      <c r="Y255" s="43">
        <f>IFERROR(SUMPRODUCT(Y252:Y253*H252:H253),"0")</f>
        <v>0</v>
      </c>
      <c r="Z255" s="42"/>
      <c r="AA255" s="67"/>
      <c r="AB255" s="67"/>
      <c r="AC255" s="67"/>
    </row>
    <row r="256" spans="1:68" ht="14.25" hidden="1" customHeight="1" x14ac:dyDescent="0.25">
      <c r="A256" s="307" t="s">
        <v>111</v>
      </c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  <c r="AA256" s="66"/>
      <c r="AB256" s="66"/>
      <c r="AC256" s="83"/>
    </row>
    <row r="257" spans="1:68" ht="27" customHeight="1" x14ac:dyDescent="0.25">
      <c r="A257" s="63" t="s">
        <v>351</v>
      </c>
      <c r="B257" s="63" t="s">
        <v>352</v>
      </c>
      <c r="C257" s="36">
        <v>4301132080</v>
      </c>
      <c r="D257" s="289">
        <v>4640242180397</v>
      </c>
      <c r="E257" s="289"/>
      <c r="F257" s="62">
        <v>1</v>
      </c>
      <c r="G257" s="37">
        <v>6</v>
      </c>
      <c r="H257" s="62">
        <v>6</v>
      </c>
      <c r="I257" s="62">
        <v>6.26</v>
      </c>
      <c r="J257" s="37">
        <v>84</v>
      </c>
      <c r="K257" s="37" t="s">
        <v>85</v>
      </c>
      <c r="L257" s="37" t="s">
        <v>117</v>
      </c>
      <c r="M257" s="38" t="s">
        <v>84</v>
      </c>
      <c r="N257" s="38"/>
      <c r="O257" s="37">
        <v>180</v>
      </c>
      <c r="P257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91"/>
      <c r="R257" s="291"/>
      <c r="S257" s="291"/>
      <c r="T257" s="292"/>
      <c r="U257" s="39" t="s">
        <v>46</v>
      </c>
      <c r="V257" s="39" t="s">
        <v>46</v>
      </c>
      <c r="W257" s="40" t="s">
        <v>39</v>
      </c>
      <c r="X257" s="58">
        <v>180</v>
      </c>
      <c r="Y257" s="55">
        <f>IFERROR(IF(X257="","",X257),"")</f>
        <v>180</v>
      </c>
      <c r="Z257" s="41">
        <f>IFERROR(IF(X257="","",X257*0.0155),"")</f>
        <v>2.79</v>
      </c>
      <c r="AA257" s="68" t="s">
        <v>46</v>
      </c>
      <c r="AB257" s="69" t="s">
        <v>46</v>
      </c>
      <c r="AC257" s="257" t="s">
        <v>353</v>
      </c>
      <c r="AG257" s="81"/>
      <c r="AJ257" s="87" t="s">
        <v>118</v>
      </c>
      <c r="AK257" s="87">
        <v>12</v>
      </c>
      <c r="BB257" s="258" t="s">
        <v>115</v>
      </c>
      <c r="BM257" s="81">
        <f>IFERROR(X257*I257,"0")</f>
        <v>1126.8</v>
      </c>
      <c r="BN257" s="81">
        <f>IFERROR(Y257*I257,"0")</f>
        <v>1126.8</v>
      </c>
      <c r="BO257" s="81">
        <f>IFERROR(X257/J257,"0")</f>
        <v>2.1428571428571428</v>
      </c>
      <c r="BP257" s="81">
        <f>IFERROR(Y257/J257,"0")</f>
        <v>2.1428571428571428</v>
      </c>
    </row>
    <row r="258" spans="1:68" x14ac:dyDescent="0.2">
      <c r="A258" s="296"/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7"/>
      <c r="P258" s="293" t="s">
        <v>40</v>
      </c>
      <c r="Q258" s="294"/>
      <c r="R258" s="294"/>
      <c r="S258" s="294"/>
      <c r="T258" s="294"/>
      <c r="U258" s="294"/>
      <c r="V258" s="295"/>
      <c r="W258" s="42" t="s">
        <v>39</v>
      </c>
      <c r="X258" s="43">
        <f>IFERROR(SUM(X257:X257),"0")</f>
        <v>180</v>
      </c>
      <c r="Y258" s="43">
        <f>IFERROR(SUM(Y257:Y257),"0")</f>
        <v>180</v>
      </c>
      <c r="Z258" s="43">
        <f>IFERROR(IF(Z257="",0,Z257),"0")</f>
        <v>2.79</v>
      </c>
      <c r="AA258" s="67"/>
      <c r="AB258" s="67"/>
      <c r="AC258" s="67"/>
    </row>
    <row r="259" spans="1:68" x14ac:dyDescent="0.2">
      <c r="A259" s="296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7"/>
      <c r="P259" s="293" t="s">
        <v>40</v>
      </c>
      <c r="Q259" s="294"/>
      <c r="R259" s="294"/>
      <c r="S259" s="294"/>
      <c r="T259" s="294"/>
      <c r="U259" s="294"/>
      <c r="V259" s="295"/>
      <c r="W259" s="42" t="s">
        <v>0</v>
      </c>
      <c r="X259" s="43">
        <f>IFERROR(SUMPRODUCT(X257:X257*H257:H257),"0")</f>
        <v>1080</v>
      </c>
      <c r="Y259" s="43">
        <f>IFERROR(SUMPRODUCT(Y257:Y257*H257:H257),"0")</f>
        <v>1080</v>
      </c>
      <c r="Z259" s="42"/>
      <c r="AA259" s="67"/>
      <c r="AB259" s="67"/>
      <c r="AC259" s="67"/>
    </row>
    <row r="260" spans="1:68" ht="14.25" hidden="1" customHeight="1" x14ac:dyDescent="0.25">
      <c r="A260" s="307" t="s">
        <v>143</v>
      </c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  <c r="AA260" s="66"/>
      <c r="AB260" s="66"/>
      <c r="AC260" s="83"/>
    </row>
    <row r="261" spans="1:68" ht="27" hidden="1" customHeight="1" x14ac:dyDescent="0.25">
      <c r="A261" s="63" t="s">
        <v>354</v>
      </c>
      <c r="B261" s="63" t="s">
        <v>355</v>
      </c>
      <c r="C261" s="36">
        <v>4301136051</v>
      </c>
      <c r="D261" s="289">
        <v>4640242180304</v>
      </c>
      <c r="E261" s="289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116</v>
      </c>
      <c r="L261" s="37" t="s">
        <v>117</v>
      </c>
      <c r="M261" s="38" t="s">
        <v>84</v>
      </c>
      <c r="N261" s="38"/>
      <c r="O261" s="37">
        <v>180</v>
      </c>
      <c r="P261" s="3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91"/>
      <c r="R261" s="291"/>
      <c r="S261" s="291"/>
      <c r="T261" s="292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356</v>
      </c>
      <c r="AG261" s="81"/>
      <c r="AJ261" s="87" t="s">
        <v>118</v>
      </c>
      <c r="AK261" s="87">
        <v>14</v>
      </c>
      <c r="BB261" s="260" t="s">
        <v>115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hidden="1" customHeight="1" x14ac:dyDescent="0.25">
      <c r="A262" s="63" t="s">
        <v>357</v>
      </c>
      <c r="B262" s="63" t="s">
        <v>358</v>
      </c>
      <c r="C262" s="36">
        <v>4301136053</v>
      </c>
      <c r="D262" s="289">
        <v>4640242180236</v>
      </c>
      <c r="E262" s="289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117</v>
      </c>
      <c r="M262" s="38" t="s">
        <v>84</v>
      </c>
      <c r="N262" s="38"/>
      <c r="O262" s="37">
        <v>180</v>
      </c>
      <c r="P262" s="31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91"/>
      <c r="R262" s="291"/>
      <c r="S262" s="291"/>
      <c r="T262" s="292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356</v>
      </c>
      <c r="AG262" s="81"/>
      <c r="AJ262" s="87" t="s">
        <v>118</v>
      </c>
      <c r="AK262" s="87">
        <v>12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359</v>
      </c>
      <c r="B263" s="63" t="s">
        <v>360</v>
      </c>
      <c r="C263" s="36">
        <v>4301136052</v>
      </c>
      <c r="D263" s="289">
        <v>4640242180410</v>
      </c>
      <c r="E263" s="289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116</v>
      </c>
      <c r="L263" s="37" t="s">
        <v>86</v>
      </c>
      <c r="M263" s="38" t="s">
        <v>84</v>
      </c>
      <c r="N263" s="38"/>
      <c r="O263" s="37">
        <v>180</v>
      </c>
      <c r="P263" s="31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91"/>
      <c r="R263" s="291"/>
      <c r="S263" s="291"/>
      <c r="T263" s="292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356</v>
      </c>
      <c r="AG263" s="81"/>
      <c r="AJ263" s="87" t="s">
        <v>87</v>
      </c>
      <c r="AK263" s="87">
        <v>1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296"/>
      <c r="B264" s="296"/>
      <c r="C264" s="296"/>
      <c r="D264" s="296"/>
      <c r="E264" s="296"/>
      <c r="F264" s="296"/>
      <c r="G264" s="296"/>
      <c r="H264" s="296"/>
      <c r="I264" s="296"/>
      <c r="J264" s="296"/>
      <c r="K264" s="296"/>
      <c r="L264" s="296"/>
      <c r="M264" s="296"/>
      <c r="N264" s="296"/>
      <c r="O264" s="297"/>
      <c r="P264" s="293" t="s">
        <v>40</v>
      </c>
      <c r="Q264" s="294"/>
      <c r="R264" s="294"/>
      <c r="S264" s="294"/>
      <c r="T264" s="294"/>
      <c r="U264" s="294"/>
      <c r="V264" s="295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hidden="1" x14ac:dyDescent="0.2">
      <c r="A265" s="296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7"/>
      <c r="P265" s="293" t="s">
        <v>40</v>
      </c>
      <c r="Q265" s="294"/>
      <c r="R265" s="294"/>
      <c r="S265" s="294"/>
      <c r="T265" s="294"/>
      <c r="U265" s="294"/>
      <c r="V265" s="295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hidden="1" customHeight="1" x14ac:dyDescent="0.25">
      <c r="A266" s="307" t="s">
        <v>147</v>
      </c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  <c r="AA266" s="66"/>
      <c r="AB266" s="66"/>
      <c r="AC266" s="83"/>
    </row>
    <row r="267" spans="1:68" ht="37.5" hidden="1" customHeight="1" x14ac:dyDescent="0.25">
      <c r="A267" s="63" t="s">
        <v>361</v>
      </c>
      <c r="B267" s="63" t="s">
        <v>362</v>
      </c>
      <c r="C267" s="36">
        <v>4301135504</v>
      </c>
      <c r="D267" s="289">
        <v>4640242181554</v>
      </c>
      <c r="E267" s="289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30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91"/>
      <c r="R267" s="291"/>
      <c r="S267" s="291"/>
      <c r="T267" s="292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5" t="s">
        <v>363</v>
      </c>
      <c r="AG267" s="81"/>
      <c r="AJ267" s="87" t="s">
        <v>118</v>
      </c>
      <c r="AK267" s="87">
        <v>14</v>
      </c>
      <c r="BB267" s="266" t="s">
        <v>115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27" customHeight="1" x14ac:dyDescent="0.25">
      <c r="A268" s="63" t="s">
        <v>364</v>
      </c>
      <c r="B268" s="63" t="s">
        <v>365</v>
      </c>
      <c r="C268" s="36">
        <v>4301137046</v>
      </c>
      <c r="D268" s="289">
        <v>4620207492093</v>
      </c>
      <c r="E268" s="289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116</v>
      </c>
      <c r="L268" s="37" t="s">
        <v>86</v>
      </c>
      <c r="M268" s="38" t="s">
        <v>84</v>
      </c>
      <c r="N268" s="38"/>
      <c r="O268" s="37">
        <v>180</v>
      </c>
      <c r="P268" s="309" t="s">
        <v>366</v>
      </c>
      <c r="Q268" s="291"/>
      <c r="R268" s="291"/>
      <c r="S268" s="291"/>
      <c r="T268" s="292"/>
      <c r="U268" s="39" t="s">
        <v>46</v>
      </c>
      <c r="V268" s="39" t="s">
        <v>46</v>
      </c>
      <c r="W268" s="40" t="s">
        <v>39</v>
      </c>
      <c r="X268" s="58">
        <v>406</v>
      </c>
      <c r="Y268" s="55">
        <f t="shared" si="18"/>
        <v>406</v>
      </c>
      <c r="Z268" s="41">
        <f>IFERROR(IF(X268="","",X268*0.00936),"")</f>
        <v>3.80016</v>
      </c>
      <c r="AA268" s="68" t="s">
        <v>46</v>
      </c>
      <c r="AB268" s="69" t="s">
        <v>46</v>
      </c>
      <c r="AC268" s="267" t="s">
        <v>367</v>
      </c>
      <c r="AG268" s="81"/>
      <c r="AJ268" s="87" t="s">
        <v>87</v>
      </c>
      <c r="AK268" s="87">
        <v>1</v>
      </c>
      <c r="BB268" s="268" t="s">
        <v>115</v>
      </c>
      <c r="BM268" s="81">
        <f t="shared" si="19"/>
        <v>1580.152</v>
      </c>
      <c r="BN268" s="81">
        <f t="shared" si="20"/>
        <v>1580.152</v>
      </c>
      <c r="BO268" s="81">
        <f t="shared" si="21"/>
        <v>3.2222222222222223</v>
      </c>
      <c r="BP268" s="81">
        <f t="shared" si="22"/>
        <v>3.2222222222222223</v>
      </c>
    </row>
    <row r="269" spans="1:68" ht="27" customHeight="1" x14ac:dyDescent="0.25">
      <c r="A269" s="63" t="s">
        <v>368</v>
      </c>
      <c r="B269" s="63" t="s">
        <v>369</v>
      </c>
      <c r="C269" s="36">
        <v>4301135374</v>
      </c>
      <c r="D269" s="289">
        <v>4640242181424</v>
      </c>
      <c r="E269" s="289"/>
      <c r="F269" s="62">
        <v>5.5</v>
      </c>
      <c r="G269" s="37">
        <v>1</v>
      </c>
      <c r="H269" s="62">
        <v>5.5</v>
      </c>
      <c r="I269" s="62">
        <v>5.7350000000000003</v>
      </c>
      <c r="J269" s="37">
        <v>84</v>
      </c>
      <c r="K269" s="37" t="s">
        <v>85</v>
      </c>
      <c r="L269" s="37" t="s">
        <v>117</v>
      </c>
      <c r="M269" s="38" t="s">
        <v>84</v>
      </c>
      <c r="N269" s="38"/>
      <c r="O269" s="37">
        <v>180</v>
      </c>
      <c r="P269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91"/>
      <c r="R269" s="291"/>
      <c r="S269" s="291"/>
      <c r="T269" s="292"/>
      <c r="U269" s="39" t="s">
        <v>46</v>
      </c>
      <c r="V269" s="39" t="s">
        <v>46</v>
      </c>
      <c r="W269" s="40" t="s">
        <v>39</v>
      </c>
      <c r="X269" s="58">
        <v>216</v>
      </c>
      <c r="Y269" s="55">
        <f t="shared" si="18"/>
        <v>216</v>
      </c>
      <c r="Z269" s="41">
        <f>IFERROR(IF(X269="","",X269*0.0155),"")</f>
        <v>3.3479999999999999</v>
      </c>
      <c r="AA269" s="68" t="s">
        <v>46</v>
      </c>
      <c r="AB269" s="69" t="s">
        <v>46</v>
      </c>
      <c r="AC269" s="269" t="s">
        <v>363</v>
      </c>
      <c r="AG269" s="81"/>
      <c r="AJ269" s="87" t="s">
        <v>118</v>
      </c>
      <c r="AK269" s="87">
        <v>12</v>
      </c>
      <c r="BB269" s="270" t="s">
        <v>115</v>
      </c>
      <c r="BM269" s="81">
        <f t="shared" si="19"/>
        <v>1238.76</v>
      </c>
      <c r="BN269" s="81">
        <f t="shared" si="20"/>
        <v>1238.76</v>
      </c>
      <c r="BO269" s="81">
        <f t="shared" si="21"/>
        <v>2.5714285714285716</v>
      </c>
      <c r="BP269" s="81">
        <f t="shared" si="22"/>
        <v>2.5714285714285716</v>
      </c>
    </row>
    <row r="270" spans="1:68" ht="27" customHeight="1" x14ac:dyDescent="0.25">
      <c r="A270" s="63" t="s">
        <v>370</v>
      </c>
      <c r="B270" s="63" t="s">
        <v>371</v>
      </c>
      <c r="C270" s="36">
        <v>4301135405</v>
      </c>
      <c r="D270" s="289">
        <v>4640242181523</v>
      </c>
      <c r="E270" s="289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116</v>
      </c>
      <c r="L270" s="37" t="s">
        <v>117</v>
      </c>
      <c r="M270" s="38" t="s">
        <v>84</v>
      </c>
      <c r="N270" s="38"/>
      <c r="O270" s="37">
        <v>180</v>
      </c>
      <c r="P270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91"/>
      <c r="R270" s="291"/>
      <c r="S270" s="291"/>
      <c r="T270" s="292"/>
      <c r="U270" s="39" t="s">
        <v>46</v>
      </c>
      <c r="V270" s="39" t="s">
        <v>46</v>
      </c>
      <c r="W270" s="40" t="s">
        <v>39</v>
      </c>
      <c r="X270" s="58">
        <v>70</v>
      </c>
      <c r="Y270" s="55">
        <f t="shared" si="18"/>
        <v>70</v>
      </c>
      <c r="Z270" s="41">
        <f t="shared" ref="Z270:Z276" si="23">IFERROR(IF(X270="","",X270*0.00936),"")</f>
        <v>0.6552</v>
      </c>
      <c r="AA270" s="68" t="s">
        <v>46</v>
      </c>
      <c r="AB270" s="69" t="s">
        <v>46</v>
      </c>
      <c r="AC270" s="271" t="s">
        <v>372</v>
      </c>
      <c r="AG270" s="81"/>
      <c r="AJ270" s="87" t="s">
        <v>118</v>
      </c>
      <c r="AK270" s="87">
        <v>14</v>
      </c>
      <c r="BB270" s="272" t="s">
        <v>115</v>
      </c>
      <c r="BM270" s="81">
        <f t="shared" si="19"/>
        <v>223.44</v>
      </c>
      <c r="BN270" s="81">
        <f t="shared" si="20"/>
        <v>223.44</v>
      </c>
      <c r="BO270" s="81">
        <f t="shared" si="21"/>
        <v>0.55555555555555558</v>
      </c>
      <c r="BP270" s="81">
        <f t="shared" si="22"/>
        <v>0.55555555555555558</v>
      </c>
    </row>
    <row r="271" spans="1:68" ht="27" customHeight="1" x14ac:dyDescent="0.25">
      <c r="A271" s="63" t="s">
        <v>373</v>
      </c>
      <c r="B271" s="63" t="s">
        <v>374</v>
      </c>
      <c r="C271" s="36">
        <v>4301135375</v>
      </c>
      <c r="D271" s="289">
        <v>4640242181486</v>
      </c>
      <c r="E271" s="289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30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91"/>
      <c r="R271" s="291"/>
      <c r="S271" s="291"/>
      <c r="T271" s="292"/>
      <c r="U271" s="39" t="s">
        <v>46</v>
      </c>
      <c r="V271" s="39" t="s">
        <v>46</v>
      </c>
      <c r="W271" s="40" t="s">
        <v>39</v>
      </c>
      <c r="X271" s="58">
        <v>504</v>
      </c>
      <c r="Y271" s="55">
        <f t="shared" si="18"/>
        <v>504</v>
      </c>
      <c r="Z271" s="41">
        <f t="shared" si="23"/>
        <v>4.7174399999999999</v>
      </c>
      <c r="AA271" s="68" t="s">
        <v>46</v>
      </c>
      <c r="AB271" s="69" t="s">
        <v>46</v>
      </c>
      <c r="AC271" s="273" t="s">
        <v>363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1961.568</v>
      </c>
      <c r="BN271" s="81">
        <f t="shared" si="20"/>
        <v>1961.568</v>
      </c>
      <c r="BO271" s="81">
        <f t="shared" si="21"/>
        <v>4</v>
      </c>
      <c r="BP271" s="81">
        <f t="shared" si="22"/>
        <v>4</v>
      </c>
    </row>
    <row r="272" spans="1:68" ht="37.5" customHeight="1" x14ac:dyDescent="0.25">
      <c r="A272" s="63" t="s">
        <v>375</v>
      </c>
      <c r="B272" s="63" t="s">
        <v>376</v>
      </c>
      <c r="C272" s="36">
        <v>4301135402</v>
      </c>
      <c r="D272" s="289">
        <v>4640242181493</v>
      </c>
      <c r="E272" s="289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30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91"/>
      <c r="R272" s="291"/>
      <c r="S272" s="291"/>
      <c r="T272" s="292"/>
      <c r="U272" s="39" t="s">
        <v>46</v>
      </c>
      <c r="V272" s="39" t="s">
        <v>46</v>
      </c>
      <c r="W272" s="40" t="s">
        <v>39</v>
      </c>
      <c r="X272" s="58">
        <v>28</v>
      </c>
      <c r="Y272" s="55">
        <f t="shared" si="18"/>
        <v>28</v>
      </c>
      <c r="Z272" s="41">
        <f t="shared" si="23"/>
        <v>0.26207999999999998</v>
      </c>
      <c r="AA272" s="68" t="s">
        <v>46</v>
      </c>
      <c r="AB272" s="69" t="s">
        <v>46</v>
      </c>
      <c r="AC272" s="275" t="s">
        <v>363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108.976</v>
      </c>
      <c r="BN272" s="81">
        <f t="shared" si="20"/>
        <v>108.976</v>
      </c>
      <c r="BO272" s="81">
        <f t="shared" si="21"/>
        <v>0.22222222222222221</v>
      </c>
      <c r="BP272" s="81">
        <f t="shared" si="22"/>
        <v>0.22222222222222221</v>
      </c>
    </row>
    <row r="273" spans="1:68" ht="37.5" hidden="1" customHeight="1" x14ac:dyDescent="0.25">
      <c r="A273" s="63" t="s">
        <v>377</v>
      </c>
      <c r="B273" s="63" t="s">
        <v>378</v>
      </c>
      <c r="C273" s="36">
        <v>4301135403</v>
      </c>
      <c r="D273" s="289">
        <v>4640242181509</v>
      </c>
      <c r="E273" s="28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30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91"/>
      <c r="R273" s="291"/>
      <c r="S273" s="291"/>
      <c r="T273" s="29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363</v>
      </c>
      <c r="AG273" s="81"/>
      <c r="AJ273" s="87" t="s">
        <v>87</v>
      </c>
      <c r="AK273" s="87">
        <v>1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4301135304</v>
      </c>
      <c r="D274" s="289">
        <v>4640242181240</v>
      </c>
      <c r="E274" s="289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116</v>
      </c>
      <c r="L274" s="37" t="s">
        <v>117</v>
      </c>
      <c r="M274" s="38" t="s">
        <v>84</v>
      </c>
      <c r="N274" s="38"/>
      <c r="O274" s="37">
        <v>180</v>
      </c>
      <c r="P274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91"/>
      <c r="R274" s="291"/>
      <c r="S274" s="291"/>
      <c r="T274" s="29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363</v>
      </c>
      <c r="AG274" s="81"/>
      <c r="AJ274" s="87" t="s">
        <v>118</v>
      </c>
      <c r="AK274" s="87">
        <v>14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381</v>
      </c>
      <c r="B275" s="63" t="s">
        <v>382</v>
      </c>
      <c r="C275" s="36">
        <v>4301135610</v>
      </c>
      <c r="D275" s="289">
        <v>4640242181318</v>
      </c>
      <c r="E275" s="289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91"/>
      <c r="R275" s="291"/>
      <c r="S275" s="291"/>
      <c r="T275" s="29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372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383</v>
      </c>
      <c r="B276" s="63" t="s">
        <v>384</v>
      </c>
      <c r="C276" s="36">
        <v>4301137012</v>
      </c>
      <c r="D276" s="289">
        <v>4620207491935</v>
      </c>
      <c r="E276" s="289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116</v>
      </c>
      <c r="L276" s="37" t="s">
        <v>86</v>
      </c>
      <c r="M276" s="38" t="s">
        <v>84</v>
      </c>
      <c r="N276" s="38"/>
      <c r="O276" s="37">
        <v>180</v>
      </c>
      <c r="P276" s="290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91"/>
      <c r="R276" s="291"/>
      <c r="S276" s="291"/>
      <c r="T276" s="29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385</v>
      </c>
      <c r="AG276" s="81"/>
      <c r="AJ276" s="87" t="s">
        <v>87</v>
      </c>
      <c r="AK276" s="87">
        <v>1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x14ac:dyDescent="0.2">
      <c r="A277" s="296"/>
      <c r="B277" s="296"/>
      <c r="C277" s="296"/>
      <c r="D277" s="296"/>
      <c r="E277" s="296"/>
      <c r="F277" s="296"/>
      <c r="G277" s="296"/>
      <c r="H277" s="296"/>
      <c r="I277" s="296"/>
      <c r="J277" s="296"/>
      <c r="K277" s="296"/>
      <c r="L277" s="296"/>
      <c r="M277" s="296"/>
      <c r="N277" s="296"/>
      <c r="O277" s="297"/>
      <c r="P277" s="293" t="s">
        <v>40</v>
      </c>
      <c r="Q277" s="294"/>
      <c r="R277" s="294"/>
      <c r="S277" s="294"/>
      <c r="T277" s="294"/>
      <c r="U277" s="294"/>
      <c r="V277" s="295"/>
      <c r="W277" s="42" t="s">
        <v>39</v>
      </c>
      <c r="X277" s="43">
        <f>IFERROR(SUM(X267:X276),"0")</f>
        <v>1224</v>
      </c>
      <c r="Y277" s="43">
        <f>IFERROR(SUM(Y267:Y276),"0")</f>
        <v>1224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12.782879999999999</v>
      </c>
      <c r="AA277" s="67"/>
      <c r="AB277" s="67"/>
      <c r="AC277" s="67"/>
    </row>
    <row r="278" spans="1:68" x14ac:dyDescent="0.2">
      <c r="A278" s="296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7"/>
      <c r="P278" s="293" t="s">
        <v>40</v>
      </c>
      <c r="Q278" s="294"/>
      <c r="R278" s="294"/>
      <c r="S278" s="294"/>
      <c r="T278" s="294"/>
      <c r="U278" s="294"/>
      <c r="V278" s="295"/>
      <c r="W278" s="42" t="s">
        <v>0</v>
      </c>
      <c r="X278" s="43">
        <f>IFERROR(SUMPRODUCT(X267:X276*H267:H276),"0")</f>
        <v>4868.6000000000004</v>
      </c>
      <c r="Y278" s="43">
        <f>IFERROR(SUMPRODUCT(Y267:Y276*H267:H276),"0")</f>
        <v>4868.6000000000004</v>
      </c>
      <c r="Z278" s="42"/>
      <c r="AA278" s="67"/>
      <c r="AB278" s="67"/>
      <c r="AC278" s="67"/>
    </row>
    <row r="279" spans="1:68" ht="15" customHeight="1" x14ac:dyDescent="0.2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301"/>
      <c r="P279" s="298" t="s">
        <v>33</v>
      </c>
      <c r="Q279" s="299"/>
      <c r="R279" s="299"/>
      <c r="S279" s="299"/>
      <c r="T279" s="299"/>
      <c r="U279" s="299"/>
      <c r="V279" s="300"/>
      <c r="W279" s="42" t="s">
        <v>0</v>
      </c>
      <c r="X279" s="43">
        <f>IFERROR(X31+X37+X44+X50+X58+X63+X67+X73+X79+X84+X90+X100+X106+X117+X121+X125+X133+X139+X145+X152+X158+X163+X168+X173+X180+X185+X194+X200+X206+X212+X217+X222+X228+X234+X238+X244+X248+X255+X259+X265+X278,"0")</f>
        <v>11419.76</v>
      </c>
      <c r="Y279" s="43">
        <f>IFERROR(Y31+Y37+Y44+Y50+Y58+Y63+Y67+Y73+Y79+Y84+Y90+Y100+Y106+Y117+Y121+Y125+Y133+Y139+Y145+Y152+Y158+Y163+Y168+Y173+Y180+Y185+Y194+Y200+Y206+Y212+Y217+Y222+Y228+Y234+Y238+Y244+Y248+Y255+Y259+Y265+Y278,"0")</f>
        <v>11419.76</v>
      </c>
      <c r="Z279" s="42"/>
      <c r="AA279" s="67"/>
      <c r="AB279" s="67"/>
      <c r="AC279" s="67"/>
    </row>
    <row r="280" spans="1:68" x14ac:dyDescent="0.2">
      <c r="A280" s="296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01"/>
      <c r="P280" s="298" t="s">
        <v>34</v>
      </c>
      <c r="Q280" s="299"/>
      <c r="R280" s="299"/>
      <c r="S280" s="299"/>
      <c r="T280" s="299"/>
      <c r="U280" s="299"/>
      <c r="V280" s="300"/>
      <c r="W280" s="42" t="s">
        <v>0</v>
      </c>
      <c r="X280" s="43">
        <f>IFERROR(SUM(BM22:BM276),"0")</f>
        <v>12591.7348</v>
      </c>
      <c r="Y280" s="43">
        <f>IFERROR(SUM(BN22:BN276),"0")</f>
        <v>12591.7348</v>
      </c>
      <c r="Z280" s="42"/>
      <c r="AA280" s="67"/>
      <c r="AB280" s="67"/>
      <c r="AC280" s="67"/>
    </row>
    <row r="281" spans="1:68" x14ac:dyDescent="0.2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01"/>
      <c r="P281" s="298" t="s">
        <v>35</v>
      </c>
      <c r="Q281" s="299"/>
      <c r="R281" s="299"/>
      <c r="S281" s="299"/>
      <c r="T281" s="299"/>
      <c r="U281" s="299"/>
      <c r="V281" s="300"/>
      <c r="W281" s="42" t="s">
        <v>20</v>
      </c>
      <c r="X281" s="44">
        <f>ROUNDUP(SUM(BO22:BO276),0)</f>
        <v>34</v>
      </c>
      <c r="Y281" s="44">
        <f>ROUNDUP(SUM(BP22:BP276),0)</f>
        <v>34</v>
      </c>
      <c r="Z281" s="42"/>
      <c r="AA281" s="67"/>
      <c r="AB281" s="67"/>
      <c r="AC281" s="67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01"/>
      <c r="P282" s="298" t="s">
        <v>36</v>
      </c>
      <c r="Q282" s="299"/>
      <c r="R282" s="299"/>
      <c r="S282" s="299"/>
      <c r="T282" s="299"/>
      <c r="U282" s="299"/>
      <c r="V282" s="300"/>
      <c r="W282" s="42" t="s">
        <v>0</v>
      </c>
      <c r="X282" s="43">
        <f>GrossWeightTotal+PalletQtyTotal*25</f>
        <v>13441.7348</v>
      </c>
      <c r="Y282" s="43">
        <f>GrossWeightTotalR+PalletQtyTotalR*25</f>
        <v>13441.7348</v>
      </c>
      <c r="Z282" s="42"/>
      <c r="AA282" s="67"/>
      <c r="AB282" s="67"/>
      <c r="AC282" s="67"/>
    </row>
    <row r="283" spans="1:68" x14ac:dyDescent="0.2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01"/>
      <c r="P283" s="298" t="s">
        <v>37</v>
      </c>
      <c r="Q283" s="299"/>
      <c r="R283" s="299"/>
      <c r="S283" s="299"/>
      <c r="T283" s="299"/>
      <c r="U283" s="299"/>
      <c r="V283" s="300"/>
      <c r="W283" s="42" t="s">
        <v>20</v>
      </c>
      <c r="X283" s="43">
        <f>IFERROR(X30+X36+X43+X49+X57+X62+X66+X72+X78+X83+X89+X99+X105+X116+X120+X124+X132+X138+X144+X151+X157+X162+X167+X172+X179+X184+X193+X199+X205+X211+X216+X221+X227+X233+X237+X243+X247+X254+X258+X264+X277,"0")</f>
        <v>3164</v>
      </c>
      <c r="Y283" s="43">
        <f>IFERROR(Y30+Y36+Y43+Y49+Y57+Y62+Y66+Y72+Y78+Y83+Y89+Y99+Y105+Y116+Y120+Y124+Y132+Y138+Y144+Y151+Y157+Y162+Y167+Y172+Y179+Y184+Y193+Y199+Y205+Y211+Y216+Y221+Y227+Y233+Y237+Y243+Y247+Y254+Y258+Y264+Y277,"0")</f>
        <v>3164</v>
      </c>
      <c r="Z283" s="42"/>
      <c r="AA283" s="67"/>
      <c r="AB283" s="67"/>
      <c r="AC283" s="67"/>
    </row>
    <row r="284" spans="1:68" ht="14.25" hidden="1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01"/>
      <c r="P284" s="298" t="s">
        <v>38</v>
      </c>
      <c r="Q284" s="299"/>
      <c r="R284" s="299"/>
      <c r="S284" s="299"/>
      <c r="T284" s="299"/>
      <c r="U284" s="299"/>
      <c r="V284" s="300"/>
      <c r="W284" s="45" t="s">
        <v>52</v>
      </c>
      <c r="X284" s="42"/>
      <c r="Y284" s="42"/>
      <c r="Z284" s="42">
        <f>IFERROR(Z30+Z36+Z43+Z49+Z57+Z62+Z66+Z72+Z78+Z83+Z89+Z99+Z105+Z116+Z120+Z124+Z132+Z138+Z144+Z151+Z157+Z162+Z167+Z172+Z179+Z184+Z193+Z199+Z205+Z211+Z216+Z221+Z227+Z233+Z237+Z243+Z247+Z254+Z258+Z264+Z277,"0")</f>
        <v>41.498159999999999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285" t="s">
        <v>79</v>
      </c>
      <c r="C286" s="285" t="s">
        <v>79</v>
      </c>
      <c r="D286" s="285" t="s">
        <v>45</v>
      </c>
      <c r="E286" s="285" t="s">
        <v>45</v>
      </c>
      <c r="F286" s="285" t="s">
        <v>45</v>
      </c>
      <c r="G286" s="285" t="s">
        <v>45</v>
      </c>
      <c r="H286" s="285" t="s">
        <v>45</v>
      </c>
      <c r="I286" s="285" t="s">
        <v>45</v>
      </c>
      <c r="J286" s="285" t="s">
        <v>45</v>
      </c>
      <c r="K286" s="285" t="s">
        <v>45</v>
      </c>
      <c r="L286" s="285" t="s">
        <v>45</v>
      </c>
      <c r="M286" s="285" t="s">
        <v>45</v>
      </c>
      <c r="N286" s="286"/>
      <c r="O286" s="285" t="s">
        <v>45</v>
      </c>
      <c r="P286" s="285" t="s">
        <v>45</v>
      </c>
      <c r="Q286" s="285" t="s">
        <v>45</v>
      </c>
      <c r="R286" s="285" t="s">
        <v>45</v>
      </c>
      <c r="S286" s="285" t="s">
        <v>45</v>
      </c>
      <c r="T286" s="285" t="s">
        <v>45</v>
      </c>
      <c r="U286" s="285" t="s">
        <v>45</v>
      </c>
      <c r="V286" s="285" t="s">
        <v>270</v>
      </c>
      <c r="W286" s="285" t="s">
        <v>270</v>
      </c>
      <c r="X286" s="88" t="s">
        <v>281</v>
      </c>
      <c r="Y286" s="285" t="s">
        <v>295</v>
      </c>
      <c r="Z286" s="285" t="s">
        <v>295</v>
      </c>
      <c r="AA286" s="285" t="s">
        <v>295</v>
      </c>
      <c r="AB286" s="285" t="s">
        <v>295</v>
      </c>
      <c r="AC286" s="88" t="s">
        <v>324</v>
      </c>
      <c r="AD286" s="88" t="s">
        <v>329</v>
      </c>
      <c r="AE286" s="88" t="s">
        <v>337</v>
      </c>
      <c r="AF286" s="88" t="s">
        <v>344</v>
      </c>
    </row>
    <row r="287" spans="1:68" ht="14.25" customHeight="1" thickTop="1" x14ac:dyDescent="0.2">
      <c r="A287" s="287" t="s">
        <v>10</v>
      </c>
      <c r="B287" s="285" t="s">
        <v>79</v>
      </c>
      <c r="C287" s="285" t="s">
        <v>104</v>
      </c>
      <c r="D287" s="285" t="s">
        <v>110</v>
      </c>
      <c r="E287" s="285" t="s">
        <v>121</v>
      </c>
      <c r="F287" s="285" t="s">
        <v>128</v>
      </c>
      <c r="G287" s="285" t="s">
        <v>139</v>
      </c>
      <c r="H287" s="285" t="s">
        <v>155</v>
      </c>
      <c r="I287" s="285" t="s">
        <v>162</v>
      </c>
      <c r="J287" s="285" t="s">
        <v>166</v>
      </c>
      <c r="K287" s="285" t="s">
        <v>174</v>
      </c>
      <c r="L287" s="285" t="s">
        <v>189</v>
      </c>
      <c r="M287" s="285" t="s">
        <v>195</v>
      </c>
      <c r="N287" s="1"/>
      <c r="O287" s="285" t="s">
        <v>220</v>
      </c>
      <c r="P287" s="285" t="s">
        <v>238</v>
      </c>
      <c r="Q287" s="285" t="s">
        <v>244</v>
      </c>
      <c r="R287" s="285" t="s">
        <v>253</v>
      </c>
      <c r="S287" s="285" t="s">
        <v>259</v>
      </c>
      <c r="T287" s="285" t="s">
        <v>263</v>
      </c>
      <c r="U287" s="285" t="s">
        <v>266</v>
      </c>
      <c r="V287" s="285" t="s">
        <v>271</v>
      </c>
      <c r="W287" s="285" t="s">
        <v>278</v>
      </c>
      <c r="X287" s="285" t="s">
        <v>282</v>
      </c>
      <c r="Y287" s="285" t="s">
        <v>296</v>
      </c>
      <c r="Z287" s="285" t="s">
        <v>309</v>
      </c>
      <c r="AA287" s="285" t="s">
        <v>316</v>
      </c>
      <c r="AB287" s="285" t="s">
        <v>320</v>
      </c>
      <c r="AC287" s="285" t="s">
        <v>325</v>
      </c>
      <c r="AD287" s="285" t="s">
        <v>330</v>
      </c>
      <c r="AE287" s="285" t="s">
        <v>337</v>
      </c>
      <c r="AF287" s="285" t="s">
        <v>344</v>
      </c>
    </row>
    <row r="288" spans="1:68" ht="13.5" thickBot="1" x14ac:dyDescent="0.25">
      <c r="A288" s="288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1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5"/>
      <c r="AD288" s="285"/>
      <c r="AE288" s="285"/>
      <c r="AF288" s="285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</f>
        <v>0</v>
      </c>
      <c r="C289" s="52">
        <f>IFERROR(X34*H34,"0")+IFERROR(X35*H35,"0")</f>
        <v>0</v>
      </c>
      <c r="D289" s="52">
        <f>IFERROR(X41*H41,"0")+IFERROR(X42*H42,"0")</f>
        <v>168</v>
      </c>
      <c r="E289" s="52">
        <f>IFERROR(X47*H47,"0")+IFERROR(X48*H48,"0")</f>
        <v>201.59999999999997</v>
      </c>
      <c r="F289" s="52">
        <f>IFERROR(X53*H53,"0")+IFERROR(X54*H54,"0")+IFERROR(X55*H55,"0")+IFERROR(X56*H56,"0")</f>
        <v>328.8</v>
      </c>
      <c r="G289" s="52">
        <f>IFERROR(X61*H61,"0")+IFERROR(X65*H65,"0")+IFERROR(X69*H69,"0")+IFERROR(X70*H70,"0")+IFERROR(X71*H71,"0")</f>
        <v>0</v>
      </c>
      <c r="H289" s="52">
        <f>IFERROR(X76*H76,"0")+IFERROR(X77*H77,"0")</f>
        <v>631.80000000000007</v>
      </c>
      <c r="I289" s="52">
        <f>IFERROR(X82*H82,"0")</f>
        <v>151.20000000000002</v>
      </c>
      <c r="J289" s="52">
        <f>IFERROR(X87*H87,"0")+IFERROR(X88*H88,"0")</f>
        <v>403.20000000000005</v>
      </c>
      <c r="K289" s="52">
        <f>IFERROR(X93*H93,"0")+IFERROR(X94*H94,"0")+IFERROR(X95*H95,"0")+IFERROR(X96*H96,"0")+IFERROR(X97*H97,"0")+IFERROR(X98*H98,"0")</f>
        <v>811.43999999999994</v>
      </c>
      <c r="L289" s="52">
        <f>IFERROR(X103*H103,"0")+IFERROR(X104*H104,"0")</f>
        <v>0</v>
      </c>
      <c r="M289" s="52">
        <f>IFERROR(X109*H109,"0")+IFERROR(X110*H110,"0")+IFERROR(X111*H111,"0")+IFERROR(X112*H112,"0")+IFERROR(X113*H113,"0")+IFERROR(X114*H114,"0")+IFERROR(X115*H115,"0")+IFERROR(X119*H119,"0")+IFERROR(X123*H123,"0")</f>
        <v>596.16000000000008</v>
      </c>
      <c r="N289" s="1"/>
      <c r="O289" s="52">
        <f>IFERROR(X128*H128,"0")+IFERROR(X129*H129,"0")+IFERROR(X130*H130,"0")+IFERROR(X131*H131,"0")+IFERROR(X135*H135,"0")+IFERROR(X136*H136,"0")+IFERROR(X137*H137,"0")</f>
        <v>57.12</v>
      </c>
      <c r="P289" s="52">
        <f>IFERROR(X142*H142,"0")+IFERROR(X143*H143,"0")</f>
        <v>1008</v>
      </c>
      <c r="Q289" s="52">
        <f>IFERROR(X148*H148,"0")+IFERROR(X149*H149,"0")+IFERROR(X150*H150,"0")</f>
        <v>336</v>
      </c>
      <c r="R289" s="52">
        <f>IFERROR(X155*H155,"0")+IFERROR(X156*H156,"0")</f>
        <v>235.2</v>
      </c>
      <c r="S289" s="52">
        <f>IFERROR(X161*H161,"0")</f>
        <v>84</v>
      </c>
      <c r="T289" s="52">
        <f>IFERROR(X166*H166,"0")</f>
        <v>0</v>
      </c>
      <c r="U289" s="52">
        <f>IFERROR(X171*H171,"0")</f>
        <v>164.64</v>
      </c>
      <c r="V289" s="52">
        <f>IFERROR(X177*H177,"0")+IFERROR(X178*H178,"0")</f>
        <v>0</v>
      </c>
      <c r="W289" s="52">
        <f>IFERROR(X183*H183,"0")</f>
        <v>0</v>
      </c>
      <c r="X289" s="52">
        <f>IFERROR(X189*H189,"0")+IFERROR(X190*H190,"0")+IFERROR(X191*H191,"0")+IFERROR(X192*H192,"0")</f>
        <v>294</v>
      </c>
      <c r="Y289" s="52">
        <f>IFERROR(X198*H198,"0")+IFERROR(X202*H202,"0")+IFERROR(X203*H203,"0")+IFERROR(X204*H204,"0")</f>
        <v>0</v>
      </c>
      <c r="Z289" s="52">
        <f>IFERROR(X209*H209,"0")+IFERROR(X210*H210,"0")</f>
        <v>0</v>
      </c>
      <c r="AA289" s="52">
        <f>IFERROR(X215*H215,"0")</f>
        <v>0</v>
      </c>
      <c r="AB289" s="52">
        <f>IFERROR(X220*H220,"0")</f>
        <v>0</v>
      </c>
      <c r="AC289" s="52">
        <f>IFERROR(X226*H226,"0")</f>
        <v>0</v>
      </c>
      <c r="AD289" s="52">
        <f>IFERROR(X232*H232,"0")+IFERROR(X236*H236,"0")</f>
        <v>0</v>
      </c>
      <c r="AE289" s="52">
        <f>IFERROR(X242*H242,"0")+IFERROR(X246*H246,"0")</f>
        <v>0</v>
      </c>
      <c r="AF289" s="52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5948.6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1721.4</v>
      </c>
      <c r="B292" s="72">
        <f>SUMPRODUCT(--(BB:BB="ПГП"),--(W:W="кор"),H:H,Y:Y)+SUMPRODUCT(--(BB:BB="ПГП"),--(W:W="кг"),Y:Y)</f>
        <v>9698.36</v>
      </c>
      <c r="C292" s="72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80,00"/>
        <filter val="1 224,00"/>
        <filter val="11 419,76"/>
        <filter val="112,00"/>
        <filter val="12 591,73"/>
        <filter val="12,00"/>
        <filter val="13 441,73"/>
        <filter val="14,00"/>
        <filter val="140,00"/>
        <filter val="151,20"/>
        <filter val="164,64"/>
        <filter val="168,00"/>
        <filter val="180,00"/>
        <filter val="196,00"/>
        <filter val="201,60"/>
        <filter val="216,00"/>
        <filter val="234,00"/>
        <filter val="235,20"/>
        <filter val="24,00"/>
        <filter val="266,00"/>
        <filter val="28,00"/>
        <filter val="294,00"/>
        <filter val="3 164,00"/>
        <filter val="328,80"/>
        <filter val="336,00"/>
        <filter val="34"/>
        <filter val="36,00"/>
        <filter val="36,96"/>
        <filter val="4 868,60"/>
        <filter val="403,20"/>
        <filter val="406,00"/>
        <filter val="42,00"/>
        <filter val="48,00"/>
        <filter val="504,00"/>
        <filter val="559,20"/>
        <filter val="56,00"/>
        <filter val="57,12"/>
        <filter val="631,80"/>
        <filter val="70,00"/>
        <filter val="811,44"/>
        <filter val="84,00"/>
        <filter val="98,00"/>
      </filters>
    </filterColumn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3" t="s">
        <v>387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389</v>
      </c>
      <c r="C6" s="53" t="s">
        <v>390</v>
      </c>
      <c r="D6" s="53" t="s">
        <v>391</v>
      </c>
      <c r="E6" s="53" t="s">
        <v>46</v>
      </c>
    </row>
    <row r="7" spans="2:8" x14ac:dyDescent="0.2">
      <c r="B7" s="53" t="s">
        <v>392</v>
      </c>
      <c r="C7" s="53" t="s">
        <v>393</v>
      </c>
      <c r="D7" s="53" t="s">
        <v>394</v>
      </c>
      <c r="E7" s="53" t="s">
        <v>46</v>
      </c>
    </row>
    <row r="8" spans="2:8" x14ac:dyDescent="0.2">
      <c r="B8" s="53" t="s">
        <v>395</v>
      </c>
      <c r="C8" s="53" t="s">
        <v>396</v>
      </c>
      <c r="D8" s="53" t="s">
        <v>397</v>
      </c>
      <c r="E8" s="53" t="s">
        <v>46</v>
      </c>
    </row>
    <row r="9" spans="2:8" x14ac:dyDescent="0.2">
      <c r="B9" s="53" t="s">
        <v>398</v>
      </c>
      <c r="C9" s="53" t="s">
        <v>399</v>
      </c>
      <c r="D9" s="53" t="s">
        <v>400</v>
      </c>
      <c r="E9" s="53" t="s">
        <v>46</v>
      </c>
    </row>
    <row r="10" spans="2:8" x14ac:dyDescent="0.2">
      <c r="B10" s="53" t="s">
        <v>401</v>
      </c>
      <c r="C10" s="53" t="s">
        <v>402</v>
      </c>
      <c r="D10" s="53" t="s">
        <v>403</v>
      </c>
      <c r="E10" s="53" t="s">
        <v>46</v>
      </c>
    </row>
    <row r="12" spans="2:8" x14ac:dyDescent="0.2">
      <c r="B12" s="53" t="s">
        <v>404</v>
      </c>
      <c r="C12" s="53" t="s">
        <v>390</v>
      </c>
      <c r="D12" s="53" t="s">
        <v>46</v>
      </c>
      <c r="E12" s="53" t="s">
        <v>46</v>
      </c>
    </row>
    <row r="14" spans="2:8" x14ac:dyDescent="0.2">
      <c r="B14" s="53" t="s">
        <v>405</v>
      </c>
      <c r="C14" s="53" t="s">
        <v>393</v>
      </c>
      <c r="D14" s="53" t="s">
        <v>46</v>
      </c>
      <c r="E14" s="53" t="s">
        <v>46</v>
      </c>
    </row>
    <row r="16" spans="2:8" x14ac:dyDescent="0.2">
      <c r="B16" s="53" t="s">
        <v>406</v>
      </c>
      <c r="C16" s="53" t="s">
        <v>396</v>
      </c>
      <c r="D16" s="53" t="s">
        <v>46</v>
      </c>
      <c r="E16" s="53" t="s">
        <v>46</v>
      </c>
    </row>
    <row r="18" spans="2:5" x14ac:dyDescent="0.2">
      <c r="B18" s="53" t="s">
        <v>407</v>
      </c>
      <c r="C18" s="53" t="s">
        <v>399</v>
      </c>
      <c r="D18" s="53" t="s">
        <v>46</v>
      </c>
      <c r="E18" s="53" t="s">
        <v>46</v>
      </c>
    </row>
    <row r="20" spans="2:5" x14ac:dyDescent="0.2">
      <c r="B20" s="53" t="s">
        <v>408</v>
      </c>
      <c r="C20" s="53" t="s">
        <v>402</v>
      </c>
      <c r="D20" s="53" t="s">
        <v>46</v>
      </c>
      <c r="E20" s="53" t="s">
        <v>46</v>
      </c>
    </row>
    <row r="22" spans="2:5" x14ac:dyDescent="0.2">
      <c r="B22" s="53" t="s">
        <v>409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419</v>
      </c>
      <c r="C32" s="53" t="s">
        <v>46</v>
      </c>
      <c r="D32" s="53" t="s">
        <v>46</v>
      </c>
      <c r="E32" s="53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2026-09-18T11:25:52Z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