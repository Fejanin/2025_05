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DA76BECE-AB3A-4DB1-8EF1-45F0D20EA5C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BP492" i="2" s="1"/>
  <c r="P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Y441" i="2" s="1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BP429" i="2" s="1"/>
  <c r="P429" i="2"/>
  <c r="X427" i="2"/>
  <c r="X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O358" i="2"/>
  <c r="BM358" i="2"/>
  <c r="Y358" i="2"/>
  <c r="BN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Z341" i="2" s="1"/>
  <c r="P341" i="2"/>
  <c r="BO340" i="2"/>
  <c r="BM340" i="2"/>
  <c r="Y340" i="2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Y311" i="2"/>
  <c r="BN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N159" i="2" s="1"/>
  <c r="P159" i="2"/>
  <c r="BO158" i="2"/>
  <c r="BM158" i="2"/>
  <c r="Y158" i="2"/>
  <c r="Z158" i="2" s="1"/>
  <c r="P158" i="2"/>
  <c r="X155" i="2"/>
  <c r="X154" i="2"/>
  <c r="BO153" i="2"/>
  <c r="BM153" i="2"/>
  <c r="Y153" i="2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Y79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E544" i="2" s="1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Y383" i="2" l="1"/>
  <c r="Z264" i="2"/>
  <c r="Z29" i="2"/>
  <c r="BN29" i="2"/>
  <c r="Z365" i="2"/>
  <c r="Z159" i="2"/>
  <c r="Z311" i="2"/>
  <c r="Z223" i="2"/>
  <c r="Z412" i="2"/>
  <c r="Z490" i="2"/>
  <c r="Y493" i="2"/>
  <c r="Z44" i="2"/>
  <c r="BN44" i="2"/>
  <c r="Z103" i="2"/>
  <c r="Y155" i="2"/>
  <c r="Z160" i="2"/>
  <c r="Z203" i="2"/>
  <c r="BP244" i="2"/>
  <c r="Y251" i="2"/>
  <c r="Z295" i="2"/>
  <c r="Z334" i="2"/>
  <c r="BN334" i="2"/>
  <c r="Z358" i="2"/>
  <c r="Z413" i="2"/>
  <c r="BN413" i="2"/>
  <c r="Z434" i="2"/>
  <c r="Y436" i="2"/>
  <c r="Z443" i="2"/>
  <c r="Y446" i="2"/>
  <c r="Y474" i="2"/>
  <c r="BP502" i="2"/>
  <c r="Y74" i="2"/>
  <c r="BN61" i="2"/>
  <c r="BN98" i="2"/>
  <c r="Z98" i="2"/>
  <c r="BN112" i="2"/>
  <c r="BN117" i="2"/>
  <c r="Z129" i="2"/>
  <c r="Z130" i="2" s="1"/>
  <c r="Y130" i="2"/>
  <c r="BN129" i="2"/>
  <c r="Y161" i="2"/>
  <c r="BN176" i="2"/>
  <c r="Z176" i="2"/>
  <c r="Y189" i="2"/>
  <c r="BP187" i="2"/>
  <c r="BN187" i="2"/>
  <c r="Z187" i="2"/>
  <c r="BN214" i="2"/>
  <c r="BN224" i="2"/>
  <c r="Z224" i="2"/>
  <c r="BN262" i="2"/>
  <c r="BN272" i="2"/>
  <c r="BP280" i="2"/>
  <c r="BN280" i="2"/>
  <c r="Z280" i="2"/>
  <c r="Z305" i="2"/>
  <c r="Z306" i="2" s="1"/>
  <c r="Y306" i="2"/>
  <c r="BN305" i="2"/>
  <c r="BN31" i="2"/>
  <c r="BN45" i="2"/>
  <c r="BN90" i="2"/>
  <c r="BN125" i="2"/>
  <c r="BP209" i="2"/>
  <c r="Y210" i="2"/>
  <c r="BN209" i="2"/>
  <c r="BN221" i="2"/>
  <c r="Z221" i="2"/>
  <c r="BP224" i="2"/>
  <c r="BP225" i="2"/>
  <c r="BN225" i="2"/>
  <c r="Z225" i="2"/>
  <c r="BN231" i="2"/>
  <c r="Z231" i="2"/>
  <c r="BN278" i="2"/>
  <c r="Z278" i="2"/>
  <c r="BN293" i="2"/>
  <c r="Z301" i="2"/>
  <c r="Z302" i="2" s="1"/>
  <c r="Y302" i="2"/>
  <c r="BN301" i="2"/>
  <c r="BN325" i="2"/>
  <c r="Z340" i="2"/>
  <c r="Y343" i="2"/>
  <c r="BN340" i="2"/>
  <c r="BP367" i="2"/>
  <c r="BN368" i="2"/>
  <c r="BN387" i="2"/>
  <c r="BP401" i="2"/>
  <c r="Y447" i="2"/>
  <c r="BN452" i="2"/>
  <c r="BN471" i="2"/>
  <c r="BN482" i="2"/>
  <c r="BN485" i="2"/>
  <c r="Y494" i="2"/>
  <c r="BN499" i="2"/>
  <c r="X536" i="2"/>
  <c r="Y32" i="2"/>
  <c r="BN52" i="2"/>
  <c r="BN73" i="2"/>
  <c r="BN78" i="2"/>
  <c r="Y80" i="2"/>
  <c r="Y100" i="2"/>
  <c r="BN96" i="2"/>
  <c r="BN107" i="2"/>
  <c r="BN122" i="2"/>
  <c r="Y126" i="2"/>
  <c r="BP159" i="2"/>
  <c r="BN170" i="2"/>
  <c r="BN174" i="2"/>
  <c r="BN182" i="2"/>
  <c r="Y190" i="2"/>
  <c r="BP203" i="2"/>
  <c r="BN204" i="2"/>
  <c r="BN217" i="2"/>
  <c r="BN250" i="2"/>
  <c r="BP311" i="2"/>
  <c r="BN320" i="2"/>
  <c r="Z355" i="2"/>
  <c r="BP358" i="2"/>
  <c r="Z367" i="2"/>
  <c r="BN372" i="2"/>
  <c r="Z401" i="2"/>
  <c r="Z410" i="2"/>
  <c r="BP412" i="2"/>
  <c r="Z419" i="2"/>
  <c r="BP434" i="2"/>
  <c r="BN435" i="2"/>
  <c r="BN454" i="2"/>
  <c r="BN470" i="2"/>
  <c r="BN479" i="2"/>
  <c r="Z497" i="2"/>
  <c r="BN497" i="2"/>
  <c r="BP516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Z342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BP355" i="2"/>
  <c r="Z368" i="2"/>
  <c r="Y390" i="2"/>
  <c r="BP387" i="2"/>
  <c r="Y402" i="2"/>
  <c r="W544" i="2"/>
  <c r="Z435" i="2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Y193" i="2"/>
  <c r="Y205" i="2"/>
  <c r="Y257" i="2"/>
  <c r="Z332" i="2"/>
  <c r="Y359" i="2"/>
  <c r="Y369" i="2"/>
  <c r="Y377" i="2"/>
  <c r="Z386" i="2"/>
  <c r="Y422" i="2"/>
  <c r="Z444" i="2"/>
  <c r="Z456" i="2"/>
  <c r="BP471" i="2"/>
  <c r="Z481" i="2"/>
  <c r="Z491" i="2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Y179" i="2"/>
  <c r="Z213" i="2"/>
  <c r="BP27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BN35" i="2"/>
  <c r="BP51" i="2"/>
  <c r="Z60" i="2"/>
  <c r="Z70" i="2"/>
  <c r="BP72" i="2"/>
  <c r="BN82" i="2"/>
  <c r="BP95" i="2"/>
  <c r="Z104" i="2"/>
  <c r="Z114" i="2"/>
  <c r="BP116" i="2"/>
  <c r="Z124" i="2"/>
  <c r="Z126" i="2" s="1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Z382" i="2" s="1"/>
  <c r="BP381" i="2"/>
  <c r="Y403" i="2"/>
  <c r="BN414" i="2"/>
  <c r="Z424" i="2"/>
  <c r="BP439" i="2"/>
  <c r="BN451" i="2"/>
  <c r="BN461" i="2"/>
  <c r="Z472" i="2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407" i="2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66" i="2"/>
  <c r="Z89" i="2"/>
  <c r="Z201" i="2"/>
  <c r="Z222" i="2"/>
  <c r="Z232" i="2"/>
  <c r="Z255" i="2"/>
  <c r="Z265" i="2"/>
  <c r="Z275" i="2"/>
  <c r="Z285" i="2"/>
  <c r="Z296" i="2"/>
  <c r="Z319" i="2"/>
  <c r="Z526" i="2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436" i="2" l="1"/>
  <c r="Z421" i="2"/>
  <c r="Z376" i="2"/>
  <c r="Z473" i="2"/>
  <c r="Z457" i="2"/>
  <c r="Z527" i="2"/>
  <c r="Z46" i="2"/>
  <c r="Z24" i="2"/>
  <c r="Z146" i="2"/>
  <c r="Z189" i="2"/>
  <c r="Z359" i="2"/>
  <c r="Z395" i="2"/>
  <c r="X537" i="2"/>
  <c r="Z119" i="2"/>
  <c r="Z415" i="2"/>
  <c r="Z321" i="2"/>
  <c r="Z205" i="2"/>
  <c r="Z74" i="2"/>
  <c r="Z84" i="2"/>
  <c r="Z493" i="2"/>
  <c r="Z446" i="2"/>
  <c r="Z312" i="2"/>
  <c r="Z402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<sst xmlns="http://schemas.openxmlformats.org/spreadsheetml/2006/main" count="4047" uniqueCount="860">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</sst>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A511" zoomScaleNormal="100" zoomScaleSheetLayoutView="100" workbookViewId="0">
      <selection activeCell="B17" sqref="B17:B1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/>
      <c r="I5" s="621"/>
      <c r="J5" s="621"/>
      <c r="K5" s="621"/>
      <c r="L5" s="621"/>
      <c r="M5" s="621"/>
      <c r="N5" s="72"/>
      <c r="P5" s="27" t="s">
        <v>4</v>
      </c>
      <c r="Q5" s="623">
        <v>46219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Четверг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0.41666666666666669</v>
      </c>
      <c r="R8" s="644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646" t="s">
        <v>46</v>
      </c>
      <c r="E9" s="647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8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70"/>
      <c r="P9" s="31" t="s">
        <v>15</v>
      </c>
      <c r="Q9" s="649"/>
      <c r="R9" s="649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646"/>
      <c r="E10" s="647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650" t="str">
        <f>IFERROR(VLOOKUP($D$10,Proxy,2,FALSE),"")</f>
        <v/>
      </c>
      <c r="I10" s="650"/>
      <c r="J10" s="650"/>
      <c r="K10" s="650"/>
      <c r="L10" s="650"/>
      <c r="M10" s="650"/>
      <c r="N10" s="71"/>
      <c r="P10" s="31" t="s">
        <v>32</v>
      </c>
      <c r="Q10" s="651"/>
      <c r="R10" s="651"/>
      <c r="U10" s="29" t="s">
        <v>12</v>
      </c>
      <c r="V10" s="652" t="s">
        <v>71</v>
      </c>
      <c r="W10" s="6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4"/>
      <c r="R11" s="654"/>
      <c r="U11" s="29" t="s">
        <v>28</v>
      </c>
      <c r="V11" s="655" t="s">
        <v>55</v>
      </c>
      <c r="W11" s="65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6" t="s">
        <v>72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76"/>
      <c r="P12" s="27" t="s">
        <v>30</v>
      </c>
      <c r="Q12" s="643"/>
      <c r="R12" s="643"/>
      <c r="S12" s="28"/>
      <c r="T12"/>
      <c r="U12" s="29" t="s">
        <v>46</v>
      </c>
      <c r="V12" s="657"/>
      <c r="W12" s="657"/>
      <c r="X12"/>
      <c r="AB12" s="59"/>
      <c r="AC12" s="59"/>
      <c r="AD12" s="59"/>
      <c r="AE12" s="59"/>
    </row>
    <row r="13" spans="1:32" s="17" customFormat="1" ht="23.25" customHeight="1" x14ac:dyDescent="0.2">
      <c r="A13" s="656" t="s">
        <v>73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76"/>
      <c r="O13" s="31"/>
      <c r="P13" s="31" t="s">
        <v>31</v>
      </c>
      <c r="Q13" s="655"/>
      <c r="R13" s="65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6" t="s">
        <v>74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8" t="s">
        <v>75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8"/>
      <c r="N15" s="77"/>
      <c r="O15"/>
      <c r="P15" s="659" t="s">
        <v>61</v>
      </c>
      <c r="Q15" s="659"/>
      <c r="R15" s="659"/>
      <c r="S15" s="659"/>
      <c r="T15" s="6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0"/>
      <c r="Q16" s="660"/>
      <c r="R16" s="660"/>
      <c r="S16" s="660"/>
      <c r="T16" s="6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3" t="s">
        <v>59</v>
      </c>
      <c r="B17" s="663" t="s">
        <v>49</v>
      </c>
      <c r="C17" s="665" t="s">
        <v>48</v>
      </c>
      <c r="D17" s="667" t="s">
        <v>50</v>
      </c>
      <c r="E17" s="668"/>
      <c r="F17" s="663" t="s">
        <v>21</v>
      </c>
      <c r="G17" s="663" t="s">
        <v>24</v>
      </c>
      <c r="H17" s="663" t="s">
        <v>22</v>
      </c>
      <c r="I17" s="663" t="s">
        <v>23</v>
      </c>
      <c r="J17" s="663" t="s">
        <v>16</v>
      </c>
      <c r="K17" s="663" t="s">
        <v>66</v>
      </c>
      <c r="L17" s="663" t="s">
        <v>64</v>
      </c>
      <c r="M17" s="663" t="s">
        <v>2</v>
      </c>
      <c r="N17" s="663" t="s">
        <v>63</v>
      </c>
      <c r="O17" s="663" t="s">
        <v>25</v>
      </c>
      <c r="P17" s="667" t="s">
        <v>17</v>
      </c>
      <c r="Q17" s="671"/>
      <c r="R17" s="671"/>
      <c r="S17" s="671"/>
      <c r="T17" s="668"/>
      <c r="U17" s="661" t="s">
        <v>56</v>
      </c>
      <c r="V17" s="662"/>
      <c r="W17" s="663" t="s">
        <v>6</v>
      </c>
      <c r="X17" s="663" t="s">
        <v>41</v>
      </c>
      <c r="Y17" s="673" t="s">
        <v>54</v>
      </c>
      <c r="Z17" s="675" t="s">
        <v>18</v>
      </c>
      <c r="AA17" s="677" t="s">
        <v>60</v>
      </c>
      <c r="AB17" s="677" t="s">
        <v>19</v>
      </c>
      <c r="AC17" s="677" t="s">
        <v>65</v>
      </c>
      <c r="AD17" s="679" t="s">
        <v>57</v>
      </c>
      <c r="AE17" s="680"/>
      <c r="AF17" s="681"/>
      <c r="AG17" s="82"/>
      <c r="BD17" s="81" t="s">
        <v>62</v>
      </c>
    </row>
    <row r="18" spans="1:68" ht="14.25" customHeight="1" x14ac:dyDescent="0.2">
      <c r="A18" s="664"/>
      <c r="B18" s="664"/>
      <c r="C18" s="666"/>
      <c r="D18" s="669"/>
      <c r="E18" s="670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9"/>
      <c r="Q18" s="672"/>
      <c r="R18" s="672"/>
      <c r="S18" s="672"/>
      <c r="T18" s="670"/>
      <c r="U18" s="83" t="s">
        <v>44</v>
      </c>
      <c r="V18" s="83" t="s">
        <v>43</v>
      </c>
      <c r="W18" s="664"/>
      <c r="X18" s="664"/>
      <c r="Y18" s="674"/>
      <c r="Z18" s="676"/>
      <c r="AA18" s="678"/>
      <c r="AB18" s="678"/>
      <c r="AC18" s="678"/>
      <c r="AD18" s="682"/>
      <c r="AE18" s="683"/>
      <c r="AF18" s="684"/>
      <c r="AG18" s="82"/>
      <c r="BD18" s="81"/>
    </row>
    <row r="19" spans="1:68" ht="27.75" customHeight="1" x14ac:dyDescent="0.2">
      <c r="A19" s="685" t="s">
        <v>76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 s="685"/>
      <c r="P19" s="685"/>
      <c r="Q19" s="685"/>
      <c r="R19" s="685"/>
      <c r="S19" s="685"/>
      <c r="T19" s="685"/>
      <c r="U19" s="685"/>
      <c r="V19" s="685"/>
      <c r="W19" s="685"/>
      <c r="X19" s="685"/>
      <c r="Y19" s="685"/>
      <c r="Z19" s="685"/>
      <c r="AA19" s="54"/>
      <c r="AB19" s="54"/>
      <c r="AC19" s="54"/>
    </row>
    <row r="20" spans="1:68" ht="16.5" customHeight="1" x14ac:dyDescent="0.25">
      <c r="A20" s="686" t="s">
        <v>76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5"/>
      <c r="AB20" s="65"/>
      <c r="AC20" s="79"/>
    </row>
    <row r="21" spans="1:68" ht="14.25" customHeight="1" x14ac:dyDescent="0.25">
      <c r="A21" s="687" t="s">
        <v>77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88">
        <v>4680115886643</v>
      </c>
      <c r="E22" s="688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0"/>
      <c r="R22" s="690"/>
      <c r="S22" s="690"/>
      <c r="T22" s="69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88">
        <v>4680115889071</v>
      </c>
      <c r="E23" s="688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0"/>
      <c r="R23" s="690"/>
      <c r="S23" s="690"/>
      <c r="T23" s="691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96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7"/>
      <c r="P24" s="693" t="s">
        <v>40</v>
      </c>
      <c r="Q24" s="694"/>
      <c r="R24" s="694"/>
      <c r="S24" s="694"/>
      <c r="T24" s="694"/>
      <c r="U24" s="694"/>
      <c r="V24" s="69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96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7"/>
      <c r="P25" s="693" t="s">
        <v>40</v>
      </c>
      <c r="Q25" s="694"/>
      <c r="R25" s="694"/>
      <c r="S25" s="694"/>
      <c r="T25" s="694"/>
      <c r="U25" s="694"/>
      <c r="V25" s="69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87" t="s">
        <v>86</v>
      </c>
      <c r="B26" s="687"/>
      <c r="C26" s="687"/>
      <c r="D26" s="687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88">
        <v>4680115885912</v>
      </c>
      <c r="E27" s="68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0"/>
      <c r="R27" s="690"/>
      <c r="S27" s="690"/>
      <c r="T27" s="69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88">
        <v>4607091388237</v>
      </c>
      <c r="E28" s="68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0"/>
      <c r="R28" s="690"/>
      <c r="S28" s="690"/>
      <c r="T28" s="69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88">
        <v>4680115887350</v>
      </c>
      <c r="E29" s="68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0"/>
      <c r="R29" s="690"/>
      <c r="S29" s="690"/>
      <c r="T29" s="69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88">
        <v>4680115885905</v>
      </c>
      <c r="E30" s="68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0"/>
      <c r="R30" s="690"/>
      <c r="S30" s="690"/>
      <c r="T30" s="69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88">
        <v>4680115887619</v>
      </c>
      <c r="E31" s="688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0"/>
      <c r="R31" s="690"/>
      <c r="S31" s="690"/>
      <c r="T31" s="691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96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7"/>
      <c r="P32" s="693" t="s">
        <v>40</v>
      </c>
      <c r="Q32" s="694"/>
      <c r="R32" s="694"/>
      <c r="S32" s="694"/>
      <c r="T32" s="694"/>
      <c r="U32" s="694"/>
      <c r="V32" s="69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96"/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7"/>
      <c r="P33" s="693" t="s">
        <v>40</v>
      </c>
      <c r="Q33" s="694"/>
      <c r="R33" s="694"/>
      <c r="S33" s="694"/>
      <c r="T33" s="694"/>
      <c r="U33" s="694"/>
      <c r="V33" s="69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87" t="s">
        <v>104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88">
        <v>4607091388503</v>
      </c>
      <c r="E35" s="68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0"/>
      <c r="R35" s="690"/>
      <c r="S35" s="690"/>
      <c r="T35" s="69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96"/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696"/>
      <c r="O36" s="697"/>
      <c r="P36" s="693" t="s">
        <v>40</v>
      </c>
      <c r="Q36" s="694"/>
      <c r="R36" s="694"/>
      <c r="S36" s="694"/>
      <c r="T36" s="694"/>
      <c r="U36" s="694"/>
      <c r="V36" s="69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96"/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7"/>
      <c r="P37" s="693" t="s">
        <v>40</v>
      </c>
      <c r="Q37" s="694"/>
      <c r="R37" s="694"/>
      <c r="S37" s="694"/>
      <c r="T37" s="694"/>
      <c r="U37" s="694"/>
      <c r="V37" s="69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85" t="s">
        <v>45</v>
      </c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54"/>
      <c r="AB38" s="54"/>
      <c r="AC38" s="54"/>
    </row>
    <row r="39" spans="1:68" ht="16.5" customHeight="1" x14ac:dyDescent="0.25">
      <c r="A39" s="686" t="s">
        <v>110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86"/>
      <c r="W39" s="686"/>
      <c r="X39" s="686"/>
      <c r="Y39" s="686"/>
      <c r="Z39" s="686"/>
      <c r="AA39" s="65"/>
      <c r="AB39" s="65"/>
      <c r="AC39" s="79"/>
    </row>
    <row r="40" spans="1:68" ht="14.25" customHeight="1" x14ac:dyDescent="0.25">
      <c r="A40" s="687" t="s">
        <v>86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88">
        <v>4680115889354</v>
      </c>
      <c r="E41" s="68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0"/>
      <c r="R41" s="690"/>
      <c r="S41" s="690"/>
      <c r="T41" s="69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115</v>
      </c>
      <c r="B42" s="63" t="s">
        <v>116</v>
      </c>
      <c r="C42" s="36">
        <v>4301052198</v>
      </c>
      <c r="D42" s="688">
        <v>4680115888463</v>
      </c>
      <c r="E42" s="68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0"/>
      <c r="R42" s="690"/>
      <c r="S42" s="690"/>
      <c r="T42" s="69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4301052202</v>
      </c>
      <c r="D43" s="688">
        <v>4680115888494</v>
      </c>
      <c r="E43" s="688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0"/>
      <c r="R43" s="690"/>
      <c r="S43" s="690"/>
      <c r="T43" s="69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4301052184</v>
      </c>
      <c r="D44" s="688">
        <v>4680115888272</v>
      </c>
      <c r="E44" s="68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0"/>
      <c r="R44" s="690"/>
      <c r="S44" s="690"/>
      <c r="T44" s="69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4301052188</v>
      </c>
      <c r="D45" s="688">
        <v>4680115888364</v>
      </c>
      <c r="E45" s="68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0"/>
      <c r="R45" s="690"/>
      <c r="S45" s="690"/>
      <c r="T45" s="69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96"/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7"/>
      <c r="P46" s="693" t="s">
        <v>40</v>
      </c>
      <c r="Q46" s="694"/>
      <c r="R46" s="694"/>
      <c r="S46" s="694"/>
      <c r="T46" s="694"/>
      <c r="U46" s="694"/>
      <c r="V46" s="695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96"/>
      <c r="B47" s="696"/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696"/>
      <c r="O47" s="697"/>
      <c r="P47" s="693" t="s">
        <v>40</v>
      </c>
      <c r="Q47" s="694"/>
      <c r="R47" s="694"/>
      <c r="S47" s="694"/>
      <c r="T47" s="694"/>
      <c r="U47" s="694"/>
      <c r="V47" s="695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85" t="s">
        <v>127</v>
      </c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685"/>
      <c r="Q48" s="685"/>
      <c r="R48" s="685"/>
      <c r="S48" s="685"/>
      <c r="T48" s="685"/>
      <c r="U48" s="685"/>
      <c r="V48" s="685"/>
      <c r="W48" s="685"/>
      <c r="X48" s="685"/>
      <c r="Y48" s="685"/>
      <c r="Z48" s="685"/>
      <c r="AA48" s="54"/>
      <c r="AB48" s="54"/>
      <c r="AC48" s="54"/>
    </row>
    <row r="49" spans="1:68" ht="16.5" customHeight="1" x14ac:dyDescent="0.25">
      <c r="A49" s="686" t="s">
        <v>128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6"/>
      <c r="N49" s="686"/>
      <c r="O49" s="686"/>
      <c r="P49" s="686"/>
      <c r="Q49" s="686"/>
      <c r="R49" s="686"/>
      <c r="S49" s="686"/>
      <c r="T49" s="686"/>
      <c r="U49" s="686"/>
      <c r="V49" s="686"/>
      <c r="W49" s="686"/>
      <c r="X49" s="686"/>
      <c r="Y49" s="686"/>
      <c r="Z49" s="686"/>
      <c r="AA49" s="65"/>
      <c r="AB49" s="65"/>
      <c r="AC49" s="79"/>
    </row>
    <row r="50" spans="1:68" ht="14.25" customHeight="1" x14ac:dyDescent="0.25">
      <c r="A50" s="687" t="s">
        <v>129</v>
      </c>
      <c r="B50" s="687"/>
      <c r="C50" s="687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88">
        <v>4607091385670</v>
      </c>
      <c r="E51" s="68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0"/>
      <c r="R51" s="690"/>
      <c r="S51" s="690"/>
      <c r="T51" s="691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135</v>
      </c>
      <c r="B52" s="63" t="s">
        <v>136</v>
      </c>
      <c r="C52" s="36">
        <v>4301012053</v>
      </c>
      <c r="D52" s="688">
        <v>4680115887725</v>
      </c>
      <c r="E52" s="68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0"/>
      <c r="R52" s="690"/>
      <c r="S52" s="690"/>
      <c r="T52" s="69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8">
        <v>4607091385687</v>
      </c>
      <c r="E53" s="68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0"/>
      <c r="R53" s="690"/>
      <c r="S53" s="690"/>
      <c r="T53" s="691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4301011565</v>
      </c>
      <c r="D54" s="688">
        <v>4680115882539</v>
      </c>
      <c r="E54" s="68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0"/>
      <c r="R54" s="690"/>
      <c r="S54" s="690"/>
      <c r="T54" s="69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6"/>
      <c r="B55" s="696"/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7"/>
      <c r="P55" s="693" t="s">
        <v>40</v>
      </c>
      <c r="Q55" s="694"/>
      <c r="R55" s="694"/>
      <c r="S55" s="694"/>
      <c r="T55" s="694"/>
      <c r="U55" s="694"/>
      <c r="V55" s="695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96"/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7"/>
      <c r="P56" s="693" t="s">
        <v>40</v>
      </c>
      <c r="Q56" s="694"/>
      <c r="R56" s="694"/>
      <c r="S56" s="694"/>
      <c r="T56" s="694"/>
      <c r="U56" s="694"/>
      <c r="V56" s="695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86" t="s">
        <v>144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5"/>
      <c r="AB57" s="65"/>
      <c r="AC57" s="79"/>
    </row>
    <row r="58" spans="1:68" ht="14.25" customHeight="1" x14ac:dyDescent="0.25">
      <c r="A58" s="687" t="s">
        <v>129</v>
      </c>
      <c r="B58" s="687"/>
      <c r="C58" s="687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6"/>
      <c r="AB58" s="66"/>
      <c r="AC58" s="80"/>
    </row>
    <row r="59" spans="1:68" ht="27" customHeight="1" x14ac:dyDescent="0.25">
      <c r="A59" s="63" t="s">
        <v>145</v>
      </c>
      <c r="B59" s="63" t="s">
        <v>146</v>
      </c>
      <c r="C59" s="36">
        <v>4301012030</v>
      </c>
      <c r="D59" s="688">
        <v>4680115885882</v>
      </c>
      <c r="E59" s="68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0"/>
      <c r="R59" s="690"/>
      <c r="S59" s="690"/>
      <c r="T59" s="69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145</v>
      </c>
      <c r="B60" s="63" t="s">
        <v>148</v>
      </c>
      <c r="C60" s="36">
        <v>4301012161</v>
      </c>
      <c r="D60" s="688">
        <v>4680115885882</v>
      </c>
      <c r="E60" s="688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0"/>
      <c r="R60" s="690"/>
      <c r="S60" s="690"/>
      <c r="T60" s="69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88">
        <v>4680115881426</v>
      </c>
      <c r="E61" s="68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0"/>
      <c r="R61" s="690"/>
      <c r="S61" s="690"/>
      <c r="T61" s="691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4301011386</v>
      </c>
      <c r="D62" s="688">
        <v>4680115880283</v>
      </c>
      <c r="E62" s="68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0"/>
      <c r="R62" s="690"/>
      <c r="S62" s="690"/>
      <c r="T62" s="69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153</v>
      </c>
      <c r="B63" s="63" t="s">
        <v>157</v>
      </c>
      <c r="C63" s="36">
        <v>4301012259</v>
      </c>
      <c r="D63" s="688">
        <v>4680115880283</v>
      </c>
      <c r="E63" s="688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0"/>
      <c r="R63" s="690"/>
      <c r="S63" s="690"/>
      <c r="T63" s="691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4301011806</v>
      </c>
      <c r="D64" s="688">
        <v>4680115881525</v>
      </c>
      <c r="E64" s="68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0"/>
      <c r="R64" s="690"/>
      <c r="S64" s="690"/>
      <c r="T64" s="69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88">
        <v>4680115885899</v>
      </c>
      <c r="E65" s="68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0"/>
      <c r="R65" s="690"/>
      <c r="S65" s="690"/>
      <c r="T65" s="69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88">
        <v>4680115881419</v>
      </c>
      <c r="E66" s="68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2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0"/>
      <c r="R66" s="690"/>
      <c r="S66" s="690"/>
      <c r="T66" s="691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96"/>
      <c r="B67" s="696"/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6"/>
      <c r="N67" s="696"/>
      <c r="O67" s="697"/>
      <c r="P67" s="693" t="s">
        <v>40</v>
      </c>
      <c r="Q67" s="694"/>
      <c r="R67" s="694"/>
      <c r="S67" s="694"/>
      <c r="T67" s="694"/>
      <c r="U67" s="694"/>
      <c r="V67" s="695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96"/>
      <c r="B68" s="696"/>
      <c r="C68" s="696"/>
      <c r="D68" s="696"/>
      <c r="E68" s="696"/>
      <c r="F68" s="696"/>
      <c r="G68" s="696"/>
      <c r="H68" s="696"/>
      <c r="I68" s="696"/>
      <c r="J68" s="696"/>
      <c r="K68" s="696"/>
      <c r="L68" s="696"/>
      <c r="M68" s="696"/>
      <c r="N68" s="696"/>
      <c r="O68" s="697"/>
      <c r="P68" s="693" t="s">
        <v>40</v>
      </c>
      <c r="Q68" s="694"/>
      <c r="R68" s="694"/>
      <c r="S68" s="694"/>
      <c r="T68" s="694"/>
      <c r="U68" s="694"/>
      <c r="V68" s="695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87" t="s">
        <v>166</v>
      </c>
      <c r="B69" s="687"/>
      <c r="C69" s="687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88">
        <v>4680115881440</v>
      </c>
      <c r="E70" s="68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0"/>
      <c r="R70" s="690"/>
      <c r="S70" s="690"/>
      <c r="T70" s="691"/>
      <c r="U70" s="39" t="s">
        <v>46</v>
      </c>
      <c r="V70" s="39" t="s">
        <v>46</v>
      </c>
      <c r="W70" s="40" t="s">
        <v>0</v>
      </c>
      <c r="X70" s="58">
        <v>200</v>
      </c>
      <c r="Y70" s="55">
        <f>IFERROR(IF(X70="",0,CEILING((X70/$H70),1)*$H70),"")</f>
        <v>205.20000000000002</v>
      </c>
      <c r="Z70" s="41">
        <f>IFERROR(IF(Y70=0,"",ROUNDUP(Y70/H70,0)*0.01898),"")</f>
        <v>0.36062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207.59259259259258</v>
      </c>
      <c r="BN70" s="78">
        <f>IFERROR(Y70*I70/H70,"0")</f>
        <v>212.99</v>
      </c>
      <c r="BO70" s="78">
        <f>IFERROR(1/J70*(X70/H70),"0")</f>
        <v>0.28935185185185186</v>
      </c>
      <c r="BP70" s="78">
        <f>IFERROR(1/J70*(Y70/H70),"0")</f>
        <v>0.296875</v>
      </c>
    </row>
    <row r="71" spans="1:68" ht="16.5" customHeight="1" x14ac:dyDescent="0.25">
      <c r="A71" s="63" t="s">
        <v>170</v>
      </c>
      <c r="B71" s="63" t="s">
        <v>171</v>
      </c>
      <c r="C71" s="36">
        <v>4301020358</v>
      </c>
      <c r="D71" s="688">
        <v>4680115885950</v>
      </c>
      <c r="E71" s="68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0"/>
      <c r="R71" s="690"/>
      <c r="S71" s="690"/>
      <c r="T71" s="69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688">
        <v>4680115887688</v>
      </c>
      <c r="E72" s="68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0"/>
      <c r="R72" s="690"/>
      <c r="S72" s="690"/>
      <c r="T72" s="69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8">
        <v>4680115881433</v>
      </c>
      <c r="E73" s="68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0"/>
      <c r="R73" s="690"/>
      <c r="S73" s="690"/>
      <c r="T73" s="691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96"/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7"/>
      <c r="P74" s="693" t="s">
        <v>40</v>
      </c>
      <c r="Q74" s="694"/>
      <c r="R74" s="694"/>
      <c r="S74" s="694"/>
      <c r="T74" s="694"/>
      <c r="U74" s="694"/>
      <c r="V74" s="695"/>
      <c r="W74" s="42" t="s">
        <v>39</v>
      </c>
      <c r="X74" s="43">
        <f>IFERROR(X70/H70,"0")+IFERROR(X71/H71,"0")+IFERROR(X72/H72,"0")+IFERROR(X73/H73,"0")</f>
        <v>18.518518518518519</v>
      </c>
      <c r="Y74" s="43">
        <f>IFERROR(Y70/H70,"0")+IFERROR(Y71/H71,"0")+IFERROR(Y72/H72,"0")+IFERROR(Y73/H73,"0")</f>
        <v>19</v>
      </c>
      <c r="Z74" s="43">
        <f>IFERROR(IF(Z70="",0,Z70),"0")+IFERROR(IF(Z71="",0,Z71),"0")+IFERROR(IF(Z72="",0,Z72),"0")+IFERROR(IF(Z73="",0,Z73),"0")</f>
        <v>0.36062</v>
      </c>
      <c r="AA74" s="67"/>
      <c r="AB74" s="67"/>
      <c r="AC74" s="67"/>
    </row>
    <row r="75" spans="1:68" x14ac:dyDescent="0.2">
      <c r="A75" s="696"/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7"/>
      <c r="P75" s="693" t="s">
        <v>40</v>
      </c>
      <c r="Q75" s="694"/>
      <c r="R75" s="694"/>
      <c r="S75" s="694"/>
      <c r="T75" s="694"/>
      <c r="U75" s="694"/>
      <c r="V75" s="695"/>
      <c r="W75" s="42" t="s">
        <v>0</v>
      </c>
      <c r="X75" s="43">
        <f>IFERROR(SUM(X70:X73),"0")</f>
        <v>200</v>
      </c>
      <c r="Y75" s="43">
        <f>IFERROR(SUM(Y70:Y73),"0")</f>
        <v>205.20000000000002</v>
      </c>
      <c r="Z75" s="42"/>
      <c r="AA75" s="67"/>
      <c r="AB75" s="67"/>
      <c r="AC75" s="67"/>
    </row>
    <row r="76" spans="1:68" ht="14.25" customHeight="1" x14ac:dyDescent="0.25">
      <c r="A76" s="687" t="s">
        <v>86</v>
      </c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688">
        <v>4680115884311</v>
      </c>
      <c r="E77" s="68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0"/>
      <c r="R77" s="690"/>
      <c r="S77" s="690"/>
      <c r="T77" s="69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4301051929</v>
      </c>
      <c r="D78" s="688">
        <v>4680115884403</v>
      </c>
      <c r="E78" s="68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0"/>
      <c r="R78" s="690"/>
      <c r="S78" s="690"/>
      <c r="T78" s="69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96"/>
      <c r="B79" s="696"/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7"/>
      <c r="P79" s="693" t="s">
        <v>40</v>
      </c>
      <c r="Q79" s="694"/>
      <c r="R79" s="694"/>
      <c r="S79" s="694"/>
      <c r="T79" s="694"/>
      <c r="U79" s="694"/>
      <c r="V79" s="695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96"/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7"/>
      <c r="P80" s="693" t="s">
        <v>40</v>
      </c>
      <c r="Q80" s="694"/>
      <c r="R80" s="694"/>
      <c r="S80" s="694"/>
      <c r="T80" s="694"/>
      <c r="U80" s="694"/>
      <c r="V80" s="695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87" t="s">
        <v>183</v>
      </c>
      <c r="B81" s="687"/>
      <c r="C81" s="687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88">
        <v>4680115881532</v>
      </c>
      <c r="E82" s="68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0"/>
      <c r="R82" s="690"/>
      <c r="S82" s="690"/>
      <c r="T82" s="69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187</v>
      </c>
      <c r="B83" s="63" t="s">
        <v>188</v>
      </c>
      <c r="C83" s="36">
        <v>4301060351</v>
      </c>
      <c r="D83" s="688">
        <v>4680115881464</v>
      </c>
      <c r="E83" s="688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0"/>
      <c r="R83" s="690"/>
      <c r="S83" s="690"/>
      <c r="T83" s="69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96"/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96"/>
      <c r="N84" s="696"/>
      <c r="O84" s="697"/>
      <c r="P84" s="693" t="s">
        <v>40</v>
      </c>
      <c r="Q84" s="694"/>
      <c r="R84" s="694"/>
      <c r="S84" s="694"/>
      <c r="T84" s="694"/>
      <c r="U84" s="694"/>
      <c r="V84" s="695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96"/>
      <c r="B85" s="696"/>
      <c r="C85" s="696"/>
      <c r="D85" s="696"/>
      <c r="E85" s="696"/>
      <c r="F85" s="696"/>
      <c r="G85" s="696"/>
      <c r="H85" s="696"/>
      <c r="I85" s="696"/>
      <c r="J85" s="696"/>
      <c r="K85" s="696"/>
      <c r="L85" s="696"/>
      <c r="M85" s="696"/>
      <c r="N85" s="696"/>
      <c r="O85" s="697"/>
      <c r="P85" s="693" t="s">
        <v>40</v>
      </c>
      <c r="Q85" s="694"/>
      <c r="R85" s="694"/>
      <c r="S85" s="694"/>
      <c r="T85" s="694"/>
      <c r="U85" s="694"/>
      <c r="V85" s="695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86" t="s">
        <v>190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5"/>
      <c r="AB86" s="65"/>
      <c r="AC86" s="79"/>
    </row>
    <row r="87" spans="1:68" ht="14.25" customHeight="1" x14ac:dyDescent="0.25">
      <c r="A87" s="687" t="s">
        <v>129</v>
      </c>
      <c r="B87" s="687"/>
      <c r="C87" s="687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88">
        <v>4680115881327</v>
      </c>
      <c r="E88" s="688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0"/>
      <c r="R88" s="690"/>
      <c r="S88" s="690"/>
      <c r="T88" s="691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4301011261</v>
      </c>
      <c r="D89" s="688">
        <v>4680115887732</v>
      </c>
      <c r="E89" s="688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0"/>
      <c r="R89" s="690"/>
      <c r="S89" s="690"/>
      <c r="T89" s="691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197</v>
      </c>
      <c r="B90" s="63" t="s">
        <v>198</v>
      </c>
      <c r="C90" s="36">
        <v>4301011476</v>
      </c>
      <c r="D90" s="688">
        <v>4680115881518</v>
      </c>
      <c r="E90" s="688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0"/>
      <c r="R90" s="690"/>
      <c r="S90" s="690"/>
      <c r="T90" s="691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88">
        <v>4680115881303</v>
      </c>
      <c r="E91" s="688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0"/>
      <c r="R91" s="690"/>
      <c r="S91" s="690"/>
      <c r="T91" s="691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96"/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7"/>
      <c r="P92" s="693" t="s">
        <v>40</v>
      </c>
      <c r="Q92" s="694"/>
      <c r="R92" s="694"/>
      <c r="S92" s="694"/>
      <c r="T92" s="694"/>
      <c r="U92" s="694"/>
      <c r="V92" s="695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96"/>
      <c r="B93" s="696"/>
      <c r="C93" s="696"/>
      <c r="D93" s="696"/>
      <c r="E93" s="696"/>
      <c r="F93" s="696"/>
      <c r="G93" s="696"/>
      <c r="H93" s="696"/>
      <c r="I93" s="696"/>
      <c r="J93" s="696"/>
      <c r="K93" s="696"/>
      <c r="L93" s="696"/>
      <c r="M93" s="696"/>
      <c r="N93" s="696"/>
      <c r="O93" s="697"/>
      <c r="P93" s="693" t="s">
        <v>40</v>
      </c>
      <c r="Q93" s="694"/>
      <c r="R93" s="694"/>
      <c r="S93" s="694"/>
      <c r="T93" s="694"/>
      <c r="U93" s="694"/>
      <c r="V93" s="695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87" t="s">
        <v>86</v>
      </c>
      <c r="B94" s="687"/>
      <c r="C94" s="687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88">
        <v>4607091386967</v>
      </c>
      <c r="E95" s="688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0"/>
      <c r="R95" s="690"/>
      <c r="S95" s="690"/>
      <c r="T95" s="691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204</v>
      </c>
      <c r="B96" s="63" t="s">
        <v>205</v>
      </c>
      <c r="C96" s="36">
        <v>4301051788</v>
      </c>
      <c r="D96" s="688">
        <v>4680115884953</v>
      </c>
      <c r="E96" s="68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0"/>
      <c r="R96" s="690"/>
      <c r="S96" s="690"/>
      <c r="T96" s="691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88">
        <v>4607091385731</v>
      </c>
      <c r="E97" s="68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0"/>
      <c r="R97" s="690"/>
      <c r="S97" s="690"/>
      <c r="T97" s="691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208</v>
      </c>
      <c r="B98" s="63" t="s">
        <v>209</v>
      </c>
      <c r="C98" s="36">
        <v>4301052092</v>
      </c>
      <c r="D98" s="688">
        <v>4680115880894</v>
      </c>
      <c r="E98" s="688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0"/>
      <c r="R98" s="690"/>
      <c r="S98" s="690"/>
      <c r="T98" s="69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6"/>
      <c r="B99" s="696"/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696"/>
      <c r="O99" s="697"/>
      <c r="P99" s="693" t="s">
        <v>40</v>
      </c>
      <c r="Q99" s="694"/>
      <c r="R99" s="694"/>
      <c r="S99" s="694"/>
      <c r="T99" s="694"/>
      <c r="U99" s="694"/>
      <c r="V99" s="695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96"/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7"/>
      <c r="P100" s="693" t="s">
        <v>40</v>
      </c>
      <c r="Q100" s="694"/>
      <c r="R100" s="694"/>
      <c r="S100" s="694"/>
      <c r="T100" s="694"/>
      <c r="U100" s="694"/>
      <c r="V100" s="695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86" t="s">
        <v>211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5"/>
      <c r="AB101" s="65"/>
      <c r="AC101" s="79"/>
    </row>
    <row r="102" spans="1:68" ht="14.25" customHeight="1" x14ac:dyDescent="0.25">
      <c r="A102" s="687" t="s">
        <v>129</v>
      </c>
      <c r="B102" s="687"/>
      <c r="C102" s="687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88">
        <v>4680115882133</v>
      </c>
      <c r="E103" s="688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0"/>
      <c r="R103" s="690"/>
      <c r="S103" s="690"/>
      <c r="T103" s="691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215</v>
      </c>
      <c r="B104" s="63" t="s">
        <v>216</v>
      </c>
      <c r="C104" s="36">
        <v>4301012051</v>
      </c>
      <c r="D104" s="688">
        <v>4680115887718</v>
      </c>
      <c r="E104" s="688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0"/>
      <c r="R104" s="690"/>
      <c r="S104" s="690"/>
      <c r="T104" s="691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215</v>
      </c>
      <c r="B105" s="63" t="s">
        <v>218</v>
      </c>
      <c r="C105" s="36">
        <v>4301012334</v>
      </c>
      <c r="D105" s="688">
        <v>4680115887718</v>
      </c>
      <c r="E105" s="688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0"/>
      <c r="R105" s="690"/>
      <c r="S105" s="690"/>
      <c r="T105" s="691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4301011417</v>
      </c>
      <c r="D106" s="688">
        <v>4680115880269</v>
      </c>
      <c r="E106" s="688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0"/>
      <c r="R106" s="690"/>
      <c r="S106" s="690"/>
      <c r="T106" s="69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88">
        <v>4680115880429</v>
      </c>
      <c r="E107" s="688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0"/>
      <c r="R107" s="690"/>
      <c r="S107" s="690"/>
      <c r="T107" s="69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223</v>
      </c>
      <c r="B108" s="63" t="s">
        <v>224</v>
      </c>
      <c r="C108" s="36">
        <v>4301011462</v>
      </c>
      <c r="D108" s="688">
        <v>4680115881457</v>
      </c>
      <c r="E108" s="688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0"/>
      <c r="R108" s="690"/>
      <c r="S108" s="690"/>
      <c r="T108" s="69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96"/>
      <c r="B109" s="696"/>
      <c r="C109" s="696"/>
      <c r="D109" s="696"/>
      <c r="E109" s="696"/>
      <c r="F109" s="696"/>
      <c r="G109" s="696"/>
      <c r="H109" s="696"/>
      <c r="I109" s="696"/>
      <c r="J109" s="696"/>
      <c r="K109" s="696"/>
      <c r="L109" s="696"/>
      <c r="M109" s="696"/>
      <c r="N109" s="696"/>
      <c r="O109" s="697"/>
      <c r="P109" s="693" t="s">
        <v>40</v>
      </c>
      <c r="Q109" s="694"/>
      <c r="R109" s="694"/>
      <c r="S109" s="694"/>
      <c r="T109" s="694"/>
      <c r="U109" s="694"/>
      <c r="V109" s="695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96"/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7"/>
      <c r="P110" s="693" t="s">
        <v>40</v>
      </c>
      <c r="Q110" s="694"/>
      <c r="R110" s="694"/>
      <c r="S110" s="694"/>
      <c r="T110" s="694"/>
      <c r="U110" s="694"/>
      <c r="V110" s="695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87" t="s">
        <v>166</v>
      </c>
      <c r="B111" s="687"/>
      <c r="C111" s="687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6"/>
      <c r="AB111" s="66"/>
      <c r="AC111" s="80"/>
    </row>
    <row r="112" spans="1:68" ht="16.5" customHeight="1" x14ac:dyDescent="0.25">
      <c r="A112" s="63" t="s">
        <v>225</v>
      </c>
      <c r="B112" s="63" t="s">
        <v>226</v>
      </c>
      <c r="C112" s="36">
        <v>4301020345</v>
      </c>
      <c r="D112" s="688">
        <v>4680115881488</v>
      </c>
      <c r="E112" s="688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90"/>
      <c r="R112" s="690"/>
      <c r="S112" s="690"/>
      <c r="T112" s="69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customHeight="1" x14ac:dyDescent="0.25">
      <c r="A113" s="63" t="s">
        <v>225</v>
      </c>
      <c r="B113" s="63" t="s">
        <v>228</v>
      </c>
      <c r="C113" s="36">
        <v>4301020391</v>
      </c>
      <c r="D113" s="688">
        <v>4680115881488</v>
      </c>
      <c r="E113" s="688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90"/>
      <c r="R113" s="690"/>
      <c r="S113" s="690"/>
      <c r="T113" s="691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4301020186</v>
      </c>
      <c r="D114" s="688">
        <v>4680115887664</v>
      </c>
      <c r="E114" s="688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0"/>
      <c r="R114" s="690"/>
      <c r="S114" s="690"/>
      <c r="T114" s="691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customHeight="1" x14ac:dyDescent="0.25">
      <c r="A115" s="63" t="s">
        <v>230</v>
      </c>
      <c r="B115" s="63" t="s">
        <v>234</v>
      </c>
      <c r="C115" s="36">
        <v>4301020430</v>
      </c>
      <c r="D115" s="688">
        <v>4680115887664</v>
      </c>
      <c r="E115" s="688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90"/>
      <c r="R115" s="690"/>
      <c r="S115" s="690"/>
      <c r="T115" s="691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4301020393</v>
      </c>
      <c r="D116" s="688">
        <v>4680115882775</v>
      </c>
      <c r="E116" s="688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90"/>
      <c r="R116" s="690"/>
      <c r="S116" s="690"/>
      <c r="T116" s="691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 x14ac:dyDescent="0.25">
      <c r="A117" s="63" t="s">
        <v>237</v>
      </c>
      <c r="B117" s="63" t="s">
        <v>238</v>
      </c>
      <c r="C117" s="36">
        <v>4301020344</v>
      </c>
      <c r="D117" s="688">
        <v>4680115880658</v>
      </c>
      <c r="E117" s="688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90"/>
      <c r="R117" s="690"/>
      <c r="S117" s="690"/>
      <c r="T117" s="691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customHeight="1" x14ac:dyDescent="0.25">
      <c r="A118" s="63" t="s">
        <v>237</v>
      </c>
      <c r="B118" s="63" t="s">
        <v>239</v>
      </c>
      <c r="C118" s="36">
        <v>4301020392</v>
      </c>
      <c r="D118" s="688">
        <v>4680115880658</v>
      </c>
      <c r="E118" s="688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90"/>
      <c r="R118" s="690"/>
      <c r="S118" s="690"/>
      <c r="T118" s="691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96"/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7"/>
      <c r="P119" s="693" t="s">
        <v>40</v>
      </c>
      <c r="Q119" s="694"/>
      <c r="R119" s="694"/>
      <c r="S119" s="694"/>
      <c r="T119" s="694"/>
      <c r="U119" s="694"/>
      <c r="V119" s="695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96"/>
      <c r="B120" s="696"/>
      <c r="C120" s="696"/>
      <c r="D120" s="696"/>
      <c r="E120" s="696"/>
      <c r="F120" s="696"/>
      <c r="G120" s="696"/>
      <c r="H120" s="696"/>
      <c r="I120" s="696"/>
      <c r="J120" s="696"/>
      <c r="K120" s="696"/>
      <c r="L120" s="696"/>
      <c r="M120" s="696"/>
      <c r="N120" s="696"/>
      <c r="O120" s="697"/>
      <c r="P120" s="693" t="s">
        <v>40</v>
      </c>
      <c r="Q120" s="694"/>
      <c r="R120" s="694"/>
      <c r="S120" s="694"/>
      <c r="T120" s="694"/>
      <c r="U120" s="694"/>
      <c r="V120" s="695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customHeight="1" x14ac:dyDescent="0.25">
      <c r="A121" s="687" t="s">
        <v>86</v>
      </c>
      <c r="B121" s="687"/>
      <c r="C121" s="687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88">
        <v>4607091385168</v>
      </c>
      <c r="E122" s="688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90"/>
      <c r="R122" s="690"/>
      <c r="S122" s="690"/>
      <c r="T122" s="691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243</v>
      </c>
      <c r="B123" s="63" t="s">
        <v>244</v>
      </c>
      <c r="C123" s="36">
        <v>4301051730</v>
      </c>
      <c r="D123" s="688">
        <v>4607091383256</v>
      </c>
      <c r="E123" s="68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90"/>
      <c r="R123" s="690"/>
      <c r="S123" s="690"/>
      <c r="T123" s="691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88">
        <v>4607091385748</v>
      </c>
      <c r="E124" s="68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90"/>
      <c r="R124" s="690"/>
      <c r="S124" s="690"/>
      <c r="T124" s="69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88">
        <v>4680115884533</v>
      </c>
      <c r="E125" s="688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90"/>
      <c r="R125" s="690"/>
      <c r="S125" s="690"/>
      <c r="T125" s="69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96"/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7"/>
      <c r="P126" s="693" t="s">
        <v>40</v>
      </c>
      <c r="Q126" s="694"/>
      <c r="R126" s="694"/>
      <c r="S126" s="694"/>
      <c r="T126" s="694"/>
      <c r="U126" s="694"/>
      <c r="V126" s="695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x14ac:dyDescent="0.2">
      <c r="A127" s="696"/>
      <c r="B127" s="696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7"/>
      <c r="P127" s="693" t="s">
        <v>40</v>
      </c>
      <c r="Q127" s="694"/>
      <c r="R127" s="694"/>
      <c r="S127" s="694"/>
      <c r="T127" s="694"/>
      <c r="U127" s="694"/>
      <c r="V127" s="695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 x14ac:dyDescent="0.25">
      <c r="A128" s="687" t="s">
        <v>183</v>
      </c>
      <c r="B128" s="687"/>
      <c r="C128" s="687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88">
        <v>4680115880238</v>
      </c>
      <c r="E129" s="688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90"/>
      <c r="R129" s="690"/>
      <c r="S129" s="690"/>
      <c r="T129" s="691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96"/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7"/>
      <c r="P130" s="693" t="s">
        <v>40</v>
      </c>
      <c r="Q130" s="694"/>
      <c r="R130" s="694"/>
      <c r="S130" s="694"/>
      <c r="T130" s="694"/>
      <c r="U130" s="694"/>
      <c r="V130" s="695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696"/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7"/>
      <c r="P131" s="693" t="s">
        <v>40</v>
      </c>
      <c r="Q131" s="694"/>
      <c r="R131" s="694"/>
      <c r="S131" s="694"/>
      <c r="T131" s="694"/>
      <c r="U131" s="694"/>
      <c r="V131" s="695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86" t="s">
        <v>253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86"/>
      <c r="Q132" s="686"/>
      <c r="R132" s="686"/>
      <c r="S132" s="686"/>
      <c r="T132" s="686"/>
      <c r="U132" s="686"/>
      <c r="V132" s="686"/>
      <c r="W132" s="686"/>
      <c r="X132" s="686"/>
      <c r="Y132" s="686"/>
      <c r="Z132" s="686"/>
      <c r="AA132" s="65"/>
      <c r="AB132" s="65"/>
      <c r="AC132" s="79"/>
    </row>
    <row r="133" spans="1:68" ht="14.25" customHeight="1" x14ac:dyDescent="0.25">
      <c r="A133" s="687" t="s">
        <v>129</v>
      </c>
      <c r="B133" s="687"/>
      <c r="C133" s="687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6"/>
      <c r="AB133" s="66"/>
      <c r="AC133" s="80"/>
    </row>
    <row r="134" spans="1:68" ht="27" customHeight="1" x14ac:dyDescent="0.25">
      <c r="A134" s="63" t="s">
        <v>254</v>
      </c>
      <c r="B134" s="63" t="s">
        <v>255</v>
      </c>
      <c r="C134" s="36">
        <v>4301011562</v>
      </c>
      <c r="D134" s="688">
        <v>4680115882577</v>
      </c>
      <c r="E134" s="688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90"/>
      <c r="R134" s="690"/>
      <c r="S134" s="690"/>
      <c r="T134" s="691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88">
        <v>4680115882577</v>
      </c>
      <c r="E135" s="688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90"/>
      <c r="R135" s="690"/>
      <c r="S135" s="690"/>
      <c r="T135" s="691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96"/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7"/>
      <c r="P136" s="693" t="s">
        <v>40</v>
      </c>
      <c r="Q136" s="694"/>
      <c r="R136" s="694"/>
      <c r="S136" s="694"/>
      <c r="T136" s="694"/>
      <c r="U136" s="694"/>
      <c r="V136" s="69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96"/>
      <c r="B137" s="696"/>
      <c r="C137" s="696"/>
      <c r="D137" s="696"/>
      <c r="E137" s="696"/>
      <c r="F137" s="696"/>
      <c r="G137" s="696"/>
      <c r="H137" s="696"/>
      <c r="I137" s="696"/>
      <c r="J137" s="696"/>
      <c r="K137" s="696"/>
      <c r="L137" s="696"/>
      <c r="M137" s="696"/>
      <c r="N137" s="696"/>
      <c r="O137" s="697"/>
      <c r="P137" s="693" t="s">
        <v>40</v>
      </c>
      <c r="Q137" s="694"/>
      <c r="R137" s="694"/>
      <c r="S137" s="694"/>
      <c r="T137" s="694"/>
      <c r="U137" s="694"/>
      <c r="V137" s="69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87" t="s">
        <v>77</v>
      </c>
      <c r="B138" s="687"/>
      <c r="C138" s="687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88">
        <v>4680115883444</v>
      </c>
      <c r="E139" s="688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90"/>
      <c r="R139" s="690"/>
      <c r="S139" s="690"/>
      <c r="T139" s="691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258</v>
      </c>
      <c r="B140" s="63" t="s">
        <v>261</v>
      </c>
      <c r="C140" s="36">
        <v>4301031235</v>
      </c>
      <c r="D140" s="688">
        <v>4680115883444</v>
      </c>
      <c r="E140" s="688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90"/>
      <c r="R140" s="690"/>
      <c r="S140" s="690"/>
      <c r="T140" s="691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96"/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7"/>
      <c r="P141" s="693" t="s">
        <v>40</v>
      </c>
      <c r="Q141" s="694"/>
      <c r="R141" s="694"/>
      <c r="S141" s="694"/>
      <c r="T141" s="694"/>
      <c r="U141" s="694"/>
      <c r="V141" s="695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696"/>
      <c r="B142" s="696"/>
      <c r="C142" s="696"/>
      <c r="D142" s="696"/>
      <c r="E142" s="696"/>
      <c r="F142" s="696"/>
      <c r="G142" s="696"/>
      <c r="H142" s="696"/>
      <c r="I142" s="696"/>
      <c r="J142" s="696"/>
      <c r="K142" s="696"/>
      <c r="L142" s="696"/>
      <c r="M142" s="696"/>
      <c r="N142" s="696"/>
      <c r="O142" s="697"/>
      <c r="P142" s="693" t="s">
        <v>40</v>
      </c>
      <c r="Q142" s="694"/>
      <c r="R142" s="694"/>
      <c r="S142" s="694"/>
      <c r="T142" s="694"/>
      <c r="U142" s="694"/>
      <c r="V142" s="695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87" t="s">
        <v>86</v>
      </c>
      <c r="B143" s="687"/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88">
        <v>4680115882584</v>
      </c>
      <c r="E144" s="688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90"/>
      <c r="R144" s="690"/>
      <c r="S144" s="690"/>
      <c r="T144" s="691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262</v>
      </c>
      <c r="B145" s="63" t="s">
        <v>264</v>
      </c>
      <c r="C145" s="36">
        <v>4301051477</v>
      </c>
      <c r="D145" s="688">
        <v>4680115882584</v>
      </c>
      <c r="E145" s="688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90"/>
      <c r="R145" s="690"/>
      <c r="S145" s="690"/>
      <c r="T145" s="691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96"/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7"/>
      <c r="P146" s="693" t="s">
        <v>40</v>
      </c>
      <c r="Q146" s="694"/>
      <c r="R146" s="694"/>
      <c r="S146" s="694"/>
      <c r="T146" s="694"/>
      <c r="U146" s="694"/>
      <c r="V146" s="695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96"/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7"/>
      <c r="P147" s="693" t="s">
        <v>40</v>
      </c>
      <c r="Q147" s="694"/>
      <c r="R147" s="694"/>
      <c r="S147" s="694"/>
      <c r="T147" s="694"/>
      <c r="U147" s="694"/>
      <c r="V147" s="695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86" t="s">
        <v>265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5"/>
      <c r="AB148" s="65"/>
      <c r="AC148" s="79"/>
    </row>
    <row r="149" spans="1:68" ht="14.25" customHeight="1" x14ac:dyDescent="0.25">
      <c r="A149" s="687" t="s">
        <v>86</v>
      </c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6"/>
      <c r="AB149" s="66"/>
      <c r="AC149" s="80"/>
    </row>
    <row r="150" spans="1:68" ht="27" customHeight="1" x14ac:dyDescent="0.25">
      <c r="A150" s="63" t="s">
        <v>266</v>
      </c>
      <c r="B150" s="63" t="s">
        <v>267</v>
      </c>
      <c r="C150" s="36">
        <v>4301052174</v>
      </c>
      <c r="D150" s="688">
        <v>4680115888203</v>
      </c>
      <c r="E150" s="688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90"/>
      <c r="R150" s="690"/>
      <c r="S150" s="690"/>
      <c r="T150" s="691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269</v>
      </c>
      <c r="B151" s="63" t="s">
        <v>270</v>
      </c>
      <c r="C151" s="36">
        <v>4301052172</v>
      </c>
      <c r="D151" s="688">
        <v>4680115888180</v>
      </c>
      <c r="E151" s="688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90"/>
      <c r="R151" s="690"/>
      <c r="S151" s="690"/>
      <c r="T151" s="691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4301052173</v>
      </c>
      <c r="D152" s="688">
        <v>4680115888197</v>
      </c>
      <c r="E152" s="688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90"/>
      <c r="R152" s="690"/>
      <c r="S152" s="690"/>
      <c r="T152" s="69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4301052175</v>
      </c>
      <c r="D153" s="688">
        <v>4680115888210</v>
      </c>
      <c r="E153" s="688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90"/>
      <c r="R153" s="690"/>
      <c r="S153" s="690"/>
      <c r="T153" s="69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96"/>
      <c r="B154" s="696"/>
      <c r="C154" s="696"/>
      <c r="D154" s="696"/>
      <c r="E154" s="696"/>
      <c r="F154" s="696"/>
      <c r="G154" s="696"/>
      <c r="H154" s="696"/>
      <c r="I154" s="696"/>
      <c r="J154" s="696"/>
      <c r="K154" s="696"/>
      <c r="L154" s="696"/>
      <c r="M154" s="696"/>
      <c r="N154" s="696"/>
      <c r="O154" s="697"/>
      <c r="P154" s="693" t="s">
        <v>40</v>
      </c>
      <c r="Q154" s="694"/>
      <c r="R154" s="694"/>
      <c r="S154" s="694"/>
      <c r="T154" s="694"/>
      <c r="U154" s="694"/>
      <c r="V154" s="695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96"/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7"/>
      <c r="P155" s="693" t="s">
        <v>40</v>
      </c>
      <c r="Q155" s="694"/>
      <c r="R155" s="694"/>
      <c r="S155" s="694"/>
      <c r="T155" s="694"/>
      <c r="U155" s="694"/>
      <c r="V155" s="695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 x14ac:dyDescent="0.25">
      <c r="A156" s="686" t="s">
        <v>127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6"/>
      <c r="N156" s="686"/>
      <c r="O156" s="686"/>
      <c r="P156" s="686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5"/>
      <c r="AB156" s="65"/>
      <c r="AC156" s="79"/>
    </row>
    <row r="157" spans="1:68" ht="14.25" customHeight="1" x14ac:dyDescent="0.25">
      <c r="A157" s="687" t="s">
        <v>129</v>
      </c>
      <c r="B157" s="687"/>
      <c r="C157" s="687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6"/>
      <c r="AB157" s="66"/>
      <c r="AC157" s="80"/>
    </row>
    <row r="158" spans="1:68" ht="27" customHeight="1" x14ac:dyDescent="0.25">
      <c r="A158" s="63" t="s">
        <v>278</v>
      </c>
      <c r="B158" s="63" t="s">
        <v>279</v>
      </c>
      <c r="C158" s="36">
        <v>4301012244</v>
      </c>
      <c r="D158" s="688">
        <v>4680115887374</v>
      </c>
      <c r="E158" s="688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90"/>
      <c r="R158" s="690"/>
      <c r="S158" s="690"/>
      <c r="T158" s="691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281</v>
      </c>
      <c r="B159" s="63" t="s">
        <v>282</v>
      </c>
      <c r="C159" s="36">
        <v>4301011705</v>
      </c>
      <c r="D159" s="688">
        <v>4607091384604</v>
      </c>
      <c r="E159" s="688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90"/>
      <c r="R159" s="690"/>
      <c r="S159" s="690"/>
      <c r="T159" s="69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96"/>
      <c r="B160" s="696"/>
      <c r="C160" s="696"/>
      <c r="D160" s="696"/>
      <c r="E160" s="696"/>
      <c r="F160" s="696"/>
      <c r="G160" s="696"/>
      <c r="H160" s="696"/>
      <c r="I160" s="696"/>
      <c r="J160" s="696"/>
      <c r="K160" s="696"/>
      <c r="L160" s="696"/>
      <c r="M160" s="696"/>
      <c r="N160" s="696"/>
      <c r="O160" s="697"/>
      <c r="P160" s="693" t="s">
        <v>40</v>
      </c>
      <c r="Q160" s="694"/>
      <c r="R160" s="694"/>
      <c r="S160" s="694"/>
      <c r="T160" s="694"/>
      <c r="U160" s="694"/>
      <c r="V160" s="695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">
      <c r="A161" s="696"/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7"/>
      <c r="P161" s="693" t="s">
        <v>40</v>
      </c>
      <c r="Q161" s="694"/>
      <c r="R161" s="694"/>
      <c r="S161" s="694"/>
      <c r="T161" s="694"/>
      <c r="U161" s="694"/>
      <c r="V161" s="695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 x14ac:dyDescent="0.25">
      <c r="A162" s="687" t="s">
        <v>166</v>
      </c>
      <c r="B162" s="687"/>
      <c r="C162" s="687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88">
        <v>4680115887695</v>
      </c>
      <c r="E163" s="688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90"/>
      <c r="R163" s="690"/>
      <c r="S163" s="690"/>
      <c r="T163" s="691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96"/>
      <c r="B164" s="696"/>
      <c r="C164" s="696"/>
      <c r="D164" s="696"/>
      <c r="E164" s="696"/>
      <c r="F164" s="696"/>
      <c r="G164" s="696"/>
      <c r="H164" s="696"/>
      <c r="I164" s="696"/>
      <c r="J164" s="696"/>
      <c r="K164" s="696"/>
      <c r="L164" s="696"/>
      <c r="M164" s="696"/>
      <c r="N164" s="696"/>
      <c r="O164" s="697"/>
      <c r="P164" s="693" t="s">
        <v>40</v>
      </c>
      <c r="Q164" s="694"/>
      <c r="R164" s="694"/>
      <c r="S164" s="694"/>
      <c r="T164" s="694"/>
      <c r="U164" s="694"/>
      <c r="V164" s="69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96"/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7"/>
      <c r="P165" s="693" t="s">
        <v>40</v>
      </c>
      <c r="Q165" s="694"/>
      <c r="R165" s="694"/>
      <c r="S165" s="694"/>
      <c r="T165" s="694"/>
      <c r="U165" s="694"/>
      <c r="V165" s="69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87" t="s">
        <v>77</v>
      </c>
      <c r="B166" s="687"/>
      <c r="C166" s="687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88">
        <v>4680115887428</v>
      </c>
      <c r="E167" s="688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90"/>
      <c r="R167" s="690"/>
      <c r="S167" s="690"/>
      <c r="T167" s="691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4301030963</v>
      </c>
      <c r="D168" s="688">
        <v>4607091382426</v>
      </c>
      <c r="E168" s="688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90"/>
      <c r="R168" s="690"/>
      <c r="S168" s="690"/>
      <c r="T168" s="691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88">
        <v>4680115887398</v>
      </c>
      <c r="E169" s="688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0"/>
      <c r="R169" s="690"/>
      <c r="S169" s="690"/>
      <c r="T169" s="691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88">
        <v>4680115887336</v>
      </c>
      <c r="E170" s="688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0"/>
      <c r="R170" s="690"/>
      <c r="S170" s="690"/>
      <c r="T170" s="691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88">
        <v>4680115887787</v>
      </c>
      <c r="E171" s="688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0"/>
      <c r="R171" s="690"/>
      <c r="S171" s="690"/>
      <c r="T171" s="691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88">
        <v>4680115887503</v>
      </c>
      <c r="E172" s="688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0"/>
      <c r="R172" s="690"/>
      <c r="S172" s="690"/>
      <c r="T172" s="691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304</v>
      </c>
      <c r="B173" s="63" t="s">
        <v>305</v>
      </c>
      <c r="C173" s="36">
        <v>4301031389</v>
      </c>
      <c r="D173" s="688">
        <v>4680115887763</v>
      </c>
      <c r="E173" s="688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0"/>
      <c r="R173" s="690"/>
      <c r="S173" s="690"/>
      <c r="T173" s="691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304</v>
      </c>
      <c r="B174" s="63" t="s">
        <v>307</v>
      </c>
      <c r="C174" s="36">
        <v>4301031510</v>
      </c>
      <c r="D174" s="688">
        <v>4680115887763</v>
      </c>
      <c r="E174" s="688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0"/>
      <c r="R174" s="690"/>
      <c r="S174" s="690"/>
      <c r="T174" s="691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88">
        <v>4680115887480</v>
      </c>
      <c r="E175" s="688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0"/>
      <c r="R175" s="690"/>
      <c r="S175" s="690"/>
      <c r="T175" s="691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4301031434</v>
      </c>
      <c r="D176" s="688">
        <v>4680115888067</v>
      </c>
      <c r="E176" s="688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0"/>
      <c r="R176" s="690"/>
      <c r="S176" s="690"/>
      <c r="T176" s="69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88">
        <v>4680115887435</v>
      </c>
      <c r="E177" s="688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0"/>
      <c r="R177" s="690"/>
      <c r="S177" s="690"/>
      <c r="T177" s="69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96"/>
      <c r="B178" s="696"/>
      <c r="C178" s="696"/>
      <c r="D178" s="696"/>
      <c r="E178" s="696"/>
      <c r="F178" s="696"/>
      <c r="G178" s="696"/>
      <c r="H178" s="696"/>
      <c r="I178" s="696"/>
      <c r="J178" s="696"/>
      <c r="K178" s="696"/>
      <c r="L178" s="696"/>
      <c r="M178" s="696"/>
      <c r="N178" s="696"/>
      <c r="O178" s="697"/>
      <c r="P178" s="693" t="s">
        <v>40</v>
      </c>
      <c r="Q178" s="694"/>
      <c r="R178" s="694"/>
      <c r="S178" s="694"/>
      <c r="T178" s="694"/>
      <c r="U178" s="694"/>
      <c r="V178" s="695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96"/>
      <c r="B179" s="696"/>
      <c r="C179" s="696"/>
      <c r="D179" s="696"/>
      <c r="E179" s="696"/>
      <c r="F179" s="696"/>
      <c r="G179" s="696"/>
      <c r="H179" s="696"/>
      <c r="I179" s="696"/>
      <c r="J179" s="696"/>
      <c r="K179" s="696"/>
      <c r="L179" s="696"/>
      <c r="M179" s="696"/>
      <c r="N179" s="696"/>
      <c r="O179" s="697"/>
      <c r="P179" s="693" t="s">
        <v>40</v>
      </c>
      <c r="Q179" s="694"/>
      <c r="R179" s="694"/>
      <c r="S179" s="694"/>
      <c r="T179" s="694"/>
      <c r="U179" s="694"/>
      <c r="V179" s="695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customHeight="1" x14ac:dyDescent="0.25">
      <c r="A180" s="687" t="s">
        <v>86</v>
      </c>
      <c r="B180" s="687"/>
      <c r="C180" s="687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6"/>
      <c r="AB180" s="66"/>
      <c r="AC180" s="80"/>
    </row>
    <row r="181" spans="1:68" ht="16.5" customHeight="1" x14ac:dyDescent="0.25">
      <c r="A181" s="63" t="s">
        <v>315</v>
      </c>
      <c r="B181" s="63" t="s">
        <v>316</v>
      </c>
      <c r="C181" s="36">
        <v>4301052193</v>
      </c>
      <c r="D181" s="688">
        <v>4680115888395</v>
      </c>
      <c r="E181" s="688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0"/>
      <c r="R181" s="690"/>
      <c r="S181" s="690"/>
      <c r="T181" s="691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318</v>
      </c>
      <c r="B182" s="63" t="s">
        <v>319</v>
      </c>
      <c r="C182" s="36">
        <v>4301052191</v>
      </c>
      <c r="D182" s="688">
        <v>4680115888371</v>
      </c>
      <c r="E182" s="688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0"/>
      <c r="R182" s="690"/>
      <c r="S182" s="690"/>
      <c r="T182" s="691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321</v>
      </c>
      <c r="B183" s="63" t="s">
        <v>322</v>
      </c>
      <c r="C183" s="36">
        <v>4301052064</v>
      </c>
      <c r="D183" s="688">
        <v>4680115887459</v>
      </c>
      <c r="E183" s="688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0"/>
      <c r="R183" s="690"/>
      <c r="S183" s="690"/>
      <c r="T183" s="691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96"/>
      <c r="B184" s="696"/>
      <c r="C184" s="696"/>
      <c r="D184" s="696"/>
      <c r="E184" s="696"/>
      <c r="F184" s="696"/>
      <c r="G184" s="696"/>
      <c r="H184" s="696"/>
      <c r="I184" s="696"/>
      <c r="J184" s="696"/>
      <c r="K184" s="696"/>
      <c r="L184" s="696"/>
      <c r="M184" s="696"/>
      <c r="N184" s="696"/>
      <c r="O184" s="697"/>
      <c r="P184" s="693" t="s">
        <v>40</v>
      </c>
      <c r="Q184" s="694"/>
      <c r="R184" s="694"/>
      <c r="S184" s="694"/>
      <c r="T184" s="694"/>
      <c r="U184" s="694"/>
      <c r="V184" s="695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96"/>
      <c r="B185" s="696"/>
      <c r="C185" s="696"/>
      <c r="D185" s="696"/>
      <c r="E185" s="696"/>
      <c r="F185" s="696"/>
      <c r="G185" s="696"/>
      <c r="H185" s="696"/>
      <c r="I185" s="696"/>
      <c r="J185" s="696"/>
      <c r="K185" s="696"/>
      <c r="L185" s="696"/>
      <c r="M185" s="696"/>
      <c r="N185" s="696"/>
      <c r="O185" s="697"/>
      <c r="P185" s="693" t="s">
        <v>40</v>
      </c>
      <c r="Q185" s="694"/>
      <c r="R185" s="694"/>
      <c r="S185" s="694"/>
      <c r="T185" s="694"/>
      <c r="U185" s="694"/>
      <c r="V185" s="695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87" t="s">
        <v>104</v>
      </c>
      <c r="B186" s="687"/>
      <c r="C186" s="687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6"/>
      <c r="AB186" s="66"/>
      <c r="AC186" s="80"/>
    </row>
    <row r="187" spans="1:68" ht="16.5" customHeight="1" x14ac:dyDescent="0.25">
      <c r="A187" s="63" t="s">
        <v>324</v>
      </c>
      <c r="B187" s="63" t="s">
        <v>325</v>
      </c>
      <c r="C187" s="36">
        <v>4301032058</v>
      </c>
      <c r="D187" s="688">
        <v>4680115889026</v>
      </c>
      <c r="E187" s="688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0"/>
      <c r="R187" s="690"/>
      <c r="S187" s="690"/>
      <c r="T187" s="691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329</v>
      </c>
      <c r="B188" s="63" t="s">
        <v>330</v>
      </c>
      <c r="C188" s="36">
        <v>4301032057</v>
      </c>
      <c r="D188" s="688">
        <v>4680115889088</v>
      </c>
      <c r="E188" s="688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0"/>
      <c r="R188" s="690"/>
      <c r="S188" s="690"/>
      <c r="T188" s="691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96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696"/>
      <c r="N189" s="696"/>
      <c r="O189" s="697"/>
      <c r="P189" s="693" t="s">
        <v>40</v>
      </c>
      <c r="Q189" s="694"/>
      <c r="R189" s="694"/>
      <c r="S189" s="694"/>
      <c r="T189" s="694"/>
      <c r="U189" s="694"/>
      <c r="V189" s="695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696"/>
      <c r="B190" s="696"/>
      <c r="C190" s="696"/>
      <c r="D190" s="696"/>
      <c r="E190" s="696"/>
      <c r="F190" s="696"/>
      <c r="G190" s="696"/>
      <c r="H190" s="696"/>
      <c r="I190" s="696"/>
      <c r="J190" s="696"/>
      <c r="K190" s="696"/>
      <c r="L190" s="696"/>
      <c r="M190" s="696"/>
      <c r="N190" s="696"/>
      <c r="O190" s="697"/>
      <c r="P190" s="693" t="s">
        <v>40</v>
      </c>
      <c r="Q190" s="694"/>
      <c r="R190" s="694"/>
      <c r="S190" s="694"/>
      <c r="T190" s="694"/>
      <c r="U190" s="694"/>
      <c r="V190" s="695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87" t="s">
        <v>332</v>
      </c>
      <c r="B191" s="687"/>
      <c r="C191" s="687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6"/>
      <c r="AB191" s="66"/>
      <c r="AC191" s="80"/>
    </row>
    <row r="192" spans="1:68" ht="27" customHeight="1" x14ac:dyDescent="0.25">
      <c r="A192" s="63" t="s">
        <v>333</v>
      </c>
      <c r="B192" s="63" t="s">
        <v>334</v>
      </c>
      <c r="C192" s="36">
        <v>4301041009</v>
      </c>
      <c r="D192" s="688">
        <v>4680115889033</v>
      </c>
      <c r="E192" s="688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0"/>
      <c r="R192" s="690"/>
      <c r="S192" s="690"/>
      <c r="T192" s="691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96"/>
      <c r="B193" s="696"/>
      <c r="C193" s="696"/>
      <c r="D193" s="696"/>
      <c r="E193" s="696"/>
      <c r="F193" s="696"/>
      <c r="G193" s="696"/>
      <c r="H193" s="696"/>
      <c r="I193" s="696"/>
      <c r="J193" s="696"/>
      <c r="K193" s="696"/>
      <c r="L193" s="696"/>
      <c r="M193" s="696"/>
      <c r="N193" s="696"/>
      <c r="O193" s="697"/>
      <c r="P193" s="693" t="s">
        <v>40</v>
      </c>
      <c r="Q193" s="694"/>
      <c r="R193" s="694"/>
      <c r="S193" s="694"/>
      <c r="T193" s="694"/>
      <c r="U193" s="694"/>
      <c r="V193" s="695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96"/>
      <c r="B194" s="696"/>
      <c r="C194" s="696"/>
      <c r="D194" s="696"/>
      <c r="E194" s="696"/>
      <c r="F194" s="696"/>
      <c r="G194" s="696"/>
      <c r="H194" s="696"/>
      <c r="I194" s="696"/>
      <c r="J194" s="696"/>
      <c r="K194" s="696"/>
      <c r="L194" s="696"/>
      <c r="M194" s="696"/>
      <c r="N194" s="696"/>
      <c r="O194" s="697"/>
      <c r="P194" s="693" t="s">
        <v>40</v>
      </c>
      <c r="Q194" s="694"/>
      <c r="R194" s="694"/>
      <c r="S194" s="694"/>
      <c r="T194" s="694"/>
      <c r="U194" s="694"/>
      <c r="V194" s="695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85" t="s">
        <v>336</v>
      </c>
      <c r="B195" s="685"/>
      <c r="C195" s="685"/>
      <c r="D195" s="685"/>
      <c r="E195" s="685"/>
      <c r="F195" s="685"/>
      <c r="G195" s="685"/>
      <c r="H195" s="685"/>
      <c r="I195" s="685"/>
      <c r="J195" s="685"/>
      <c r="K195" s="685"/>
      <c r="L195" s="685"/>
      <c r="M195" s="685"/>
      <c r="N195" s="685"/>
      <c r="O195" s="685"/>
      <c r="P195" s="685"/>
      <c r="Q195" s="685"/>
      <c r="R195" s="685"/>
      <c r="S195" s="685"/>
      <c r="T195" s="685"/>
      <c r="U195" s="685"/>
      <c r="V195" s="685"/>
      <c r="W195" s="685"/>
      <c r="X195" s="685"/>
      <c r="Y195" s="685"/>
      <c r="Z195" s="685"/>
      <c r="AA195" s="54"/>
      <c r="AB195" s="54"/>
      <c r="AC195" s="54"/>
    </row>
    <row r="196" spans="1:68" ht="16.5" customHeight="1" x14ac:dyDescent="0.25">
      <c r="A196" s="686" t="s">
        <v>337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86"/>
      <c r="P196" s="686"/>
      <c r="Q196" s="686"/>
      <c r="R196" s="686"/>
      <c r="S196" s="686"/>
      <c r="T196" s="686"/>
      <c r="U196" s="686"/>
      <c r="V196" s="686"/>
      <c r="W196" s="686"/>
      <c r="X196" s="686"/>
      <c r="Y196" s="686"/>
      <c r="Z196" s="686"/>
      <c r="AA196" s="65"/>
      <c r="AB196" s="65"/>
      <c r="AC196" s="79"/>
    </row>
    <row r="197" spans="1:68" ht="14.25" customHeight="1" x14ac:dyDescent="0.25">
      <c r="A197" s="687" t="s">
        <v>129</v>
      </c>
      <c r="B197" s="687"/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6"/>
      <c r="AB197" s="66"/>
      <c r="AC197" s="80"/>
    </row>
    <row r="198" spans="1:68" ht="27" customHeight="1" x14ac:dyDescent="0.25">
      <c r="A198" s="63" t="s">
        <v>338</v>
      </c>
      <c r="B198" s="63" t="s">
        <v>339</v>
      </c>
      <c r="C198" s="36">
        <v>4301012340</v>
      </c>
      <c r="D198" s="688">
        <v>4680115888760</v>
      </c>
      <c r="E198" s="688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90"/>
      <c r="R198" s="690"/>
      <c r="S198" s="690"/>
      <c r="T198" s="691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customHeight="1" x14ac:dyDescent="0.25">
      <c r="A199" s="63" t="s">
        <v>341</v>
      </c>
      <c r="B199" s="63" t="s">
        <v>342</v>
      </c>
      <c r="C199" s="36">
        <v>4301012341</v>
      </c>
      <c r="D199" s="688">
        <v>4680115888807</v>
      </c>
      <c r="E199" s="688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90"/>
      <c r="R199" s="690"/>
      <c r="S199" s="690"/>
      <c r="T199" s="691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4301012342</v>
      </c>
      <c r="D200" s="688">
        <v>4680115888852</v>
      </c>
      <c r="E200" s="688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90"/>
      <c r="R200" s="690"/>
      <c r="S200" s="690"/>
      <c r="T200" s="691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4301011223</v>
      </c>
      <c r="D201" s="688">
        <v>4607091383423</v>
      </c>
      <c r="E201" s="688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90"/>
      <c r="R201" s="690"/>
      <c r="S201" s="690"/>
      <c r="T201" s="691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customHeight="1" x14ac:dyDescent="0.25">
      <c r="A202" s="63" t="s">
        <v>349</v>
      </c>
      <c r="B202" s="63" t="s">
        <v>350</v>
      </c>
      <c r="C202" s="36">
        <v>4301012370</v>
      </c>
      <c r="D202" s="688">
        <v>4680115886957</v>
      </c>
      <c r="E202" s="688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0"/>
      <c r="R202" s="690"/>
      <c r="S202" s="690"/>
      <c r="T202" s="691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customHeight="1" x14ac:dyDescent="0.25">
      <c r="A203" s="63" t="s">
        <v>352</v>
      </c>
      <c r="B203" s="63" t="s">
        <v>353</v>
      </c>
      <c r="C203" s="36">
        <v>4301012098</v>
      </c>
      <c r="D203" s="688">
        <v>4680115885660</v>
      </c>
      <c r="E203" s="688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0"/>
      <c r="R203" s="690"/>
      <c r="S203" s="690"/>
      <c r="T203" s="691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4301012369</v>
      </c>
      <c r="D204" s="688">
        <v>4680115886773</v>
      </c>
      <c r="E204" s="688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0"/>
      <c r="R204" s="690"/>
      <c r="S204" s="690"/>
      <c r="T204" s="691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x14ac:dyDescent="0.2">
      <c r="A205" s="696"/>
      <c r="B205" s="696"/>
      <c r="C205" s="696"/>
      <c r="D205" s="696"/>
      <c r="E205" s="696"/>
      <c r="F205" s="696"/>
      <c r="G205" s="696"/>
      <c r="H205" s="696"/>
      <c r="I205" s="696"/>
      <c r="J205" s="696"/>
      <c r="K205" s="696"/>
      <c r="L205" s="696"/>
      <c r="M205" s="696"/>
      <c r="N205" s="696"/>
      <c r="O205" s="697"/>
      <c r="P205" s="693" t="s">
        <v>40</v>
      </c>
      <c r="Q205" s="694"/>
      <c r="R205" s="694"/>
      <c r="S205" s="694"/>
      <c r="T205" s="694"/>
      <c r="U205" s="694"/>
      <c r="V205" s="695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696"/>
      <c r="B206" s="696"/>
      <c r="C206" s="696"/>
      <c r="D206" s="696"/>
      <c r="E206" s="696"/>
      <c r="F206" s="696"/>
      <c r="G206" s="696"/>
      <c r="H206" s="696"/>
      <c r="I206" s="696"/>
      <c r="J206" s="696"/>
      <c r="K206" s="696"/>
      <c r="L206" s="696"/>
      <c r="M206" s="696"/>
      <c r="N206" s="696"/>
      <c r="O206" s="697"/>
      <c r="P206" s="693" t="s">
        <v>40</v>
      </c>
      <c r="Q206" s="694"/>
      <c r="R206" s="694"/>
      <c r="S206" s="694"/>
      <c r="T206" s="694"/>
      <c r="U206" s="694"/>
      <c r="V206" s="695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86" t="s">
        <v>358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6"/>
      <c r="N207" s="686"/>
      <c r="O207" s="686"/>
      <c r="P207" s="686"/>
      <c r="Q207" s="686"/>
      <c r="R207" s="686"/>
      <c r="S207" s="686"/>
      <c r="T207" s="686"/>
      <c r="U207" s="686"/>
      <c r="V207" s="686"/>
      <c r="W207" s="686"/>
      <c r="X207" s="686"/>
      <c r="Y207" s="686"/>
      <c r="Z207" s="686"/>
      <c r="AA207" s="65"/>
      <c r="AB207" s="65"/>
      <c r="AC207" s="79"/>
    </row>
    <row r="208" spans="1:68" ht="14.25" customHeight="1" x14ac:dyDescent="0.25">
      <c r="A208" s="687" t="s">
        <v>166</v>
      </c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6"/>
      <c r="AB208" s="66"/>
      <c r="AC208" s="80"/>
    </row>
    <row r="209" spans="1:68" ht="27" customHeight="1" x14ac:dyDescent="0.25">
      <c r="A209" s="63" t="s">
        <v>359</v>
      </c>
      <c r="B209" s="63" t="s">
        <v>360</v>
      </c>
      <c r="C209" s="36">
        <v>4301020323</v>
      </c>
      <c r="D209" s="688">
        <v>4680115886223</v>
      </c>
      <c r="E209" s="688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0"/>
      <c r="R209" s="690"/>
      <c r="S209" s="690"/>
      <c r="T209" s="691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96"/>
      <c r="B210" s="696"/>
      <c r="C210" s="696"/>
      <c r="D210" s="696"/>
      <c r="E210" s="696"/>
      <c r="F210" s="696"/>
      <c r="G210" s="696"/>
      <c r="H210" s="696"/>
      <c r="I210" s="696"/>
      <c r="J210" s="696"/>
      <c r="K210" s="696"/>
      <c r="L210" s="696"/>
      <c r="M210" s="696"/>
      <c r="N210" s="696"/>
      <c r="O210" s="697"/>
      <c r="P210" s="693" t="s">
        <v>40</v>
      </c>
      <c r="Q210" s="694"/>
      <c r="R210" s="694"/>
      <c r="S210" s="694"/>
      <c r="T210" s="694"/>
      <c r="U210" s="694"/>
      <c r="V210" s="695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96"/>
      <c r="B211" s="696"/>
      <c r="C211" s="696"/>
      <c r="D211" s="696"/>
      <c r="E211" s="696"/>
      <c r="F211" s="696"/>
      <c r="G211" s="696"/>
      <c r="H211" s="696"/>
      <c r="I211" s="696"/>
      <c r="J211" s="696"/>
      <c r="K211" s="696"/>
      <c r="L211" s="696"/>
      <c r="M211" s="696"/>
      <c r="N211" s="696"/>
      <c r="O211" s="697"/>
      <c r="P211" s="693" t="s">
        <v>40</v>
      </c>
      <c r="Q211" s="694"/>
      <c r="R211" s="694"/>
      <c r="S211" s="694"/>
      <c r="T211" s="694"/>
      <c r="U211" s="694"/>
      <c r="V211" s="695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87" t="s">
        <v>77</v>
      </c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88">
        <v>4680115880993</v>
      </c>
      <c r="E213" s="688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0"/>
      <c r="R213" s="690"/>
      <c r="S213" s="690"/>
      <c r="T213" s="691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88">
        <v>4680115881761</v>
      </c>
      <c r="E214" s="688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0"/>
      <c r="R214" s="690"/>
      <c r="S214" s="690"/>
      <c r="T214" s="691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88">
        <v>4680115881563</v>
      </c>
      <c r="E215" s="688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0"/>
      <c r="R215" s="690"/>
      <c r="S215" s="690"/>
      <c r="T215" s="691"/>
      <c r="U215" s="39" t="s">
        <v>46</v>
      </c>
      <c r="V215" s="39" t="s">
        <v>46</v>
      </c>
      <c r="W215" s="40" t="s">
        <v>0</v>
      </c>
      <c r="X215" s="58">
        <v>20</v>
      </c>
      <c r="Y215" s="55">
        <f t="shared" si="26"/>
        <v>21</v>
      </c>
      <c r="Z215" s="41">
        <f>IFERROR(IF(Y215=0,"",ROUNDUP(Y215/H215,0)*0.00902),"")</f>
        <v>4.5100000000000001E-2</v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20.904761904761902</v>
      </c>
      <c r="BN215" s="78">
        <f t="shared" si="28"/>
        <v>21.95</v>
      </c>
      <c r="BO215" s="78">
        <f t="shared" si="29"/>
        <v>3.6075036075036072E-2</v>
      </c>
      <c r="BP215" s="78">
        <f t="shared" si="30"/>
        <v>3.787878787878788E-2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88">
        <v>4680115887565</v>
      </c>
      <c r="E216" s="688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0"/>
      <c r="R216" s="690"/>
      <c r="S216" s="690"/>
      <c r="T216" s="691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88">
        <v>4680115880986</v>
      </c>
      <c r="E217" s="688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0"/>
      <c r="R217" s="690"/>
      <c r="S217" s="690"/>
      <c r="T217" s="691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4301031443</v>
      </c>
      <c r="D218" s="688">
        <v>4680115887213</v>
      </c>
      <c r="E218" s="688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0"/>
      <c r="R218" s="690"/>
      <c r="S218" s="690"/>
      <c r="T218" s="691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88">
        <v>4680115881785</v>
      </c>
      <c r="E219" s="688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0"/>
      <c r="R219" s="690"/>
      <c r="S219" s="690"/>
      <c r="T219" s="691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4301031499</v>
      </c>
      <c r="D220" s="688">
        <v>4680115888432</v>
      </c>
      <c r="E220" s="688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0"/>
      <c r="R220" s="690"/>
      <c r="S220" s="690"/>
      <c r="T220" s="69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4301031427</v>
      </c>
      <c r="D221" s="688">
        <v>4680115888104</v>
      </c>
      <c r="E221" s="688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0"/>
      <c r="R221" s="690"/>
      <c r="S221" s="690"/>
      <c r="T221" s="69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4301031399</v>
      </c>
      <c r="D222" s="688">
        <v>4680115886537</v>
      </c>
      <c r="E222" s="688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0"/>
      <c r="R222" s="690"/>
      <c r="S222" s="690"/>
      <c r="T222" s="69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88">
        <v>4680115887596</v>
      </c>
      <c r="E223" s="688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0"/>
      <c r="R223" s="690"/>
      <c r="S223" s="690"/>
      <c r="T223" s="69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88">
        <v>4680115881679</v>
      </c>
      <c r="E224" s="688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0"/>
      <c r="R224" s="690"/>
      <c r="S224" s="690"/>
      <c r="T224" s="69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395</v>
      </c>
      <c r="B225" s="63" t="s">
        <v>396</v>
      </c>
      <c r="C225" s="36">
        <v>4301031158</v>
      </c>
      <c r="D225" s="688">
        <v>4680115880191</v>
      </c>
      <c r="E225" s="688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0"/>
      <c r="R225" s="690"/>
      <c r="S225" s="690"/>
      <c r="T225" s="69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397</v>
      </c>
      <c r="B226" s="63" t="s">
        <v>398</v>
      </c>
      <c r="C226" s="36">
        <v>4301031245</v>
      </c>
      <c r="D226" s="688">
        <v>4680115883963</v>
      </c>
      <c r="E226" s="688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0"/>
      <c r="R226" s="690"/>
      <c r="S226" s="690"/>
      <c r="T226" s="69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96"/>
      <c r="B227" s="696"/>
      <c r="C227" s="696"/>
      <c r="D227" s="696"/>
      <c r="E227" s="696"/>
      <c r="F227" s="696"/>
      <c r="G227" s="696"/>
      <c r="H227" s="696"/>
      <c r="I227" s="696"/>
      <c r="J227" s="696"/>
      <c r="K227" s="696"/>
      <c r="L227" s="696"/>
      <c r="M227" s="696"/>
      <c r="N227" s="696"/>
      <c r="O227" s="697"/>
      <c r="P227" s="693" t="s">
        <v>40</v>
      </c>
      <c r="Q227" s="694"/>
      <c r="R227" s="694"/>
      <c r="S227" s="694"/>
      <c r="T227" s="694"/>
      <c r="U227" s="694"/>
      <c r="V227" s="695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4.7619047619047619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5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4.5100000000000001E-2</v>
      </c>
      <c r="AA227" s="67"/>
      <c r="AB227" s="67"/>
      <c r="AC227" s="67"/>
    </row>
    <row r="228" spans="1:68" x14ac:dyDescent="0.2">
      <c r="A228" s="696"/>
      <c r="B228" s="696"/>
      <c r="C228" s="696"/>
      <c r="D228" s="696"/>
      <c r="E228" s="696"/>
      <c r="F228" s="696"/>
      <c r="G228" s="696"/>
      <c r="H228" s="696"/>
      <c r="I228" s="696"/>
      <c r="J228" s="696"/>
      <c r="K228" s="696"/>
      <c r="L228" s="696"/>
      <c r="M228" s="696"/>
      <c r="N228" s="696"/>
      <c r="O228" s="697"/>
      <c r="P228" s="693" t="s">
        <v>40</v>
      </c>
      <c r="Q228" s="694"/>
      <c r="R228" s="694"/>
      <c r="S228" s="694"/>
      <c r="T228" s="694"/>
      <c r="U228" s="694"/>
      <c r="V228" s="695"/>
      <c r="W228" s="42" t="s">
        <v>0</v>
      </c>
      <c r="X228" s="43">
        <f>IFERROR(SUM(X213:X226),"0")</f>
        <v>20</v>
      </c>
      <c r="Y228" s="43">
        <f>IFERROR(SUM(Y213:Y226),"0")</f>
        <v>21</v>
      </c>
      <c r="Z228" s="42"/>
      <c r="AA228" s="67"/>
      <c r="AB228" s="67"/>
      <c r="AC228" s="67"/>
    </row>
    <row r="229" spans="1:68" ht="14.25" customHeight="1" x14ac:dyDescent="0.25">
      <c r="A229" s="687" t="s">
        <v>86</v>
      </c>
      <c r="B229" s="687"/>
      <c r="C229" s="687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  <c r="AA229" s="66"/>
      <c r="AB229" s="66"/>
      <c r="AC229" s="80"/>
    </row>
    <row r="230" spans="1:68" ht="27" customHeight="1" x14ac:dyDescent="0.25">
      <c r="A230" s="63" t="s">
        <v>400</v>
      </c>
      <c r="B230" s="63" t="s">
        <v>401</v>
      </c>
      <c r="C230" s="36">
        <v>4301052178</v>
      </c>
      <c r="D230" s="688">
        <v>4680115888975</v>
      </c>
      <c r="E230" s="688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0"/>
      <c r="R230" s="690"/>
      <c r="S230" s="690"/>
      <c r="T230" s="691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88">
        <v>4680115888692</v>
      </c>
      <c r="E231" s="688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0"/>
      <c r="R231" s="690"/>
      <c r="S231" s="690"/>
      <c r="T231" s="691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88">
        <v>4680115888722</v>
      </c>
      <c r="E232" s="688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0"/>
      <c r="R232" s="690"/>
      <c r="S232" s="690"/>
      <c r="T232" s="691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88">
        <v>4680115888951</v>
      </c>
      <c r="E233" s="688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0"/>
      <c r="R233" s="690"/>
      <c r="S233" s="690"/>
      <c r="T233" s="691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88">
        <v>4680115888982</v>
      </c>
      <c r="E234" s="688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0"/>
      <c r="R234" s="690"/>
      <c r="S234" s="690"/>
      <c r="T234" s="691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96"/>
      <c r="B235" s="696"/>
      <c r="C235" s="696"/>
      <c r="D235" s="696"/>
      <c r="E235" s="696"/>
      <c r="F235" s="696"/>
      <c r="G235" s="696"/>
      <c r="H235" s="696"/>
      <c r="I235" s="696"/>
      <c r="J235" s="696"/>
      <c r="K235" s="696"/>
      <c r="L235" s="696"/>
      <c r="M235" s="696"/>
      <c r="N235" s="696"/>
      <c r="O235" s="697"/>
      <c r="P235" s="693" t="s">
        <v>40</v>
      </c>
      <c r="Q235" s="694"/>
      <c r="R235" s="694"/>
      <c r="S235" s="694"/>
      <c r="T235" s="694"/>
      <c r="U235" s="694"/>
      <c r="V235" s="69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96"/>
      <c r="B236" s="696"/>
      <c r="C236" s="696"/>
      <c r="D236" s="696"/>
      <c r="E236" s="696"/>
      <c r="F236" s="696"/>
      <c r="G236" s="696"/>
      <c r="H236" s="696"/>
      <c r="I236" s="696"/>
      <c r="J236" s="696"/>
      <c r="K236" s="696"/>
      <c r="L236" s="696"/>
      <c r="M236" s="696"/>
      <c r="N236" s="696"/>
      <c r="O236" s="697"/>
      <c r="P236" s="693" t="s">
        <v>40</v>
      </c>
      <c r="Q236" s="694"/>
      <c r="R236" s="694"/>
      <c r="S236" s="694"/>
      <c r="T236" s="694"/>
      <c r="U236" s="694"/>
      <c r="V236" s="69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87" t="s">
        <v>104</v>
      </c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88">
        <v>4680115886780</v>
      </c>
      <c r="E238" s="688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0"/>
      <c r="R238" s="690"/>
      <c r="S238" s="690"/>
      <c r="T238" s="69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88">
        <v>4680115886742</v>
      </c>
      <c r="E239" s="688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0"/>
      <c r="R239" s="690"/>
      <c r="S239" s="690"/>
      <c r="T239" s="69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88">
        <v>4680115886766</v>
      </c>
      <c r="E240" s="688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0"/>
      <c r="R240" s="690"/>
      <c r="S240" s="690"/>
      <c r="T240" s="69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96"/>
      <c r="B241" s="696"/>
      <c r="C241" s="696"/>
      <c r="D241" s="696"/>
      <c r="E241" s="696"/>
      <c r="F241" s="696"/>
      <c r="G241" s="696"/>
      <c r="H241" s="696"/>
      <c r="I241" s="696"/>
      <c r="J241" s="696"/>
      <c r="K241" s="696"/>
      <c r="L241" s="696"/>
      <c r="M241" s="696"/>
      <c r="N241" s="696"/>
      <c r="O241" s="697"/>
      <c r="P241" s="693" t="s">
        <v>40</v>
      </c>
      <c r="Q241" s="694"/>
      <c r="R241" s="694"/>
      <c r="S241" s="694"/>
      <c r="T241" s="694"/>
      <c r="U241" s="694"/>
      <c r="V241" s="69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96"/>
      <c r="B242" s="696"/>
      <c r="C242" s="696"/>
      <c r="D242" s="696"/>
      <c r="E242" s="696"/>
      <c r="F242" s="696"/>
      <c r="G242" s="696"/>
      <c r="H242" s="696"/>
      <c r="I242" s="696"/>
      <c r="J242" s="696"/>
      <c r="K242" s="696"/>
      <c r="L242" s="696"/>
      <c r="M242" s="696"/>
      <c r="N242" s="696"/>
      <c r="O242" s="697"/>
      <c r="P242" s="693" t="s">
        <v>40</v>
      </c>
      <c r="Q242" s="694"/>
      <c r="R242" s="694"/>
      <c r="S242" s="694"/>
      <c r="T242" s="694"/>
      <c r="U242" s="694"/>
      <c r="V242" s="69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87" t="s">
        <v>422</v>
      </c>
      <c r="B243" s="687"/>
      <c r="C243" s="687"/>
      <c r="D243" s="687"/>
      <c r="E243" s="687"/>
      <c r="F243" s="687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88">
        <v>4680115886797</v>
      </c>
      <c r="E244" s="68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0"/>
      <c r="R244" s="690"/>
      <c r="S244" s="690"/>
      <c r="T244" s="69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96"/>
      <c r="B245" s="696"/>
      <c r="C245" s="696"/>
      <c r="D245" s="696"/>
      <c r="E245" s="696"/>
      <c r="F245" s="696"/>
      <c r="G245" s="696"/>
      <c r="H245" s="696"/>
      <c r="I245" s="696"/>
      <c r="J245" s="696"/>
      <c r="K245" s="696"/>
      <c r="L245" s="696"/>
      <c r="M245" s="696"/>
      <c r="N245" s="696"/>
      <c r="O245" s="697"/>
      <c r="P245" s="693" t="s">
        <v>40</v>
      </c>
      <c r="Q245" s="694"/>
      <c r="R245" s="694"/>
      <c r="S245" s="694"/>
      <c r="T245" s="694"/>
      <c r="U245" s="694"/>
      <c r="V245" s="69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96"/>
      <c r="B246" s="696"/>
      <c r="C246" s="696"/>
      <c r="D246" s="696"/>
      <c r="E246" s="696"/>
      <c r="F246" s="696"/>
      <c r="G246" s="696"/>
      <c r="H246" s="696"/>
      <c r="I246" s="696"/>
      <c r="J246" s="696"/>
      <c r="K246" s="696"/>
      <c r="L246" s="696"/>
      <c r="M246" s="696"/>
      <c r="N246" s="696"/>
      <c r="O246" s="697"/>
      <c r="P246" s="693" t="s">
        <v>40</v>
      </c>
      <c r="Q246" s="694"/>
      <c r="R246" s="694"/>
      <c r="S246" s="694"/>
      <c r="T246" s="694"/>
      <c r="U246" s="694"/>
      <c r="V246" s="69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86" t="s">
        <v>425</v>
      </c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86"/>
      <c r="P247" s="686"/>
      <c r="Q247" s="686"/>
      <c r="R247" s="686"/>
      <c r="S247" s="686"/>
      <c r="T247" s="686"/>
      <c r="U247" s="686"/>
      <c r="V247" s="686"/>
      <c r="W247" s="686"/>
      <c r="X247" s="686"/>
      <c r="Y247" s="686"/>
      <c r="Z247" s="686"/>
      <c r="AA247" s="65"/>
      <c r="AB247" s="65"/>
      <c r="AC247" s="79"/>
    </row>
    <row r="248" spans="1:68" ht="14.25" customHeight="1" x14ac:dyDescent="0.25">
      <c r="A248" s="687" t="s">
        <v>129</v>
      </c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88">
        <v>4680115881402</v>
      </c>
      <c r="E249" s="688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0"/>
      <c r="R249" s="690"/>
      <c r="S249" s="690"/>
      <c r="T249" s="691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88">
        <v>4680115881396</v>
      </c>
      <c r="E250" s="688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0"/>
      <c r="R250" s="690"/>
      <c r="S250" s="690"/>
      <c r="T250" s="69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96"/>
      <c r="B251" s="696"/>
      <c r="C251" s="696"/>
      <c r="D251" s="696"/>
      <c r="E251" s="696"/>
      <c r="F251" s="696"/>
      <c r="G251" s="696"/>
      <c r="H251" s="696"/>
      <c r="I251" s="696"/>
      <c r="J251" s="696"/>
      <c r="K251" s="696"/>
      <c r="L251" s="696"/>
      <c r="M251" s="696"/>
      <c r="N251" s="696"/>
      <c r="O251" s="697"/>
      <c r="P251" s="693" t="s">
        <v>40</v>
      </c>
      <c r="Q251" s="694"/>
      <c r="R251" s="694"/>
      <c r="S251" s="694"/>
      <c r="T251" s="694"/>
      <c r="U251" s="694"/>
      <c r="V251" s="695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96"/>
      <c r="B252" s="696"/>
      <c r="C252" s="696"/>
      <c r="D252" s="696"/>
      <c r="E252" s="696"/>
      <c r="F252" s="696"/>
      <c r="G252" s="696"/>
      <c r="H252" s="696"/>
      <c r="I252" s="696"/>
      <c r="J252" s="696"/>
      <c r="K252" s="696"/>
      <c r="L252" s="696"/>
      <c r="M252" s="696"/>
      <c r="N252" s="696"/>
      <c r="O252" s="697"/>
      <c r="P252" s="693" t="s">
        <v>40</v>
      </c>
      <c r="Q252" s="694"/>
      <c r="R252" s="694"/>
      <c r="S252" s="694"/>
      <c r="T252" s="694"/>
      <c r="U252" s="694"/>
      <c r="V252" s="695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87" t="s">
        <v>166</v>
      </c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88">
        <v>4680115882935</v>
      </c>
      <c r="E254" s="688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0"/>
      <c r="R254" s="690"/>
      <c r="S254" s="690"/>
      <c r="T254" s="691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88">
        <v>4680115880764</v>
      </c>
      <c r="E255" s="688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0"/>
      <c r="R255" s="690"/>
      <c r="S255" s="690"/>
      <c r="T255" s="69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96"/>
      <c r="B256" s="696"/>
      <c r="C256" s="696"/>
      <c r="D256" s="696"/>
      <c r="E256" s="696"/>
      <c r="F256" s="696"/>
      <c r="G256" s="696"/>
      <c r="H256" s="696"/>
      <c r="I256" s="696"/>
      <c r="J256" s="696"/>
      <c r="K256" s="696"/>
      <c r="L256" s="696"/>
      <c r="M256" s="696"/>
      <c r="N256" s="696"/>
      <c r="O256" s="697"/>
      <c r="P256" s="693" t="s">
        <v>40</v>
      </c>
      <c r="Q256" s="694"/>
      <c r="R256" s="694"/>
      <c r="S256" s="694"/>
      <c r="T256" s="694"/>
      <c r="U256" s="694"/>
      <c r="V256" s="695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96"/>
      <c r="B257" s="696"/>
      <c r="C257" s="696"/>
      <c r="D257" s="696"/>
      <c r="E257" s="696"/>
      <c r="F257" s="696"/>
      <c r="G257" s="696"/>
      <c r="H257" s="696"/>
      <c r="I257" s="696"/>
      <c r="J257" s="696"/>
      <c r="K257" s="696"/>
      <c r="L257" s="696"/>
      <c r="M257" s="696"/>
      <c r="N257" s="696"/>
      <c r="O257" s="697"/>
      <c r="P257" s="693" t="s">
        <v>40</v>
      </c>
      <c r="Q257" s="694"/>
      <c r="R257" s="694"/>
      <c r="S257" s="694"/>
      <c r="T257" s="694"/>
      <c r="U257" s="694"/>
      <c r="V257" s="695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87" t="s">
        <v>77</v>
      </c>
      <c r="B258" s="687"/>
      <c r="C258" s="687"/>
      <c r="D258" s="687"/>
      <c r="E258" s="687"/>
      <c r="F258" s="687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8">
        <v>4680115882683</v>
      </c>
      <c r="E259" s="688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0"/>
      <c r="R259" s="690"/>
      <c r="S259" s="690"/>
      <c r="T259" s="691"/>
      <c r="U259" s="39" t="s">
        <v>46</v>
      </c>
      <c r="V259" s="39" t="s">
        <v>46</v>
      </c>
      <c r="W259" s="40" t="s">
        <v>0</v>
      </c>
      <c r="X259" s="58">
        <v>30</v>
      </c>
      <c r="Y259" s="55">
        <f t="shared" ref="Y259:Y266" si="32">IFERROR(IF(X259="",0,CEILING((X259/$H259),1)*$H259),"")</f>
        <v>32.400000000000006</v>
      </c>
      <c r="Z259" s="41">
        <f>IFERROR(IF(Y259=0,"",ROUNDUP(Y259/H259,0)*0.00902),"")</f>
        <v>5.4120000000000001E-2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31.05555555555555</v>
      </c>
      <c r="BN259" s="78">
        <f t="shared" ref="BN259:BN266" si="34">IFERROR(Y259*I259/H259,"0")</f>
        <v>33.54</v>
      </c>
      <c r="BO259" s="78">
        <f t="shared" ref="BO259:BO266" si="35">IFERROR(1/J259*(X259/H259),"0")</f>
        <v>4.208754208754209E-2</v>
      </c>
      <c r="BP259" s="78">
        <f t="shared" ref="BP259:BP266" si="36">IFERROR(1/J259*(Y259/H259),"0")</f>
        <v>4.5454545454545463E-2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8">
        <v>4680115882690</v>
      </c>
      <c r="E260" s="688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0"/>
      <c r="R260" s="690"/>
      <c r="S260" s="690"/>
      <c r="T260" s="691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8">
        <v>4680115882669</v>
      </c>
      <c r="E261" s="688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0"/>
      <c r="R261" s="690"/>
      <c r="S261" s="690"/>
      <c r="T261" s="691"/>
      <c r="U261" s="39" t="s">
        <v>46</v>
      </c>
      <c r="V261" s="39" t="s">
        <v>46</v>
      </c>
      <c r="W261" s="40" t="s">
        <v>0</v>
      </c>
      <c r="X261" s="58">
        <v>150</v>
      </c>
      <c r="Y261" s="55">
        <f t="shared" si="32"/>
        <v>151.20000000000002</v>
      </c>
      <c r="Z261" s="41">
        <f>IFERROR(IF(Y261=0,"",ROUNDUP(Y261/H261,0)*0.00902),"")</f>
        <v>0.25256000000000001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155.27777777777777</v>
      </c>
      <c r="BN261" s="78">
        <f t="shared" si="34"/>
        <v>156.52000000000001</v>
      </c>
      <c r="BO261" s="78">
        <f t="shared" si="35"/>
        <v>0.21043771043771042</v>
      </c>
      <c r="BP261" s="78">
        <f t="shared" si="36"/>
        <v>0.21212121212121213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8">
        <v>4680115882676</v>
      </c>
      <c r="E262" s="688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0"/>
      <c r="R262" s="690"/>
      <c r="S262" s="690"/>
      <c r="T262" s="691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8">
        <v>4680115884014</v>
      </c>
      <c r="E263" s="688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0"/>
      <c r="R263" s="690"/>
      <c r="S263" s="690"/>
      <c r="T263" s="691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8">
        <v>4680115884007</v>
      </c>
      <c r="E264" s="688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0"/>
      <c r="R264" s="690"/>
      <c r="S264" s="690"/>
      <c r="T264" s="691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8">
        <v>4680115884038</v>
      </c>
      <c r="E265" s="688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0"/>
      <c r="R265" s="690"/>
      <c r="S265" s="690"/>
      <c r="T265" s="69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88">
        <v>4680115884021</v>
      </c>
      <c r="E266" s="688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0"/>
      <c r="R266" s="690"/>
      <c r="S266" s="690"/>
      <c r="T266" s="69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x14ac:dyDescent="0.2">
      <c r="A267" s="696"/>
      <c r="B267" s="696"/>
      <c r="C267" s="696"/>
      <c r="D267" s="696"/>
      <c r="E267" s="696"/>
      <c r="F267" s="696"/>
      <c r="G267" s="696"/>
      <c r="H267" s="696"/>
      <c r="I267" s="696"/>
      <c r="J267" s="696"/>
      <c r="K267" s="696"/>
      <c r="L267" s="696"/>
      <c r="M267" s="696"/>
      <c r="N267" s="696"/>
      <c r="O267" s="697"/>
      <c r="P267" s="693" t="s">
        <v>40</v>
      </c>
      <c r="Q267" s="694"/>
      <c r="R267" s="694"/>
      <c r="S267" s="694"/>
      <c r="T267" s="694"/>
      <c r="U267" s="694"/>
      <c r="V267" s="695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33.333333333333329</v>
      </c>
      <c r="Y267" s="43">
        <f>IFERROR(Y259/H259,"0")+IFERROR(Y260/H260,"0")+IFERROR(Y261/H261,"0")+IFERROR(Y262/H262,"0")+IFERROR(Y263/H263,"0")+IFERROR(Y264/H264,"0")+IFERROR(Y265/H265,"0")+IFERROR(Y266/H266,"0")</f>
        <v>34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0.30668000000000001</v>
      </c>
      <c r="AA267" s="67"/>
      <c r="AB267" s="67"/>
      <c r="AC267" s="67"/>
    </row>
    <row r="268" spans="1:68" x14ac:dyDescent="0.2">
      <c r="A268" s="696"/>
      <c r="B268" s="696"/>
      <c r="C268" s="696"/>
      <c r="D268" s="696"/>
      <c r="E268" s="696"/>
      <c r="F268" s="696"/>
      <c r="G268" s="696"/>
      <c r="H268" s="696"/>
      <c r="I268" s="696"/>
      <c r="J268" s="696"/>
      <c r="K268" s="696"/>
      <c r="L268" s="696"/>
      <c r="M268" s="696"/>
      <c r="N268" s="696"/>
      <c r="O268" s="697"/>
      <c r="P268" s="693" t="s">
        <v>40</v>
      </c>
      <c r="Q268" s="694"/>
      <c r="R268" s="694"/>
      <c r="S268" s="694"/>
      <c r="T268" s="694"/>
      <c r="U268" s="694"/>
      <c r="V268" s="695"/>
      <c r="W268" s="42" t="s">
        <v>0</v>
      </c>
      <c r="X268" s="43">
        <f>IFERROR(SUM(X259:X266),"0")</f>
        <v>180</v>
      </c>
      <c r="Y268" s="43">
        <f>IFERROR(SUM(Y259:Y266),"0")</f>
        <v>183.60000000000002</v>
      </c>
      <c r="Z268" s="42"/>
      <c r="AA268" s="67"/>
      <c r="AB268" s="67"/>
      <c r="AC268" s="67"/>
    </row>
    <row r="269" spans="1:68" ht="14.25" customHeight="1" x14ac:dyDescent="0.25">
      <c r="A269" s="687" t="s">
        <v>86</v>
      </c>
      <c r="B269" s="687"/>
      <c r="C269" s="687"/>
      <c r="D269" s="687"/>
      <c r="E269" s="687"/>
      <c r="F269" s="687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88">
        <v>4680115881594</v>
      </c>
      <c r="E270" s="688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0"/>
      <c r="R270" s="690"/>
      <c r="S270" s="690"/>
      <c r="T270" s="69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88">
        <v>4680115881617</v>
      </c>
      <c r="E271" s="688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0"/>
      <c r="R271" s="690"/>
      <c r="S271" s="690"/>
      <c r="T271" s="69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8">
        <v>4680115880573</v>
      </c>
      <c r="E272" s="688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0"/>
      <c r="R272" s="690"/>
      <c r="S272" s="690"/>
      <c r="T272" s="69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8">
        <v>4680115882195</v>
      </c>
      <c r="E273" s="688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0"/>
      <c r="R273" s="690"/>
      <c r="S273" s="690"/>
      <c r="T273" s="691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88">
        <v>4680115882607</v>
      </c>
      <c r="E274" s="688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0"/>
      <c r="R274" s="690"/>
      <c r="S274" s="690"/>
      <c r="T274" s="691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88">
        <v>4680115882607</v>
      </c>
      <c r="E275" s="688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0"/>
      <c r="R275" s="690"/>
      <c r="S275" s="690"/>
      <c r="T275" s="691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8">
        <v>4680115880092</v>
      </c>
      <c r="E276" s="688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0"/>
      <c r="R276" s="690"/>
      <c r="S276" s="690"/>
      <c r="T276" s="691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88">
        <v>4680115889064</v>
      </c>
      <c r="E277" s="688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0"/>
      <c r="R277" s="690"/>
      <c r="S277" s="690"/>
      <c r="T277" s="69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88">
        <v>4680115880221</v>
      </c>
      <c r="E278" s="688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0"/>
      <c r="R278" s="690"/>
      <c r="S278" s="690"/>
      <c r="T278" s="69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8">
        <v>4680115880504</v>
      </c>
      <c r="E279" s="68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0"/>
      <c r="R279" s="690"/>
      <c r="S279" s="690"/>
      <c r="T279" s="69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8">
        <v>4680115882164</v>
      </c>
      <c r="E280" s="688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0"/>
      <c r="R280" s="690"/>
      <c r="S280" s="690"/>
      <c r="T280" s="69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88">
        <v>4680115888340</v>
      </c>
      <c r="E281" s="68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0"/>
      <c r="R281" s="690"/>
      <c r="S281" s="690"/>
      <c r="T281" s="69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96"/>
      <c r="B282" s="696"/>
      <c r="C282" s="696"/>
      <c r="D282" s="696"/>
      <c r="E282" s="696"/>
      <c r="F282" s="696"/>
      <c r="G282" s="696"/>
      <c r="H282" s="696"/>
      <c r="I282" s="696"/>
      <c r="J282" s="696"/>
      <c r="K282" s="696"/>
      <c r="L282" s="696"/>
      <c r="M282" s="696"/>
      <c r="N282" s="696"/>
      <c r="O282" s="697"/>
      <c r="P282" s="693" t="s">
        <v>40</v>
      </c>
      <c r="Q282" s="694"/>
      <c r="R282" s="694"/>
      <c r="S282" s="694"/>
      <c r="T282" s="694"/>
      <c r="U282" s="694"/>
      <c r="V282" s="695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96"/>
      <c r="B283" s="696"/>
      <c r="C283" s="696"/>
      <c r="D283" s="696"/>
      <c r="E283" s="696"/>
      <c r="F283" s="696"/>
      <c r="G283" s="696"/>
      <c r="H283" s="696"/>
      <c r="I283" s="696"/>
      <c r="J283" s="696"/>
      <c r="K283" s="696"/>
      <c r="L283" s="696"/>
      <c r="M283" s="696"/>
      <c r="N283" s="696"/>
      <c r="O283" s="697"/>
      <c r="P283" s="693" t="s">
        <v>40</v>
      </c>
      <c r="Q283" s="694"/>
      <c r="R283" s="694"/>
      <c r="S283" s="694"/>
      <c r="T283" s="694"/>
      <c r="U283" s="694"/>
      <c r="V283" s="695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87" t="s">
        <v>183</v>
      </c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88">
        <v>4680115880818</v>
      </c>
      <c r="E285" s="68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0"/>
      <c r="R285" s="690"/>
      <c r="S285" s="690"/>
      <c r="T285" s="691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88">
        <v>4680115880801</v>
      </c>
      <c r="E286" s="688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0"/>
      <c r="R286" s="690"/>
      <c r="S286" s="690"/>
      <c r="T286" s="691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96"/>
      <c r="B287" s="696"/>
      <c r="C287" s="696"/>
      <c r="D287" s="696"/>
      <c r="E287" s="696"/>
      <c r="F287" s="696"/>
      <c r="G287" s="696"/>
      <c r="H287" s="696"/>
      <c r="I287" s="696"/>
      <c r="J287" s="696"/>
      <c r="K287" s="696"/>
      <c r="L287" s="696"/>
      <c r="M287" s="696"/>
      <c r="N287" s="696"/>
      <c r="O287" s="697"/>
      <c r="P287" s="693" t="s">
        <v>40</v>
      </c>
      <c r="Q287" s="694"/>
      <c r="R287" s="694"/>
      <c r="S287" s="694"/>
      <c r="T287" s="694"/>
      <c r="U287" s="694"/>
      <c r="V287" s="695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96"/>
      <c r="B288" s="696"/>
      <c r="C288" s="696"/>
      <c r="D288" s="696"/>
      <c r="E288" s="696"/>
      <c r="F288" s="696"/>
      <c r="G288" s="696"/>
      <c r="H288" s="696"/>
      <c r="I288" s="696"/>
      <c r="J288" s="696"/>
      <c r="K288" s="696"/>
      <c r="L288" s="696"/>
      <c r="M288" s="696"/>
      <c r="N288" s="696"/>
      <c r="O288" s="697"/>
      <c r="P288" s="693" t="s">
        <v>40</v>
      </c>
      <c r="Q288" s="694"/>
      <c r="R288" s="694"/>
      <c r="S288" s="694"/>
      <c r="T288" s="694"/>
      <c r="U288" s="694"/>
      <c r="V288" s="695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86" t="s">
        <v>493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6"/>
      <c r="N289" s="686"/>
      <c r="O289" s="686"/>
      <c r="P289" s="686"/>
      <c r="Q289" s="686"/>
      <c r="R289" s="686"/>
      <c r="S289" s="686"/>
      <c r="T289" s="686"/>
      <c r="U289" s="686"/>
      <c r="V289" s="686"/>
      <c r="W289" s="686"/>
      <c r="X289" s="686"/>
      <c r="Y289" s="686"/>
      <c r="Z289" s="686"/>
      <c r="AA289" s="65"/>
      <c r="AB289" s="65"/>
      <c r="AC289" s="79"/>
    </row>
    <row r="290" spans="1:68" ht="14.25" customHeight="1" x14ac:dyDescent="0.25">
      <c r="A290" s="687" t="s">
        <v>129</v>
      </c>
      <c r="B290" s="687"/>
      <c r="C290" s="687"/>
      <c r="D290" s="687"/>
      <c r="E290" s="687"/>
      <c r="F290" s="68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88">
        <v>4680115884137</v>
      </c>
      <c r="E291" s="688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0"/>
      <c r="R291" s="690"/>
      <c r="S291" s="690"/>
      <c r="T291" s="691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88">
        <v>4680115884236</v>
      </c>
      <c r="E292" s="688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0"/>
      <c r="R292" s="690"/>
      <c r="S292" s="690"/>
      <c r="T292" s="691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88">
        <v>4680115884175</v>
      </c>
      <c r="E293" s="688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0"/>
      <c r="R293" s="690"/>
      <c r="S293" s="690"/>
      <c r="T293" s="691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88">
        <v>4680115884144</v>
      </c>
      <c r="E294" s="688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0"/>
      <c r="R294" s="690"/>
      <c r="S294" s="690"/>
      <c r="T294" s="691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88">
        <v>4680115886551</v>
      </c>
      <c r="E295" s="688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0"/>
      <c r="R295" s="690"/>
      <c r="S295" s="690"/>
      <c r="T295" s="691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88">
        <v>4680115887282</v>
      </c>
      <c r="E296" s="688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0"/>
      <c r="R296" s="690"/>
      <c r="S296" s="690"/>
      <c r="T296" s="691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88">
        <v>4680115884205</v>
      </c>
      <c r="E297" s="688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0"/>
      <c r="R297" s="690"/>
      <c r="S297" s="690"/>
      <c r="T297" s="69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x14ac:dyDescent="0.2">
      <c r="A298" s="696"/>
      <c r="B298" s="696"/>
      <c r="C298" s="696"/>
      <c r="D298" s="696"/>
      <c r="E298" s="696"/>
      <c r="F298" s="696"/>
      <c r="G298" s="696"/>
      <c r="H298" s="696"/>
      <c r="I298" s="696"/>
      <c r="J298" s="696"/>
      <c r="K298" s="696"/>
      <c r="L298" s="696"/>
      <c r="M298" s="696"/>
      <c r="N298" s="696"/>
      <c r="O298" s="697"/>
      <c r="P298" s="693" t="s">
        <v>40</v>
      </c>
      <c r="Q298" s="694"/>
      <c r="R298" s="694"/>
      <c r="S298" s="694"/>
      <c r="T298" s="694"/>
      <c r="U298" s="694"/>
      <c r="V298" s="695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96"/>
      <c r="B299" s="696"/>
      <c r="C299" s="696"/>
      <c r="D299" s="696"/>
      <c r="E299" s="696"/>
      <c r="F299" s="696"/>
      <c r="G299" s="696"/>
      <c r="H299" s="696"/>
      <c r="I299" s="696"/>
      <c r="J299" s="696"/>
      <c r="K299" s="696"/>
      <c r="L299" s="696"/>
      <c r="M299" s="696"/>
      <c r="N299" s="696"/>
      <c r="O299" s="697"/>
      <c r="P299" s="693" t="s">
        <v>40</v>
      </c>
      <c r="Q299" s="694"/>
      <c r="R299" s="694"/>
      <c r="S299" s="694"/>
      <c r="T299" s="694"/>
      <c r="U299" s="694"/>
      <c r="V299" s="695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87" t="s">
        <v>166</v>
      </c>
      <c r="B300" s="687"/>
      <c r="C300" s="687"/>
      <c r="D300" s="687"/>
      <c r="E300" s="687"/>
      <c r="F300" s="687"/>
      <c r="G300" s="687"/>
      <c r="H300" s="687"/>
      <c r="I300" s="687"/>
      <c r="J300" s="687"/>
      <c r="K300" s="687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88">
        <v>4680115885981</v>
      </c>
      <c r="E301" s="688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0"/>
      <c r="R301" s="690"/>
      <c r="S301" s="690"/>
      <c r="T301" s="691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96"/>
      <c r="B302" s="696"/>
      <c r="C302" s="696"/>
      <c r="D302" s="696"/>
      <c r="E302" s="696"/>
      <c r="F302" s="696"/>
      <c r="G302" s="696"/>
      <c r="H302" s="696"/>
      <c r="I302" s="696"/>
      <c r="J302" s="696"/>
      <c r="K302" s="696"/>
      <c r="L302" s="696"/>
      <c r="M302" s="696"/>
      <c r="N302" s="696"/>
      <c r="O302" s="697"/>
      <c r="P302" s="693" t="s">
        <v>40</v>
      </c>
      <c r="Q302" s="694"/>
      <c r="R302" s="694"/>
      <c r="S302" s="694"/>
      <c r="T302" s="694"/>
      <c r="U302" s="694"/>
      <c r="V302" s="695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96"/>
      <c r="B303" s="696"/>
      <c r="C303" s="696"/>
      <c r="D303" s="696"/>
      <c r="E303" s="696"/>
      <c r="F303" s="696"/>
      <c r="G303" s="696"/>
      <c r="H303" s="696"/>
      <c r="I303" s="696"/>
      <c r="J303" s="696"/>
      <c r="K303" s="696"/>
      <c r="L303" s="696"/>
      <c r="M303" s="696"/>
      <c r="N303" s="696"/>
      <c r="O303" s="697"/>
      <c r="P303" s="693" t="s">
        <v>40</v>
      </c>
      <c r="Q303" s="694"/>
      <c r="R303" s="694"/>
      <c r="S303" s="694"/>
      <c r="T303" s="694"/>
      <c r="U303" s="694"/>
      <c r="V303" s="695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87" t="s">
        <v>515</v>
      </c>
      <c r="B304" s="687"/>
      <c r="C304" s="687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88">
        <v>4680115886803</v>
      </c>
      <c r="E305" s="688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0"/>
      <c r="R305" s="690"/>
      <c r="S305" s="690"/>
      <c r="T305" s="691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96"/>
      <c r="B306" s="696"/>
      <c r="C306" s="696"/>
      <c r="D306" s="696"/>
      <c r="E306" s="696"/>
      <c r="F306" s="696"/>
      <c r="G306" s="696"/>
      <c r="H306" s="696"/>
      <c r="I306" s="696"/>
      <c r="J306" s="696"/>
      <c r="K306" s="696"/>
      <c r="L306" s="696"/>
      <c r="M306" s="696"/>
      <c r="N306" s="696"/>
      <c r="O306" s="697"/>
      <c r="P306" s="693" t="s">
        <v>40</v>
      </c>
      <c r="Q306" s="694"/>
      <c r="R306" s="694"/>
      <c r="S306" s="694"/>
      <c r="T306" s="694"/>
      <c r="U306" s="694"/>
      <c r="V306" s="695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96"/>
      <c r="B307" s="696"/>
      <c r="C307" s="696"/>
      <c r="D307" s="696"/>
      <c r="E307" s="696"/>
      <c r="F307" s="696"/>
      <c r="G307" s="696"/>
      <c r="H307" s="696"/>
      <c r="I307" s="696"/>
      <c r="J307" s="696"/>
      <c r="K307" s="696"/>
      <c r="L307" s="696"/>
      <c r="M307" s="696"/>
      <c r="N307" s="696"/>
      <c r="O307" s="697"/>
      <c r="P307" s="693" t="s">
        <v>40</v>
      </c>
      <c r="Q307" s="694"/>
      <c r="R307" s="694"/>
      <c r="S307" s="694"/>
      <c r="T307" s="694"/>
      <c r="U307" s="694"/>
      <c r="V307" s="695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87" t="s">
        <v>332</v>
      </c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88">
        <v>4680115886704</v>
      </c>
      <c r="E309" s="688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0"/>
      <c r="R309" s="690"/>
      <c r="S309" s="690"/>
      <c r="T309" s="691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88">
        <v>4680115886681</v>
      </c>
      <c r="E310" s="688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0"/>
      <c r="R310" s="690"/>
      <c r="S310" s="690"/>
      <c r="T310" s="691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88">
        <v>4680115886735</v>
      </c>
      <c r="E311" s="688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0"/>
      <c r="R311" s="690"/>
      <c r="S311" s="690"/>
      <c r="T311" s="69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96"/>
      <c r="B312" s="696"/>
      <c r="C312" s="696"/>
      <c r="D312" s="696"/>
      <c r="E312" s="696"/>
      <c r="F312" s="696"/>
      <c r="G312" s="696"/>
      <c r="H312" s="696"/>
      <c r="I312" s="696"/>
      <c r="J312" s="696"/>
      <c r="K312" s="696"/>
      <c r="L312" s="696"/>
      <c r="M312" s="696"/>
      <c r="N312" s="696"/>
      <c r="O312" s="697"/>
      <c r="P312" s="693" t="s">
        <v>40</v>
      </c>
      <c r="Q312" s="694"/>
      <c r="R312" s="694"/>
      <c r="S312" s="694"/>
      <c r="T312" s="694"/>
      <c r="U312" s="694"/>
      <c r="V312" s="695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96"/>
      <c r="B313" s="696"/>
      <c r="C313" s="696"/>
      <c r="D313" s="696"/>
      <c r="E313" s="696"/>
      <c r="F313" s="696"/>
      <c r="G313" s="696"/>
      <c r="H313" s="696"/>
      <c r="I313" s="696"/>
      <c r="J313" s="696"/>
      <c r="K313" s="696"/>
      <c r="L313" s="696"/>
      <c r="M313" s="696"/>
      <c r="N313" s="696"/>
      <c r="O313" s="697"/>
      <c r="P313" s="693" t="s">
        <v>40</v>
      </c>
      <c r="Q313" s="694"/>
      <c r="R313" s="694"/>
      <c r="S313" s="694"/>
      <c r="T313" s="694"/>
      <c r="U313" s="694"/>
      <c r="V313" s="695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86" t="s">
        <v>526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86"/>
      <c r="P314" s="686"/>
      <c r="Q314" s="686"/>
      <c r="R314" s="686"/>
      <c r="S314" s="686"/>
      <c r="T314" s="686"/>
      <c r="U314" s="686"/>
      <c r="V314" s="686"/>
      <c r="W314" s="686"/>
      <c r="X314" s="686"/>
      <c r="Y314" s="686"/>
      <c r="Z314" s="686"/>
      <c r="AA314" s="65"/>
      <c r="AB314" s="65"/>
      <c r="AC314" s="79"/>
    </row>
    <row r="315" spans="1:68" ht="14.25" customHeight="1" x14ac:dyDescent="0.25">
      <c r="A315" s="687" t="s">
        <v>129</v>
      </c>
      <c r="B315" s="687"/>
      <c r="C315" s="687"/>
      <c r="D315" s="687"/>
      <c r="E315" s="687"/>
      <c r="F315" s="687"/>
      <c r="G315" s="687"/>
      <c r="H315" s="687"/>
      <c r="I315" s="687"/>
      <c r="J315" s="687"/>
      <c r="K315" s="687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88">
        <v>4680115885837</v>
      </c>
      <c r="E316" s="688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0"/>
      <c r="R316" s="690"/>
      <c r="S316" s="690"/>
      <c r="T316" s="69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88">
        <v>4680115887237</v>
      </c>
      <c r="E317" s="688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0"/>
      <c r="R317" s="690"/>
      <c r="S317" s="690"/>
      <c r="T317" s="69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88">
        <v>4680115885806</v>
      </c>
      <c r="E318" s="688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0"/>
      <c r="R318" s="690"/>
      <c r="S318" s="690"/>
      <c r="T318" s="69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88">
        <v>4680115885844</v>
      </c>
      <c r="E319" s="688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0"/>
      <c r="R319" s="690"/>
      <c r="S319" s="690"/>
      <c r="T319" s="691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88">
        <v>4680115885820</v>
      </c>
      <c r="E320" s="688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0"/>
      <c r="R320" s="690"/>
      <c r="S320" s="690"/>
      <c r="T320" s="691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96"/>
      <c r="B321" s="696"/>
      <c r="C321" s="696"/>
      <c r="D321" s="696"/>
      <c r="E321" s="696"/>
      <c r="F321" s="696"/>
      <c r="G321" s="696"/>
      <c r="H321" s="696"/>
      <c r="I321" s="696"/>
      <c r="J321" s="696"/>
      <c r="K321" s="696"/>
      <c r="L321" s="696"/>
      <c r="M321" s="696"/>
      <c r="N321" s="696"/>
      <c r="O321" s="697"/>
      <c r="P321" s="693" t="s">
        <v>40</v>
      </c>
      <c r="Q321" s="694"/>
      <c r="R321" s="694"/>
      <c r="S321" s="694"/>
      <c r="T321" s="694"/>
      <c r="U321" s="694"/>
      <c r="V321" s="695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96"/>
      <c r="B322" s="696"/>
      <c r="C322" s="696"/>
      <c r="D322" s="696"/>
      <c r="E322" s="696"/>
      <c r="F322" s="696"/>
      <c r="G322" s="696"/>
      <c r="H322" s="696"/>
      <c r="I322" s="696"/>
      <c r="J322" s="696"/>
      <c r="K322" s="696"/>
      <c r="L322" s="696"/>
      <c r="M322" s="696"/>
      <c r="N322" s="696"/>
      <c r="O322" s="697"/>
      <c r="P322" s="693" t="s">
        <v>40</v>
      </c>
      <c r="Q322" s="694"/>
      <c r="R322" s="694"/>
      <c r="S322" s="694"/>
      <c r="T322" s="694"/>
      <c r="U322" s="694"/>
      <c r="V322" s="695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86" t="s">
        <v>542</v>
      </c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86"/>
      <c r="P323" s="686"/>
      <c r="Q323" s="686"/>
      <c r="R323" s="686"/>
      <c r="S323" s="686"/>
      <c r="T323" s="686"/>
      <c r="U323" s="686"/>
      <c r="V323" s="686"/>
      <c r="W323" s="686"/>
      <c r="X323" s="686"/>
      <c r="Y323" s="686"/>
      <c r="Z323" s="686"/>
      <c r="AA323" s="65"/>
      <c r="AB323" s="65"/>
      <c r="AC323" s="79"/>
    </row>
    <row r="324" spans="1:68" ht="14.25" customHeight="1" x14ac:dyDescent="0.25">
      <c r="A324" s="687" t="s">
        <v>86</v>
      </c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88">
        <v>4680115886186</v>
      </c>
      <c r="E325" s="688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0"/>
      <c r="R325" s="690"/>
      <c r="S325" s="690"/>
      <c r="T325" s="691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8">
        <v>4680115881228</v>
      </c>
      <c r="E326" s="688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0"/>
      <c r="R326" s="690"/>
      <c r="S326" s="690"/>
      <c r="T326" s="691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8">
        <v>4680115881211</v>
      </c>
      <c r="E327" s="688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0"/>
      <c r="R327" s="690"/>
      <c r="S327" s="690"/>
      <c r="T327" s="691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96"/>
      <c r="B328" s="696"/>
      <c r="C328" s="696"/>
      <c r="D328" s="696"/>
      <c r="E328" s="696"/>
      <c r="F328" s="696"/>
      <c r="G328" s="696"/>
      <c r="H328" s="696"/>
      <c r="I328" s="696"/>
      <c r="J328" s="696"/>
      <c r="K328" s="696"/>
      <c r="L328" s="696"/>
      <c r="M328" s="696"/>
      <c r="N328" s="696"/>
      <c r="O328" s="697"/>
      <c r="P328" s="693" t="s">
        <v>40</v>
      </c>
      <c r="Q328" s="694"/>
      <c r="R328" s="694"/>
      <c r="S328" s="694"/>
      <c r="T328" s="694"/>
      <c r="U328" s="694"/>
      <c r="V328" s="695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96"/>
      <c r="B329" s="696"/>
      <c r="C329" s="696"/>
      <c r="D329" s="696"/>
      <c r="E329" s="696"/>
      <c r="F329" s="696"/>
      <c r="G329" s="696"/>
      <c r="H329" s="696"/>
      <c r="I329" s="696"/>
      <c r="J329" s="696"/>
      <c r="K329" s="696"/>
      <c r="L329" s="696"/>
      <c r="M329" s="696"/>
      <c r="N329" s="696"/>
      <c r="O329" s="697"/>
      <c r="P329" s="693" t="s">
        <v>40</v>
      </c>
      <c r="Q329" s="694"/>
      <c r="R329" s="694"/>
      <c r="S329" s="694"/>
      <c r="T329" s="694"/>
      <c r="U329" s="694"/>
      <c r="V329" s="695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86" t="s">
        <v>551</v>
      </c>
      <c r="B330" s="686"/>
      <c r="C330" s="686"/>
      <c r="D330" s="686"/>
      <c r="E330" s="686"/>
      <c r="F330" s="686"/>
      <c r="G330" s="686"/>
      <c r="H330" s="686"/>
      <c r="I330" s="686"/>
      <c r="J330" s="686"/>
      <c r="K330" s="686"/>
      <c r="L330" s="686"/>
      <c r="M330" s="686"/>
      <c r="N330" s="686"/>
      <c r="O330" s="686"/>
      <c r="P330" s="686"/>
      <c r="Q330" s="686"/>
      <c r="R330" s="686"/>
      <c r="S330" s="686"/>
      <c r="T330" s="686"/>
      <c r="U330" s="686"/>
      <c r="V330" s="686"/>
      <c r="W330" s="686"/>
      <c r="X330" s="686"/>
      <c r="Y330" s="686"/>
      <c r="Z330" s="686"/>
      <c r="AA330" s="65"/>
      <c r="AB330" s="65"/>
      <c r="AC330" s="79"/>
    </row>
    <row r="331" spans="1:68" ht="14.25" customHeight="1" x14ac:dyDescent="0.25">
      <c r="A331" s="687" t="s">
        <v>77</v>
      </c>
      <c r="B331" s="687"/>
      <c r="C331" s="687"/>
      <c r="D331" s="687"/>
      <c r="E331" s="687"/>
      <c r="F331" s="687"/>
      <c r="G331" s="687"/>
      <c r="H331" s="687"/>
      <c r="I331" s="687"/>
      <c r="J331" s="687"/>
      <c r="K331" s="687"/>
      <c r="L331" s="687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88">
        <v>4680115888319</v>
      </c>
      <c r="E332" s="688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0"/>
      <c r="R332" s="690"/>
      <c r="S332" s="690"/>
      <c r="T332" s="691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88">
        <v>4680115884700</v>
      </c>
      <c r="E333" s="688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0"/>
      <c r="R333" s="690"/>
      <c r="S333" s="690"/>
      <c r="T333" s="691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88">
        <v>4680115880344</v>
      </c>
      <c r="E334" s="688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0"/>
      <c r="R334" s="690"/>
      <c r="S334" s="690"/>
      <c r="T334" s="69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88">
        <v>4680115886919</v>
      </c>
      <c r="E335" s="688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0"/>
      <c r="R335" s="690"/>
      <c r="S335" s="690"/>
      <c r="T335" s="69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88">
        <v>4680115883970</v>
      </c>
      <c r="E336" s="688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0"/>
      <c r="R336" s="690"/>
      <c r="S336" s="690"/>
      <c r="T336" s="69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96"/>
      <c r="B337" s="696"/>
      <c r="C337" s="696"/>
      <c r="D337" s="696"/>
      <c r="E337" s="696"/>
      <c r="F337" s="696"/>
      <c r="G337" s="696"/>
      <c r="H337" s="696"/>
      <c r="I337" s="696"/>
      <c r="J337" s="696"/>
      <c r="K337" s="696"/>
      <c r="L337" s="696"/>
      <c r="M337" s="696"/>
      <c r="N337" s="696"/>
      <c r="O337" s="697"/>
      <c r="P337" s="693" t="s">
        <v>40</v>
      </c>
      <c r="Q337" s="694"/>
      <c r="R337" s="694"/>
      <c r="S337" s="694"/>
      <c r="T337" s="694"/>
      <c r="U337" s="694"/>
      <c r="V337" s="695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96"/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7"/>
      <c r="P338" s="693" t="s">
        <v>40</v>
      </c>
      <c r="Q338" s="694"/>
      <c r="R338" s="694"/>
      <c r="S338" s="694"/>
      <c r="T338" s="694"/>
      <c r="U338" s="694"/>
      <c r="V338" s="695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87" t="s">
        <v>86</v>
      </c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88">
        <v>4680115884618</v>
      </c>
      <c r="E340" s="688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0"/>
      <c r="R340" s="690"/>
      <c r="S340" s="690"/>
      <c r="T340" s="691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88">
        <v>4680115887114</v>
      </c>
      <c r="E341" s="688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0"/>
      <c r="R341" s="690"/>
      <c r="S341" s="690"/>
      <c r="T341" s="69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96"/>
      <c r="B342" s="696"/>
      <c r="C342" s="696"/>
      <c r="D342" s="696"/>
      <c r="E342" s="696"/>
      <c r="F342" s="696"/>
      <c r="G342" s="696"/>
      <c r="H342" s="696"/>
      <c r="I342" s="696"/>
      <c r="J342" s="696"/>
      <c r="K342" s="696"/>
      <c r="L342" s="696"/>
      <c r="M342" s="696"/>
      <c r="N342" s="696"/>
      <c r="O342" s="697"/>
      <c r="P342" s="693" t="s">
        <v>40</v>
      </c>
      <c r="Q342" s="694"/>
      <c r="R342" s="694"/>
      <c r="S342" s="694"/>
      <c r="T342" s="694"/>
      <c r="U342" s="694"/>
      <c r="V342" s="695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96"/>
      <c r="B343" s="696"/>
      <c r="C343" s="696"/>
      <c r="D343" s="696"/>
      <c r="E343" s="696"/>
      <c r="F343" s="696"/>
      <c r="G343" s="696"/>
      <c r="H343" s="696"/>
      <c r="I343" s="696"/>
      <c r="J343" s="696"/>
      <c r="K343" s="696"/>
      <c r="L343" s="696"/>
      <c r="M343" s="696"/>
      <c r="N343" s="696"/>
      <c r="O343" s="697"/>
      <c r="P343" s="693" t="s">
        <v>40</v>
      </c>
      <c r="Q343" s="694"/>
      <c r="R343" s="694"/>
      <c r="S343" s="694"/>
      <c r="T343" s="694"/>
      <c r="U343" s="694"/>
      <c r="V343" s="695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86" t="s">
        <v>572</v>
      </c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  <c r="L344" s="686"/>
      <c r="M344" s="686"/>
      <c r="N344" s="686"/>
      <c r="O344" s="686"/>
      <c r="P344" s="686"/>
      <c r="Q344" s="686"/>
      <c r="R344" s="686"/>
      <c r="S344" s="686"/>
      <c r="T344" s="686"/>
      <c r="U344" s="686"/>
      <c r="V344" s="686"/>
      <c r="W344" s="686"/>
      <c r="X344" s="686"/>
      <c r="Y344" s="686"/>
      <c r="Z344" s="686"/>
      <c r="AA344" s="65"/>
      <c r="AB344" s="65"/>
      <c r="AC344" s="79"/>
    </row>
    <row r="345" spans="1:68" ht="14.25" customHeight="1" x14ac:dyDescent="0.25">
      <c r="A345" s="687" t="s">
        <v>129</v>
      </c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8">
        <v>4680115887947</v>
      </c>
      <c r="E346" s="688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0"/>
      <c r="R346" s="690"/>
      <c r="S346" s="690"/>
      <c r="T346" s="691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8">
        <v>4680115887978</v>
      </c>
      <c r="E347" s="688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0"/>
      <c r="R347" s="690"/>
      <c r="S347" s="690"/>
      <c r="T347" s="691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8">
        <v>4680115887992</v>
      </c>
      <c r="E348" s="688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0"/>
      <c r="R348" s="690"/>
      <c r="S348" s="690"/>
      <c r="T348" s="69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96"/>
      <c r="B349" s="696"/>
      <c r="C349" s="696"/>
      <c r="D349" s="696"/>
      <c r="E349" s="696"/>
      <c r="F349" s="696"/>
      <c r="G349" s="696"/>
      <c r="H349" s="696"/>
      <c r="I349" s="696"/>
      <c r="J349" s="696"/>
      <c r="K349" s="696"/>
      <c r="L349" s="696"/>
      <c r="M349" s="696"/>
      <c r="N349" s="696"/>
      <c r="O349" s="697"/>
      <c r="P349" s="693" t="s">
        <v>40</v>
      </c>
      <c r="Q349" s="694"/>
      <c r="R349" s="694"/>
      <c r="S349" s="694"/>
      <c r="T349" s="694"/>
      <c r="U349" s="694"/>
      <c r="V349" s="695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96"/>
      <c r="B350" s="696"/>
      <c r="C350" s="696"/>
      <c r="D350" s="696"/>
      <c r="E350" s="696"/>
      <c r="F350" s="696"/>
      <c r="G350" s="696"/>
      <c r="H350" s="696"/>
      <c r="I350" s="696"/>
      <c r="J350" s="696"/>
      <c r="K350" s="696"/>
      <c r="L350" s="696"/>
      <c r="M350" s="696"/>
      <c r="N350" s="696"/>
      <c r="O350" s="697"/>
      <c r="P350" s="693" t="s">
        <v>40</v>
      </c>
      <c r="Q350" s="694"/>
      <c r="R350" s="694"/>
      <c r="S350" s="694"/>
      <c r="T350" s="694"/>
      <c r="U350" s="694"/>
      <c r="V350" s="695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86" t="s">
        <v>581</v>
      </c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  <c r="L351" s="686"/>
      <c r="M351" s="686"/>
      <c r="N351" s="686"/>
      <c r="O351" s="686"/>
      <c r="P351" s="686"/>
      <c r="Q351" s="686"/>
      <c r="R351" s="686"/>
      <c r="S351" s="686"/>
      <c r="T351" s="686"/>
      <c r="U351" s="686"/>
      <c r="V351" s="686"/>
      <c r="W351" s="686"/>
      <c r="X351" s="686"/>
      <c r="Y351" s="686"/>
      <c r="Z351" s="686"/>
      <c r="AA351" s="65"/>
      <c r="AB351" s="65"/>
      <c r="AC351" s="79"/>
    </row>
    <row r="352" spans="1:68" ht="14.25" customHeight="1" x14ac:dyDescent="0.25">
      <c r="A352" s="687" t="s">
        <v>129</v>
      </c>
      <c r="B352" s="687"/>
      <c r="C352" s="687"/>
      <c r="D352" s="687"/>
      <c r="E352" s="687"/>
      <c r="F352" s="687"/>
      <c r="G352" s="687"/>
      <c r="H352" s="687"/>
      <c r="I352" s="687"/>
      <c r="J352" s="687"/>
      <c r="K352" s="687"/>
      <c r="L352" s="687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8">
        <v>4607091386004</v>
      </c>
      <c r="E353" s="688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0"/>
      <c r="R353" s="690"/>
      <c r="S353" s="690"/>
      <c r="T353" s="691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88">
        <v>4680115887190</v>
      </c>
      <c r="E354" s="688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0"/>
      <c r="R354" s="690"/>
      <c r="S354" s="690"/>
      <c r="T354" s="691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88">
        <v>4680115887138</v>
      </c>
      <c r="E355" s="688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0"/>
      <c r="R355" s="690"/>
      <c r="S355" s="690"/>
      <c r="T355" s="691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88">
        <v>4680115885554</v>
      </c>
      <c r="E356" s="688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0"/>
      <c r="R356" s="690"/>
      <c r="S356" s="690"/>
      <c r="T356" s="691"/>
      <c r="U356" s="39" t="s">
        <v>46</v>
      </c>
      <c r="V356" s="39" t="s">
        <v>46</v>
      </c>
      <c r="W356" s="40" t="s">
        <v>0</v>
      </c>
      <c r="X356" s="58">
        <v>300</v>
      </c>
      <c r="Y356" s="55">
        <f t="shared" si="47"/>
        <v>302.40000000000003</v>
      </c>
      <c r="Z356" s="41">
        <f>IFERROR(IF(Y356=0,"",ROUNDUP(Y356/H356,0)*0.01898),"")</f>
        <v>0.53144000000000002</v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311.38888888888891</v>
      </c>
      <c r="BN356" s="78">
        <f t="shared" si="49"/>
        <v>313.88</v>
      </c>
      <c r="BO356" s="78">
        <f t="shared" si="50"/>
        <v>0.43402777777777773</v>
      </c>
      <c r="BP356" s="78">
        <f t="shared" si="51"/>
        <v>0.4375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88">
        <v>4680115887220</v>
      </c>
      <c r="E357" s="688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0"/>
      <c r="R357" s="690"/>
      <c r="S357" s="690"/>
      <c r="T357" s="691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8">
        <v>4680115885608</v>
      </c>
      <c r="E358" s="688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0"/>
      <c r="R358" s="690"/>
      <c r="S358" s="690"/>
      <c r="T358" s="691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x14ac:dyDescent="0.2">
      <c r="A359" s="696"/>
      <c r="B359" s="696"/>
      <c r="C359" s="696"/>
      <c r="D359" s="696"/>
      <c r="E359" s="696"/>
      <c r="F359" s="696"/>
      <c r="G359" s="696"/>
      <c r="H359" s="696"/>
      <c r="I359" s="696"/>
      <c r="J359" s="696"/>
      <c r="K359" s="696"/>
      <c r="L359" s="696"/>
      <c r="M359" s="696"/>
      <c r="N359" s="696"/>
      <c r="O359" s="697"/>
      <c r="P359" s="693" t="s">
        <v>40</v>
      </c>
      <c r="Q359" s="694"/>
      <c r="R359" s="694"/>
      <c r="S359" s="694"/>
      <c r="T359" s="694"/>
      <c r="U359" s="694"/>
      <c r="V359" s="695"/>
      <c r="W359" s="42" t="s">
        <v>39</v>
      </c>
      <c r="X359" s="43">
        <f>IFERROR(X353/H353,"0")+IFERROR(X354/H354,"0")+IFERROR(X355/H355,"0")+IFERROR(X356/H356,"0")+IFERROR(X357/H357,"0")+IFERROR(X358/H358,"0")</f>
        <v>27.777777777777775</v>
      </c>
      <c r="Y359" s="43">
        <f>IFERROR(Y353/H353,"0")+IFERROR(Y354/H354,"0")+IFERROR(Y355/H355,"0")+IFERROR(Y356/H356,"0")+IFERROR(Y357/H357,"0")+IFERROR(Y358/H358,"0")</f>
        <v>28</v>
      </c>
      <c r="Z359" s="43">
        <f>IFERROR(IF(Z353="",0,Z353),"0")+IFERROR(IF(Z354="",0,Z354),"0")+IFERROR(IF(Z355="",0,Z355),"0")+IFERROR(IF(Z356="",0,Z356),"0")+IFERROR(IF(Z357="",0,Z357),"0")+IFERROR(IF(Z358="",0,Z358),"0")</f>
        <v>0.53144000000000002</v>
      </c>
      <c r="AA359" s="67"/>
      <c r="AB359" s="67"/>
      <c r="AC359" s="67"/>
    </row>
    <row r="360" spans="1:68" x14ac:dyDescent="0.2">
      <c r="A360" s="696"/>
      <c r="B360" s="696"/>
      <c r="C360" s="696"/>
      <c r="D360" s="696"/>
      <c r="E360" s="696"/>
      <c r="F360" s="696"/>
      <c r="G360" s="696"/>
      <c r="H360" s="696"/>
      <c r="I360" s="696"/>
      <c r="J360" s="696"/>
      <c r="K360" s="696"/>
      <c r="L360" s="696"/>
      <c r="M360" s="696"/>
      <c r="N360" s="696"/>
      <c r="O360" s="697"/>
      <c r="P360" s="693" t="s">
        <v>40</v>
      </c>
      <c r="Q360" s="694"/>
      <c r="R360" s="694"/>
      <c r="S360" s="694"/>
      <c r="T360" s="694"/>
      <c r="U360" s="694"/>
      <c r="V360" s="695"/>
      <c r="W360" s="42" t="s">
        <v>0</v>
      </c>
      <c r="X360" s="43">
        <f>IFERROR(SUM(X353:X358),"0")</f>
        <v>300</v>
      </c>
      <c r="Y360" s="43">
        <f>IFERROR(SUM(Y353:Y358),"0")</f>
        <v>302.40000000000003</v>
      </c>
      <c r="Z360" s="42"/>
      <c r="AA360" s="67"/>
      <c r="AB360" s="67"/>
      <c r="AC360" s="67"/>
    </row>
    <row r="361" spans="1:68" ht="14.25" customHeight="1" x14ac:dyDescent="0.25">
      <c r="A361" s="687" t="s">
        <v>77</v>
      </c>
      <c r="B361" s="687"/>
      <c r="C361" s="687"/>
      <c r="D361" s="687"/>
      <c r="E361" s="687"/>
      <c r="F361" s="687"/>
      <c r="G361" s="687"/>
      <c r="H361" s="687"/>
      <c r="I361" s="687"/>
      <c r="J361" s="687"/>
      <c r="K361" s="687"/>
      <c r="L361" s="687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88">
        <v>4607091387193</v>
      </c>
      <c r="E362" s="688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0"/>
      <c r="R362" s="690"/>
      <c r="S362" s="690"/>
      <c r="T362" s="691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8">
        <v>4607091387230</v>
      </c>
      <c r="E363" s="688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0"/>
      <c r="R363" s="690"/>
      <c r="S363" s="690"/>
      <c r="T363" s="691"/>
      <c r="U363" s="39" t="s">
        <v>46</v>
      </c>
      <c r="V363" s="39" t="s">
        <v>46</v>
      </c>
      <c r="W363" s="40" t="s">
        <v>0</v>
      </c>
      <c r="X363" s="58">
        <v>450</v>
      </c>
      <c r="Y363" s="55">
        <f t="shared" si="52"/>
        <v>453.6</v>
      </c>
      <c r="Z363" s="41">
        <f>IFERROR(IF(Y363=0,"",ROUNDUP(Y363/H363,0)*0.00902),"")</f>
        <v>0.97416000000000003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476.78571428571428</v>
      </c>
      <c r="BN363" s="78">
        <f t="shared" si="54"/>
        <v>480.6</v>
      </c>
      <c r="BO363" s="78">
        <f t="shared" si="55"/>
        <v>0.81168831168831168</v>
      </c>
      <c r="BP363" s="78">
        <f t="shared" si="56"/>
        <v>0.81818181818181823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88">
        <v>4607091387292</v>
      </c>
      <c r="E364" s="688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0"/>
      <c r="R364" s="690"/>
      <c r="S364" s="690"/>
      <c r="T364" s="691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88">
        <v>4607091387285</v>
      </c>
      <c r="E365" s="688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0"/>
      <c r="R365" s="690"/>
      <c r="S365" s="690"/>
      <c r="T365" s="691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8">
        <v>4607091389845</v>
      </c>
      <c r="E366" s="688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0"/>
      <c r="R366" s="690"/>
      <c r="S366" s="690"/>
      <c r="T366" s="691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88">
        <v>4680115887442</v>
      </c>
      <c r="E367" s="688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0"/>
      <c r="R367" s="690"/>
      <c r="S367" s="690"/>
      <c r="T367" s="691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88">
        <v>4607091383836</v>
      </c>
      <c r="E368" s="688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0"/>
      <c r="R368" s="690"/>
      <c r="S368" s="690"/>
      <c r="T368" s="691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96"/>
      <c r="B369" s="696"/>
      <c r="C369" s="696"/>
      <c r="D369" s="696"/>
      <c r="E369" s="696"/>
      <c r="F369" s="696"/>
      <c r="G369" s="696"/>
      <c r="H369" s="696"/>
      <c r="I369" s="696"/>
      <c r="J369" s="696"/>
      <c r="K369" s="696"/>
      <c r="L369" s="696"/>
      <c r="M369" s="696"/>
      <c r="N369" s="696"/>
      <c r="O369" s="697"/>
      <c r="P369" s="693" t="s">
        <v>40</v>
      </c>
      <c r="Q369" s="694"/>
      <c r="R369" s="694"/>
      <c r="S369" s="694"/>
      <c r="T369" s="694"/>
      <c r="U369" s="694"/>
      <c r="V369" s="695"/>
      <c r="W369" s="42" t="s">
        <v>39</v>
      </c>
      <c r="X369" s="43">
        <f>IFERROR(X362/H362,"0")+IFERROR(X363/H363,"0")+IFERROR(X364/H364,"0")+IFERROR(X365/H365,"0")+IFERROR(X366/H366,"0")+IFERROR(X367/H367,"0")+IFERROR(X368/H368,"0")</f>
        <v>107.14285714285714</v>
      </c>
      <c r="Y369" s="43">
        <f>IFERROR(Y362/H362,"0")+IFERROR(Y363/H363,"0")+IFERROR(Y364/H364,"0")+IFERROR(Y365/H365,"0")+IFERROR(Y366/H366,"0")+IFERROR(Y367/H367,"0")+IFERROR(Y368/H368,"0")</f>
        <v>108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0.97416000000000003</v>
      </c>
      <c r="AA369" s="67"/>
      <c r="AB369" s="67"/>
      <c r="AC369" s="67"/>
    </row>
    <row r="370" spans="1:68" x14ac:dyDescent="0.2">
      <c r="A370" s="696"/>
      <c r="B370" s="696"/>
      <c r="C370" s="696"/>
      <c r="D370" s="696"/>
      <c r="E370" s="696"/>
      <c r="F370" s="696"/>
      <c r="G370" s="696"/>
      <c r="H370" s="696"/>
      <c r="I370" s="696"/>
      <c r="J370" s="696"/>
      <c r="K370" s="696"/>
      <c r="L370" s="696"/>
      <c r="M370" s="696"/>
      <c r="N370" s="696"/>
      <c r="O370" s="697"/>
      <c r="P370" s="693" t="s">
        <v>40</v>
      </c>
      <c r="Q370" s="694"/>
      <c r="R370" s="694"/>
      <c r="S370" s="694"/>
      <c r="T370" s="694"/>
      <c r="U370" s="694"/>
      <c r="V370" s="695"/>
      <c r="W370" s="42" t="s">
        <v>0</v>
      </c>
      <c r="X370" s="43">
        <f>IFERROR(SUM(X362:X368),"0")</f>
        <v>450</v>
      </c>
      <c r="Y370" s="43">
        <f>IFERROR(SUM(Y362:Y368),"0")</f>
        <v>453.6</v>
      </c>
      <c r="Z370" s="42"/>
      <c r="AA370" s="67"/>
      <c r="AB370" s="67"/>
      <c r="AC370" s="67"/>
    </row>
    <row r="371" spans="1:68" ht="14.25" customHeight="1" x14ac:dyDescent="0.25">
      <c r="A371" s="687" t="s">
        <v>86</v>
      </c>
      <c r="B371" s="687"/>
      <c r="C371" s="687"/>
      <c r="D371" s="687"/>
      <c r="E371" s="687"/>
      <c r="F371" s="687"/>
      <c r="G371" s="687"/>
      <c r="H371" s="687"/>
      <c r="I371" s="687"/>
      <c r="J371" s="687"/>
      <c r="K371" s="687"/>
      <c r="L371" s="687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8">
        <v>4607091387766</v>
      </c>
      <c r="E372" s="688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0"/>
      <c r="R372" s="690"/>
      <c r="S372" s="690"/>
      <c r="T372" s="691"/>
      <c r="U372" s="39" t="s">
        <v>46</v>
      </c>
      <c r="V372" s="39" t="s">
        <v>46</v>
      </c>
      <c r="W372" s="40" t="s">
        <v>0</v>
      </c>
      <c r="X372" s="58">
        <v>1500</v>
      </c>
      <c r="Y372" s="55">
        <f>IFERROR(IF(X372="",0,CEILING((X372/$H372),1)*$H372),"")</f>
        <v>1505.3999999999999</v>
      </c>
      <c r="Z372" s="41">
        <f>IFERROR(IF(Y372=0,"",ROUNDUP(Y372/H372,0)*0.01898),"")</f>
        <v>3.6631400000000003</v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1593.8461538461538</v>
      </c>
      <c r="BN372" s="78">
        <f>IFERROR(Y372*I372/H372,"0")</f>
        <v>1599.5840000000001</v>
      </c>
      <c r="BO372" s="78">
        <f>IFERROR(1/J372*(X372/H372),"0")</f>
        <v>3.0048076923076925</v>
      </c>
      <c r="BP372" s="78">
        <f>IFERROR(1/J372*(Y372/H372),"0")</f>
        <v>3.015625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88">
        <v>4607091387957</v>
      </c>
      <c r="E373" s="688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0"/>
      <c r="R373" s="690"/>
      <c r="S373" s="690"/>
      <c r="T373" s="691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88">
        <v>4607091387964</v>
      </c>
      <c r="E374" s="688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0"/>
      <c r="R374" s="690"/>
      <c r="S374" s="690"/>
      <c r="T374" s="691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88">
        <v>4680115884588</v>
      </c>
      <c r="E375" s="688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0"/>
      <c r="R375" s="690"/>
      <c r="S375" s="690"/>
      <c r="T375" s="691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96"/>
      <c r="B376" s="696"/>
      <c r="C376" s="696"/>
      <c r="D376" s="696"/>
      <c r="E376" s="696"/>
      <c r="F376" s="696"/>
      <c r="G376" s="696"/>
      <c r="H376" s="696"/>
      <c r="I376" s="696"/>
      <c r="J376" s="696"/>
      <c r="K376" s="696"/>
      <c r="L376" s="696"/>
      <c r="M376" s="696"/>
      <c r="N376" s="696"/>
      <c r="O376" s="697"/>
      <c r="P376" s="693" t="s">
        <v>40</v>
      </c>
      <c r="Q376" s="694"/>
      <c r="R376" s="694"/>
      <c r="S376" s="694"/>
      <c r="T376" s="694"/>
      <c r="U376" s="694"/>
      <c r="V376" s="695"/>
      <c r="W376" s="42" t="s">
        <v>39</v>
      </c>
      <c r="X376" s="43">
        <f>IFERROR(X372/H372,"0")+IFERROR(X373/H373,"0")+IFERROR(X374/H374,"0")+IFERROR(X375/H375,"0")</f>
        <v>192.30769230769232</v>
      </c>
      <c r="Y376" s="43">
        <f>IFERROR(Y372/H372,"0")+IFERROR(Y373/H373,"0")+IFERROR(Y374/H374,"0")+IFERROR(Y375/H375,"0")</f>
        <v>193</v>
      </c>
      <c r="Z376" s="43">
        <f>IFERROR(IF(Z372="",0,Z372),"0")+IFERROR(IF(Z373="",0,Z373),"0")+IFERROR(IF(Z374="",0,Z374),"0")+IFERROR(IF(Z375="",0,Z375),"0")</f>
        <v>3.6631400000000003</v>
      </c>
      <c r="AA376" s="67"/>
      <c r="AB376" s="67"/>
      <c r="AC376" s="67"/>
    </row>
    <row r="377" spans="1:68" x14ac:dyDescent="0.2">
      <c r="A377" s="696"/>
      <c r="B377" s="696"/>
      <c r="C377" s="696"/>
      <c r="D377" s="696"/>
      <c r="E377" s="696"/>
      <c r="F377" s="696"/>
      <c r="G377" s="696"/>
      <c r="H377" s="696"/>
      <c r="I377" s="696"/>
      <c r="J377" s="696"/>
      <c r="K377" s="696"/>
      <c r="L377" s="696"/>
      <c r="M377" s="696"/>
      <c r="N377" s="696"/>
      <c r="O377" s="697"/>
      <c r="P377" s="693" t="s">
        <v>40</v>
      </c>
      <c r="Q377" s="694"/>
      <c r="R377" s="694"/>
      <c r="S377" s="694"/>
      <c r="T377" s="694"/>
      <c r="U377" s="694"/>
      <c r="V377" s="695"/>
      <c r="W377" s="42" t="s">
        <v>0</v>
      </c>
      <c r="X377" s="43">
        <f>IFERROR(SUM(X372:X375),"0")</f>
        <v>1500</v>
      </c>
      <c r="Y377" s="43">
        <f>IFERROR(SUM(Y372:Y375),"0")</f>
        <v>1505.3999999999999</v>
      </c>
      <c r="Z377" s="42"/>
      <c r="AA377" s="67"/>
      <c r="AB377" s="67"/>
      <c r="AC377" s="67"/>
    </row>
    <row r="378" spans="1:68" ht="14.25" customHeight="1" x14ac:dyDescent="0.25">
      <c r="A378" s="687" t="s">
        <v>183</v>
      </c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8">
        <v>4607091380880</v>
      </c>
      <c r="E379" s="688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0"/>
      <c r="R379" s="690"/>
      <c r="S379" s="690"/>
      <c r="T379" s="691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8">
        <v>4607091384482</v>
      </c>
      <c r="E380" s="688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0"/>
      <c r="R380" s="690"/>
      <c r="S380" s="690"/>
      <c r="T380" s="691"/>
      <c r="U380" s="39" t="s">
        <v>46</v>
      </c>
      <c r="V380" s="39" t="s">
        <v>46</v>
      </c>
      <c r="W380" s="40" t="s">
        <v>0</v>
      </c>
      <c r="X380" s="58">
        <v>120</v>
      </c>
      <c r="Y380" s="55">
        <f>IFERROR(IF(X380="",0,CEILING((X380/$H380),1)*$H380),"")</f>
        <v>124.8</v>
      </c>
      <c r="Z380" s="41">
        <f>IFERROR(IF(Y380=0,"",ROUNDUP(Y380/H380,0)*0.01898),"")</f>
        <v>0.30368000000000001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127.60000000000001</v>
      </c>
      <c r="BN380" s="78">
        <f>IFERROR(Y380*I380/H380,"0")</f>
        <v>132.70400000000001</v>
      </c>
      <c r="BO380" s="78">
        <f>IFERROR(1/J380*(X380/H380),"0")</f>
        <v>0.24038461538461539</v>
      </c>
      <c r="BP380" s="78">
        <f>IFERROR(1/J380*(Y380/H380),"0")</f>
        <v>0.25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8">
        <v>4607091380897</v>
      </c>
      <c r="E381" s="688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0"/>
      <c r="R381" s="690"/>
      <c r="S381" s="690"/>
      <c r="T381" s="691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96"/>
      <c r="B382" s="696"/>
      <c r="C382" s="696"/>
      <c r="D382" s="696"/>
      <c r="E382" s="696"/>
      <c r="F382" s="696"/>
      <c r="G382" s="696"/>
      <c r="H382" s="696"/>
      <c r="I382" s="696"/>
      <c r="J382" s="696"/>
      <c r="K382" s="696"/>
      <c r="L382" s="696"/>
      <c r="M382" s="696"/>
      <c r="N382" s="696"/>
      <c r="O382" s="697"/>
      <c r="P382" s="693" t="s">
        <v>40</v>
      </c>
      <c r="Q382" s="694"/>
      <c r="R382" s="694"/>
      <c r="S382" s="694"/>
      <c r="T382" s="694"/>
      <c r="U382" s="694"/>
      <c r="V382" s="695"/>
      <c r="W382" s="42" t="s">
        <v>39</v>
      </c>
      <c r="X382" s="43">
        <f>IFERROR(X379/H379,"0")+IFERROR(X380/H380,"0")+IFERROR(X381/H381,"0")</f>
        <v>15.384615384615385</v>
      </c>
      <c r="Y382" s="43">
        <f>IFERROR(Y379/H379,"0")+IFERROR(Y380/H380,"0")+IFERROR(Y381/H381,"0")</f>
        <v>16</v>
      </c>
      <c r="Z382" s="43">
        <f>IFERROR(IF(Z379="",0,Z379),"0")+IFERROR(IF(Z380="",0,Z380),"0")+IFERROR(IF(Z381="",0,Z381),"0")</f>
        <v>0.30368000000000001</v>
      </c>
      <c r="AA382" s="67"/>
      <c r="AB382" s="67"/>
      <c r="AC382" s="67"/>
    </row>
    <row r="383" spans="1:68" x14ac:dyDescent="0.2">
      <c r="A383" s="696"/>
      <c r="B383" s="696"/>
      <c r="C383" s="696"/>
      <c r="D383" s="696"/>
      <c r="E383" s="696"/>
      <c r="F383" s="696"/>
      <c r="G383" s="696"/>
      <c r="H383" s="696"/>
      <c r="I383" s="696"/>
      <c r="J383" s="696"/>
      <c r="K383" s="696"/>
      <c r="L383" s="696"/>
      <c r="M383" s="696"/>
      <c r="N383" s="696"/>
      <c r="O383" s="697"/>
      <c r="P383" s="693" t="s">
        <v>40</v>
      </c>
      <c r="Q383" s="694"/>
      <c r="R383" s="694"/>
      <c r="S383" s="694"/>
      <c r="T383" s="694"/>
      <c r="U383" s="694"/>
      <c r="V383" s="695"/>
      <c r="W383" s="42" t="s">
        <v>0</v>
      </c>
      <c r="X383" s="43">
        <f>IFERROR(SUM(X379:X381),"0")</f>
        <v>120</v>
      </c>
      <c r="Y383" s="43">
        <f>IFERROR(SUM(Y379:Y381),"0")</f>
        <v>124.8</v>
      </c>
      <c r="Z383" s="42"/>
      <c r="AA383" s="67"/>
      <c r="AB383" s="67"/>
      <c r="AC383" s="67"/>
    </row>
    <row r="384" spans="1:68" ht="14.25" customHeight="1" x14ac:dyDescent="0.25">
      <c r="A384" s="687" t="s">
        <v>104</v>
      </c>
      <c r="B384" s="687"/>
      <c r="C384" s="687"/>
      <c r="D384" s="687"/>
      <c r="E384" s="687"/>
      <c r="F384" s="687"/>
      <c r="G384" s="687"/>
      <c r="H384" s="687"/>
      <c r="I384" s="687"/>
      <c r="J384" s="687"/>
      <c r="K384" s="687"/>
      <c r="L384" s="687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88">
        <v>4607091388381</v>
      </c>
      <c r="E385" s="688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0"/>
      <c r="R385" s="690"/>
      <c r="S385" s="690"/>
      <c r="T385" s="691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88">
        <v>4607091388374</v>
      </c>
      <c r="E386" s="688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0"/>
      <c r="R386" s="690"/>
      <c r="S386" s="690"/>
      <c r="T386" s="691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88">
        <v>4607091383102</v>
      </c>
      <c r="E387" s="688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0"/>
      <c r="R387" s="690"/>
      <c r="S387" s="690"/>
      <c r="T387" s="691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8">
        <v>4607091388404</v>
      </c>
      <c r="E388" s="688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0"/>
      <c r="R388" s="690"/>
      <c r="S388" s="690"/>
      <c r="T388" s="691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96"/>
      <c r="B389" s="696"/>
      <c r="C389" s="696"/>
      <c r="D389" s="696"/>
      <c r="E389" s="696"/>
      <c r="F389" s="696"/>
      <c r="G389" s="696"/>
      <c r="H389" s="696"/>
      <c r="I389" s="696"/>
      <c r="J389" s="696"/>
      <c r="K389" s="696"/>
      <c r="L389" s="696"/>
      <c r="M389" s="696"/>
      <c r="N389" s="696"/>
      <c r="O389" s="697"/>
      <c r="P389" s="693" t="s">
        <v>40</v>
      </c>
      <c r="Q389" s="694"/>
      <c r="R389" s="694"/>
      <c r="S389" s="694"/>
      <c r="T389" s="694"/>
      <c r="U389" s="694"/>
      <c r="V389" s="695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96"/>
      <c r="B390" s="696"/>
      <c r="C390" s="696"/>
      <c r="D390" s="696"/>
      <c r="E390" s="696"/>
      <c r="F390" s="696"/>
      <c r="G390" s="696"/>
      <c r="H390" s="696"/>
      <c r="I390" s="696"/>
      <c r="J390" s="696"/>
      <c r="K390" s="696"/>
      <c r="L390" s="696"/>
      <c r="M390" s="696"/>
      <c r="N390" s="696"/>
      <c r="O390" s="697"/>
      <c r="P390" s="693" t="s">
        <v>40</v>
      </c>
      <c r="Q390" s="694"/>
      <c r="R390" s="694"/>
      <c r="S390" s="694"/>
      <c r="T390" s="694"/>
      <c r="U390" s="694"/>
      <c r="V390" s="695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87" t="s">
        <v>647</v>
      </c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88">
        <v>4680115881808</v>
      </c>
      <c r="E392" s="688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0"/>
      <c r="R392" s="690"/>
      <c r="S392" s="690"/>
      <c r="T392" s="69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88">
        <v>4680115881822</v>
      </c>
      <c r="E393" s="688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0"/>
      <c r="R393" s="690"/>
      <c r="S393" s="690"/>
      <c r="T393" s="69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88">
        <v>4680115880016</v>
      </c>
      <c r="E394" s="688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0"/>
      <c r="R394" s="690"/>
      <c r="S394" s="690"/>
      <c r="T394" s="69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96"/>
      <c r="B395" s="696"/>
      <c r="C395" s="696"/>
      <c r="D395" s="696"/>
      <c r="E395" s="696"/>
      <c r="F395" s="696"/>
      <c r="G395" s="696"/>
      <c r="H395" s="696"/>
      <c r="I395" s="696"/>
      <c r="J395" s="696"/>
      <c r="K395" s="696"/>
      <c r="L395" s="696"/>
      <c r="M395" s="696"/>
      <c r="N395" s="696"/>
      <c r="O395" s="697"/>
      <c r="P395" s="693" t="s">
        <v>40</v>
      </c>
      <c r="Q395" s="694"/>
      <c r="R395" s="694"/>
      <c r="S395" s="694"/>
      <c r="T395" s="694"/>
      <c r="U395" s="694"/>
      <c r="V395" s="695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96"/>
      <c r="B396" s="696"/>
      <c r="C396" s="696"/>
      <c r="D396" s="696"/>
      <c r="E396" s="696"/>
      <c r="F396" s="696"/>
      <c r="G396" s="696"/>
      <c r="H396" s="696"/>
      <c r="I396" s="696"/>
      <c r="J396" s="696"/>
      <c r="K396" s="696"/>
      <c r="L396" s="696"/>
      <c r="M396" s="696"/>
      <c r="N396" s="696"/>
      <c r="O396" s="697"/>
      <c r="P396" s="693" t="s">
        <v>40</v>
      </c>
      <c r="Q396" s="694"/>
      <c r="R396" s="694"/>
      <c r="S396" s="694"/>
      <c r="T396" s="694"/>
      <c r="U396" s="694"/>
      <c r="V396" s="695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86" t="s">
        <v>656</v>
      </c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  <c r="L397" s="686"/>
      <c r="M397" s="686"/>
      <c r="N397" s="686"/>
      <c r="O397" s="686"/>
      <c r="P397" s="686"/>
      <c r="Q397" s="686"/>
      <c r="R397" s="686"/>
      <c r="S397" s="686"/>
      <c r="T397" s="686"/>
      <c r="U397" s="686"/>
      <c r="V397" s="686"/>
      <c r="W397" s="686"/>
      <c r="X397" s="686"/>
      <c r="Y397" s="686"/>
      <c r="Z397" s="686"/>
      <c r="AA397" s="65"/>
      <c r="AB397" s="65"/>
      <c r="AC397" s="79"/>
    </row>
    <row r="398" spans="1:68" ht="14.25" customHeight="1" x14ac:dyDescent="0.25">
      <c r="A398" s="687" t="s">
        <v>86</v>
      </c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88">
        <v>4607091387919</v>
      </c>
      <c r="E399" s="688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90"/>
      <c r="R399" s="690"/>
      <c r="S399" s="690"/>
      <c r="T399" s="69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8">
        <v>4680115883604</v>
      </c>
      <c r="E400" s="688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9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90"/>
      <c r="R400" s="690"/>
      <c r="S400" s="690"/>
      <c r="T400" s="691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8">
        <v>4680115883567</v>
      </c>
      <c r="E401" s="688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90"/>
      <c r="R401" s="690"/>
      <c r="S401" s="690"/>
      <c r="T401" s="691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96"/>
      <c r="B402" s="696"/>
      <c r="C402" s="696"/>
      <c r="D402" s="696"/>
      <c r="E402" s="696"/>
      <c r="F402" s="696"/>
      <c r="G402" s="696"/>
      <c r="H402" s="696"/>
      <c r="I402" s="696"/>
      <c r="J402" s="696"/>
      <c r="K402" s="696"/>
      <c r="L402" s="696"/>
      <c r="M402" s="696"/>
      <c r="N402" s="696"/>
      <c r="O402" s="697"/>
      <c r="P402" s="693" t="s">
        <v>40</v>
      </c>
      <c r="Q402" s="694"/>
      <c r="R402" s="694"/>
      <c r="S402" s="694"/>
      <c r="T402" s="694"/>
      <c r="U402" s="694"/>
      <c r="V402" s="695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96"/>
      <c r="B403" s="696"/>
      <c r="C403" s="696"/>
      <c r="D403" s="696"/>
      <c r="E403" s="696"/>
      <c r="F403" s="696"/>
      <c r="G403" s="696"/>
      <c r="H403" s="696"/>
      <c r="I403" s="696"/>
      <c r="J403" s="696"/>
      <c r="K403" s="696"/>
      <c r="L403" s="696"/>
      <c r="M403" s="696"/>
      <c r="N403" s="696"/>
      <c r="O403" s="697"/>
      <c r="P403" s="693" t="s">
        <v>40</v>
      </c>
      <c r="Q403" s="694"/>
      <c r="R403" s="694"/>
      <c r="S403" s="694"/>
      <c r="T403" s="694"/>
      <c r="U403" s="694"/>
      <c r="V403" s="695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27.75" customHeight="1" x14ac:dyDescent="0.2">
      <c r="A404" s="685" t="s">
        <v>666</v>
      </c>
      <c r="B404" s="685"/>
      <c r="C404" s="685"/>
      <c r="D404" s="685"/>
      <c r="E404" s="685"/>
      <c r="F404" s="685"/>
      <c r="G404" s="685"/>
      <c r="H404" s="685"/>
      <c r="I404" s="685"/>
      <c r="J404" s="685"/>
      <c r="K404" s="685"/>
      <c r="L404" s="685"/>
      <c r="M404" s="685"/>
      <c r="N404" s="685"/>
      <c r="O404" s="685"/>
      <c r="P404" s="685"/>
      <c r="Q404" s="685"/>
      <c r="R404" s="685"/>
      <c r="S404" s="685"/>
      <c r="T404" s="685"/>
      <c r="U404" s="685"/>
      <c r="V404" s="685"/>
      <c r="W404" s="685"/>
      <c r="X404" s="685"/>
      <c r="Y404" s="685"/>
      <c r="Z404" s="685"/>
      <c r="AA404" s="54"/>
      <c r="AB404" s="54"/>
      <c r="AC404" s="54"/>
    </row>
    <row r="405" spans="1:68" ht="16.5" customHeight="1" x14ac:dyDescent="0.25">
      <c r="A405" s="686" t="s">
        <v>667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5"/>
      <c r="AB405" s="65"/>
      <c r="AC405" s="79"/>
    </row>
    <row r="406" spans="1:68" ht="14.25" customHeight="1" x14ac:dyDescent="0.25">
      <c r="A406" s="687" t="s">
        <v>129</v>
      </c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88">
        <v>4680115888401</v>
      </c>
      <c r="E407" s="688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90"/>
      <c r="R407" s="690"/>
      <c r="S407" s="690"/>
      <c r="T407" s="691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8">
        <v>4680115884847</v>
      </c>
      <c r="E408" s="688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90"/>
      <c r="R408" s="690"/>
      <c r="S408" s="690"/>
      <c r="T408" s="691"/>
      <c r="U408" s="39" t="s">
        <v>46</v>
      </c>
      <c r="V408" s="39" t="s">
        <v>46</v>
      </c>
      <c r="W408" s="40" t="s">
        <v>0</v>
      </c>
      <c r="X408" s="58">
        <v>90</v>
      </c>
      <c r="Y408" s="55">
        <f t="shared" si="57"/>
        <v>90</v>
      </c>
      <c r="Z408" s="41">
        <f>IFERROR(IF(Y408=0,"",ROUNDUP(Y408/H408,0)*0.02175),"")</f>
        <v>0.1305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92.82</v>
      </c>
      <c r="BN408" s="78">
        <f t="shared" si="59"/>
        <v>92.82</v>
      </c>
      <c r="BO408" s="78">
        <f t="shared" si="60"/>
        <v>0.125</v>
      </c>
      <c r="BP408" s="78">
        <f t="shared" si="61"/>
        <v>0.125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8">
        <v>4680115884854</v>
      </c>
      <c r="E409" s="688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90"/>
      <c r="R409" s="690"/>
      <c r="S409" s="690"/>
      <c r="T409" s="691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88">
        <v>4680115884830</v>
      </c>
      <c r="E410" s="688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90"/>
      <c r="R410" s="690"/>
      <c r="S410" s="690"/>
      <c r="T410" s="691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8">
        <v>4680115889231</v>
      </c>
      <c r="E411" s="688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90"/>
      <c r="R411" s="690"/>
      <c r="S411" s="690"/>
      <c r="T411" s="691"/>
      <c r="U411" s="39" t="s">
        <v>46</v>
      </c>
      <c r="V411" s="39" t="s">
        <v>46</v>
      </c>
      <c r="W411" s="40" t="s">
        <v>0</v>
      </c>
      <c r="X411" s="58">
        <v>1200</v>
      </c>
      <c r="Y411" s="55">
        <f t="shared" si="57"/>
        <v>1200</v>
      </c>
      <c r="Z411" s="41">
        <f>IFERROR(IF(Y411=0,"",ROUNDUP(Y411/H411,0)*0.02175),"")</f>
        <v>1.7399999999999998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1237.5999999999999</v>
      </c>
      <c r="BN411" s="78">
        <f t="shared" si="59"/>
        <v>1237.5999999999999</v>
      </c>
      <c r="BO411" s="78">
        <f t="shared" si="60"/>
        <v>1.6666666666666665</v>
      </c>
      <c r="BP411" s="78">
        <f t="shared" si="61"/>
        <v>1.6666666666666665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88">
        <v>4680115882638</v>
      </c>
      <c r="E412" s="688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90"/>
      <c r="R412" s="690"/>
      <c r="S412" s="690"/>
      <c r="T412" s="691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88">
        <v>4680115884922</v>
      </c>
      <c r="E413" s="688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90"/>
      <c r="R413" s="690"/>
      <c r="S413" s="690"/>
      <c r="T413" s="691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8">
        <v>4680115884861</v>
      </c>
      <c r="E414" s="688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90"/>
      <c r="R414" s="690"/>
      <c r="S414" s="690"/>
      <c r="T414" s="691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96"/>
      <c r="B415" s="696"/>
      <c r="C415" s="696"/>
      <c r="D415" s="696"/>
      <c r="E415" s="696"/>
      <c r="F415" s="696"/>
      <c r="G415" s="696"/>
      <c r="H415" s="696"/>
      <c r="I415" s="696"/>
      <c r="J415" s="696"/>
      <c r="K415" s="696"/>
      <c r="L415" s="696"/>
      <c r="M415" s="696"/>
      <c r="N415" s="696"/>
      <c r="O415" s="697"/>
      <c r="P415" s="693" t="s">
        <v>40</v>
      </c>
      <c r="Q415" s="694"/>
      <c r="R415" s="694"/>
      <c r="S415" s="694"/>
      <c r="T415" s="694"/>
      <c r="U415" s="694"/>
      <c r="V415" s="695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86</v>
      </c>
      <c r="Y415" s="43">
        <f>IFERROR(Y407/H407,"0")+IFERROR(Y408/H408,"0")+IFERROR(Y409/H409,"0")+IFERROR(Y410/H410,"0")+IFERROR(Y411/H411,"0")+IFERROR(Y412/H412,"0")+IFERROR(Y413/H413,"0")+IFERROR(Y414/H414,"0")</f>
        <v>86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1.8704999999999998</v>
      </c>
      <c r="AA415" s="67"/>
      <c r="AB415" s="67"/>
      <c r="AC415" s="67"/>
    </row>
    <row r="416" spans="1:68" x14ac:dyDescent="0.2">
      <c r="A416" s="696"/>
      <c r="B416" s="696"/>
      <c r="C416" s="696"/>
      <c r="D416" s="696"/>
      <c r="E416" s="696"/>
      <c r="F416" s="696"/>
      <c r="G416" s="696"/>
      <c r="H416" s="696"/>
      <c r="I416" s="696"/>
      <c r="J416" s="696"/>
      <c r="K416" s="696"/>
      <c r="L416" s="696"/>
      <c r="M416" s="696"/>
      <c r="N416" s="696"/>
      <c r="O416" s="697"/>
      <c r="P416" s="693" t="s">
        <v>40</v>
      </c>
      <c r="Q416" s="694"/>
      <c r="R416" s="694"/>
      <c r="S416" s="694"/>
      <c r="T416" s="694"/>
      <c r="U416" s="694"/>
      <c r="V416" s="695"/>
      <c r="W416" s="42" t="s">
        <v>0</v>
      </c>
      <c r="X416" s="43">
        <f>IFERROR(SUM(X407:X414),"0")</f>
        <v>1290</v>
      </c>
      <c r="Y416" s="43">
        <f>IFERROR(SUM(Y407:Y414),"0")</f>
        <v>1290</v>
      </c>
      <c r="Z416" s="42"/>
      <c r="AA416" s="67"/>
      <c r="AB416" s="67"/>
      <c r="AC416" s="67"/>
    </row>
    <row r="417" spans="1:68" ht="14.25" customHeight="1" x14ac:dyDescent="0.25">
      <c r="A417" s="687" t="s">
        <v>166</v>
      </c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8">
        <v>4607091383980</v>
      </c>
      <c r="E418" s="688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90"/>
      <c r="R418" s="690"/>
      <c r="S418" s="690"/>
      <c r="T418" s="691"/>
      <c r="U418" s="39" t="s">
        <v>46</v>
      </c>
      <c r="V418" s="39" t="s">
        <v>46</v>
      </c>
      <c r="W418" s="40" t="s">
        <v>0</v>
      </c>
      <c r="X418" s="58">
        <v>500</v>
      </c>
      <c r="Y418" s="55">
        <f>IFERROR(IF(X418="",0,CEILING((X418/$H418),1)*$H418),"")</f>
        <v>510</v>
      </c>
      <c r="Z418" s="41">
        <f>IFERROR(IF(Y418=0,"",ROUNDUP(Y418/H418,0)*0.02175),"")</f>
        <v>0.73949999999999994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515.66666666666663</v>
      </c>
      <c r="BN418" s="78">
        <f>IFERROR(Y418*I418/H418,"0")</f>
        <v>525.98</v>
      </c>
      <c r="BO418" s="78">
        <f>IFERROR(1/J418*(X418/H418),"0")</f>
        <v>0.69444444444444442</v>
      </c>
      <c r="BP418" s="78">
        <f>IFERROR(1/J418*(Y418/H418),"0")</f>
        <v>0.70833333333333326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88">
        <v>4680115888425</v>
      </c>
      <c r="E419" s="688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90"/>
      <c r="R419" s="690"/>
      <c r="S419" s="690"/>
      <c r="T419" s="69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88">
        <v>4607091384178</v>
      </c>
      <c r="E420" s="688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90"/>
      <c r="R420" s="690"/>
      <c r="S420" s="690"/>
      <c r="T420" s="691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96"/>
      <c r="B421" s="696"/>
      <c r="C421" s="696"/>
      <c r="D421" s="696"/>
      <c r="E421" s="696"/>
      <c r="F421" s="696"/>
      <c r="G421" s="696"/>
      <c r="H421" s="696"/>
      <c r="I421" s="696"/>
      <c r="J421" s="696"/>
      <c r="K421" s="696"/>
      <c r="L421" s="696"/>
      <c r="M421" s="696"/>
      <c r="N421" s="696"/>
      <c r="O421" s="697"/>
      <c r="P421" s="693" t="s">
        <v>40</v>
      </c>
      <c r="Q421" s="694"/>
      <c r="R421" s="694"/>
      <c r="S421" s="694"/>
      <c r="T421" s="694"/>
      <c r="U421" s="694"/>
      <c r="V421" s="695"/>
      <c r="W421" s="42" t="s">
        <v>39</v>
      </c>
      <c r="X421" s="43">
        <f>IFERROR(X418/H418,"0")+IFERROR(X419/H419,"0")+IFERROR(X420/H420,"0")</f>
        <v>33.333333333333336</v>
      </c>
      <c r="Y421" s="43">
        <f>IFERROR(Y418/H418,"0")+IFERROR(Y419/H419,"0")+IFERROR(Y420/H420,"0")</f>
        <v>34</v>
      </c>
      <c r="Z421" s="43">
        <f>IFERROR(IF(Z418="",0,Z418),"0")+IFERROR(IF(Z419="",0,Z419),"0")+IFERROR(IF(Z420="",0,Z420),"0")</f>
        <v>0.73949999999999994</v>
      </c>
      <c r="AA421" s="67"/>
      <c r="AB421" s="67"/>
      <c r="AC421" s="67"/>
    </row>
    <row r="422" spans="1:68" x14ac:dyDescent="0.2">
      <c r="A422" s="696"/>
      <c r="B422" s="696"/>
      <c r="C422" s="696"/>
      <c r="D422" s="696"/>
      <c r="E422" s="696"/>
      <c r="F422" s="696"/>
      <c r="G422" s="696"/>
      <c r="H422" s="696"/>
      <c r="I422" s="696"/>
      <c r="J422" s="696"/>
      <c r="K422" s="696"/>
      <c r="L422" s="696"/>
      <c r="M422" s="696"/>
      <c r="N422" s="696"/>
      <c r="O422" s="697"/>
      <c r="P422" s="693" t="s">
        <v>40</v>
      </c>
      <c r="Q422" s="694"/>
      <c r="R422" s="694"/>
      <c r="S422" s="694"/>
      <c r="T422" s="694"/>
      <c r="U422" s="694"/>
      <c r="V422" s="695"/>
      <c r="W422" s="42" t="s">
        <v>0</v>
      </c>
      <c r="X422" s="43">
        <f>IFERROR(SUM(X418:X420),"0")</f>
        <v>500</v>
      </c>
      <c r="Y422" s="43">
        <f>IFERROR(SUM(Y418:Y420),"0")</f>
        <v>510</v>
      </c>
      <c r="Z422" s="42"/>
      <c r="AA422" s="67"/>
      <c r="AB422" s="67"/>
      <c r="AC422" s="67"/>
    </row>
    <row r="423" spans="1:68" ht="14.25" customHeight="1" x14ac:dyDescent="0.25">
      <c r="A423" s="687" t="s">
        <v>86</v>
      </c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88">
        <v>4607091383928</v>
      </c>
      <c r="E424" s="688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90"/>
      <c r="R424" s="690"/>
      <c r="S424" s="690"/>
      <c r="T424" s="69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88">
        <v>4607091384260</v>
      </c>
      <c r="E425" s="688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90"/>
      <c r="R425" s="690"/>
      <c r="S425" s="690"/>
      <c r="T425" s="69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96"/>
      <c r="B426" s="696"/>
      <c r="C426" s="696"/>
      <c r="D426" s="696"/>
      <c r="E426" s="696"/>
      <c r="F426" s="696"/>
      <c r="G426" s="696"/>
      <c r="H426" s="696"/>
      <c r="I426" s="696"/>
      <c r="J426" s="696"/>
      <c r="K426" s="696"/>
      <c r="L426" s="696"/>
      <c r="M426" s="696"/>
      <c r="N426" s="696"/>
      <c r="O426" s="697"/>
      <c r="P426" s="693" t="s">
        <v>40</v>
      </c>
      <c r="Q426" s="694"/>
      <c r="R426" s="694"/>
      <c r="S426" s="694"/>
      <c r="T426" s="694"/>
      <c r="U426" s="694"/>
      <c r="V426" s="695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x14ac:dyDescent="0.2">
      <c r="A427" s="696"/>
      <c r="B427" s="696"/>
      <c r="C427" s="696"/>
      <c r="D427" s="696"/>
      <c r="E427" s="696"/>
      <c r="F427" s="696"/>
      <c r="G427" s="696"/>
      <c r="H427" s="696"/>
      <c r="I427" s="696"/>
      <c r="J427" s="696"/>
      <c r="K427" s="696"/>
      <c r="L427" s="696"/>
      <c r="M427" s="696"/>
      <c r="N427" s="696"/>
      <c r="O427" s="697"/>
      <c r="P427" s="693" t="s">
        <v>40</v>
      </c>
      <c r="Q427" s="694"/>
      <c r="R427" s="694"/>
      <c r="S427" s="694"/>
      <c r="T427" s="694"/>
      <c r="U427" s="694"/>
      <c r="V427" s="695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customHeight="1" x14ac:dyDescent="0.25">
      <c r="A428" s="687" t="s">
        <v>183</v>
      </c>
      <c r="B428" s="687"/>
      <c r="C428" s="687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88">
        <v>4607091384673</v>
      </c>
      <c r="E429" s="688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90"/>
      <c r="R429" s="690"/>
      <c r="S429" s="690"/>
      <c r="T429" s="691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96"/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7"/>
      <c r="P430" s="693" t="s">
        <v>40</v>
      </c>
      <c r="Q430" s="694"/>
      <c r="R430" s="694"/>
      <c r="S430" s="694"/>
      <c r="T430" s="694"/>
      <c r="U430" s="694"/>
      <c r="V430" s="695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x14ac:dyDescent="0.2">
      <c r="A431" s="696"/>
      <c r="B431" s="696"/>
      <c r="C431" s="696"/>
      <c r="D431" s="696"/>
      <c r="E431" s="696"/>
      <c r="F431" s="696"/>
      <c r="G431" s="696"/>
      <c r="H431" s="696"/>
      <c r="I431" s="696"/>
      <c r="J431" s="696"/>
      <c r="K431" s="696"/>
      <c r="L431" s="696"/>
      <c r="M431" s="696"/>
      <c r="N431" s="696"/>
      <c r="O431" s="697"/>
      <c r="P431" s="693" t="s">
        <v>40</v>
      </c>
      <c r="Q431" s="694"/>
      <c r="R431" s="694"/>
      <c r="S431" s="694"/>
      <c r="T431" s="694"/>
      <c r="U431" s="694"/>
      <c r="V431" s="695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 x14ac:dyDescent="0.25">
      <c r="A432" s="686" t="s">
        <v>710</v>
      </c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86"/>
      <c r="P432" s="686"/>
      <c r="Q432" s="686"/>
      <c r="R432" s="686"/>
      <c r="S432" s="686"/>
      <c r="T432" s="686"/>
      <c r="U432" s="686"/>
      <c r="V432" s="686"/>
      <c r="W432" s="686"/>
      <c r="X432" s="686"/>
      <c r="Y432" s="686"/>
      <c r="Z432" s="686"/>
      <c r="AA432" s="65"/>
      <c r="AB432" s="65"/>
      <c r="AC432" s="79"/>
    </row>
    <row r="433" spans="1:68" ht="14.25" customHeight="1" x14ac:dyDescent="0.25">
      <c r="A433" s="687" t="s">
        <v>129</v>
      </c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88">
        <v>4680115884885</v>
      </c>
      <c r="E434" s="688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90"/>
      <c r="R434" s="690"/>
      <c r="S434" s="690"/>
      <c r="T434" s="691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88">
        <v>4680115884908</v>
      </c>
      <c r="E435" s="688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90"/>
      <c r="R435" s="690"/>
      <c r="S435" s="690"/>
      <c r="T435" s="691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96"/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7"/>
      <c r="P436" s="693" t="s">
        <v>40</v>
      </c>
      <c r="Q436" s="694"/>
      <c r="R436" s="694"/>
      <c r="S436" s="694"/>
      <c r="T436" s="694"/>
      <c r="U436" s="694"/>
      <c r="V436" s="695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96"/>
      <c r="B437" s="696"/>
      <c r="C437" s="696"/>
      <c r="D437" s="696"/>
      <c r="E437" s="696"/>
      <c r="F437" s="696"/>
      <c r="G437" s="696"/>
      <c r="H437" s="696"/>
      <c r="I437" s="696"/>
      <c r="J437" s="696"/>
      <c r="K437" s="696"/>
      <c r="L437" s="696"/>
      <c r="M437" s="696"/>
      <c r="N437" s="696"/>
      <c r="O437" s="697"/>
      <c r="P437" s="693" t="s">
        <v>40</v>
      </c>
      <c r="Q437" s="694"/>
      <c r="R437" s="694"/>
      <c r="S437" s="694"/>
      <c r="T437" s="694"/>
      <c r="U437" s="694"/>
      <c r="V437" s="695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87" t="s">
        <v>77</v>
      </c>
      <c r="B438" s="687"/>
      <c r="C438" s="687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88">
        <v>4607091384802</v>
      </c>
      <c r="E439" s="688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90"/>
      <c r="R439" s="690"/>
      <c r="S439" s="690"/>
      <c r="T439" s="691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96"/>
      <c r="B440" s="696"/>
      <c r="C440" s="696"/>
      <c r="D440" s="696"/>
      <c r="E440" s="696"/>
      <c r="F440" s="696"/>
      <c r="G440" s="696"/>
      <c r="H440" s="696"/>
      <c r="I440" s="696"/>
      <c r="J440" s="696"/>
      <c r="K440" s="696"/>
      <c r="L440" s="696"/>
      <c r="M440" s="696"/>
      <c r="N440" s="696"/>
      <c r="O440" s="697"/>
      <c r="P440" s="693" t="s">
        <v>40</v>
      </c>
      <c r="Q440" s="694"/>
      <c r="R440" s="694"/>
      <c r="S440" s="694"/>
      <c r="T440" s="694"/>
      <c r="U440" s="694"/>
      <c r="V440" s="695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96"/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7"/>
      <c r="P441" s="693" t="s">
        <v>40</v>
      </c>
      <c r="Q441" s="694"/>
      <c r="R441" s="694"/>
      <c r="S441" s="694"/>
      <c r="T441" s="694"/>
      <c r="U441" s="694"/>
      <c r="V441" s="695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87" t="s">
        <v>86</v>
      </c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88">
        <v>4607091384246</v>
      </c>
      <c r="E443" s="688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90"/>
      <c r="R443" s="690"/>
      <c r="S443" s="690"/>
      <c r="T443" s="691"/>
      <c r="U443" s="39" t="s">
        <v>46</v>
      </c>
      <c r="V443" s="39" t="s">
        <v>46</v>
      </c>
      <c r="W443" s="40" t="s">
        <v>0</v>
      </c>
      <c r="X443" s="58">
        <v>150</v>
      </c>
      <c r="Y443" s="55">
        <f>IFERROR(IF(X443="",0,CEILING((X443/$H443),1)*$H443),"")</f>
        <v>153</v>
      </c>
      <c r="Z443" s="41">
        <f>IFERROR(IF(Y443=0,"",ROUNDUP(Y443/H443,0)*0.01898),"")</f>
        <v>0.32266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158.23333333333332</v>
      </c>
      <c r="BN443" s="78">
        <f>IFERROR(Y443*I443/H443,"0")</f>
        <v>161.398</v>
      </c>
      <c r="BO443" s="78">
        <f>IFERROR(1/J443*(X443/H443),"0")</f>
        <v>0.26041666666666669</v>
      </c>
      <c r="BP443" s="78">
        <f>IFERROR(1/J443*(Y443/H443),"0")</f>
        <v>0.265625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88">
        <v>4607091384253</v>
      </c>
      <c r="E444" s="688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90"/>
      <c r="R444" s="690"/>
      <c r="S444" s="690"/>
      <c r="T444" s="691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88">
        <v>4607091384253</v>
      </c>
      <c r="E445" s="688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90"/>
      <c r="R445" s="690"/>
      <c r="S445" s="690"/>
      <c r="T445" s="691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96"/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7"/>
      <c r="P446" s="693" t="s">
        <v>40</v>
      </c>
      <c r="Q446" s="694"/>
      <c r="R446" s="694"/>
      <c r="S446" s="694"/>
      <c r="T446" s="694"/>
      <c r="U446" s="694"/>
      <c r="V446" s="695"/>
      <c r="W446" s="42" t="s">
        <v>39</v>
      </c>
      <c r="X446" s="43">
        <f>IFERROR(X443/H443,"0")+IFERROR(X444/H444,"0")+IFERROR(X445/H445,"0")</f>
        <v>16.666666666666668</v>
      </c>
      <c r="Y446" s="43">
        <f>IFERROR(Y443/H443,"0")+IFERROR(Y444/H444,"0")+IFERROR(Y445/H445,"0")</f>
        <v>17</v>
      </c>
      <c r="Z446" s="43">
        <f>IFERROR(IF(Z443="",0,Z443),"0")+IFERROR(IF(Z444="",0,Z444),"0")+IFERROR(IF(Z445="",0,Z445),"0")</f>
        <v>0.32266</v>
      </c>
      <c r="AA446" s="67"/>
      <c r="AB446" s="67"/>
      <c r="AC446" s="67"/>
    </row>
    <row r="447" spans="1:68" x14ac:dyDescent="0.2">
      <c r="A447" s="696"/>
      <c r="B447" s="696"/>
      <c r="C447" s="696"/>
      <c r="D447" s="696"/>
      <c r="E447" s="696"/>
      <c r="F447" s="696"/>
      <c r="G447" s="696"/>
      <c r="H447" s="696"/>
      <c r="I447" s="696"/>
      <c r="J447" s="696"/>
      <c r="K447" s="696"/>
      <c r="L447" s="696"/>
      <c r="M447" s="696"/>
      <c r="N447" s="696"/>
      <c r="O447" s="697"/>
      <c r="P447" s="693" t="s">
        <v>40</v>
      </c>
      <c r="Q447" s="694"/>
      <c r="R447" s="694"/>
      <c r="S447" s="694"/>
      <c r="T447" s="694"/>
      <c r="U447" s="694"/>
      <c r="V447" s="695"/>
      <c r="W447" s="42" t="s">
        <v>0</v>
      </c>
      <c r="X447" s="43">
        <f>IFERROR(SUM(X443:X445),"0")</f>
        <v>150</v>
      </c>
      <c r="Y447" s="43">
        <f>IFERROR(SUM(Y443:Y445),"0")</f>
        <v>153</v>
      </c>
      <c r="Z447" s="42"/>
      <c r="AA447" s="67"/>
      <c r="AB447" s="67"/>
      <c r="AC447" s="67"/>
    </row>
    <row r="448" spans="1:68" ht="27.75" customHeight="1" x14ac:dyDescent="0.2">
      <c r="A448" s="685" t="s">
        <v>726</v>
      </c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5"/>
      <c r="P448" s="685"/>
      <c r="Q448" s="685"/>
      <c r="R448" s="685"/>
      <c r="S448" s="685"/>
      <c r="T448" s="685"/>
      <c r="U448" s="685"/>
      <c r="V448" s="685"/>
      <c r="W448" s="685"/>
      <c r="X448" s="685"/>
      <c r="Y448" s="685"/>
      <c r="Z448" s="685"/>
      <c r="AA448" s="54"/>
      <c r="AB448" s="54"/>
      <c r="AC448" s="54"/>
    </row>
    <row r="449" spans="1:68" ht="16.5" customHeight="1" x14ac:dyDescent="0.25">
      <c r="A449" s="686" t="s">
        <v>727</v>
      </c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86"/>
      <c r="P449" s="686"/>
      <c r="Q449" s="686"/>
      <c r="R449" s="686"/>
      <c r="S449" s="686"/>
      <c r="T449" s="686"/>
      <c r="U449" s="686"/>
      <c r="V449" s="686"/>
      <c r="W449" s="686"/>
      <c r="X449" s="686"/>
      <c r="Y449" s="686"/>
      <c r="Z449" s="686"/>
      <c r="AA449" s="65"/>
      <c r="AB449" s="65"/>
      <c r="AC449" s="79"/>
    </row>
    <row r="450" spans="1:68" ht="14.25" customHeight="1" x14ac:dyDescent="0.25">
      <c r="A450" s="687" t="s">
        <v>77</v>
      </c>
      <c r="B450" s="687"/>
      <c r="C450" s="687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88">
        <v>4680115886100</v>
      </c>
      <c r="E451" s="688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90"/>
      <c r="R451" s="690"/>
      <c r="S451" s="690"/>
      <c r="T451" s="691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88">
        <v>4680115886124</v>
      </c>
      <c r="E452" s="688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90"/>
      <c r="R452" s="690"/>
      <c r="S452" s="690"/>
      <c r="T452" s="691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88">
        <v>4607091384338</v>
      </c>
      <c r="E453" s="688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90"/>
      <c r="R453" s="690"/>
      <c r="S453" s="690"/>
      <c r="T453" s="691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88">
        <v>4680115883161</v>
      </c>
      <c r="E454" s="688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90"/>
      <c r="R454" s="690"/>
      <c r="S454" s="690"/>
      <c r="T454" s="691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88">
        <v>4607091389531</v>
      </c>
      <c r="E455" s="688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90"/>
      <c r="R455" s="690"/>
      <c r="S455" s="690"/>
      <c r="T455" s="691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88">
        <v>4607091384345</v>
      </c>
      <c r="E456" s="688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90"/>
      <c r="R456" s="690"/>
      <c r="S456" s="690"/>
      <c r="T456" s="691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x14ac:dyDescent="0.2">
      <c r="A457" s="696"/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7"/>
      <c r="P457" s="693" t="s">
        <v>40</v>
      </c>
      <c r="Q457" s="694"/>
      <c r="R457" s="694"/>
      <c r="S457" s="694"/>
      <c r="T457" s="694"/>
      <c r="U457" s="694"/>
      <c r="V457" s="695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x14ac:dyDescent="0.2">
      <c r="A458" s="696"/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7"/>
      <c r="P458" s="693" t="s">
        <v>40</v>
      </c>
      <c r="Q458" s="694"/>
      <c r="R458" s="694"/>
      <c r="S458" s="694"/>
      <c r="T458" s="694"/>
      <c r="U458" s="694"/>
      <c r="V458" s="695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 x14ac:dyDescent="0.25">
      <c r="A459" s="687" t="s">
        <v>86</v>
      </c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88">
        <v>4607091384352</v>
      </c>
      <c r="E460" s="688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90"/>
      <c r="R460" s="690"/>
      <c r="S460" s="690"/>
      <c r="T460" s="691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88">
        <v>4607091389654</v>
      </c>
      <c r="E461" s="688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90"/>
      <c r="R461" s="690"/>
      <c r="S461" s="690"/>
      <c r="T461" s="691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96"/>
      <c r="B462" s="696"/>
      <c r="C462" s="696"/>
      <c r="D462" s="696"/>
      <c r="E462" s="696"/>
      <c r="F462" s="696"/>
      <c r="G462" s="696"/>
      <c r="H462" s="696"/>
      <c r="I462" s="696"/>
      <c r="J462" s="696"/>
      <c r="K462" s="696"/>
      <c r="L462" s="696"/>
      <c r="M462" s="696"/>
      <c r="N462" s="696"/>
      <c r="O462" s="697"/>
      <c r="P462" s="693" t="s">
        <v>40</v>
      </c>
      <c r="Q462" s="694"/>
      <c r="R462" s="694"/>
      <c r="S462" s="694"/>
      <c r="T462" s="694"/>
      <c r="U462" s="694"/>
      <c r="V462" s="69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96"/>
      <c r="B463" s="696"/>
      <c r="C463" s="696"/>
      <c r="D463" s="696"/>
      <c r="E463" s="696"/>
      <c r="F463" s="696"/>
      <c r="G463" s="696"/>
      <c r="H463" s="696"/>
      <c r="I463" s="696"/>
      <c r="J463" s="696"/>
      <c r="K463" s="696"/>
      <c r="L463" s="696"/>
      <c r="M463" s="696"/>
      <c r="N463" s="696"/>
      <c r="O463" s="697"/>
      <c r="P463" s="693" t="s">
        <v>40</v>
      </c>
      <c r="Q463" s="694"/>
      <c r="R463" s="694"/>
      <c r="S463" s="694"/>
      <c r="T463" s="694"/>
      <c r="U463" s="694"/>
      <c r="V463" s="69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 x14ac:dyDescent="0.25">
      <c r="A464" s="686" t="s">
        <v>750</v>
      </c>
      <c r="B464" s="686"/>
      <c r="C464" s="686"/>
      <c r="D464" s="686"/>
      <c r="E464" s="686"/>
      <c r="F464" s="686"/>
      <c r="G464" s="686"/>
      <c r="H464" s="686"/>
      <c r="I464" s="686"/>
      <c r="J464" s="686"/>
      <c r="K464" s="686"/>
      <c r="L464" s="686"/>
      <c r="M464" s="686"/>
      <c r="N464" s="686"/>
      <c r="O464" s="686"/>
      <c r="P464" s="686"/>
      <c r="Q464" s="686"/>
      <c r="R464" s="686"/>
      <c r="S464" s="686"/>
      <c r="T464" s="686"/>
      <c r="U464" s="686"/>
      <c r="V464" s="686"/>
      <c r="W464" s="686"/>
      <c r="X464" s="686"/>
      <c r="Y464" s="686"/>
      <c r="Z464" s="686"/>
      <c r="AA464" s="65"/>
      <c r="AB464" s="65"/>
      <c r="AC464" s="79"/>
    </row>
    <row r="465" spans="1:68" ht="14.25" customHeight="1" x14ac:dyDescent="0.25">
      <c r="A465" s="687" t="s">
        <v>166</v>
      </c>
      <c r="B465" s="687"/>
      <c r="C465" s="687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88">
        <v>4680115885240</v>
      </c>
      <c r="E466" s="688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90"/>
      <c r="R466" s="690"/>
      <c r="S466" s="690"/>
      <c r="T466" s="691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96"/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7"/>
      <c r="P467" s="693" t="s">
        <v>40</v>
      </c>
      <c r="Q467" s="694"/>
      <c r="R467" s="694"/>
      <c r="S467" s="694"/>
      <c r="T467" s="694"/>
      <c r="U467" s="694"/>
      <c r="V467" s="695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96"/>
      <c r="B468" s="696"/>
      <c r="C468" s="696"/>
      <c r="D468" s="696"/>
      <c r="E468" s="696"/>
      <c r="F468" s="696"/>
      <c r="G468" s="696"/>
      <c r="H468" s="696"/>
      <c r="I468" s="696"/>
      <c r="J468" s="696"/>
      <c r="K468" s="696"/>
      <c r="L468" s="696"/>
      <c r="M468" s="696"/>
      <c r="N468" s="696"/>
      <c r="O468" s="697"/>
      <c r="P468" s="693" t="s">
        <v>40</v>
      </c>
      <c r="Q468" s="694"/>
      <c r="R468" s="694"/>
      <c r="S468" s="694"/>
      <c r="T468" s="694"/>
      <c r="U468" s="694"/>
      <c r="V468" s="695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87" t="s">
        <v>77</v>
      </c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88">
        <v>4680115886094</v>
      </c>
      <c r="E470" s="688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90"/>
      <c r="R470" s="690"/>
      <c r="S470" s="690"/>
      <c r="T470" s="691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88">
        <v>4680115880771</v>
      </c>
      <c r="E471" s="688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90"/>
      <c r="R471" s="690"/>
      <c r="S471" s="690"/>
      <c r="T471" s="691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88">
        <v>4607091389500</v>
      </c>
      <c r="E472" s="688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90"/>
      <c r="R472" s="690"/>
      <c r="S472" s="690"/>
      <c r="T472" s="691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96"/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7"/>
      <c r="P473" s="693" t="s">
        <v>40</v>
      </c>
      <c r="Q473" s="694"/>
      <c r="R473" s="694"/>
      <c r="S473" s="694"/>
      <c r="T473" s="694"/>
      <c r="U473" s="694"/>
      <c r="V473" s="695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696"/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7"/>
      <c r="P474" s="693" t="s">
        <v>40</v>
      </c>
      <c r="Q474" s="694"/>
      <c r="R474" s="694"/>
      <c r="S474" s="694"/>
      <c r="T474" s="694"/>
      <c r="U474" s="694"/>
      <c r="V474" s="695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685" t="s">
        <v>762</v>
      </c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5"/>
      <c r="P475" s="685"/>
      <c r="Q475" s="685"/>
      <c r="R475" s="685"/>
      <c r="S475" s="685"/>
      <c r="T475" s="685"/>
      <c r="U475" s="685"/>
      <c r="V475" s="685"/>
      <c r="W475" s="685"/>
      <c r="X475" s="685"/>
      <c r="Y475" s="685"/>
      <c r="Z475" s="685"/>
      <c r="AA475" s="54"/>
      <c r="AB475" s="54"/>
      <c r="AC475" s="54"/>
    </row>
    <row r="476" spans="1:68" ht="16.5" customHeight="1" x14ac:dyDescent="0.25">
      <c r="A476" s="686" t="s">
        <v>762</v>
      </c>
      <c r="B476" s="686"/>
      <c r="C476" s="686"/>
      <c r="D476" s="686"/>
      <c r="E476" s="686"/>
      <c r="F476" s="686"/>
      <c r="G476" s="686"/>
      <c r="H476" s="686"/>
      <c r="I476" s="686"/>
      <c r="J476" s="686"/>
      <c r="K476" s="686"/>
      <c r="L476" s="686"/>
      <c r="M476" s="686"/>
      <c r="N476" s="686"/>
      <c r="O476" s="686"/>
      <c r="P476" s="686"/>
      <c r="Q476" s="686"/>
      <c r="R476" s="686"/>
      <c r="S476" s="686"/>
      <c r="T476" s="686"/>
      <c r="U476" s="686"/>
      <c r="V476" s="686"/>
      <c r="W476" s="686"/>
      <c r="X476" s="686"/>
      <c r="Y476" s="686"/>
      <c r="Z476" s="686"/>
      <c r="AA476" s="65"/>
      <c r="AB476" s="65"/>
      <c r="AC476" s="79"/>
    </row>
    <row r="477" spans="1:68" ht="14.25" customHeight="1" x14ac:dyDescent="0.25">
      <c r="A477" s="687" t="s">
        <v>129</v>
      </c>
      <c r="B477" s="687"/>
      <c r="C477" s="687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88">
        <v>4607091389067</v>
      </c>
      <c r="E478" s="688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90"/>
      <c r="R478" s="690"/>
      <c r="S478" s="690"/>
      <c r="T478" s="691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customHeight="1" x14ac:dyDescent="0.25">
      <c r="A479" s="63" t="s">
        <v>765</v>
      </c>
      <c r="B479" s="63" t="s">
        <v>766</v>
      </c>
      <c r="C479" s="36">
        <v>4301012380</v>
      </c>
      <c r="D479" s="688">
        <v>4680115889576</v>
      </c>
      <c r="E479" s="688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90"/>
      <c r="R479" s="690"/>
      <c r="S479" s="690"/>
      <c r="T479" s="691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88">
        <v>4680115885271</v>
      </c>
      <c r="E480" s="688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90"/>
      <c r="R480" s="690"/>
      <c r="S480" s="690"/>
      <c r="T480" s="691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8">
        <v>4680115885226</v>
      </c>
      <c r="E481" s="688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90"/>
      <c r="R481" s="690"/>
      <c r="S481" s="690"/>
      <c r="T481" s="691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88">
        <v>4680115884502</v>
      </c>
      <c r="E482" s="688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90"/>
      <c r="R482" s="690"/>
      <c r="S482" s="690"/>
      <c r="T482" s="691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8">
        <v>4607091389104</v>
      </c>
      <c r="E483" s="688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90"/>
      <c r="R483" s="690"/>
      <c r="S483" s="690"/>
      <c r="T483" s="691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 t="shared" si="68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0</v>
      </c>
      <c r="BN483" s="78">
        <f t="shared" si="70"/>
        <v>0</v>
      </c>
      <c r="BO483" s="78">
        <f t="shared" si="71"/>
        <v>0</v>
      </c>
      <c r="BP483" s="78">
        <f t="shared" si="72"/>
        <v>0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88">
        <v>4680115886391</v>
      </c>
      <c r="E484" s="688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90"/>
      <c r="R484" s="690"/>
      <c r="S484" s="690"/>
      <c r="T484" s="691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8">
        <v>4680115880603</v>
      </c>
      <c r="E485" s="688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90"/>
      <c r="R485" s="690"/>
      <c r="S485" s="690"/>
      <c r="T485" s="69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8">
        <v>4607091389982</v>
      </c>
      <c r="E486" s="688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90"/>
      <c r="R486" s="690"/>
      <c r="S486" s="690"/>
      <c r="T486" s="69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x14ac:dyDescent="0.2">
      <c r="A487" s="696"/>
      <c r="B487" s="696"/>
      <c r="C487" s="696"/>
      <c r="D487" s="696"/>
      <c r="E487" s="696"/>
      <c r="F487" s="696"/>
      <c r="G487" s="696"/>
      <c r="H487" s="696"/>
      <c r="I487" s="696"/>
      <c r="J487" s="696"/>
      <c r="K487" s="696"/>
      <c r="L487" s="696"/>
      <c r="M487" s="696"/>
      <c r="N487" s="696"/>
      <c r="O487" s="697"/>
      <c r="P487" s="693" t="s">
        <v>40</v>
      </c>
      <c r="Q487" s="694"/>
      <c r="R487" s="694"/>
      <c r="S487" s="694"/>
      <c r="T487" s="694"/>
      <c r="U487" s="694"/>
      <c r="V487" s="695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0</v>
      </c>
      <c r="Y487" s="43">
        <f>IFERROR(Y478/H478,"0")+IFERROR(Y479/H479,"0")+IFERROR(Y480/H480,"0")+IFERROR(Y481/H481,"0")+IFERROR(Y482/H482,"0")+IFERROR(Y483/H483,"0")+IFERROR(Y484/H484,"0")+IFERROR(Y485/H485,"0")+IFERROR(Y486/H486,"0")</f>
        <v>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x14ac:dyDescent="0.2">
      <c r="A488" s="696"/>
      <c r="B488" s="696"/>
      <c r="C488" s="696"/>
      <c r="D488" s="696"/>
      <c r="E488" s="696"/>
      <c r="F488" s="696"/>
      <c r="G488" s="696"/>
      <c r="H488" s="696"/>
      <c r="I488" s="696"/>
      <c r="J488" s="696"/>
      <c r="K488" s="696"/>
      <c r="L488" s="696"/>
      <c r="M488" s="696"/>
      <c r="N488" s="696"/>
      <c r="O488" s="697"/>
      <c r="P488" s="693" t="s">
        <v>40</v>
      </c>
      <c r="Q488" s="694"/>
      <c r="R488" s="694"/>
      <c r="S488" s="694"/>
      <c r="T488" s="694"/>
      <c r="U488" s="694"/>
      <c r="V488" s="695"/>
      <c r="W488" s="42" t="s">
        <v>0</v>
      </c>
      <c r="X488" s="43">
        <f>IFERROR(SUM(X478:X486),"0")</f>
        <v>0</v>
      </c>
      <c r="Y488" s="43">
        <f>IFERROR(SUM(Y478:Y486),"0")</f>
        <v>0</v>
      </c>
      <c r="Z488" s="42"/>
      <c r="AA488" s="67"/>
      <c r="AB488" s="67"/>
      <c r="AC488" s="67"/>
    </row>
    <row r="489" spans="1:68" ht="14.25" customHeight="1" x14ac:dyDescent="0.25">
      <c r="A489" s="687" t="s">
        <v>166</v>
      </c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8">
        <v>4607091388930</v>
      </c>
      <c r="E490" s="688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90"/>
      <c r="R490" s="690"/>
      <c r="S490" s="690"/>
      <c r="T490" s="691"/>
      <c r="U490" s="39" t="s">
        <v>46</v>
      </c>
      <c r="V490" s="39" t="s">
        <v>46</v>
      </c>
      <c r="W490" s="40" t="s">
        <v>0</v>
      </c>
      <c r="X490" s="58">
        <v>100</v>
      </c>
      <c r="Y490" s="55">
        <f>IFERROR(IF(X490="",0,CEILING((X490/$H490),1)*$H490),"")</f>
        <v>100.32000000000001</v>
      </c>
      <c r="Z490" s="41">
        <f>IFERROR(IF(Y490=0,"",ROUNDUP(Y490/H490,0)*0.01196),"")</f>
        <v>0.22724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106.62878787878788</v>
      </c>
      <c r="BN490" s="78">
        <f>IFERROR(Y490*I490/H490,"0")</f>
        <v>106.97</v>
      </c>
      <c r="BO490" s="78">
        <f>IFERROR(1/J490*(X490/H490),"0")</f>
        <v>0.18210955710955709</v>
      </c>
      <c r="BP490" s="78">
        <f>IFERROR(1/J490*(Y490/H490),"0")</f>
        <v>0.18269230769230771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88">
        <v>4680115886407</v>
      </c>
      <c r="E491" s="688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90"/>
      <c r="R491" s="690"/>
      <c r="S491" s="690"/>
      <c r="T491" s="691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88">
        <v>4680115880054</v>
      </c>
      <c r="E492" s="688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90"/>
      <c r="R492" s="690"/>
      <c r="S492" s="690"/>
      <c r="T492" s="691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96"/>
      <c r="B493" s="696"/>
      <c r="C493" s="696"/>
      <c r="D493" s="696"/>
      <c r="E493" s="696"/>
      <c r="F493" s="696"/>
      <c r="G493" s="696"/>
      <c r="H493" s="696"/>
      <c r="I493" s="696"/>
      <c r="J493" s="696"/>
      <c r="K493" s="696"/>
      <c r="L493" s="696"/>
      <c r="M493" s="696"/>
      <c r="N493" s="696"/>
      <c r="O493" s="697"/>
      <c r="P493" s="693" t="s">
        <v>40</v>
      </c>
      <c r="Q493" s="694"/>
      <c r="R493" s="694"/>
      <c r="S493" s="694"/>
      <c r="T493" s="694"/>
      <c r="U493" s="694"/>
      <c r="V493" s="695"/>
      <c r="W493" s="42" t="s">
        <v>39</v>
      </c>
      <c r="X493" s="43">
        <f>IFERROR(X490/H490,"0")+IFERROR(X491/H491,"0")+IFERROR(X492/H492,"0")</f>
        <v>18.939393939393938</v>
      </c>
      <c r="Y493" s="43">
        <f>IFERROR(Y490/H490,"0")+IFERROR(Y491/H491,"0")+IFERROR(Y492/H492,"0")</f>
        <v>19</v>
      </c>
      <c r="Z493" s="43">
        <f>IFERROR(IF(Z490="",0,Z490),"0")+IFERROR(IF(Z491="",0,Z491),"0")+IFERROR(IF(Z492="",0,Z492),"0")</f>
        <v>0.22724</v>
      </c>
      <c r="AA493" s="67"/>
      <c r="AB493" s="67"/>
      <c r="AC493" s="67"/>
    </row>
    <row r="494" spans="1:68" x14ac:dyDescent="0.2">
      <c r="A494" s="696"/>
      <c r="B494" s="696"/>
      <c r="C494" s="696"/>
      <c r="D494" s="696"/>
      <c r="E494" s="696"/>
      <c r="F494" s="696"/>
      <c r="G494" s="696"/>
      <c r="H494" s="696"/>
      <c r="I494" s="696"/>
      <c r="J494" s="696"/>
      <c r="K494" s="696"/>
      <c r="L494" s="696"/>
      <c r="M494" s="696"/>
      <c r="N494" s="696"/>
      <c r="O494" s="697"/>
      <c r="P494" s="693" t="s">
        <v>40</v>
      </c>
      <c r="Q494" s="694"/>
      <c r="R494" s="694"/>
      <c r="S494" s="694"/>
      <c r="T494" s="694"/>
      <c r="U494" s="694"/>
      <c r="V494" s="695"/>
      <c r="W494" s="42" t="s">
        <v>0</v>
      </c>
      <c r="X494" s="43">
        <f>IFERROR(SUM(X490:X492),"0")</f>
        <v>100</v>
      </c>
      <c r="Y494" s="43">
        <f>IFERROR(SUM(Y490:Y492),"0")</f>
        <v>100.32000000000001</v>
      </c>
      <c r="Z494" s="42"/>
      <c r="AA494" s="67"/>
      <c r="AB494" s="67"/>
      <c r="AC494" s="67"/>
    </row>
    <row r="495" spans="1:68" ht="14.25" customHeight="1" x14ac:dyDescent="0.25">
      <c r="A495" s="687" t="s">
        <v>77</v>
      </c>
      <c r="B495" s="687"/>
      <c r="C495" s="687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8">
        <v>4680115883116</v>
      </c>
      <c r="E496" s="688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90"/>
      <c r="R496" s="690"/>
      <c r="S496" s="690"/>
      <c r="T496" s="691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8">
        <v>4680115883093</v>
      </c>
      <c r="E497" s="688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90"/>
      <c r="R497" s="690"/>
      <c r="S497" s="690"/>
      <c r="T497" s="691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8">
        <v>4680115883109</v>
      </c>
      <c r="E498" s="688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90"/>
      <c r="R498" s="690"/>
      <c r="S498" s="690"/>
      <c r="T498" s="691"/>
      <c r="U498" s="39" t="s">
        <v>46</v>
      </c>
      <c r="V498" s="39" t="s">
        <v>46</v>
      </c>
      <c r="W498" s="40" t="s">
        <v>0</v>
      </c>
      <c r="X498" s="58">
        <v>30</v>
      </c>
      <c r="Y498" s="55">
        <f t="shared" si="73"/>
        <v>31.68</v>
      </c>
      <c r="Z498" s="41">
        <f>IFERROR(IF(Y498=0,"",ROUNDUP(Y498/H498,0)*0.01196),"")</f>
        <v>7.1760000000000004E-2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31.988636363636363</v>
      </c>
      <c r="BN498" s="78">
        <f t="shared" si="75"/>
        <v>33.779999999999994</v>
      </c>
      <c r="BO498" s="78">
        <f t="shared" si="76"/>
        <v>5.4632867132867136E-2</v>
      </c>
      <c r="BP498" s="78">
        <f t="shared" si="77"/>
        <v>5.7692307692307696E-2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88">
        <v>4680115882072</v>
      </c>
      <c r="E499" s="688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90"/>
      <c r="R499" s="690"/>
      <c r="S499" s="690"/>
      <c r="T499" s="691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88">
        <v>4680115882102</v>
      </c>
      <c r="E500" s="688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5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90"/>
      <c r="R500" s="690"/>
      <c r="S500" s="690"/>
      <c r="T500" s="691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88">
        <v>4680115882102</v>
      </c>
      <c r="E501" s="688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90"/>
      <c r="R501" s="690"/>
      <c r="S501" s="690"/>
      <c r="T501" s="691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88">
        <v>4680115882096</v>
      </c>
      <c r="E502" s="688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90"/>
      <c r="R502" s="690"/>
      <c r="S502" s="690"/>
      <c r="T502" s="691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x14ac:dyDescent="0.2">
      <c r="A503" s="696"/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7"/>
      <c r="P503" s="693" t="s">
        <v>40</v>
      </c>
      <c r="Q503" s="694"/>
      <c r="R503" s="694"/>
      <c r="S503" s="694"/>
      <c r="T503" s="694"/>
      <c r="U503" s="694"/>
      <c r="V503" s="695"/>
      <c r="W503" s="42" t="s">
        <v>39</v>
      </c>
      <c r="X503" s="43">
        <f>IFERROR(X496/H496,"0")+IFERROR(X497/H497,"0")+IFERROR(X498/H498,"0")+IFERROR(X499/H499,"0")+IFERROR(X500/H500,"0")+IFERROR(X501/H501,"0")+IFERROR(X502/H502,"0")</f>
        <v>5.6818181818181817</v>
      </c>
      <c r="Y503" s="43">
        <f>IFERROR(Y496/H496,"0")+IFERROR(Y497/H497,"0")+IFERROR(Y498/H498,"0")+IFERROR(Y499/H499,"0")+IFERROR(Y500/H500,"0")+IFERROR(Y501/H501,"0")+IFERROR(Y502/H502,"0")</f>
        <v>6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7.1760000000000004E-2</v>
      </c>
      <c r="AA503" s="67"/>
      <c r="AB503" s="67"/>
      <c r="AC503" s="67"/>
    </row>
    <row r="504" spans="1:68" x14ac:dyDescent="0.2">
      <c r="A504" s="696"/>
      <c r="B504" s="696"/>
      <c r="C504" s="696"/>
      <c r="D504" s="696"/>
      <c r="E504" s="696"/>
      <c r="F504" s="696"/>
      <c r="G504" s="696"/>
      <c r="H504" s="696"/>
      <c r="I504" s="696"/>
      <c r="J504" s="696"/>
      <c r="K504" s="696"/>
      <c r="L504" s="696"/>
      <c r="M504" s="696"/>
      <c r="N504" s="696"/>
      <c r="O504" s="697"/>
      <c r="P504" s="693" t="s">
        <v>40</v>
      </c>
      <c r="Q504" s="694"/>
      <c r="R504" s="694"/>
      <c r="S504" s="694"/>
      <c r="T504" s="694"/>
      <c r="U504" s="694"/>
      <c r="V504" s="695"/>
      <c r="W504" s="42" t="s">
        <v>0</v>
      </c>
      <c r="X504" s="43">
        <f>IFERROR(SUM(X496:X502),"0")</f>
        <v>30</v>
      </c>
      <c r="Y504" s="43">
        <f>IFERROR(SUM(Y496:Y502),"0")</f>
        <v>31.68</v>
      </c>
      <c r="Z504" s="42"/>
      <c r="AA504" s="67"/>
      <c r="AB504" s="67"/>
      <c r="AC504" s="67"/>
    </row>
    <row r="505" spans="1:68" ht="27.75" customHeight="1" x14ac:dyDescent="0.2">
      <c r="A505" s="685" t="s">
        <v>809</v>
      </c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5"/>
      <c r="P505" s="685"/>
      <c r="Q505" s="685"/>
      <c r="R505" s="685"/>
      <c r="S505" s="685"/>
      <c r="T505" s="685"/>
      <c r="U505" s="685"/>
      <c r="V505" s="685"/>
      <c r="W505" s="685"/>
      <c r="X505" s="685"/>
      <c r="Y505" s="685"/>
      <c r="Z505" s="685"/>
      <c r="AA505" s="54"/>
      <c r="AB505" s="54"/>
      <c r="AC505" s="54"/>
    </row>
    <row r="506" spans="1:68" ht="16.5" customHeight="1" x14ac:dyDescent="0.25">
      <c r="A506" s="686" t="s">
        <v>809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65"/>
      <c r="AB506" s="65"/>
      <c r="AC506" s="79"/>
    </row>
    <row r="507" spans="1:68" ht="14.25" customHeight="1" x14ac:dyDescent="0.25">
      <c r="A507" s="687" t="s">
        <v>129</v>
      </c>
      <c r="B507" s="687"/>
      <c r="C507" s="687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88">
        <v>4640242180564</v>
      </c>
      <c r="E508" s="688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90"/>
      <c r="R508" s="690"/>
      <c r="S508" s="690"/>
      <c r="T508" s="691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96"/>
      <c r="B509" s="696"/>
      <c r="C509" s="696"/>
      <c r="D509" s="696"/>
      <c r="E509" s="696"/>
      <c r="F509" s="696"/>
      <c r="G509" s="696"/>
      <c r="H509" s="696"/>
      <c r="I509" s="696"/>
      <c r="J509" s="696"/>
      <c r="K509" s="696"/>
      <c r="L509" s="696"/>
      <c r="M509" s="696"/>
      <c r="N509" s="696"/>
      <c r="O509" s="697"/>
      <c r="P509" s="693" t="s">
        <v>40</v>
      </c>
      <c r="Q509" s="694"/>
      <c r="R509" s="694"/>
      <c r="S509" s="694"/>
      <c r="T509" s="694"/>
      <c r="U509" s="694"/>
      <c r="V509" s="695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96"/>
      <c r="B510" s="696"/>
      <c r="C510" s="696"/>
      <c r="D510" s="696"/>
      <c r="E510" s="696"/>
      <c r="F510" s="696"/>
      <c r="G510" s="696"/>
      <c r="H510" s="696"/>
      <c r="I510" s="696"/>
      <c r="J510" s="696"/>
      <c r="K510" s="696"/>
      <c r="L510" s="696"/>
      <c r="M510" s="696"/>
      <c r="N510" s="696"/>
      <c r="O510" s="697"/>
      <c r="P510" s="693" t="s">
        <v>40</v>
      </c>
      <c r="Q510" s="694"/>
      <c r="R510" s="694"/>
      <c r="S510" s="694"/>
      <c r="T510" s="694"/>
      <c r="U510" s="694"/>
      <c r="V510" s="695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87" t="s">
        <v>166</v>
      </c>
      <c r="B511" s="687"/>
      <c r="C511" s="687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88">
        <v>4640242180519</v>
      </c>
      <c r="E512" s="688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90"/>
      <c r="R512" s="690"/>
      <c r="S512" s="690"/>
      <c r="T512" s="691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96"/>
      <c r="B513" s="696"/>
      <c r="C513" s="696"/>
      <c r="D513" s="696"/>
      <c r="E513" s="696"/>
      <c r="F513" s="696"/>
      <c r="G513" s="696"/>
      <c r="H513" s="696"/>
      <c r="I513" s="696"/>
      <c r="J513" s="696"/>
      <c r="K513" s="696"/>
      <c r="L513" s="696"/>
      <c r="M513" s="696"/>
      <c r="N513" s="696"/>
      <c r="O513" s="697"/>
      <c r="P513" s="693" t="s">
        <v>40</v>
      </c>
      <c r="Q513" s="694"/>
      <c r="R513" s="694"/>
      <c r="S513" s="694"/>
      <c r="T513" s="694"/>
      <c r="U513" s="694"/>
      <c r="V513" s="695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96"/>
      <c r="B514" s="696"/>
      <c r="C514" s="696"/>
      <c r="D514" s="696"/>
      <c r="E514" s="696"/>
      <c r="F514" s="696"/>
      <c r="G514" s="696"/>
      <c r="H514" s="696"/>
      <c r="I514" s="696"/>
      <c r="J514" s="696"/>
      <c r="K514" s="696"/>
      <c r="L514" s="696"/>
      <c r="M514" s="696"/>
      <c r="N514" s="696"/>
      <c r="O514" s="697"/>
      <c r="P514" s="693" t="s">
        <v>40</v>
      </c>
      <c r="Q514" s="694"/>
      <c r="R514" s="694"/>
      <c r="S514" s="694"/>
      <c r="T514" s="694"/>
      <c r="U514" s="694"/>
      <c r="V514" s="695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87" t="s">
        <v>77</v>
      </c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88">
        <v>4640242180595</v>
      </c>
      <c r="E516" s="688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90"/>
      <c r="R516" s="690"/>
      <c r="S516" s="690"/>
      <c r="T516" s="691"/>
      <c r="U516" s="39" t="s">
        <v>46</v>
      </c>
      <c r="V516" s="39" t="s">
        <v>46</v>
      </c>
      <c r="W516" s="40" t="s">
        <v>0</v>
      </c>
      <c r="X516" s="58">
        <v>80</v>
      </c>
      <c r="Y516" s="55">
        <f>IFERROR(IF(X516="",0,CEILING((X516/$H516),1)*$H516),"")</f>
        <v>81.599999999999994</v>
      </c>
      <c r="Z516" s="41">
        <f>IFERROR(IF(Y516=0,"",ROUNDUP(Y516/H516,0)*0.00902),"")</f>
        <v>0.15334</v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84.166666666666671</v>
      </c>
      <c r="BN516" s="78">
        <f>IFERROR(Y516*I516/H516,"0")</f>
        <v>85.85</v>
      </c>
      <c r="BO516" s="78">
        <f>IFERROR(1/J516*(X516/H516),"0")</f>
        <v>0.12626262626262627</v>
      </c>
      <c r="BP516" s="78">
        <f>IFERROR(1/J516*(Y516/H516),"0")</f>
        <v>0.12878787878787878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88">
        <v>4640242180595</v>
      </c>
      <c r="E517" s="688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90"/>
      <c r="R517" s="690"/>
      <c r="S517" s="690"/>
      <c r="T517" s="691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96"/>
      <c r="B518" s="696"/>
      <c r="C518" s="696"/>
      <c r="D518" s="696"/>
      <c r="E518" s="696"/>
      <c r="F518" s="696"/>
      <c r="G518" s="696"/>
      <c r="H518" s="696"/>
      <c r="I518" s="696"/>
      <c r="J518" s="696"/>
      <c r="K518" s="696"/>
      <c r="L518" s="696"/>
      <c r="M518" s="696"/>
      <c r="N518" s="696"/>
      <c r="O518" s="697"/>
      <c r="P518" s="693" t="s">
        <v>40</v>
      </c>
      <c r="Q518" s="694"/>
      <c r="R518" s="694"/>
      <c r="S518" s="694"/>
      <c r="T518" s="694"/>
      <c r="U518" s="694"/>
      <c r="V518" s="695"/>
      <c r="W518" s="42" t="s">
        <v>39</v>
      </c>
      <c r="X518" s="43">
        <f>IFERROR(X516/H516,"0")+IFERROR(X517/H517,"0")</f>
        <v>16.666666666666668</v>
      </c>
      <c r="Y518" s="43">
        <f>IFERROR(Y516/H516,"0")+IFERROR(Y517/H517,"0")</f>
        <v>17</v>
      </c>
      <c r="Z518" s="43">
        <f>IFERROR(IF(Z516="",0,Z516),"0")+IFERROR(IF(Z517="",0,Z517),"0")</f>
        <v>0.15334</v>
      </c>
      <c r="AA518" s="67"/>
      <c r="AB518" s="67"/>
      <c r="AC518" s="67"/>
    </row>
    <row r="519" spans="1:68" x14ac:dyDescent="0.2">
      <c r="A519" s="696"/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7"/>
      <c r="P519" s="693" t="s">
        <v>40</v>
      </c>
      <c r="Q519" s="694"/>
      <c r="R519" s="694"/>
      <c r="S519" s="694"/>
      <c r="T519" s="694"/>
      <c r="U519" s="694"/>
      <c r="V519" s="695"/>
      <c r="W519" s="42" t="s">
        <v>0</v>
      </c>
      <c r="X519" s="43">
        <f>IFERROR(SUM(X516:X517),"0")</f>
        <v>80</v>
      </c>
      <c r="Y519" s="43">
        <f>IFERROR(SUM(Y516:Y517),"0")</f>
        <v>81.599999999999994</v>
      </c>
      <c r="Z519" s="42"/>
      <c r="AA519" s="67"/>
      <c r="AB519" s="67"/>
      <c r="AC519" s="67"/>
    </row>
    <row r="520" spans="1:68" ht="14.25" customHeight="1" x14ac:dyDescent="0.25">
      <c r="A520" s="687" t="s">
        <v>86</v>
      </c>
      <c r="B520" s="687"/>
      <c r="C520" s="687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8">
        <v>4640242180533</v>
      </c>
      <c r="E521" s="688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90"/>
      <c r="R521" s="690"/>
      <c r="S521" s="690"/>
      <c r="T521" s="691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96"/>
      <c r="B522" s="696"/>
      <c r="C522" s="696"/>
      <c r="D522" s="696"/>
      <c r="E522" s="696"/>
      <c r="F522" s="696"/>
      <c r="G522" s="696"/>
      <c r="H522" s="696"/>
      <c r="I522" s="696"/>
      <c r="J522" s="696"/>
      <c r="K522" s="696"/>
      <c r="L522" s="696"/>
      <c r="M522" s="696"/>
      <c r="N522" s="696"/>
      <c r="O522" s="697"/>
      <c r="P522" s="693" t="s">
        <v>40</v>
      </c>
      <c r="Q522" s="694"/>
      <c r="R522" s="694"/>
      <c r="S522" s="694"/>
      <c r="T522" s="694"/>
      <c r="U522" s="694"/>
      <c r="V522" s="695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x14ac:dyDescent="0.2">
      <c r="A523" s="696"/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7"/>
      <c r="P523" s="693" t="s">
        <v>40</v>
      </c>
      <c r="Q523" s="694"/>
      <c r="R523" s="694"/>
      <c r="S523" s="694"/>
      <c r="T523" s="694"/>
      <c r="U523" s="694"/>
      <c r="V523" s="695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 x14ac:dyDescent="0.25">
      <c r="A524" s="687" t="s">
        <v>183</v>
      </c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88">
        <v>4640242180120</v>
      </c>
      <c r="E525" s="688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90"/>
      <c r="R525" s="690"/>
      <c r="S525" s="690"/>
      <c r="T525" s="691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88">
        <v>4640242180137</v>
      </c>
      <c r="E526" s="688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90"/>
      <c r="R526" s="690"/>
      <c r="S526" s="690"/>
      <c r="T526" s="691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96"/>
      <c r="B527" s="696"/>
      <c r="C527" s="696"/>
      <c r="D527" s="696"/>
      <c r="E527" s="696"/>
      <c r="F527" s="696"/>
      <c r="G527" s="696"/>
      <c r="H527" s="696"/>
      <c r="I527" s="696"/>
      <c r="J527" s="696"/>
      <c r="K527" s="696"/>
      <c r="L527" s="696"/>
      <c r="M527" s="696"/>
      <c r="N527" s="696"/>
      <c r="O527" s="697"/>
      <c r="P527" s="693" t="s">
        <v>40</v>
      </c>
      <c r="Q527" s="694"/>
      <c r="R527" s="694"/>
      <c r="S527" s="694"/>
      <c r="T527" s="694"/>
      <c r="U527" s="694"/>
      <c r="V527" s="695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96"/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7"/>
      <c r="P528" s="693" t="s">
        <v>40</v>
      </c>
      <c r="Q528" s="694"/>
      <c r="R528" s="694"/>
      <c r="S528" s="694"/>
      <c r="T528" s="694"/>
      <c r="U528" s="694"/>
      <c r="V528" s="695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86" t="s">
        <v>830</v>
      </c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86"/>
      <c r="P529" s="686"/>
      <c r="Q529" s="686"/>
      <c r="R529" s="686"/>
      <c r="S529" s="686"/>
      <c r="T529" s="686"/>
      <c r="U529" s="686"/>
      <c r="V529" s="686"/>
      <c r="W529" s="686"/>
      <c r="X529" s="686"/>
      <c r="Y529" s="686"/>
      <c r="Z529" s="686"/>
      <c r="AA529" s="65"/>
      <c r="AB529" s="65"/>
      <c r="AC529" s="79"/>
    </row>
    <row r="530" spans="1:68" ht="14.25" customHeight="1" x14ac:dyDescent="0.25">
      <c r="A530" s="687" t="s">
        <v>166</v>
      </c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88">
        <v>4640242180090</v>
      </c>
      <c r="E531" s="688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90"/>
      <c r="R531" s="690"/>
      <c r="S531" s="690"/>
      <c r="T531" s="691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96"/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7"/>
      <c r="P532" s="693" t="s">
        <v>40</v>
      </c>
      <c r="Q532" s="694"/>
      <c r="R532" s="694"/>
      <c r="S532" s="694"/>
      <c r="T532" s="694"/>
      <c r="U532" s="694"/>
      <c r="V532" s="695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96"/>
      <c r="B533" s="696"/>
      <c r="C533" s="696"/>
      <c r="D533" s="696"/>
      <c r="E533" s="696"/>
      <c r="F533" s="696"/>
      <c r="G533" s="696"/>
      <c r="H533" s="696"/>
      <c r="I533" s="696"/>
      <c r="J533" s="696"/>
      <c r="K533" s="696"/>
      <c r="L533" s="696"/>
      <c r="M533" s="696"/>
      <c r="N533" s="696"/>
      <c r="O533" s="697"/>
      <c r="P533" s="693" t="s">
        <v>40</v>
      </c>
      <c r="Q533" s="694"/>
      <c r="R533" s="694"/>
      <c r="S533" s="694"/>
      <c r="T533" s="694"/>
      <c r="U533" s="694"/>
      <c r="V533" s="695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6"/>
      <c r="B534" s="696"/>
      <c r="C534" s="696"/>
      <c r="D534" s="696"/>
      <c r="E534" s="696"/>
      <c r="F534" s="696"/>
      <c r="G534" s="696"/>
      <c r="H534" s="696"/>
      <c r="I534" s="696"/>
      <c r="J534" s="696"/>
      <c r="K534" s="696"/>
      <c r="L534" s="696"/>
      <c r="M534" s="696"/>
      <c r="N534" s="696"/>
      <c r="O534" s="964"/>
      <c r="P534" s="961" t="s">
        <v>33</v>
      </c>
      <c r="Q534" s="962"/>
      <c r="R534" s="962"/>
      <c r="S534" s="962"/>
      <c r="T534" s="962"/>
      <c r="U534" s="962"/>
      <c r="V534" s="963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4920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4962.6000000000004</v>
      </c>
      <c r="Z534" s="42"/>
      <c r="AA534" s="67"/>
      <c r="AB534" s="67"/>
      <c r="AC534" s="67"/>
    </row>
    <row r="535" spans="1:68" x14ac:dyDescent="0.2">
      <c r="A535" s="696"/>
      <c r="B535" s="696"/>
      <c r="C535" s="696"/>
      <c r="D535" s="696"/>
      <c r="E535" s="696"/>
      <c r="F535" s="696"/>
      <c r="G535" s="696"/>
      <c r="H535" s="696"/>
      <c r="I535" s="696"/>
      <c r="J535" s="696"/>
      <c r="K535" s="696"/>
      <c r="L535" s="696"/>
      <c r="M535" s="696"/>
      <c r="N535" s="696"/>
      <c r="O535" s="964"/>
      <c r="P535" s="961" t="s">
        <v>34</v>
      </c>
      <c r="Q535" s="962"/>
      <c r="R535" s="962"/>
      <c r="S535" s="962"/>
      <c r="T535" s="962"/>
      <c r="U535" s="962"/>
      <c r="V535" s="963"/>
      <c r="W535" s="42" t="s">
        <v>0</v>
      </c>
      <c r="X535" s="43">
        <f>IFERROR(SUM(BM22:BM531),"0")</f>
        <v>5151.5555357605363</v>
      </c>
      <c r="Y535" s="43">
        <f>IFERROR(SUM(BN22:BN531),"0")</f>
        <v>5196.1660000000002</v>
      </c>
      <c r="Z535" s="42"/>
      <c r="AA535" s="67"/>
      <c r="AB535" s="67"/>
      <c r="AC535" s="67"/>
    </row>
    <row r="536" spans="1:68" x14ac:dyDescent="0.2">
      <c r="A536" s="696"/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964"/>
      <c r="P536" s="961" t="s">
        <v>35</v>
      </c>
      <c r="Q536" s="962"/>
      <c r="R536" s="962"/>
      <c r="S536" s="962"/>
      <c r="T536" s="962"/>
      <c r="U536" s="962"/>
      <c r="V536" s="963"/>
      <c r="W536" s="42" t="s">
        <v>20</v>
      </c>
      <c r="X536" s="44">
        <f>ROUNDUP(SUM(BO22:BO531),0)</f>
        <v>9</v>
      </c>
      <c r="Y536" s="44">
        <f>ROUNDUP(SUM(BP22:BP531),0)</f>
        <v>9</v>
      </c>
      <c r="Z536" s="42"/>
      <c r="AA536" s="67"/>
      <c r="AB536" s="67"/>
      <c r="AC536" s="67"/>
    </row>
    <row r="537" spans="1:68" x14ac:dyDescent="0.2">
      <c r="A537" s="696"/>
      <c r="B537" s="696"/>
      <c r="C537" s="696"/>
      <c r="D537" s="696"/>
      <c r="E537" s="696"/>
      <c r="F537" s="696"/>
      <c r="G537" s="696"/>
      <c r="H537" s="696"/>
      <c r="I537" s="696"/>
      <c r="J537" s="696"/>
      <c r="K537" s="696"/>
      <c r="L537" s="696"/>
      <c r="M537" s="696"/>
      <c r="N537" s="696"/>
      <c r="O537" s="964"/>
      <c r="P537" s="961" t="s">
        <v>36</v>
      </c>
      <c r="Q537" s="962"/>
      <c r="R537" s="962"/>
      <c r="S537" s="962"/>
      <c r="T537" s="962"/>
      <c r="U537" s="962"/>
      <c r="V537" s="963"/>
      <c r="W537" s="42" t="s">
        <v>0</v>
      </c>
      <c r="X537" s="43">
        <f>GrossWeightTotal+PalletQtyTotal*25</f>
        <v>5376.5555357605363</v>
      </c>
      <c r="Y537" s="43">
        <f>GrossWeightTotalR+PalletQtyTotalR*25</f>
        <v>5421.1660000000002</v>
      </c>
      <c r="Z537" s="42"/>
      <c r="AA537" s="67"/>
      <c r="AB537" s="67"/>
      <c r="AC537" s="67"/>
    </row>
    <row r="538" spans="1:68" x14ac:dyDescent="0.2">
      <c r="A538" s="696"/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964"/>
      <c r="P538" s="961" t="s">
        <v>37</v>
      </c>
      <c r="Q538" s="962"/>
      <c r="R538" s="962"/>
      <c r="S538" s="962"/>
      <c r="T538" s="962"/>
      <c r="U538" s="962"/>
      <c r="V538" s="963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576.51457801457786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582</v>
      </c>
      <c r="Z538" s="42"/>
      <c r="AA538" s="67"/>
      <c r="AB538" s="67"/>
      <c r="AC538" s="67"/>
    </row>
    <row r="539" spans="1:68" ht="14.25" x14ac:dyDescent="0.2">
      <c r="A539" s="696"/>
      <c r="B539" s="696"/>
      <c r="C539" s="696"/>
      <c r="D539" s="696"/>
      <c r="E539" s="696"/>
      <c r="F539" s="696"/>
      <c r="G539" s="696"/>
      <c r="H539" s="696"/>
      <c r="I539" s="696"/>
      <c r="J539" s="696"/>
      <c r="K539" s="696"/>
      <c r="L539" s="696"/>
      <c r="M539" s="696"/>
      <c r="N539" s="696"/>
      <c r="O539" s="964"/>
      <c r="P539" s="961" t="s">
        <v>38</v>
      </c>
      <c r="Q539" s="962"/>
      <c r="R539" s="962"/>
      <c r="S539" s="962"/>
      <c r="T539" s="962"/>
      <c r="U539" s="962"/>
      <c r="V539" s="963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9.56982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7" t="s">
        <v>127</v>
      </c>
      <c r="E541" s="967" t="s">
        <v>127</v>
      </c>
      <c r="F541" s="967" t="s">
        <v>127</v>
      </c>
      <c r="G541" s="967" t="s">
        <v>127</v>
      </c>
      <c r="H541" s="967" t="s">
        <v>127</v>
      </c>
      <c r="I541" s="967" t="s">
        <v>127</v>
      </c>
      <c r="J541" s="967" t="s">
        <v>127</v>
      </c>
      <c r="K541" s="967" t="s">
        <v>336</v>
      </c>
      <c r="L541" s="967" t="s">
        <v>336</v>
      </c>
      <c r="M541" s="967" t="s">
        <v>336</v>
      </c>
      <c r="N541" s="968"/>
      <c r="O541" s="967" t="s">
        <v>336</v>
      </c>
      <c r="P541" s="967" t="s">
        <v>336</v>
      </c>
      <c r="Q541" s="967" t="s">
        <v>336</v>
      </c>
      <c r="R541" s="967" t="s">
        <v>336</v>
      </c>
      <c r="S541" s="967" t="s">
        <v>336</v>
      </c>
      <c r="T541" s="967" t="s">
        <v>336</v>
      </c>
      <c r="U541" s="967" t="s">
        <v>336</v>
      </c>
      <c r="V541" s="967" t="s">
        <v>666</v>
      </c>
      <c r="W541" s="967" t="s">
        <v>666</v>
      </c>
      <c r="X541" s="967" t="s">
        <v>726</v>
      </c>
      <c r="Y541" s="967" t="s">
        <v>726</v>
      </c>
      <c r="Z541" s="85" t="s">
        <v>762</v>
      </c>
      <c r="AA541" s="967" t="s">
        <v>809</v>
      </c>
      <c r="AB541" s="967" t="s">
        <v>809</v>
      </c>
      <c r="AC541" s="60"/>
      <c r="AF541" s="1"/>
    </row>
    <row r="542" spans="1:68" ht="14.25" customHeight="1" thickTop="1" x14ac:dyDescent="0.2">
      <c r="A542" s="965" t="s">
        <v>10</v>
      </c>
      <c r="B542" s="967" t="s">
        <v>76</v>
      </c>
      <c r="C542" s="967" t="s">
        <v>110</v>
      </c>
      <c r="D542" s="967" t="s">
        <v>128</v>
      </c>
      <c r="E542" s="967" t="s">
        <v>144</v>
      </c>
      <c r="F542" s="967" t="s">
        <v>190</v>
      </c>
      <c r="G542" s="967" t="s">
        <v>211</v>
      </c>
      <c r="H542" s="967" t="s">
        <v>253</v>
      </c>
      <c r="I542" s="967" t="s">
        <v>265</v>
      </c>
      <c r="J542" s="967" t="s">
        <v>127</v>
      </c>
      <c r="K542" s="967" t="s">
        <v>337</v>
      </c>
      <c r="L542" s="967" t="s">
        <v>358</v>
      </c>
      <c r="M542" s="967" t="s">
        <v>425</v>
      </c>
      <c r="N542" s="1"/>
      <c r="O542" s="967" t="s">
        <v>493</v>
      </c>
      <c r="P542" s="967" t="s">
        <v>526</v>
      </c>
      <c r="Q542" s="967" t="s">
        <v>542</v>
      </c>
      <c r="R542" s="967" t="s">
        <v>551</v>
      </c>
      <c r="S542" s="967" t="s">
        <v>572</v>
      </c>
      <c r="T542" s="967" t="s">
        <v>581</v>
      </c>
      <c r="U542" s="967" t="s">
        <v>656</v>
      </c>
      <c r="V542" s="967" t="s">
        <v>667</v>
      </c>
      <c r="W542" s="967" t="s">
        <v>710</v>
      </c>
      <c r="X542" s="967" t="s">
        <v>727</v>
      </c>
      <c r="Y542" s="967" t="s">
        <v>750</v>
      </c>
      <c r="Z542" s="967" t="s">
        <v>762</v>
      </c>
      <c r="AA542" s="967" t="s">
        <v>809</v>
      </c>
      <c r="AB542" s="967" t="s">
        <v>830</v>
      </c>
      <c r="AC542" s="60"/>
      <c r="AF542" s="1"/>
    </row>
    <row r="543" spans="1:68" ht="13.5" thickBot="1" x14ac:dyDescent="0.25">
      <c r="A543" s="966"/>
      <c r="B543" s="967"/>
      <c r="C543" s="967"/>
      <c r="D543" s="967"/>
      <c r="E543" s="967"/>
      <c r="F543" s="967"/>
      <c r="G543" s="967"/>
      <c r="H543" s="967"/>
      <c r="I543" s="967"/>
      <c r="J543" s="967"/>
      <c r="K543" s="967"/>
      <c r="L543" s="967"/>
      <c r="M543" s="967"/>
      <c r="N543" s="1"/>
      <c r="O543" s="967"/>
      <c r="P543" s="967"/>
      <c r="Q543" s="967"/>
      <c r="R543" s="967"/>
      <c r="S543" s="967"/>
      <c r="T543" s="967"/>
      <c r="U543" s="967"/>
      <c r="V543" s="967"/>
      <c r="W543" s="967"/>
      <c r="X543" s="967"/>
      <c r="Y543" s="967"/>
      <c r="Z543" s="967"/>
      <c r="AA543" s="967"/>
      <c r="AB543" s="967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0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205.20000000000002</v>
      </c>
      <c r="F544" s="52">
        <f>IFERROR(Y88*1,"0")+IFERROR(Y89*1,"0")+IFERROR(Y90*1,"0")+IFERROR(Y91*1,"0")+IFERROR(Y95*1,"0")+IFERROR(Y96*1,"0")+IFERROR(Y97*1,"0")+IFERROR(Y98*1,"0")</f>
        <v>0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21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183.60000000000002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2386.1999999999998</v>
      </c>
      <c r="U544" s="52">
        <f>IFERROR(Y399*1,"0")+IFERROR(Y400*1,"0")+IFERROR(Y401*1,"0")</f>
        <v>0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1800</v>
      </c>
      <c r="W544" s="52">
        <f>IFERROR(Y434*1,"0")+IFERROR(Y435*1,"0")+IFERROR(Y439*1,"0")+IFERROR(Y443*1,"0")+IFERROR(Y444*1,"0")+IFERROR(Y445*1,"0")</f>
        <v>153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132</v>
      </c>
      <c r="AA544" s="52">
        <f>IFERROR(Y508*1,"0")+IFERROR(Y512*1,"0")+IFERROR(Y516*1,"0")+IFERROR(Y517*1,"0")+IFERROR(Y521*1,"0")+IFERROR(Y525*1,"0")+IFERROR(Y526*1,"0")</f>
        <v>81.599999999999994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2026-07-14T06:59:25Z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