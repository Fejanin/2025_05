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филиалы\"/>
    </mc:Choice>
  </mc:AlternateContent>
  <xr:revisionPtr revIDLastSave="0" documentId="13_ncr:1_{752FF3CA-7F4F-4272-9E44-0818B3E7F6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2" i="1" l="1"/>
  <c r="Q14" i="1"/>
  <c r="Q62" i="1"/>
  <c r="Q61" i="1"/>
  <c r="V61" i="1" s="1"/>
  <c r="AF62" i="1"/>
  <c r="AF49" i="1"/>
  <c r="Q103" i="1"/>
  <c r="V103" i="1" s="1"/>
  <c r="L103" i="1"/>
  <c r="Q102" i="1"/>
  <c r="V102" i="1" s="1"/>
  <c r="L102" i="1"/>
  <c r="F101" i="1"/>
  <c r="E101" i="1"/>
  <c r="L101" i="1" s="1"/>
  <c r="Q100" i="1"/>
  <c r="L100" i="1"/>
  <c r="Q99" i="1"/>
  <c r="V99" i="1" s="1"/>
  <c r="L99" i="1"/>
  <c r="Q98" i="1"/>
  <c r="L98" i="1"/>
  <c r="Q97" i="1"/>
  <c r="V97" i="1" s="1"/>
  <c r="L97" i="1"/>
  <c r="Q96" i="1"/>
  <c r="R96" i="1" s="1"/>
  <c r="L96" i="1"/>
  <c r="Q95" i="1"/>
  <c r="V95" i="1" s="1"/>
  <c r="L95" i="1"/>
  <c r="Q94" i="1"/>
  <c r="L94" i="1"/>
  <c r="F94" i="1"/>
  <c r="V94" i="1" s="1"/>
  <c r="Q93" i="1"/>
  <c r="L93" i="1"/>
  <c r="Q92" i="1"/>
  <c r="V92" i="1" s="1"/>
  <c r="L92" i="1"/>
  <c r="Q91" i="1"/>
  <c r="V91" i="1" s="1"/>
  <c r="L91" i="1"/>
  <c r="E90" i="1"/>
  <c r="L90" i="1" s="1"/>
  <c r="Q89" i="1"/>
  <c r="V89" i="1" s="1"/>
  <c r="L89" i="1"/>
  <c r="Q88" i="1"/>
  <c r="V88" i="1" s="1"/>
  <c r="L88" i="1"/>
  <c r="Q87" i="1"/>
  <c r="V87" i="1" s="1"/>
  <c r="L87" i="1"/>
  <c r="Q86" i="1"/>
  <c r="V86" i="1" s="1"/>
  <c r="L86" i="1"/>
  <c r="Q85" i="1"/>
  <c r="V85" i="1" s="1"/>
  <c r="L85" i="1"/>
  <c r="Q84" i="1"/>
  <c r="V84" i="1" s="1"/>
  <c r="L84" i="1"/>
  <c r="Q83" i="1"/>
  <c r="V83" i="1" s="1"/>
  <c r="L83" i="1"/>
  <c r="Q82" i="1"/>
  <c r="V82" i="1" s="1"/>
  <c r="L82" i="1"/>
  <c r="AF81" i="1"/>
  <c r="Q81" i="1"/>
  <c r="V81" i="1" s="1"/>
  <c r="L81" i="1"/>
  <c r="Q80" i="1"/>
  <c r="L80" i="1"/>
  <c r="Q79" i="1"/>
  <c r="V79" i="1" s="1"/>
  <c r="L79" i="1"/>
  <c r="Q78" i="1"/>
  <c r="AF78" i="1" s="1"/>
  <c r="L78" i="1"/>
  <c r="E77" i="1"/>
  <c r="L77" i="1" s="1"/>
  <c r="E76" i="1"/>
  <c r="L76" i="1" s="1"/>
  <c r="Q75" i="1"/>
  <c r="V75" i="1" s="1"/>
  <c r="L75" i="1"/>
  <c r="Q74" i="1"/>
  <c r="U74" i="1" s="1"/>
  <c r="L74" i="1"/>
  <c r="Q73" i="1"/>
  <c r="V73" i="1" s="1"/>
  <c r="L73" i="1"/>
  <c r="Q72" i="1"/>
  <c r="L72" i="1"/>
  <c r="F71" i="1"/>
  <c r="E71" i="1"/>
  <c r="Q71" i="1" s="1"/>
  <c r="F70" i="1"/>
  <c r="E70" i="1"/>
  <c r="L70" i="1" s="1"/>
  <c r="Q69" i="1"/>
  <c r="V69" i="1" s="1"/>
  <c r="L69" i="1"/>
  <c r="Q68" i="1"/>
  <c r="L68" i="1"/>
  <c r="Q67" i="1"/>
  <c r="V67" i="1" s="1"/>
  <c r="L67" i="1"/>
  <c r="Q66" i="1"/>
  <c r="R66" i="1" s="1"/>
  <c r="AF66" i="1" s="1"/>
  <c r="L66" i="1"/>
  <c r="Q65" i="1"/>
  <c r="V65" i="1" s="1"/>
  <c r="L65" i="1"/>
  <c r="Q64" i="1"/>
  <c r="L64" i="1"/>
  <c r="Q63" i="1"/>
  <c r="V63" i="1" s="1"/>
  <c r="L63" i="1"/>
  <c r="L62" i="1"/>
  <c r="L61" i="1"/>
  <c r="Q60" i="1"/>
  <c r="L60" i="1"/>
  <c r="Q59" i="1"/>
  <c r="V59" i="1" s="1"/>
  <c r="L59" i="1"/>
  <c r="Q58" i="1"/>
  <c r="R58" i="1" s="1"/>
  <c r="AF58" i="1" s="1"/>
  <c r="L58" i="1"/>
  <c r="Q57" i="1"/>
  <c r="V57" i="1" s="1"/>
  <c r="L57" i="1"/>
  <c r="Q56" i="1"/>
  <c r="L56" i="1"/>
  <c r="E55" i="1"/>
  <c r="Q55" i="1" s="1"/>
  <c r="V55" i="1" s="1"/>
  <c r="Q54" i="1"/>
  <c r="U54" i="1" s="1"/>
  <c r="L54" i="1"/>
  <c r="Q53" i="1"/>
  <c r="V53" i="1" s="1"/>
  <c r="L53" i="1"/>
  <c r="Q52" i="1"/>
  <c r="L52" i="1"/>
  <c r="Q51" i="1"/>
  <c r="V51" i="1" s="1"/>
  <c r="L51" i="1"/>
  <c r="Q50" i="1"/>
  <c r="L50" i="1"/>
  <c r="Q49" i="1"/>
  <c r="V49" i="1" s="1"/>
  <c r="L49" i="1"/>
  <c r="Q48" i="1"/>
  <c r="L48" i="1"/>
  <c r="Q47" i="1"/>
  <c r="V47" i="1" s="1"/>
  <c r="L47" i="1"/>
  <c r="Q46" i="1"/>
  <c r="L46" i="1"/>
  <c r="Q45" i="1"/>
  <c r="V45" i="1" s="1"/>
  <c r="L45" i="1"/>
  <c r="Q44" i="1"/>
  <c r="L44" i="1"/>
  <c r="Q43" i="1"/>
  <c r="V43" i="1" s="1"/>
  <c r="L43" i="1"/>
  <c r="E42" i="1"/>
  <c r="L42" i="1" s="1"/>
  <c r="Q41" i="1"/>
  <c r="V41" i="1" s="1"/>
  <c r="L41" i="1"/>
  <c r="Q40" i="1"/>
  <c r="R40" i="1" s="1"/>
  <c r="AF40" i="1" s="1"/>
  <c r="L40" i="1"/>
  <c r="Q39" i="1"/>
  <c r="V39" i="1" s="1"/>
  <c r="L39" i="1"/>
  <c r="Q38" i="1"/>
  <c r="AF38" i="1" s="1"/>
  <c r="L38" i="1"/>
  <c r="Q37" i="1"/>
  <c r="V37" i="1" s="1"/>
  <c r="L37" i="1"/>
  <c r="E36" i="1"/>
  <c r="Q36" i="1" s="1"/>
  <c r="R36" i="1" s="1"/>
  <c r="AF36" i="1" s="1"/>
  <c r="Q35" i="1"/>
  <c r="V35" i="1" s="1"/>
  <c r="L35" i="1"/>
  <c r="Q34" i="1"/>
  <c r="L34" i="1"/>
  <c r="Q33" i="1"/>
  <c r="V33" i="1" s="1"/>
  <c r="L33" i="1"/>
  <c r="L32" i="1"/>
  <c r="Q31" i="1"/>
  <c r="V31" i="1" s="1"/>
  <c r="L31" i="1"/>
  <c r="Q30" i="1"/>
  <c r="U30" i="1" s="1"/>
  <c r="L30" i="1"/>
  <c r="Q29" i="1"/>
  <c r="V29" i="1" s="1"/>
  <c r="L29" i="1"/>
  <c r="Q28" i="1"/>
  <c r="U28" i="1" s="1"/>
  <c r="L28" i="1"/>
  <c r="Q27" i="1"/>
  <c r="V27" i="1" s="1"/>
  <c r="L27" i="1"/>
  <c r="Q26" i="1"/>
  <c r="L26" i="1"/>
  <c r="Q25" i="1"/>
  <c r="V25" i="1" s="1"/>
  <c r="L25" i="1"/>
  <c r="Q24" i="1"/>
  <c r="R24" i="1" s="1"/>
  <c r="AF24" i="1" s="1"/>
  <c r="L24" i="1"/>
  <c r="Q23" i="1"/>
  <c r="V23" i="1" s="1"/>
  <c r="L23" i="1"/>
  <c r="Q22" i="1"/>
  <c r="U22" i="1" s="1"/>
  <c r="L22" i="1"/>
  <c r="Q21" i="1"/>
  <c r="V21" i="1" s="1"/>
  <c r="L21" i="1"/>
  <c r="Q20" i="1"/>
  <c r="U20" i="1" s="1"/>
  <c r="L20" i="1"/>
  <c r="Q19" i="1"/>
  <c r="V19" i="1" s="1"/>
  <c r="L19" i="1"/>
  <c r="Q18" i="1"/>
  <c r="R18" i="1" s="1"/>
  <c r="AF18" i="1" s="1"/>
  <c r="L18" i="1"/>
  <c r="Q17" i="1"/>
  <c r="L17" i="1"/>
  <c r="Q16" i="1"/>
  <c r="R16" i="1" s="1"/>
  <c r="L16" i="1"/>
  <c r="Q15" i="1"/>
  <c r="V15" i="1" s="1"/>
  <c r="L15" i="1"/>
  <c r="L14" i="1"/>
  <c r="Q13" i="1"/>
  <c r="L13" i="1"/>
  <c r="Q12" i="1"/>
  <c r="R12" i="1" s="1"/>
  <c r="AF12" i="1" s="1"/>
  <c r="L12" i="1"/>
  <c r="Q11" i="1"/>
  <c r="V11" i="1" s="1"/>
  <c r="L11" i="1"/>
  <c r="Q10" i="1"/>
  <c r="R10" i="1" s="1"/>
  <c r="AF10" i="1" s="1"/>
  <c r="L10" i="1"/>
  <c r="E9" i="1"/>
  <c r="L9" i="1" s="1"/>
  <c r="Q8" i="1"/>
  <c r="U8" i="1" s="1"/>
  <c r="L8" i="1"/>
  <c r="Q7" i="1"/>
  <c r="V7" i="1" s="1"/>
  <c r="L7" i="1"/>
  <c r="Q6" i="1"/>
  <c r="R6" i="1" s="1"/>
  <c r="AF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55" i="1" l="1"/>
  <c r="Q70" i="1"/>
  <c r="R35" i="1"/>
  <c r="AF35" i="1" s="1"/>
  <c r="AF16" i="1"/>
  <c r="R71" i="1"/>
  <c r="AF71" i="1" s="1"/>
  <c r="R31" i="1"/>
  <c r="AF31" i="1" s="1"/>
  <c r="R79" i="1"/>
  <c r="AF79" i="1" s="1"/>
  <c r="R33" i="1"/>
  <c r="AF33" i="1" s="1"/>
  <c r="R45" i="1"/>
  <c r="AF45" i="1" s="1"/>
  <c r="R53" i="1"/>
  <c r="AF53" i="1" s="1"/>
  <c r="R75" i="1"/>
  <c r="AF75" i="1" s="1"/>
  <c r="R86" i="1"/>
  <c r="AF86" i="1" s="1"/>
  <c r="V13" i="1"/>
  <c r="R13" i="1"/>
  <c r="AF13" i="1" s="1"/>
  <c r="R26" i="1"/>
  <c r="AF26" i="1" s="1"/>
  <c r="R46" i="1"/>
  <c r="AF46" i="1" s="1"/>
  <c r="R94" i="1"/>
  <c r="AF94" i="1" s="1"/>
  <c r="V98" i="1"/>
  <c r="R98" i="1"/>
  <c r="AF98" i="1" s="1"/>
  <c r="AF14" i="1"/>
  <c r="AF27" i="1"/>
  <c r="R37" i="1"/>
  <c r="AF37" i="1" s="1"/>
  <c r="R41" i="1"/>
  <c r="AF41" i="1" s="1"/>
  <c r="U10" i="1"/>
  <c r="V17" i="1"/>
  <c r="R17" i="1"/>
  <c r="AF17" i="1" s="1"/>
  <c r="U18" i="1"/>
  <c r="AF32" i="1"/>
  <c r="R50" i="1"/>
  <c r="AF50" i="1" s="1"/>
  <c r="U58" i="1"/>
  <c r="U62" i="1"/>
  <c r="U66" i="1"/>
  <c r="V80" i="1"/>
  <c r="AF80" i="1"/>
  <c r="V93" i="1"/>
  <c r="R93" i="1"/>
  <c r="AF93" i="1" s="1"/>
  <c r="V96" i="1"/>
  <c r="AF96" i="1"/>
  <c r="V100" i="1"/>
  <c r="R100" i="1"/>
  <c r="AF100" i="1" s="1"/>
  <c r="R7" i="1"/>
  <c r="U7" i="1" s="1"/>
  <c r="R39" i="1"/>
  <c r="AF39" i="1" s="1"/>
  <c r="R43" i="1"/>
  <c r="AF43" i="1" s="1"/>
  <c r="R47" i="1"/>
  <c r="AF47" i="1" s="1"/>
  <c r="R51" i="1"/>
  <c r="AF51" i="1" s="1"/>
  <c r="R56" i="1"/>
  <c r="AF56" i="1" s="1"/>
  <c r="AF60" i="1"/>
  <c r="R64" i="1"/>
  <c r="AF64" i="1" s="1"/>
  <c r="R68" i="1"/>
  <c r="AF68" i="1" s="1"/>
  <c r="AF72" i="1"/>
  <c r="R83" i="1"/>
  <c r="AF83" i="1" s="1"/>
  <c r="R88" i="1"/>
  <c r="AF88" i="1" s="1"/>
  <c r="R92" i="1"/>
  <c r="AF92" i="1" s="1"/>
  <c r="U12" i="1"/>
  <c r="U16" i="1"/>
  <c r="U24" i="1"/>
  <c r="AF11" i="1"/>
  <c r="R15" i="1"/>
  <c r="AF15" i="1" s="1"/>
  <c r="AF21" i="1"/>
  <c r="AF29" i="1"/>
  <c r="R34" i="1"/>
  <c r="AF34" i="1" s="1"/>
  <c r="AF44" i="1"/>
  <c r="R48" i="1"/>
  <c r="AF48" i="1" s="1"/>
  <c r="R52" i="1"/>
  <c r="AF52" i="1" s="1"/>
  <c r="AF55" i="1"/>
  <c r="AF57" i="1"/>
  <c r="AF59" i="1"/>
  <c r="AF61" i="1"/>
  <c r="R63" i="1"/>
  <c r="AF63" i="1" s="1"/>
  <c r="AF65" i="1"/>
  <c r="R67" i="1"/>
  <c r="AF67" i="1" s="1"/>
  <c r="AF69" i="1"/>
  <c r="AF73" i="1"/>
  <c r="R84" i="1"/>
  <c r="AF84" i="1" s="1"/>
  <c r="R87" i="1"/>
  <c r="AF87" i="1" s="1"/>
  <c r="R89" i="1"/>
  <c r="AF89" i="1" s="1"/>
  <c r="R91" i="1"/>
  <c r="AF91" i="1" s="1"/>
  <c r="R95" i="1"/>
  <c r="AF95" i="1" s="1"/>
  <c r="R97" i="1"/>
  <c r="AF97" i="1" s="1"/>
  <c r="AF99" i="1"/>
  <c r="U36" i="1"/>
  <c r="U38" i="1"/>
  <c r="U40" i="1"/>
  <c r="U78" i="1"/>
  <c r="U6" i="1"/>
  <c r="U29" i="1"/>
  <c r="U21" i="1"/>
  <c r="U13" i="1"/>
  <c r="V66" i="1"/>
  <c r="V58" i="1"/>
  <c r="V50" i="1"/>
  <c r="V34" i="1"/>
  <c r="V71" i="1"/>
  <c r="U84" i="1"/>
  <c r="U25" i="1"/>
  <c r="V74" i="1"/>
  <c r="V62" i="1"/>
  <c r="V54" i="1"/>
  <c r="V46" i="1"/>
  <c r="V26" i="1"/>
  <c r="V6" i="1"/>
  <c r="U102" i="1"/>
  <c r="U82" i="1"/>
  <c r="U80" i="1"/>
  <c r="U69" i="1"/>
  <c r="U61" i="1"/>
  <c r="U49" i="1"/>
  <c r="V78" i="1"/>
  <c r="V38" i="1"/>
  <c r="V30" i="1"/>
  <c r="V22" i="1"/>
  <c r="V18" i="1"/>
  <c r="V14" i="1"/>
  <c r="V10" i="1"/>
  <c r="F5" i="1"/>
  <c r="U103" i="1"/>
  <c r="U85" i="1"/>
  <c r="U81" i="1"/>
  <c r="U59" i="1"/>
  <c r="U27" i="1"/>
  <c r="U23" i="1"/>
  <c r="U19" i="1"/>
  <c r="U11" i="1"/>
  <c r="V72" i="1"/>
  <c r="V68" i="1"/>
  <c r="V64" i="1"/>
  <c r="V60" i="1"/>
  <c r="V56" i="1"/>
  <c r="V52" i="1"/>
  <c r="V48" i="1"/>
  <c r="V44" i="1"/>
  <c r="V40" i="1"/>
  <c r="V36" i="1"/>
  <c r="V32" i="1"/>
  <c r="V28" i="1"/>
  <c r="V24" i="1"/>
  <c r="V20" i="1"/>
  <c r="V16" i="1"/>
  <c r="V12" i="1"/>
  <c r="V8" i="1"/>
  <c r="E5" i="1"/>
  <c r="L36" i="1"/>
  <c r="Q101" i="1"/>
  <c r="L55" i="1"/>
  <c r="Q9" i="1"/>
  <c r="AF9" i="1" s="1"/>
  <c r="Q42" i="1"/>
  <c r="L71" i="1"/>
  <c r="Q76" i="1"/>
  <c r="R76" i="1" s="1"/>
  <c r="AF76" i="1" s="1"/>
  <c r="Q77" i="1"/>
  <c r="R77" i="1" s="1"/>
  <c r="AF77" i="1" s="1"/>
  <c r="Q90" i="1"/>
  <c r="R90" i="1" s="1"/>
  <c r="AF90" i="1" s="1"/>
  <c r="L5" i="1" l="1"/>
  <c r="R42" i="1"/>
  <c r="AF42" i="1" s="1"/>
  <c r="U35" i="1"/>
  <c r="U79" i="1"/>
  <c r="U71" i="1"/>
  <c r="U93" i="1"/>
  <c r="U33" i="1"/>
  <c r="U53" i="1"/>
  <c r="U89" i="1"/>
  <c r="U86" i="1"/>
  <c r="U46" i="1"/>
  <c r="U26" i="1"/>
  <c r="U31" i="1"/>
  <c r="U51" i="1"/>
  <c r="U67" i="1"/>
  <c r="U75" i="1"/>
  <c r="U45" i="1"/>
  <c r="U98" i="1"/>
  <c r="U41" i="1"/>
  <c r="U43" i="1"/>
  <c r="U55" i="1"/>
  <c r="U63" i="1"/>
  <c r="U83" i="1"/>
  <c r="U87" i="1"/>
  <c r="U91" i="1"/>
  <c r="U97" i="1"/>
  <c r="U73" i="1"/>
  <c r="U94" i="1"/>
  <c r="U92" i="1"/>
  <c r="U50" i="1"/>
  <c r="U32" i="1"/>
  <c r="V70" i="1"/>
  <c r="AF70" i="1"/>
  <c r="V101" i="1"/>
  <c r="R101" i="1"/>
  <c r="AF101" i="1" s="1"/>
  <c r="U52" i="1"/>
  <c r="U44" i="1"/>
  <c r="U72" i="1"/>
  <c r="U64" i="1"/>
  <c r="U56" i="1"/>
  <c r="U15" i="1"/>
  <c r="U39" i="1"/>
  <c r="U47" i="1"/>
  <c r="U95" i="1"/>
  <c r="U99" i="1"/>
  <c r="U57" i="1"/>
  <c r="U65" i="1"/>
  <c r="U88" i="1"/>
  <c r="U96" i="1"/>
  <c r="U100" i="1"/>
  <c r="U17" i="1"/>
  <c r="U37" i="1"/>
  <c r="U48" i="1"/>
  <c r="U34" i="1"/>
  <c r="AF7" i="1"/>
  <c r="U68" i="1"/>
  <c r="U60" i="1"/>
  <c r="U14" i="1"/>
  <c r="V77" i="1"/>
  <c r="U77" i="1"/>
  <c r="V9" i="1"/>
  <c r="U9" i="1"/>
  <c r="V90" i="1"/>
  <c r="U90" i="1"/>
  <c r="U76" i="1"/>
  <c r="V76" i="1"/>
  <c r="V42" i="1"/>
  <c r="Q5" i="1"/>
  <c r="U101" i="1" l="1"/>
  <c r="U42" i="1"/>
  <c r="AF5" i="1"/>
  <c r="U70" i="1"/>
  <c r="R5" i="1"/>
</calcChain>
</file>

<file path=xl/sharedStrings.xml><?xml version="1.0" encoding="utf-8"?>
<sst xmlns="http://schemas.openxmlformats.org/spreadsheetml/2006/main" count="397" uniqueCount="157">
  <si>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</si>
  <si>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</si>
  <si>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</si>
  <si>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</si>
  <si>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</si>
  <si>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</si>
  <si>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</si>
  <si>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</si>
  <si>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</si>
  <si>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</si>
  <si>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</si>
  <si>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</si>
  <si>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</si>
  <si>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</si>
  <si>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</si>
  <si>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</si>
  <si>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</si>
  <si>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</si>
  <si>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</si>
  <si>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</si>
  <si>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</si>
  <si>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</si>
  <si>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</si>
  <si>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</si>
  <si>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14,12,</t>
  </si>
  <si>
    <t>15,12,</t>
  </si>
  <si>
    <t>09,12,</t>
  </si>
  <si>
    <t>02,12,</t>
  </si>
  <si>
    <t>25,11,</t>
  </si>
  <si>
    <t>18,11,</t>
  </si>
  <si>
    <t>11,11,</t>
  </si>
  <si>
    <t>04,11,</t>
  </si>
  <si>
    <t>28,10,</t>
  </si>
  <si>
    <t>21,10,</t>
  </si>
  <si>
    <t>3215 ВЕТЧ.МЯСНАЯ Папа может п/о 0.4кг 8шт.    ОСТАНКИНО</t>
  </si>
  <si>
    <t>шт</t>
  </si>
  <si>
    <t>в матрице</t>
  </si>
  <si>
    <t>ТС Обжора</t>
  </si>
  <si>
    <t>3287 САЛЯМИ ИТАЛЬЯНСКАЯ с/к в/у ОСТАНКИНО</t>
  </si>
  <si>
    <t>кг</t>
  </si>
  <si>
    <t>3717 СОЧНЫЕ сос п/о мгс 1*6 ОСТАНКИНО</t>
  </si>
  <si>
    <t>не в матрице</t>
  </si>
  <si>
    <t>7070 СОЧНЫЕ ПМ сос п/о 1,5*4_А_50с  Останкино</t>
  </si>
  <si>
    <t>3986 Ароматная с/к в/у 1/250 ОСТАНКИНО</t>
  </si>
  <si>
    <t>ВНИМАНИЕ / в матрице</t>
  </si>
  <si>
    <t>вместо 5706</t>
  </si>
  <si>
    <t>4063 МЯСНАЯ Папа может вар п/о_Л   ОСТАНКИНО</t>
  </si>
  <si>
    <t>4117 ЭКСТРА Папа может с/к в/у_Л   ОСТАНКИНО</t>
  </si>
  <si>
    <t>нужно увеличить продажи!!!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</si>
  <si>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</si>
  <si>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</si>
  <si>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</si>
  <si>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</si>
  <si>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</si>
  <si>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</si>
  <si>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</si>
  <si>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</si>
  <si>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</si>
  <si>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ротация</t>
  </si>
  <si>
    <t>7382  САЛЯМИ МЕЛКОЗЕРНЕНАЯ с/к в/у1/120 8шт.  ОСТАНКИНО</t>
  </si>
  <si>
    <t>ротация на 7382</t>
  </si>
  <si>
    <t>5706 АРОМАТНАЯ Папа может с/к в/у 1/250 8шт.  ОСТАНКИНО</t>
  </si>
  <si>
    <t>5708 ПОСОЛЬСКАЯ Папа может с/к в/у ОСТАНКИНО</t>
  </si>
  <si>
    <t>5811 СВИНИНА МАДЕРА с/к с/н в/у 1/100 8шт.   ОСТАНКИНО</t>
  </si>
  <si>
    <t>6448 Свинина Останкино 100г Мадера с/к в/у нарезка  ОСТАНКИНО</t>
  </si>
  <si>
    <t>5818 МЯСНЫЕ Папа может сос п/о мгс 1*3_45с   ОСТАНКИНО</t>
  </si>
  <si>
    <t>6303 Мясные Папа может сос п/о мгс 1,5*3  Останкино</t>
  </si>
  <si>
    <t>5819 Сосиски Папа может 400г Мясные  ОСТАНКИНО</t>
  </si>
  <si>
    <t>5820 СЛИВОЧНЫЕ Папа может сос п/о мгс 2*2_45с   ОСТАНКИНО</t>
  </si>
  <si>
    <t>7082 СЛИВОЧНЫЕ ПМ сос п/о мгс 1,5*4_50с  Останкино</t>
  </si>
  <si>
    <t>5851 ЭКСТРА Папа может вар п/о   ОСТАНКИНО</t>
  </si>
  <si>
    <t>5931 ОХОТНИЧЬЯ Папа может с/к в/у 1/220 8шт.   ОСТАНКИНО</t>
  </si>
  <si>
    <t>6206 СВИНИНА ПО-ДОМАШНЕМУ к/в мл/к в/у 0,3кг  Останкино</t>
  </si>
  <si>
    <t>7090 СВИНИНА ПО-ДОМ.к/в мл/к в/у 0,3кг_50с  Останкино</t>
  </si>
  <si>
    <t>6208 ДЫМОВИЦА ИЗ ЛОПАТКИ ПМ к/в с/н в/у 1/150  Останкино</t>
  </si>
  <si>
    <t>6213 СЕРВЕЛАТ ФИНСКИЙ СН в/к в/у 0,35кг 8шт  Останкино</t>
  </si>
  <si>
    <t>6697 СЕРВЕЛАТ ФИНСКИЙ ПМ в/к в/у 0,35кг 8шт  ОСТАНКИНО</t>
  </si>
  <si>
    <t>6220 ГОВЯЖЬЯ папа может вар п/о  Останкино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</si>
  <si>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</si>
  <si>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</si>
  <si>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</si>
  <si>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</si>
  <si>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</si>
  <si>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Галактика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</si>
  <si>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</si>
  <si>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</si>
  <si>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</si>
  <si>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</si>
  <si>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</si>
  <si>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29,04,25 в уценку 441шт. / ТС Обжора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</si>
  <si>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</si>
  <si>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</si>
  <si>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</si>
  <si>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</si>
  <si>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</si>
  <si>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</si>
  <si>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</si>
  <si>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</si>
  <si>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</si>
  <si>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</si>
  <si>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</si>
  <si>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31,07,25 в уценку 25кг / 22,04,25 в уценку 25кг</t>
  </si>
  <si>
    <t>6666 БОЯNСКАЯ Папа может п/к в/у 0,28кг 8шт  ОСТАНКИНО</t>
  </si>
  <si>
    <t>7232 БОЯNСКАЯ ПМ п/к в/у 0,28кг 8шт_209к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</si>
  <si>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</si>
  <si>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</si>
  <si>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</si>
  <si>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</si>
  <si>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</si>
  <si>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</si>
  <si>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</si>
  <si>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</si>
  <si>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</si>
  <si>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</si>
  <si>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</si>
  <si>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</si>
  <si>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</si>
  <si>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</si>
  <si>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</si>
  <si>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7073 МОЛОЧ.ПРЕМИУМ ПМ сос п/о в/у 1/350_50с  Останкино</t>
  </si>
  <si>
    <t>7075 МОЛОЧ.ПРЕМИУМ ПМ сос п/о мгс 1,5*4_О_50с  Останкино</t>
  </si>
  <si>
    <t>14,06,25 в уценку 55кг</t>
  </si>
  <si>
    <t>7077 МЯСНЫЕ С ГОВЯД. ПМ сос п/о мгс 0,4кг_50с  Останкино</t>
  </si>
  <si>
    <t>7255 МЯСНЫЕ С ГОВЯД.ПМ сос п/о мгс 0.4кг 6шт.  ОСТАНКИНО</t>
  </si>
  <si>
    <t>ротация на 7255</t>
  </si>
  <si>
    <t>7080 СЛИВОЧНЫЕ ПМ сос п/о мгс 0,41кг 10шт 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</si>
  <si>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</si>
  <si>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</si>
  <si>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</si>
  <si>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</si>
  <si>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завод не отгружает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</si>
  <si>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</si>
  <si>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</si>
  <si>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</si>
  <si>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</si>
  <si>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</si>
  <si>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пересчет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</si>
  <si>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</si>
  <si>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</si>
  <si>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</si>
  <si>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</si>
  <si>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</si>
  <si>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</si>
  <si>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</si>
  <si>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вместо 7077</t>
  </si>
  <si>
    <t>7276 СЛИВОЧНЫЕ ПМ сос п/о мгс 0,3кг 7шт  Останкино</t>
  </si>
  <si>
    <t>31,07,25 в уценку 232шт.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</si>
  <si>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</si>
  <si>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</si>
  <si>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</si>
  <si>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</si>
  <si>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</si>
  <si>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</si>
  <si>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вместо 5682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</si>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</sst>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1" fillId="0" borderId="1" xfId="1" applyNumberFormat="1" applyFill="1"/>
    <xf numFmtId="164" fontId="6" fillId="9" borderId="1" xfId="1" applyNumberFormat="1" applyFont="1" applyFill="1"/>
    <xf numFmtId="164" fontId="4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5" sqref="T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0" width="21" customWidth="1"/>
    <col min="21" max="22" width="5" customWidth="1"/>
    <col min="23" max="30" width="6" customWidth="1"/>
    <col min="31" max="31" width="46" customWidth="1"/>
    <col min="32" max="32" width="7" customWidth="1"/>
    <col min="33" max="49" width="3" customWidth="1"/>
  </cols>
  <sheetData>
    <row r="1" spans="1:49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7" t="s">
        <v>17</v>
      </c>
      <c r="T3" s="7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 t="s">
        <v>25</v>
      </c>
      <c r="R4" s="5"/>
      <c r="S4" s="5"/>
      <c r="T4" s="5"/>
      <c r="U4" s="5"/>
      <c r="V4" s="5"/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5" t="s">
        <v>32</v>
      </c>
      <c r="AD4" s="5" t="s">
        <v>33</v>
      </c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25">
      <c r="A5" s="5"/>
      <c r="B5" s="5"/>
      <c r="C5" s="5"/>
      <c r="D5" s="5"/>
      <c r="E5" s="3">
        <f>SUM(E6:E500)</f>
        <v>16737.785</v>
      </c>
      <c r="F5" s="3">
        <f>SUM(F6:F500)</f>
        <v>14435.127</v>
      </c>
      <c r="G5" s="8"/>
      <c r="H5" s="5"/>
      <c r="I5" s="5"/>
      <c r="J5" s="5"/>
      <c r="K5" s="3">
        <f t="shared" ref="K5:S5" si="0">SUM(K6:K500)</f>
        <v>17243.262999999999</v>
      </c>
      <c r="L5" s="3">
        <f t="shared" si="0"/>
        <v>-505.47800000000007</v>
      </c>
      <c r="M5" s="3">
        <f t="shared" si="0"/>
        <v>0</v>
      </c>
      <c r="N5" s="3">
        <f t="shared" si="0"/>
        <v>0</v>
      </c>
      <c r="O5" s="3">
        <f t="shared" si="0"/>
        <v>7392</v>
      </c>
      <c r="P5" s="3">
        <f t="shared" si="0"/>
        <v>7713</v>
      </c>
      <c r="Q5" s="3">
        <f t="shared" si="0"/>
        <v>3347.5570000000002</v>
      </c>
      <c r="R5" s="3">
        <f t="shared" si="0"/>
        <v>22269.709599999998</v>
      </c>
      <c r="S5" s="3">
        <f t="shared" si="0"/>
        <v>0</v>
      </c>
      <c r="T5" s="5"/>
      <c r="U5" s="5"/>
      <c r="V5" s="5"/>
      <c r="W5" s="3">
        <f t="shared" ref="W5:AD5" si="1">SUM(W6:W500)</f>
        <v>2974.6603999999988</v>
      </c>
      <c r="X5" s="3">
        <f t="shared" si="1"/>
        <v>3287.0932000000012</v>
      </c>
      <c r="Y5" s="3">
        <f t="shared" si="1"/>
        <v>3015.3116</v>
      </c>
      <c r="Z5" s="3">
        <f t="shared" si="1"/>
        <v>2911.9128000000001</v>
      </c>
      <c r="AA5" s="3">
        <f t="shared" si="1"/>
        <v>3005.8520000000003</v>
      </c>
      <c r="AB5" s="3">
        <f t="shared" si="1"/>
        <v>3116.3669999999993</v>
      </c>
      <c r="AC5" s="3">
        <f t="shared" si="1"/>
        <v>3125.9496000000004</v>
      </c>
      <c r="AD5" s="3">
        <f t="shared" si="1"/>
        <v>3099.5834000000009</v>
      </c>
      <c r="AE5" s="5"/>
      <c r="AF5" s="3">
        <f>SUM(AF6:AF500)</f>
        <v>12014.077600000002</v>
      </c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s="5" t="s">
        <v>34</v>
      </c>
      <c r="B6" s="5" t="s">
        <v>35</v>
      </c>
      <c r="C6" s="5">
        <v>345</v>
      </c>
      <c r="D6" s="5">
        <v>4</v>
      </c>
      <c r="E6" s="5">
        <v>160</v>
      </c>
      <c r="F6" s="5">
        <v>175</v>
      </c>
      <c r="G6" s="8">
        <v>0.4</v>
      </c>
      <c r="H6" s="5">
        <v>60</v>
      </c>
      <c r="I6" s="5" t="s">
        <v>36</v>
      </c>
      <c r="J6" s="5"/>
      <c r="K6" s="5">
        <v>160</v>
      </c>
      <c r="L6" s="5">
        <f t="shared" ref="L6:L37" si="2">E6-K6</f>
        <v>0</v>
      </c>
      <c r="M6" s="5"/>
      <c r="N6" s="5"/>
      <c r="O6" s="5">
        <v>43</v>
      </c>
      <c r="P6" s="5">
        <v>50</v>
      </c>
      <c r="Q6" s="5">
        <f t="shared" ref="Q6:Q37" si="3">E6/5</f>
        <v>32</v>
      </c>
      <c r="R6" s="4">
        <f>16*Q6-P6-O6-F6</f>
        <v>244</v>
      </c>
      <c r="S6" s="4"/>
      <c r="T6" s="5"/>
      <c r="U6" s="5">
        <f>(F6+O6+P6+R6)/Q6</f>
        <v>16</v>
      </c>
      <c r="V6" s="5">
        <f>(F6+O6+P6)/Q6</f>
        <v>8.375</v>
      </c>
      <c r="W6" s="5">
        <v>29.4</v>
      </c>
      <c r="X6" s="5">
        <v>33.799999999999997</v>
      </c>
      <c r="Y6" s="5">
        <v>50.4</v>
      </c>
      <c r="Z6" s="5">
        <v>32.6</v>
      </c>
      <c r="AA6" s="5">
        <v>42.6</v>
      </c>
      <c r="AB6" s="5">
        <v>41.6</v>
      </c>
      <c r="AC6" s="5">
        <v>48.4</v>
      </c>
      <c r="AD6" s="5">
        <v>50.4</v>
      </c>
      <c r="AE6" s="5" t="s">
        <v>37</v>
      </c>
      <c r="AF6" s="5">
        <f>G6*R6</f>
        <v>97.600000000000009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25">
      <c r="A7" s="5" t="s">
        <v>38</v>
      </c>
      <c r="B7" s="5" t="s">
        <v>39</v>
      </c>
      <c r="C7" s="5">
        <v>14.975</v>
      </c>
      <c r="D7" s="5"/>
      <c r="E7" s="5">
        <v>11.96</v>
      </c>
      <c r="F7" s="5">
        <v>3.0150000000000001</v>
      </c>
      <c r="G7" s="8">
        <v>1</v>
      </c>
      <c r="H7" s="5">
        <v>120</v>
      </c>
      <c r="I7" s="5" t="s">
        <v>36</v>
      </c>
      <c r="J7" s="5"/>
      <c r="K7" s="5">
        <v>11.6</v>
      </c>
      <c r="L7" s="5">
        <f t="shared" si="2"/>
        <v>0.36000000000000121</v>
      </c>
      <c r="M7" s="5"/>
      <c r="N7" s="5"/>
      <c r="O7" s="5">
        <v>13</v>
      </c>
      <c r="P7" s="5"/>
      <c r="Q7" s="5">
        <f t="shared" si="3"/>
        <v>2.3920000000000003</v>
      </c>
      <c r="R7" s="4">
        <f>16*Q7-P7-O7-F7</f>
        <v>22.257000000000005</v>
      </c>
      <c r="S7" s="4"/>
      <c r="T7" s="5"/>
      <c r="U7" s="5">
        <f t="shared" ref="U7:U70" si="4">(F7+O7+P7+R7)/Q7</f>
        <v>16</v>
      </c>
      <c r="V7" s="5">
        <f t="shared" ref="V7:V70" si="5">(F7+O7+P7)/Q7</f>
        <v>6.6952341137123739</v>
      </c>
      <c r="W7" s="5">
        <v>1.6881999999999999</v>
      </c>
      <c r="X7" s="5">
        <v>0.79759999999999998</v>
      </c>
      <c r="Y7" s="5">
        <v>1.5882000000000001</v>
      </c>
      <c r="Z7" s="5">
        <v>0.90180000000000005</v>
      </c>
      <c r="AA7" s="5">
        <v>2.8984000000000001</v>
      </c>
      <c r="AB7" s="5">
        <v>3.0806</v>
      </c>
      <c r="AC7" s="5">
        <v>0.20080000000000001</v>
      </c>
      <c r="AD7" s="5">
        <v>2.3755999999999999</v>
      </c>
      <c r="AE7" s="5"/>
      <c r="AF7" s="5">
        <f>G7*R7</f>
        <v>22.257000000000005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s="11" t="s">
        <v>40</v>
      </c>
      <c r="B8" s="11" t="s">
        <v>39</v>
      </c>
      <c r="C8" s="11"/>
      <c r="D8" s="11">
        <v>1.585</v>
      </c>
      <c r="E8" s="18">
        <v>1.585</v>
      </c>
      <c r="F8" s="11"/>
      <c r="G8" s="12">
        <v>0</v>
      </c>
      <c r="H8" s="11" t="e">
        <v>#N/A</v>
      </c>
      <c r="I8" s="11" t="s">
        <v>41</v>
      </c>
      <c r="J8" s="11" t="s">
        <v>42</v>
      </c>
      <c r="K8" s="11">
        <v>1.5</v>
      </c>
      <c r="L8" s="11">
        <f t="shared" si="2"/>
        <v>8.4999999999999964E-2</v>
      </c>
      <c r="M8" s="11"/>
      <c r="N8" s="11"/>
      <c r="O8" s="11"/>
      <c r="P8" s="11"/>
      <c r="Q8" s="11">
        <f t="shared" si="3"/>
        <v>0.317</v>
      </c>
      <c r="R8" s="13"/>
      <c r="S8" s="13"/>
      <c r="T8" s="11"/>
      <c r="U8" s="11">
        <f t="shared" si="4"/>
        <v>0</v>
      </c>
      <c r="V8" s="11">
        <f t="shared" si="5"/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/>
      <c r="AF8" s="11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s="5" t="s">
        <v>43</v>
      </c>
      <c r="B9" s="5" t="s">
        <v>35</v>
      </c>
      <c r="C9" s="5">
        <v>35</v>
      </c>
      <c r="D9" s="5">
        <v>529</v>
      </c>
      <c r="E9" s="18">
        <f>53+E20</f>
        <v>54</v>
      </c>
      <c r="F9" s="5">
        <v>437</v>
      </c>
      <c r="G9" s="8">
        <v>0.25</v>
      </c>
      <c r="H9" s="5">
        <v>120</v>
      </c>
      <c r="I9" s="10" t="s">
        <v>44</v>
      </c>
      <c r="J9" s="5"/>
      <c r="K9" s="5">
        <v>83</v>
      </c>
      <c r="L9" s="5">
        <f t="shared" si="2"/>
        <v>-29</v>
      </c>
      <c r="M9" s="5"/>
      <c r="N9" s="5"/>
      <c r="O9" s="5">
        <v>80</v>
      </c>
      <c r="P9" s="5"/>
      <c r="Q9" s="5">
        <f t="shared" si="3"/>
        <v>10.8</v>
      </c>
      <c r="R9" s="4"/>
      <c r="S9" s="4"/>
      <c r="T9" s="5"/>
      <c r="U9" s="5">
        <f t="shared" si="4"/>
        <v>47.870370370370367</v>
      </c>
      <c r="V9" s="5">
        <f t="shared" si="5"/>
        <v>47.870370370370367</v>
      </c>
      <c r="W9" s="5">
        <v>12.6</v>
      </c>
      <c r="X9" s="5">
        <v>18</v>
      </c>
      <c r="Y9" s="5">
        <v>11</v>
      </c>
      <c r="Z9" s="5">
        <v>5.2</v>
      </c>
      <c r="AA9" s="5">
        <v>0</v>
      </c>
      <c r="AB9" s="5">
        <v>0</v>
      </c>
      <c r="AC9" s="5">
        <v>0</v>
      </c>
      <c r="AD9" s="5">
        <v>0</v>
      </c>
      <c r="AE9" s="5" t="s">
        <v>45</v>
      </c>
      <c r="AF9" s="5">
        <f t="shared" ref="AF9:AF18" si="6">G9*R9</f>
        <v>0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s="5" t="s">
        <v>46</v>
      </c>
      <c r="B10" s="5" t="s">
        <v>39</v>
      </c>
      <c r="C10" s="5">
        <v>1358.9949999999999</v>
      </c>
      <c r="D10" s="5">
        <v>1220.057</v>
      </c>
      <c r="E10" s="5">
        <v>1282.28</v>
      </c>
      <c r="F10" s="5">
        <v>1267.768</v>
      </c>
      <c r="G10" s="8">
        <v>1</v>
      </c>
      <c r="H10" s="5">
        <v>60</v>
      </c>
      <c r="I10" s="5" t="s">
        <v>36</v>
      </c>
      <c r="J10" s="5"/>
      <c r="K10" s="5">
        <v>1257.153</v>
      </c>
      <c r="L10" s="5">
        <f t="shared" si="2"/>
        <v>25.126999999999953</v>
      </c>
      <c r="M10" s="5"/>
      <c r="N10" s="5"/>
      <c r="O10" s="5">
        <v>306</v>
      </c>
      <c r="P10" s="5">
        <v>356</v>
      </c>
      <c r="Q10" s="5">
        <f t="shared" si="3"/>
        <v>256.45600000000002</v>
      </c>
      <c r="R10" s="4">
        <f t="shared" ref="R10:R18" si="7">16*Q10-P10-O10-F10</f>
        <v>2173.5280000000002</v>
      </c>
      <c r="S10" s="4"/>
      <c r="T10" s="5"/>
      <c r="U10" s="5">
        <f t="shared" si="4"/>
        <v>16</v>
      </c>
      <c r="V10" s="5">
        <f t="shared" si="5"/>
        <v>7.5247527841033159</v>
      </c>
      <c r="W10" s="5">
        <v>204.68299999999999</v>
      </c>
      <c r="X10" s="5">
        <v>236.45500000000001</v>
      </c>
      <c r="Y10" s="5">
        <v>237.2988</v>
      </c>
      <c r="Z10" s="5">
        <v>246.49440000000001</v>
      </c>
      <c r="AA10" s="5">
        <v>222.0692</v>
      </c>
      <c r="AB10" s="5">
        <v>184.41</v>
      </c>
      <c r="AC10" s="5">
        <v>200.88759999999999</v>
      </c>
      <c r="AD10" s="5">
        <v>208.45400000000001</v>
      </c>
      <c r="AE10" s="5"/>
      <c r="AF10" s="5">
        <f t="shared" si="6"/>
        <v>2173.5280000000002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s="5" t="s">
        <v>47</v>
      </c>
      <c r="B11" s="5" t="s">
        <v>39</v>
      </c>
      <c r="C11" s="5">
        <v>104.782</v>
      </c>
      <c r="D11" s="5"/>
      <c r="E11" s="5">
        <v>20.963999999999999</v>
      </c>
      <c r="F11" s="5">
        <v>83.316000000000003</v>
      </c>
      <c r="G11" s="8">
        <v>1</v>
      </c>
      <c r="H11" s="5">
        <v>120</v>
      </c>
      <c r="I11" s="5" t="s">
        <v>36</v>
      </c>
      <c r="J11" s="5"/>
      <c r="K11" s="5">
        <v>20.6</v>
      </c>
      <c r="L11" s="5">
        <f t="shared" si="2"/>
        <v>0.36399999999999721</v>
      </c>
      <c r="M11" s="5"/>
      <c r="N11" s="5"/>
      <c r="O11" s="5">
        <v>0</v>
      </c>
      <c r="P11" s="5"/>
      <c r="Q11" s="5">
        <f t="shared" si="3"/>
        <v>4.1928000000000001</v>
      </c>
      <c r="R11" s="4"/>
      <c r="S11" s="4"/>
      <c r="T11" s="5"/>
      <c r="U11" s="5">
        <f t="shared" si="4"/>
        <v>19.871207784773897</v>
      </c>
      <c r="V11" s="5">
        <f t="shared" si="5"/>
        <v>19.871207784773897</v>
      </c>
      <c r="W11" s="5">
        <v>3.2888000000000002</v>
      </c>
      <c r="X11" s="5">
        <v>3.1044</v>
      </c>
      <c r="Y11" s="5">
        <v>4.9127999999999998</v>
      </c>
      <c r="Z11" s="5">
        <v>6.6876000000000007</v>
      </c>
      <c r="AA11" s="5">
        <v>2.3088000000000002</v>
      </c>
      <c r="AB11" s="5">
        <v>4.5965999999999996</v>
      </c>
      <c r="AC11" s="5">
        <v>5.2732000000000001</v>
      </c>
      <c r="AD11" s="5">
        <v>8.4841999999999995</v>
      </c>
      <c r="AE11" s="20" t="s">
        <v>48</v>
      </c>
      <c r="AF11" s="5">
        <f t="shared" si="6"/>
        <v>0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s="5" t="s">
        <v>49</v>
      </c>
      <c r="B12" s="5" t="s">
        <v>39</v>
      </c>
      <c r="C12" s="5">
        <v>126.55500000000001</v>
      </c>
      <c r="D12" s="5">
        <v>125.73099999999999</v>
      </c>
      <c r="E12" s="5">
        <v>110.572</v>
      </c>
      <c r="F12" s="5">
        <v>138.02699999999999</v>
      </c>
      <c r="G12" s="8">
        <v>1</v>
      </c>
      <c r="H12" s="5">
        <v>60</v>
      </c>
      <c r="I12" s="5" t="s">
        <v>36</v>
      </c>
      <c r="J12" s="5"/>
      <c r="K12" s="5">
        <v>106.8</v>
      </c>
      <c r="L12" s="5">
        <f t="shared" si="2"/>
        <v>3.7720000000000056</v>
      </c>
      <c r="M12" s="5"/>
      <c r="N12" s="5"/>
      <c r="O12" s="5">
        <v>39</v>
      </c>
      <c r="P12" s="5">
        <v>45</v>
      </c>
      <c r="Q12" s="5">
        <f t="shared" si="3"/>
        <v>22.1144</v>
      </c>
      <c r="R12" s="4">
        <f t="shared" si="7"/>
        <v>131.80340000000001</v>
      </c>
      <c r="S12" s="4"/>
      <c r="T12" s="5"/>
      <c r="U12" s="5">
        <f t="shared" si="4"/>
        <v>16</v>
      </c>
      <c r="V12" s="5">
        <f t="shared" si="5"/>
        <v>10.039928734218428</v>
      </c>
      <c r="W12" s="5">
        <v>22.3018</v>
      </c>
      <c r="X12" s="5">
        <v>24.255800000000001</v>
      </c>
      <c r="Y12" s="5">
        <v>20.643799999999999</v>
      </c>
      <c r="Z12" s="5">
        <v>31.21</v>
      </c>
      <c r="AA12" s="5">
        <v>19.559799999999999</v>
      </c>
      <c r="AB12" s="5">
        <v>21.316800000000001</v>
      </c>
      <c r="AC12" s="5">
        <v>28.0518</v>
      </c>
      <c r="AD12" s="5">
        <v>28.050599999999999</v>
      </c>
      <c r="AE12" s="5"/>
      <c r="AF12" s="5">
        <f t="shared" si="6"/>
        <v>131.80340000000001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s="5" t="s">
        <v>50</v>
      </c>
      <c r="B13" s="5" t="s">
        <v>39</v>
      </c>
      <c r="C13" s="5">
        <v>718.03599999999994</v>
      </c>
      <c r="D13" s="5">
        <v>279.93299999999999</v>
      </c>
      <c r="E13" s="5">
        <v>539.01700000000005</v>
      </c>
      <c r="F13" s="5">
        <v>437.452</v>
      </c>
      <c r="G13" s="8">
        <v>1</v>
      </c>
      <c r="H13" s="5">
        <v>60</v>
      </c>
      <c r="I13" s="5" t="s">
        <v>36</v>
      </c>
      <c r="J13" s="5"/>
      <c r="K13" s="5">
        <v>535.70000000000005</v>
      </c>
      <c r="L13" s="5">
        <f t="shared" si="2"/>
        <v>3.3170000000000073</v>
      </c>
      <c r="M13" s="5"/>
      <c r="N13" s="5"/>
      <c r="O13" s="5">
        <v>289</v>
      </c>
      <c r="P13" s="5">
        <v>338</v>
      </c>
      <c r="Q13" s="5">
        <f t="shared" si="3"/>
        <v>107.80340000000001</v>
      </c>
      <c r="R13" s="4">
        <f t="shared" si="7"/>
        <v>660.40240000000017</v>
      </c>
      <c r="S13" s="4"/>
      <c r="T13" s="5"/>
      <c r="U13" s="5">
        <f t="shared" si="4"/>
        <v>16</v>
      </c>
      <c r="V13" s="5">
        <f t="shared" si="5"/>
        <v>9.8740113948168595</v>
      </c>
      <c r="W13" s="5">
        <v>103.0946</v>
      </c>
      <c r="X13" s="5">
        <v>96.394800000000004</v>
      </c>
      <c r="Y13" s="5">
        <v>111.06619999999999</v>
      </c>
      <c r="Z13" s="5">
        <v>123.4286</v>
      </c>
      <c r="AA13" s="5">
        <v>124.7042</v>
      </c>
      <c r="AB13" s="5">
        <v>129.3168</v>
      </c>
      <c r="AC13" s="5">
        <v>126.3434</v>
      </c>
      <c r="AD13" s="5">
        <v>124.4068</v>
      </c>
      <c r="AE13" s="5"/>
      <c r="AF13" s="5">
        <f t="shared" si="6"/>
        <v>660.40240000000017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A14" s="5" t="s">
        <v>51</v>
      </c>
      <c r="B14" s="5" t="s">
        <v>35</v>
      </c>
      <c r="C14" s="5">
        <v>6</v>
      </c>
      <c r="D14" s="5">
        <v>353</v>
      </c>
      <c r="E14" s="5">
        <v>351</v>
      </c>
      <c r="F14" s="5">
        <v>-1</v>
      </c>
      <c r="G14" s="8">
        <v>0.25</v>
      </c>
      <c r="H14" s="5">
        <v>120</v>
      </c>
      <c r="I14" s="10" t="s">
        <v>44</v>
      </c>
      <c r="J14" s="5"/>
      <c r="K14" s="5">
        <v>355</v>
      </c>
      <c r="L14" s="5">
        <f t="shared" si="2"/>
        <v>-4</v>
      </c>
      <c r="M14" s="5"/>
      <c r="N14" s="5"/>
      <c r="O14" s="5">
        <v>143</v>
      </c>
      <c r="P14" s="5">
        <v>166</v>
      </c>
      <c r="Q14" s="5">
        <f t="shared" si="3"/>
        <v>70.2</v>
      </c>
      <c r="R14" s="4">
        <v>200</v>
      </c>
      <c r="S14" s="4"/>
      <c r="T14" s="5"/>
      <c r="U14" s="5">
        <f t="shared" si="4"/>
        <v>7.2364672364672362</v>
      </c>
      <c r="V14" s="5">
        <f t="shared" si="5"/>
        <v>4.3874643874643873</v>
      </c>
      <c r="W14" s="5">
        <v>46.4</v>
      </c>
      <c r="X14" s="5">
        <v>19.600000000000001</v>
      </c>
      <c r="Y14" s="5">
        <v>25.2</v>
      </c>
      <c r="Z14" s="5">
        <v>16.2</v>
      </c>
      <c r="AA14" s="5">
        <v>16.2</v>
      </c>
      <c r="AB14" s="5">
        <v>21.4</v>
      </c>
      <c r="AC14" s="5">
        <v>18.600000000000001</v>
      </c>
      <c r="AD14" s="5">
        <v>12.8</v>
      </c>
      <c r="AE14" s="5" t="s">
        <v>52</v>
      </c>
      <c r="AF14" s="5">
        <f t="shared" si="6"/>
        <v>50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25">
      <c r="A15" s="5" t="s">
        <v>53</v>
      </c>
      <c r="B15" s="5" t="s">
        <v>39</v>
      </c>
      <c r="C15" s="5">
        <v>135.678</v>
      </c>
      <c r="D15" s="5">
        <v>2.6739999999999999</v>
      </c>
      <c r="E15" s="5">
        <v>63.500999999999998</v>
      </c>
      <c r="F15" s="5">
        <v>73.512</v>
      </c>
      <c r="G15" s="8">
        <v>1</v>
      </c>
      <c r="H15" s="5">
        <v>60</v>
      </c>
      <c r="I15" s="5" t="s">
        <v>36</v>
      </c>
      <c r="J15" s="5"/>
      <c r="K15" s="5">
        <v>60.01</v>
      </c>
      <c r="L15" s="5">
        <f t="shared" si="2"/>
        <v>3.4909999999999997</v>
      </c>
      <c r="M15" s="5"/>
      <c r="N15" s="5"/>
      <c r="O15" s="5">
        <v>37</v>
      </c>
      <c r="P15" s="5"/>
      <c r="Q15" s="5">
        <f t="shared" si="3"/>
        <v>12.700199999999999</v>
      </c>
      <c r="R15" s="4">
        <f t="shared" si="7"/>
        <v>92.691199999999981</v>
      </c>
      <c r="S15" s="4"/>
      <c r="T15" s="5"/>
      <c r="U15" s="5">
        <f t="shared" si="4"/>
        <v>16</v>
      </c>
      <c r="V15" s="5">
        <f t="shared" si="5"/>
        <v>8.7015952504684968</v>
      </c>
      <c r="W15" s="5">
        <v>10.7972</v>
      </c>
      <c r="X15" s="5">
        <v>10.301600000000001</v>
      </c>
      <c r="Y15" s="5">
        <v>11.914400000000001</v>
      </c>
      <c r="Z15" s="5">
        <v>14.9946</v>
      </c>
      <c r="AA15" s="5">
        <v>15.0844</v>
      </c>
      <c r="AB15" s="5">
        <v>10.336600000000001</v>
      </c>
      <c r="AC15" s="5">
        <v>13.6394</v>
      </c>
      <c r="AD15" s="5">
        <v>14.057399999999999</v>
      </c>
      <c r="AE15" s="5"/>
      <c r="AF15" s="5">
        <f t="shared" si="6"/>
        <v>92.691199999999981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25">
      <c r="A16" s="5" t="s">
        <v>54</v>
      </c>
      <c r="B16" s="5" t="s">
        <v>35</v>
      </c>
      <c r="C16" s="5">
        <v>151</v>
      </c>
      <c r="D16" s="5">
        <v>22</v>
      </c>
      <c r="E16" s="5">
        <v>156</v>
      </c>
      <c r="F16" s="5">
        <v>3</v>
      </c>
      <c r="G16" s="8">
        <v>0.25</v>
      </c>
      <c r="H16" s="5">
        <v>120</v>
      </c>
      <c r="I16" s="5" t="s">
        <v>36</v>
      </c>
      <c r="J16" s="5"/>
      <c r="K16" s="5">
        <v>169</v>
      </c>
      <c r="L16" s="5">
        <f t="shared" si="2"/>
        <v>-13</v>
      </c>
      <c r="M16" s="5"/>
      <c r="N16" s="5"/>
      <c r="O16" s="5">
        <v>42</v>
      </c>
      <c r="P16" s="5">
        <v>48</v>
      </c>
      <c r="Q16" s="5">
        <f t="shared" si="3"/>
        <v>31.2</v>
      </c>
      <c r="R16" s="4">
        <f>14*Q16-P16-O16-F16</f>
        <v>343.8</v>
      </c>
      <c r="S16" s="4"/>
      <c r="T16" s="5"/>
      <c r="U16" s="5">
        <f t="shared" si="4"/>
        <v>14</v>
      </c>
      <c r="V16" s="5">
        <f t="shared" si="5"/>
        <v>2.9807692307692308</v>
      </c>
      <c r="W16" s="5">
        <v>14.4</v>
      </c>
      <c r="X16" s="5">
        <v>15.2</v>
      </c>
      <c r="Y16" s="5">
        <v>19.399999999999999</v>
      </c>
      <c r="Z16" s="5">
        <v>13.2</v>
      </c>
      <c r="AA16" s="5">
        <v>16</v>
      </c>
      <c r="AB16" s="5">
        <v>15.8</v>
      </c>
      <c r="AC16" s="5">
        <v>13.4</v>
      </c>
      <c r="AD16" s="5">
        <v>12.2</v>
      </c>
      <c r="AE16" s="5" t="s">
        <v>52</v>
      </c>
      <c r="AF16" s="5">
        <f t="shared" si="6"/>
        <v>85.95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25">
      <c r="A17" s="5" t="s">
        <v>55</v>
      </c>
      <c r="B17" s="5" t="s">
        <v>35</v>
      </c>
      <c r="C17" s="5">
        <v>247</v>
      </c>
      <c r="D17" s="5">
        <v>114</v>
      </c>
      <c r="E17" s="5">
        <v>229</v>
      </c>
      <c r="F17" s="5">
        <v>118</v>
      </c>
      <c r="G17" s="8">
        <v>0.4</v>
      </c>
      <c r="H17" s="5">
        <v>60</v>
      </c>
      <c r="I17" s="5" t="s">
        <v>36</v>
      </c>
      <c r="J17" s="5"/>
      <c r="K17" s="5">
        <v>229</v>
      </c>
      <c r="L17" s="5">
        <f t="shared" si="2"/>
        <v>0</v>
      </c>
      <c r="M17" s="5"/>
      <c r="N17" s="5"/>
      <c r="O17" s="5">
        <v>138</v>
      </c>
      <c r="P17" s="5">
        <v>162</v>
      </c>
      <c r="Q17" s="5">
        <f t="shared" si="3"/>
        <v>45.8</v>
      </c>
      <c r="R17" s="4">
        <f t="shared" si="7"/>
        <v>314.79999999999995</v>
      </c>
      <c r="S17" s="4"/>
      <c r="T17" s="5"/>
      <c r="U17" s="5">
        <f t="shared" si="4"/>
        <v>16</v>
      </c>
      <c r="V17" s="5">
        <f t="shared" si="5"/>
        <v>9.1266375545851535</v>
      </c>
      <c r="W17" s="5">
        <v>42.8</v>
      </c>
      <c r="X17" s="5">
        <v>38</v>
      </c>
      <c r="Y17" s="5">
        <v>44</v>
      </c>
      <c r="Z17" s="5">
        <v>34.6</v>
      </c>
      <c r="AA17" s="5">
        <v>40.4</v>
      </c>
      <c r="AB17" s="5">
        <v>47.2</v>
      </c>
      <c r="AC17" s="5">
        <v>44.8</v>
      </c>
      <c r="AD17" s="5">
        <v>36.799999999999997</v>
      </c>
      <c r="AE17" s="5" t="s">
        <v>52</v>
      </c>
      <c r="AF17" s="5">
        <f t="shared" si="6"/>
        <v>125.91999999999999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25">
      <c r="A18" s="5" t="s">
        <v>56</v>
      </c>
      <c r="B18" s="5" t="s">
        <v>39</v>
      </c>
      <c r="C18" s="5">
        <v>624.02800000000002</v>
      </c>
      <c r="D18" s="5">
        <v>62.948</v>
      </c>
      <c r="E18" s="5">
        <v>389.43</v>
      </c>
      <c r="F18" s="5">
        <v>295.06200000000001</v>
      </c>
      <c r="G18" s="8">
        <v>1</v>
      </c>
      <c r="H18" s="5">
        <v>45</v>
      </c>
      <c r="I18" s="5" t="s">
        <v>36</v>
      </c>
      <c r="J18" s="5"/>
      <c r="K18" s="5">
        <v>379.8</v>
      </c>
      <c r="L18" s="5">
        <f t="shared" si="2"/>
        <v>9.6299999999999955</v>
      </c>
      <c r="M18" s="5"/>
      <c r="N18" s="5"/>
      <c r="O18" s="5">
        <v>120</v>
      </c>
      <c r="P18" s="5">
        <v>140</v>
      </c>
      <c r="Q18" s="5">
        <f t="shared" si="3"/>
        <v>77.885999999999996</v>
      </c>
      <c r="R18" s="4">
        <f t="shared" si="7"/>
        <v>691.11399999999992</v>
      </c>
      <c r="S18" s="4"/>
      <c r="T18" s="5"/>
      <c r="U18" s="5">
        <f t="shared" si="4"/>
        <v>16</v>
      </c>
      <c r="V18" s="5">
        <f t="shared" si="5"/>
        <v>7.1265952802814372</v>
      </c>
      <c r="W18" s="5">
        <v>59.581600000000002</v>
      </c>
      <c r="X18" s="5">
        <v>61.841600000000007</v>
      </c>
      <c r="Y18" s="5">
        <v>79.148800000000008</v>
      </c>
      <c r="Z18" s="5">
        <v>65.013199999999998</v>
      </c>
      <c r="AA18" s="5">
        <v>67.158199999999994</v>
      </c>
      <c r="AB18" s="5">
        <v>63.398400000000002</v>
      </c>
      <c r="AC18" s="5">
        <v>68.315599999999989</v>
      </c>
      <c r="AD18" s="5">
        <v>66.098399999999998</v>
      </c>
      <c r="AE18" s="5"/>
      <c r="AF18" s="5">
        <f t="shared" si="6"/>
        <v>691.11399999999992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25">
      <c r="A19" s="11" t="s">
        <v>57</v>
      </c>
      <c r="B19" s="11" t="s">
        <v>35</v>
      </c>
      <c r="C19" s="11">
        <v>-51</v>
      </c>
      <c r="D19" s="11">
        <v>72</v>
      </c>
      <c r="E19" s="18">
        <v>8</v>
      </c>
      <c r="F19" s="18">
        <v>-8</v>
      </c>
      <c r="G19" s="12">
        <v>0</v>
      </c>
      <c r="H19" s="11">
        <v>60</v>
      </c>
      <c r="I19" s="11" t="s">
        <v>58</v>
      </c>
      <c r="J19" s="11" t="s">
        <v>59</v>
      </c>
      <c r="K19" s="11">
        <v>99</v>
      </c>
      <c r="L19" s="11">
        <f t="shared" si="2"/>
        <v>-91</v>
      </c>
      <c r="M19" s="11"/>
      <c r="N19" s="11"/>
      <c r="O19" s="11">
        <v>0</v>
      </c>
      <c r="P19" s="11"/>
      <c r="Q19" s="11">
        <f t="shared" si="3"/>
        <v>1.6</v>
      </c>
      <c r="R19" s="13"/>
      <c r="S19" s="13"/>
      <c r="T19" s="11"/>
      <c r="U19" s="11">
        <f t="shared" si="4"/>
        <v>-5</v>
      </c>
      <c r="V19" s="11">
        <f t="shared" si="5"/>
        <v>-5</v>
      </c>
      <c r="W19" s="11">
        <v>4.2</v>
      </c>
      <c r="X19" s="11">
        <v>17.8</v>
      </c>
      <c r="Y19" s="11">
        <v>38.200000000000003</v>
      </c>
      <c r="Z19" s="11">
        <v>29.8</v>
      </c>
      <c r="AA19" s="11">
        <v>31</v>
      </c>
      <c r="AB19" s="11">
        <v>32.6</v>
      </c>
      <c r="AC19" s="11">
        <v>35.4</v>
      </c>
      <c r="AD19" s="11">
        <v>31.6</v>
      </c>
      <c r="AE19" s="11" t="s">
        <v>60</v>
      </c>
      <c r="AF19" s="11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25">
      <c r="A20" s="11" t="s">
        <v>61</v>
      </c>
      <c r="B20" s="11" t="s">
        <v>35</v>
      </c>
      <c r="C20" s="11">
        <v>-6</v>
      </c>
      <c r="D20" s="11">
        <v>7</v>
      </c>
      <c r="E20" s="18">
        <v>1</v>
      </c>
      <c r="F20" s="11"/>
      <c r="G20" s="12">
        <v>0</v>
      </c>
      <c r="H20" s="11" t="e">
        <v>#N/A</v>
      </c>
      <c r="I20" s="11" t="s">
        <v>41</v>
      </c>
      <c r="J20" s="11" t="s">
        <v>43</v>
      </c>
      <c r="K20" s="11">
        <v>2</v>
      </c>
      <c r="L20" s="11">
        <f t="shared" si="2"/>
        <v>-1</v>
      </c>
      <c r="M20" s="11"/>
      <c r="N20" s="11"/>
      <c r="O20" s="11">
        <v>0</v>
      </c>
      <c r="P20" s="11"/>
      <c r="Q20" s="11">
        <f t="shared" si="3"/>
        <v>0.2</v>
      </c>
      <c r="R20" s="13"/>
      <c r="S20" s="13"/>
      <c r="T20" s="11"/>
      <c r="U20" s="11">
        <f t="shared" si="4"/>
        <v>0</v>
      </c>
      <c r="V20" s="11">
        <f t="shared" si="5"/>
        <v>0</v>
      </c>
      <c r="W20" s="11">
        <v>3</v>
      </c>
      <c r="X20" s="11">
        <v>2.6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/>
      <c r="AF20" s="11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25">
      <c r="A21" s="5" t="s">
        <v>62</v>
      </c>
      <c r="B21" s="5" t="s">
        <v>39</v>
      </c>
      <c r="C21" s="5">
        <v>60.393000000000001</v>
      </c>
      <c r="D21" s="5">
        <v>15.852</v>
      </c>
      <c r="E21" s="5">
        <v>14.907999999999999</v>
      </c>
      <c r="F21" s="5">
        <v>45.485999999999997</v>
      </c>
      <c r="G21" s="8">
        <v>1</v>
      </c>
      <c r="H21" s="5">
        <v>120</v>
      </c>
      <c r="I21" s="5" t="s">
        <v>36</v>
      </c>
      <c r="J21" s="5"/>
      <c r="K21" s="5">
        <v>29.3</v>
      </c>
      <c r="L21" s="5">
        <f t="shared" si="2"/>
        <v>-14.392000000000001</v>
      </c>
      <c r="M21" s="5"/>
      <c r="N21" s="5"/>
      <c r="O21" s="5">
        <v>70</v>
      </c>
      <c r="P21" s="5"/>
      <c r="Q21" s="5">
        <f t="shared" si="3"/>
        <v>2.9815999999999998</v>
      </c>
      <c r="R21" s="4"/>
      <c r="S21" s="4"/>
      <c r="T21" s="5"/>
      <c r="U21" s="5">
        <f t="shared" si="4"/>
        <v>38.732895089884622</v>
      </c>
      <c r="V21" s="5">
        <f t="shared" si="5"/>
        <v>38.732895089884622</v>
      </c>
      <c r="W21" s="5">
        <v>5.9537999999999993</v>
      </c>
      <c r="X21" s="5">
        <v>4.5787999999999993</v>
      </c>
      <c r="Y21" s="5">
        <v>5.0129999999999999</v>
      </c>
      <c r="Z21" s="5">
        <v>5.8650000000000002</v>
      </c>
      <c r="AA21" s="5">
        <v>4.0956000000000001</v>
      </c>
      <c r="AB21" s="5">
        <v>3.5998000000000001</v>
      </c>
      <c r="AC21" s="5">
        <v>4.1834000000000007</v>
      </c>
      <c r="AD21" s="5">
        <v>5.5721999999999996</v>
      </c>
      <c r="AE21" s="20" t="s">
        <v>48</v>
      </c>
      <c r="AF21" s="5">
        <f>G21*R21</f>
        <v>0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25">
      <c r="A22" s="11" t="s">
        <v>63</v>
      </c>
      <c r="B22" s="11" t="s">
        <v>35</v>
      </c>
      <c r="C22" s="11"/>
      <c r="D22" s="11">
        <v>2</v>
      </c>
      <c r="E22" s="18">
        <v>2</v>
      </c>
      <c r="F22" s="11"/>
      <c r="G22" s="12">
        <v>0</v>
      </c>
      <c r="H22" s="11" t="e">
        <v>#N/A</v>
      </c>
      <c r="I22" s="11" t="s">
        <v>41</v>
      </c>
      <c r="J22" s="11" t="s">
        <v>64</v>
      </c>
      <c r="K22" s="11">
        <v>2</v>
      </c>
      <c r="L22" s="11">
        <f t="shared" si="2"/>
        <v>0</v>
      </c>
      <c r="M22" s="11"/>
      <c r="N22" s="11"/>
      <c r="O22" s="11"/>
      <c r="P22" s="11"/>
      <c r="Q22" s="11">
        <f t="shared" si="3"/>
        <v>0.4</v>
      </c>
      <c r="R22" s="13"/>
      <c r="S22" s="13"/>
      <c r="T22" s="11"/>
      <c r="U22" s="11">
        <f t="shared" si="4"/>
        <v>0</v>
      </c>
      <c r="V22" s="11">
        <f t="shared" si="5"/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/>
      <c r="AF22" s="11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25">
      <c r="A23" s="11" t="s">
        <v>65</v>
      </c>
      <c r="B23" s="11" t="s">
        <v>39</v>
      </c>
      <c r="C23" s="11">
        <v>-1.5509999999999999</v>
      </c>
      <c r="D23" s="11">
        <v>4.7089999999999996</v>
      </c>
      <c r="E23" s="18">
        <v>3.1579999999999999</v>
      </c>
      <c r="F23" s="11"/>
      <c r="G23" s="12">
        <v>0</v>
      </c>
      <c r="H23" s="11" t="e">
        <v>#N/A</v>
      </c>
      <c r="I23" s="11" t="s">
        <v>41</v>
      </c>
      <c r="J23" s="11" t="s">
        <v>66</v>
      </c>
      <c r="K23" s="11">
        <v>3</v>
      </c>
      <c r="L23" s="11">
        <f t="shared" si="2"/>
        <v>0.15799999999999992</v>
      </c>
      <c r="M23" s="11"/>
      <c r="N23" s="11"/>
      <c r="O23" s="11">
        <v>0</v>
      </c>
      <c r="P23" s="11"/>
      <c r="Q23" s="11">
        <f t="shared" si="3"/>
        <v>0.63159999999999994</v>
      </c>
      <c r="R23" s="13"/>
      <c r="S23" s="13"/>
      <c r="T23" s="11"/>
      <c r="U23" s="11">
        <f t="shared" si="4"/>
        <v>0</v>
      </c>
      <c r="V23" s="11">
        <f t="shared" si="5"/>
        <v>0</v>
      </c>
      <c r="W23" s="11">
        <v>0.31019999999999998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/>
      <c r="AF23" s="11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25">
      <c r="A24" s="5" t="s">
        <v>67</v>
      </c>
      <c r="B24" s="5" t="s">
        <v>35</v>
      </c>
      <c r="C24" s="5">
        <v>89</v>
      </c>
      <c r="D24" s="5">
        <v>375</v>
      </c>
      <c r="E24" s="5">
        <v>149</v>
      </c>
      <c r="F24" s="5">
        <v>300</v>
      </c>
      <c r="G24" s="8">
        <v>0.4</v>
      </c>
      <c r="H24" s="5">
        <v>45</v>
      </c>
      <c r="I24" s="5" t="s">
        <v>36</v>
      </c>
      <c r="J24" s="5"/>
      <c r="K24" s="5">
        <v>161</v>
      </c>
      <c r="L24" s="5">
        <f t="shared" si="2"/>
        <v>-12</v>
      </c>
      <c r="M24" s="5"/>
      <c r="N24" s="5"/>
      <c r="O24" s="5">
        <v>0</v>
      </c>
      <c r="P24" s="5"/>
      <c r="Q24" s="5">
        <f t="shared" si="3"/>
        <v>29.8</v>
      </c>
      <c r="R24" s="4">
        <f>16*Q24-P24-O24-F24</f>
        <v>176.8</v>
      </c>
      <c r="S24" s="4"/>
      <c r="T24" s="5"/>
      <c r="U24" s="5">
        <f t="shared" si="4"/>
        <v>16</v>
      </c>
      <c r="V24" s="5">
        <f t="shared" si="5"/>
        <v>10.067114093959731</v>
      </c>
      <c r="W24" s="5">
        <v>18.600000000000001</v>
      </c>
      <c r="X24" s="5">
        <v>39.200000000000003</v>
      </c>
      <c r="Y24" s="5">
        <v>24</v>
      </c>
      <c r="Z24" s="5">
        <v>26.2</v>
      </c>
      <c r="AA24" s="5">
        <v>44</v>
      </c>
      <c r="AB24" s="5">
        <v>35.200000000000003</v>
      </c>
      <c r="AC24" s="5">
        <v>34.799999999999997</v>
      </c>
      <c r="AD24" s="5">
        <v>32</v>
      </c>
      <c r="AE24" s="21" t="s">
        <v>52</v>
      </c>
      <c r="AF24" s="5">
        <f>G24*R24</f>
        <v>70.720000000000013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25">
      <c r="A25" s="11" t="s">
        <v>68</v>
      </c>
      <c r="B25" s="11" t="s">
        <v>39</v>
      </c>
      <c r="C25" s="11"/>
      <c r="D25" s="11">
        <v>3.0670000000000002</v>
      </c>
      <c r="E25" s="18">
        <v>3.0670000000000002</v>
      </c>
      <c r="F25" s="11"/>
      <c r="G25" s="12">
        <v>0</v>
      </c>
      <c r="H25" s="11" t="e">
        <v>#N/A</v>
      </c>
      <c r="I25" s="11" t="s">
        <v>41</v>
      </c>
      <c r="J25" s="11" t="s">
        <v>69</v>
      </c>
      <c r="K25" s="11">
        <v>2</v>
      </c>
      <c r="L25" s="11">
        <f t="shared" si="2"/>
        <v>1.0670000000000002</v>
      </c>
      <c r="M25" s="11"/>
      <c r="N25" s="11"/>
      <c r="O25" s="11"/>
      <c r="P25" s="11"/>
      <c r="Q25" s="11">
        <f t="shared" si="3"/>
        <v>0.61340000000000006</v>
      </c>
      <c r="R25" s="13"/>
      <c r="S25" s="13"/>
      <c r="T25" s="11"/>
      <c r="U25" s="11">
        <f t="shared" si="4"/>
        <v>0</v>
      </c>
      <c r="V25" s="11">
        <f t="shared" si="5"/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/>
      <c r="AF25" s="11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25">
      <c r="A26" s="5" t="s">
        <v>70</v>
      </c>
      <c r="B26" s="5" t="s">
        <v>39</v>
      </c>
      <c r="C26" s="5">
        <v>403.28699999999998</v>
      </c>
      <c r="D26" s="5">
        <v>187.14599999999999</v>
      </c>
      <c r="E26" s="5">
        <v>185.476</v>
      </c>
      <c r="F26" s="5">
        <v>380.226</v>
      </c>
      <c r="G26" s="8">
        <v>1</v>
      </c>
      <c r="H26" s="5">
        <v>60</v>
      </c>
      <c r="I26" s="5" t="s">
        <v>36</v>
      </c>
      <c r="J26" s="5"/>
      <c r="K26" s="5">
        <v>200.2</v>
      </c>
      <c r="L26" s="5">
        <f t="shared" si="2"/>
        <v>-14.72399999999999</v>
      </c>
      <c r="M26" s="5"/>
      <c r="N26" s="5"/>
      <c r="O26" s="5">
        <v>55</v>
      </c>
      <c r="P26" s="5">
        <v>65</v>
      </c>
      <c r="Q26" s="5">
        <f t="shared" si="3"/>
        <v>37.095199999999998</v>
      </c>
      <c r="R26" s="4">
        <f t="shared" ref="R26" si="8">16*Q26-P26-O26-F26</f>
        <v>93.297199999999975</v>
      </c>
      <c r="S26" s="4"/>
      <c r="T26" s="5"/>
      <c r="U26" s="5">
        <f t="shared" si="4"/>
        <v>16</v>
      </c>
      <c r="V26" s="5">
        <f t="shared" si="5"/>
        <v>13.484925273350731</v>
      </c>
      <c r="W26" s="5">
        <v>30.107199999999999</v>
      </c>
      <c r="X26" s="5">
        <v>48.545200000000001</v>
      </c>
      <c r="Y26" s="5">
        <v>40.4754</v>
      </c>
      <c r="Z26" s="5">
        <v>49.236600000000003</v>
      </c>
      <c r="AA26" s="5">
        <v>49.830199999999998</v>
      </c>
      <c r="AB26" s="5">
        <v>43.411799999999999</v>
      </c>
      <c r="AC26" s="5">
        <v>45.0916</v>
      </c>
      <c r="AD26" s="5">
        <v>42.107399999999998</v>
      </c>
      <c r="AE26" s="5"/>
      <c r="AF26" s="5">
        <f>G26*R26</f>
        <v>93.297199999999975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25">
      <c r="A27" s="5" t="s">
        <v>71</v>
      </c>
      <c r="B27" s="5" t="s">
        <v>35</v>
      </c>
      <c r="C27" s="5">
        <v>2</v>
      </c>
      <c r="D27" s="5">
        <v>161</v>
      </c>
      <c r="E27" s="5">
        <v>51</v>
      </c>
      <c r="F27" s="5">
        <v>109</v>
      </c>
      <c r="G27" s="8">
        <v>0.22</v>
      </c>
      <c r="H27" s="5">
        <v>120</v>
      </c>
      <c r="I27" s="5" t="s">
        <v>36</v>
      </c>
      <c r="J27" s="5"/>
      <c r="K27" s="5">
        <v>58</v>
      </c>
      <c r="L27" s="5">
        <f t="shared" si="2"/>
        <v>-7</v>
      </c>
      <c r="M27" s="5"/>
      <c r="N27" s="5"/>
      <c r="O27" s="5">
        <v>32</v>
      </c>
      <c r="P27" s="5">
        <v>38</v>
      </c>
      <c r="Q27" s="5">
        <f t="shared" si="3"/>
        <v>10.199999999999999</v>
      </c>
      <c r="R27" s="4"/>
      <c r="S27" s="4"/>
      <c r="T27" s="5"/>
      <c r="U27" s="5">
        <f t="shared" si="4"/>
        <v>17.549019607843139</v>
      </c>
      <c r="V27" s="5">
        <f t="shared" si="5"/>
        <v>17.549019607843139</v>
      </c>
      <c r="W27" s="5">
        <v>9.1999999999999993</v>
      </c>
      <c r="X27" s="5">
        <v>17.399999999999999</v>
      </c>
      <c r="Y27" s="5">
        <v>9</v>
      </c>
      <c r="Z27" s="5">
        <v>13</v>
      </c>
      <c r="AA27" s="5">
        <v>13</v>
      </c>
      <c r="AB27" s="5">
        <v>10.4</v>
      </c>
      <c r="AC27" s="5">
        <v>9.6</v>
      </c>
      <c r="AD27" s="5">
        <v>9.1999999999999993</v>
      </c>
      <c r="AE27" s="5"/>
      <c r="AF27" s="5">
        <f>G27*R27</f>
        <v>0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25">
      <c r="A28" s="11" t="s">
        <v>72</v>
      </c>
      <c r="B28" s="11" t="s">
        <v>35</v>
      </c>
      <c r="C28" s="11"/>
      <c r="D28" s="11">
        <v>2</v>
      </c>
      <c r="E28" s="18">
        <v>2</v>
      </c>
      <c r="F28" s="11"/>
      <c r="G28" s="12">
        <v>0</v>
      </c>
      <c r="H28" s="11" t="e">
        <v>#N/A</v>
      </c>
      <c r="I28" s="11" t="s">
        <v>41</v>
      </c>
      <c r="J28" s="11" t="s">
        <v>73</v>
      </c>
      <c r="K28" s="11">
        <v>2</v>
      </c>
      <c r="L28" s="11">
        <f t="shared" si="2"/>
        <v>0</v>
      </c>
      <c r="M28" s="11"/>
      <c r="N28" s="11"/>
      <c r="O28" s="11"/>
      <c r="P28" s="11"/>
      <c r="Q28" s="11">
        <f t="shared" si="3"/>
        <v>0.4</v>
      </c>
      <c r="R28" s="13"/>
      <c r="S28" s="13"/>
      <c r="T28" s="11"/>
      <c r="U28" s="11">
        <f t="shared" si="4"/>
        <v>0</v>
      </c>
      <c r="V28" s="11">
        <f t="shared" si="5"/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/>
      <c r="AF28" s="11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25">
      <c r="A29" s="5" t="s">
        <v>74</v>
      </c>
      <c r="B29" s="5" t="s">
        <v>35</v>
      </c>
      <c r="C29" s="5">
        <v>45</v>
      </c>
      <c r="D29" s="5">
        <v>8</v>
      </c>
      <c r="E29" s="5">
        <v>5</v>
      </c>
      <c r="F29" s="5">
        <v>43</v>
      </c>
      <c r="G29" s="8">
        <v>0.15</v>
      </c>
      <c r="H29" s="5">
        <v>45</v>
      </c>
      <c r="I29" s="5" t="s">
        <v>36</v>
      </c>
      <c r="J29" s="5"/>
      <c r="K29" s="5">
        <v>8</v>
      </c>
      <c r="L29" s="5">
        <f t="shared" si="2"/>
        <v>-3</v>
      </c>
      <c r="M29" s="5"/>
      <c r="N29" s="5"/>
      <c r="O29" s="5">
        <v>10</v>
      </c>
      <c r="P29" s="5"/>
      <c r="Q29" s="5">
        <f t="shared" si="3"/>
        <v>1</v>
      </c>
      <c r="R29" s="4"/>
      <c r="S29" s="4"/>
      <c r="T29" s="5"/>
      <c r="U29" s="5">
        <f t="shared" si="4"/>
        <v>53</v>
      </c>
      <c r="V29" s="5">
        <f t="shared" si="5"/>
        <v>53</v>
      </c>
      <c r="W29" s="5">
        <v>3.6</v>
      </c>
      <c r="X29" s="5">
        <v>2.4</v>
      </c>
      <c r="Y29" s="5">
        <v>4</v>
      </c>
      <c r="Z29" s="5">
        <v>6.2</v>
      </c>
      <c r="AA29" s="5">
        <v>5.2</v>
      </c>
      <c r="AB29" s="5">
        <v>8.6</v>
      </c>
      <c r="AC29" s="5">
        <v>8</v>
      </c>
      <c r="AD29" s="5">
        <v>4.5999999999999996</v>
      </c>
      <c r="AE29" s="20" t="s">
        <v>48</v>
      </c>
      <c r="AF29" s="5">
        <f>G29*R29</f>
        <v>0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25">
      <c r="A30" s="11" t="s">
        <v>75</v>
      </c>
      <c r="B30" s="11" t="s">
        <v>35</v>
      </c>
      <c r="C30" s="11"/>
      <c r="D30" s="11">
        <v>1</v>
      </c>
      <c r="E30" s="18">
        <v>1</v>
      </c>
      <c r="F30" s="11"/>
      <c r="G30" s="12">
        <v>0</v>
      </c>
      <c r="H30" s="11" t="e">
        <v>#N/A</v>
      </c>
      <c r="I30" s="11" t="s">
        <v>41</v>
      </c>
      <c r="J30" s="11" t="s">
        <v>76</v>
      </c>
      <c r="K30" s="11">
        <v>2</v>
      </c>
      <c r="L30" s="11">
        <f t="shared" si="2"/>
        <v>-1</v>
      </c>
      <c r="M30" s="11"/>
      <c r="N30" s="11"/>
      <c r="O30" s="11"/>
      <c r="P30" s="11"/>
      <c r="Q30" s="11">
        <f t="shared" si="3"/>
        <v>0.2</v>
      </c>
      <c r="R30" s="13"/>
      <c r="S30" s="13"/>
      <c r="T30" s="11"/>
      <c r="U30" s="11">
        <f t="shared" si="4"/>
        <v>0</v>
      </c>
      <c r="V30" s="11">
        <f t="shared" si="5"/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/>
      <c r="AF30" s="11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25">
      <c r="A31" s="5" t="s">
        <v>77</v>
      </c>
      <c r="B31" s="5" t="s">
        <v>39</v>
      </c>
      <c r="C31" s="5">
        <v>175.09899999999999</v>
      </c>
      <c r="D31" s="5">
        <v>9.4649999999999999</v>
      </c>
      <c r="E31" s="5">
        <v>144.06200000000001</v>
      </c>
      <c r="F31" s="5">
        <v>36.462000000000003</v>
      </c>
      <c r="G31" s="8">
        <v>1</v>
      </c>
      <c r="H31" s="5">
        <v>60</v>
      </c>
      <c r="I31" s="5" t="s">
        <v>36</v>
      </c>
      <c r="J31" s="5"/>
      <c r="K31" s="5">
        <v>140.19999999999999</v>
      </c>
      <c r="L31" s="5">
        <f t="shared" si="2"/>
        <v>3.8620000000000232</v>
      </c>
      <c r="M31" s="5"/>
      <c r="N31" s="5"/>
      <c r="O31" s="5">
        <v>114</v>
      </c>
      <c r="P31" s="5">
        <v>134</v>
      </c>
      <c r="Q31" s="5">
        <f t="shared" si="3"/>
        <v>28.812400000000004</v>
      </c>
      <c r="R31" s="4">
        <f t="shared" ref="R31:R53" si="9">16*Q31-P31-O31-F31</f>
        <v>176.53640000000007</v>
      </c>
      <c r="S31" s="4"/>
      <c r="T31" s="5"/>
      <c r="U31" s="5">
        <f t="shared" si="4"/>
        <v>16</v>
      </c>
      <c r="V31" s="5">
        <f t="shared" si="5"/>
        <v>9.8729019449959026</v>
      </c>
      <c r="W31" s="5">
        <v>27.948399999999999</v>
      </c>
      <c r="X31" s="5">
        <v>20.8858</v>
      </c>
      <c r="Y31" s="5">
        <v>13.021000000000001</v>
      </c>
      <c r="Z31" s="5">
        <v>20.262599999999999</v>
      </c>
      <c r="AA31" s="5">
        <v>29.521599999999999</v>
      </c>
      <c r="AB31" s="5">
        <v>0</v>
      </c>
      <c r="AC31" s="5">
        <v>0</v>
      </c>
      <c r="AD31" s="5">
        <v>0.27260000000000001</v>
      </c>
      <c r="AE31" s="5" t="s">
        <v>78</v>
      </c>
      <c r="AF31" s="5">
        <f t="shared" ref="AF31:AF53" si="10">G31*R31</f>
        <v>176.53640000000007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25">
      <c r="A32" s="5" t="s">
        <v>79</v>
      </c>
      <c r="B32" s="5" t="s">
        <v>35</v>
      </c>
      <c r="C32" s="5">
        <v>715</v>
      </c>
      <c r="D32" s="5">
        <v>82</v>
      </c>
      <c r="E32" s="5">
        <v>457</v>
      </c>
      <c r="F32" s="5">
        <v>256</v>
      </c>
      <c r="G32" s="8">
        <v>0.09</v>
      </c>
      <c r="H32" s="5">
        <v>60</v>
      </c>
      <c r="I32" s="10" t="s">
        <v>44</v>
      </c>
      <c r="J32" s="5"/>
      <c r="K32" s="5">
        <v>457</v>
      </c>
      <c r="L32" s="5">
        <f t="shared" si="2"/>
        <v>0</v>
      </c>
      <c r="M32" s="5"/>
      <c r="N32" s="5"/>
      <c r="O32" s="5">
        <v>0</v>
      </c>
      <c r="P32" s="5"/>
      <c r="Q32" s="5">
        <f t="shared" si="3"/>
        <v>91.4</v>
      </c>
      <c r="R32" s="4">
        <v>300</v>
      </c>
      <c r="S32" s="4"/>
      <c r="T32" s="5"/>
      <c r="U32" s="5">
        <f t="shared" si="4"/>
        <v>6.083150984682713</v>
      </c>
      <c r="V32" s="5">
        <f t="shared" si="5"/>
        <v>2.8008752735229758</v>
      </c>
      <c r="W32" s="5">
        <v>42.6</v>
      </c>
      <c r="X32" s="5">
        <v>96.2</v>
      </c>
      <c r="Y32" s="5">
        <v>19.2</v>
      </c>
      <c r="Z32" s="5">
        <v>9.1999999999999993</v>
      </c>
      <c r="AA32" s="5">
        <v>25.4</v>
      </c>
      <c r="AB32" s="5">
        <v>0</v>
      </c>
      <c r="AC32" s="5">
        <v>18</v>
      </c>
      <c r="AD32" s="5">
        <v>2</v>
      </c>
      <c r="AE32" s="5"/>
      <c r="AF32" s="5">
        <f t="shared" si="10"/>
        <v>27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25">
      <c r="A33" s="5" t="s">
        <v>80</v>
      </c>
      <c r="B33" s="5" t="s">
        <v>35</v>
      </c>
      <c r="C33" s="5">
        <v>36</v>
      </c>
      <c r="D33" s="5">
        <v>257</v>
      </c>
      <c r="E33" s="5">
        <v>147</v>
      </c>
      <c r="F33" s="5">
        <v>138</v>
      </c>
      <c r="G33" s="8">
        <v>0.09</v>
      </c>
      <c r="H33" s="5">
        <v>45</v>
      </c>
      <c r="I33" s="5" t="s">
        <v>36</v>
      </c>
      <c r="J33" s="5"/>
      <c r="K33" s="5">
        <v>155</v>
      </c>
      <c r="L33" s="5">
        <f t="shared" si="2"/>
        <v>-8</v>
      </c>
      <c r="M33" s="5"/>
      <c r="N33" s="5"/>
      <c r="O33" s="5">
        <v>36</v>
      </c>
      <c r="P33" s="5"/>
      <c r="Q33" s="5">
        <f t="shared" si="3"/>
        <v>29.4</v>
      </c>
      <c r="R33" s="4">
        <f t="shared" si="9"/>
        <v>296.39999999999998</v>
      </c>
      <c r="S33" s="4"/>
      <c r="T33" s="5"/>
      <c r="U33" s="5">
        <f t="shared" si="4"/>
        <v>16</v>
      </c>
      <c r="V33" s="5">
        <f t="shared" si="5"/>
        <v>5.9183673469387754</v>
      </c>
      <c r="W33" s="5">
        <v>22.4</v>
      </c>
      <c r="X33" s="5">
        <v>30.2</v>
      </c>
      <c r="Y33" s="5">
        <v>20.6</v>
      </c>
      <c r="Z33" s="5">
        <v>26.2</v>
      </c>
      <c r="AA33" s="5">
        <v>24.2</v>
      </c>
      <c r="AB33" s="5">
        <v>26.2</v>
      </c>
      <c r="AC33" s="5">
        <v>28.8</v>
      </c>
      <c r="AD33" s="5">
        <v>26</v>
      </c>
      <c r="AE33" s="5" t="s">
        <v>52</v>
      </c>
      <c r="AF33" s="5">
        <f t="shared" si="10"/>
        <v>26.675999999999998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25">
      <c r="A34" s="5" t="s">
        <v>81</v>
      </c>
      <c r="B34" s="5" t="s">
        <v>35</v>
      </c>
      <c r="C34" s="5">
        <v>123</v>
      </c>
      <c r="D34" s="5">
        <v>97</v>
      </c>
      <c r="E34" s="5">
        <v>153</v>
      </c>
      <c r="F34" s="5">
        <v>57</v>
      </c>
      <c r="G34" s="8">
        <v>0.4</v>
      </c>
      <c r="H34" s="5">
        <v>60</v>
      </c>
      <c r="I34" s="5" t="s">
        <v>36</v>
      </c>
      <c r="J34" s="5"/>
      <c r="K34" s="5">
        <v>156</v>
      </c>
      <c r="L34" s="5">
        <f t="shared" si="2"/>
        <v>-3</v>
      </c>
      <c r="M34" s="5"/>
      <c r="N34" s="5"/>
      <c r="O34" s="5">
        <v>112</v>
      </c>
      <c r="P34" s="5">
        <v>131</v>
      </c>
      <c r="Q34" s="5">
        <f t="shared" si="3"/>
        <v>30.6</v>
      </c>
      <c r="R34" s="4">
        <f t="shared" si="9"/>
        <v>189.60000000000002</v>
      </c>
      <c r="S34" s="4"/>
      <c r="T34" s="5"/>
      <c r="U34" s="5">
        <f t="shared" si="4"/>
        <v>16</v>
      </c>
      <c r="V34" s="5">
        <f t="shared" si="5"/>
        <v>9.8039215686274499</v>
      </c>
      <c r="W34" s="5">
        <v>28.8</v>
      </c>
      <c r="X34" s="5">
        <v>23.4</v>
      </c>
      <c r="Y34" s="5">
        <v>23.4</v>
      </c>
      <c r="Z34" s="5">
        <v>30.4</v>
      </c>
      <c r="AA34" s="5">
        <v>33.4</v>
      </c>
      <c r="AB34" s="5">
        <v>23.2</v>
      </c>
      <c r="AC34" s="5">
        <v>32</v>
      </c>
      <c r="AD34" s="5">
        <v>33</v>
      </c>
      <c r="AE34" s="5"/>
      <c r="AF34" s="5">
        <f t="shared" si="10"/>
        <v>75.840000000000018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5">
      <c r="A35" s="5" t="s">
        <v>82</v>
      </c>
      <c r="B35" s="5" t="s">
        <v>35</v>
      </c>
      <c r="C35" s="5">
        <v>50</v>
      </c>
      <c r="D35" s="5">
        <v>96</v>
      </c>
      <c r="E35" s="5">
        <v>83</v>
      </c>
      <c r="F35" s="5">
        <v>62</v>
      </c>
      <c r="G35" s="8">
        <v>0.15</v>
      </c>
      <c r="H35" s="5">
        <v>45</v>
      </c>
      <c r="I35" s="5" t="s">
        <v>36</v>
      </c>
      <c r="J35" s="5"/>
      <c r="K35" s="5">
        <v>83</v>
      </c>
      <c r="L35" s="5">
        <f t="shared" si="2"/>
        <v>0</v>
      </c>
      <c r="M35" s="5"/>
      <c r="N35" s="5"/>
      <c r="O35" s="5">
        <v>0</v>
      </c>
      <c r="P35" s="5"/>
      <c r="Q35" s="5">
        <f t="shared" si="3"/>
        <v>16.600000000000001</v>
      </c>
      <c r="R35" s="4">
        <f>15*Q35-P35-O35-F35</f>
        <v>187.00000000000003</v>
      </c>
      <c r="S35" s="4"/>
      <c r="T35" s="5"/>
      <c r="U35" s="5">
        <f t="shared" si="4"/>
        <v>15</v>
      </c>
      <c r="V35" s="5">
        <f t="shared" si="5"/>
        <v>3.7349397590361444</v>
      </c>
      <c r="W35" s="5">
        <v>3.2</v>
      </c>
      <c r="X35" s="5">
        <v>11.6</v>
      </c>
      <c r="Y35" s="5">
        <v>9.6</v>
      </c>
      <c r="Z35" s="5">
        <v>9</v>
      </c>
      <c r="AA35" s="5">
        <v>0</v>
      </c>
      <c r="AB35" s="5">
        <v>8</v>
      </c>
      <c r="AC35" s="5">
        <v>0.4</v>
      </c>
      <c r="AD35" s="5">
        <v>7.6</v>
      </c>
      <c r="AE35" s="5" t="s">
        <v>83</v>
      </c>
      <c r="AF35" s="5">
        <f t="shared" si="10"/>
        <v>28.050000000000004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25">
      <c r="A36" s="5" t="s">
        <v>66</v>
      </c>
      <c r="B36" s="5" t="s">
        <v>39</v>
      </c>
      <c r="C36" s="5">
        <v>287.48200000000003</v>
      </c>
      <c r="D36" s="5">
        <v>445.66699999999997</v>
      </c>
      <c r="E36" s="18">
        <f>230.069+E23</f>
        <v>233.22699999999998</v>
      </c>
      <c r="F36" s="5">
        <v>373.23599999999999</v>
      </c>
      <c r="G36" s="8">
        <v>1</v>
      </c>
      <c r="H36" s="5">
        <v>45</v>
      </c>
      <c r="I36" s="5" t="s">
        <v>36</v>
      </c>
      <c r="J36" s="5"/>
      <c r="K36" s="5">
        <v>228</v>
      </c>
      <c r="L36" s="5">
        <f t="shared" si="2"/>
        <v>5.2269999999999754</v>
      </c>
      <c r="M36" s="5"/>
      <c r="N36" s="5"/>
      <c r="O36" s="5">
        <v>65</v>
      </c>
      <c r="P36" s="5">
        <v>75</v>
      </c>
      <c r="Q36" s="5">
        <f t="shared" si="3"/>
        <v>46.645399999999995</v>
      </c>
      <c r="R36" s="4">
        <f t="shared" si="9"/>
        <v>233.09039999999993</v>
      </c>
      <c r="S36" s="4"/>
      <c r="T36" s="5"/>
      <c r="U36" s="5">
        <f t="shared" si="4"/>
        <v>16</v>
      </c>
      <c r="V36" s="5">
        <f t="shared" si="5"/>
        <v>11.002928477406133</v>
      </c>
      <c r="W36" s="5">
        <v>47.6676</v>
      </c>
      <c r="X36" s="5">
        <v>55.500800000000012</v>
      </c>
      <c r="Y36" s="5">
        <v>58.250199999999992</v>
      </c>
      <c r="Z36" s="5">
        <v>59.423400000000001</v>
      </c>
      <c r="AA36" s="5">
        <v>44.594200000000001</v>
      </c>
      <c r="AB36" s="5">
        <v>63.741600000000012</v>
      </c>
      <c r="AC36" s="5">
        <v>50.565399999999997</v>
      </c>
      <c r="AD36" s="5">
        <v>77.327399999999997</v>
      </c>
      <c r="AE36" s="5"/>
      <c r="AF36" s="5">
        <f t="shared" si="10"/>
        <v>233.09039999999993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25">
      <c r="A37" s="5" t="s">
        <v>84</v>
      </c>
      <c r="B37" s="5" t="s">
        <v>35</v>
      </c>
      <c r="C37" s="5">
        <v>191</v>
      </c>
      <c r="D37" s="5">
        <v>24</v>
      </c>
      <c r="E37" s="5">
        <v>147</v>
      </c>
      <c r="F37" s="5">
        <v>68</v>
      </c>
      <c r="G37" s="8">
        <v>0.4</v>
      </c>
      <c r="H37" s="5">
        <v>60</v>
      </c>
      <c r="I37" s="5" t="s">
        <v>36</v>
      </c>
      <c r="J37" s="5"/>
      <c r="K37" s="5">
        <v>147</v>
      </c>
      <c r="L37" s="5">
        <f t="shared" si="2"/>
        <v>0</v>
      </c>
      <c r="M37" s="5"/>
      <c r="N37" s="5"/>
      <c r="O37" s="5">
        <v>150</v>
      </c>
      <c r="P37" s="5"/>
      <c r="Q37" s="5">
        <f t="shared" si="3"/>
        <v>29.4</v>
      </c>
      <c r="R37" s="4">
        <f t="shared" si="9"/>
        <v>252.39999999999998</v>
      </c>
      <c r="S37" s="4"/>
      <c r="T37" s="5"/>
      <c r="U37" s="5">
        <f t="shared" si="4"/>
        <v>16</v>
      </c>
      <c r="V37" s="5">
        <f t="shared" si="5"/>
        <v>7.4149659863945585</v>
      </c>
      <c r="W37" s="5">
        <v>21.4</v>
      </c>
      <c r="X37" s="5">
        <v>22.2</v>
      </c>
      <c r="Y37" s="5">
        <v>31</v>
      </c>
      <c r="Z37" s="5">
        <v>20.6</v>
      </c>
      <c r="AA37" s="5">
        <v>26.4</v>
      </c>
      <c r="AB37" s="5">
        <v>25.6</v>
      </c>
      <c r="AC37" s="5">
        <v>24.2</v>
      </c>
      <c r="AD37" s="5">
        <v>18.600000000000001</v>
      </c>
      <c r="AE37" s="5" t="s">
        <v>52</v>
      </c>
      <c r="AF37" s="5">
        <f t="shared" si="10"/>
        <v>100.96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25">
      <c r="A38" s="5" t="s">
        <v>85</v>
      </c>
      <c r="B38" s="5" t="s">
        <v>35</v>
      </c>
      <c r="C38" s="5">
        <v>24</v>
      </c>
      <c r="D38" s="5">
        <v>7</v>
      </c>
      <c r="E38" s="5">
        <v>19</v>
      </c>
      <c r="F38" s="5">
        <v>6</v>
      </c>
      <c r="G38" s="8">
        <v>0.4</v>
      </c>
      <c r="H38" s="5">
        <v>60</v>
      </c>
      <c r="I38" s="5" t="s">
        <v>36</v>
      </c>
      <c r="J38" s="5"/>
      <c r="K38" s="5">
        <v>24</v>
      </c>
      <c r="L38" s="5">
        <f t="shared" ref="L38:L69" si="11">E38-K38</f>
        <v>-5</v>
      </c>
      <c r="M38" s="5"/>
      <c r="N38" s="5"/>
      <c r="O38" s="5">
        <v>39</v>
      </c>
      <c r="P38" s="5">
        <v>46</v>
      </c>
      <c r="Q38" s="5">
        <f t="shared" ref="Q38:Q69" si="12">E38/5</f>
        <v>3.8</v>
      </c>
      <c r="R38" s="4"/>
      <c r="S38" s="4"/>
      <c r="T38" s="5"/>
      <c r="U38" s="5">
        <f t="shared" si="4"/>
        <v>23.947368421052634</v>
      </c>
      <c r="V38" s="5">
        <f t="shared" si="5"/>
        <v>23.947368421052634</v>
      </c>
      <c r="W38" s="5">
        <v>9.4</v>
      </c>
      <c r="X38" s="5">
        <v>3.6</v>
      </c>
      <c r="Y38" s="5">
        <v>4.4000000000000004</v>
      </c>
      <c r="Z38" s="5">
        <v>7</v>
      </c>
      <c r="AA38" s="5">
        <v>4.8</v>
      </c>
      <c r="AB38" s="5">
        <v>4.8</v>
      </c>
      <c r="AC38" s="5">
        <v>7.2</v>
      </c>
      <c r="AD38" s="5">
        <v>4.8</v>
      </c>
      <c r="AE38" s="5"/>
      <c r="AF38" s="5">
        <f t="shared" si="10"/>
        <v>0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25">
      <c r="A39" s="5" t="s">
        <v>86</v>
      </c>
      <c r="B39" s="5" t="s">
        <v>35</v>
      </c>
      <c r="C39" s="5">
        <v>305</v>
      </c>
      <c r="D39" s="5">
        <v>231</v>
      </c>
      <c r="E39" s="5">
        <v>336</v>
      </c>
      <c r="F39" s="5">
        <v>183</v>
      </c>
      <c r="G39" s="8">
        <v>0.4</v>
      </c>
      <c r="H39" s="5">
        <v>60</v>
      </c>
      <c r="I39" s="5" t="s">
        <v>36</v>
      </c>
      <c r="J39" s="5"/>
      <c r="K39" s="5">
        <v>339</v>
      </c>
      <c r="L39" s="5">
        <f t="shared" si="11"/>
        <v>-3</v>
      </c>
      <c r="M39" s="5"/>
      <c r="N39" s="5"/>
      <c r="O39" s="5">
        <v>257</v>
      </c>
      <c r="P39" s="5">
        <v>300</v>
      </c>
      <c r="Q39" s="5">
        <f t="shared" si="12"/>
        <v>67.2</v>
      </c>
      <c r="R39" s="4">
        <f t="shared" si="9"/>
        <v>335.20000000000005</v>
      </c>
      <c r="S39" s="4"/>
      <c r="T39" s="5"/>
      <c r="U39" s="5">
        <f t="shared" si="4"/>
        <v>16</v>
      </c>
      <c r="V39" s="5">
        <f t="shared" si="5"/>
        <v>11.011904761904761</v>
      </c>
      <c r="W39" s="5">
        <v>70.8</v>
      </c>
      <c r="X39" s="5">
        <v>57.8</v>
      </c>
      <c r="Y39" s="5">
        <v>63.6</v>
      </c>
      <c r="Z39" s="5">
        <v>73.8</v>
      </c>
      <c r="AA39" s="5">
        <v>74.400000000000006</v>
      </c>
      <c r="AB39" s="5">
        <v>52.6</v>
      </c>
      <c r="AC39" s="5">
        <v>60</v>
      </c>
      <c r="AD39" s="5">
        <v>75.2</v>
      </c>
      <c r="AE39" s="5" t="s">
        <v>52</v>
      </c>
      <c r="AF39" s="5">
        <f t="shared" si="10"/>
        <v>134.08000000000001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25">
      <c r="A40" s="5" t="s">
        <v>87</v>
      </c>
      <c r="B40" s="5" t="s">
        <v>35</v>
      </c>
      <c r="C40" s="5">
        <v>374</v>
      </c>
      <c r="D40" s="5">
        <v>407</v>
      </c>
      <c r="E40" s="5">
        <v>246</v>
      </c>
      <c r="F40" s="5">
        <v>521</v>
      </c>
      <c r="G40" s="8">
        <v>0.4</v>
      </c>
      <c r="H40" s="5">
        <v>60</v>
      </c>
      <c r="I40" s="10" t="s">
        <v>44</v>
      </c>
      <c r="J40" s="5"/>
      <c r="K40" s="5">
        <v>250</v>
      </c>
      <c r="L40" s="5">
        <f t="shared" si="11"/>
        <v>-4</v>
      </c>
      <c r="M40" s="5"/>
      <c r="N40" s="5"/>
      <c r="O40" s="5">
        <v>100</v>
      </c>
      <c r="P40" s="5"/>
      <c r="Q40" s="5">
        <f t="shared" si="12"/>
        <v>49.2</v>
      </c>
      <c r="R40" s="4">
        <f t="shared" si="9"/>
        <v>166.20000000000005</v>
      </c>
      <c r="S40" s="4"/>
      <c r="T40" s="5"/>
      <c r="U40" s="5">
        <f t="shared" si="4"/>
        <v>16</v>
      </c>
      <c r="V40" s="5">
        <f t="shared" si="5"/>
        <v>12.621951219512194</v>
      </c>
      <c r="W40" s="5">
        <v>43.8</v>
      </c>
      <c r="X40" s="5">
        <v>49.6</v>
      </c>
      <c r="Y40" s="5">
        <v>57.8</v>
      </c>
      <c r="Z40" s="5">
        <v>45.8</v>
      </c>
      <c r="AA40" s="5">
        <v>43.4</v>
      </c>
      <c r="AB40" s="5">
        <v>48.8</v>
      </c>
      <c r="AC40" s="5">
        <v>43.2</v>
      </c>
      <c r="AD40" s="5">
        <v>46.4</v>
      </c>
      <c r="AE40" s="5" t="s">
        <v>52</v>
      </c>
      <c r="AF40" s="5">
        <f t="shared" si="10"/>
        <v>66.480000000000018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25">
      <c r="A41" s="5" t="s">
        <v>88</v>
      </c>
      <c r="B41" s="5" t="s">
        <v>35</v>
      </c>
      <c r="C41" s="5">
        <v>18</v>
      </c>
      <c r="D41" s="5">
        <v>2384</v>
      </c>
      <c r="E41" s="5">
        <v>933</v>
      </c>
      <c r="F41" s="5">
        <v>1370</v>
      </c>
      <c r="G41" s="8">
        <v>0.4</v>
      </c>
      <c r="H41" s="5">
        <v>60</v>
      </c>
      <c r="I41" s="10" t="s">
        <v>44</v>
      </c>
      <c r="J41" s="5"/>
      <c r="K41" s="5">
        <v>943</v>
      </c>
      <c r="L41" s="5">
        <f t="shared" si="11"/>
        <v>-10</v>
      </c>
      <c r="M41" s="5"/>
      <c r="N41" s="5"/>
      <c r="O41" s="5">
        <v>0</v>
      </c>
      <c r="P41" s="5"/>
      <c r="Q41" s="5">
        <f t="shared" si="12"/>
        <v>186.6</v>
      </c>
      <c r="R41" s="4">
        <f t="shared" si="9"/>
        <v>1615.6</v>
      </c>
      <c r="S41" s="4"/>
      <c r="T41" s="5"/>
      <c r="U41" s="5">
        <f t="shared" si="4"/>
        <v>16</v>
      </c>
      <c r="V41" s="5">
        <f t="shared" si="5"/>
        <v>7.341907824222937</v>
      </c>
      <c r="W41" s="5">
        <v>100.8</v>
      </c>
      <c r="X41" s="5">
        <v>322.39999999999998</v>
      </c>
      <c r="Y41" s="5">
        <v>131.19999999999999</v>
      </c>
      <c r="Z41" s="5">
        <v>86.2</v>
      </c>
      <c r="AA41" s="5">
        <v>100.2</v>
      </c>
      <c r="AB41" s="5">
        <v>155.19999999999999</v>
      </c>
      <c r="AC41" s="5">
        <v>151.4</v>
      </c>
      <c r="AD41" s="5">
        <v>192.4</v>
      </c>
      <c r="AE41" s="5" t="s">
        <v>52</v>
      </c>
      <c r="AF41" s="5">
        <f t="shared" si="10"/>
        <v>646.24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25">
      <c r="A42" s="5" t="s">
        <v>64</v>
      </c>
      <c r="B42" s="5" t="s">
        <v>35</v>
      </c>
      <c r="C42" s="5">
        <v>21</v>
      </c>
      <c r="D42" s="5">
        <v>51</v>
      </c>
      <c r="E42" s="18">
        <f>27+E22</f>
        <v>29</v>
      </c>
      <c r="F42" s="5">
        <v>21</v>
      </c>
      <c r="G42" s="8">
        <v>0.1</v>
      </c>
      <c r="H42" s="5">
        <v>45</v>
      </c>
      <c r="I42" s="5" t="s">
        <v>36</v>
      </c>
      <c r="J42" s="5"/>
      <c r="K42" s="5">
        <v>28</v>
      </c>
      <c r="L42" s="5">
        <f t="shared" si="11"/>
        <v>1</v>
      </c>
      <c r="M42" s="5"/>
      <c r="N42" s="5"/>
      <c r="O42" s="5">
        <v>0</v>
      </c>
      <c r="P42" s="5"/>
      <c r="Q42" s="5">
        <f t="shared" si="12"/>
        <v>5.8</v>
      </c>
      <c r="R42" s="4">
        <f>15*Q42-P42-O42-F42</f>
        <v>66</v>
      </c>
      <c r="S42" s="4"/>
      <c r="T42" s="5"/>
      <c r="U42" s="5">
        <f t="shared" si="4"/>
        <v>15</v>
      </c>
      <c r="V42" s="5">
        <f t="shared" si="5"/>
        <v>3.6206896551724137</v>
      </c>
      <c r="W42" s="5">
        <v>2.8</v>
      </c>
      <c r="X42" s="5">
        <v>7.4</v>
      </c>
      <c r="Y42" s="5">
        <v>6</v>
      </c>
      <c r="Z42" s="5">
        <v>1.8</v>
      </c>
      <c r="AA42" s="5">
        <v>7</v>
      </c>
      <c r="AB42" s="5">
        <v>5.8</v>
      </c>
      <c r="AC42" s="5">
        <v>6</v>
      </c>
      <c r="AD42" s="5">
        <v>2.2000000000000002</v>
      </c>
      <c r="AE42" s="5" t="s">
        <v>89</v>
      </c>
      <c r="AF42" s="5">
        <f t="shared" si="10"/>
        <v>6.6000000000000005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25">
      <c r="A43" s="5" t="s">
        <v>90</v>
      </c>
      <c r="B43" s="5" t="s">
        <v>35</v>
      </c>
      <c r="C43" s="5">
        <v>202</v>
      </c>
      <c r="D43" s="5">
        <v>238</v>
      </c>
      <c r="E43" s="5">
        <v>272</v>
      </c>
      <c r="F43" s="5">
        <v>67</v>
      </c>
      <c r="G43" s="8">
        <v>0.1</v>
      </c>
      <c r="H43" s="5">
        <v>60</v>
      </c>
      <c r="I43" s="5" t="s">
        <v>36</v>
      </c>
      <c r="J43" s="5"/>
      <c r="K43" s="5">
        <v>288</v>
      </c>
      <c r="L43" s="5">
        <f t="shared" si="11"/>
        <v>-16</v>
      </c>
      <c r="M43" s="5"/>
      <c r="N43" s="5"/>
      <c r="O43" s="5">
        <v>137</v>
      </c>
      <c r="P43" s="5">
        <v>159</v>
      </c>
      <c r="Q43" s="5">
        <f t="shared" si="12"/>
        <v>54.4</v>
      </c>
      <c r="R43" s="4">
        <f t="shared" si="9"/>
        <v>507.4</v>
      </c>
      <c r="S43" s="4"/>
      <c r="T43" s="5"/>
      <c r="U43" s="5">
        <f t="shared" si="4"/>
        <v>16</v>
      </c>
      <c r="V43" s="5">
        <f t="shared" si="5"/>
        <v>6.6727941176470589</v>
      </c>
      <c r="W43" s="5">
        <v>41</v>
      </c>
      <c r="X43" s="5">
        <v>36.200000000000003</v>
      </c>
      <c r="Y43" s="5">
        <v>38.799999999999997</v>
      </c>
      <c r="Z43" s="5">
        <v>34.6</v>
      </c>
      <c r="AA43" s="5">
        <v>44.8</v>
      </c>
      <c r="AB43" s="5">
        <v>40</v>
      </c>
      <c r="AC43" s="5">
        <v>39.799999999999997</v>
      </c>
      <c r="AD43" s="5">
        <v>32.200000000000003</v>
      </c>
      <c r="AE43" s="5" t="s">
        <v>52</v>
      </c>
      <c r="AF43" s="5">
        <f t="shared" si="10"/>
        <v>50.74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25">
      <c r="A44" s="5" t="s">
        <v>91</v>
      </c>
      <c r="B44" s="5" t="s">
        <v>35</v>
      </c>
      <c r="C44" s="5">
        <v>5</v>
      </c>
      <c r="D44" s="5">
        <v>74</v>
      </c>
      <c r="E44" s="5">
        <v>49</v>
      </c>
      <c r="F44" s="5">
        <v>24</v>
      </c>
      <c r="G44" s="8">
        <v>0.1</v>
      </c>
      <c r="H44" s="5">
        <v>60</v>
      </c>
      <c r="I44" s="5" t="s">
        <v>36</v>
      </c>
      <c r="J44" s="5"/>
      <c r="K44" s="5">
        <v>166</v>
      </c>
      <c r="L44" s="5">
        <f t="shared" si="11"/>
        <v>-117</v>
      </c>
      <c r="M44" s="5"/>
      <c r="N44" s="5"/>
      <c r="O44" s="5">
        <v>365</v>
      </c>
      <c r="P44" s="5">
        <v>426</v>
      </c>
      <c r="Q44" s="5">
        <f t="shared" si="12"/>
        <v>9.8000000000000007</v>
      </c>
      <c r="R44" s="4"/>
      <c r="S44" s="4"/>
      <c r="T44" s="5"/>
      <c r="U44" s="5">
        <f t="shared" si="4"/>
        <v>83.16326530612244</v>
      </c>
      <c r="V44" s="5">
        <f t="shared" si="5"/>
        <v>83.16326530612244</v>
      </c>
      <c r="W44" s="5">
        <v>86.4</v>
      </c>
      <c r="X44" s="5">
        <v>37.200000000000003</v>
      </c>
      <c r="Y44" s="5">
        <v>51</v>
      </c>
      <c r="Z44" s="5">
        <v>31</v>
      </c>
      <c r="AA44" s="5">
        <v>37.4</v>
      </c>
      <c r="AB44" s="5">
        <v>49.6</v>
      </c>
      <c r="AC44" s="5">
        <v>44.4</v>
      </c>
      <c r="AD44" s="5">
        <v>62.8</v>
      </c>
      <c r="AE44" s="5" t="s">
        <v>52</v>
      </c>
      <c r="AF44" s="5">
        <f t="shared" si="10"/>
        <v>0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25">
      <c r="A45" s="5" t="s">
        <v>92</v>
      </c>
      <c r="B45" s="5" t="s">
        <v>35</v>
      </c>
      <c r="C45" s="5">
        <v>44</v>
      </c>
      <c r="D45" s="5">
        <v>130</v>
      </c>
      <c r="E45" s="5">
        <v>109</v>
      </c>
      <c r="F45" s="5">
        <v>50</v>
      </c>
      <c r="G45" s="8">
        <v>0.1</v>
      </c>
      <c r="H45" s="5">
        <v>45</v>
      </c>
      <c r="I45" s="5" t="s">
        <v>36</v>
      </c>
      <c r="J45" s="5"/>
      <c r="K45" s="5">
        <v>186</v>
      </c>
      <c r="L45" s="5">
        <f t="shared" si="11"/>
        <v>-77</v>
      </c>
      <c r="M45" s="5"/>
      <c r="N45" s="5"/>
      <c r="O45" s="5">
        <v>108</v>
      </c>
      <c r="P45" s="5">
        <v>127</v>
      </c>
      <c r="Q45" s="5">
        <f t="shared" si="12"/>
        <v>21.8</v>
      </c>
      <c r="R45" s="4">
        <f t="shared" si="9"/>
        <v>63.800000000000011</v>
      </c>
      <c r="S45" s="4"/>
      <c r="T45" s="5"/>
      <c r="U45" s="5">
        <f t="shared" si="4"/>
        <v>16</v>
      </c>
      <c r="V45" s="5">
        <f t="shared" si="5"/>
        <v>13.073394495412844</v>
      </c>
      <c r="W45" s="5">
        <v>26.2</v>
      </c>
      <c r="X45" s="5">
        <v>17.399999999999999</v>
      </c>
      <c r="Y45" s="5">
        <v>16.2</v>
      </c>
      <c r="Z45" s="5">
        <v>14.6</v>
      </c>
      <c r="AA45" s="5">
        <v>13</v>
      </c>
      <c r="AB45" s="5">
        <v>12.6</v>
      </c>
      <c r="AC45" s="5">
        <v>5.2</v>
      </c>
      <c r="AD45" s="5">
        <v>16</v>
      </c>
      <c r="AE45" s="5"/>
      <c r="AF45" s="5">
        <f t="shared" si="10"/>
        <v>6.3800000000000017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25">
      <c r="A46" s="5" t="s">
        <v>93</v>
      </c>
      <c r="B46" s="5" t="s">
        <v>35</v>
      </c>
      <c r="C46" s="5">
        <v>89</v>
      </c>
      <c r="D46" s="5">
        <v>330</v>
      </c>
      <c r="E46" s="5">
        <v>128</v>
      </c>
      <c r="F46" s="5">
        <v>278</v>
      </c>
      <c r="G46" s="8">
        <v>0.4</v>
      </c>
      <c r="H46" s="5">
        <v>45</v>
      </c>
      <c r="I46" s="5" t="s">
        <v>36</v>
      </c>
      <c r="J46" s="5"/>
      <c r="K46" s="5">
        <v>137</v>
      </c>
      <c r="L46" s="5">
        <f t="shared" si="11"/>
        <v>-9</v>
      </c>
      <c r="M46" s="5"/>
      <c r="N46" s="5"/>
      <c r="O46" s="5">
        <v>0</v>
      </c>
      <c r="P46" s="5"/>
      <c r="Q46" s="5">
        <f t="shared" si="12"/>
        <v>25.6</v>
      </c>
      <c r="R46" s="4">
        <f t="shared" si="9"/>
        <v>131.60000000000002</v>
      </c>
      <c r="S46" s="4"/>
      <c r="T46" s="5"/>
      <c r="U46" s="5">
        <f t="shared" si="4"/>
        <v>16</v>
      </c>
      <c r="V46" s="5">
        <f t="shared" si="5"/>
        <v>10.859375</v>
      </c>
      <c r="W46" s="5">
        <v>28.2</v>
      </c>
      <c r="X46" s="5">
        <v>37.6</v>
      </c>
      <c r="Y46" s="5">
        <v>26.6</v>
      </c>
      <c r="Z46" s="5">
        <v>33.4</v>
      </c>
      <c r="AA46" s="5">
        <v>29.2</v>
      </c>
      <c r="AB46" s="5">
        <v>30.8</v>
      </c>
      <c r="AC46" s="5">
        <v>36.6</v>
      </c>
      <c r="AD46" s="5">
        <v>23.4</v>
      </c>
      <c r="AE46" s="5" t="s">
        <v>52</v>
      </c>
      <c r="AF46" s="5">
        <f t="shared" si="10"/>
        <v>52.640000000000015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25">
      <c r="A47" s="5" t="s">
        <v>94</v>
      </c>
      <c r="B47" s="5" t="s">
        <v>39</v>
      </c>
      <c r="C47" s="5">
        <v>118.675</v>
      </c>
      <c r="D47" s="5">
        <v>169.48699999999999</v>
      </c>
      <c r="E47" s="5">
        <v>128.697</v>
      </c>
      <c r="F47" s="5">
        <v>155.566</v>
      </c>
      <c r="G47" s="8">
        <v>1</v>
      </c>
      <c r="H47" s="5">
        <v>60</v>
      </c>
      <c r="I47" s="5" t="s">
        <v>36</v>
      </c>
      <c r="J47" s="5"/>
      <c r="K47" s="5">
        <v>128.9</v>
      </c>
      <c r="L47" s="5">
        <f t="shared" si="11"/>
        <v>-0.20300000000000296</v>
      </c>
      <c r="M47" s="5"/>
      <c r="N47" s="5"/>
      <c r="O47" s="5">
        <v>45</v>
      </c>
      <c r="P47" s="5">
        <v>52</v>
      </c>
      <c r="Q47" s="5">
        <f t="shared" si="12"/>
        <v>25.7394</v>
      </c>
      <c r="R47" s="4">
        <f t="shared" si="9"/>
        <v>159.26439999999999</v>
      </c>
      <c r="S47" s="4"/>
      <c r="T47" s="5"/>
      <c r="U47" s="5">
        <f t="shared" si="4"/>
        <v>16</v>
      </c>
      <c r="V47" s="5">
        <f t="shared" si="5"/>
        <v>9.8124276401159314</v>
      </c>
      <c r="W47" s="5">
        <v>26.0762</v>
      </c>
      <c r="X47" s="5">
        <v>28.807600000000001</v>
      </c>
      <c r="Y47" s="5">
        <v>22.558800000000002</v>
      </c>
      <c r="Z47" s="5">
        <v>35.664200000000001</v>
      </c>
      <c r="AA47" s="5">
        <v>36.482399999999998</v>
      </c>
      <c r="AB47" s="5">
        <v>40.063000000000002</v>
      </c>
      <c r="AC47" s="5">
        <v>33.830599999999997</v>
      </c>
      <c r="AD47" s="5">
        <v>27.791399999999999</v>
      </c>
      <c r="AE47" s="5"/>
      <c r="AF47" s="5">
        <f t="shared" si="10"/>
        <v>159.26439999999999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25">
      <c r="A48" s="5" t="s">
        <v>95</v>
      </c>
      <c r="B48" s="5" t="s">
        <v>39</v>
      </c>
      <c r="C48" s="5">
        <v>95.918000000000006</v>
      </c>
      <c r="D48" s="5">
        <v>80.587999999999994</v>
      </c>
      <c r="E48" s="5">
        <v>68.001000000000005</v>
      </c>
      <c r="F48" s="5">
        <v>63.892000000000003</v>
      </c>
      <c r="G48" s="8">
        <v>1</v>
      </c>
      <c r="H48" s="5">
        <v>45</v>
      </c>
      <c r="I48" s="5" t="s">
        <v>36</v>
      </c>
      <c r="J48" s="5"/>
      <c r="K48" s="5">
        <v>69.400000000000006</v>
      </c>
      <c r="L48" s="5">
        <f t="shared" si="11"/>
        <v>-1.3990000000000009</v>
      </c>
      <c r="M48" s="5"/>
      <c r="N48" s="5"/>
      <c r="O48" s="5">
        <v>30</v>
      </c>
      <c r="P48" s="5">
        <v>36</v>
      </c>
      <c r="Q48" s="5">
        <f t="shared" si="12"/>
        <v>13.600200000000001</v>
      </c>
      <c r="R48" s="4">
        <f t="shared" si="9"/>
        <v>87.711200000000019</v>
      </c>
      <c r="S48" s="4"/>
      <c r="T48" s="5"/>
      <c r="U48" s="5">
        <f t="shared" si="4"/>
        <v>16</v>
      </c>
      <c r="V48" s="5">
        <f t="shared" si="5"/>
        <v>9.5507419008543977</v>
      </c>
      <c r="W48" s="5">
        <v>13.547800000000001</v>
      </c>
      <c r="X48" s="5">
        <v>15.1912</v>
      </c>
      <c r="Y48" s="5">
        <v>15.074</v>
      </c>
      <c r="Z48" s="5">
        <v>10.4932</v>
      </c>
      <c r="AA48" s="5">
        <v>13.145799999999999</v>
      </c>
      <c r="AB48" s="5">
        <v>19.4406</v>
      </c>
      <c r="AC48" s="5">
        <v>18.122800000000002</v>
      </c>
      <c r="AD48" s="5">
        <v>16.919599999999999</v>
      </c>
      <c r="AE48" s="5"/>
      <c r="AF48" s="5">
        <f t="shared" si="10"/>
        <v>87.711200000000019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25">
      <c r="A49" s="5" t="s">
        <v>96</v>
      </c>
      <c r="B49" s="5" t="s">
        <v>39</v>
      </c>
      <c r="C49" s="5">
        <v>-41.841000000000001</v>
      </c>
      <c r="D49" s="5">
        <v>246.55699999999999</v>
      </c>
      <c r="E49" s="5">
        <v>54.981999999999999</v>
      </c>
      <c r="F49" s="5">
        <v>143.703</v>
      </c>
      <c r="G49" s="8">
        <v>1</v>
      </c>
      <c r="H49" s="5">
        <v>45</v>
      </c>
      <c r="I49" s="5" t="s">
        <v>36</v>
      </c>
      <c r="J49" s="5"/>
      <c r="K49" s="5">
        <v>56.1</v>
      </c>
      <c r="L49" s="5">
        <f t="shared" si="11"/>
        <v>-1.1180000000000021</v>
      </c>
      <c r="M49" s="5"/>
      <c r="N49" s="5"/>
      <c r="O49" s="5">
        <v>23</v>
      </c>
      <c r="P49" s="5">
        <v>27</v>
      </c>
      <c r="Q49" s="5">
        <f t="shared" si="12"/>
        <v>10.9964</v>
      </c>
      <c r="R49" s="4"/>
      <c r="S49" s="4"/>
      <c r="T49" s="5"/>
      <c r="U49" s="5">
        <f t="shared" si="4"/>
        <v>17.61512858753774</v>
      </c>
      <c r="V49" s="5">
        <f t="shared" si="5"/>
        <v>17.61512858753774</v>
      </c>
      <c r="W49" s="5">
        <v>10.7776</v>
      </c>
      <c r="X49" s="5">
        <v>15.9596</v>
      </c>
      <c r="Y49" s="5">
        <v>14.294600000000001</v>
      </c>
      <c r="Z49" s="5">
        <v>18.706199999999999</v>
      </c>
      <c r="AA49" s="5">
        <v>14.135199999999999</v>
      </c>
      <c r="AB49" s="5">
        <v>20.660599999999999</v>
      </c>
      <c r="AC49" s="5">
        <v>14.7712</v>
      </c>
      <c r="AD49" s="5">
        <v>20.195599999999999</v>
      </c>
      <c r="AE49" s="5"/>
      <c r="AF49" s="5">
        <f t="shared" si="10"/>
        <v>0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25">
      <c r="A50" s="5" t="s">
        <v>97</v>
      </c>
      <c r="B50" s="5" t="s">
        <v>35</v>
      </c>
      <c r="C50" s="5">
        <v>57</v>
      </c>
      <c r="D50" s="5">
        <v>59</v>
      </c>
      <c r="E50" s="5">
        <v>45</v>
      </c>
      <c r="F50" s="5">
        <v>66</v>
      </c>
      <c r="G50" s="8">
        <v>0.35</v>
      </c>
      <c r="H50" s="5">
        <v>45</v>
      </c>
      <c r="I50" s="5" t="s">
        <v>36</v>
      </c>
      <c r="J50" s="5"/>
      <c r="K50" s="5">
        <v>45</v>
      </c>
      <c r="L50" s="5">
        <f t="shared" si="11"/>
        <v>0</v>
      </c>
      <c r="M50" s="5"/>
      <c r="N50" s="5"/>
      <c r="O50" s="5">
        <v>20</v>
      </c>
      <c r="P50" s="5"/>
      <c r="Q50" s="5">
        <f t="shared" si="12"/>
        <v>9</v>
      </c>
      <c r="R50" s="4">
        <f t="shared" si="9"/>
        <v>58</v>
      </c>
      <c r="S50" s="4"/>
      <c r="T50" s="5"/>
      <c r="U50" s="5">
        <f t="shared" si="4"/>
        <v>16</v>
      </c>
      <c r="V50" s="5">
        <f t="shared" si="5"/>
        <v>9.5555555555555554</v>
      </c>
      <c r="W50" s="5">
        <v>9.1999999999999993</v>
      </c>
      <c r="X50" s="5">
        <v>12.2</v>
      </c>
      <c r="Y50" s="5">
        <v>12.6</v>
      </c>
      <c r="Z50" s="5">
        <v>7.8</v>
      </c>
      <c r="AA50" s="5">
        <v>6.2</v>
      </c>
      <c r="AB50" s="5">
        <v>5.6</v>
      </c>
      <c r="AC50" s="5">
        <v>21.4</v>
      </c>
      <c r="AD50" s="5">
        <v>9.6</v>
      </c>
      <c r="AE50" s="5" t="s">
        <v>52</v>
      </c>
      <c r="AF50" s="5">
        <f t="shared" si="10"/>
        <v>20.299999999999997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25">
      <c r="A51" s="5" t="s">
        <v>98</v>
      </c>
      <c r="B51" s="5" t="s">
        <v>39</v>
      </c>
      <c r="C51" s="5">
        <v>267.85899999999998</v>
      </c>
      <c r="D51" s="5">
        <v>14.679</v>
      </c>
      <c r="E51" s="5">
        <v>189.95</v>
      </c>
      <c r="F51" s="5">
        <v>6.4770000000000003</v>
      </c>
      <c r="G51" s="8">
        <v>1</v>
      </c>
      <c r="H51" s="5">
        <v>45</v>
      </c>
      <c r="I51" s="5" t="s">
        <v>36</v>
      </c>
      <c r="J51" s="5"/>
      <c r="K51" s="5">
        <v>181.7</v>
      </c>
      <c r="L51" s="5">
        <f t="shared" si="11"/>
        <v>8.25</v>
      </c>
      <c r="M51" s="5"/>
      <c r="N51" s="5"/>
      <c r="O51" s="5">
        <v>169</v>
      </c>
      <c r="P51" s="5">
        <v>197</v>
      </c>
      <c r="Q51" s="5">
        <f t="shared" si="12"/>
        <v>37.989999999999995</v>
      </c>
      <c r="R51" s="4">
        <f t="shared" si="9"/>
        <v>235.36299999999991</v>
      </c>
      <c r="S51" s="4"/>
      <c r="T51" s="5"/>
      <c r="U51" s="5">
        <f t="shared" si="4"/>
        <v>16</v>
      </c>
      <c r="V51" s="5">
        <f t="shared" si="5"/>
        <v>9.80460647538826</v>
      </c>
      <c r="W51" s="5">
        <v>39.400399999999998</v>
      </c>
      <c r="X51" s="5">
        <v>27.084399999999999</v>
      </c>
      <c r="Y51" s="5">
        <v>22.139800000000001</v>
      </c>
      <c r="Z51" s="5">
        <v>41.870800000000003</v>
      </c>
      <c r="AA51" s="5">
        <v>26.984400000000001</v>
      </c>
      <c r="AB51" s="5">
        <v>35.395200000000003</v>
      </c>
      <c r="AC51" s="5">
        <v>39.139400000000002</v>
      </c>
      <c r="AD51" s="5">
        <v>34.659399999999998</v>
      </c>
      <c r="AE51" s="5"/>
      <c r="AF51" s="5">
        <f t="shared" si="10"/>
        <v>235.36299999999991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25">
      <c r="A52" s="5" t="s">
        <v>99</v>
      </c>
      <c r="B52" s="5" t="s">
        <v>35</v>
      </c>
      <c r="C52" s="5">
        <v>341</v>
      </c>
      <c r="D52" s="5">
        <v>232</v>
      </c>
      <c r="E52" s="5">
        <v>397</v>
      </c>
      <c r="F52" s="5">
        <v>159</v>
      </c>
      <c r="G52" s="8">
        <v>0.3</v>
      </c>
      <c r="H52" s="5">
        <v>45</v>
      </c>
      <c r="I52" s="5" t="s">
        <v>36</v>
      </c>
      <c r="J52" s="5"/>
      <c r="K52" s="5">
        <v>399</v>
      </c>
      <c r="L52" s="5">
        <f t="shared" si="11"/>
        <v>-2</v>
      </c>
      <c r="M52" s="5"/>
      <c r="N52" s="5"/>
      <c r="O52" s="5">
        <v>231</v>
      </c>
      <c r="P52" s="5">
        <v>269</v>
      </c>
      <c r="Q52" s="5">
        <f t="shared" si="12"/>
        <v>79.400000000000006</v>
      </c>
      <c r="R52" s="4">
        <f t="shared" si="9"/>
        <v>611.40000000000009</v>
      </c>
      <c r="S52" s="4"/>
      <c r="T52" s="5"/>
      <c r="U52" s="5">
        <f t="shared" si="4"/>
        <v>16</v>
      </c>
      <c r="V52" s="5">
        <f t="shared" si="5"/>
        <v>8.2997481108312332</v>
      </c>
      <c r="W52" s="5">
        <v>70.8</v>
      </c>
      <c r="X52" s="5">
        <v>61.4</v>
      </c>
      <c r="Y52" s="5">
        <v>66.599999999999994</v>
      </c>
      <c r="Z52" s="5">
        <v>65.599999999999994</v>
      </c>
      <c r="AA52" s="5">
        <v>89</v>
      </c>
      <c r="AB52" s="5">
        <v>64.400000000000006</v>
      </c>
      <c r="AC52" s="5">
        <v>78.8</v>
      </c>
      <c r="AD52" s="5">
        <v>70</v>
      </c>
      <c r="AE52" s="5"/>
      <c r="AF52" s="5">
        <f t="shared" si="10"/>
        <v>183.42000000000002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25">
      <c r="A53" s="5" t="s">
        <v>100</v>
      </c>
      <c r="B53" s="5" t="s">
        <v>39</v>
      </c>
      <c r="C53" s="5">
        <v>1.534</v>
      </c>
      <c r="D53" s="5">
        <v>18.821000000000002</v>
      </c>
      <c r="E53" s="5">
        <v>12.525</v>
      </c>
      <c r="F53" s="5">
        <v>6.2549999999999999</v>
      </c>
      <c r="G53" s="8">
        <v>1</v>
      </c>
      <c r="H53" s="5">
        <v>45</v>
      </c>
      <c r="I53" s="5" t="s">
        <v>36</v>
      </c>
      <c r="J53" s="5"/>
      <c r="K53" s="5">
        <v>12</v>
      </c>
      <c r="L53" s="5">
        <f t="shared" si="11"/>
        <v>0.52500000000000036</v>
      </c>
      <c r="M53" s="5"/>
      <c r="N53" s="5"/>
      <c r="O53" s="5">
        <v>6</v>
      </c>
      <c r="P53" s="5"/>
      <c r="Q53" s="5">
        <f t="shared" si="12"/>
        <v>2.5049999999999999</v>
      </c>
      <c r="R53" s="4">
        <f t="shared" si="9"/>
        <v>27.824999999999999</v>
      </c>
      <c r="S53" s="4"/>
      <c r="T53" s="5"/>
      <c r="U53" s="5">
        <f t="shared" si="4"/>
        <v>16</v>
      </c>
      <c r="V53" s="5">
        <f t="shared" si="5"/>
        <v>4.8922155688622748</v>
      </c>
      <c r="W53" s="5">
        <v>1.8540000000000001</v>
      </c>
      <c r="X53" s="5">
        <v>3.1057999999999999</v>
      </c>
      <c r="Y53" s="5">
        <v>1.5598000000000001</v>
      </c>
      <c r="Z53" s="5">
        <v>2.7850000000000001</v>
      </c>
      <c r="AA53" s="5">
        <v>2.1678000000000002</v>
      </c>
      <c r="AB53" s="5">
        <v>2.4847999999999999</v>
      </c>
      <c r="AC53" s="5">
        <v>2.4853999999999998</v>
      </c>
      <c r="AD53" s="5">
        <v>1.2472000000000001</v>
      </c>
      <c r="AE53" s="5" t="s">
        <v>101</v>
      </c>
      <c r="AF53" s="5">
        <f t="shared" si="10"/>
        <v>27.824999999999999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25">
      <c r="A54" s="11" t="s">
        <v>102</v>
      </c>
      <c r="B54" s="11" t="s">
        <v>35</v>
      </c>
      <c r="C54" s="11"/>
      <c r="D54" s="11">
        <v>2</v>
      </c>
      <c r="E54" s="18">
        <v>2</v>
      </c>
      <c r="F54" s="11"/>
      <c r="G54" s="12">
        <v>0</v>
      </c>
      <c r="H54" s="11" t="e">
        <v>#N/A</v>
      </c>
      <c r="I54" s="11" t="s">
        <v>41</v>
      </c>
      <c r="J54" s="11" t="s">
        <v>103</v>
      </c>
      <c r="K54" s="11">
        <v>2</v>
      </c>
      <c r="L54" s="11">
        <f t="shared" si="11"/>
        <v>0</v>
      </c>
      <c r="M54" s="11"/>
      <c r="N54" s="11"/>
      <c r="O54" s="11"/>
      <c r="P54" s="11"/>
      <c r="Q54" s="11">
        <f t="shared" si="12"/>
        <v>0.4</v>
      </c>
      <c r="R54" s="13"/>
      <c r="S54" s="13"/>
      <c r="T54" s="11"/>
      <c r="U54" s="11">
        <f t="shared" si="4"/>
        <v>0</v>
      </c>
      <c r="V54" s="11">
        <f t="shared" si="5"/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/>
      <c r="AF54" s="11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25">
      <c r="A55" s="5" t="s">
        <v>76</v>
      </c>
      <c r="B55" s="5" t="s">
        <v>35</v>
      </c>
      <c r="C55" s="5">
        <v>931</v>
      </c>
      <c r="D55" s="5">
        <v>623</v>
      </c>
      <c r="E55" s="18">
        <f>1072+E30</f>
        <v>1073</v>
      </c>
      <c r="F55" s="5">
        <v>430</v>
      </c>
      <c r="G55" s="8">
        <v>0.35</v>
      </c>
      <c r="H55" s="5">
        <v>45</v>
      </c>
      <c r="I55" s="10" t="s">
        <v>44</v>
      </c>
      <c r="J55" s="5"/>
      <c r="K55" s="5">
        <v>1083</v>
      </c>
      <c r="L55" s="5">
        <f t="shared" si="11"/>
        <v>-10</v>
      </c>
      <c r="M55" s="5"/>
      <c r="N55" s="5"/>
      <c r="O55" s="5">
        <v>250</v>
      </c>
      <c r="P55" s="5">
        <v>292</v>
      </c>
      <c r="Q55" s="5">
        <f t="shared" si="12"/>
        <v>214.6</v>
      </c>
      <c r="R55" s="4">
        <f>15*Q55-P55-O55-F55</f>
        <v>2247</v>
      </c>
      <c r="S55" s="4"/>
      <c r="T55" s="5"/>
      <c r="U55" s="5">
        <f t="shared" si="4"/>
        <v>15</v>
      </c>
      <c r="V55" s="5">
        <f t="shared" si="5"/>
        <v>4.5293569431500469</v>
      </c>
      <c r="W55" s="5">
        <v>135</v>
      </c>
      <c r="X55" s="5">
        <v>124.2</v>
      </c>
      <c r="Y55" s="5">
        <v>149</v>
      </c>
      <c r="Z55" s="5">
        <v>205.8</v>
      </c>
      <c r="AA55" s="5">
        <v>227</v>
      </c>
      <c r="AB55" s="5">
        <v>214.6</v>
      </c>
      <c r="AC55" s="5">
        <v>154.19999999999999</v>
      </c>
      <c r="AD55" s="5">
        <v>122</v>
      </c>
      <c r="AE55" s="5" t="s">
        <v>37</v>
      </c>
      <c r="AF55" s="5">
        <f t="shared" ref="AF55:AF73" si="13">G55*R55</f>
        <v>786.44999999999993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25">
      <c r="A56" s="5" t="s">
        <v>104</v>
      </c>
      <c r="B56" s="5" t="s">
        <v>35</v>
      </c>
      <c r="C56" s="5">
        <v>207</v>
      </c>
      <c r="D56" s="5">
        <v>286</v>
      </c>
      <c r="E56" s="5">
        <v>233</v>
      </c>
      <c r="F56" s="5">
        <v>109</v>
      </c>
      <c r="G56" s="8">
        <v>0.41</v>
      </c>
      <c r="H56" s="5">
        <v>45</v>
      </c>
      <c r="I56" s="5" t="s">
        <v>36</v>
      </c>
      <c r="J56" s="5"/>
      <c r="K56" s="5">
        <v>254</v>
      </c>
      <c r="L56" s="5">
        <f t="shared" si="11"/>
        <v>-21</v>
      </c>
      <c r="M56" s="5"/>
      <c r="N56" s="5"/>
      <c r="O56" s="5">
        <v>263</v>
      </c>
      <c r="P56" s="5">
        <v>306</v>
      </c>
      <c r="Q56" s="5">
        <f t="shared" si="12"/>
        <v>46.6</v>
      </c>
      <c r="R56" s="4">
        <f t="shared" ref="R56:R71" si="14">16*Q56-P56-O56-F56</f>
        <v>67.600000000000023</v>
      </c>
      <c r="S56" s="4"/>
      <c r="T56" s="5"/>
      <c r="U56" s="5">
        <f t="shared" si="4"/>
        <v>16</v>
      </c>
      <c r="V56" s="5">
        <f t="shared" si="5"/>
        <v>14.549356223175966</v>
      </c>
      <c r="W56" s="5">
        <v>60.6</v>
      </c>
      <c r="X56" s="5">
        <v>46.6</v>
      </c>
      <c r="Y56" s="5">
        <v>50.8</v>
      </c>
      <c r="Z56" s="5">
        <v>54.6</v>
      </c>
      <c r="AA56" s="5">
        <v>58.4</v>
      </c>
      <c r="AB56" s="5">
        <v>57.2</v>
      </c>
      <c r="AC56" s="5">
        <v>92</v>
      </c>
      <c r="AD56" s="5">
        <v>72.2</v>
      </c>
      <c r="AE56" s="5" t="s">
        <v>52</v>
      </c>
      <c r="AF56" s="5">
        <f t="shared" si="13"/>
        <v>27.716000000000008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25">
      <c r="A57" s="5" t="s">
        <v>105</v>
      </c>
      <c r="B57" s="5" t="s">
        <v>35</v>
      </c>
      <c r="C57" s="5">
        <v>2</v>
      </c>
      <c r="D57" s="5">
        <v>108</v>
      </c>
      <c r="E57" s="5">
        <v>23</v>
      </c>
      <c r="F57" s="5">
        <v>67</v>
      </c>
      <c r="G57" s="8">
        <v>0.41</v>
      </c>
      <c r="H57" s="5">
        <v>45</v>
      </c>
      <c r="I57" s="5" t="s">
        <v>36</v>
      </c>
      <c r="J57" s="5"/>
      <c r="K57" s="5">
        <v>27</v>
      </c>
      <c r="L57" s="5">
        <f t="shared" si="11"/>
        <v>-4</v>
      </c>
      <c r="M57" s="5"/>
      <c r="N57" s="5"/>
      <c r="O57" s="5">
        <v>23</v>
      </c>
      <c r="P57" s="5"/>
      <c r="Q57" s="5">
        <f t="shared" si="12"/>
        <v>4.5999999999999996</v>
      </c>
      <c r="R57" s="4"/>
      <c r="S57" s="4"/>
      <c r="T57" s="5"/>
      <c r="U57" s="5">
        <f t="shared" si="4"/>
        <v>19.565217391304348</v>
      </c>
      <c r="V57" s="5">
        <f t="shared" si="5"/>
        <v>19.565217391304348</v>
      </c>
      <c r="W57" s="5">
        <v>8.6</v>
      </c>
      <c r="X57" s="5">
        <v>11.2</v>
      </c>
      <c r="Y57" s="5">
        <v>4.4000000000000004</v>
      </c>
      <c r="Z57" s="5">
        <v>8.4</v>
      </c>
      <c r="AA57" s="5">
        <v>7.6</v>
      </c>
      <c r="AB57" s="5">
        <v>5.4</v>
      </c>
      <c r="AC57" s="5">
        <v>5.2</v>
      </c>
      <c r="AD57" s="5">
        <v>0.4</v>
      </c>
      <c r="AE57" s="5"/>
      <c r="AF57" s="5">
        <f t="shared" si="13"/>
        <v>0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25">
      <c r="A58" s="5" t="s">
        <v>106</v>
      </c>
      <c r="B58" s="5" t="s">
        <v>35</v>
      </c>
      <c r="C58" s="5">
        <v>464</v>
      </c>
      <c r="D58" s="5">
        <v>251</v>
      </c>
      <c r="E58" s="5">
        <v>252</v>
      </c>
      <c r="F58" s="5">
        <v>214</v>
      </c>
      <c r="G58" s="8">
        <v>0.36</v>
      </c>
      <c r="H58" s="5">
        <v>45</v>
      </c>
      <c r="I58" s="5" t="s">
        <v>36</v>
      </c>
      <c r="J58" s="5"/>
      <c r="K58" s="5">
        <v>257</v>
      </c>
      <c r="L58" s="5">
        <f t="shared" si="11"/>
        <v>-5</v>
      </c>
      <c r="M58" s="5"/>
      <c r="N58" s="5"/>
      <c r="O58" s="5">
        <v>129</v>
      </c>
      <c r="P58" s="5">
        <v>150</v>
      </c>
      <c r="Q58" s="5">
        <f t="shared" si="12"/>
        <v>50.4</v>
      </c>
      <c r="R58" s="4">
        <f t="shared" si="14"/>
        <v>313.39999999999998</v>
      </c>
      <c r="S58" s="4"/>
      <c r="T58" s="5"/>
      <c r="U58" s="5">
        <f t="shared" si="4"/>
        <v>16</v>
      </c>
      <c r="V58" s="5">
        <f t="shared" si="5"/>
        <v>9.7817460317460316</v>
      </c>
      <c r="W58" s="5">
        <v>51</v>
      </c>
      <c r="X58" s="5">
        <v>47.2</v>
      </c>
      <c r="Y58" s="5">
        <v>65.400000000000006</v>
      </c>
      <c r="Z58" s="5">
        <v>55.2</v>
      </c>
      <c r="AA58" s="5">
        <v>57.2</v>
      </c>
      <c r="AB58" s="5">
        <v>51.8</v>
      </c>
      <c r="AC58" s="5">
        <v>43</v>
      </c>
      <c r="AD58" s="5">
        <v>60</v>
      </c>
      <c r="AE58" s="5" t="s">
        <v>52</v>
      </c>
      <c r="AF58" s="5">
        <f t="shared" si="13"/>
        <v>112.82399999999998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25">
      <c r="A59" s="19" t="s">
        <v>107</v>
      </c>
      <c r="B59" s="5" t="s">
        <v>35</v>
      </c>
      <c r="C59" s="5"/>
      <c r="D59" s="5"/>
      <c r="E59" s="5">
        <v>-4</v>
      </c>
      <c r="F59" s="5"/>
      <c r="G59" s="8">
        <v>0.33</v>
      </c>
      <c r="H59" s="5">
        <v>45</v>
      </c>
      <c r="I59" s="5" t="s">
        <v>36</v>
      </c>
      <c r="J59" s="5"/>
      <c r="K59" s="5">
        <v>35</v>
      </c>
      <c r="L59" s="5">
        <f t="shared" si="11"/>
        <v>-39</v>
      </c>
      <c r="M59" s="5"/>
      <c r="N59" s="5"/>
      <c r="O59" s="5">
        <v>81</v>
      </c>
      <c r="P59" s="5">
        <v>95</v>
      </c>
      <c r="Q59" s="5">
        <f t="shared" si="12"/>
        <v>-0.8</v>
      </c>
      <c r="R59" s="4"/>
      <c r="S59" s="4"/>
      <c r="T59" s="5"/>
      <c r="U59" s="5">
        <f t="shared" si="4"/>
        <v>-220</v>
      </c>
      <c r="V59" s="5">
        <f t="shared" si="5"/>
        <v>-220</v>
      </c>
      <c r="W59" s="5">
        <v>19.600000000000001</v>
      </c>
      <c r="X59" s="5">
        <v>3.4</v>
      </c>
      <c r="Y59" s="5">
        <v>8.8000000000000007</v>
      </c>
      <c r="Z59" s="5">
        <v>7</v>
      </c>
      <c r="AA59" s="5">
        <v>5.6</v>
      </c>
      <c r="AB59" s="5">
        <v>8.6</v>
      </c>
      <c r="AC59" s="5">
        <v>6.6</v>
      </c>
      <c r="AD59" s="5">
        <v>9.4</v>
      </c>
      <c r="AE59" s="5" t="s">
        <v>52</v>
      </c>
      <c r="AF59" s="5">
        <f t="shared" si="13"/>
        <v>0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25">
      <c r="A60" s="5" t="s">
        <v>108</v>
      </c>
      <c r="B60" s="5" t="s">
        <v>35</v>
      </c>
      <c r="C60" s="5">
        <v>1</v>
      </c>
      <c r="D60" s="5">
        <v>1</v>
      </c>
      <c r="E60" s="5">
        <v>1</v>
      </c>
      <c r="F60" s="5"/>
      <c r="G60" s="8">
        <v>0.33</v>
      </c>
      <c r="H60" s="5">
        <v>45</v>
      </c>
      <c r="I60" s="5" t="s">
        <v>36</v>
      </c>
      <c r="J60" s="5"/>
      <c r="K60" s="5">
        <v>19</v>
      </c>
      <c r="L60" s="5">
        <f t="shared" si="11"/>
        <v>-18</v>
      </c>
      <c r="M60" s="5"/>
      <c r="N60" s="5"/>
      <c r="O60" s="5">
        <v>24</v>
      </c>
      <c r="P60" s="5"/>
      <c r="Q60" s="5">
        <f t="shared" si="12"/>
        <v>0.2</v>
      </c>
      <c r="R60" s="4">
        <v>16</v>
      </c>
      <c r="S60" s="4"/>
      <c r="T60" s="5"/>
      <c r="U60" s="5">
        <f t="shared" si="4"/>
        <v>200</v>
      </c>
      <c r="V60" s="5">
        <f t="shared" si="5"/>
        <v>120</v>
      </c>
      <c r="W60" s="5">
        <v>3.4</v>
      </c>
      <c r="X60" s="5">
        <v>3</v>
      </c>
      <c r="Y60" s="5">
        <v>2</v>
      </c>
      <c r="Z60" s="5">
        <v>4.4000000000000004</v>
      </c>
      <c r="AA60" s="5">
        <v>2.8</v>
      </c>
      <c r="AB60" s="5">
        <v>0</v>
      </c>
      <c r="AC60" s="5">
        <v>3.4</v>
      </c>
      <c r="AD60" s="5">
        <v>0.2</v>
      </c>
      <c r="AE60" s="5" t="s">
        <v>52</v>
      </c>
      <c r="AF60" s="5">
        <f t="shared" si="13"/>
        <v>5.28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25">
      <c r="A61" s="5" t="s">
        <v>109</v>
      </c>
      <c r="B61" s="5" t="s">
        <v>35</v>
      </c>
      <c r="C61" s="5">
        <v>35</v>
      </c>
      <c r="D61" s="5">
        <v>165</v>
      </c>
      <c r="E61" s="5">
        <v>81</v>
      </c>
      <c r="F61" s="5">
        <v>56</v>
      </c>
      <c r="G61" s="8">
        <v>0.33</v>
      </c>
      <c r="H61" s="5">
        <v>45</v>
      </c>
      <c r="I61" s="5" t="s">
        <v>36</v>
      </c>
      <c r="J61" s="5"/>
      <c r="K61" s="5">
        <v>126</v>
      </c>
      <c r="L61" s="5">
        <f t="shared" si="11"/>
        <v>-45</v>
      </c>
      <c r="M61" s="5"/>
      <c r="N61" s="5"/>
      <c r="O61" s="5">
        <v>229</v>
      </c>
      <c r="P61" s="5">
        <v>267</v>
      </c>
      <c r="Q61" s="5">
        <f t="shared" si="12"/>
        <v>16.2</v>
      </c>
      <c r="R61" s="4"/>
      <c r="S61" s="4"/>
      <c r="T61" s="5"/>
      <c r="U61" s="5">
        <f t="shared" si="4"/>
        <v>34.074074074074076</v>
      </c>
      <c r="V61" s="5">
        <f t="shared" si="5"/>
        <v>34.074074074074076</v>
      </c>
      <c r="W61" s="5">
        <v>55</v>
      </c>
      <c r="X61" s="5">
        <v>27</v>
      </c>
      <c r="Y61" s="5">
        <v>31</v>
      </c>
      <c r="Z61" s="5">
        <v>28.2</v>
      </c>
      <c r="AA61" s="5">
        <v>25.8</v>
      </c>
      <c r="AB61" s="5">
        <v>41.2</v>
      </c>
      <c r="AC61" s="5">
        <v>36</v>
      </c>
      <c r="AD61" s="5">
        <v>28</v>
      </c>
      <c r="AE61" s="5" t="s">
        <v>37</v>
      </c>
      <c r="AF61" s="5">
        <f t="shared" si="13"/>
        <v>0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25">
      <c r="A62" s="5" t="s">
        <v>110</v>
      </c>
      <c r="B62" s="5" t="s">
        <v>35</v>
      </c>
      <c r="C62" s="5">
        <v>4</v>
      </c>
      <c r="D62" s="5"/>
      <c r="E62" s="5">
        <v>4</v>
      </c>
      <c r="F62" s="5"/>
      <c r="G62" s="8">
        <v>0.33</v>
      </c>
      <c r="H62" s="5">
        <v>45</v>
      </c>
      <c r="I62" s="5" t="s">
        <v>36</v>
      </c>
      <c r="J62" s="5"/>
      <c r="K62" s="5">
        <v>28</v>
      </c>
      <c r="L62" s="5">
        <f t="shared" si="11"/>
        <v>-24</v>
      </c>
      <c r="M62" s="5"/>
      <c r="N62" s="5"/>
      <c r="O62" s="5">
        <v>45</v>
      </c>
      <c r="P62" s="5">
        <v>52</v>
      </c>
      <c r="Q62" s="5">
        <f t="shared" si="12"/>
        <v>0.8</v>
      </c>
      <c r="R62" s="4">
        <v>16</v>
      </c>
      <c r="S62" s="4"/>
      <c r="T62" s="5"/>
      <c r="U62" s="5">
        <f t="shared" si="4"/>
        <v>141.25</v>
      </c>
      <c r="V62" s="5">
        <f t="shared" si="5"/>
        <v>121.25</v>
      </c>
      <c r="W62" s="5">
        <v>10.8</v>
      </c>
      <c r="X62" s="5">
        <v>4</v>
      </c>
      <c r="Y62" s="5">
        <v>6.2</v>
      </c>
      <c r="Z62" s="5">
        <v>3.8</v>
      </c>
      <c r="AA62" s="5">
        <v>5</v>
      </c>
      <c r="AB62" s="5">
        <v>5.8</v>
      </c>
      <c r="AC62" s="5">
        <v>8.4</v>
      </c>
      <c r="AD62" s="5">
        <v>4.5999999999999996</v>
      </c>
      <c r="AE62" s="5" t="s">
        <v>52</v>
      </c>
      <c r="AF62" s="5">
        <f t="shared" si="13"/>
        <v>5.28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25">
      <c r="A63" s="5" t="s">
        <v>111</v>
      </c>
      <c r="B63" s="5" t="s">
        <v>39</v>
      </c>
      <c r="C63" s="5">
        <v>651.87800000000004</v>
      </c>
      <c r="D63" s="5">
        <v>86.034999999999997</v>
      </c>
      <c r="E63" s="5">
        <v>529.43899999999996</v>
      </c>
      <c r="F63" s="5">
        <v>198.749</v>
      </c>
      <c r="G63" s="8">
        <v>1</v>
      </c>
      <c r="H63" s="5">
        <v>45</v>
      </c>
      <c r="I63" s="5" t="s">
        <v>36</v>
      </c>
      <c r="J63" s="5"/>
      <c r="K63" s="5">
        <v>517</v>
      </c>
      <c r="L63" s="5">
        <f t="shared" si="11"/>
        <v>12.438999999999965</v>
      </c>
      <c r="M63" s="5"/>
      <c r="N63" s="5"/>
      <c r="O63" s="5">
        <v>277</v>
      </c>
      <c r="P63" s="5">
        <v>323</v>
      </c>
      <c r="Q63" s="5">
        <f t="shared" si="12"/>
        <v>105.8878</v>
      </c>
      <c r="R63" s="4">
        <f t="shared" si="14"/>
        <v>895.45579999999995</v>
      </c>
      <c r="S63" s="4"/>
      <c r="T63" s="5"/>
      <c r="U63" s="5">
        <f t="shared" si="4"/>
        <v>16</v>
      </c>
      <c r="V63" s="5">
        <f t="shared" si="5"/>
        <v>7.5433524919773571</v>
      </c>
      <c r="W63" s="5">
        <v>102.283</v>
      </c>
      <c r="X63" s="5">
        <v>79.399199999999993</v>
      </c>
      <c r="Y63" s="5">
        <v>102.687</v>
      </c>
      <c r="Z63" s="5">
        <v>104.6752</v>
      </c>
      <c r="AA63" s="5">
        <v>99.838999999999999</v>
      </c>
      <c r="AB63" s="5">
        <v>101.7906</v>
      </c>
      <c r="AC63" s="5">
        <v>89.182400000000001</v>
      </c>
      <c r="AD63" s="5">
        <v>105.916</v>
      </c>
      <c r="AE63" s="5"/>
      <c r="AF63" s="5">
        <f t="shared" si="13"/>
        <v>895.45579999999995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25">
      <c r="A64" s="5" t="s">
        <v>112</v>
      </c>
      <c r="B64" s="5" t="s">
        <v>39</v>
      </c>
      <c r="C64" s="5">
        <v>18.722999999999999</v>
      </c>
      <c r="D64" s="5">
        <v>62.473999999999997</v>
      </c>
      <c r="E64" s="5">
        <v>38.783000000000001</v>
      </c>
      <c r="F64" s="5">
        <v>42.414000000000001</v>
      </c>
      <c r="G64" s="8">
        <v>1</v>
      </c>
      <c r="H64" s="5">
        <v>30</v>
      </c>
      <c r="I64" s="5" t="s">
        <v>36</v>
      </c>
      <c r="J64" s="5"/>
      <c r="K64" s="5">
        <v>36.6</v>
      </c>
      <c r="L64" s="5">
        <f t="shared" si="11"/>
        <v>2.1829999999999998</v>
      </c>
      <c r="M64" s="5"/>
      <c r="N64" s="5"/>
      <c r="O64" s="5">
        <v>20</v>
      </c>
      <c r="P64" s="5"/>
      <c r="Q64" s="5">
        <f t="shared" si="12"/>
        <v>7.7566000000000006</v>
      </c>
      <c r="R64" s="4">
        <f t="shared" si="14"/>
        <v>61.691600000000008</v>
      </c>
      <c r="S64" s="4"/>
      <c r="T64" s="5"/>
      <c r="U64" s="5">
        <f t="shared" si="4"/>
        <v>16</v>
      </c>
      <c r="V64" s="5">
        <f t="shared" si="5"/>
        <v>8.0465667947296495</v>
      </c>
      <c r="W64" s="5">
        <v>1.6404000000000001</v>
      </c>
      <c r="X64" s="5">
        <v>7.5049999999999999</v>
      </c>
      <c r="Y64" s="5">
        <v>4.556</v>
      </c>
      <c r="Z64" s="5">
        <v>3.9491999999999998</v>
      </c>
      <c r="AA64" s="5">
        <v>6.4672000000000001</v>
      </c>
      <c r="AB64" s="5">
        <v>0</v>
      </c>
      <c r="AC64" s="5">
        <v>0</v>
      </c>
      <c r="AD64" s="5">
        <v>0</v>
      </c>
      <c r="AE64" s="5" t="s">
        <v>78</v>
      </c>
      <c r="AF64" s="5">
        <f t="shared" si="13"/>
        <v>61.691600000000008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25">
      <c r="A65" s="5" t="s">
        <v>113</v>
      </c>
      <c r="B65" s="5" t="s">
        <v>35</v>
      </c>
      <c r="C65" s="5"/>
      <c r="D65" s="5">
        <v>30</v>
      </c>
      <c r="E65" s="5">
        <v>19</v>
      </c>
      <c r="F65" s="5">
        <v>5</v>
      </c>
      <c r="G65" s="8">
        <v>0.1</v>
      </c>
      <c r="H65" s="5">
        <v>60</v>
      </c>
      <c r="I65" s="5" t="s">
        <v>36</v>
      </c>
      <c r="J65" s="5"/>
      <c r="K65" s="5">
        <v>20</v>
      </c>
      <c r="L65" s="5">
        <f t="shared" si="11"/>
        <v>-1</v>
      </c>
      <c r="M65" s="5"/>
      <c r="N65" s="5"/>
      <c r="O65" s="5">
        <v>25</v>
      </c>
      <c r="P65" s="5">
        <v>30</v>
      </c>
      <c r="Q65" s="5">
        <f t="shared" si="12"/>
        <v>3.8</v>
      </c>
      <c r="R65" s="4">
        <v>10</v>
      </c>
      <c r="S65" s="4"/>
      <c r="T65" s="5"/>
      <c r="U65" s="5">
        <f t="shared" si="4"/>
        <v>18.421052631578949</v>
      </c>
      <c r="V65" s="5">
        <f t="shared" si="5"/>
        <v>15.789473684210527</v>
      </c>
      <c r="W65" s="5">
        <v>6.6</v>
      </c>
      <c r="X65" s="5">
        <v>4.8</v>
      </c>
      <c r="Y65" s="5">
        <v>2</v>
      </c>
      <c r="Z65" s="5">
        <v>3.2</v>
      </c>
      <c r="AA65" s="5">
        <v>5.4</v>
      </c>
      <c r="AB65" s="5">
        <v>8.8000000000000007</v>
      </c>
      <c r="AC65" s="5">
        <v>2.4</v>
      </c>
      <c r="AD65" s="5">
        <v>3.4</v>
      </c>
      <c r="AE65" s="5"/>
      <c r="AF65" s="5">
        <f t="shared" si="13"/>
        <v>1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25">
      <c r="A66" s="5" t="s">
        <v>114</v>
      </c>
      <c r="B66" s="5" t="s">
        <v>35</v>
      </c>
      <c r="C66" s="5">
        <v>63</v>
      </c>
      <c r="D66" s="5">
        <v>100</v>
      </c>
      <c r="E66" s="5">
        <v>51</v>
      </c>
      <c r="F66" s="5">
        <v>98</v>
      </c>
      <c r="G66" s="8">
        <v>0.4</v>
      </c>
      <c r="H66" s="5">
        <v>45</v>
      </c>
      <c r="I66" s="5" t="s">
        <v>36</v>
      </c>
      <c r="J66" s="5"/>
      <c r="K66" s="5">
        <v>60</v>
      </c>
      <c r="L66" s="5">
        <f t="shared" si="11"/>
        <v>-9</v>
      </c>
      <c r="M66" s="5"/>
      <c r="N66" s="5"/>
      <c r="O66" s="5">
        <v>0</v>
      </c>
      <c r="P66" s="5"/>
      <c r="Q66" s="5">
        <f t="shared" si="12"/>
        <v>10.199999999999999</v>
      </c>
      <c r="R66" s="4">
        <f t="shared" si="14"/>
        <v>65.199999999999989</v>
      </c>
      <c r="S66" s="4"/>
      <c r="T66" s="5"/>
      <c r="U66" s="5">
        <f t="shared" si="4"/>
        <v>16</v>
      </c>
      <c r="V66" s="5">
        <f t="shared" si="5"/>
        <v>9.6078431372549034</v>
      </c>
      <c r="W66" s="5">
        <v>5.2</v>
      </c>
      <c r="X66" s="5">
        <v>13</v>
      </c>
      <c r="Y66" s="5">
        <v>10.8</v>
      </c>
      <c r="Z66" s="5">
        <v>8.4</v>
      </c>
      <c r="AA66" s="5">
        <v>7.2</v>
      </c>
      <c r="AB66" s="5">
        <v>10</v>
      </c>
      <c r="AC66" s="5">
        <v>12.2</v>
      </c>
      <c r="AD66" s="5">
        <v>10</v>
      </c>
      <c r="AE66" s="5"/>
      <c r="AF66" s="5">
        <f t="shared" si="13"/>
        <v>26.08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25">
      <c r="A67" s="5" t="s">
        <v>115</v>
      </c>
      <c r="B67" s="5" t="s">
        <v>39</v>
      </c>
      <c r="C67" s="5">
        <v>39.649000000000001</v>
      </c>
      <c r="D67" s="5">
        <v>1.44</v>
      </c>
      <c r="E67" s="5">
        <v>21.945</v>
      </c>
      <c r="F67" s="5">
        <v>19.143999999999998</v>
      </c>
      <c r="G67" s="8">
        <v>1</v>
      </c>
      <c r="H67" s="5">
        <v>60</v>
      </c>
      <c r="I67" s="5" t="s">
        <v>36</v>
      </c>
      <c r="J67" s="5"/>
      <c r="K67" s="5">
        <v>22</v>
      </c>
      <c r="L67" s="5">
        <f t="shared" si="11"/>
        <v>-5.4999999999999716E-2</v>
      </c>
      <c r="M67" s="5"/>
      <c r="N67" s="5"/>
      <c r="O67" s="5">
        <v>39</v>
      </c>
      <c r="P67" s="5"/>
      <c r="Q67" s="5">
        <f t="shared" si="12"/>
        <v>4.3890000000000002</v>
      </c>
      <c r="R67" s="4">
        <f t="shared" si="14"/>
        <v>12.080000000000005</v>
      </c>
      <c r="S67" s="4"/>
      <c r="T67" s="5"/>
      <c r="U67" s="5">
        <f t="shared" si="4"/>
        <v>16</v>
      </c>
      <c r="V67" s="5">
        <f t="shared" si="5"/>
        <v>13.247664616085668</v>
      </c>
      <c r="W67" s="5">
        <v>5.3119999999999994</v>
      </c>
      <c r="X67" s="5">
        <v>3.625</v>
      </c>
      <c r="Y67" s="5">
        <v>6.9370000000000003</v>
      </c>
      <c r="Z67" s="5">
        <v>4.5209999999999999</v>
      </c>
      <c r="AA67" s="5">
        <v>3.3410000000000002</v>
      </c>
      <c r="AB67" s="5">
        <v>2.927</v>
      </c>
      <c r="AC67" s="5">
        <v>6.4276</v>
      </c>
      <c r="AD67" s="5">
        <v>2.36</v>
      </c>
      <c r="AE67" s="5"/>
      <c r="AF67" s="5">
        <f t="shared" si="13"/>
        <v>12.080000000000005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25">
      <c r="A68" s="5" t="s">
        <v>116</v>
      </c>
      <c r="B68" s="5" t="s">
        <v>35</v>
      </c>
      <c r="C68" s="5">
        <v>65</v>
      </c>
      <c r="D68" s="5">
        <v>24</v>
      </c>
      <c r="E68" s="5">
        <v>49</v>
      </c>
      <c r="F68" s="5">
        <v>40</v>
      </c>
      <c r="G68" s="8">
        <v>0.25</v>
      </c>
      <c r="H68" s="5">
        <v>120</v>
      </c>
      <c r="I68" s="5" t="s">
        <v>36</v>
      </c>
      <c r="J68" s="5"/>
      <c r="K68" s="5">
        <v>49</v>
      </c>
      <c r="L68" s="5">
        <f t="shared" si="11"/>
        <v>0</v>
      </c>
      <c r="M68" s="5"/>
      <c r="N68" s="5"/>
      <c r="O68" s="5">
        <v>22</v>
      </c>
      <c r="P68" s="5">
        <v>26</v>
      </c>
      <c r="Q68" s="5">
        <f t="shared" si="12"/>
        <v>9.8000000000000007</v>
      </c>
      <c r="R68" s="4">
        <f t="shared" si="14"/>
        <v>68.800000000000011</v>
      </c>
      <c r="S68" s="4"/>
      <c r="T68" s="5"/>
      <c r="U68" s="5">
        <f t="shared" si="4"/>
        <v>16</v>
      </c>
      <c r="V68" s="5">
        <f t="shared" si="5"/>
        <v>8.9795918367346932</v>
      </c>
      <c r="W68" s="5">
        <v>7</v>
      </c>
      <c r="X68" s="5">
        <v>8.1999999999999993</v>
      </c>
      <c r="Y68" s="5">
        <v>7.2</v>
      </c>
      <c r="Z68" s="5">
        <v>5.4</v>
      </c>
      <c r="AA68" s="5">
        <v>7.6</v>
      </c>
      <c r="AB68" s="5">
        <v>2</v>
      </c>
      <c r="AC68" s="5">
        <v>7.6</v>
      </c>
      <c r="AD68" s="5">
        <v>3.8</v>
      </c>
      <c r="AE68" s="5"/>
      <c r="AF68" s="5">
        <f t="shared" si="13"/>
        <v>17.200000000000003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25">
      <c r="A69" s="5" t="s">
        <v>117</v>
      </c>
      <c r="B69" s="5" t="s">
        <v>39</v>
      </c>
      <c r="C69" s="5">
        <v>11.413</v>
      </c>
      <c r="D69" s="5">
        <v>13.715999999999999</v>
      </c>
      <c r="E69" s="5">
        <v>9.2889999999999997</v>
      </c>
      <c r="F69" s="5">
        <v>1.054</v>
      </c>
      <c r="G69" s="8">
        <v>1</v>
      </c>
      <c r="H69" s="5">
        <v>45</v>
      </c>
      <c r="I69" s="5" t="s">
        <v>36</v>
      </c>
      <c r="J69" s="5"/>
      <c r="K69" s="5">
        <v>16.3</v>
      </c>
      <c r="L69" s="5">
        <f t="shared" si="11"/>
        <v>-7.011000000000001</v>
      </c>
      <c r="M69" s="5"/>
      <c r="N69" s="5"/>
      <c r="O69" s="5">
        <v>47</v>
      </c>
      <c r="P69" s="5">
        <v>54</v>
      </c>
      <c r="Q69" s="5">
        <f t="shared" si="12"/>
        <v>1.8577999999999999</v>
      </c>
      <c r="R69" s="4"/>
      <c r="S69" s="4"/>
      <c r="T69" s="5"/>
      <c r="U69" s="5">
        <f t="shared" si="4"/>
        <v>54.932716115835937</v>
      </c>
      <c r="V69" s="5">
        <f t="shared" si="5"/>
        <v>54.932716115835937</v>
      </c>
      <c r="W69" s="5">
        <v>11.2286</v>
      </c>
      <c r="X69" s="5">
        <v>3.6217999999999999</v>
      </c>
      <c r="Y69" s="5">
        <v>5.2949999999999999</v>
      </c>
      <c r="Z69" s="5">
        <v>3.6503999999999999</v>
      </c>
      <c r="AA69" s="5">
        <v>4.4521999999999986</v>
      </c>
      <c r="AB69" s="5">
        <v>5.0945999999999998</v>
      </c>
      <c r="AC69" s="5">
        <v>5.9866000000000001</v>
      </c>
      <c r="AD69" s="5">
        <v>6.0286</v>
      </c>
      <c r="AE69" s="5"/>
      <c r="AF69" s="5">
        <f t="shared" si="13"/>
        <v>0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25">
      <c r="A70" s="5" t="s">
        <v>118</v>
      </c>
      <c r="B70" s="5" t="s">
        <v>35</v>
      </c>
      <c r="C70" s="5">
        <v>1377</v>
      </c>
      <c r="D70" s="5">
        <v>893</v>
      </c>
      <c r="E70" s="18">
        <f>1277+E102</f>
        <v>1363</v>
      </c>
      <c r="F70" s="18">
        <f>444+F102</f>
        <v>724</v>
      </c>
      <c r="G70" s="8">
        <v>0.41</v>
      </c>
      <c r="H70" s="5">
        <v>50</v>
      </c>
      <c r="I70" s="10" t="s">
        <v>44</v>
      </c>
      <c r="J70" s="5"/>
      <c r="K70" s="5">
        <v>1301.5</v>
      </c>
      <c r="L70" s="5">
        <f t="shared" ref="L70:L101" si="15">E70-K70</f>
        <v>61.5</v>
      </c>
      <c r="M70" s="5"/>
      <c r="N70" s="5"/>
      <c r="O70" s="5">
        <v>114</v>
      </c>
      <c r="P70" s="5">
        <v>133</v>
      </c>
      <c r="Q70" s="5">
        <f t="shared" ref="Q70:Q103" si="16">E70/5</f>
        <v>272.60000000000002</v>
      </c>
      <c r="R70" s="4">
        <v>2000</v>
      </c>
      <c r="S70" s="4"/>
      <c r="T70" s="5"/>
      <c r="U70" s="5">
        <f t="shared" si="4"/>
        <v>10.898752751283931</v>
      </c>
      <c r="V70" s="5">
        <f t="shared" si="5"/>
        <v>3.5619955979457076</v>
      </c>
      <c r="W70" s="5">
        <v>151.6</v>
      </c>
      <c r="X70" s="5">
        <v>337.8</v>
      </c>
      <c r="Y70" s="5">
        <v>183.90880000000001</v>
      </c>
      <c r="Z70" s="5">
        <v>155.80000000000001</v>
      </c>
      <c r="AA70" s="5">
        <v>177.6</v>
      </c>
      <c r="AB70" s="5">
        <v>177.6</v>
      </c>
      <c r="AC70" s="5">
        <v>177.6</v>
      </c>
      <c r="AD70" s="5">
        <v>242.6</v>
      </c>
      <c r="AE70" s="5" t="s">
        <v>52</v>
      </c>
      <c r="AF70" s="5">
        <f t="shared" si="13"/>
        <v>820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25">
      <c r="A71" s="5" t="s">
        <v>42</v>
      </c>
      <c r="B71" s="5" t="s">
        <v>39</v>
      </c>
      <c r="C71" s="5">
        <v>625.72199999999998</v>
      </c>
      <c r="D71" s="5">
        <v>178.46299999999999</v>
      </c>
      <c r="E71" s="18">
        <f>239.684+E8+E103</f>
        <v>396.72699999999998</v>
      </c>
      <c r="F71" s="18">
        <f>187.042+F103</f>
        <v>208.584</v>
      </c>
      <c r="G71" s="8">
        <v>1</v>
      </c>
      <c r="H71" s="5">
        <v>50</v>
      </c>
      <c r="I71" s="5" t="s">
        <v>36</v>
      </c>
      <c r="J71" s="5"/>
      <c r="K71" s="5">
        <v>229.5</v>
      </c>
      <c r="L71" s="5">
        <f t="shared" si="15"/>
        <v>167.22699999999998</v>
      </c>
      <c r="M71" s="5"/>
      <c r="N71" s="5"/>
      <c r="O71" s="5">
        <v>312</v>
      </c>
      <c r="P71" s="5">
        <v>364</v>
      </c>
      <c r="Q71" s="5">
        <f t="shared" si="16"/>
        <v>79.345399999999998</v>
      </c>
      <c r="R71" s="4">
        <f t="shared" si="14"/>
        <v>384.94239999999996</v>
      </c>
      <c r="S71" s="4"/>
      <c r="T71" s="5"/>
      <c r="U71" s="5">
        <f t="shared" ref="U71:U103" si="17">(F71+O71+P71+R71)/Q71</f>
        <v>16</v>
      </c>
      <c r="V71" s="5">
        <f t="shared" ref="V71:V103" si="18">(F71+O71+P71)/Q71</f>
        <v>11.148522787710442</v>
      </c>
      <c r="W71" s="5">
        <v>80.272800000000004</v>
      </c>
      <c r="X71" s="5">
        <v>51.307200000000002</v>
      </c>
      <c r="Y71" s="5">
        <v>75.458600000000004</v>
      </c>
      <c r="Z71" s="5">
        <v>74.871600000000001</v>
      </c>
      <c r="AA71" s="5">
        <v>71.828199999999995</v>
      </c>
      <c r="AB71" s="5">
        <v>71.905000000000001</v>
      </c>
      <c r="AC71" s="5">
        <v>63.412599999999998</v>
      </c>
      <c r="AD71" s="5">
        <v>62.621800000000007</v>
      </c>
      <c r="AE71" s="5"/>
      <c r="AF71" s="5">
        <f t="shared" si="13"/>
        <v>384.94239999999996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25">
      <c r="A72" s="5" t="s">
        <v>119</v>
      </c>
      <c r="B72" s="5" t="s">
        <v>35</v>
      </c>
      <c r="C72" s="5">
        <v>211</v>
      </c>
      <c r="D72" s="5">
        <v>86</v>
      </c>
      <c r="E72" s="5">
        <v>102</v>
      </c>
      <c r="F72" s="5">
        <v>100</v>
      </c>
      <c r="G72" s="8">
        <v>0.35</v>
      </c>
      <c r="H72" s="5">
        <v>50</v>
      </c>
      <c r="I72" s="5" t="s">
        <v>36</v>
      </c>
      <c r="J72" s="5"/>
      <c r="K72" s="5">
        <v>103</v>
      </c>
      <c r="L72" s="5">
        <f t="shared" si="15"/>
        <v>-1</v>
      </c>
      <c r="M72" s="5"/>
      <c r="N72" s="5"/>
      <c r="O72" s="5">
        <v>115</v>
      </c>
      <c r="P72" s="5">
        <v>134</v>
      </c>
      <c r="Q72" s="5">
        <f t="shared" si="16"/>
        <v>20.399999999999999</v>
      </c>
      <c r="R72" s="4"/>
      <c r="S72" s="4"/>
      <c r="T72" s="5"/>
      <c r="U72" s="5">
        <f t="shared" si="17"/>
        <v>17.107843137254903</v>
      </c>
      <c r="V72" s="5">
        <f t="shared" si="18"/>
        <v>17.107843137254903</v>
      </c>
      <c r="W72" s="5">
        <v>31.2</v>
      </c>
      <c r="X72" s="5">
        <v>20.6</v>
      </c>
      <c r="Y72" s="5">
        <v>32.799999999999997</v>
      </c>
      <c r="Z72" s="5">
        <v>25</v>
      </c>
      <c r="AA72" s="5">
        <v>16.8</v>
      </c>
      <c r="AB72" s="5">
        <v>37.200000000000003</v>
      </c>
      <c r="AC72" s="5">
        <v>18.399999999999999</v>
      </c>
      <c r="AD72" s="5">
        <v>29.8</v>
      </c>
      <c r="AE72" s="5"/>
      <c r="AF72" s="5">
        <f t="shared" si="13"/>
        <v>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25">
      <c r="A73" s="5" t="s">
        <v>120</v>
      </c>
      <c r="B73" s="5" t="s">
        <v>39</v>
      </c>
      <c r="C73" s="5">
        <v>13.815</v>
      </c>
      <c r="D73" s="5"/>
      <c r="E73" s="5">
        <v>4.5890000000000004</v>
      </c>
      <c r="F73" s="5">
        <v>9.2260000000000009</v>
      </c>
      <c r="G73" s="8">
        <v>1</v>
      </c>
      <c r="H73" s="5">
        <v>50</v>
      </c>
      <c r="I73" s="5" t="s">
        <v>36</v>
      </c>
      <c r="J73" s="5"/>
      <c r="K73" s="5">
        <v>4.5</v>
      </c>
      <c r="L73" s="5">
        <f t="shared" si="15"/>
        <v>8.9000000000000412E-2</v>
      </c>
      <c r="M73" s="5"/>
      <c r="N73" s="5"/>
      <c r="O73" s="5">
        <v>0</v>
      </c>
      <c r="P73" s="5"/>
      <c r="Q73" s="5">
        <f t="shared" si="16"/>
        <v>0.91780000000000006</v>
      </c>
      <c r="R73" s="4">
        <v>6</v>
      </c>
      <c r="S73" s="4"/>
      <c r="T73" s="5"/>
      <c r="U73" s="5">
        <f t="shared" si="17"/>
        <v>16.589670952277185</v>
      </c>
      <c r="V73" s="5">
        <f t="shared" si="18"/>
        <v>10.052298975811723</v>
      </c>
      <c r="W73" s="5">
        <v>0.92479999999999996</v>
      </c>
      <c r="X73" s="5">
        <v>0.61780000000000002</v>
      </c>
      <c r="Y73" s="5">
        <v>1.4388000000000001</v>
      </c>
      <c r="Z73" s="5">
        <v>-3.3000000000000002E-2</v>
      </c>
      <c r="AA73" s="5">
        <v>1.8566</v>
      </c>
      <c r="AB73" s="5">
        <v>0</v>
      </c>
      <c r="AC73" s="5">
        <v>1.8584000000000001</v>
      </c>
      <c r="AD73" s="5">
        <v>0.31240000000000001</v>
      </c>
      <c r="AE73" s="5" t="s">
        <v>121</v>
      </c>
      <c r="AF73" s="5">
        <f t="shared" si="13"/>
        <v>6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25">
      <c r="A74" s="11" t="s">
        <v>122</v>
      </c>
      <c r="B74" s="11" t="s">
        <v>35</v>
      </c>
      <c r="C74" s="11">
        <v>-7</v>
      </c>
      <c r="D74" s="11">
        <v>8</v>
      </c>
      <c r="E74" s="11"/>
      <c r="F74" s="18">
        <v>-2</v>
      </c>
      <c r="G74" s="12">
        <v>0</v>
      </c>
      <c r="H74" s="11">
        <v>50</v>
      </c>
      <c r="I74" s="11" t="s">
        <v>41</v>
      </c>
      <c r="J74" s="11" t="s">
        <v>123</v>
      </c>
      <c r="K74" s="11">
        <v>8</v>
      </c>
      <c r="L74" s="11">
        <f t="shared" si="15"/>
        <v>-8</v>
      </c>
      <c r="M74" s="11"/>
      <c r="N74" s="11"/>
      <c r="O74" s="11">
        <v>0</v>
      </c>
      <c r="P74" s="11"/>
      <c r="Q74" s="11">
        <f t="shared" si="16"/>
        <v>0</v>
      </c>
      <c r="R74" s="13"/>
      <c r="S74" s="13"/>
      <c r="T74" s="11"/>
      <c r="U74" s="11" t="e">
        <f t="shared" si="17"/>
        <v>#DIV/0!</v>
      </c>
      <c r="V74" s="11" t="e">
        <f t="shared" si="18"/>
        <v>#DIV/0!</v>
      </c>
      <c r="W74" s="11">
        <v>0.6</v>
      </c>
      <c r="X74" s="11">
        <v>1</v>
      </c>
      <c r="Y74" s="11">
        <v>1.4</v>
      </c>
      <c r="Z74" s="11">
        <v>1.8</v>
      </c>
      <c r="AA74" s="11">
        <v>48.8</v>
      </c>
      <c r="AB74" s="11">
        <v>76.2</v>
      </c>
      <c r="AC74" s="11">
        <v>90.2</v>
      </c>
      <c r="AD74" s="11">
        <v>71.8</v>
      </c>
      <c r="AE74" s="14" t="s">
        <v>124</v>
      </c>
      <c r="AF74" s="11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25">
      <c r="A75" s="5" t="s">
        <v>125</v>
      </c>
      <c r="B75" s="5" t="s">
        <v>35</v>
      </c>
      <c r="C75" s="5">
        <v>677</v>
      </c>
      <c r="D75" s="5">
        <v>599</v>
      </c>
      <c r="E75" s="5">
        <v>573</v>
      </c>
      <c r="F75" s="5">
        <v>482</v>
      </c>
      <c r="G75" s="8">
        <v>0.41</v>
      </c>
      <c r="H75" s="5">
        <v>50</v>
      </c>
      <c r="I75" s="5" t="s">
        <v>36</v>
      </c>
      <c r="J75" s="5"/>
      <c r="K75" s="5">
        <v>575.5</v>
      </c>
      <c r="L75" s="5">
        <f t="shared" si="15"/>
        <v>-2.5</v>
      </c>
      <c r="M75" s="5"/>
      <c r="N75" s="5"/>
      <c r="O75" s="5">
        <v>336</v>
      </c>
      <c r="P75" s="5">
        <v>391</v>
      </c>
      <c r="Q75" s="5">
        <f t="shared" si="16"/>
        <v>114.6</v>
      </c>
      <c r="R75" s="4">
        <f t="shared" ref="R75:R79" si="19">16*Q75-P75-O75-F75</f>
        <v>624.59999999999991</v>
      </c>
      <c r="S75" s="4"/>
      <c r="T75" s="5"/>
      <c r="U75" s="5">
        <f t="shared" si="17"/>
        <v>16</v>
      </c>
      <c r="V75" s="5">
        <f t="shared" si="18"/>
        <v>10.549738219895289</v>
      </c>
      <c r="W75" s="5">
        <v>115</v>
      </c>
      <c r="X75" s="5">
        <v>107.6</v>
      </c>
      <c r="Y75" s="5">
        <v>118.2</v>
      </c>
      <c r="Z75" s="5">
        <v>109.4</v>
      </c>
      <c r="AA75" s="5">
        <v>116.8</v>
      </c>
      <c r="AB75" s="5">
        <v>138</v>
      </c>
      <c r="AC75" s="5">
        <v>138.80000000000001</v>
      </c>
      <c r="AD75" s="5">
        <v>103</v>
      </c>
      <c r="AE75" s="5" t="s">
        <v>52</v>
      </c>
      <c r="AF75" s="5">
        <f t="shared" ref="AF75:AF81" si="20">G75*R75</f>
        <v>256.08599999999996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25">
      <c r="A76" s="5" t="s">
        <v>69</v>
      </c>
      <c r="B76" s="5" t="s">
        <v>39</v>
      </c>
      <c r="C76" s="5">
        <v>298.77699999999999</v>
      </c>
      <c r="D76" s="5">
        <v>91.81</v>
      </c>
      <c r="E76" s="18">
        <f>220.284+E25</f>
        <v>223.351</v>
      </c>
      <c r="F76" s="5">
        <v>72.064999999999998</v>
      </c>
      <c r="G76" s="8">
        <v>1</v>
      </c>
      <c r="H76" s="5">
        <v>50</v>
      </c>
      <c r="I76" s="5" t="s">
        <v>36</v>
      </c>
      <c r="J76" s="5"/>
      <c r="K76" s="5">
        <v>215.5</v>
      </c>
      <c r="L76" s="5">
        <f t="shared" si="15"/>
        <v>7.8509999999999991</v>
      </c>
      <c r="M76" s="5"/>
      <c r="N76" s="5"/>
      <c r="O76" s="5">
        <v>164</v>
      </c>
      <c r="P76" s="5">
        <v>192</v>
      </c>
      <c r="Q76" s="5">
        <f t="shared" si="16"/>
        <v>44.670200000000001</v>
      </c>
      <c r="R76" s="4">
        <f t="shared" si="19"/>
        <v>286.65820000000002</v>
      </c>
      <c r="S76" s="4"/>
      <c r="T76" s="5"/>
      <c r="U76" s="5">
        <f t="shared" si="17"/>
        <v>16</v>
      </c>
      <c r="V76" s="5">
        <f t="shared" si="18"/>
        <v>9.5827867347806812</v>
      </c>
      <c r="W76" s="5">
        <v>41.270200000000003</v>
      </c>
      <c r="X76" s="5">
        <v>25.744800000000001</v>
      </c>
      <c r="Y76" s="5">
        <v>41.082799999999999</v>
      </c>
      <c r="Z76" s="5">
        <v>41.4758</v>
      </c>
      <c r="AA76" s="5">
        <v>34.020000000000003</v>
      </c>
      <c r="AB76" s="5">
        <v>40.653399999999998</v>
      </c>
      <c r="AC76" s="5">
        <v>36.0914</v>
      </c>
      <c r="AD76" s="5">
        <v>36.638599999999997</v>
      </c>
      <c r="AE76" s="5"/>
      <c r="AF76" s="5">
        <f t="shared" si="20"/>
        <v>286.65820000000002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25">
      <c r="A77" s="5" t="s">
        <v>73</v>
      </c>
      <c r="B77" s="5" t="s">
        <v>35</v>
      </c>
      <c r="C77" s="5">
        <v>202</v>
      </c>
      <c r="D77" s="5">
        <v>12</v>
      </c>
      <c r="E77" s="18">
        <f>144+E28</f>
        <v>146</v>
      </c>
      <c r="F77" s="5">
        <v>56</v>
      </c>
      <c r="G77" s="8">
        <v>0.3</v>
      </c>
      <c r="H77" s="5">
        <v>50</v>
      </c>
      <c r="I77" s="5" t="s">
        <v>36</v>
      </c>
      <c r="J77" s="5"/>
      <c r="K77" s="5">
        <v>145</v>
      </c>
      <c r="L77" s="5">
        <f t="shared" si="15"/>
        <v>1</v>
      </c>
      <c r="M77" s="5"/>
      <c r="N77" s="5"/>
      <c r="O77" s="5">
        <v>53</v>
      </c>
      <c r="P77" s="5">
        <v>61</v>
      </c>
      <c r="Q77" s="5">
        <f t="shared" si="16"/>
        <v>29.2</v>
      </c>
      <c r="R77" s="4">
        <f t="shared" si="19"/>
        <v>297.2</v>
      </c>
      <c r="S77" s="4"/>
      <c r="T77" s="5"/>
      <c r="U77" s="5">
        <f t="shared" si="17"/>
        <v>16</v>
      </c>
      <c r="V77" s="5">
        <f t="shared" si="18"/>
        <v>5.8219178082191778</v>
      </c>
      <c r="W77" s="5">
        <v>21</v>
      </c>
      <c r="X77" s="5">
        <v>14</v>
      </c>
      <c r="Y77" s="5">
        <v>31</v>
      </c>
      <c r="Z77" s="5">
        <v>14.6</v>
      </c>
      <c r="AA77" s="5">
        <v>15.6</v>
      </c>
      <c r="AB77" s="5">
        <v>27.8</v>
      </c>
      <c r="AC77" s="5">
        <v>37.4</v>
      </c>
      <c r="AD77" s="5">
        <v>24.6</v>
      </c>
      <c r="AE77" s="5"/>
      <c r="AF77" s="5">
        <f t="shared" si="20"/>
        <v>89.16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25">
      <c r="A78" s="5" t="s">
        <v>126</v>
      </c>
      <c r="B78" s="5" t="s">
        <v>35</v>
      </c>
      <c r="C78" s="5">
        <v>26</v>
      </c>
      <c r="D78" s="5">
        <v>12</v>
      </c>
      <c r="E78" s="5">
        <v>28</v>
      </c>
      <c r="F78" s="5">
        <v>4</v>
      </c>
      <c r="G78" s="8">
        <v>0.14000000000000001</v>
      </c>
      <c r="H78" s="5">
        <v>50</v>
      </c>
      <c r="I78" s="5" t="s">
        <v>36</v>
      </c>
      <c r="J78" s="5"/>
      <c r="K78" s="5">
        <v>31</v>
      </c>
      <c r="L78" s="5">
        <f t="shared" si="15"/>
        <v>-3</v>
      </c>
      <c r="M78" s="5"/>
      <c r="N78" s="5"/>
      <c r="O78" s="5">
        <v>41</v>
      </c>
      <c r="P78" s="5">
        <v>48</v>
      </c>
      <c r="Q78" s="5">
        <f t="shared" si="16"/>
        <v>5.6</v>
      </c>
      <c r="R78" s="4">
        <v>20</v>
      </c>
      <c r="S78" s="4"/>
      <c r="T78" s="5"/>
      <c r="U78" s="5">
        <f t="shared" si="17"/>
        <v>20.178571428571431</v>
      </c>
      <c r="V78" s="5">
        <f t="shared" si="18"/>
        <v>16.607142857142858</v>
      </c>
      <c r="W78" s="5">
        <v>10.4</v>
      </c>
      <c r="X78" s="5">
        <v>5.8</v>
      </c>
      <c r="Y78" s="5">
        <v>6.8</v>
      </c>
      <c r="Z78" s="5">
        <v>8.1999999999999993</v>
      </c>
      <c r="AA78" s="5">
        <v>5.2</v>
      </c>
      <c r="AB78" s="5">
        <v>6.2</v>
      </c>
      <c r="AC78" s="5">
        <v>8.8000000000000007</v>
      </c>
      <c r="AD78" s="5">
        <v>5.8</v>
      </c>
      <c r="AE78" s="5"/>
      <c r="AF78" s="5">
        <f t="shared" si="20"/>
        <v>2.8000000000000003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25">
      <c r="A79" s="5" t="s">
        <v>127</v>
      </c>
      <c r="B79" s="5" t="s">
        <v>35</v>
      </c>
      <c r="C79" s="5">
        <v>122</v>
      </c>
      <c r="D79" s="5">
        <v>233</v>
      </c>
      <c r="E79" s="5">
        <v>228</v>
      </c>
      <c r="F79" s="5">
        <v>108</v>
      </c>
      <c r="G79" s="8">
        <v>0.18</v>
      </c>
      <c r="H79" s="5">
        <v>50</v>
      </c>
      <c r="I79" s="5" t="s">
        <v>36</v>
      </c>
      <c r="J79" s="5"/>
      <c r="K79" s="5">
        <v>234</v>
      </c>
      <c r="L79" s="5">
        <f t="shared" si="15"/>
        <v>-6</v>
      </c>
      <c r="M79" s="5"/>
      <c r="N79" s="5"/>
      <c r="O79" s="5">
        <v>81</v>
      </c>
      <c r="P79" s="5">
        <v>95</v>
      </c>
      <c r="Q79" s="5">
        <f t="shared" si="16"/>
        <v>45.6</v>
      </c>
      <c r="R79" s="4">
        <f t="shared" si="19"/>
        <v>445.6</v>
      </c>
      <c r="S79" s="4"/>
      <c r="T79" s="5"/>
      <c r="U79" s="5">
        <f t="shared" si="17"/>
        <v>16</v>
      </c>
      <c r="V79" s="5">
        <f t="shared" si="18"/>
        <v>6.2280701754385959</v>
      </c>
      <c r="W79" s="5">
        <v>35.6</v>
      </c>
      <c r="X79" s="5">
        <v>37</v>
      </c>
      <c r="Y79" s="5">
        <v>34.799999999999997</v>
      </c>
      <c r="Z79" s="5">
        <v>37.200000000000003</v>
      </c>
      <c r="AA79" s="5">
        <v>33</v>
      </c>
      <c r="AB79" s="5">
        <v>43.2</v>
      </c>
      <c r="AC79" s="5">
        <v>49.4</v>
      </c>
      <c r="AD79" s="5">
        <v>47</v>
      </c>
      <c r="AE79" s="5" t="s">
        <v>52</v>
      </c>
      <c r="AF79" s="5">
        <f t="shared" si="20"/>
        <v>80.207999999999998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25">
      <c r="A80" s="5" t="s">
        <v>128</v>
      </c>
      <c r="B80" s="5" t="s">
        <v>39</v>
      </c>
      <c r="C80" s="5">
        <v>9.3390000000000004</v>
      </c>
      <c r="D80" s="5"/>
      <c r="E80" s="5">
        <v>9.3670000000000009</v>
      </c>
      <c r="F80" s="5">
        <v>-2.8000000000000001E-2</v>
      </c>
      <c r="G80" s="8">
        <v>1</v>
      </c>
      <c r="H80" s="5">
        <v>45</v>
      </c>
      <c r="I80" s="5" t="s">
        <v>36</v>
      </c>
      <c r="J80" s="5"/>
      <c r="K80" s="5">
        <v>15.3</v>
      </c>
      <c r="L80" s="5">
        <f t="shared" si="15"/>
        <v>-5.9329999999999998</v>
      </c>
      <c r="M80" s="5"/>
      <c r="N80" s="5"/>
      <c r="O80" s="5">
        <v>30</v>
      </c>
      <c r="P80" s="5"/>
      <c r="Q80" s="5">
        <f t="shared" si="16"/>
        <v>1.8734000000000002</v>
      </c>
      <c r="R80" s="4">
        <v>8</v>
      </c>
      <c r="S80" s="4"/>
      <c r="T80" s="5"/>
      <c r="U80" s="5">
        <f t="shared" si="17"/>
        <v>20.269029571901356</v>
      </c>
      <c r="V80" s="5">
        <f t="shared" si="18"/>
        <v>15.99871890680047</v>
      </c>
      <c r="W80" s="5">
        <v>3.4047999999999998</v>
      </c>
      <c r="X80" s="5">
        <v>1.1941999999999999</v>
      </c>
      <c r="Y80" s="5">
        <v>1.552</v>
      </c>
      <c r="Z80" s="5">
        <v>2.5649999999999999</v>
      </c>
      <c r="AA80" s="5">
        <v>0</v>
      </c>
      <c r="AB80" s="5">
        <v>2.0424000000000002</v>
      </c>
      <c r="AC80" s="5">
        <v>0</v>
      </c>
      <c r="AD80" s="5">
        <v>0.68280000000000007</v>
      </c>
      <c r="AE80" s="5"/>
      <c r="AF80" s="5">
        <f t="shared" si="20"/>
        <v>8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25">
      <c r="A81" s="19" t="s">
        <v>129</v>
      </c>
      <c r="B81" s="5" t="s">
        <v>35</v>
      </c>
      <c r="C81" s="5"/>
      <c r="D81" s="5"/>
      <c r="E81" s="5"/>
      <c r="F81" s="5"/>
      <c r="G81" s="8">
        <v>0.22</v>
      </c>
      <c r="H81" s="5">
        <v>120</v>
      </c>
      <c r="I81" s="5" t="s">
        <v>36</v>
      </c>
      <c r="J81" s="5"/>
      <c r="K81" s="5"/>
      <c r="L81" s="5">
        <f t="shared" si="15"/>
        <v>0</v>
      </c>
      <c r="M81" s="5"/>
      <c r="N81" s="5"/>
      <c r="O81" s="5">
        <v>32</v>
      </c>
      <c r="P81" s="5"/>
      <c r="Q81" s="5">
        <f t="shared" si="16"/>
        <v>0</v>
      </c>
      <c r="R81" s="4">
        <v>16</v>
      </c>
      <c r="S81" s="4"/>
      <c r="T81" s="5"/>
      <c r="U81" s="5" t="e">
        <f t="shared" si="17"/>
        <v>#DIV/0!</v>
      </c>
      <c r="V81" s="5" t="e">
        <f t="shared" si="18"/>
        <v>#DIV/0!</v>
      </c>
      <c r="W81" s="5">
        <v>-0.2</v>
      </c>
      <c r="X81" s="5">
        <v>-0.2</v>
      </c>
      <c r="Y81" s="5">
        <v>1.2</v>
      </c>
      <c r="Z81" s="5">
        <v>2</v>
      </c>
      <c r="AA81" s="5">
        <v>1</v>
      </c>
      <c r="AB81" s="5">
        <v>1.8</v>
      </c>
      <c r="AC81" s="5">
        <v>0</v>
      </c>
      <c r="AD81" s="5">
        <v>0</v>
      </c>
      <c r="AE81" s="10" t="s">
        <v>130</v>
      </c>
      <c r="AF81" s="5">
        <f t="shared" si="20"/>
        <v>3.52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25">
      <c r="A82" s="15" t="s">
        <v>131</v>
      </c>
      <c r="B82" s="15" t="s">
        <v>35</v>
      </c>
      <c r="C82" s="15"/>
      <c r="D82" s="15"/>
      <c r="E82" s="15"/>
      <c r="F82" s="15"/>
      <c r="G82" s="16">
        <v>0</v>
      </c>
      <c r="H82" s="15">
        <v>50</v>
      </c>
      <c r="I82" s="15" t="s">
        <v>36</v>
      </c>
      <c r="J82" s="15"/>
      <c r="K82" s="15"/>
      <c r="L82" s="15">
        <f t="shared" si="15"/>
        <v>0</v>
      </c>
      <c r="M82" s="15"/>
      <c r="N82" s="15"/>
      <c r="O82" s="15">
        <v>0</v>
      </c>
      <c r="P82" s="15"/>
      <c r="Q82" s="15">
        <f t="shared" si="16"/>
        <v>0</v>
      </c>
      <c r="R82" s="17"/>
      <c r="S82" s="17"/>
      <c r="T82" s="15"/>
      <c r="U82" s="15" t="e">
        <f t="shared" si="17"/>
        <v>#DIV/0!</v>
      </c>
      <c r="V82" s="15" t="e">
        <f t="shared" si="18"/>
        <v>#DIV/0!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 t="s">
        <v>132</v>
      </c>
      <c r="AF82" s="1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25">
      <c r="A83" s="5" t="s">
        <v>133</v>
      </c>
      <c r="B83" s="5" t="s">
        <v>35</v>
      </c>
      <c r="C83" s="5">
        <v>319</v>
      </c>
      <c r="D83" s="5">
        <v>440</v>
      </c>
      <c r="E83" s="5">
        <v>446</v>
      </c>
      <c r="F83" s="5">
        <v>284</v>
      </c>
      <c r="G83" s="8">
        <v>0.35</v>
      </c>
      <c r="H83" s="5">
        <v>50</v>
      </c>
      <c r="I83" s="10" t="s">
        <v>44</v>
      </c>
      <c r="J83" s="5"/>
      <c r="K83" s="5">
        <v>453</v>
      </c>
      <c r="L83" s="5">
        <f t="shared" si="15"/>
        <v>-7</v>
      </c>
      <c r="M83" s="5"/>
      <c r="N83" s="5"/>
      <c r="O83" s="5">
        <v>203</v>
      </c>
      <c r="P83" s="5">
        <v>237</v>
      </c>
      <c r="Q83" s="5">
        <f t="shared" si="16"/>
        <v>89.2</v>
      </c>
      <c r="R83" s="4">
        <f t="shared" ref="R83:R84" si="21">16*Q83-P83-O83-F83</f>
        <v>703.2</v>
      </c>
      <c r="S83" s="4"/>
      <c r="T83" s="5"/>
      <c r="U83" s="5">
        <f t="shared" si="17"/>
        <v>16</v>
      </c>
      <c r="V83" s="5">
        <f t="shared" si="18"/>
        <v>8.1165919282511201</v>
      </c>
      <c r="W83" s="5">
        <v>82.8</v>
      </c>
      <c r="X83" s="5">
        <v>82</v>
      </c>
      <c r="Y83" s="5">
        <v>73.599999999999994</v>
      </c>
      <c r="Z83" s="5">
        <v>70.599999999999994</v>
      </c>
      <c r="AA83" s="5">
        <v>66.400000000000006</v>
      </c>
      <c r="AB83" s="5">
        <v>140.80000000000001</v>
      </c>
      <c r="AC83" s="5">
        <v>159.80000000000001</v>
      </c>
      <c r="AD83" s="5">
        <v>186.6</v>
      </c>
      <c r="AE83" s="5" t="s">
        <v>37</v>
      </c>
      <c r="AF83" s="5">
        <f>G83*R83</f>
        <v>246.12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25">
      <c r="A84" s="5" t="s">
        <v>134</v>
      </c>
      <c r="B84" s="5" t="s">
        <v>39</v>
      </c>
      <c r="C84" s="5">
        <v>27.937999999999999</v>
      </c>
      <c r="D84" s="5"/>
      <c r="E84" s="5">
        <v>27.196000000000002</v>
      </c>
      <c r="F84" s="5">
        <v>0.04</v>
      </c>
      <c r="G84" s="8">
        <v>1</v>
      </c>
      <c r="H84" s="5">
        <v>50</v>
      </c>
      <c r="I84" s="5" t="s">
        <v>36</v>
      </c>
      <c r="J84" s="5"/>
      <c r="K84" s="5">
        <v>27.5</v>
      </c>
      <c r="L84" s="5">
        <f t="shared" si="15"/>
        <v>-0.30399999999999849</v>
      </c>
      <c r="M84" s="5"/>
      <c r="N84" s="5"/>
      <c r="O84" s="5">
        <v>34</v>
      </c>
      <c r="P84" s="5">
        <v>40</v>
      </c>
      <c r="Q84" s="5">
        <f t="shared" si="16"/>
        <v>5.4392000000000005</v>
      </c>
      <c r="R84" s="4">
        <f t="shared" si="21"/>
        <v>12.987200000000009</v>
      </c>
      <c r="S84" s="4"/>
      <c r="T84" s="5"/>
      <c r="U84" s="5">
        <f t="shared" si="17"/>
        <v>15.999999999999998</v>
      </c>
      <c r="V84" s="5">
        <f t="shared" si="18"/>
        <v>13.612295925871448</v>
      </c>
      <c r="W84" s="5">
        <v>8.0047999999999995</v>
      </c>
      <c r="X84" s="5">
        <v>3.9350000000000001</v>
      </c>
      <c r="Y84" s="5">
        <v>1.6963999999999999</v>
      </c>
      <c r="Z84" s="5">
        <v>2.6665999999999999</v>
      </c>
      <c r="AA84" s="5">
        <v>5.9481999999999999</v>
      </c>
      <c r="AB84" s="5">
        <v>0</v>
      </c>
      <c r="AC84" s="5">
        <v>3.3163999999999998</v>
      </c>
      <c r="AD84" s="5">
        <v>0.69779999999999998</v>
      </c>
      <c r="AE84" s="5"/>
      <c r="AF84" s="5">
        <f>G84*R84</f>
        <v>12.987200000000009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25">
      <c r="A85" s="11" t="s">
        <v>135</v>
      </c>
      <c r="B85" s="11" t="s">
        <v>35</v>
      </c>
      <c r="C85" s="11">
        <v>14</v>
      </c>
      <c r="D85" s="11"/>
      <c r="E85" s="11"/>
      <c r="F85" s="11">
        <v>14</v>
      </c>
      <c r="G85" s="12">
        <v>0</v>
      </c>
      <c r="H85" s="11" t="e">
        <v>#N/A</v>
      </c>
      <c r="I85" s="11" t="s">
        <v>41</v>
      </c>
      <c r="J85" s="11"/>
      <c r="K85" s="11">
        <v>3</v>
      </c>
      <c r="L85" s="11">
        <f t="shared" si="15"/>
        <v>-3</v>
      </c>
      <c r="M85" s="11"/>
      <c r="N85" s="11"/>
      <c r="O85" s="11">
        <v>0</v>
      </c>
      <c r="P85" s="11"/>
      <c r="Q85" s="11">
        <f t="shared" si="16"/>
        <v>0</v>
      </c>
      <c r="R85" s="13"/>
      <c r="S85" s="13"/>
      <c r="T85" s="11"/>
      <c r="U85" s="11" t="e">
        <f t="shared" si="17"/>
        <v>#DIV/0!</v>
      </c>
      <c r="V85" s="11" t="e">
        <f t="shared" si="18"/>
        <v>#DIV/0!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 t="s">
        <v>136</v>
      </c>
      <c r="AF85" s="11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25">
      <c r="A86" s="5" t="s">
        <v>137</v>
      </c>
      <c r="B86" s="5" t="s">
        <v>39</v>
      </c>
      <c r="C86" s="5">
        <v>659.61599999999999</v>
      </c>
      <c r="D86" s="5">
        <v>1.42</v>
      </c>
      <c r="E86" s="5">
        <v>362.98</v>
      </c>
      <c r="F86" s="5">
        <v>295.96600000000001</v>
      </c>
      <c r="G86" s="8">
        <v>1</v>
      </c>
      <c r="H86" s="5">
        <v>50</v>
      </c>
      <c r="I86" s="5" t="s">
        <v>36</v>
      </c>
      <c r="J86" s="5"/>
      <c r="K86" s="5">
        <v>358.9</v>
      </c>
      <c r="L86" s="5">
        <f t="shared" si="15"/>
        <v>4.0800000000000409</v>
      </c>
      <c r="M86" s="5"/>
      <c r="N86" s="5"/>
      <c r="O86" s="5">
        <v>166</v>
      </c>
      <c r="P86" s="5">
        <v>194</v>
      </c>
      <c r="Q86" s="5">
        <f t="shared" si="16"/>
        <v>72.596000000000004</v>
      </c>
      <c r="R86" s="4">
        <f t="shared" ref="R86:R101" si="22">16*Q86-P86-O86-F86</f>
        <v>505.57000000000005</v>
      </c>
      <c r="S86" s="4"/>
      <c r="T86" s="5"/>
      <c r="U86" s="5">
        <f t="shared" si="17"/>
        <v>16</v>
      </c>
      <c r="V86" s="5">
        <f t="shared" si="18"/>
        <v>9.0358421951622674</v>
      </c>
      <c r="W86" s="5">
        <v>65.563599999999994</v>
      </c>
      <c r="X86" s="5">
        <v>51.511800000000008</v>
      </c>
      <c r="Y86" s="5">
        <v>78.689599999999999</v>
      </c>
      <c r="Z86" s="5">
        <v>61.767200000000003</v>
      </c>
      <c r="AA86" s="5">
        <v>67.259</v>
      </c>
      <c r="AB86" s="5">
        <v>53.638399999999997</v>
      </c>
      <c r="AC86" s="5">
        <v>65.921000000000006</v>
      </c>
      <c r="AD86" s="5">
        <v>59.848599999999998</v>
      </c>
      <c r="AE86" s="5"/>
      <c r="AF86" s="5">
        <f t="shared" ref="AF86:AF101" si="23">G86*R86</f>
        <v>505.57000000000005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25">
      <c r="A87" s="5" t="s">
        <v>138</v>
      </c>
      <c r="B87" s="5" t="s">
        <v>35</v>
      </c>
      <c r="C87" s="5">
        <v>-39</v>
      </c>
      <c r="D87" s="5">
        <v>2512</v>
      </c>
      <c r="E87" s="5">
        <v>687</v>
      </c>
      <c r="F87" s="5">
        <v>1745</v>
      </c>
      <c r="G87" s="8">
        <v>0.35</v>
      </c>
      <c r="H87" s="5">
        <v>50</v>
      </c>
      <c r="I87" s="10" t="s">
        <v>44</v>
      </c>
      <c r="J87" s="5"/>
      <c r="K87" s="5">
        <v>710</v>
      </c>
      <c r="L87" s="5">
        <f t="shared" si="15"/>
        <v>-23</v>
      </c>
      <c r="M87" s="5"/>
      <c r="N87" s="5"/>
      <c r="O87" s="5">
        <v>0</v>
      </c>
      <c r="P87" s="5"/>
      <c r="Q87" s="5">
        <f t="shared" si="16"/>
        <v>137.4</v>
      </c>
      <c r="R87" s="4">
        <f t="shared" si="22"/>
        <v>453.40000000000009</v>
      </c>
      <c r="S87" s="4"/>
      <c r="T87" s="5"/>
      <c r="U87" s="5">
        <f t="shared" si="17"/>
        <v>16</v>
      </c>
      <c r="V87" s="5">
        <f t="shared" si="18"/>
        <v>12.700145560407568</v>
      </c>
      <c r="W87" s="5">
        <v>141.6</v>
      </c>
      <c r="X87" s="5">
        <v>249.4</v>
      </c>
      <c r="Y87" s="5">
        <v>137.4</v>
      </c>
      <c r="Z87" s="5">
        <v>136.80000000000001</v>
      </c>
      <c r="AA87" s="5">
        <v>158</v>
      </c>
      <c r="AB87" s="5">
        <v>144.19999999999999</v>
      </c>
      <c r="AC87" s="5">
        <v>141.4</v>
      </c>
      <c r="AD87" s="5">
        <v>127.4</v>
      </c>
      <c r="AE87" s="5"/>
      <c r="AF87" s="5">
        <f t="shared" si="23"/>
        <v>158.69000000000003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25">
      <c r="A88" s="5" t="s">
        <v>139</v>
      </c>
      <c r="B88" s="5" t="s">
        <v>35</v>
      </c>
      <c r="C88" s="5">
        <v>5</v>
      </c>
      <c r="D88" s="5">
        <v>6</v>
      </c>
      <c r="E88" s="5">
        <v>11</v>
      </c>
      <c r="F88" s="5"/>
      <c r="G88" s="8">
        <v>0.3</v>
      </c>
      <c r="H88" s="5">
        <v>50</v>
      </c>
      <c r="I88" s="5" t="s">
        <v>36</v>
      </c>
      <c r="J88" s="5"/>
      <c r="K88" s="5">
        <v>15</v>
      </c>
      <c r="L88" s="5">
        <f t="shared" si="15"/>
        <v>-4</v>
      </c>
      <c r="M88" s="5"/>
      <c r="N88" s="5"/>
      <c r="O88" s="5">
        <v>21</v>
      </c>
      <c r="P88" s="5"/>
      <c r="Q88" s="5">
        <f t="shared" si="16"/>
        <v>2.2000000000000002</v>
      </c>
      <c r="R88" s="4">
        <f t="shared" si="22"/>
        <v>14.200000000000003</v>
      </c>
      <c r="S88" s="4"/>
      <c r="T88" s="5"/>
      <c r="U88" s="5">
        <f t="shared" si="17"/>
        <v>16</v>
      </c>
      <c r="V88" s="5">
        <f t="shared" si="18"/>
        <v>9.545454545454545</v>
      </c>
      <c r="W88" s="5">
        <v>2.2000000000000002</v>
      </c>
      <c r="X88" s="5">
        <v>1.8</v>
      </c>
      <c r="Y88" s="5">
        <v>1.8</v>
      </c>
      <c r="Z88" s="5">
        <v>0.6</v>
      </c>
      <c r="AA88" s="5">
        <v>2</v>
      </c>
      <c r="AB88" s="5">
        <v>1</v>
      </c>
      <c r="AC88" s="5">
        <v>1.8</v>
      </c>
      <c r="AD88" s="5">
        <v>2</v>
      </c>
      <c r="AE88" s="5"/>
      <c r="AF88" s="5">
        <f t="shared" si="23"/>
        <v>4.2600000000000007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25">
      <c r="A89" s="5" t="s">
        <v>140</v>
      </c>
      <c r="B89" s="5" t="s">
        <v>35</v>
      </c>
      <c r="C89" s="5"/>
      <c r="D89" s="5">
        <v>64</v>
      </c>
      <c r="E89" s="5">
        <v>24</v>
      </c>
      <c r="F89" s="5">
        <v>40</v>
      </c>
      <c r="G89" s="8">
        <v>0.3</v>
      </c>
      <c r="H89" s="5">
        <v>60</v>
      </c>
      <c r="I89" s="5" t="s">
        <v>36</v>
      </c>
      <c r="J89" s="5"/>
      <c r="K89" s="5">
        <v>24</v>
      </c>
      <c r="L89" s="5">
        <f t="shared" si="15"/>
        <v>0</v>
      </c>
      <c r="M89" s="5"/>
      <c r="N89" s="5"/>
      <c r="O89" s="5">
        <v>22</v>
      </c>
      <c r="P89" s="5"/>
      <c r="Q89" s="5">
        <f t="shared" si="16"/>
        <v>4.8</v>
      </c>
      <c r="R89" s="4">
        <f t="shared" si="22"/>
        <v>14.799999999999997</v>
      </c>
      <c r="S89" s="4"/>
      <c r="T89" s="5"/>
      <c r="U89" s="5">
        <f t="shared" si="17"/>
        <v>16</v>
      </c>
      <c r="V89" s="5">
        <f t="shared" si="18"/>
        <v>12.916666666666668</v>
      </c>
      <c r="W89" s="5">
        <v>6.4</v>
      </c>
      <c r="X89" s="5">
        <v>7.6</v>
      </c>
      <c r="Y89" s="5">
        <v>5.4</v>
      </c>
      <c r="Z89" s="5">
        <v>3.4</v>
      </c>
      <c r="AA89" s="5">
        <v>7.6</v>
      </c>
      <c r="AB89" s="5">
        <v>4.2</v>
      </c>
      <c r="AC89" s="5">
        <v>2.2000000000000002</v>
      </c>
      <c r="AD89" s="5">
        <v>3.4</v>
      </c>
      <c r="AE89" s="5"/>
      <c r="AF89" s="5">
        <f t="shared" si="23"/>
        <v>4.4399999999999986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25">
      <c r="A90" s="5" t="s">
        <v>103</v>
      </c>
      <c r="B90" s="5" t="s">
        <v>35</v>
      </c>
      <c r="C90" s="5">
        <v>93</v>
      </c>
      <c r="D90" s="5">
        <v>99</v>
      </c>
      <c r="E90" s="18">
        <f>109+E54</f>
        <v>111</v>
      </c>
      <c r="F90" s="5">
        <v>48</v>
      </c>
      <c r="G90" s="8">
        <v>0.28000000000000003</v>
      </c>
      <c r="H90" s="5">
        <v>50</v>
      </c>
      <c r="I90" s="5" t="s">
        <v>36</v>
      </c>
      <c r="J90" s="5"/>
      <c r="K90" s="5">
        <v>114</v>
      </c>
      <c r="L90" s="5">
        <f t="shared" si="15"/>
        <v>-3</v>
      </c>
      <c r="M90" s="5"/>
      <c r="N90" s="5"/>
      <c r="O90" s="5">
        <v>90</v>
      </c>
      <c r="P90" s="5">
        <v>106</v>
      </c>
      <c r="Q90" s="5">
        <f t="shared" si="16"/>
        <v>22.2</v>
      </c>
      <c r="R90" s="4">
        <f t="shared" si="22"/>
        <v>111.19999999999999</v>
      </c>
      <c r="S90" s="4"/>
      <c r="T90" s="5"/>
      <c r="U90" s="5">
        <f t="shared" si="17"/>
        <v>16</v>
      </c>
      <c r="V90" s="5">
        <f t="shared" si="18"/>
        <v>10.990990990990991</v>
      </c>
      <c r="W90" s="5">
        <v>24.8</v>
      </c>
      <c r="X90" s="5">
        <v>20.399999999999999</v>
      </c>
      <c r="Y90" s="5">
        <v>22.2</v>
      </c>
      <c r="Z90" s="5">
        <v>18.8</v>
      </c>
      <c r="AA90" s="5">
        <v>15.2</v>
      </c>
      <c r="AB90" s="5">
        <v>24.6</v>
      </c>
      <c r="AC90" s="5">
        <v>31</v>
      </c>
      <c r="AD90" s="5">
        <v>19.2</v>
      </c>
      <c r="AE90" s="5" t="s">
        <v>52</v>
      </c>
      <c r="AF90" s="5">
        <f t="shared" si="23"/>
        <v>31.135999999999999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25">
      <c r="A91" s="5" t="s">
        <v>141</v>
      </c>
      <c r="B91" s="5" t="s">
        <v>35</v>
      </c>
      <c r="C91" s="5">
        <v>248</v>
      </c>
      <c r="D91" s="5">
        <v>70</v>
      </c>
      <c r="E91" s="5">
        <v>307</v>
      </c>
      <c r="F91" s="5">
        <v>-1</v>
      </c>
      <c r="G91" s="8">
        <v>0.28000000000000003</v>
      </c>
      <c r="H91" s="5">
        <v>45</v>
      </c>
      <c r="I91" s="5" t="s">
        <v>36</v>
      </c>
      <c r="J91" s="5"/>
      <c r="K91" s="5">
        <v>320</v>
      </c>
      <c r="L91" s="5">
        <f t="shared" si="15"/>
        <v>-13</v>
      </c>
      <c r="M91" s="5"/>
      <c r="N91" s="5"/>
      <c r="O91" s="5">
        <v>269</v>
      </c>
      <c r="P91" s="5">
        <v>314</v>
      </c>
      <c r="Q91" s="5">
        <f t="shared" si="16"/>
        <v>61.4</v>
      </c>
      <c r="R91" s="4">
        <f t="shared" si="22"/>
        <v>400.4</v>
      </c>
      <c r="S91" s="4"/>
      <c r="T91" s="5"/>
      <c r="U91" s="5">
        <f t="shared" si="17"/>
        <v>16</v>
      </c>
      <c r="V91" s="5">
        <f t="shared" si="18"/>
        <v>9.4788273615635177</v>
      </c>
      <c r="W91" s="5">
        <v>63.4</v>
      </c>
      <c r="X91" s="5">
        <v>45.2</v>
      </c>
      <c r="Y91" s="5">
        <v>47.2</v>
      </c>
      <c r="Z91" s="5">
        <v>49</v>
      </c>
      <c r="AA91" s="5">
        <v>46.8</v>
      </c>
      <c r="AB91" s="5">
        <v>67.599999999999994</v>
      </c>
      <c r="AC91" s="5">
        <v>39.6</v>
      </c>
      <c r="AD91" s="5">
        <v>51.8</v>
      </c>
      <c r="AE91" s="5" t="s">
        <v>52</v>
      </c>
      <c r="AF91" s="5">
        <f t="shared" si="23"/>
        <v>112.11200000000001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25">
      <c r="A92" s="5" t="s">
        <v>142</v>
      </c>
      <c r="B92" s="5" t="s">
        <v>35</v>
      </c>
      <c r="C92" s="5">
        <v>44</v>
      </c>
      <c r="D92" s="5">
        <v>268</v>
      </c>
      <c r="E92" s="5">
        <v>178</v>
      </c>
      <c r="F92" s="5">
        <v>126</v>
      </c>
      <c r="G92" s="8">
        <v>0.28000000000000003</v>
      </c>
      <c r="H92" s="5">
        <v>45</v>
      </c>
      <c r="I92" s="5" t="s">
        <v>36</v>
      </c>
      <c r="J92" s="5"/>
      <c r="K92" s="5">
        <v>182</v>
      </c>
      <c r="L92" s="5">
        <f t="shared" si="15"/>
        <v>-4</v>
      </c>
      <c r="M92" s="5"/>
      <c r="N92" s="5"/>
      <c r="O92" s="5">
        <v>49</v>
      </c>
      <c r="P92" s="5">
        <v>58</v>
      </c>
      <c r="Q92" s="5">
        <f t="shared" si="16"/>
        <v>35.6</v>
      </c>
      <c r="R92" s="4">
        <f t="shared" si="22"/>
        <v>336.6</v>
      </c>
      <c r="S92" s="4"/>
      <c r="T92" s="5"/>
      <c r="U92" s="5">
        <f t="shared" si="17"/>
        <v>16</v>
      </c>
      <c r="V92" s="5">
        <f t="shared" si="18"/>
        <v>6.5449438202247192</v>
      </c>
      <c r="W92" s="5">
        <v>27.6</v>
      </c>
      <c r="X92" s="5">
        <v>30.4</v>
      </c>
      <c r="Y92" s="5">
        <v>23</v>
      </c>
      <c r="Z92" s="5">
        <v>25.2</v>
      </c>
      <c r="AA92" s="5">
        <v>21.4</v>
      </c>
      <c r="AB92" s="5">
        <v>31.8</v>
      </c>
      <c r="AC92" s="5">
        <v>28</v>
      </c>
      <c r="AD92" s="5">
        <v>20.6</v>
      </c>
      <c r="AE92" s="5"/>
      <c r="AF92" s="5">
        <f t="shared" si="23"/>
        <v>94.248000000000019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25">
      <c r="A93" s="5" t="s">
        <v>143</v>
      </c>
      <c r="B93" s="5" t="s">
        <v>35</v>
      </c>
      <c r="C93" s="5">
        <v>112.92</v>
      </c>
      <c r="D93" s="5">
        <v>103.08</v>
      </c>
      <c r="E93" s="5">
        <v>141</v>
      </c>
      <c r="F93" s="5">
        <v>38</v>
      </c>
      <c r="G93" s="8">
        <v>0.28000000000000003</v>
      </c>
      <c r="H93" s="5">
        <v>45</v>
      </c>
      <c r="I93" s="5" t="s">
        <v>36</v>
      </c>
      <c r="J93" s="5"/>
      <c r="K93" s="5">
        <v>141</v>
      </c>
      <c r="L93" s="5">
        <f t="shared" si="15"/>
        <v>0</v>
      </c>
      <c r="M93" s="5"/>
      <c r="N93" s="5"/>
      <c r="O93" s="5">
        <v>90</v>
      </c>
      <c r="P93" s="5">
        <v>104</v>
      </c>
      <c r="Q93" s="5">
        <f t="shared" si="16"/>
        <v>28.2</v>
      </c>
      <c r="R93" s="4">
        <f t="shared" si="22"/>
        <v>219.2</v>
      </c>
      <c r="S93" s="4"/>
      <c r="T93" s="5"/>
      <c r="U93" s="5">
        <f t="shared" si="17"/>
        <v>16</v>
      </c>
      <c r="V93" s="5">
        <f t="shared" si="18"/>
        <v>8.2269503546099294</v>
      </c>
      <c r="W93" s="5">
        <v>25.6</v>
      </c>
      <c r="X93" s="5">
        <v>20.399999999999999</v>
      </c>
      <c r="Y93" s="5">
        <v>20.8</v>
      </c>
      <c r="Z93" s="5">
        <v>20.399999999999999</v>
      </c>
      <c r="AA93" s="5">
        <v>15.8</v>
      </c>
      <c r="AB93" s="5">
        <v>25.4</v>
      </c>
      <c r="AC93" s="5">
        <v>19.2</v>
      </c>
      <c r="AD93" s="5">
        <v>14.8</v>
      </c>
      <c r="AE93" s="5" t="s">
        <v>52</v>
      </c>
      <c r="AF93" s="5">
        <f t="shared" si="23"/>
        <v>61.376000000000005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25">
      <c r="A94" s="5" t="s">
        <v>123</v>
      </c>
      <c r="B94" s="5" t="s">
        <v>35</v>
      </c>
      <c r="C94" s="5">
        <v>482</v>
      </c>
      <c r="D94" s="5">
        <v>578</v>
      </c>
      <c r="E94" s="5">
        <v>366</v>
      </c>
      <c r="F94" s="18">
        <f>397+F74</f>
        <v>395</v>
      </c>
      <c r="G94" s="8">
        <v>0.4</v>
      </c>
      <c r="H94" s="5">
        <v>50</v>
      </c>
      <c r="I94" s="5" t="s">
        <v>36</v>
      </c>
      <c r="J94" s="5"/>
      <c r="K94" s="5">
        <v>367</v>
      </c>
      <c r="L94" s="5">
        <f t="shared" si="15"/>
        <v>-1</v>
      </c>
      <c r="M94" s="5"/>
      <c r="N94" s="5"/>
      <c r="O94" s="5">
        <v>147</v>
      </c>
      <c r="P94" s="5">
        <v>171</v>
      </c>
      <c r="Q94" s="5">
        <f t="shared" si="16"/>
        <v>73.2</v>
      </c>
      <c r="R94" s="4">
        <f t="shared" si="22"/>
        <v>458.20000000000005</v>
      </c>
      <c r="S94" s="4"/>
      <c r="T94" s="5"/>
      <c r="U94" s="5">
        <f t="shared" si="17"/>
        <v>16</v>
      </c>
      <c r="V94" s="5">
        <f t="shared" si="18"/>
        <v>9.7404371584699447</v>
      </c>
      <c r="W94" s="5">
        <v>70.400000000000006</v>
      </c>
      <c r="X94" s="5">
        <v>74.2</v>
      </c>
      <c r="Y94" s="5">
        <v>80.2</v>
      </c>
      <c r="Z94" s="5">
        <v>55.6</v>
      </c>
      <c r="AA94" s="5">
        <v>22.2</v>
      </c>
      <c r="AB94" s="5">
        <v>0</v>
      </c>
      <c r="AC94" s="5">
        <v>0</v>
      </c>
      <c r="AD94" s="5">
        <v>0</v>
      </c>
      <c r="AE94" s="5" t="s">
        <v>144</v>
      </c>
      <c r="AF94" s="5">
        <f t="shared" si="23"/>
        <v>183.28000000000003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25">
      <c r="A95" s="5" t="s">
        <v>145</v>
      </c>
      <c r="B95" s="5" t="s">
        <v>35</v>
      </c>
      <c r="C95" s="5">
        <v>32</v>
      </c>
      <c r="D95" s="5">
        <v>7</v>
      </c>
      <c r="E95" s="5">
        <v>24</v>
      </c>
      <c r="F95" s="5">
        <v>12</v>
      </c>
      <c r="G95" s="8">
        <v>0.3</v>
      </c>
      <c r="H95" s="5">
        <v>50</v>
      </c>
      <c r="I95" s="5" t="s">
        <v>36</v>
      </c>
      <c r="J95" s="5"/>
      <c r="K95" s="5">
        <v>24</v>
      </c>
      <c r="L95" s="5">
        <f t="shared" si="15"/>
        <v>0</v>
      </c>
      <c r="M95" s="5"/>
      <c r="N95" s="5"/>
      <c r="O95" s="5">
        <v>23</v>
      </c>
      <c r="P95" s="5">
        <v>26</v>
      </c>
      <c r="Q95" s="5">
        <f t="shared" si="16"/>
        <v>4.8</v>
      </c>
      <c r="R95" s="4">
        <f t="shared" si="22"/>
        <v>15.799999999999997</v>
      </c>
      <c r="S95" s="4"/>
      <c r="T95" s="5"/>
      <c r="U95" s="5">
        <f t="shared" si="17"/>
        <v>16</v>
      </c>
      <c r="V95" s="5">
        <f t="shared" si="18"/>
        <v>12.708333333333334</v>
      </c>
      <c r="W95" s="5">
        <v>5.6</v>
      </c>
      <c r="X95" s="5">
        <v>3.8</v>
      </c>
      <c r="Y95" s="5">
        <v>4.5999999999999996</v>
      </c>
      <c r="Z95" s="5">
        <v>5</v>
      </c>
      <c r="AA95" s="5">
        <v>7.6</v>
      </c>
      <c r="AB95" s="5">
        <v>5.8</v>
      </c>
      <c r="AC95" s="5">
        <v>5</v>
      </c>
      <c r="AD95" s="5">
        <v>5.4</v>
      </c>
      <c r="AE95" s="5" t="s">
        <v>146</v>
      </c>
      <c r="AF95" s="5">
        <f t="shared" si="23"/>
        <v>4.7399999999999993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25">
      <c r="A96" s="5" t="s">
        <v>147</v>
      </c>
      <c r="B96" s="5" t="s">
        <v>35</v>
      </c>
      <c r="C96" s="5"/>
      <c r="D96" s="5">
        <v>54</v>
      </c>
      <c r="E96" s="5">
        <v>32</v>
      </c>
      <c r="F96" s="5">
        <v>21</v>
      </c>
      <c r="G96" s="8">
        <v>0.33</v>
      </c>
      <c r="H96" s="5">
        <v>30</v>
      </c>
      <c r="I96" s="5" t="s">
        <v>36</v>
      </c>
      <c r="J96" s="5"/>
      <c r="K96" s="5">
        <v>38</v>
      </c>
      <c r="L96" s="5">
        <f t="shared" si="15"/>
        <v>-6</v>
      </c>
      <c r="M96" s="5"/>
      <c r="N96" s="5"/>
      <c r="O96" s="5">
        <v>0</v>
      </c>
      <c r="P96" s="5"/>
      <c r="Q96" s="5">
        <f t="shared" si="16"/>
        <v>6.4</v>
      </c>
      <c r="R96" s="4">
        <f>12*Q96-P96-O96-F96</f>
        <v>55.800000000000011</v>
      </c>
      <c r="S96" s="4"/>
      <c r="T96" s="5"/>
      <c r="U96" s="5">
        <f t="shared" si="17"/>
        <v>12.000000000000002</v>
      </c>
      <c r="V96" s="5">
        <f t="shared" si="18"/>
        <v>3.28125</v>
      </c>
      <c r="W96" s="5">
        <v>1</v>
      </c>
      <c r="X96" s="5">
        <v>6.2</v>
      </c>
      <c r="Y96" s="5">
        <v>3.2</v>
      </c>
      <c r="Z96" s="5">
        <v>4</v>
      </c>
      <c r="AA96" s="5">
        <v>4.4000000000000004</v>
      </c>
      <c r="AB96" s="5">
        <v>1.6</v>
      </c>
      <c r="AC96" s="5">
        <v>5</v>
      </c>
      <c r="AD96" s="5">
        <v>-0.2</v>
      </c>
      <c r="AE96" s="5"/>
      <c r="AF96" s="5">
        <f t="shared" si="23"/>
        <v>18.414000000000005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25">
      <c r="A97" s="5" t="s">
        <v>148</v>
      </c>
      <c r="B97" s="5" t="s">
        <v>39</v>
      </c>
      <c r="C97" s="5">
        <v>32.215000000000003</v>
      </c>
      <c r="D97" s="5"/>
      <c r="E97" s="5">
        <v>16.298999999999999</v>
      </c>
      <c r="F97" s="5">
        <v>15.916</v>
      </c>
      <c r="G97" s="8">
        <v>1</v>
      </c>
      <c r="H97" s="5">
        <v>30</v>
      </c>
      <c r="I97" s="5" t="s">
        <v>36</v>
      </c>
      <c r="J97" s="5"/>
      <c r="K97" s="5">
        <v>20.2</v>
      </c>
      <c r="L97" s="5">
        <f t="shared" si="15"/>
        <v>-3.9009999999999998</v>
      </c>
      <c r="M97" s="5"/>
      <c r="N97" s="5"/>
      <c r="O97" s="5">
        <v>21</v>
      </c>
      <c r="P97" s="5"/>
      <c r="Q97" s="5">
        <f t="shared" si="16"/>
        <v>3.2597999999999998</v>
      </c>
      <c r="R97" s="4">
        <f t="shared" si="22"/>
        <v>15.240799999999997</v>
      </c>
      <c r="S97" s="4"/>
      <c r="T97" s="5"/>
      <c r="U97" s="5">
        <f t="shared" si="17"/>
        <v>15.999999999999998</v>
      </c>
      <c r="V97" s="5">
        <f t="shared" si="18"/>
        <v>11.324621142401375</v>
      </c>
      <c r="W97" s="5">
        <v>3.2038000000000002</v>
      </c>
      <c r="X97" s="5">
        <v>3.2841999999999998</v>
      </c>
      <c r="Y97" s="5">
        <v>0.505</v>
      </c>
      <c r="Z97" s="5">
        <v>4.5098000000000003</v>
      </c>
      <c r="AA97" s="5">
        <v>5.5426000000000002</v>
      </c>
      <c r="AB97" s="5">
        <v>0</v>
      </c>
      <c r="AC97" s="5">
        <v>0</v>
      </c>
      <c r="AD97" s="5">
        <v>0</v>
      </c>
      <c r="AE97" s="5" t="s">
        <v>78</v>
      </c>
      <c r="AF97" s="5">
        <f t="shared" si="23"/>
        <v>15.240799999999997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25">
      <c r="A98" s="5" t="s">
        <v>149</v>
      </c>
      <c r="B98" s="5" t="s">
        <v>35</v>
      </c>
      <c r="C98" s="5">
        <v>17</v>
      </c>
      <c r="D98" s="5">
        <v>8</v>
      </c>
      <c r="E98" s="5">
        <v>7</v>
      </c>
      <c r="F98" s="5">
        <v>15</v>
      </c>
      <c r="G98" s="8">
        <v>0.28000000000000003</v>
      </c>
      <c r="H98" s="5">
        <v>50</v>
      </c>
      <c r="I98" s="5" t="s">
        <v>36</v>
      </c>
      <c r="J98" s="5"/>
      <c r="K98" s="5">
        <v>9</v>
      </c>
      <c r="L98" s="5">
        <f t="shared" si="15"/>
        <v>-2</v>
      </c>
      <c r="M98" s="5"/>
      <c r="N98" s="5"/>
      <c r="O98" s="5">
        <v>0</v>
      </c>
      <c r="P98" s="5"/>
      <c r="Q98" s="5">
        <f t="shared" si="16"/>
        <v>1.4</v>
      </c>
      <c r="R98" s="4">
        <f t="shared" si="22"/>
        <v>7.3999999999999986</v>
      </c>
      <c r="S98" s="4"/>
      <c r="T98" s="5"/>
      <c r="U98" s="5">
        <f t="shared" si="17"/>
        <v>16</v>
      </c>
      <c r="V98" s="5">
        <f t="shared" si="18"/>
        <v>10.714285714285715</v>
      </c>
      <c r="W98" s="5">
        <v>1.2</v>
      </c>
      <c r="X98" s="5">
        <v>1.6</v>
      </c>
      <c r="Y98" s="5">
        <v>0.8</v>
      </c>
      <c r="Z98" s="5">
        <v>1.6</v>
      </c>
      <c r="AA98" s="5">
        <v>1.4</v>
      </c>
      <c r="AB98" s="5">
        <v>0</v>
      </c>
      <c r="AC98" s="5">
        <v>0.4</v>
      </c>
      <c r="AD98" s="5">
        <v>1</v>
      </c>
      <c r="AE98" s="5"/>
      <c r="AF98" s="5">
        <f t="shared" si="23"/>
        <v>2.0719999999999996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25">
      <c r="A99" s="5" t="s">
        <v>150</v>
      </c>
      <c r="B99" s="5" t="s">
        <v>35</v>
      </c>
      <c r="C99" s="5"/>
      <c r="D99" s="5">
        <v>32</v>
      </c>
      <c r="E99" s="5">
        <v>4</v>
      </c>
      <c r="F99" s="5">
        <v>28</v>
      </c>
      <c r="G99" s="8">
        <v>0.28000000000000003</v>
      </c>
      <c r="H99" s="5">
        <v>50</v>
      </c>
      <c r="I99" s="5" t="s">
        <v>36</v>
      </c>
      <c r="J99" s="5"/>
      <c r="K99" s="5">
        <v>4</v>
      </c>
      <c r="L99" s="5">
        <f t="shared" si="15"/>
        <v>0</v>
      </c>
      <c r="M99" s="5"/>
      <c r="N99" s="5"/>
      <c r="O99" s="5">
        <v>8</v>
      </c>
      <c r="P99" s="5"/>
      <c r="Q99" s="5">
        <f t="shared" si="16"/>
        <v>0.8</v>
      </c>
      <c r="R99" s="4"/>
      <c r="S99" s="4"/>
      <c r="T99" s="5"/>
      <c r="U99" s="5">
        <f t="shared" si="17"/>
        <v>45</v>
      </c>
      <c r="V99" s="5">
        <f t="shared" si="18"/>
        <v>45</v>
      </c>
      <c r="W99" s="5">
        <v>0.6</v>
      </c>
      <c r="X99" s="5">
        <v>3.8</v>
      </c>
      <c r="Y99" s="5">
        <v>0.6</v>
      </c>
      <c r="Z99" s="5">
        <v>0</v>
      </c>
      <c r="AA99" s="5">
        <v>0.6</v>
      </c>
      <c r="AB99" s="5">
        <v>1.4</v>
      </c>
      <c r="AC99" s="5">
        <v>0.4</v>
      </c>
      <c r="AD99" s="5">
        <v>1.8</v>
      </c>
      <c r="AE99" s="5"/>
      <c r="AF99" s="5">
        <f t="shared" si="23"/>
        <v>0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25">
      <c r="A100" s="5" t="s">
        <v>151</v>
      </c>
      <c r="B100" s="5" t="s">
        <v>35</v>
      </c>
      <c r="C100" s="5">
        <v>8</v>
      </c>
      <c r="D100" s="5"/>
      <c r="E100" s="5">
        <v>8</v>
      </c>
      <c r="F100" s="5"/>
      <c r="G100" s="8">
        <v>0.4</v>
      </c>
      <c r="H100" s="5">
        <v>60</v>
      </c>
      <c r="I100" s="5" t="s">
        <v>36</v>
      </c>
      <c r="J100" s="5"/>
      <c r="K100" s="5">
        <v>10</v>
      </c>
      <c r="L100" s="5">
        <f t="shared" si="15"/>
        <v>-2</v>
      </c>
      <c r="M100" s="5"/>
      <c r="N100" s="5"/>
      <c r="O100" s="5">
        <v>19</v>
      </c>
      <c r="P100" s="5"/>
      <c r="Q100" s="5">
        <f t="shared" si="16"/>
        <v>1.6</v>
      </c>
      <c r="R100" s="4">
        <f t="shared" si="22"/>
        <v>6.6000000000000014</v>
      </c>
      <c r="S100" s="4"/>
      <c r="T100" s="5"/>
      <c r="U100" s="5">
        <f t="shared" si="17"/>
        <v>16</v>
      </c>
      <c r="V100" s="5">
        <f t="shared" si="18"/>
        <v>11.875</v>
      </c>
      <c r="W100" s="5">
        <v>2</v>
      </c>
      <c r="X100" s="5">
        <v>0.8</v>
      </c>
      <c r="Y100" s="5">
        <v>1.4</v>
      </c>
      <c r="Z100" s="5">
        <v>2</v>
      </c>
      <c r="AA100" s="5">
        <v>1.4</v>
      </c>
      <c r="AB100" s="5">
        <v>1</v>
      </c>
      <c r="AC100" s="5">
        <v>1.4</v>
      </c>
      <c r="AD100" s="5">
        <v>0</v>
      </c>
      <c r="AE100" s="5" t="s">
        <v>152</v>
      </c>
      <c r="AF100" s="5">
        <f t="shared" si="23"/>
        <v>2.6400000000000006</v>
      </c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25">
      <c r="A101" s="5" t="s">
        <v>59</v>
      </c>
      <c r="B101" s="5" t="s">
        <v>35</v>
      </c>
      <c r="C101" s="5">
        <v>130</v>
      </c>
      <c r="D101" s="5">
        <v>67</v>
      </c>
      <c r="E101" s="18">
        <f>102+E19</f>
        <v>110</v>
      </c>
      <c r="F101" s="18">
        <f>11+F19</f>
        <v>3</v>
      </c>
      <c r="G101" s="8">
        <v>0.12</v>
      </c>
      <c r="H101" s="5">
        <v>60</v>
      </c>
      <c r="I101" s="5" t="s">
        <v>36</v>
      </c>
      <c r="J101" s="5"/>
      <c r="K101" s="5">
        <v>215</v>
      </c>
      <c r="L101" s="5">
        <f t="shared" si="15"/>
        <v>-105</v>
      </c>
      <c r="M101" s="5"/>
      <c r="N101" s="5"/>
      <c r="O101" s="5">
        <v>54</v>
      </c>
      <c r="P101" s="5">
        <v>63</v>
      </c>
      <c r="Q101" s="5">
        <f t="shared" si="16"/>
        <v>22</v>
      </c>
      <c r="R101" s="4">
        <f t="shared" si="22"/>
        <v>232</v>
      </c>
      <c r="S101" s="4"/>
      <c r="T101" s="5"/>
      <c r="U101" s="5">
        <f t="shared" si="17"/>
        <v>16</v>
      </c>
      <c r="V101" s="5">
        <f t="shared" si="18"/>
        <v>5.4545454545454541</v>
      </c>
      <c r="W101" s="5">
        <v>13.4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 t="s">
        <v>153</v>
      </c>
      <c r="AF101" s="5">
        <f t="shared" si="23"/>
        <v>27.84</v>
      </c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25">
      <c r="A102" s="15" t="s">
        <v>154</v>
      </c>
      <c r="B102" s="15" t="s">
        <v>35</v>
      </c>
      <c r="C102" s="15">
        <v>16</v>
      </c>
      <c r="D102" s="15">
        <v>354</v>
      </c>
      <c r="E102" s="18">
        <v>86</v>
      </c>
      <c r="F102" s="18">
        <v>280</v>
      </c>
      <c r="G102" s="16">
        <v>0</v>
      </c>
      <c r="H102" s="15" t="e">
        <v>#N/A</v>
      </c>
      <c r="I102" s="15" t="s">
        <v>155</v>
      </c>
      <c r="J102" s="15" t="s">
        <v>118</v>
      </c>
      <c r="K102" s="15">
        <v>86</v>
      </c>
      <c r="L102" s="15">
        <f t="shared" ref="L102:L103" si="24">E102-K102</f>
        <v>0</v>
      </c>
      <c r="M102" s="15"/>
      <c r="N102" s="15"/>
      <c r="O102" s="15">
        <v>0</v>
      </c>
      <c r="P102" s="15"/>
      <c r="Q102" s="15">
        <f t="shared" si="16"/>
        <v>17.2</v>
      </c>
      <c r="R102" s="17"/>
      <c r="S102" s="17"/>
      <c r="T102" s="15"/>
      <c r="U102" s="15">
        <f t="shared" si="17"/>
        <v>16.279069767441861</v>
      </c>
      <c r="V102" s="15">
        <f t="shared" si="18"/>
        <v>16.279069767441861</v>
      </c>
      <c r="W102" s="15">
        <v>21.6</v>
      </c>
      <c r="X102" s="15">
        <v>4.5999999999999996</v>
      </c>
      <c r="Y102" s="15">
        <v>26.308800000000002</v>
      </c>
      <c r="Z102" s="15">
        <v>32.200000000000003</v>
      </c>
      <c r="AA102" s="15">
        <v>37.6</v>
      </c>
      <c r="AB102" s="15">
        <v>35.799999999999997</v>
      </c>
      <c r="AC102" s="15">
        <v>35.200000000000003</v>
      </c>
      <c r="AD102" s="15">
        <v>36.4</v>
      </c>
      <c r="AE102" s="15"/>
      <c r="AF102" s="1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25">
      <c r="A103" s="15" t="s">
        <v>156</v>
      </c>
      <c r="B103" s="15" t="s">
        <v>39</v>
      </c>
      <c r="C103" s="15">
        <v>-24.576000000000001</v>
      </c>
      <c r="D103" s="15">
        <v>213.93600000000001</v>
      </c>
      <c r="E103" s="18">
        <v>155.458</v>
      </c>
      <c r="F103" s="18">
        <v>21.542000000000002</v>
      </c>
      <c r="G103" s="16">
        <v>0</v>
      </c>
      <c r="H103" s="15" t="e">
        <v>#N/A</v>
      </c>
      <c r="I103" s="15" t="s">
        <v>155</v>
      </c>
      <c r="J103" s="15" t="s">
        <v>42</v>
      </c>
      <c r="K103" s="15">
        <v>150</v>
      </c>
      <c r="L103" s="15">
        <f t="shared" si="24"/>
        <v>5.4579999999999984</v>
      </c>
      <c r="M103" s="15"/>
      <c r="N103" s="15"/>
      <c r="O103" s="15">
        <v>0</v>
      </c>
      <c r="P103" s="15"/>
      <c r="Q103" s="15">
        <f t="shared" si="16"/>
        <v>31.0916</v>
      </c>
      <c r="R103" s="17"/>
      <c r="S103" s="17"/>
      <c r="T103" s="15"/>
      <c r="U103" s="15">
        <f t="shared" si="17"/>
        <v>0.69285594823039021</v>
      </c>
      <c r="V103" s="15">
        <f t="shared" si="18"/>
        <v>0.69285594823039021</v>
      </c>
      <c r="W103" s="15">
        <v>32.273200000000003</v>
      </c>
      <c r="X103" s="15">
        <v>3.7372000000000001</v>
      </c>
      <c r="Y103" s="15">
        <v>36.436199999999999</v>
      </c>
      <c r="Z103" s="15">
        <v>36.656799999999997</v>
      </c>
      <c r="AA103" s="15">
        <v>30.5578</v>
      </c>
      <c r="AB103" s="15">
        <v>28.462399999999999</v>
      </c>
      <c r="AC103" s="15">
        <v>30.451599999999999</v>
      </c>
      <c r="AD103" s="15">
        <v>25.856999999999999</v>
      </c>
      <c r="AE103" s="15"/>
      <c r="AF103" s="1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 spans="1:49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 spans="1:49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 spans="1:49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 spans="1:49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 spans="1:49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 spans="1:49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 spans="1:49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 spans="1:49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 spans="1:49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 spans="1:49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 spans="1:49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 spans="1:49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  <row r="495" spans="1:49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 spans="1:49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</row>
    <row r="497" spans="1:49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  <row r="498" spans="1:49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</row>
    <row r="499" spans="1:49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</row>
    <row r="500" spans="1:49" x14ac:dyDescent="0.25">
      <c r="A500" s="5"/>
      <c r="B500" s="5"/>
      <c r="C500" s="5"/>
      <c r="D500" s="5"/>
      <c r="E500" s="5"/>
      <c r="F500" s="5"/>
      <c r="G500" s="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</row>
  </sheetData>
  <autoFilter ref="A3:AF10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2025-12-15T09:37:50Z</dcterms:created>
  <dcterms:modified xsi:type="dcterms:W3CDTF">2025-12-15T10:04:20Z</dcterms:modified>
</cp:coreProperties>
</file>