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23E9C8-587A-47C4-B9AB-3383A7BD29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Z419" i="2"/>
  <c r="Y419" i="2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Z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P120" i="2" l="1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09" i="2" s="1"/>
  <c r="Z430" i="2"/>
  <c r="Z434" i="2"/>
  <c r="BN434" i="2"/>
  <c r="Z440" i="2"/>
  <c r="Z441" i="2" s="1"/>
  <c r="Z519" i="2"/>
  <c r="BN59" i="2"/>
  <c r="BN131" i="2"/>
  <c r="BN175" i="2"/>
  <c r="BN273" i="2"/>
  <c r="BN287" i="2"/>
  <c r="BN304" i="2"/>
  <c r="BN333" i="2"/>
  <c r="BN344" i="2"/>
  <c r="BP356" i="2"/>
  <c r="BN444" i="2"/>
  <c r="Y452" i="2"/>
  <c r="Y489" i="2"/>
  <c r="BN514" i="2"/>
  <c r="BN524" i="2"/>
  <c r="BN23" i="2"/>
  <c r="BN48" i="2"/>
  <c r="BN165" i="2"/>
  <c r="BN185" i="2"/>
  <c r="BN195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47" i="2" l="1"/>
  <c r="Z548" i="2"/>
  <c r="Z24" i="2"/>
  <c r="Z95" i="2"/>
  <c r="Z435" i="2"/>
  <c r="Z415" i="2"/>
  <c r="Z295" i="2"/>
  <c r="Z259" i="2"/>
  <c r="Z377" i="2"/>
  <c r="Z329" i="2"/>
  <c r="Z484" i="2"/>
  <c r="X558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<sst xmlns="http://schemas.openxmlformats.org/spreadsheetml/2006/main" count="4244" uniqueCount="900">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</sst>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2000</v>
      </c>
      <c r="Y380" s="55">
        <f>IFERROR(IF(X380="",0,CEILING((X380/$H380),1)*$H380),"")</f>
        <v>2004.6</v>
      </c>
      <c r="Z380" s="41">
        <f>IFERROR(IF(Y380=0,"",ROUNDUP(Y380/H380,0)*0.01898),"")</f>
        <v>4.8778600000000001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2125.1282051282051</v>
      </c>
      <c r="BN380" s="78">
        <f>IFERROR(Y380*I380/H380,"0")</f>
        <v>2130.0160000000001</v>
      </c>
      <c r="BO380" s="78">
        <f>IFERROR(1/J380*(X380/H380),"0")</f>
        <v>4.0064102564102564</v>
      </c>
      <c r="BP380" s="78">
        <f>IFERROR(1/J380*(Y380/H380),"0")</f>
        <v>4.015625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256.41025641025641</v>
      </c>
      <c r="Y384" s="43">
        <f>IFERROR(Y380/H380,"0")+IFERROR(Y381/H381,"0")+IFERROR(Y382/H382,"0")+IFERROR(Y383/H383,"0")</f>
        <v>257</v>
      </c>
      <c r="Z384" s="43">
        <f>IFERROR(IF(Z380="",0,Z380),"0")+IFERROR(IF(Z381="",0,Z381),"0")+IFERROR(IF(Z382="",0,Z382),"0")+IFERROR(IF(Z383="",0,Z383),"0")</f>
        <v>4.8778600000000001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2000</v>
      </c>
      <c r="Y385" s="43">
        <f>IFERROR(SUM(Y380:Y383),"0")</f>
        <v>2004.6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2004.6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2125.1282051282051</v>
      </c>
      <c r="Y556" s="43">
        <f>IFERROR(SUM(BN22:BN552),"0")</f>
        <v>2130.0160000000001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2250.1282051282051</v>
      </c>
      <c r="Y558" s="43">
        <f>GrossWeightTotalR+PalletQtyTotalR*25</f>
        <v>2255.0160000000001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256.41025641025641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257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4.8778600000000001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2004.6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000,00"/>
        <filter val="2 125,13"/>
        <filter val="2 250,13"/>
        <filter val="256,41"/>
        <filter val="5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